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C:\Старые данные\TA Consult Doscredobank\Результаты - Финансовая модель (BAAS+Цифровой офис)\"/>
    </mc:Choice>
  </mc:AlternateContent>
  <xr:revisionPtr revIDLastSave="0" documentId="13_ncr:1_{E478DDF6-A0EA-49D4-BAFC-917B4B8D05AA}" xr6:coauthVersionLast="47" xr6:coauthVersionMax="47" xr10:uidLastSave="{00000000-0000-0000-0000-000000000000}"/>
  <bookViews>
    <workbookView xWindow="-108" yWindow="-108" windowWidth="23256" windowHeight="12456" activeTab="3" xr2:uid="{32D23E18-1E34-4E32-A75A-C4C44E6361A1}"/>
  </bookViews>
  <sheets>
    <sheet name="0" sheetId="4" r:id="rId1"/>
    <sheet name="BaaS.1" sheetId="3" r:id="rId2"/>
    <sheet name="BaaS.2" sheetId="5" r:id="rId3"/>
    <sheet name="BaaS.3" sheetId="6" r:id="rId4"/>
    <sheet name="BS" sheetId="2" r:id="rId5"/>
    <sheet name="PL" sheetId="1" r:id="rId6"/>
    <sheet name="OPEX+CAPEX" sheetId="7" r:id="rId7"/>
  </sheets>
  <definedNames>
    <definedName name="__dol1">#REF!</definedName>
    <definedName name="__END1">#REF!</definedName>
    <definedName name="__kurs_dol__">#REF!</definedName>
    <definedName name="__stroka__">#REF!</definedName>
    <definedName name="_dol1">#REF!</definedName>
    <definedName name="_END1">#REF!</definedName>
    <definedName name="_Fill" hidden="1">#REF!</definedName>
    <definedName name="aned110">#REF!</definedName>
    <definedName name="aned111">#REF!</definedName>
    <definedName name="aned112">#REF!</definedName>
    <definedName name="aned113">#REF!</definedName>
    <definedName name="aned146">#REF!</definedName>
    <definedName name="aned158">#REF!</definedName>
    <definedName name="aned161">#REF!</definedName>
    <definedName name="aned162">#REF!</definedName>
    <definedName name="aned170">#REF!</definedName>
    <definedName name="aned184">#REF!</definedName>
    <definedName name="aned191">#REF!</definedName>
    <definedName name="aned194">#REF!</definedName>
    <definedName name="aned213">#REF!</definedName>
    <definedName name="aned224">#REF!</definedName>
    <definedName name="aned239">#REF!</definedName>
    <definedName name="aned34">#REF!</definedName>
    <definedName name="aned50">#REF!</definedName>
    <definedName name="aned60">#REF!</definedName>
    <definedName name="aned61">#REF!</definedName>
    <definedName name="aned62">#REF!</definedName>
    <definedName name="aned620">#REF!</definedName>
    <definedName name="aned624">#REF!</definedName>
    <definedName name="aned628">#REF!</definedName>
    <definedName name="aned629">#REF!</definedName>
    <definedName name="aned63">#REF!</definedName>
    <definedName name="aned632">#REF!</definedName>
    <definedName name="aned636">#REF!</definedName>
    <definedName name="aned637">#REF!</definedName>
    <definedName name="aned639">#REF!</definedName>
    <definedName name="aned64">#REF!</definedName>
    <definedName name="aned647">#REF!</definedName>
    <definedName name="aned65">#REF!</definedName>
    <definedName name="aned657">#REF!</definedName>
    <definedName name="aned662">#REF!</definedName>
    <definedName name="aned668">#REF!</definedName>
    <definedName name="aned680">#REF!</definedName>
    <definedName name="aned681">#REF!</definedName>
    <definedName name="aned682">#REF!</definedName>
    <definedName name="aned683">#REF!</definedName>
    <definedName name="aned716">#REF!</definedName>
    <definedName name="aned718">#REF!</definedName>
    <definedName name="aned719">#REF!</definedName>
    <definedName name="aned72">#REF!</definedName>
    <definedName name="aned728">#REF!</definedName>
    <definedName name="aned729">#REF!</definedName>
    <definedName name="aned731">#REF!</definedName>
    <definedName name="aned76">#REF!</definedName>
    <definedName name="aned77">#REF!</definedName>
    <definedName name="aned79">#REF!</definedName>
    <definedName name="aned812">#REF!</definedName>
    <definedName name="aned86">#REF!</definedName>
    <definedName name="aned87">#REF!</definedName>
    <definedName name="aned882">#REF!</definedName>
    <definedName name="aned900">#REF!</definedName>
    <definedName name="aned902">#REF!</definedName>
    <definedName name="aned904">#REF!</definedName>
    <definedName name="aned907">#REF!</definedName>
    <definedName name="aned911">#REF!</definedName>
    <definedName name="aned919">#REF!</definedName>
    <definedName name="aned92">#REF!</definedName>
    <definedName name="aned925">#REF!</definedName>
    <definedName name="aned941">#REF!</definedName>
    <definedName name="aned945">#REF!</definedName>
    <definedName name="aned947">#REF!</definedName>
    <definedName name="anedP23">#REF!</definedName>
    <definedName name="anedР10">#REF!</definedName>
    <definedName name="anedР11">#REF!</definedName>
    <definedName name="anedР2">#REF!</definedName>
    <definedName name="anedР25">#REF!</definedName>
    <definedName name="broke">#REF!</definedName>
    <definedName name="Broken_Ore_Calcs">#REF!</definedName>
    <definedName name="cmpe">#REF!</definedName>
    <definedName name="EssAliasTable">"Default"</definedName>
    <definedName name="EssLatest">"BegBalance"</definedName>
    <definedName name="EssOptions">"A1100000000130000000001100020_01000"</definedName>
    <definedName name="EssSamplingValue">100</definedName>
    <definedName name="fames283">#REF!</definedName>
    <definedName name="fames885">#REF!</definedName>
    <definedName name="fames890">#REF!</definedName>
    <definedName name="fames896">#REF!</definedName>
    <definedName name="FILE">"P_VIP603"</definedName>
    <definedName name="flag">TRUE</definedName>
    <definedName name="fpmes287">#REF!</definedName>
    <definedName name="fpmes809">#REF!</definedName>
    <definedName name="fpmes890">#REF!</definedName>
    <definedName name="fpmes896">#REF!</definedName>
    <definedName name="gg">#REF!</definedName>
    <definedName name="Header_Row">ROW(#REF!)</definedName>
    <definedName name="hh">#REF!</definedName>
    <definedName name="iii">#REF!</definedName>
    <definedName name="jjjjjjj">#REF!</definedName>
    <definedName name="Ko">303</definedName>
    <definedName name="lim">240</definedName>
    <definedName name="Months">#REF!</definedName>
    <definedName name="months1">#REF!</definedName>
    <definedName name="mu">#REF!</definedName>
    <definedName name="Number_of_Payments" localSheetId="0">MATCH(0.01,End_Bal,-1)+1</definedName>
    <definedName name="Number_of_Payments" localSheetId="1">MATCH(0.01,End_Bal,-1)+1</definedName>
    <definedName name="Number_of_Payments" localSheetId="2">MATCH(0.01,End_Bal,-1)+1</definedName>
    <definedName name="Number_of_Payments" localSheetId="3">MATCH(0.01,End_Bal,-1)+1</definedName>
    <definedName name="Number_of_Payments" localSheetId="4">MATCH(0.01,End_Bal,-1)+1</definedName>
    <definedName name="Number_of_Payments" localSheetId="6">MATCH(0.01,End_Bal,-1)+1</definedName>
    <definedName name="Number_of_Payments" localSheetId="5">MATCH(0.01,End_Bal,-1)+1</definedName>
    <definedName name="Number_of_Payments">MATCH(0.01,End_Bal,-1)+1</definedName>
    <definedName name="period">#REF!</definedName>
    <definedName name="pned10">#REF!</definedName>
    <definedName name="pned11">#REF!</definedName>
    <definedName name="pned114">#REF!</definedName>
    <definedName name="pned115">#REF!</definedName>
    <definedName name="pned116">#REF!</definedName>
    <definedName name="pned117">#REF!</definedName>
    <definedName name="pned118">#REF!</definedName>
    <definedName name="pned119">#REF!</definedName>
    <definedName name="pned12">#REF!</definedName>
    <definedName name="pned147">#REF!</definedName>
    <definedName name="pned149">#REF!</definedName>
    <definedName name="pned15">#REF!</definedName>
    <definedName name="pned159">#REF!</definedName>
    <definedName name="pned16">#REF!</definedName>
    <definedName name="pned160">#REF!</definedName>
    <definedName name="pned161">#REF!</definedName>
    <definedName name="pned162">#REF!</definedName>
    <definedName name="pned169">#REF!</definedName>
    <definedName name="pned170">#REF!</definedName>
    <definedName name="pned180">#REF!</definedName>
    <definedName name="pned187">#REF!</definedName>
    <definedName name="pned190">#REF!</definedName>
    <definedName name="pned199">#REF!</definedName>
    <definedName name="pned224">#REF!</definedName>
    <definedName name="pned225">#REF!</definedName>
    <definedName name="pned236">#REF!</definedName>
    <definedName name="pned24">#REF!</definedName>
    <definedName name="pned27">#REF!</definedName>
    <definedName name="pned28">#REF!</definedName>
    <definedName name="pned282">#REF!</definedName>
    <definedName name="pned29">#REF!</definedName>
    <definedName name="pned45">#REF!</definedName>
    <definedName name="pned608">#REF!</definedName>
    <definedName name="pned617">#REF!</definedName>
    <definedName name="pned635">#REF!</definedName>
    <definedName name="pned636">#REF!</definedName>
    <definedName name="pned638">#REF!</definedName>
    <definedName name="pned639">#REF!</definedName>
    <definedName name="pned648">#REF!</definedName>
    <definedName name="pned660">#REF!</definedName>
    <definedName name="pned667">#REF!</definedName>
    <definedName name="pned669">#REF!</definedName>
    <definedName name="pned684">#REF!</definedName>
    <definedName name="pned685">#REF!</definedName>
    <definedName name="pned686">#REF!</definedName>
    <definedName name="pned687">#REF!</definedName>
    <definedName name="pned688">#REF!</definedName>
    <definedName name="pned689">#REF!</definedName>
    <definedName name="pned70">#REF!</definedName>
    <definedName name="pned71">#REF!</definedName>
    <definedName name="pned711">#REF!</definedName>
    <definedName name="pned713">#REF!</definedName>
    <definedName name="pned714">#REF!</definedName>
    <definedName name="pned715">#REF!</definedName>
    <definedName name="pned720">#REF!</definedName>
    <definedName name="pned723">#REF!</definedName>
    <definedName name="pned724">#REF!</definedName>
    <definedName name="pned73">#REF!</definedName>
    <definedName name="pned732">#REF!</definedName>
    <definedName name="pned75">#REF!</definedName>
    <definedName name="pned759">#REF!</definedName>
    <definedName name="pned76">#REF!</definedName>
    <definedName name="pned78">#REF!</definedName>
    <definedName name="pned79">#REF!</definedName>
    <definedName name="pned813">#REF!</definedName>
    <definedName name="pned826">#REF!</definedName>
    <definedName name="pned86">#REF!</definedName>
    <definedName name="pned882">#REF!</definedName>
    <definedName name="pned90">#REF!</definedName>
    <definedName name="pned900">#REF!</definedName>
    <definedName name="pned902">#REF!</definedName>
    <definedName name="pned904">#REF!</definedName>
    <definedName name="pned906">#REF!</definedName>
    <definedName name="pned908">#REF!</definedName>
    <definedName name="pned911">#REF!</definedName>
    <definedName name="pned941">#REF!</definedName>
    <definedName name="pned945">#REF!</definedName>
    <definedName name="pned948">#REF!</definedName>
    <definedName name="pned99">#REF!</definedName>
    <definedName name="pnedР10">#REF!</definedName>
    <definedName name="pnedР11">#REF!</definedName>
    <definedName name="pnedР14">#REF!</definedName>
    <definedName name="pnedР25">#REF!</definedName>
    <definedName name="Print_Area_Reset" localSheetId="0">OFFSET(Full_Print,0,0,Last_Row)</definedName>
    <definedName name="Print_Area_Reset" localSheetId="1">OFFSET(Full_Print,0,0,Last_Row)</definedName>
    <definedName name="Print_Area_Reset" localSheetId="2">OFFSET(Full_Print,0,0,Last_Row)</definedName>
    <definedName name="Print_Area_Reset" localSheetId="3">OFFSET(Full_Print,0,0,Last_Row)</definedName>
    <definedName name="Print_Area_Reset" localSheetId="4">OFFSET(Full_Print,0,0,Last_Row)</definedName>
    <definedName name="Print_Area_Reset" localSheetId="6">OFFSET(Full_Print,0,0,Last_Row)</definedName>
    <definedName name="Print_Area_Reset" localSheetId="5">OFFSET(Full_Print,0,0,Last_Row)</definedName>
    <definedName name="Print_Area_Reset">OFFSET(Full_Print,0,0,Last_Row)</definedName>
    <definedName name="quant">#REF!</definedName>
    <definedName name="sigma">#REF!</definedName>
    <definedName name="So">4033.82743136</definedName>
    <definedName name="trafic1">#REF!</definedName>
    <definedName name="Values_Entered" localSheetId="0">IF(Loan_Amount*Interest_Rate*Loan_Years*Loan_Start&gt;0,1,0)</definedName>
    <definedName name="Values_Entered" localSheetId="1">IF(Loan_Amount*Interest_Rate*Loan_Years*Loan_Start&gt;0,1,0)</definedName>
    <definedName name="Values_Entered" localSheetId="2">IF(Loan_Amount*Interest_Rate*Loan_Years*Loan_Start&gt;0,1,0)</definedName>
    <definedName name="Values_Entered" localSheetId="3">IF(Loan_Amount*Interest_Rate*Loan_Years*Loan_Start&gt;0,1,0)</definedName>
    <definedName name="Values_Entered" localSheetId="4">IF(Loan_Amount*Interest_Rate*Loan_Years*Loan_Start&gt;0,1,0)</definedName>
    <definedName name="Values_Entered" localSheetId="6">IF(Loan_Amount*Interest_Rate*Loan_Years*Loan_Start&gt;0,1,0)</definedName>
    <definedName name="Values_Entered" localSheetId="5">IF(Loan_Amount*Interest_Rate*Loan_Years*Loan_Start&gt;0,1,0)</definedName>
    <definedName name="Values_Entered">IF(Loan_Amount*Interest_Rate*Loan_Years*Loan_Start&gt;0,1,0)</definedName>
    <definedName name="volat">#REF!</definedName>
    <definedName name="wrn.Исполнение._.сметы._.затрат." localSheetId="0" hidden="1">{#N/A,#N/A,FALSE,"Лист15"}</definedName>
    <definedName name="wrn.Исполнение._.сметы._.затрат." localSheetId="1" hidden="1">{#N/A,#N/A,FALSE,"Лист15"}</definedName>
    <definedName name="wrn.Исполнение._.сметы._.затрат." localSheetId="2" hidden="1">{#N/A,#N/A,FALSE,"Лист15"}</definedName>
    <definedName name="wrn.Исполнение._.сметы._.затрат." localSheetId="3" hidden="1">{#N/A,#N/A,FALSE,"Лист15"}</definedName>
    <definedName name="wrn.Исполнение._.сметы._.затрат." hidden="1">{#N/A,#N/A,FALSE,"Лист15"}</definedName>
    <definedName name="wrn.Исполнение._.смкты._.затарат." localSheetId="0" hidden="1">{#N/A,#N/A,FALSE,"Лист15"}</definedName>
    <definedName name="wrn.Исполнение._.смкты._.затарат." localSheetId="1" hidden="1">{#N/A,#N/A,FALSE,"Лист15"}</definedName>
    <definedName name="wrn.Исполнение._.смкты._.затарат." localSheetId="2" hidden="1">{#N/A,#N/A,FALSE,"Лист15"}</definedName>
    <definedName name="wrn.Исполнение._.смкты._.затарат." localSheetId="3" hidden="1">{#N/A,#N/A,FALSE,"Лист15"}</definedName>
    <definedName name="wrn.Исполнение._.смкты._.затарат." hidden="1">{#N/A,#N/A,FALSE,"Лист15"}</definedName>
    <definedName name="yeild">#REF!</definedName>
    <definedName name="апр">#REF!</definedName>
    <definedName name="апр123153546фы">#REF!</definedName>
    <definedName name="ара" localSheetId="0" hidden="1">{#N/A,#N/A,FALSE,"Лист15"}</definedName>
    <definedName name="ара" localSheetId="1" hidden="1">{#N/A,#N/A,FALSE,"Лист15"}</definedName>
    <definedName name="ара" localSheetId="2" hidden="1">{#N/A,#N/A,FALSE,"Лист15"}</definedName>
    <definedName name="ара" localSheetId="3" hidden="1">{#N/A,#N/A,FALSE,"Лист15"}</definedName>
    <definedName name="ара" hidden="1">{#N/A,#N/A,FALSE,"Лист15"}</definedName>
    <definedName name="_xlnm.Database">#REF!</definedName>
    <definedName name="вввв">#REF!</definedName>
    <definedName name="выа12351465ы1вяа65ваыва">#REF!</definedName>
    <definedName name="г">#REF!</definedName>
    <definedName name="дата">#REF!</definedName>
    <definedName name="Дата_опорного_факта">#REF!</definedName>
    <definedName name="Дата_опорного_факта_ЦП">#REF!</definedName>
    <definedName name="движение" localSheetId="0" hidden="1">{#N/A,#N/A,FALSE,"Лист15"}</definedName>
    <definedName name="движение" localSheetId="1" hidden="1">{#N/A,#N/A,FALSE,"Лист15"}</definedName>
    <definedName name="движение" localSheetId="2" hidden="1">{#N/A,#N/A,FALSE,"Лист15"}</definedName>
    <definedName name="движение" localSheetId="3" hidden="1">{#N/A,#N/A,FALSE,"Лист15"}</definedName>
    <definedName name="движение" hidden="1">{#N/A,#N/A,FALSE,"Лист15"}</definedName>
    <definedName name="дд">#REF!</definedName>
    <definedName name="единицы_измерения">#REF!</definedName>
    <definedName name="кал" localSheetId="0" hidden="1">{#N/A,#N/A,FALSE,"Лист15"}</definedName>
    <definedName name="кал" localSheetId="1" hidden="1">{#N/A,#N/A,FALSE,"Лист15"}</definedName>
    <definedName name="кал" localSheetId="2" hidden="1">{#N/A,#N/A,FALSE,"Лист15"}</definedName>
    <definedName name="кал" localSheetId="3" hidden="1">{#N/A,#N/A,FALSE,"Лист15"}</definedName>
    <definedName name="кал" hidden="1">{#N/A,#N/A,FALSE,"Лист15"}</definedName>
    <definedName name="ллл">#REF!</definedName>
    <definedName name="май">#REF!</definedName>
    <definedName name="мар">#REF!</definedName>
    <definedName name="материалы" localSheetId="0" hidden="1">{#N/A,#N/A,FALSE,"Лист15"}</definedName>
    <definedName name="материалы" localSheetId="1" hidden="1">{#N/A,#N/A,FALSE,"Лист15"}</definedName>
    <definedName name="материалы" localSheetId="2" hidden="1">{#N/A,#N/A,FALSE,"Лист15"}</definedName>
    <definedName name="материалы" localSheetId="3" hidden="1">{#N/A,#N/A,FALSE,"Лист15"}</definedName>
    <definedName name="материалы" hidden="1">{#N/A,#N/A,FALSE,"Лист15"}</definedName>
    <definedName name="п1">#REF!</definedName>
    <definedName name="пролграаммм" localSheetId="0" hidden="1">{#N/A,#N/A,FALSE,"Лист15"}</definedName>
    <definedName name="пролграаммм" localSheetId="1" hidden="1">{#N/A,#N/A,FALSE,"Лист15"}</definedName>
    <definedName name="пролграаммм" localSheetId="2" hidden="1">{#N/A,#N/A,FALSE,"Лист15"}</definedName>
    <definedName name="пролграаммм" localSheetId="3" hidden="1">{#N/A,#N/A,FALSE,"Лист15"}</definedName>
    <definedName name="пролграаммм" hidden="1">{#N/A,#N/A,FALSE,"Лист15"}</definedName>
    <definedName name="ууккку">#REF!</definedName>
    <definedName name="ф">#REF!</definedName>
    <definedName name="ф112233">#REF!</definedName>
    <definedName name="ф123">#REF!</definedName>
    <definedName name="фыйцый">#REF!</definedName>
    <definedName name="ш">#REF!</definedName>
    <definedName name="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6" l="1"/>
  <c r="AO17" i="4"/>
  <c r="AP17" i="4"/>
  <c r="AQ17" i="4"/>
  <c r="AO18" i="4"/>
  <c r="AP18" i="4"/>
  <c r="AQ18" i="4"/>
  <c r="AO19" i="4"/>
  <c r="AP19" i="4"/>
  <c r="AQ19" i="4"/>
  <c r="AO20" i="4"/>
  <c r="AP20" i="4"/>
  <c r="AQ20" i="4"/>
  <c r="AO21" i="4"/>
  <c r="AP21" i="4"/>
  <c r="AQ21" i="4"/>
  <c r="AO22" i="4"/>
  <c r="AP22" i="4"/>
  <c r="AQ22" i="4"/>
  <c r="AO23" i="4"/>
  <c r="AP23" i="4"/>
  <c r="AQ23" i="4"/>
  <c r="AO24" i="4"/>
  <c r="AP24" i="4"/>
  <c r="AQ24" i="4"/>
  <c r="E164" i="6"/>
  <c r="F164" i="6"/>
  <c r="G164" i="6"/>
  <c r="H164" i="6"/>
  <c r="I164" i="6"/>
  <c r="J164" i="6"/>
  <c r="K164" i="6"/>
  <c r="L164" i="6"/>
  <c r="M164" i="6"/>
  <c r="N164" i="6"/>
  <c r="O164" i="6"/>
  <c r="P164" i="6"/>
  <c r="AP164" i="6" s="1"/>
  <c r="Q164" i="6"/>
  <c r="R164" i="6"/>
  <c r="S164" i="6"/>
  <c r="T164" i="6"/>
  <c r="U164" i="6"/>
  <c r="V164" i="6"/>
  <c r="W164" i="6"/>
  <c r="X164" i="6"/>
  <c r="Y164" i="6"/>
  <c r="Z164" i="6"/>
  <c r="AA164" i="6"/>
  <c r="AB164" i="6"/>
  <c r="AQ164" i="6" s="1"/>
  <c r="AC164" i="6"/>
  <c r="AD164" i="6"/>
  <c r="AE164" i="6"/>
  <c r="AF164" i="6"/>
  <c r="AG164" i="6"/>
  <c r="AH164" i="6"/>
  <c r="AI164" i="6"/>
  <c r="AJ164" i="6"/>
  <c r="AK164" i="6"/>
  <c r="AL164" i="6"/>
  <c r="AM164" i="6"/>
  <c r="D164" i="6"/>
  <c r="AO164" i="6" s="1"/>
  <c r="E151" i="6"/>
  <c r="F151" i="6"/>
  <c r="G151" i="6"/>
  <c r="H151" i="6"/>
  <c r="I151" i="6"/>
  <c r="J151" i="6"/>
  <c r="K151" i="6"/>
  <c r="L151" i="6"/>
  <c r="M151" i="6"/>
  <c r="N151" i="6"/>
  <c r="O151" i="6"/>
  <c r="P151" i="6"/>
  <c r="AP151" i="6" s="1"/>
  <c r="Q151" i="6"/>
  <c r="R151" i="6"/>
  <c r="S151" i="6"/>
  <c r="T151" i="6"/>
  <c r="U151" i="6"/>
  <c r="V151" i="6"/>
  <c r="W151" i="6"/>
  <c r="X151" i="6"/>
  <c r="Y151" i="6"/>
  <c r="Z151" i="6"/>
  <c r="AA151" i="6"/>
  <c r="AB151" i="6"/>
  <c r="AQ151" i="6" s="1"/>
  <c r="AC151" i="6"/>
  <c r="AD151" i="6"/>
  <c r="AE151" i="6"/>
  <c r="AF151" i="6"/>
  <c r="AG151" i="6"/>
  <c r="AH151" i="6"/>
  <c r="AI151" i="6"/>
  <c r="AJ151" i="6"/>
  <c r="AK151" i="6"/>
  <c r="AL151" i="6"/>
  <c r="AM151" i="6"/>
  <c r="D151" i="6"/>
  <c r="AO151" i="6" s="1"/>
  <c r="E142" i="6"/>
  <c r="F142" i="6"/>
  <c r="G142" i="6"/>
  <c r="H142" i="6"/>
  <c r="I142" i="6"/>
  <c r="J142" i="6"/>
  <c r="K142" i="6"/>
  <c r="L142" i="6"/>
  <c r="M142" i="6"/>
  <c r="N142" i="6"/>
  <c r="O142" i="6"/>
  <c r="P142" i="6"/>
  <c r="AP142" i="6" s="1"/>
  <c r="Q142" i="6"/>
  <c r="R142" i="6"/>
  <c r="S142" i="6"/>
  <c r="T142" i="6"/>
  <c r="U142" i="6"/>
  <c r="V142" i="6"/>
  <c r="W142" i="6"/>
  <c r="X142" i="6"/>
  <c r="Y142" i="6"/>
  <c r="Z142" i="6"/>
  <c r="AA142" i="6"/>
  <c r="AB142" i="6"/>
  <c r="AQ142" i="6" s="1"/>
  <c r="AC142" i="6"/>
  <c r="AD142" i="6"/>
  <c r="AE142" i="6"/>
  <c r="AF142" i="6"/>
  <c r="AG142" i="6"/>
  <c r="AH142" i="6"/>
  <c r="AI142" i="6"/>
  <c r="AJ142" i="6"/>
  <c r="AK142" i="6"/>
  <c r="AL142" i="6"/>
  <c r="AM142" i="6"/>
  <c r="D142" i="6"/>
  <c r="AO142" i="6" s="1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Q128" i="6" s="1"/>
  <c r="AC128" i="6"/>
  <c r="AD128" i="6"/>
  <c r="AE128" i="6"/>
  <c r="AF128" i="6"/>
  <c r="AG128" i="6"/>
  <c r="AH128" i="6"/>
  <c r="AI128" i="6"/>
  <c r="AJ128" i="6"/>
  <c r="AK128" i="6"/>
  <c r="AL128" i="6"/>
  <c r="AM128" i="6"/>
  <c r="D128" i="6"/>
  <c r="AO128" i="6" s="1"/>
  <c r="E114" i="6"/>
  <c r="F114" i="6"/>
  <c r="G114" i="6"/>
  <c r="H114" i="6"/>
  <c r="I114" i="6"/>
  <c r="J114" i="6"/>
  <c r="K114" i="6"/>
  <c r="L114" i="6"/>
  <c r="M114" i="6"/>
  <c r="N114" i="6"/>
  <c r="O114" i="6"/>
  <c r="P114" i="6"/>
  <c r="AP114" i="6" s="1"/>
  <c r="Q114" i="6"/>
  <c r="R114" i="6"/>
  <c r="S114" i="6"/>
  <c r="T114" i="6"/>
  <c r="U114" i="6"/>
  <c r="V114" i="6"/>
  <c r="W114" i="6"/>
  <c r="X114" i="6"/>
  <c r="Y114" i="6"/>
  <c r="Z114" i="6"/>
  <c r="AA114" i="6"/>
  <c r="AB114" i="6"/>
  <c r="AQ114" i="6" s="1"/>
  <c r="AC114" i="6"/>
  <c r="AD114" i="6"/>
  <c r="AE114" i="6"/>
  <c r="AF114" i="6"/>
  <c r="AG114" i="6"/>
  <c r="AH114" i="6"/>
  <c r="AI114" i="6"/>
  <c r="AJ114" i="6"/>
  <c r="AK114" i="6"/>
  <c r="AL114" i="6"/>
  <c r="AM114" i="6"/>
  <c r="D114" i="6"/>
  <c r="AO114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AP103" i="6" s="1"/>
  <c r="Q103" i="6"/>
  <c r="R103" i="6"/>
  <c r="S103" i="6"/>
  <c r="T103" i="6"/>
  <c r="U103" i="6"/>
  <c r="V103" i="6"/>
  <c r="W103" i="6"/>
  <c r="X103" i="6"/>
  <c r="Y103" i="6"/>
  <c r="Z103" i="6"/>
  <c r="AA103" i="6"/>
  <c r="AB103" i="6"/>
  <c r="AQ103" i="6" s="1"/>
  <c r="AC103" i="6"/>
  <c r="AD103" i="6"/>
  <c r="AE103" i="6"/>
  <c r="AF103" i="6"/>
  <c r="AG103" i="6"/>
  <c r="AH103" i="6"/>
  <c r="AI103" i="6"/>
  <c r="AJ103" i="6"/>
  <c r="AK103" i="6"/>
  <c r="AL103" i="6"/>
  <c r="AM103" i="6"/>
  <c r="D103" i="6"/>
  <c r="AO103" i="6" s="1"/>
  <c r="E58" i="6"/>
  <c r="F58" i="6"/>
  <c r="G58" i="6"/>
  <c r="H58" i="6"/>
  <c r="I58" i="6"/>
  <c r="J58" i="6"/>
  <c r="K58" i="6"/>
  <c r="L58" i="6"/>
  <c r="M58" i="6"/>
  <c r="N58" i="6"/>
  <c r="O58" i="6"/>
  <c r="P58" i="6"/>
  <c r="AP58" i="6" s="1"/>
  <c r="Q58" i="6"/>
  <c r="R58" i="6"/>
  <c r="S58" i="6"/>
  <c r="T58" i="6"/>
  <c r="U58" i="6"/>
  <c r="V58" i="6"/>
  <c r="W58" i="6"/>
  <c r="X58" i="6"/>
  <c r="Y58" i="6"/>
  <c r="Z58" i="6"/>
  <c r="AA58" i="6"/>
  <c r="AB58" i="6"/>
  <c r="AQ58" i="6" s="1"/>
  <c r="AC58" i="6"/>
  <c r="AD58" i="6"/>
  <c r="AE58" i="6"/>
  <c r="AF58" i="6"/>
  <c r="AG58" i="6"/>
  <c r="AH58" i="6"/>
  <c r="AI58" i="6"/>
  <c r="AJ58" i="6"/>
  <c r="AK58" i="6"/>
  <c r="AL58" i="6"/>
  <c r="AM58" i="6"/>
  <c r="D58" i="6"/>
  <c r="AO58" i="6"/>
  <c r="E44" i="6"/>
  <c r="F44" i="6"/>
  <c r="G44" i="6"/>
  <c r="H44" i="6"/>
  <c r="I44" i="6"/>
  <c r="J44" i="6"/>
  <c r="K44" i="6"/>
  <c r="L44" i="6"/>
  <c r="M44" i="6"/>
  <c r="N44" i="6"/>
  <c r="O44" i="6"/>
  <c r="P44" i="6"/>
  <c r="AP44" i="6" s="1"/>
  <c r="Q44" i="6"/>
  <c r="R44" i="6"/>
  <c r="S44" i="6"/>
  <c r="T44" i="6"/>
  <c r="U44" i="6"/>
  <c r="V44" i="6"/>
  <c r="W44" i="6"/>
  <c r="X44" i="6"/>
  <c r="Y44" i="6"/>
  <c r="Z44" i="6"/>
  <c r="AA44" i="6"/>
  <c r="AB44" i="6"/>
  <c r="AQ44" i="6" s="1"/>
  <c r="AC44" i="6"/>
  <c r="AD44" i="6"/>
  <c r="AE44" i="6"/>
  <c r="AF44" i="6"/>
  <c r="AG44" i="6"/>
  <c r="AH44" i="6"/>
  <c r="AI44" i="6"/>
  <c r="AJ44" i="6"/>
  <c r="AK44" i="6"/>
  <c r="AL44" i="6"/>
  <c r="AM44" i="6"/>
  <c r="D44" i="6"/>
  <c r="AO44" i="6" s="1"/>
  <c r="AO17" i="6"/>
  <c r="AP17" i="6"/>
  <c r="AQ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D17" i="6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C96" i="1"/>
  <c r="AP120" i="1"/>
  <c r="AO120" i="1"/>
  <c r="AN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C120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C124" i="1"/>
  <c r="AP124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C123" i="1"/>
  <c r="AP123" i="1"/>
  <c r="AO123" i="1"/>
  <c r="AN123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C122" i="1"/>
  <c r="AN122" i="1"/>
  <c r="AP122" i="1"/>
  <c r="AO122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C121" i="1"/>
  <c r="AP121" i="1"/>
  <c r="AO121" i="1"/>
  <c r="AN121" i="1"/>
  <c r="AP125" i="1"/>
  <c r="AO125" i="1"/>
  <c r="AN125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C112" i="1"/>
  <c r="AN112" i="1" s="1"/>
  <c r="AP112" i="1"/>
  <c r="AO112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C111" i="1"/>
  <c r="AN111" i="1" s="1"/>
  <c r="AP111" i="1"/>
  <c r="AO111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P110" i="1" s="1"/>
  <c r="AK110" i="1"/>
  <c r="AL110" i="1"/>
  <c r="C110" i="1"/>
  <c r="AN110" i="1" s="1"/>
  <c r="AO110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C109" i="1"/>
  <c r="AP109" i="1"/>
  <c r="AO109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C108" i="1"/>
  <c r="AO108" i="1"/>
  <c r="D107" i="1"/>
  <c r="D106" i="1" s="1"/>
  <c r="E107" i="1"/>
  <c r="E106" i="1" s="1"/>
  <c r="F107" i="1"/>
  <c r="F106" i="1" s="1"/>
  <c r="G107" i="1"/>
  <c r="H107" i="1"/>
  <c r="H106" i="1" s="1"/>
  <c r="I107" i="1"/>
  <c r="I106" i="1" s="1"/>
  <c r="J107" i="1"/>
  <c r="J106" i="1" s="1"/>
  <c r="K107" i="1"/>
  <c r="K106" i="1" s="1"/>
  <c r="L107" i="1"/>
  <c r="L106" i="1" s="1"/>
  <c r="M107" i="1"/>
  <c r="M106" i="1" s="1"/>
  <c r="N107" i="1"/>
  <c r="N106" i="1" s="1"/>
  <c r="O107" i="1"/>
  <c r="O106" i="1" s="1"/>
  <c r="P107" i="1"/>
  <c r="P106" i="1" s="1"/>
  <c r="Q107" i="1"/>
  <c r="Q106" i="1" s="1"/>
  <c r="R107" i="1"/>
  <c r="R106" i="1" s="1"/>
  <c r="S107" i="1"/>
  <c r="S106" i="1" s="1"/>
  <c r="T107" i="1"/>
  <c r="T106" i="1" s="1"/>
  <c r="U107" i="1"/>
  <c r="U106" i="1" s="1"/>
  <c r="V107" i="1"/>
  <c r="V106" i="1" s="1"/>
  <c r="W107" i="1"/>
  <c r="W106" i="1" s="1"/>
  <c r="X107" i="1"/>
  <c r="X106" i="1" s="1"/>
  <c r="Y107" i="1"/>
  <c r="Y106" i="1" s="1"/>
  <c r="Z107" i="1"/>
  <c r="Z106" i="1" s="1"/>
  <c r="AA107" i="1"/>
  <c r="AA106" i="1" s="1"/>
  <c r="AB107" i="1"/>
  <c r="AB106" i="1" s="1"/>
  <c r="AC107" i="1"/>
  <c r="AC106" i="1" s="1"/>
  <c r="AD107" i="1"/>
  <c r="AD106" i="1" s="1"/>
  <c r="AE107" i="1"/>
  <c r="AE106" i="1" s="1"/>
  <c r="AF107" i="1"/>
  <c r="AF106" i="1" s="1"/>
  <c r="AG107" i="1"/>
  <c r="AG106" i="1" s="1"/>
  <c r="AH107" i="1"/>
  <c r="AH106" i="1" s="1"/>
  <c r="AI107" i="1"/>
  <c r="AI106" i="1" s="1"/>
  <c r="AJ107" i="1"/>
  <c r="AJ106" i="1" s="1"/>
  <c r="AK107" i="1"/>
  <c r="AK106" i="1" s="1"/>
  <c r="AL107" i="1"/>
  <c r="AL106" i="1" s="1"/>
  <c r="C107" i="1"/>
  <c r="C106" i="1" s="1"/>
  <c r="AP107" i="1"/>
  <c r="AO107" i="1"/>
  <c r="AN107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C104" i="1"/>
  <c r="C103" i="1"/>
  <c r="C102" i="1"/>
  <c r="C101" i="1"/>
  <c r="F9" i="7"/>
  <c r="G9" i="7"/>
  <c r="H9" i="7"/>
  <c r="I9" i="7"/>
  <c r="J9" i="7"/>
  <c r="K9" i="7"/>
  <c r="L9" i="7"/>
  <c r="M9" i="7"/>
  <c r="N9" i="7"/>
  <c r="O9" i="7"/>
  <c r="P9" i="7"/>
  <c r="E8" i="7"/>
  <c r="C20" i="2" s="1"/>
  <c r="F57" i="7"/>
  <c r="E15" i="6"/>
  <c r="F15" i="6"/>
  <c r="G15" i="6"/>
  <c r="H15" i="6"/>
  <c r="I15" i="6"/>
  <c r="J15" i="6"/>
  <c r="K15" i="6"/>
  <c r="L15" i="6"/>
  <c r="M15" i="6"/>
  <c r="N15" i="6"/>
  <c r="O15" i="6"/>
  <c r="P15" i="6"/>
  <c r="AP15" i="6" s="1"/>
  <c r="Q15" i="6"/>
  <c r="R15" i="6"/>
  <c r="S15" i="6"/>
  <c r="T15" i="6"/>
  <c r="U15" i="6"/>
  <c r="V15" i="6"/>
  <c r="W15" i="6"/>
  <c r="X15" i="6"/>
  <c r="Y15" i="6"/>
  <c r="Z15" i="6"/>
  <c r="AA15" i="6"/>
  <c r="AB15" i="6"/>
  <c r="AQ15" i="6" s="1"/>
  <c r="AC15" i="6"/>
  <c r="AD15" i="6"/>
  <c r="AE15" i="6"/>
  <c r="AF15" i="6"/>
  <c r="AG15" i="6"/>
  <c r="AH15" i="6"/>
  <c r="AI15" i="6"/>
  <c r="AJ15" i="6"/>
  <c r="AK15" i="6"/>
  <c r="AL15" i="6"/>
  <c r="AM15" i="6"/>
  <c r="D15" i="6"/>
  <c r="AO15" i="6" s="1"/>
  <c r="Q53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E50" i="7"/>
  <c r="F13" i="7"/>
  <c r="F12" i="7" s="1"/>
  <c r="H13" i="7"/>
  <c r="H12" i="7" s="1"/>
  <c r="I13" i="7"/>
  <c r="I12" i="7" s="1"/>
  <c r="J13" i="7"/>
  <c r="J12" i="7" s="1"/>
  <c r="K13" i="7"/>
  <c r="K12" i="7" s="1"/>
  <c r="L13" i="7"/>
  <c r="L12" i="7" s="1"/>
  <c r="M13" i="7"/>
  <c r="M12" i="7" s="1"/>
  <c r="N13" i="7"/>
  <c r="N12" i="7" s="1"/>
  <c r="O13" i="7"/>
  <c r="O12" i="7" s="1"/>
  <c r="P13" i="7"/>
  <c r="P12" i="7" s="1"/>
  <c r="Q13" i="7"/>
  <c r="R13" i="7"/>
  <c r="R12" i="7" s="1"/>
  <c r="S13" i="7"/>
  <c r="S12" i="7" s="1"/>
  <c r="T13" i="7"/>
  <c r="T12" i="7" s="1"/>
  <c r="U13" i="7"/>
  <c r="U12" i="7" s="1"/>
  <c r="V13" i="7"/>
  <c r="V12" i="7" s="1"/>
  <c r="W13" i="7"/>
  <c r="W12" i="7" s="1"/>
  <c r="X13" i="7"/>
  <c r="X12" i="7" s="1"/>
  <c r="Y13" i="7"/>
  <c r="Y12" i="7" s="1"/>
  <c r="Z13" i="7"/>
  <c r="Z12" i="7" s="1"/>
  <c r="AA13" i="7"/>
  <c r="AA12" i="7" s="1"/>
  <c r="AB13" i="7"/>
  <c r="AB12" i="7" s="1"/>
  <c r="AC13" i="7"/>
  <c r="AD13" i="7"/>
  <c r="AD12" i="7" s="1"/>
  <c r="AE13" i="7"/>
  <c r="AE12" i="7" s="1"/>
  <c r="AF13" i="7"/>
  <c r="AF12" i="7" s="1"/>
  <c r="AG13" i="7"/>
  <c r="AG12" i="7" s="1"/>
  <c r="AH13" i="7"/>
  <c r="AH12" i="7" s="1"/>
  <c r="AI13" i="7"/>
  <c r="AI12" i="7" s="1"/>
  <c r="AJ13" i="7"/>
  <c r="AJ12" i="7" s="1"/>
  <c r="AK13" i="7"/>
  <c r="AK12" i="7" s="1"/>
  <c r="AL13" i="7"/>
  <c r="AL12" i="7" s="1"/>
  <c r="AM13" i="7"/>
  <c r="AM12" i="7" s="1"/>
  <c r="AN13" i="7"/>
  <c r="AN12" i="7" s="1"/>
  <c r="E13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E16" i="7"/>
  <c r="F15" i="7"/>
  <c r="G15" i="7"/>
  <c r="G14" i="7" s="1"/>
  <c r="I15" i="7"/>
  <c r="I14" i="7" s="1"/>
  <c r="J15" i="7"/>
  <c r="J14" i="7" s="1"/>
  <c r="K15" i="7"/>
  <c r="K14" i="7" s="1"/>
  <c r="M15" i="7"/>
  <c r="M14" i="7" s="1"/>
  <c r="N15" i="7"/>
  <c r="N14" i="7" s="1"/>
  <c r="O15" i="7"/>
  <c r="O14" i="7" s="1"/>
  <c r="P15" i="7"/>
  <c r="P14" i="7" s="1"/>
  <c r="Q15" i="7"/>
  <c r="R15" i="7"/>
  <c r="R14" i="7" s="1"/>
  <c r="S15" i="7"/>
  <c r="S14" i="7" s="1"/>
  <c r="T15" i="7"/>
  <c r="T14" i="7" s="1"/>
  <c r="U15" i="7"/>
  <c r="U14" i="7" s="1"/>
  <c r="V15" i="7"/>
  <c r="V14" i="7" s="1"/>
  <c r="W15" i="7"/>
  <c r="W14" i="7" s="1"/>
  <c r="X15" i="7"/>
  <c r="X14" i="7" s="1"/>
  <c r="Y15" i="7"/>
  <c r="Y14" i="7" s="1"/>
  <c r="Z15" i="7"/>
  <c r="Z14" i="7" s="1"/>
  <c r="AA15" i="7"/>
  <c r="AA14" i="7" s="1"/>
  <c r="AB15" i="7"/>
  <c r="AB14" i="7" s="1"/>
  <c r="AC15" i="7"/>
  <c r="AD15" i="7"/>
  <c r="AD14" i="7" s="1"/>
  <c r="AE15" i="7"/>
  <c r="AE14" i="7" s="1"/>
  <c r="AF15" i="7"/>
  <c r="AF14" i="7" s="1"/>
  <c r="AG15" i="7"/>
  <c r="AG14" i="7" s="1"/>
  <c r="AH15" i="7"/>
  <c r="AH14" i="7" s="1"/>
  <c r="AI15" i="7"/>
  <c r="AI14" i="7" s="1"/>
  <c r="AJ15" i="7"/>
  <c r="AJ14" i="7" s="1"/>
  <c r="AK15" i="7"/>
  <c r="AK14" i="7" s="1"/>
  <c r="AL15" i="7"/>
  <c r="AL14" i="7" s="1"/>
  <c r="AM15" i="7"/>
  <c r="AM14" i="7" s="1"/>
  <c r="AN15" i="7"/>
  <c r="AN14" i="7" s="1"/>
  <c r="AN109" i="7"/>
  <c r="AN107" i="7" s="1"/>
  <c r="AM109" i="7"/>
  <c r="AM107" i="7" s="1"/>
  <c r="AL109" i="7"/>
  <c r="AL107" i="7" s="1"/>
  <c r="AK109" i="7"/>
  <c r="AK107" i="7" s="1"/>
  <c r="AJ109" i="7"/>
  <c r="AJ107" i="7" s="1"/>
  <c r="AI109" i="7"/>
  <c r="AI107" i="7" s="1"/>
  <c r="AH109" i="7"/>
  <c r="AH107" i="7" s="1"/>
  <c r="AG109" i="7"/>
  <c r="AG107" i="7" s="1"/>
  <c r="AF109" i="7"/>
  <c r="AF107" i="7" s="1"/>
  <c r="AE109" i="7"/>
  <c r="AE107" i="7" s="1"/>
  <c r="AD109" i="7"/>
  <c r="AD107" i="7" s="1"/>
  <c r="AC109" i="7"/>
  <c r="AC107" i="7" s="1"/>
  <c r="AB109" i="7"/>
  <c r="AB107" i="7" s="1"/>
  <c r="AA109" i="7"/>
  <c r="AA107" i="7" s="1"/>
  <c r="Z109" i="7"/>
  <c r="Z107" i="7" s="1"/>
  <c r="Y109" i="7"/>
  <c r="Y107" i="7" s="1"/>
  <c r="X109" i="7"/>
  <c r="X107" i="7" s="1"/>
  <c r="W109" i="7"/>
  <c r="W107" i="7" s="1"/>
  <c r="V109" i="7"/>
  <c r="V107" i="7" s="1"/>
  <c r="U109" i="7"/>
  <c r="U107" i="7" s="1"/>
  <c r="T109" i="7"/>
  <c r="T107" i="7" s="1"/>
  <c r="S109" i="7"/>
  <c r="S107" i="7" s="1"/>
  <c r="R109" i="7"/>
  <c r="R107" i="7" s="1"/>
  <c r="Q109" i="7"/>
  <c r="Q107" i="7" s="1"/>
  <c r="AQ107" i="7" s="1"/>
  <c r="P109" i="7"/>
  <c r="P107" i="7" s="1"/>
  <c r="O109" i="7"/>
  <c r="O107" i="7" s="1"/>
  <c r="N109" i="7"/>
  <c r="N107" i="7" s="1"/>
  <c r="M109" i="7"/>
  <c r="M107" i="7" s="1"/>
  <c r="L109" i="7"/>
  <c r="L107" i="7" s="1"/>
  <c r="K109" i="7"/>
  <c r="K107" i="7" s="1"/>
  <c r="J109" i="7"/>
  <c r="J107" i="7" s="1"/>
  <c r="I109" i="7"/>
  <c r="I107" i="7" s="1"/>
  <c r="H109" i="7"/>
  <c r="H107" i="7" s="1"/>
  <c r="G109" i="7"/>
  <c r="G107" i="7" s="1"/>
  <c r="F109" i="7"/>
  <c r="F107" i="7" s="1"/>
  <c r="E109" i="7"/>
  <c r="E107" i="7" s="1"/>
  <c r="AN63" i="7"/>
  <c r="AN60" i="7" s="1"/>
  <c r="AM63" i="7"/>
  <c r="AM60" i="7" s="1"/>
  <c r="AL63" i="7"/>
  <c r="AL60" i="7" s="1"/>
  <c r="AK63" i="7"/>
  <c r="AK60" i="7" s="1"/>
  <c r="AJ63" i="7"/>
  <c r="AJ60" i="7" s="1"/>
  <c r="AI63" i="7"/>
  <c r="AI60" i="7" s="1"/>
  <c r="AH63" i="7"/>
  <c r="AH60" i="7" s="1"/>
  <c r="AG63" i="7"/>
  <c r="AG60" i="7" s="1"/>
  <c r="AF63" i="7"/>
  <c r="AF60" i="7" s="1"/>
  <c r="AE63" i="7"/>
  <c r="AE60" i="7" s="1"/>
  <c r="AD63" i="7"/>
  <c r="AD60" i="7" s="1"/>
  <c r="AC63" i="7"/>
  <c r="AC60" i="7" s="1"/>
  <c r="AB63" i="7"/>
  <c r="AB60" i="7" s="1"/>
  <c r="AA63" i="7"/>
  <c r="AA60" i="7" s="1"/>
  <c r="Z63" i="7"/>
  <c r="Z60" i="7" s="1"/>
  <c r="Y63" i="7"/>
  <c r="Y60" i="7" s="1"/>
  <c r="X63" i="7"/>
  <c r="X60" i="7" s="1"/>
  <c r="W63" i="7"/>
  <c r="W60" i="7" s="1"/>
  <c r="V63" i="7"/>
  <c r="V60" i="7" s="1"/>
  <c r="U63" i="7"/>
  <c r="U60" i="7" s="1"/>
  <c r="T63" i="7"/>
  <c r="T60" i="7" s="1"/>
  <c r="S63" i="7"/>
  <c r="S60" i="7" s="1"/>
  <c r="R63" i="7"/>
  <c r="R60" i="7" s="1"/>
  <c r="Q63" i="7"/>
  <c r="Q60" i="7" s="1"/>
  <c r="P63" i="7"/>
  <c r="P60" i="7" s="1"/>
  <c r="O63" i="7"/>
  <c r="O60" i="7" s="1"/>
  <c r="N63" i="7"/>
  <c r="N60" i="7" s="1"/>
  <c r="M63" i="7"/>
  <c r="M60" i="7" s="1"/>
  <c r="L63" i="7"/>
  <c r="L60" i="7" s="1"/>
  <c r="K63" i="7"/>
  <c r="K60" i="7" s="1"/>
  <c r="J63" i="7"/>
  <c r="J60" i="7" s="1"/>
  <c r="I63" i="7"/>
  <c r="I60" i="7" s="1"/>
  <c r="H63" i="7"/>
  <c r="H60" i="7" s="1"/>
  <c r="G63" i="7"/>
  <c r="G60" i="7" s="1"/>
  <c r="F63" i="7"/>
  <c r="F60" i="7" s="1"/>
  <c r="E63" i="7"/>
  <c r="E60" i="7" s="1"/>
  <c r="C95" i="1" s="1"/>
  <c r="AN100" i="7"/>
  <c r="AN98" i="7" s="1"/>
  <c r="AM100" i="7"/>
  <c r="AM98" i="7" s="1"/>
  <c r="AL100" i="7"/>
  <c r="AL98" i="7" s="1"/>
  <c r="AK100" i="7"/>
  <c r="AK98" i="7" s="1"/>
  <c r="AJ100" i="7"/>
  <c r="AJ98" i="7" s="1"/>
  <c r="AI100" i="7"/>
  <c r="AI98" i="7" s="1"/>
  <c r="AH100" i="7"/>
  <c r="AH98" i="7" s="1"/>
  <c r="AG100" i="7"/>
  <c r="AG98" i="7" s="1"/>
  <c r="AF100" i="7"/>
  <c r="AF98" i="7" s="1"/>
  <c r="AE100" i="7"/>
  <c r="AE98" i="7" s="1"/>
  <c r="AD100" i="7"/>
  <c r="AD98" i="7" s="1"/>
  <c r="AC100" i="7"/>
  <c r="AC98" i="7" s="1"/>
  <c r="AB100" i="7"/>
  <c r="AB98" i="7" s="1"/>
  <c r="AA100" i="7"/>
  <c r="AA98" i="7" s="1"/>
  <c r="Z100" i="7"/>
  <c r="Z98" i="7" s="1"/>
  <c r="Y100" i="7"/>
  <c r="Y98" i="7" s="1"/>
  <c r="X100" i="7"/>
  <c r="X98" i="7" s="1"/>
  <c r="W100" i="7"/>
  <c r="W98" i="7" s="1"/>
  <c r="V100" i="7"/>
  <c r="V98" i="7" s="1"/>
  <c r="U100" i="7"/>
  <c r="U98" i="7" s="1"/>
  <c r="T100" i="7"/>
  <c r="T98" i="7" s="1"/>
  <c r="S100" i="7"/>
  <c r="S98" i="7" s="1"/>
  <c r="R100" i="7"/>
  <c r="R98" i="7" s="1"/>
  <c r="Q100" i="7"/>
  <c r="Q98" i="7" s="1"/>
  <c r="AQ98" i="7" s="1"/>
  <c r="P100" i="7"/>
  <c r="P98" i="7" s="1"/>
  <c r="O100" i="7"/>
  <c r="O98" i="7" s="1"/>
  <c r="N100" i="7"/>
  <c r="N98" i="7" s="1"/>
  <c r="M100" i="7"/>
  <c r="M98" i="7" s="1"/>
  <c r="L100" i="7"/>
  <c r="L98" i="7" s="1"/>
  <c r="K100" i="7"/>
  <c r="K98" i="7" s="1"/>
  <c r="J100" i="7"/>
  <c r="J98" i="7" s="1"/>
  <c r="I100" i="7"/>
  <c r="I98" i="7" s="1"/>
  <c r="H100" i="7"/>
  <c r="H98" i="7" s="1"/>
  <c r="G100" i="7"/>
  <c r="G98" i="7" s="1"/>
  <c r="F100" i="7"/>
  <c r="F98" i="7" s="1"/>
  <c r="E100" i="7"/>
  <c r="E98" i="7" s="1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AN106" i="7"/>
  <c r="AN104" i="7" s="1"/>
  <c r="AM106" i="7"/>
  <c r="AM104" i="7" s="1"/>
  <c r="AL106" i="7"/>
  <c r="AL104" i="7" s="1"/>
  <c r="AK106" i="7"/>
  <c r="AK104" i="7" s="1"/>
  <c r="AJ106" i="7"/>
  <c r="AJ104" i="7" s="1"/>
  <c r="AI106" i="7"/>
  <c r="AI104" i="7" s="1"/>
  <c r="AH106" i="7"/>
  <c r="AH104" i="7" s="1"/>
  <c r="AG106" i="7"/>
  <c r="AG104" i="7" s="1"/>
  <c r="AF106" i="7"/>
  <c r="AF104" i="7" s="1"/>
  <c r="AE106" i="7"/>
  <c r="AE104" i="7" s="1"/>
  <c r="AD106" i="7"/>
  <c r="AD104" i="7" s="1"/>
  <c r="AC106" i="7"/>
  <c r="AC104" i="7" s="1"/>
  <c r="AB106" i="7"/>
  <c r="AB104" i="7" s="1"/>
  <c r="AA106" i="7"/>
  <c r="AA104" i="7" s="1"/>
  <c r="Z106" i="7"/>
  <c r="Z104" i="7" s="1"/>
  <c r="Y106" i="7"/>
  <c r="Y104" i="7" s="1"/>
  <c r="X106" i="7"/>
  <c r="X104" i="7" s="1"/>
  <c r="W106" i="7"/>
  <c r="W104" i="7" s="1"/>
  <c r="V106" i="7"/>
  <c r="V104" i="7" s="1"/>
  <c r="U106" i="7"/>
  <c r="U104" i="7" s="1"/>
  <c r="T106" i="7"/>
  <c r="T104" i="7" s="1"/>
  <c r="S106" i="7"/>
  <c r="S104" i="7" s="1"/>
  <c r="R106" i="7"/>
  <c r="R104" i="7" s="1"/>
  <c r="Q106" i="7"/>
  <c r="Q104" i="7" s="1"/>
  <c r="AQ104" i="7" s="1"/>
  <c r="P106" i="7"/>
  <c r="P104" i="7" s="1"/>
  <c r="O106" i="7"/>
  <c r="O104" i="7" s="1"/>
  <c r="N106" i="7"/>
  <c r="N104" i="7" s="1"/>
  <c r="M106" i="7"/>
  <c r="M104" i="7" s="1"/>
  <c r="L106" i="7"/>
  <c r="L104" i="7" s="1"/>
  <c r="K106" i="7"/>
  <c r="K104" i="7" s="1"/>
  <c r="J106" i="7"/>
  <c r="J104" i="7" s="1"/>
  <c r="I106" i="7"/>
  <c r="I104" i="7" s="1"/>
  <c r="H106" i="7"/>
  <c r="H104" i="7" s="1"/>
  <c r="G106" i="7"/>
  <c r="G104" i="7" s="1"/>
  <c r="F106" i="7"/>
  <c r="F104" i="7" s="1"/>
  <c r="E106" i="7"/>
  <c r="E104" i="7" s="1"/>
  <c r="AN112" i="7"/>
  <c r="AN110" i="7" s="1"/>
  <c r="AM112" i="7"/>
  <c r="AM110" i="7" s="1"/>
  <c r="AL112" i="7"/>
  <c r="AL110" i="7" s="1"/>
  <c r="AK112" i="7"/>
  <c r="AK110" i="7" s="1"/>
  <c r="AJ112" i="7"/>
  <c r="AJ110" i="7" s="1"/>
  <c r="AI112" i="7"/>
  <c r="AI110" i="7" s="1"/>
  <c r="AH112" i="7"/>
  <c r="AH110" i="7" s="1"/>
  <c r="AG112" i="7"/>
  <c r="AG110" i="7" s="1"/>
  <c r="AF112" i="7"/>
  <c r="AF110" i="7" s="1"/>
  <c r="AE112" i="7"/>
  <c r="AE110" i="7" s="1"/>
  <c r="AD112" i="7"/>
  <c r="AD110" i="7" s="1"/>
  <c r="AC112" i="7"/>
  <c r="AC110" i="7" s="1"/>
  <c r="AR110" i="7" s="1"/>
  <c r="AB112" i="7"/>
  <c r="AB110" i="7" s="1"/>
  <c r="AA112" i="7"/>
  <c r="AA110" i="7" s="1"/>
  <c r="Z112" i="7"/>
  <c r="Z110" i="7" s="1"/>
  <c r="Y112" i="7"/>
  <c r="Y110" i="7" s="1"/>
  <c r="X112" i="7"/>
  <c r="X110" i="7" s="1"/>
  <c r="W112" i="7"/>
  <c r="W110" i="7" s="1"/>
  <c r="V112" i="7"/>
  <c r="V110" i="7" s="1"/>
  <c r="U112" i="7"/>
  <c r="U110" i="7" s="1"/>
  <c r="T112" i="7"/>
  <c r="T110" i="7" s="1"/>
  <c r="S112" i="7"/>
  <c r="S110" i="7" s="1"/>
  <c r="R112" i="7"/>
  <c r="R110" i="7" s="1"/>
  <c r="Q112" i="7"/>
  <c r="Q110" i="7" s="1"/>
  <c r="AQ110" i="7" s="1"/>
  <c r="P112" i="7"/>
  <c r="P110" i="7" s="1"/>
  <c r="O112" i="7"/>
  <c r="O110" i="7" s="1"/>
  <c r="N112" i="7"/>
  <c r="N110" i="7" s="1"/>
  <c r="M112" i="7"/>
  <c r="M110" i="7" s="1"/>
  <c r="L112" i="7"/>
  <c r="L110" i="7" s="1"/>
  <c r="K112" i="7"/>
  <c r="K110" i="7" s="1"/>
  <c r="J112" i="7"/>
  <c r="J110" i="7" s="1"/>
  <c r="I112" i="7"/>
  <c r="I110" i="7" s="1"/>
  <c r="H112" i="7"/>
  <c r="H110" i="7" s="1"/>
  <c r="G112" i="7"/>
  <c r="G110" i="7" s="1"/>
  <c r="F112" i="7"/>
  <c r="F110" i="7" s="1"/>
  <c r="E112" i="7"/>
  <c r="E110" i="7" s="1"/>
  <c r="AP110" i="7" s="1"/>
  <c r="C119" i="1"/>
  <c r="C118" i="1"/>
  <c r="C117" i="1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AN92" i="7"/>
  <c r="AN91" i="7" s="1"/>
  <c r="AM92" i="7"/>
  <c r="AM91" i="7" s="1"/>
  <c r="AL92" i="7"/>
  <c r="AL91" i="7" s="1"/>
  <c r="AK92" i="7"/>
  <c r="AK91" i="7" s="1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E80" i="7"/>
  <c r="S84" i="7"/>
  <c r="H86" i="7"/>
  <c r="H85" i="7" s="1"/>
  <c r="S47" i="7"/>
  <c r="H49" i="7"/>
  <c r="I45" i="7" s="1"/>
  <c r="E81" i="7"/>
  <c r="E79" i="7"/>
  <c r="C116" i="1"/>
  <c r="AC54" i="7"/>
  <c r="AC53" i="7" s="1"/>
  <c r="AD53" i="7" s="1"/>
  <c r="AE53" i="7" s="1"/>
  <c r="AF53" i="7" s="1"/>
  <c r="AG53" i="7" s="1"/>
  <c r="AH53" i="7" s="1"/>
  <c r="AI53" i="7" s="1"/>
  <c r="AJ53" i="7" s="1"/>
  <c r="AK53" i="7" s="1"/>
  <c r="AL53" i="7" s="1"/>
  <c r="AM53" i="7" s="1"/>
  <c r="AN53" i="7" s="1"/>
  <c r="E44" i="7"/>
  <c r="E43" i="7"/>
  <c r="E42" i="7"/>
  <c r="AN115" i="7"/>
  <c r="AN113" i="7" s="1"/>
  <c r="AM115" i="7"/>
  <c r="AM113" i="7" s="1"/>
  <c r="AL115" i="7"/>
  <c r="AL113" i="7" s="1"/>
  <c r="AK115" i="7"/>
  <c r="AK113" i="7" s="1"/>
  <c r="AJ115" i="7"/>
  <c r="AJ113" i="7" s="1"/>
  <c r="AI115" i="7"/>
  <c r="AI113" i="7" s="1"/>
  <c r="AH115" i="7"/>
  <c r="AH113" i="7" s="1"/>
  <c r="AG115" i="7"/>
  <c r="AG113" i="7" s="1"/>
  <c r="AF115" i="7"/>
  <c r="AF113" i="7" s="1"/>
  <c r="AE115" i="7"/>
  <c r="AE113" i="7" s="1"/>
  <c r="AD115" i="7"/>
  <c r="AD113" i="7" s="1"/>
  <c r="AC115" i="7"/>
  <c r="AC113" i="7" s="1"/>
  <c r="AR113" i="7" s="1"/>
  <c r="AB115" i="7"/>
  <c r="AB113" i="7" s="1"/>
  <c r="AA115" i="7"/>
  <c r="AA113" i="7" s="1"/>
  <c r="Z115" i="7"/>
  <c r="Z113" i="7" s="1"/>
  <c r="Y115" i="7"/>
  <c r="Y113" i="7" s="1"/>
  <c r="X115" i="7"/>
  <c r="X113" i="7" s="1"/>
  <c r="W115" i="7"/>
  <c r="W113" i="7" s="1"/>
  <c r="V115" i="7"/>
  <c r="V113" i="7" s="1"/>
  <c r="U115" i="7"/>
  <c r="U113" i="7" s="1"/>
  <c r="T115" i="7"/>
  <c r="T113" i="7" s="1"/>
  <c r="S115" i="7"/>
  <c r="S113" i="7" s="1"/>
  <c r="R115" i="7"/>
  <c r="R113" i="7" s="1"/>
  <c r="Q115" i="7"/>
  <c r="Q113" i="7" s="1"/>
  <c r="AQ113" i="7" s="1"/>
  <c r="P115" i="7"/>
  <c r="P113" i="7" s="1"/>
  <c r="O115" i="7"/>
  <c r="O113" i="7" s="1"/>
  <c r="N115" i="7"/>
  <c r="N113" i="7" s="1"/>
  <c r="M115" i="7"/>
  <c r="M113" i="7" s="1"/>
  <c r="L115" i="7"/>
  <c r="L113" i="7" s="1"/>
  <c r="K115" i="7"/>
  <c r="K113" i="7" s="1"/>
  <c r="J115" i="7"/>
  <c r="J113" i="7" s="1"/>
  <c r="I115" i="7"/>
  <c r="I113" i="7" s="1"/>
  <c r="H115" i="7"/>
  <c r="H113" i="7" s="1"/>
  <c r="G115" i="7"/>
  <c r="G113" i="7" s="1"/>
  <c r="F115" i="7"/>
  <c r="F113" i="7" s="1"/>
  <c r="E115" i="7"/>
  <c r="E113" i="7" s="1"/>
  <c r="AP113" i="7" s="1"/>
  <c r="F103" i="7"/>
  <c r="F102" i="7" s="1"/>
  <c r="AN97" i="7"/>
  <c r="AN95" i="7" s="1"/>
  <c r="AM97" i="7"/>
  <c r="AM95" i="7" s="1"/>
  <c r="AL97" i="7"/>
  <c r="AL95" i="7" s="1"/>
  <c r="AK97" i="7"/>
  <c r="AK95" i="7" s="1"/>
  <c r="AJ97" i="7"/>
  <c r="AJ95" i="7" s="1"/>
  <c r="AI97" i="7"/>
  <c r="AI95" i="7" s="1"/>
  <c r="AH97" i="7"/>
  <c r="AH95" i="7" s="1"/>
  <c r="AG97" i="7"/>
  <c r="AG95" i="7" s="1"/>
  <c r="AF97" i="7"/>
  <c r="AF95" i="7" s="1"/>
  <c r="AE97" i="7"/>
  <c r="AE95" i="7" s="1"/>
  <c r="AD97" i="7"/>
  <c r="AD95" i="7" s="1"/>
  <c r="AC97" i="7"/>
  <c r="AC95" i="7" s="1"/>
  <c r="AR95" i="7" s="1"/>
  <c r="AB97" i="7"/>
  <c r="AB95" i="7" s="1"/>
  <c r="AA97" i="7"/>
  <c r="AA95" i="7" s="1"/>
  <c r="Z97" i="7"/>
  <c r="Z95" i="7" s="1"/>
  <c r="Y97" i="7"/>
  <c r="Y95" i="7" s="1"/>
  <c r="X97" i="7"/>
  <c r="X95" i="7" s="1"/>
  <c r="W97" i="7"/>
  <c r="W95" i="7" s="1"/>
  <c r="V97" i="7"/>
  <c r="V95" i="7" s="1"/>
  <c r="U97" i="7"/>
  <c r="U95" i="7" s="1"/>
  <c r="T97" i="7"/>
  <c r="T95" i="7" s="1"/>
  <c r="S97" i="7"/>
  <c r="S95" i="7" s="1"/>
  <c r="R97" i="7"/>
  <c r="R95" i="7" s="1"/>
  <c r="Q97" i="7"/>
  <c r="Q95" i="7" s="1"/>
  <c r="AQ95" i="7" s="1"/>
  <c r="P97" i="7"/>
  <c r="P95" i="7" s="1"/>
  <c r="O97" i="7"/>
  <c r="O95" i="7" s="1"/>
  <c r="N97" i="7"/>
  <c r="N95" i="7" s="1"/>
  <c r="M97" i="7"/>
  <c r="M95" i="7" s="1"/>
  <c r="L97" i="7"/>
  <c r="L95" i="7" s="1"/>
  <c r="K97" i="7"/>
  <c r="K95" i="7" s="1"/>
  <c r="J97" i="7"/>
  <c r="J95" i="7" s="1"/>
  <c r="I97" i="7"/>
  <c r="I95" i="7" s="1"/>
  <c r="H97" i="7"/>
  <c r="H95" i="7" s="1"/>
  <c r="G97" i="7"/>
  <c r="G95" i="7" s="1"/>
  <c r="F97" i="7"/>
  <c r="F95" i="7" s="1"/>
  <c r="E97" i="7"/>
  <c r="E95" i="7" s="1"/>
  <c r="F71" i="7"/>
  <c r="F69" i="7" s="1"/>
  <c r="G71" i="7"/>
  <c r="G69" i="7" s="1"/>
  <c r="H71" i="7"/>
  <c r="H69" i="7" s="1"/>
  <c r="I71" i="7"/>
  <c r="I69" i="7" s="1"/>
  <c r="J71" i="7"/>
  <c r="J69" i="7" s="1"/>
  <c r="K71" i="7"/>
  <c r="K69" i="7" s="1"/>
  <c r="L71" i="7"/>
  <c r="L69" i="7" s="1"/>
  <c r="M71" i="7"/>
  <c r="M69" i="7" s="1"/>
  <c r="N71" i="7"/>
  <c r="N69" i="7" s="1"/>
  <c r="O71" i="7"/>
  <c r="O69" i="7" s="1"/>
  <c r="P71" i="7"/>
  <c r="P69" i="7" s="1"/>
  <c r="Q71" i="7"/>
  <c r="Q69" i="7" s="1"/>
  <c r="R71" i="7"/>
  <c r="R69" i="7" s="1"/>
  <c r="S71" i="7"/>
  <c r="S69" i="7" s="1"/>
  <c r="T71" i="7"/>
  <c r="T69" i="7" s="1"/>
  <c r="U71" i="7"/>
  <c r="U69" i="7" s="1"/>
  <c r="V71" i="7"/>
  <c r="V69" i="7" s="1"/>
  <c r="W71" i="7"/>
  <c r="W69" i="7" s="1"/>
  <c r="X71" i="7"/>
  <c r="X69" i="7" s="1"/>
  <c r="Y71" i="7"/>
  <c r="Y69" i="7" s="1"/>
  <c r="Z71" i="7"/>
  <c r="Z69" i="7" s="1"/>
  <c r="AA71" i="7"/>
  <c r="AA69" i="7" s="1"/>
  <c r="AB71" i="7"/>
  <c r="AB69" i="7" s="1"/>
  <c r="AC71" i="7"/>
  <c r="AC69" i="7" s="1"/>
  <c r="AD71" i="7"/>
  <c r="AD69" i="7" s="1"/>
  <c r="AE71" i="7"/>
  <c r="AE69" i="7" s="1"/>
  <c r="AF71" i="7"/>
  <c r="AF69" i="7" s="1"/>
  <c r="AG71" i="7"/>
  <c r="AG69" i="7" s="1"/>
  <c r="AH71" i="7"/>
  <c r="AH69" i="7" s="1"/>
  <c r="AI71" i="7"/>
  <c r="AI69" i="7" s="1"/>
  <c r="AJ71" i="7"/>
  <c r="AJ69" i="7" s="1"/>
  <c r="AK71" i="7"/>
  <c r="AK69" i="7" s="1"/>
  <c r="AL71" i="7"/>
  <c r="AL69" i="7" s="1"/>
  <c r="AM71" i="7"/>
  <c r="AM69" i="7" s="1"/>
  <c r="AN71" i="7"/>
  <c r="AN69" i="7" s="1"/>
  <c r="E71" i="7"/>
  <c r="E69" i="7" s="1"/>
  <c r="L74" i="7"/>
  <c r="E66" i="7"/>
  <c r="E65" i="7" s="1"/>
  <c r="F68" i="7"/>
  <c r="E58" i="7"/>
  <c r="G56" i="7"/>
  <c r="G55" i="7" s="1"/>
  <c r="AP55" i="7" s="1"/>
  <c r="AQ69" i="6"/>
  <c r="AP69" i="6"/>
  <c r="AO69" i="6"/>
  <c r="AQ149" i="6"/>
  <c r="AP149" i="6"/>
  <c r="AO149" i="6"/>
  <c r="AQ124" i="6"/>
  <c r="AP124" i="6"/>
  <c r="AO124" i="6"/>
  <c r="AQ122" i="6"/>
  <c r="AP122" i="6"/>
  <c r="AO122" i="6"/>
  <c r="AQ112" i="6"/>
  <c r="AP112" i="6"/>
  <c r="AO112" i="6"/>
  <c r="AQ110" i="6"/>
  <c r="AP110" i="6"/>
  <c r="AO110" i="6"/>
  <c r="AQ101" i="6"/>
  <c r="AP101" i="6"/>
  <c r="AO101" i="6"/>
  <c r="AQ99" i="6"/>
  <c r="AP99" i="6"/>
  <c r="AO99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D146" i="6"/>
  <c r="D148" i="6" s="1"/>
  <c r="AQ147" i="6"/>
  <c r="AP147" i="6"/>
  <c r="AO147" i="6"/>
  <c r="E132" i="6"/>
  <c r="E134" i="6" s="1"/>
  <c r="F132" i="6"/>
  <c r="F134" i="6" s="1"/>
  <c r="G132" i="6"/>
  <c r="G134" i="6" s="1"/>
  <c r="H132" i="6"/>
  <c r="H134" i="6" s="1"/>
  <c r="I132" i="6"/>
  <c r="I134" i="6" s="1"/>
  <c r="J132" i="6"/>
  <c r="J134" i="6" s="1"/>
  <c r="K132" i="6"/>
  <c r="K134" i="6" s="1"/>
  <c r="L132" i="6"/>
  <c r="L134" i="6" s="1"/>
  <c r="M132" i="6"/>
  <c r="M134" i="6" s="1"/>
  <c r="N132" i="6"/>
  <c r="N134" i="6" s="1"/>
  <c r="O132" i="6"/>
  <c r="O134" i="6" s="1"/>
  <c r="P132" i="6"/>
  <c r="P134" i="6" s="1"/>
  <c r="Q132" i="6"/>
  <c r="Q134" i="6" s="1"/>
  <c r="R132" i="6"/>
  <c r="R134" i="6" s="1"/>
  <c r="S132" i="6"/>
  <c r="S134" i="6" s="1"/>
  <c r="T132" i="6"/>
  <c r="T134" i="6" s="1"/>
  <c r="U132" i="6"/>
  <c r="U134" i="6" s="1"/>
  <c r="V132" i="6"/>
  <c r="V134" i="6" s="1"/>
  <c r="W132" i="6"/>
  <c r="W134" i="6" s="1"/>
  <c r="X132" i="6"/>
  <c r="X134" i="6" s="1"/>
  <c r="Y132" i="6"/>
  <c r="Y134" i="6" s="1"/>
  <c r="Z132" i="6"/>
  <c r="Z134" i="6" s="1"/>
  <c r="AA132" i="6"/>
  <c r="AA134" i="6" s="1"/>
  <c r="AB132" i="6"/>
  <c r="AB134" i="6" s="1"/>
  <c r="AC132" i="6"/>
  <c r="AC134" i="6" s="1"/>
  <c r="AD132" i="6"/>
  <c r="AD134" i="6" s="1"/>
  <c r="AE132" i="6"/>
  <c r="AE134" i="6" s="1"/>
  <c r="AF132" i="6"/>
  <c r="AF134" i="6" s="1"/>
  <c r="AG132" i="6"/>
  <c r="AG134" i="6" s="1"/>
  <c r="AH132" i="6"/>
  <c r="AH134" i="6" s="1"/>
  <c r="AI132" i="6"/>
  <c r="AI134" i="6" s="1"/>
  <c r="AJ132" i="6"/>
  <c r="AJ134" i="6" s="1"/>
  <c r="AK132" i="6"/>
  <c r="AK134" i="6" s="1"/>
  <c r="AL132" i="6"/>
  <c r="AL134" i="6" s="1"/>
  <c r="AM132" i="6"/>
  <c r="AM134" i="6" s="1"/>
  <c r="D132" i="6"/>
  <c r="D134" i="6" s="1"/>
  <c r="AQ139" i="6"/>
  <c r="AP139" i="6"/>
  <c r="AO139" i="6"/>
  <c r="AQ137" i="6"/>
  <c r="AP137" i="6"/>
  <c r="AO137" i="6"/>
  <c r="AQ135" i="6"/>
  <c r="AP135" i="6"/>
  <c r="AO135" i="6"/>
  <c r="AQ126" i="6"/>
  <c r="AP126" i="6"/>
  <c r="AO126" i="6"/>
  <c r="E119" i="6"/>
  <c r="F119" i="6"/>
  <c r="G119" i="6"/>
  <c r="H119" i="6"/>
  <c r="I119" i="6"/>
  <c r="J119" i="6"/>
  <c r="K119" i="6"/>
  <c r="L119" i="6"/>
  <c r="M119" i="6"/>
  <c r="N119" i="6"/>
  <c r="O119" i="6"/>
  <c r="O125" i="6" s="1"/>
  <c r="P119" i="6"/>
  <c r="Q119" i="6"/>
  <c r="R119" i="6"/>
  <c r="S119" i="6"/>
  <c r="T119" i="6"/>
  <c r="U119" i="6"/>
  <c r="V119" i="6"/>
  <c r="W119" i="6"/>
  <c r="X119" i="6"/>
  <c r="X125" i="6" s="1"/>
  <c r="Y119" i="6"/>
  <c r="Y125" i="6" s="1"/>
  <c r="Z119" i="6"/>
  <c r="Z125" i="6" s="1"/>
  <c r="AA119" i="6"/>
  <c r="AA125" i="6" s="1"/>
  <c r="AB119" i="6"/>
  <c r="AB125" i="6" s="1"/>
  <c r="AC119" i="6"/>
  <c r="AC125" i="6" s="1"/>
  <c r="AD119" i="6"/>
  <c r="AD125" i="6" s="1"/>
  <c r="AE119" i="6"/>
  <c r="AE125" i="6" s="1"/>
  <c r="AF119" i="6"/>
  <c r="AF125" i="6" s="1"/>
  <c r="AG119" i="6"/>
  <c r="AG125" i="6" s="1"/>
  <c r="AH119" i="6"/>
  <c r="AH125" i="6" s="1"/>
  <c r="AI119" i="6"/>
  <c r="AI125" i="6" s="1"/>
  <c r="AJ119" i="6"/>
  <c r="AJ125" i="6" s="1"/>
  <c r="AK119" i="6"/>
  <c r="AK125" i="6" s="1"/>
  <c r="AL119" i="6"/>
  <c r="AL125" i="6" s="1"/>
  <c r="AM119" i="6"/>
  <c r="AM125" i="6" s="1"/>
  <c r="D119" i="6"/>
  <c r="D125" i="6" s="1"/>
  <c r="AP128" i="6"/>
  <c r="AQ120" i="6"/>
  <c r="AP120" i="6"/>
  <c r="AO120" i="6"/>
  <c r="AL121" i="6"/>
  <c r="AL127" i="6" s="1"/>
  <c r="AK121" i="6"/>
  <c r="AK127" i="6" s="1"/>
  <c r="AI121" i="6"/>
  <c r="AI127" i="6" s="1"/>
  <c r="AH121" i="6"/>
  <c r="AH127" i="6" s="1"/>
  <c r="AG121" i="6"/>
  <c r="AG127" i="6" s="1"/>
  <c r="AF121" i="6"/>
  <c r="AF127" i="6" s="1"/>
  <c r="AE121" i="6"/>
  <c r="AE127" i="6" s="1"/>
  <c r="AD121" i="6"/>
  <c r="AD127" i="6" s="1"/>
  <c r="AC121" i="6"/>
  <c r="AC127" i="6" s="1"/>
  <c r="AB121" i="6"/>
  <c r="AB127" i="6" s="1"/>
  <c r="Z121" i="6"/>
  <c r="Z127" i="6" s="1"/>
  <c r="Y121" i="6"/>
  <c r="Y127" i="6" s="1"/>
  <c r="X121" i="6"/>
  <c r="X127" i="6" s="1"/>
  <c r="P23" i="4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K23" i="4"/>
  <c r="L23" i="4" s="1"/>
  <c r="M23" i="4" s="1"/>
  <c r="N23" i="4" s="1"/>
  <c r="E23" i="4"/>
  <c r="F23" i="4" s="1"/>
  <c r="G23" i="4" s="1"/>
  <c r="H23" i="4" s="1"/>
  <c r="I23" i="4" s="1"/>
  <c r="P21" i="4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K21" i="4"/>
  <c r="L21" i="4" s="1"/>
  <c r="M21" i="4" s="1"/>
  <c r="N21" i="4" s="1"/>
  <c r="E21" i="4"/>
  <c r="F21" i="4" s="1"/>
  <c r="G21" i="4" s="1"/>
  <c r="H21" i="4" s="1"/>
  <c r="I21" i="4" s="1"/>
  <c r="AN36" i="1"/>
  <c r="AO36" i="1"/>
  <c r="AP36" i="1"/>
  <c r="AN44" i="1"/>
  <c r="AO44" i="1"/>
  <c r="AP44" i="1"/>
  <c r="AN56" i="1"/>
  <c r="AO56" i="1"/>
  <c r="AP56" i="1"/>
  <c r="AN72" i="1"/>
  <c r="AO72" i="1"/>
  <c r="AP72" i="1"/>
  <c r="AN82" i="1"/>
  <c r="AO82" i="1"/>
  <c r="AP82" i="1"/>
  <c r="AN84" i="1"/>
  <c r="AO84" i="1"/>
  <c r="AP84" i="1"/>
  <c r="AN105" i="1"/>
  <c r="AO105" i="1"/>
  <c r="AP105" i="1"/>
  <c r="AN113" i="1"/>
  <c r="AO113" i="1"/>
  <c r="AP113" i="1"/>
  <c r="AN127" i="1"/>
  <c r="AO127" i="1"/>
  <c r="AP127" i="1"/>
  <c r="J13" i="3"/>
  <c r="O13" i="3"/>
  <c r="J15" i="3"/>
  <c r="J17" i="3" s="1"/>
  <c r="J30" i="3" s="1"/>
  <c r="I63" i="1" s="1"/>
  <c r="O15" i="3"/>
  <c r="O17" i="3" s="1"/>
  <c r="O30" i="3" s="1"/>
  <c r="N63" i="1" s="1"/>
  <c r="J37" i="3"/>
  <c r="O37" i="3"/>
  <c r="J39" i="3"/>
  <c r="O39" i="3"/>
  <c r="J41" i="3"/>
  <c r="O41" i="3"/>
  <c r="J59" i="3"/>
  <c r="O59" i="3"/>
  <c r="J61" i="3"/>
  <c r="O61" i="3"/>
  <c r="O63" i="3" s="1"/>
  <c r="O74" i="3" s="1"/>
  <c r="N65" i="1" s="1"/>
  <c r="J63" i="3"/>
  <c r="J74" i="3" s="1"/>
  <c r="I65" i="1" s="1"/>
  <c r="J81" i="3"/>
  <c r="J83" i="3" s="1"/>
  <c r="J85" i="3" s="1"/>
  <c r="J100" i="3" s="1"/>
  <c r="I66" i="1" s="1"/>
  <c r="K81" i="3"/>
  <c r="K83" i="3" s="1"/>
  <c r="K85" i="3" s="1"/>
  <c r="K100" i="3" s="1"/>
  <c r="J66" i="1" s="1"/>
  <c r="O81" i="3"/>
  <c r="O83" i="3" s="1"/>
  <c r="O85" i="3" s="1"/>
  <c r="O100" i="3" s="1"/>
  <c r="N66" i="1" s="1"/>
  <c r="P81" i="3"/>
  <c r="P83" i="3" s="1"/>
  <c r="P85" i="3" s="1"/>
  <c r="P100" i="3" s="1"/>
  <c r="O66" i="1" s="1"/>
  <c r="J107" i="3"/>
  <c r="K107" i="3"/>
  <c r="O107" i="3"/>
  <c r="P107" i="3"/>
  <c r="J109" i="3"/>
  <c r="K109" i="3"/>
  <c r="K111" i="3" s="1"/>
  <c r="O109" i="3"/>
  <c r="P109" i="3"/>
  <c r="J111" i="3"/>
  <c r="O111" i="3"/>
  <c r="P111" i="3"/>
  <c r="P115" i="3"/>
  <c r="O34" i="1" s="1"/>
  <c r="J116" i="3"/>
  <c r="O116" i="3"/>
  <c r="P116" i="3"/>
  <c r="AQ112" i="3"/>
  <c r="AP112" i="3"/>
  <c r="AO112" i="3"/>
  <c r="D123" i="3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E34" i="7"/>
  <c r="E11" i="4"/>
  <c r="E37" i="7"/>
  <c r="E36" i="7"/>
  <c r="E35" i="7" s="1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E24" i="7"/>
  <c r="E23" i="7"/>
  <c r="E22" i="7"/>
  <c r="E21" i="7" s="1"/>
  <c r="AQ82" i="6"/>
  <c r="AP82" i="6"/>
  <c r="AO82" i="6"/>
  <c r="AP46" i="7"/>
  <c r="AQ48" i="7"/>
  <c r="AR48" i="7"/>
  <c r="AP53" i="7"/>
  <c r="AQ55" i="7"/>
  <c r="AR55" i="7"/>
  <c r="AQ57" i="7"/>
  <c r="AR57" i="7"/>
  <c r="AQ65" i="7"/>
  <c r="AR65" i="7"/>
  <c r="AQ67" i="7"/>
  <c r="AR67" i="7"/>
  <c r="AQ73" i="7"/>
  <c r="AR73" i="7"/>
  <c r="AP83" i="7"/>
  <c r="AQ85" i="7"/>
  <c r="AR85" i="7"/>
  <c r="AQ102" i="7"/>
  <c r="AR102" i="7"/>
  <c r="F4" i="7"/>
  <c r="G4" i="7" s="1"/>
  <c r="H4" i="7" s="1"/>
  <c r="I4" i="7" s="1"/>
  <c r="J4" i="7" s="1"/>
  <c r="K4" i="7" s="1"/>
  <c r="L4" i="7" s="1"/>
  <c r="M4" i="7" s="1"/>
  <c r="N4" i="7" s="1"/>
  <c r="O4" i="7" s="1"/>
  <c r="P4" i="7" s="1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D89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D86" i="6"/>
  <c r="F77" i="6"/>
  <c r="F79" i="6" s="1"/>
  <c r="G90" i="7" s="1"/>
  <c r="G77" i="6"/>
  <c r="G79" i="6" s="1"/>
  <c r="H90" i="7" s="1"/>
  <c r="H77" i="6"/>
  <c r="H79" i="6" s="1"/>
  <c r="I90" i="7" s="1"/>
  <c r="I77" i="6"/>
  <c r="I79" i="6" s="1"/>
  <c r="J90" i="7" s="1"/>
  <c r="J77" i="6"/>
  <c r="J79" i="6" s="1"/>
  <c r="K90" i="7" s="1"/>
  <c r="K77" i="6"/>
  <c r="L77" i="6"/>
  <c r="L79" i="6" s="1"/>
  <c r="M90" i="7" s="1"/>
  <c r="M77" i="6"/>
  <c r="M79" i="6" s="1"/>
  <c r="N90" i="7" s="1"/>
  <c r="N77" i="6"/>
  <c r="N79" i="6" s="1"/>
  <c r="O90" i="7" s="1"/>
  <c r="O77" i="6"/>
  <c r="D77" i="6"/>
  <c r="D79" i="6" s="1"/>
  <c r="E90" i="7" s="1"/>
  <c r="AQ84" i="6"/>
  <c r="AP84" i="6"/>
  <c r="AO84" i="6"/>
  <c r="AQ80" i="6"/>
  <c r="AP80" i="6"/>
  <c r="AO80" i="6"/>
  <c r="K79" i="6"/>
  <c r="L90" i="7" s="1"/>
  <c r="AQ78" i="6"/>
  <c r="AP78" i="6"/>
  <c r="AO78" i="6"/>
  <c r="J155" i="6"/>
  <c r="J157" i="6" s="1"/>
  <c r="J159" i="6" s="1"/>
  <c r="J161" i="6" s="1"/>
  <c r="I55" i="1" s="1"/>
  <c r="O155" i="6"/>
  <c r="O157" i="6" s="1"/>
  <c r="O159" i="6" s="1"/>
  <c r="O161" i="6" s="1"/>
  <c r="N55" i="1" s="1"/>
  <c r="D155" i="6"/>
  <c r="D157" i="6" s="1"/>
  <c r="D159" i="6" s="1"/>
  <c r="D161" i="6" s="1"/>
  <c r="C55" i="1" s="1"/>
  <c r="AQ156" i="6"/>
  <c r="AP156" i="6"/>
  <c r="AO156" i="6"/>
  <c r="AO108" i="6"/>
  <c r="E107" i="6"/>
  <c r="E109" i="6" s="1"/>
  <c r="E113" i="6" s="1"/>
  <c r="D78" i="1" s="1"/>
  <c r="G107" i="6"/>
  <c r="G109" i="6" s="1"/>
  <c r="G113" i="6" s="1"/>
  <c r="F78" i="1" s="1"/>
  <c r="I107" i="6"/>
  <c r="I109" i="6" s="1"/>
  <c r="I113" i="6" s="1"/>
  <c r="H78" i="1" s="1"/>
  <c r="J107" i="6"/>
  <c r="J109" i="6" s="1"/>
  <c r="J113" i="6" s="1"/>
  <c r="I78" i="1" s="1"/>
  <c r="K107" i="6"/>
  <c r="K109" i="6" s="1"/>
  <c r="K113" i="6" s="1"/>
  <c r="J78" i="1" s="1"/>
  <c r="L107" i="6"/>
  <c r="L109" i="6" s="1"/>
  <c r="L113" i="6" s="1"/>
  <c r="K78" i="1" s="1"/>
  <c r="M107" i="6"/>
  <c r="M109" i="6" s="1"/>
  <c r="M113" i="6" s="1"/>
  <c r="L78" i="1" s="1"/>
  <c r="N107" i="6"/>
  <c r="N109" i="6" s="1"/>
  <c r="N113" i="6" s="1"/>
  <c r="M78" i="1" s="1"/>
  <c r="O107" i="6"/>
  <c r="O109" i="6" s="1"/>
  <c r="O113" i="6" s="1"/>
  <c r="N78" i="1" s="1"/>
  <c r="D107" i="6"/>
  <c r="D109" i="6" s="1"/>
  <c r="AQ108" i="6"/>
  <c r="AP108" i="6"/>
  <c r="E96" i="6"/>
  <c r="E98" i="6" s="1"/>
  <c r="E100" i="6" s="1"/>
  <c r="F96" i="6"/>
  <c r="F98" i="6" s="1"/>
  <c r="F100" i="6" s="1"/>
  <c r="G96" i="6"/>
  <c r="G98" i="6" s="1"/>
  <c r="G100" i="6" s="1"/>
  <c r="H96" i="6"/>
  <c r="H98" i="6" s="1"/>
  <c r="H100" i="6" s="1"/>
  <c r="I96" i="6"/>
  <c r="I98" i="6" s="1"/>
  <c r="I100" i="6" s="1"/>
  <c r="J96" i="6"/>
  <c r="J98" i="6" s="1"/>
  <c r="J100" i="6" s="1"/>
  <c r="K96" i="6"/>
  <c r="K98" i="6" s="1"/>
  <c r="K100" i="6" s="1"/>
  <c r="L96" i="6"/>
  <c r="L98" i="6" s="1"/>
  <c r="L100" i="6" s="1"/>
  <c r="M96" i="6"/>
  <c r="M98" i="6" s="1"/>
  <c r="M100" i="6" s="1"/>
  <c r="N96" i="6"/>
  <c r="N98" i="6" s="1"/>
  <c r="N100" i="6" s="1"/>
  <c r="O96" i="6"/>
  <c r="D96" i="6"/>
  <c r="D98" i="6" s="1"/>
  <c r="D100" i="6" s="1"/>
  <c r="C38" i="1" s="1"/>
  <c r="AQ97" i="6"/>
  <c r="AP97" i="6"/>
  <c r="AO97" i="6"/>
  <c r="E62" i="6"/>
  <c r="E64" i="6" s="1"/>
  <c r="F62" i="6"/>
  <c r="F64" i="6" s="1"/>
  <c r="G62" i="6"/>
  <c r="G64" i="6" s="1"/>
  <c r="H62" i="6"/>
  <c r="H64" i="6" s="1"/>
  <c r="I62" i="6"/>
  <c r="I64" i="6" s="1"/>
  <c r="J62" i="6"/>
  <c r="J64" i="6" s="1"/>
  <c r="K62" i="6"/>
  <c r="K64" i="6" s="1"/>
  <c r="L62" i="6"/>
  <c r="L64" i="6" s="1"/>
  <c r="M62" i="6"/>
  <c r="M64" i="6" s="1"/>
  <c r="N62" i="6"/>
  <c r="N64" i="6" s="1"/>
  <c r="O62" i="6"/>
  <c r="D62" i="6"/>
  <c r="D64" i="6" s="1"/>
  <c r="E77" i="7" s="1"/>
  <c r="P17" i="4"/>
  <c r="AQ67" i="6"/>
  <c r="AP67" i="6"/>
  <c r="AO67" i="6"/>
  <c r="AQ65" i="6"/>
  <c r="AP65" i="6"/>
  <c r="AO65" i="6"/>
  <c r="AQ63" i="6"/>
  <c r="AP63" i="6"/>
  <c r="AO63" i="6"/>
  <c r="AQ53" i="6"/>
  <c r="AP53" i="6"/>
  <c r="AO53" i="6"/>
  <c r="AQ51" i="6"/>
  <c r="AP51" i="6"/>
  <c r="AO51" i="6"/>
  <c r="AQ49" i="6"/>
  <c r="AP49" i="6"/>
  <c r="AO49" i="6"/>
  <c r="O48" i="6"/>
  <c r="N48" i="6"/>
  <c r="N50" i="6" s="1"/>
  <c r="M48" i="6"/>
  <c r="M50" i="6" s="1"/>
  <c r="L48" i="6"/>
  <c r="L50" i="6" s="1"/>
  <c r="K48" i="6"/>
  <c r="K50" i="6" s="1"/>
  <c r="J48" i="6"/>
  <c r="J50" i="6" s="1"/>
  <c r="I48" i="6"/>
  <c r="I50" i="6" s="1"/>
  <c r="H48" i="6"/>
  <c r="H50" i="6" s="1"/>
  <c r="G48" i="6"/>
  <c r="G50" i="6" s="1"/>
  <c r="F48" i="6"/>
  <c r="F50" i="6" s="1"/>
  <c r="E48" i="6"/>
  <c r="E50" i="6" s="1"/>
  <c r="D48" i="6"/>
  <c r="D50" i="6" s="1"/>
  <c r="AO16" i="4"/>
  <c r="P16" i="4"/>
  <c r="AQ41" i="6"/>
  <c r="AP41" i="6"/>
  <c r="AO41" i="6"/>
  <c r="AQ39" i="6"/>
  <c r="AP39" i="6"/>
  <c r="AO39" i="6"/>
  <c r="AQ37" i="6"/>
  <c r="AP37" i="6"/>
  <c r="AO37" i="6"/>
  <c r="AO34" i="6"/>
  <c r="AP34" i="6"/>
  <c r="AQ34" i="6"/>
  <c r="AO35" i="6"/>
  <c r="AP35" i="6"/>
  <c r="AQ35" i="6"/>
  <c r="AQ33" i="6"/>
  <c r="AP33" i="6"/>
  <c r="AO33" i="6"/>
  <c r="AQ29" i="6"/>
  <c r="AP29" i="6"/>
  <c r="AO29" i="6"/>
  <c r="AO25" i="6"/>
  <c r="AP25" i="6"/>
  <c r="AQ25" i="6"/>
  <c r="AQ27" i="6"/>
  <c r="AP27" i="6"/>
  <c r="AO27" i="6"/>
  <c r="E21" i="6"/>
  <c r="E26" i="6" s="1"/>
  <c r="D26" i="2" s="1"/>
  <c r="D25" i="2" s="1"/>
  <c r="F21" i="6"/>
  <c r="F26" i="6" s="1"/>
  <c r="E26" i="2" s="1"/>
  <c r="E25" i="2" s="1"/>
  <c r="G21" i="6"/>
  <c r="G26" i="6" s="1"/>
  <c r="F26" i="2" s="1"/>
  <c r="F25" i="2" s="1"/>
  <c r="H21" i="6"/>
  <c r="H26" i="6" s="1"/>
  <c r="G26" i="2" s="1"/>
  <c r="G25" i="2" s="1"/>
  <c r="I21" i="6"/>
  <c r="I26" i="6" s="1"/>
  <c r="H26" i="2" s="1"/>
  <c r="H25" i="2" s="1"/>
  <c r="J21" i="6"/>
  <c r="J26" i="6" s="1"/>
  <c r="I26" i="2" s="1"/>
  <c r="I25" i="2" s="1"/>
  <c r="K21" i="6"/>
  <c r="K26" i="6" s="1"/>
  <c r="J26" i="2" s="1"/>
  <c r="J25" i="2" s="1"/>
  <c r="L21" i="6"/>
  <c r="L26" i="6" s="1"/>
  <c r="K26" i="2" s="1"/>
  <c r="K25" i="2" s="1"/>
  <c r="M21" i="6"/>
  <c r="M26" i="6" s="1"/>
  <c r="L26" i="2" s="1"/>
  <c r="L25" i="2" s="1"/>
  <c r="N21" i="6"/>
  <c r="N26" i="6" s="1"/>
  <c r="M26" i="2" s="1"/>
  <c r="M25" i="2" s="1"/>
  <c r="O21" i="6"/>
  <c r="O26" i="6" s="1"/>
  <c r="P21" i="6"/>
  <c r="P26" i="6" s="1"/>
  <c r="O26" i="2" s="1"/>
  <c r="O25" i="2" s="1"/>
  <c r="Q21" i="6"/>
  <c r="Q26" i="6" s="1"/>
  <c r="P26" i="2" s="1"/>
  <c r="P25" i="2" s="1"/>
  <c r="R21" i="6"/>
  <c r="R26" i="6" s="1"/>
  <c r="Q26" i="2" s="1"/>
  <c r="Q25" i="2" s="1"/>
  <c r="S21" i="6"/>
  <c r="S26" i="6" s="1"/>
  <c r="R26" i="2" s="1"/>
  <c r="R25" i="2" s="1"/>
  <c r="T21" i="6"/>
  <c r="T26" i="6" s="1"/>
  <c r="S26" i="2" s="1"/>
  <c r="S25" i="2" s="1"/>
  <c r="U21" i="6"/>
  <c r="U26" i="6" s="1"/>
  <c r="T26" i="2" s="1"/>
  <c r="T25" i="2" s="1"/>
  <c r="V21" i="6"/>
  <c r="V26" i="6" s="1"/>
  <c r="U26" i="2" s="1"/>
  <c r="U25" i="2" s="1"/>
  <c r="W21" i="6"/>
  <c r="W26" i="6" s="1"/>
  <c r="V26" i="2" s="1"/>
  <c r="V25" i="2" s="1"/>
  <c r="X21" i="6"/>
  <c r="X26" i="6" s="1"/>
  <c r="W26" i="2" s="1"/>
  <c r="W25" i="2" s="1"/>
  <c r="Y21" i="6"/>
  <c r="Y26" i="6" s="1"/>
  <c r="X26" i="2" s="1"/>
  <c r="X25" i="2" s="1"/>
  <c r="Z21" i="6"/>
  <c r="Z26" i="6" s="1"/>
  <c r="Y26" i="2" s="1"/>
  <c r="Y25" i="2" s="1"/>
  <c r="AA21" i="6"/>
  <c r="AA26" i="6" s="1"/>
  <c r="AB21" i="6"/>
  <c r="AB26" i="6" s="1"/>
  <c r="AA26" i="2" s="1"/>
  <c r="AA25" i="2" s="1"/>
  <c r="AC21" i="6"/>
  <c r="AC26" i="6" s="1"/>
  <c r="AB26" i="2" s="1"/>
  <c r="AB25" i="2" s="1"/>
  <c r="AD21" i="6"/>
  <c r="AD26" i="6" s="1"/>
  <c r="AC26" i="2" s="1"/>
  <c r="AC25" i="2" s="1"/>
  <c r="AE21" i="6"/>
  <c r="AE26" i="6" s="1"/>
  <c r="AD26" i="2" s="1"/>
  <c r="AD25" i="2" s="1"/>
  <c r="AF21" i="6"/>
  <c r="AF26" i="6" s="1"/>
  <c r="AE26" i="2" s="1"/>
  <c r="AE25" i="2" s="1"/>
  <c r="AG21" i="6"/>
  <c r="AG26" i="6" s="1"/>
  <c r="AF26" i="2" s="1"/>
  <c r="AF25" i="2" s="1"/>
  <c r="AH21" i="6"/>
  <c r="AH26" i="6" s="1"/>
  <c r="AG26" i="2" s="1"/>
  <c r="AG25" i="2" s="1"/>
  <c r="AI21" i="6"/>
  <c r="AI26" i="6" s="1"/>
  <c r="AH26" i="2" s="1"/>
  <c r="AH25" i="2" s="1"/>
  <c r="AJ21" i="6"/>
  <c r="AJ26" i="6" s="1"/>
  <c r="AI26" i="2" s="1"/>
  <c r="AI25" i="2" s="1"/>
  <c r="AK21" i="6"/>
  <c r="AK26" i="6" s="1"/>
  <c r="AJ26" i="2" s="1"/>
  <c r="AJ25" i="2" s="1"/>
  <c r="AL21" i="6"/>
  <c r="AL26" i="6" s="1"/>
  <c r="AK26" i="2" s="1"/>
  <c r="AK25" i="2" s="1"/>
  <c r="AM21" i="6"/>
  <c r="AM26" i="6" s="1"/>
  <c r="E22" i="6"/>
  <c r="E31" i="6" s="1"/>
  <c r="F22" i="6"/>
  <c r="F31" i="6" s="1"/>
  <c r="F42" i="6" s="1"/>
  <c r="E69" i="1" s="1"/>
  <c r="G22" i="6"/>
  <c r="G31" i="6" s="1"/>
  <c r="G42" i="6" s="1"/>
  <c r="F69" i="1" s="1"/>
  <c r="H22" i="6"/>
  <c r="H31" i="6" s="1"/>
  <c r="H42" i="6" s="1"/>
  <c r="G69" i="1" s="1"/>
  <c r="I22" i="6"/>
  <c r="J22" i="6"/>
  <c r="J31" i="6" s="1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D30" i="6"/>
  <c r="D23" i="6"/>
  <c r="D22" i="6"/>
  <c r="D31" i="6" s="1"/>
  <c r="AO15" i="4"/>
  <c r="D72" i="3"/>
  <c r="C47" i="1" s="1"/>
  <c r="D21" i="6"/>
  <c r="D26" i="6" s="1"/>
  <c r="C26" i="2" s="1"/>
  <c r="C25" i="2" s="1"/>
  <c r="J8" i="6"/>
  <c r="J10" i="6" s="1"/>
  <c r="J12" i="6" s="1"/>
  <c r="J14" i="6" s="1"/>
  <c r="O8" i="6"/>
  <c r="D8" i="6"/>
  <c r="D10" i="6" s="1"/>
  <c r="D12" i="6" s="1"/>
  <c r="J62" i="5"/>
  <c r="J64" i="5" s="1"/>
  <c r="J66" i="5" s="1"/>
  <c r="J76" i="5" s="1"/>
  <c r="O62" i="5"/>
  <c r="D62" i="5"/>
  <c r="D64" i="5" s="1"/>
  <c r="J37" i="5"/>
  <c r="J39" i="5" s="1"/>
  <c r="J41" i="5" s="1"/>
  <c r="J51" i="5" s="1"/>
  <c r="O37" i="5"/>
  <c r="D37" i="5"/>
  <c r="D39" i="5" s="1"/>
  <c r="J19" i="5"/>
  <c r="J21" i="5" s="1"/>
  <c r="J23" i="5" s="1"/>
  <c r="J33" i="5" s="1"/>
  <c r="O19" i="5"/>
  <c r="D19" i="5"/>
  <c r="D21" i="5" s="1"/>
  <c r="P9" i="4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K9" i="4"/>
  <c r="L9" i="4" s="1"/>
  <c r="M9" i="4" s="1"/>
  <c r="N9" i="4" s="1"/>
  <c r="E9" i="4"/>
  <c r="F9" i="4" s="1"/>
  <c r="G9" i="4" s="1"/>
  <c r="H9" i="4" s="1"/>
  <c r="I9" i="4" s="1"/>
  <c r="E12" i="4"/>
  <c r="K12" i="4"/>
  <c r="P12" i="4"/>
  <c r="Q12" i="4"/>
  <c r="R12" i="4" s="1"/>
  <c r="E13" i="4"/>
  <c r="K13" i="4"/>
  <c r="P13" i="4"/>
  <c r="E18" i="4"/>
  <c r="E77" i="6" s="1"/>
  <c r="E79" i="6" s="1"/>
  <c r="F90" i="7" s="1"/>
  <c r="P18" i="4"/>
  <c r="P19" i="4"/>
  <c r="F20" i="4"/>
  <c r="P20" i="4"/>
  <c r="E22" i="4"/>
  <c r="F22" i="4" s="1"/>
  <c r="G22" i="4" s="1"/>
  <c r="H22" i="4" s="1"/>
  <c r="I22" i="4" s="1"/>
  <c r="K22" i="4"/>
  <c r="L22" i="4" s="1"/>
  <c r="M22" i="4" s="1"/>
  <c r="N22" i="4" s="1"/>
  <c r="P22" i="4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P24" i="4"/>
  <c r="P155" i="6" s="1"/>
  <c r="P157" i="6" s="1"/>
  <c r="P159" i="6" s="1"/>
  <c r="P161" i="6" s="1"/>
  <c r="O55" i="1" s="1"/>
  <c r="Q24" i="4"/>
  <c r="AO10" i="4"/>
  <c r="AO12" i="4"/>
  <c r="AO13" i="4"/>
  <c r="AO14" i="4"/>
  <c r="AO9" i="4"/>
  <c r="AQ13" i="6"/>
  <c r="AP13" i="6"/>
  <c r="AO13" i="6"/>
  <c r="AQ11" i="6"/>
  <c r="AP11" i="6"/>
  <c r="AO11" i="6"/>
  <c r="AQ9" i="6"/>
  <c r="AP9" i="6"/>
  <c r="AO9" i="6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D79" i="5"/>
  <c r="AQ73" i="5"/>
  <c r="AP73" i="5"/>
  <c r="AO73" i="5"/>
  <c r="AQ72" i="5"/>
  <c r="AP72" i="5"/>
  <c r="AO72" i="5"/>
  <c r="AQ71" i="5"/>
  <c r="AP71" i="5"/>
  <c r="AO71" i="5"/>
  <c r="AQ68" i="5"/>
  <c r="AP68" i="5"/>
  <c r="AO68" i="5"/>
  <c r="AQ65" i="5"/>
  <c r="AP65" i="5"/>
  <c r="AO65" i="5"/>
  <c r="AQ63" i="5"/>
  <c r="AP63" i="5"/>
  <c r="AO63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D54" i="5"/>
  <c r="AQ48" i="5"/>
  <c r="AP48" i="5"/>
  <c r="AO48" i="5"/>
  <c r="AQ47" i="5"/>
  <c r="AP47" i="5"/>
  <c r="AO47" i="5"/>
  <c r="AQ46" i="5"/>
  <c r="AP46" i="5"/>
  <c r="AO46" i="5"/>
  <c r="AQ43" i="5"/>
  <c r="AP43" i="5"/>
  <c r="AO43" i="5"/>
  <c r="AQ40" i="5"/>
  <c r="AP40" i="5"/>
  <c r="AO40" i="5"/>
  <c r="AQ38" i="5"/>
  <c r="AP38" i="5"/>
  <c r="AO38" i="5"/>
  <c r="AQ30" i="5"/>
  <c r="AP30" i="5"/>
  <c r="AO30" i="5"/>
  <c r="AQ29" i="5"/>
  <c r="AP29" i="5"/>
  <c r="AO29" i="5"/>
  <c r="AQ28" i="5"/>
  <c r="AP28" i="5"/>
  <c r="AO28" i="5"/>
  <c r="AQ25" i="5"/>
  <c r="AP25" i="5"/>
  <c r="AO25" i="5"/>
  <c r="AQ22" i="5"/>
  <c r="AP22" i="5"/>
  <c r="AO22" i="5"/>
  <c r="AQ20" i="5"/>
  <c r="AP20" i="5"/>
  <c r="AO20" i="5"/>
  <c r="AQ114" i="3"/>
  <c r="AP114" i="3"/>
  <c r="AO114" i="3"/>
  <c r="AQ113" i="3"/>
  <c r="AP113" i="3"/>
  <c r="AO113" i="3"/>
  <c r="AQ110" i="3"/>
  <c r="AP110" i="3"/>
  <c r="AO110" i="3"/>
  <c r="D107" i="3"/>
  <c r="D109" i="3" s="1"/>
  <c r="AQ108" i="3"/>
  <c r="AP108" i="3"/>
  <c r="AO108" i="3"/>
  <c r="E5" i="6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Q3" i="6"/>
  <c r="AP3" i="6"/>
  <c r="AO3" i="6"/>
  <c r="E5" i="5"/>
  <c r="AQ3" i="5"/>
  <c r="AP3" i="5"/>
  <c r="AO3" i="5"/>
  <c r="P10" i="4"/>
  <c r="K10" i="4"/>
  <c r="AQ82" i="3"/>
  <c r="AP82" i="3"/>
  <c r="AO82" i="3"/>
  <c r="D81" i="3"/>
  <c r="D59" i="3"/>
  <c r="D37" i="3"/>
  <c r="D13" i="3"/>
  <c r="E10" i="4"/>
  <c r="E6" i="4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Q4" i="4"/>
  <c r="AP4" i="4"/>
  <c r="AO4" i="4"/>
  <c r="AQ14" i="3"/>
  <c r="AP14" i="3"/>
  <c r="AO14" i="3"/>
  <c r="AQ38" i="3"/>
  <c r="AP38" i="3"/>
  <c r="AO38" i="3"/>
  <c r="AQ60" i="3"/>
  <c r="AP60" i="3"/>
  <c r="AO60" i="3"/>
  <c r="AQ124" i="3"/>
  <c r="AP124" i="3"/>
  <c r="AO124" i="3"/>
  <c r="AO21" i="3"/>
  <c r="AP21" i="3"/>
  <c r="AQ21" i="3"/>
  <c r="AQ95" i="3"/>
  <c r="AP95" i="3"/>
  <c r="AO95" i="3"/>
  <c r="AQ87" i="3"/>
  <c r="AP87" i="3"/>
  <c r="AO87" i="3"/>
  <c r="AQ84" i="3"/>
  <c r="AP84" i="3"/>
  <c r="AO84" i="3"/>
  <c r="AQ94" i="3"/>
  <c r="AP94" i="3"/>
  <c r="AO94" i="3"/>
  <c r="AQ93" i="3"/>
  <c r="AP93" i="3"/>
  <c r="AO93" i="3"/>
  <c r="AQ92" i="3"/>
  <c r="AP92" i="3"/>
  <c r="AO92" i="3"/>
  <c r="AQ91" i="3"/>
  <c r="AP91" i="3"/>
  <c r="AO91" i="3"/>
  <c r="AO68" i="3"/>
  <c r="AP68" i="3"/>
  <c r="AQ68" i="3"/>
  <c r="AQ70" i="3"/>
  <c r="AP70" i="3"/>
  <c r="AO70" i="3"/>
  <c r="AQ69" i="3"/>
  <c r="AP69" i="3"/>
  <c r="AO69" i="3"/>
  <c r="AQ67" i="3"/>
  <c r="AP67" i="3"/>
  <c r="AO67" i="3"/>
  <c r="AQ64" i="3"/>
  <c r="AP64" i="3"/>
  <c r="AO64" i="3"/>
  <c r="AQ62" i="3"/>
  <c r="AP62" i="3"/>
  <c r="AO62" i="3"/>
  <c r="AQ128" i="3"/>
  <c r="AP128" i="3"/>
  <c r="AO128" i="3"/>
  <c r="AQ126" i="3"/>
  <c r="AP126" i="3"/>
  <c r="AO126" i="3"/>
  <c r="AQ45" i="3"/>
  <c r="AP45" i="3"/>
  <c r="AO45" i="3"/>
  <c r="AQ23" i="3"/>
  <c r="AP23" i="3"/>
  <c r="AO23" i="3"/>
  <c r="AQ46" i="3"/>
  <c r="AP46" i="3"/>
  <c r="AO46" i="3"/>
  <c r="AQ48" i="3"/>
  <c r="AP48" i="3"/>
  <c r="AO48" i="3"/>
  <c r="AQ47" i="3"/>
  <c r="AP47" i="3"/>
  <c r="AO47" i="3"/>
  <c r="AQ42" i="3"/>
  <c r="AP42" i="3"/>
  <c r="AO42" i="3"/>
  <c r="AQ40" i="3"/>
  <c r="AP40" i="3"/>
  <c r="AO40" i="3"/>
  <c r="AP26" i="3"/>
  <c r="AO26" i="3"/>
  <c r="AQ24" i="3"/>
  <c r="AO24" i="3"/>
  <c r="AO16" i="3"/>
  <c r="AQ3" i="3"/>
  <c r="AP3" i="3"/>
  <c r="AO3" i="3"/>
  <c r="AN33" i="2"/>
  <c r="AO33" i="2"/>
  <c r="AP33" i="2"/>
  <c r="AN37" i="2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D16" i="6" l="1"/>
  <c r="C37" i="1"/>
  <c r="E70" i="6"/>
  <c r="D49" i="1" s="1"/>
  <c r="F77" i="7"/>
  <c r="F70" i="6"/>
  <c r="E49" i="1" s="1"/>
  <c r="G77" i="7"/>
  <c r="G70" i="6"/>
  <c r="F49" i="1" s="1"/>
  <c r="H77" i="7"/>
  <c r="H70" i="6"/>
  <c r="G49" i="1" s="1"/>
  <c r="I77" i="7"/>
  <c r="I70" i="6"/>
  <c r="H49" i="1" s="1"/>
  <c r="J77" i="7"/>
  <c r="J70" i="6"/>
  <c r="I49" i="1" s="1"/>
  <c r="K77" i="7"/>
  <c r="K70" i="6"/>
  <c r="J49" i="1" s="1"/>
  <c r="L77" i="7"/>
  <c r="L70" i="6"/>
  <c r="K49" i="1" s="1"/>
  <c r="M77" i="7"/>
  <c r="M70" i="6"/>
  <c r="L49" i="1" s="1"/>
  <c r="N77" i="7"/>
  <c r="N70" i="6"/>
  <c r="M49" i="1" s="1"/>
  <c r="O77" i="7"/>
  <c r="AO124" i="1"/>
  <c r="AN124" i="1"/>
  <c r="C115" i="1"/>
  <c r="C114" i="1" s="1"/>
  <c r="AN108" i="1"/>
  <c r="G106" i="1"/>
  <c r="AN106" i="1" s="1"/>
  <c r="AO106" i="1"/>
  <c r="AP106" i="1"/>
  <c r="AP108" i="1"/>
  <c r="AN104" i="1"/>
  <c r="AN103" i="1"/>
  <c r="AN102" i="1"/>
  <c r="AN101" i="1"/>
  <c r="AN109" i="1"/>
  <c r="AO95" i="1"/>
  <c r="AP96" i="1"/>
  <c r="AO99" i="1"/>
  <c r="AO101" i="1"/>
  <c r="AO103" i="1"/>
  <c r="AO104" i="1"/>
  <c r="AP100" i="1"/>
  <c r="AP102" i="1"/>
  <c r="AP104" i="1"/>
  <c r="AO100" i="1"/>
  <c r="AP101" i="1"/>
  <c r="AO102" i="1"/>
  <c r="AO94" i="1"/>
  <c r="AP94" i="1"/>
  <c r="AP95" i="1"/>
  <c r="AO96" i="1"/>
  <c r="AP99" i="1"/>
  <c r="AP103" i="1"/>
  <c r="AN95" i="1"/>
  <c r="AN96" i="1"/>
  <c r="AR60" i="7"/>
  <c r="AP50" i="7"/>
  <c r="C94" i="1"/>
  <c r="AN94" i="1" s="1"/>
  <c r="AP98" i="7"/>
  <c r="C100" i="1"/>
  <c r="AN100" i="1" s="1"/>
  <c r="AP95" i="7"/>
  <c r="C99" i="1"/>
  <c r="AN99" i="1" s="1"/>
  <c r="AR104" i="7"/>
  <c r="AP65" i="7"/>
  <c r="E9" i="7"/>
  <c r="AP9" i="7" s="1"/>
  <c r="AR107" i="7"/>
  <c r="AP107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N91" i="7"/>
  <c r="M91" i="7"/>
  <c r="L91" i="7"/>
  <c r="K91" i="7"/>
  <c r="J91" i="7"/>
  <c r="I91" i="7"/>
  <c r="H91" i="7"/>
  <c r="G91" i="7"/>
  <c r="F91" i="7"/>
  <c r="R53" i="7"/>
  <c r="Q9" i="7"/>
  <c r="AR98" i="7"/>
  <c r="O91" i="7"/>
  <c r="AP104" i="7"/>
  <c r="E41" i="7"/>
  <c r="AP102" i="7"/>
  <c r="G101" i="7"/>
  <c r="H101" i="7" s="1"/>
  <c r="O87" i="7"/>
  <c r="N87" i="7"/>
  <c r="M87" i="7"/>
  <c r="L87" i="7"/>
  <c r="K87" i="7"/>
  <c r="J87" i="7"/>
  <c r="I87" i="7"/>
  <c r="H87" i="7"/>
  <c r="G87" i="7"/>
  <c r="F87" i="7"/>
  <c r="AE84" i="7"/>
  <c r="AE83" i="7" s="1"/>
  <c r="AF83" i="7" s="1"/>
  <c r="AG83" i="7" s="1"/>
  <c r="AH83" i="7" s="1"/>
  <c r="AI83" i="7" s="1"/>
  <c r="AJ83" i="7" s="1"/>
  <c r="AK83" i="7" s="1"/>
  <c r="AL83" i="7" s="1"/>
  <c r="AM83" i="7" s="1"/>
  <c r="AN83" i="7" s="1"/>
  <c r="S83" i="7"/>
  <c r="I82" i="7"/>
  <c r="AP85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Q60" i="7"/>
  <c r="AP60" i="7"/>
  <c r="L15" i="7"/>
  <c r="L14" i="7" s="1"/>
  <c r="L17" i="7" s="1"/>
  <c r="L73" i="7"/>
  <c r="M72" i="7" s="1"/>
  <c r="F16" i="7"/>
  <c r="F67" i="7"/>
  <c r="AQ69" i="7"/>
  <c r="AR69" i="7"/>
  <c r="AP69" i="7"/>
  <c r="AR50" i="7"/>
  <c r="AQ50" i="7"/>
  <c r="E15" i="7"/>
  <c r="E57" i="7"/>
  <c r="AQ16" i="7"/>
  <c r="AR16" i="7"/>
  <c r="AE47" i="7"/>
  <c r="AE46" i="7" s="1"/>
  <c r="S46" i="7"/>
  <c r="H15" i="7"/>
  <c r="H14" i="7" s="1"/>
  <c r="H17" i="7" s="1"/>
  <c r="H48" i="7"/>
  <c r="AP48" i="7" s="1"/>
  <c r="G13" i="7"/>
  <c r="AR53" i="7"/>
  <c r="Q12" i="7"/>
  <c r="AQ13" i="7"/>
  <c r="AC12" i="7"/>
  <c r="AR13" i="7"/>
  <c r="E12" i="7"/>
  <c r="Q14" i="7"/>
  <c r="AQ14" i="7" s="1"/>
  <c r="AQ15" i="7"/>
  <c r="AC14" i="7"/>
  <c r="AR14" i="7" s="1"/>
  <c r="AR15" i="7"/>
  <c r="I17" i="7"/>
  <c r="K17" i="7"/>
  <c r="N17" i="7"/>
  <c r="P17" i="7"/>
  <c r="T17" i="7"/>
  <c r="W17" i="7"/>
  <c r="Y17" i="7"/>
  <c r="AB17" i="7"/>
  <c r="AE17" i="7"/>
  <c r="AJ17" i="7"/>
  <c r="AN17" i="7"/>
  <c r="V17" i="7"/>
  <c r="AA17" i="7"/>
  <c r="AF17" i="7"/>
  <c r="AI17" i="7"/>
  <c r="AL17" i="7"/>
  <c r="AH17" i="7"/>
  <c r="J17" i="7"/>
  <c r="M17" i="7"/>
  <c r="O17" i="7"/>
  <c r="R17" i="7"/>
  <c r="S17" i="7"/>
  <c r="U17" i="7"/>
  <c r="X17" i="7"/>
  <c r="Z17" i="7"/>
  <c r="AD17" i="7"/>
  <c r="AG17" i="7"/>
  <c r="AK17" i="7"/>
  <c r="AM17" i="7"/>
  <c r="E91" i="7"/>
  <c r="E87" i="7" s="1"/>
  <c r="K116" i="3"/>
  <c r="K115" i="3"/>
  <c r="J34" i="1" s="1"/>
  <c r="E90" i="6"/>
  <c r="D77" i="1" s="1"/>
  <c r="F90" i="6"/>
  <c r="E77" i="1" s="1"/>
  <c r="G90" i="6"/>
  <c r="F77" i="1" s="1"/>
  <c r="H90" i="6"/>
  <c r="G77" i="1" s="1"/>
  <c r="I90" i="6"/>
  <c r="H77" i="1" s="1"/>
  <c r="J90" i="6"/>
  <c r="I77" i="1" s="1"/>
  <c r="K90" i="6"/>
  <c r="J77" i="1" s="1"/>
  <c r="L90" i="6"/>
  <c r="K77" i="1" s="1"/>
  <c r="M90" i="6"/>
  <c r="L77" i="1" s="1"/>
  <c r="N90" i="6"/>
  <c r="M77" i="1" s="1"/>
  <c r="D88" i="6"/>
  <c r="C19" i="1" s="1"/>
  <c r="D90" i="6"/>
  <c r="C77" i="1" s="1"/>
  <c r="D87" i="6"/>
  <c r="C50" i="1" s="1"/>
  <c r="E121" i="6"/>
  <c r="E125" i="6"/>
  <c r="F121" i="6"/>
  <c r="F125" i="6"/>
  <c r="G121" i="6"/>
  <c r="G125" i="6"/>
  <c r="H121" i="6"/>
  <c r="H125" i="6"/>
  <c r="I121" i="6"/>
  <c r="I125" i="6"/>
  <c r="J121" i="6"/>
  <c r="J125" i="6"/>
  <c r="K121" i="6"/>
  <c r="K125" i="6"/>
  <c r="L121" i="6"/>
  <c r="L125" i="6"/>
  <c r="M121" i="6"/>
  <c r="M125" i="6"/>
  <c r="N121" i="6"/>
  <c r="N125" i="6"/>
  <c r="P121" i="6"/>
  <c r="P125" i="6"/>
  <c r="Q121" i="6"/>
  <c r="Q125" i="6"/>
  <c r="R121" i="6"/>
  <c r="R125" i="6"/>
  <c r="S121" i="6"/>
  <c r="S125" i="6"/>
  <c r="T121" i="6"/>
  <c r="T125" i="6"/>
  <c r="U121" i="6"/>
  <c r="U125" i="6"/>
  <c r="V121" i="6"/>
  <c r="V125" i="6"/>
  <c r="W121" i="6"/>
  <c r="W125" i="6"/>
  <c r="E102" i="6"/>
  <c r="D38" i="1"/>
  <c r="F102" i="6"/>
  <c r="E38" i="1"/>
  <c r="G102" i="6"/>
  <c r="F38" i="1"/>
  <c r="H102" i="6"/>
  <c r="G38" i="1"/>
  <c r="I102" i="6"/>
  <c r="H38" i="1"/>
  <c r="J102" i="6"/>
  <c r="I38" i="1"/>
  <c r="K102" i="6"/>
  <c r="J38" i="1"/>
  <c r="L102" i="6"/>
  <c r="K38" i="1"/>
  <c r="M102" i="6"/>
  <c r="L38" i="1"/>
  <c r="N102" i="6"/>
  <c r="M38" i="1"/>
  <c r="E78" i="7"/>
  <c r="E75" i="7" s="1"/>
  <c r="AG79" i="1"/>
  <c r="AJ79" i="1"/>
  <c r="W79" i="1"/>
  <c r="Y79" i="1"/>
  <c r="AA79" i="1"/>
  <c r="AC79" i="1"/>
  <c r="AE79" i="1"/>
  <c r="AH79" i="1"/>
  <c r="X79" i="1"/>
  <c r="AB79" i="1"/>
  <c r="AD79" i="1"/>
  <c r="AF79" i="1"/>
  <c r="AK79" i="1"/>
  <c r="AH41" i="7"/>
  <c r="AM41" i="7"/>
  <c r="AG41" i="7"/>
  <c r="AJ41" i="7"/>
  <c r="AK41" i="7"/>
  <c r="AN41" i="7"/>
  <c r="AI41" i="7"/>
  <c r="AL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D111" i="6"/>
  <c r="C51" i="1" s="1"/>
  <c r="D113" i="6"/>
  <c r="AO26" i="6"/>
  <c r="N26" i="2"/>
  <c r="AP26" i="6"/>
  <c r="Z26" i="2"/>
  <c r="AQ26" i="6"/>
  <c r="AL26" i="2"/>
  <c r="I43" i="1"/>
  <c r="D150" i="6"/>
  <c r="C54" i="1" s="1"/>
  <c r="C145" i="1" s="1"/>
  <c r="AM148" i="6"/>
  <c r="AQ146" i="6"/>
  <c r="AL148" i="6"/>
  <c r="AK148" i="6"/>
  <c r="AJ148" i="6"/>
  <c r="AI148" i="6"/>
  <c r="AH148" i="6"/>
  <c r="AG148" i="6"/>
  <c r="AF148" i="6"/>
  <c r="AE148" i="6"/>
  <c r="AD148" i="6"/>
  <c r="AC148" i="6"/>
  <c r="AB148" i="6"/>
  <c r="AP146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AO146" i="6"/>
  <c r="N148" i="6"/>
  <c r="M148" i="6"/>
  <c r="L148" i="6"/>
  <c r="K148" i="6"/>
  <c r="J148" i="6"/>
  <c r="I148" i="6"/>
  <c r="H148" i="6"/>
  <c r="G148" i="6"/>
  <c r="F148" i="6"/>
  <c r="E148" i="6"/>
  <c r="E140" i="6"/>
  <c r="E136" i="6"/>
  <c r="D53" i="1" s="1"/>
  <c r="E138" i="6"/>
  <c r="E141" i="6" s="1"/>
  <c r="D80" i="1" s="1"/>
  <c r="F140" i="6"/>
  <c r="F136" i="6"/>
  <c r="E53" i="1" s="1"/>
  <c r="F138" i="6"/>
  <c r="F141" i="6" s="1"/>
  <c r="E80" i="1" s="1"/>
  <c r="G140" i="6"/>
  <c r="G136" i="6"/>
  <c r="F53" i="1" s="1"/>
  <c r="G138" i="6"/>
  <c r="G141" i="6" s="1"/>
  <c r="F80" i="1" s="1"/>
  <c r="H136" i="6"/>
  <c r="G53" i="1" s="1"/>
  <c r="H140" i="6"/>
  <c r="H138" i="6"/>
  <c r="I140" i="6"/>
  <c r="I136" i="6"/>
  <c r="H53" i="1" s="1"/>
  <c r="I138" i="6"/>
  <c r="I141" i="6" s="1"/>
  <c r="H80" i="1" s="1"/>
  <c r="J140" i="6"/>
  <c r="J136" i="6"/>
  <c r="I53" i="1" s="1"/>
  <c r="J138" i="6"/>
  <c r="J141" i="6" s="1"/>
  <c r="I80" i="1" s="1"/>
  <c r="K140" i="6"/>
  <c r="K138" i="6"/>
  <c r="K141" i="6" s="1"/>
  <c r="J80" i="1" s="1"/>
  <c r="K136" i="6"/>
  <c r="J53" i="1" s="1"/>
  <c r="J144" i="1" s="1"/>
  <c r="L140" i="6"/>
  <c r="L138" i="6"/>
  <c r="L136" i="6"/>
  <c r="K53" i="1" s="1"/>
  <c r="M140" i="6"/>
  <c r="M138" i="6"/>
  <c r="M136" i="6"/>
  <c r="L53" i="1" s="1"/>
  <c r="N138" i="6"/>
  <c r="N140" i="6"/>
  <c r="N136" i="6"/>
  <c r="M53" i="1" s="1"/>
  <c r="O136" i="6"/>
  <c r="N53" i="1" s="1"/>
  <c r="O140" i="6"/>
  <c r="O138" i="6"/>
  <c r="P140" i="6"/>
  <c r="P138" i="6"/>
  <c r="P141" i="6" s="1"/>
  <c r="O80" i="1" s="1"/>
  <c r="P136" i="6"/>
  <c r="O53" i="1" s="1"/>
  <c r="O144" i="1" s="1"/>
  <c r="Q140" i="6"/>
  <c r="Q136" i="6"/>
  <c r="P53" i="1" s="1"/>
  <c r="Q138" i="6"/>
  <c r="Q141" i="6" s="1"/>
  <c r="P80" i="1" s="1"/>
  <c r="R138" i="6"/>
  <c r="R140" i="6"/>
  <c r="R136" i="6"/>
  <c r="Q53" i="1" s="1"/>
  <c r="S140" i="6"/>
  <c r="S138" i="6"/>
  <c r="S141" i="6" s="1"/>
  <c r="R80" i="1" s="1"/>
  <c r="S136" i="6"/>
  <c r="R53" i="1" s="1"/>
  <c r="R144" i="1" s="1"/>
  <c r="T140" i="6"/>
  <c r="T136" i="6"/>
  <c r="S53" i="1" s="1"/>
  <c r="T138" i="6"/>
  <c r="T141" i="6" s="1"/>
  <c r="S80" i="1" s="1"/>
  <c r="U138" i="6"/>
  <c r="U140" i="6"/>
  <c r="U136" i="6"/>
  <c r="T53" i="1" s="1"/>
  <c r="V136" i="6"/>
  <c r="U53" i="1" s="1"/>
  <c r="V138" i="6"/>
  <c r="V140" i="6"/>
  <c r="W140" i="6"/>
  <c r="W138" i="6"/>
  <c r="W141" i="6" s="1"/>
  <c r="V80" i="1" s="1"/>
  <c r="W136" i="6"/>
  <c r="V53" i="1" s="1"/>
  <c r="X136" i="6"/>
  <c r="W53" i="1" s="1"/>
  <c r="X140" i="6"/>
  <c r="X138" i="6"/>
  <c r="X141" i="6" s="1"/>
  <c r="W80" i="1" s="1"/>
  <c r="Y138" i="6"/>
  <c r="Y140" i="6"/>
  <c r="Y136" i="6"/>
  <c r="X53" i="1" s="1"/>
  <c r="Z140" i="6"/>
  <c r="Z138" i="6"/>
  <c r="Z141" i="6" s="1"/>
  <c r="Y80" i="1" s="1"/>
  <c r="Z136" i="6"/>
  <c r="Y53" i="1" s="1"/>
  <c r="Y144" i="1" s="1"/>
  <c r="AA138" i="6"/>
  <c r="AA140" i="6"/>
  <c r="AA136" i="6"/>
  <c r="Z53" i="1" s="1"/>
  <c r="AB136" i="6"/>
  <c r="AA53" i="1" s="1"/>
  <c r="AB140" i="6"/>
  <c r="AB138" i="6"/>
  <c r="AB141" i="6" s="1"/>
  <c r="AA80" i="1" s="1"/>
  <c r="AC140" i="6"/>
  <c r="AC138" i="6"/>
  <c r="AC141" i="6" s="1"/>
  <c r="AB80" i="1" s="1"/>
  <c r="AC136" i="6"/>
  <c r="AB53" i="1" s="1"/>
  <c r="AB144" i="1" s="1"/>
  <c r="AD136" i="6"/>
  <c r="AC53" i="1" s="1"/>
  <c r="AD140" i="6"/>
  <c r="AD138" i="6"/>
  <c r="AD141" i="6" s="1"/>
  <c r="AC80" i="1" s="1"/>
  <c r="AE138" i="6"/>
  <c r="AE140" i="6"/>
  <c r="AE136" i="6"/>
  <c r="AD53" i="1" s="1"/>
  <c r="AF140" i="6"/>
  <c r="AF138" i="6"/>
  <c r="AF141" i="6" s="1"/>
  <c r="AE80" i="1" s="1"/>
  <c r="AF136" i="6"/>
  <c r="AE53" i="1" s="1"/>
  <c r="AG140" i="6"/>
  <c r="AG138" i="6"/>
  <c r="AG136" i="6"/>
  <c r="AF53" i="1" s="1"/>
  <c r="AH140" i="6"/>
  <c r="AH138" i="6"/>
  <c r="AH141" i="6" s="1"/>
  <c r="AG80" i="1" s="1"/>
  <c r="AH136" i="6"/>
  <c r="AG53" i="1" s="1"/>
  <c r="AI140" i="6"/>
  <c r="AI138" i="6"/>
  <c r="AI141" i="6" s="1"/>
  <c r="AH80" i="1" s="1"/>
  <c r="AI136" i="6"/>
  <c r="AH53" i="1" s="1"/>
  <c r="AJ140" i="6"/>
  <c r="AJ138" i="6"/>
  <c r="AJ141" i="6" s="1"/>
  <c r="AI80" i="1" s="1"/>
  <c r="AJ136" i="6"/>
  <c r="AI53" i="1" s="1"/>
  <c r="AK140" i="6"/>
  <c r="AK138" i="6"/>
  <c r="AK141" i="6" s="1"/>
  <c r="AJ80" i="1" s="1"/>
  <c r="AK136" i="6"/>
  <c r="AJ53" i="1" s="1"/>
  <c r="AL138" i="6"/>
  <c r="AL140" i="6"/>
  <c r="AL136" i="6"/>
  <c r="AK53" i="1" s="1"/>
  <c r="AM138" i="6"/>
  <c r="AM136" i="6"/>
  <c r="AL53" i="1" s="1"/>
  <c r="AM140" i="6"/>
  <c r="D138" i="6"/>
  <c r="D140" i="6"/>
  <c r="D136" i="6"/>
  <c r="C53" i="1" s="1"/>
  <c r="AQ133" i="6"/>
  <c r="AP133" i="6"/>
  <c r="AO133" i="6"/>
  <c r="AQ132" i="6"/>
  <c r="AP132" i="6"/>
  <c r="AO132" i="6"/>
  <c r="AJ121" i="6"/>
  <c r="D121" i="6"/>
  <c r="AM121" i="6"/>
  <c r="AM127" i="6" s="1"/>
  <c r="AL79" i="1" s="1"/>
  <c r="AQ119" i="6"/>
  <c r="AL123" i="6"/>
  <c r="AK123" i="6"/>
  <c r="AI123" i="6"/>
  <c r="AH123" i="6"/>
  <c r="AG52" i="1" s="1"/>
  <c r="AG143" i="1" s="1"/>
  <c r="AG123" i="6"/>
  <c r="AF52" i="1" s="1"/>
  <c r="AF143" i="1" s="1"/>
  <c r="AF123" i="6"/>
  <c r="AE52" i="1" s="1"/>
  <c r="AE143" i="1" s="1"/>
  <c r="AE123" i="6"/>
  <c r="AD52" i="1" s="1"/>
  <c r="AD143" i="1" s="1"/>
  <c r="AD123" i="6"/>
  <c r="AC52" i="1" s="1"/>
  <c r="AC123" i="6"/>
  <c r="AB52" i="1" s="1"/>
  <c r="AB123" i="6"/>
  <c r="AA52" i="1" s="1"/>
  <c r="AA121" i="6"/>
  <c r="AP119" i="6"/>
  <c r="Z123" i="6"/>
  <c r="Y52" i="1" s="1"/>
  <c r="Y123" i="6"/>
  <c r="X52" i="1" s="1"/>
  <c r="X123" i="6"/>
  <c r="W52" i="1" s="1"/>
  <c r="O121" i="6"/>
  <c r="O127" i="6" s="1"/>
  <c r="N79" i="1" s="1"/>
  <c r="AO119" i="6"/>
  <c r="AB23" i="4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B21" i="4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E123" i="3"/>
  <c r="F34" i="7"/>
  <c r="F11" i="4"/>
  <c r="P13" i="3"/>
  <c r="P15" i="3" s="1"/>
  <c r="P17" i="3" s="1"/>
  <c r="P30" i="3" s="1"/>
  <c r="O63" i="1" s="1"/>
  <c r="P37" i="3"/>
  <c r="P39" i="3" s="1"/>
  <c r="P41" i="3" s="1"/>
  <c r="P59" i="3"/>
  <c r="P61" i="3" s="1"/>
  <c r="P63" i="3" s="1"/>
  <c r="P74" i="3" s="1"/>
  <c r="O65" i="1" s="1"/>
  <c r="K37" i="3"/>
  <c r="K39" i="3" s="1"/>
  <c r="K41" i="3" s="1"/>
  <c r="K13" i="3"/>
  <c r="K15" i="3" s="1"/>
  <c r="K17" i="3" s="1"/>
  <c r="K30" i="3" s="1"/>
  <c r="J63" i="1" s="1"/>
  <c r="K59" i="3"/>
  <c r="K61" i="3" s="1"/>
  <c r="K63" i="3" s="1"/>
  <c r="K74" i="3" s="1"/>
  <c r="J65" i="1" s="1"/>
  <c r="I48" i="1"/>
  <c r="J117" i="3"/>
  <c r="J48" i="1"/>
  <c r="K117" i="3"/>
  <c r="N48" i="1"/>
  <c r="O117" i="3"/>
  <c r="O48" i="1"/>
  <c r="P117" i="3"/>
  <c r="F5" i="5"/>
  <c r="J52" i="3"/>
  <c r="I64" i="1" s="1"/>
  <c r="J50" i="3"/>
  <c r="K50" i="3"/>
  <c r="K52" i="3"/>
  <c r="J64" i="1" s="1"/>
  <c r="O52" i="3"/>
  <c r="N64" i="1" s="1"/>
  <c r="O50" i="3"/>
  <c r="P50" i="3"/>
  <c r="P52" i="3"/>
  <c r="O64" i="1" s="1"/>
  <c r="K32" i="7"/>
  <c r="D111" i="3"/>
  <c r="E32" i="7"/>
  <c r="E31" i="7" s="1"/>
  <c r="Q35" i="7"/>
  <c r="T35" i="7"/>
  <c r="X35" i="7"/>
  <c r="AE35" i="7"/>
  <c r="AI35" i="7"/>
  <c r="O35" i="7"/>
  <c r="V35" i="7"/>
  <c r="Z35" i="7"/>
  <c r="AC35" i="7"/>
  <c r="AJ35" i="7"/>
  <c r="R35" i="7"/>
  <c r="W35" i="7"/>
  <c r="AB35" i="7"/>
  <c r="AH35" i="7"/>
  <c r="S35" i="7"/>
  <c r="AA35" i="7"/>
  <c r="AF35" i="7"/>
  <c r="P35" i="7"/>
  <c r="U35" i="7"/>
  <c r="Y35" i="7"/>
  <c r="AD35" i="7"/>
  <c r="AG35" i="7"/>
  <c r="AK35" i="7"/>
  <c r="AL35" i="7"/>
  <c r="AM35" i="7"/>
  <c r="AN35" i="7"/>
  <c r="F35" i="7"/>
  <c r="G35" i="7"/>
  <c r="H35" i="7"/>
  <c r="I35" i="7"/>
  <c r="J35" i="7"/>
  <c r="K35" i="7"/>
  <c r="L35" i="7"/>
  <c r="M35" i="7"/>
  <c r="N35" i="7"/>
  <c r="E33" i="7"/>
  <c r="F88" i="6"/>
  <c r="E19" i="1" s="1"/>
  <c r="G88" i="6"/>
  <c r="F19" i="1" s="1"/>
  <c r="H88" i="6"/>
  <c r="G19" i="1" s="1"/>
  <c r="I88" i="6"/>
  <c r="H19" i="1" s="1"/>
  <c r="J88" i="6"/>
  <c r="I19" i="1" s="1"/>
  <c r="L88" i="6"/>
  <c r="K19" i="1" s="1"/>
  <c r="M88" i="6"/>
  <c r="L19" i="1" s="1"/>
  <c r="N88" i="6"/>
  <c r="M19" i="1" s="1"/>
  <c r="D81" i="6"/>
  <c r="K88" i="6"/>
  <c r="J19" i="1" s="1"/>
  <c r="E88" i="6"/>
  <c r="D19" i="1" s="1"/>
  <c r="Q18" i="4"/>
  <c r="P77" i="6"/>
  <c r="P79" i="6" s="1"/>
  <c r="Q19" i="4"/>
  <c r="P96" i="6"/>
  <c r="P98" i="6" s="1"/>
  <c r="H20" i="4"/>
  <c r="H107" i="6" s="1"/>
  <c r="H109" i="6" s="1"/>
  <c r="H113" i="6" s="1"/>
  <c r="G78" i="1" s="1"/>
  <c r="F107" i="6"/>
  <c r="F109" i="6" s="1"/>
  <c r="F113" i="6" s="1"/>
  <c r="E78" i="1" s="1"/>
  <c r="Q20" i="4"/>
  <c r="P107" i="6"/>
  <c r="P109" i="6" s="1"/>
  <c r="P113" i="6" s="1"/>
  <c r="O78" i="1" s="1"/>
  <c r="H21" i="7"/>
  <c r="K21" i="7"/>
  <c r="P21" i="7"/>
  <c r="V21" i="7"/>
  <c r="Z21" i="7"/>
  <c r="AD21" i="7"/>
  <c r="AH21" i="7"/>
  <c r="AL21" i="7"/>
  <c r="I21" i="7"/>
  <c r="J21" i="7"/>
  <c r="N21" i="7"/>
  <c r="R21" i="7"/>
  <c r="T21" i="7"/>
  <c r="X21" i="7"/>
  <c r="AC21" i="7"/>
  <c r="AF21" i="7"/>
  <c r="AK21" i="7"/>
  <c r="G21" i="7"/>
  <c r="M21" i="7"/>
  <c r="O21" i="7"/>
  <c r="S21" i="7"/>
  <c r="W21" i="7"/>
  <c r="AA21" i="7"/>
  <c r="AE21" i="7"/>
  <c r="AI21" i="7"/>
  <c r="AM21" i="7"/>
  <c r="F21" i="7"/>
  <c r="L21" i="7"/>
  <c r="Q21" i="7"/>
  <c r="U21" i="7"/>
  <c r="Y21" i="7"/>
  <c r="AB21" i="7"/>
  <c r="AG21" i="7"/>
  <c r="AJ21" i="7"/>
  <c r="AN21" i="7"/>
  <c r="Q4" i="7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P4" i="7"/>
  <c r="F87" i="6"/>
  <c r="E50" i="1" s="1"/>
  <c r="G87" i="6"/>
  <c r="F50" i="1" s="1"/>
  <c r="H87" i="6"/>
  <c r="G50" i="1" s="1"/>
  <c r="I87" i="6"/>
  <c r="H50" i="1" s="1"/>
  <c r="J87" i="6"/>
  <c r="I50" i="1" s="1"/>
  <c r="K87" i="6"/>
  <c r="J50" i="1" s="1"/>
  <c r="L87" i="6"/>
  <c r="K50" i="1" s="1"/>
  <c r="M87" i="6"/>
  <c r="L50" i="1" s="1"/>
  <c r="N87" i="6"/>
  <c r="M50" i="1" s="1"/>
  <c r="E87" i="6"/>
  <c r="D50" i="1" s="1"/>
  <c r="K81" i="6"/>
  <c r="AO77" i="6"/>
  <c r="O79" i="6"/>
  <c r="N81" i="6"/>
  <c r="M81" i="6"/>
  <c r="O91" i="6" s="1"/>
  <c r="N119" i="1" s="1"/>
  <c r="L81" i="6"/>
  <c r="J81" i="6"/>
  <c r="I81" i="6"/>
  <c r="H81" i="6"/>
  <c r="J91" i="6" s="1"/>
  <c r="I119" i="1" s="1"/>
  <c r="G81" i="6"/>
  <c r="F81" i="6"/>
  <c r="E81" i="6"/>
  <c r="P163" i="6"/>
  <c r="J163" i="6"/>
  <c r="O163" i="6"/>
  <c r="D163" i="6"/>
  <c r="O98" i="6"/>
  <c r="AO96" i="6"/>
  <c r="K155" i="6"/>
  <c r="K157" i="6" s="1"/>
  <c r="K159" i="6" s="1"/>
  <c r="K161" i="6" s="1"/>
  <c r="J55" i="1" s="1"/>
  <c r="J58" i="5"/>
  <c r="R24" i="4"/>
  <c r="Q155" i="6"/>
  <c r="Q157" i="6" s="1"/>
  <c r="Q159" i="6" s="1"/>
  <c r="Q161" i="6" s="1"/>
  <c r="P55" i="1" s="1"/>
  <c r="E155" i="6"/>
  <c r="E157" i="6" s="1"/>
  <c r="E159" i="6" s="1"/>
  <c r="E161" i="6" s="1"/>
  <c r="D55" i="1" s="1"/>
  <c r="AO155" i="6"/>
  <c r="E111" i="6"/>
  <c r="D51" i="1" s="1"/>
  <c r="D142" i="1" s="1"/>
  <c r="G111" i="6"/>
  <c r="F51" i="1" s="1"/>
  <c r="F142" i="1" s="1"/>
  <c r="I111" i="6"/>
  <c r="H51" i="1" s="1"/>
  <c r="H142" i="1" s="1"/>
  <c r="J111" i="6"/>
  <c r="I51" i="1" s="1"/>
  <c r="I142" i="1" s="1"/>
  <c r="K111" i="6"/>
  <c r="J51" i="1" s="1"/>
  <c r="J142" i="1" s="1"/>
  <c r="L111" i="6"/>
  <c r="K51" i="1" s="1"/>
  <c r="K142" i="1" s="1"/>
  <c r="M111" i="6"/>
  <c r="N111" i="6"/>
  <c r="M51" i="1" s="1"/>
  <c r="M142" i="1" s="1"/>
  <c r="O111" i="6"/>
  <c r="N51" i="1" s="1"/>
  <c r="N142" i="1" s="1"/>
  <c r="AO107" i="6"/>
  <c r="D102" i="6"/>
  <c r="C70" i="1" s="1"/>
  <c r="C141" i="1" s="1"/>
  <c r="D70" i="6"/>
  <c r="C49" i="1" s="1"/>
  <c r="Q17" i="4"/>
  <c r="P62" i="6"/>
  <c r="P64" i="6" s="1"/>
  <c r="Q77" i="7" s="1"/>
  <c r="Q75" i="7" s="1"/>
  <c r="D66" i="6"/>
  <c r="Q16" i="4"/>
  <c r="P48" i="6"/>
  <c r="P50" i="6" s="1"/>
  <c r="Q13" i="4"/>
  <c r="P8" i="6"/>
  <c r="P10" i="6" s="1"/>
  <c r="P12" i="6" s="1"/>
  <c r="O64" i="6"/>
  <c r="P77" i="7" s="1"/>
  <c r="P75" i="7" s="1"/>
  <c r="AO62" i="6"/>
  <c r="N66" i="6"/>
  <c r="M66" i="6"/>
  <c r="O72" i="6" s="1"/>
  <c r="N118" i="1" s="1"/>
  <c r="L66" i="6"/>
  <c r="N72" i="6" s="1"/>
  <c r="M118" i="1" s="1"/>
  <c r="K66" i="6"/>
  <c r="M72" i="6" s="1"/>
  <c r="L118" i="1" s="1"/>
  <c r="J66" i="6"/>
  <c r="L72" i="6" s="1"/>
  <c r="K118" i="1" s="1"/>
  <c r="I66" i="6"/>
  <c r="K72" i="6" s="1"/>
  <c r="J118" i="1" s="1"/>
  <c r="H66" i="6"/>
  <c r="J72" i="6" s="1"/>
  <c r="I118" i="1" s="1"/>
  <c r="G66" i="6"/>
  <c r="I72" i="6" s="1"/>
  <c r="H118" i="1" s="1"/>
  <c r="F66" i="6"/>
  <c r="H72" i="6" s="1"/>
  <c r="G118" i="1" s="1"/>
  <c r="E66" i="6"/>
  <c r="G72" i="6" s="1"/>
  <c r="F118" i="1" s="1"/>
  <c r="AO48" i="6"/>
  <c r="O50" i="6"/>
  <c r="AO50" i="6" s="1"/>
  <c r="N52" i="6"/>
  <c r="N56" i="6"/>
  <c r="M56" i="6"/>
  <c r="M52" i="6"/>
  <c r="L52" i="6"/>
  <c r="L56" i="6"/>
  <c r="K52" i="6"/>
  <c r="M57" i="6" s="1"/>
  <c r="L117" i="1" s="1"/>
  <c r="K56" i="6"/>
  <c r="J52" i="6"/>
  <c r="J56" i="6"/>
  <c r="I52" i="6"/>
  <c r="I56" i="6"/>
  <c r="H52" i="6"/>
  <c r="J57" i="6" s="1"/>
  <c r="I117" i="1" s="1"/>
  <c r="H56" i="6"/>
  <c r="G52" i="6"/>
  <c r="G56" i="6"/>
  <c r="F56" i="6"/>
  <c r="F52" i="6"/>
  <c r="E52" i="6"/>
  <c r="E56" i="6"/>
  <c r="D52" i="6"/>
  <c r="D56" i="6"/>
  <c r="AM24" i="6"/>
  <c r="L32" i="6"/>
  <c r="N32" i="6"/>
  <c r="O32" i="6"/>
  <c r="Q32" i="6"/>
  <c r="R32" i="6"/>
  <c r="S32" i="6"/>
  <c r="T32" i="6"/>
  <c r="U32" i="6"/>
  <c r="V32" i="6"/>
  <c r="W32" i="6"/>
  <c r="X32" i="6"/>
  <c r="Y32" i="6"/>
  <c r="Z32" i="6"/>
  <c r="AA32" i="6"/>
  <c r="AC32" i="6"/>
  <c r="AD32" i="6"/>
  <c r="AE32" i="6"/>
  <c r="AF32" i="6"/>
  <c r="AG32" i="6"/>
  <c r="AH32" i="6"/>
  <c r="AI32" i="6"/>
  <c r="AJ32" i="6"/>
  <c r="AK32" i="6"/>
  <c r="AL32" i="6"/>
  <c r="AM32" i="6"/>
  <c r="AG31" i="6"/>
  <c r="AG24" i="6"/>
  <c r="AH31" i="6"/>
  <c r="AH24" i="6"/>
  <c r="AI31" i="6"/>
  <c r="AI24" i="6"/>
  <c r="AJ31" i="6"/>
  <c r="AJ24" i="6"/>
  <c r="AK31" i="6"/>
  <c r="AK24" i="6"/>
  <c r="AL31" i="6"/>
  <c r="AL24" i="6"/>
  <c r="E24" i="6"/>
  <c r="O24" i="6"/>
  <c r="AA24" i="6"/>
  <c r="F24" i="6"/>
  <c r="H24" i="6"/>
  <c r="K31" i="6"/>
  <c r="K42" i="6" s="1"/>
  <c r="J69" i="1" s="1"/>
  <c r="K24" i="6"/>
  <c r="L31" i="6"/>
  <c r="L24" i="6"/>
  <c r="N31" i="6"/>
  <c r="N24" i="6"/>
  <c r="P31" i="6"/>
  <c r="P42" i="6" s="1"/>
  <c r="O69" i="1" s="1"/>
  <c r="P24" i="6"/>
  <c r="Q31" i="6"/>
  <c r="Q24" i="6"/>
  <c r="R31" i="6"/>
  <c r="R24" i="6"/>
  <c r="S31" i="6"/>
  <c r="S24" i="6"/>
  <c r="T31" i="6"/>
  <c r="T24" i="6"/>
  <c r="U31" i="6"/>
  <c r="U24" i="6"/>
  <c r="V31" i="6"/>
  <c r="V24" i="6"/>
  <c r="W31" i="6"/>
  <c r="W24" i="6"/>
  <c r="X31" i="6"/>
  <c r="X24" i="6"/>
  <c r="Y31" i="6"/>
  <c r="Y24" i="6"/>
  <c r="Z31" i="6"/>
  <c r="Z24" i="6"/>
  <c r="AB31" i="6"/>
  <c r="AB24" i="6"/>
  <c r="AC31" i="6"/>
  <c r="AC24" i="6"/>
  <c r="AD31" i="6"/>
  <c r="AD24" i="6"/>
  <c r="AE31" i="6"/>
  <c r="AE24" i="6"/>
  <c r="AF31" i="6"/>
  <c r="AF24" i="6"/>
  <c r="F12" i="4"/>
  <c r="G12" i="4" s="1"/>
  <c r="E37" i="5"/>
  <c r="E39" i="5" s="1"/>
  <c r="E41" i="5" s="1"/>
  <c r="E51" i="5" s="1"/>
  <c r="E58" i="5" s="1"/>
  <c r="E19" i="5"/>
  <c r="E21" i="5" s="1"/>
  <c r="E23" i="5" s="1"/>
  <c r="E33" i="5" s="1"/>
  <c r="E62" i="5"/>
  <c r="E64" i="5" s="1"/>
  <c r="E66" i="5" s="1"/>
  <c r="E76" i="5" s="1"/>
  <c r="E83" i="5" s="1"/>
  <c r="L12" i="4"/>
  <c r="K62" i="5"/>
  <c r="K64" i="5" s="1"/>
  <c r="K66" i="5" s="1"/>
  <c r="K76" i="5" s="1"/>
  <c r="K83" i="5" s="1"/>
  <c r="K37" i="5"/>
  <c r="K39" i="5" s="1"/>
  <c r="K41" i="5" s="1"/>
  <c r="K51" i="5" s="1"/>
  <c r="K58" i="5" s="1"/>
  <c r="K19" i="5"/>
  <c r="K21" i="5" s="1"/>
  <c r="K23" i="5" s="1"/>
  <c r="K33" i="5" s="1"/>
  <c r="P62" i="5"/>
  <c r="P64" i="5" s="1"/>
  <c r="P66" i="5" s="1"/>
  <c r="P37" i="5"/>
  <c r="P39" i="5" s="1"/>
  <c r="P41" i="5" s="1"/>
  <c r="P19" i="5"/>
  <c r="P21" i="5" s="1"/>
  <c r="P23" i="5" s="1"/>
  <c r="Q37" i="5"/>
  <c r="Q19" i="5"/>
  <c r="Q62" i="5"/>
  <c r="S12" i="4"/>
  <c r="T12" i="4" s="1"/>
  <c r="R19" i="5"/>
  <c r="R62" i="5"/>
  <c r="R37" i="5"/>
  <c r="F13" i="4"/>
  <c r="E8" i="6"/>
  <c r="E10" i="6" s="1"/>
  <c r="E12" i="6" s="1"/>
  <c r="L13" i="4"/>
  <c r="K8" i="6"/>
  <c r="K10" i="6" s="1"/>
  <c r="K12" i="6" s="1"/>
  <c r="AQ23" i="6"/>
  <c r="AO23" i="6"/>
  <c r="AP23" i="6"/>
  <c r="AO22" i="6"/>
  <c r="O31" i="6"/>
  <c r="AP22" i="6"/>
  <c r="AA31" i="6"/>
  <c r="AQ22" i="6"/>
  <c r="AM31" i="6"/>
  <c r="E32" i="6"/>
  <c r="E36" i="6" s="1"/>
  <c r="D58" i="1" s="1"/>
  <c r="D57" i="1" s="1"/>
  <c r="AO30" i="6"/>
  <c r="AP30" i="6"/>
  <c r="P32" i="6"/>
  <c r="AB32" i="6"/>
  <c r="AQ30" i="6"/>
  <c r="E42" i="6"/>
  <c r="D69" i="1" s="1"/>
  <c r="H32" i="6"/>
  <c r="J24" i="6"/>
  <c r="K32" i="6"/>
  <c r="F32" i="6"/>
  <c r="F38" i="6" s="1"/>
  <c r="J32" i="6"/>
  <c r="J36" i="6" s="1"/>
  <c r="I58" i="1" s="1"/>
  <c r="I57" i="1" s="1"/>
  <c r="M32" i="6"/>
  <c r="G24" i="6"/>
  <c r="G32" i="6"/>
  <c r="I32" i="6"/>
  <c r="M31" i="6"/>
  <c r="M24" i="6"/>
  <c r="J42" i="6"/>
  <c r="I69" i="1" s="1"/>
  <c r="I24" i="6"/>
  <c r="I31" i="6"/>
  <c r="D32" i="6"/>
  <c r="D36" i="6"/>
  <c r="C58" i="1" s="1"/>
  <c r="C57" i="1" s="1"/>
  <c r="D42" i="6"/>
  <c r="C69" i="1" s="1"/>
  <c r="AP15" i="4"/>
  <c r="AQ15" i="4"/>
  <c r="D14" i="6"/>
  <c r="D18" i="6" s="1"/>
  <c r="C74" i="1"/>
  <c r="J83" i="5"/>
  <c r="M12" i="4"/>
  <c r="AP14" i="4"/>
  <c r="AB22" i="4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Q10" i="4"/>
  <c r="E107" i="3"/>
  <c r="E109" i="3" s="1"/>
  <c r="L10" i="4"/>
  <c r="AO21" i="6"/>
  <c r="J16" i="6"/>
  <c r="O10" i="6"/>
  <c r="AO8" i="6"/>
  <c r="AO62" i="5"/>
  <c r="O64" i="5"/>
  <c r="D66" i="5"/>
  <c r="AO37" i="5"/>
  <c r="O39" i="5"/>
  <c r="O41" i="5" s="1"/>
  <c r="O51" i="5" s="1"/>
  <c r="O58" i="5" s="1"/>
  <c r="D41" i="5"/>
  <c r="D51" i="5" s="1"/>
  <c r="D58" i="5" s="1"/>
  <c r="AO19" i="5"/>
  <c r="O21" i="5"/>
  <c r="D23" i="5"/>
  <c r="P32" i="7"/>
  <c r="AO107" i="3"/>
  <c r="E81" i="3"/>
  <c r="E83" i="3" s="1"/>
  <c r="E85" i="3" s="1"/>
  <c r="E100" i="3" s="1"/>
  <c r="D66" i="1" s="1"/>
  <c r="E13" i="3"/>
  <c r="E15" i="3" s="1"/>
  <c r="E17" i="3" s="1"/>
  <c r="E30" i="3" s="1"/>
  <c r="D63" i="1" s="1"/>
  <c r="E37" i="3"/>
  <c r="E39" i="3" s="1"/>
  <c r="E41" i="3" s="1"/>
  <c r="E59" i="3"/>
  <c r="E125" i="3"/>
  <c r="E127" i="3" s="1"/>
  <c r="E129" i="3" s="1"/>
  <c r="D125" i="3"/>
  <c r="D127" i="3" s="1"/>
  <c r="D129" i="3" s="1"/>
  <c r="D83" i="3"/>
  <c r="D85" i="3" s="1"/>
  <c r="D61" i="3"/>
  <c r="D63" i="3" s="1"/>
  <c r="D39" i="3"/>
  <c r="D41" i="3" s="1"/>
  <c r="D15" i="3"/>
  <c r="D17" i="3" s="1"/>
  <c r="F10" i="4"/>
  <c r="AP24" i="3"/>
  <c r="AQ26" i="3"/>
  <c r="AP16" i="3"/>
  <c r="AQ16" i="3"/>
  <c r="AQ18" i="3"/>
  <c r="AP18" i="3"/>
  <c r="AO18" i="3"/>
  <c r="E5" i="3"/>
  <c r="O4" i="2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N4" i="2"/>
  <c r="O4" i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N4" i="1"/>
  <c r="AI144" i="1" l="1"/>
  <c r="AJ144" i="1"/>
  <c r="H144" i="1"/>
  <c r="AE144" i="1"/>
  <c r="AH144" i="1"/>
  <c r="AG144" i="1"/>
  <c r="AA144" i="1"/>
  <c r="AC144" i="1"/>
  <c r="F75" i="7"/>
  <c r="G75" i="7"/>
  <c r="H75" i="7"/>
  <c r="I75" i="7"/>
  <c r="J75" i="7"/>
  <c r="K75" i="7"/>
  <c r="L75" i="7"/>
  <c r="M75" i="7"/>
  <c r="N75" i="7"/>
  <c r="O75" i="7"/>
  <c r="I144" i="1"/>
  <c r="W144" i="1"/>
  <c r="D144" i="1"/>
  <c r="E144" i="1"/>
  <c r="F144" i="1"/>
  <c r="S144" i="1"/>
  <c r="P144" i="1"/>
  <c r="V144" i="1"/>
  <c r="AC143" i="1"/>
  <c r="AB143" i="1"/>
  <c r="AA143" i="1"/>
  <c r="Y143" i="1"/>
  <c r="X143" i="1"/>
  <c r="W143" i="1"/>
  <c r="AO148" i="6"/>
  <c r="M98" i="1"/>
  <c r="N92" i="6"/>
  <c r="L98" i="1"/>
  <c r="M92" i="6"/>
  <c r="K98" i="1"/>
  <c r="L92" i="6"/>
  <c r="J98" i="1"/>
  <c r="K92" i="6"/>
  <c r="J92" i="6"/>
  <c r="I98" i="1"/>
  <c r="I92" i="6"/>
  <c r="H98" i="1"/>
  <c r="H92" i="6"/>
  <c r="G98" i="1"/>
  <c r="G92" i="6"/>
  <c r="F98" i="1"/>
  <c r="F92" i="6"/>
  <c r="E98" i="1"/>
  <c r="E92" i="6"/>
  <c r="D98" i="1"/>
  <c r="E73" i="6"/>
  <c r="D97" i="1"/>
  <c r="F73" i="6"/>
  <c r="E97" i="1"/>
  <c r="G73" i="6"/>
  <c r="F97" i="1"/>
  <c r="H73" i="6"/>
  <c r="G97" i="1"/>
  <c r="H97" i="1"/>
  <c r="I73" i="6"/>
  <c r="I97" i="1"/>
  <c r="J73" i="6"/>
  <c r="J97" i="1"/>
  <c r="K73" i="6"/>
  <c r="K97" i="1"/>
  <c r="L73" i="6"/>
  <c r="L97" i="1"/>
  <c r="M73" i="6"/>
  <c r="M97" i="1"/>
  <c r="N73" i="6"/>
  <c r="C98" i="1"/>
  <c r="D92" i="6"/>
  <c r="C97" i="1"/>
  <c r="D73" i="6"/>
  <c r="P90" i="6"/>
  <c r="O77" i="1" s="1"/>
  <c r="Q90" i="7"/>
  <c r="Q87" i="7" s="1"/>
  <c r="O90" i="6"/>
  <c r="P90" i="7"/>
  <c r="P87" i="7" s="1"/>
  <c r="AP87" i="7" s="1"/>
  <c r="P73" i="6"/>
  <c r="O97" i="1"/>
  <c r="O73" i="6"/>
  <c r="N97" i="1"/>
  <c r="R9" i="7"/>
  <c r="S53" i="7"/>
  <c r="T53" i="7" s="1"/>
  <c r="U53" i="7" s="1"/>
  <c r="F14" i="7"/>
  <c r="F17" i="7" s="1"/>
  <c r="AP16" i="7"/>
  <c r="AP57" i="7"/>
  <c r="G52" i="7"/>
  <c r="F52" i="7"/>
  <c r="F8" i="7" s="1"/>
  <c r="D20" i="2" s="1"/>
  <c r="AF46" i="7"/>
  <c r="AE9" i="7"/>
  <c r="T46" i="7"/>
  <c r="S9" i="7"/>
  <c r="I101" i="7"/>
  <c r="J101" i="7" s="1"/>
  <c r="AP15" i="7"/>
  <c r="E14" i="7"/>
  <c r="AP14" i="7" s="1"/>
  <c r="G12" i="7"/>
  <c r="AP13" i="7"/>
  <c r="T83" i="7"/>
  <c r="U83" i="7" s="1"/>
  <c r="J82" i="7"/>
  <c r="K82" i="7" s="1"/>
  <c r="L82" i="7" s="1"/>
  <c r="M82" i="7" s="1"/>
  <c r="N82" i="7" s="1"/>
  <c r="O82" i="7" s="1"/>
  <c r="P82" i="7" s="1"/>
  <c r="AP73" i="7"/>
  <c r="AP67" i="7"/>
  <c r="G64" i="7"/>
  <c r="J45" i="7"/>
  <c r="AQ12" i="7"/>
  <c r="Q17" i="7"/>
  <c r="AQ17" i="7" s="1"/>
  <c r="AC17" i="7"/>
  <c r="AR17" i="7" s="1"/>
  <c r="AR12" i="7"/>
  <c r="E17" i="7"/>
  <c r="C19" i="2" s="1"/>
  <c r="F33" i="7"/>
  <c r="F72" i="6"/>
  <c r="E118" i="1" s="1"/>
  <c r="C78" i="1"/>
  <c r="C142" i="1" s="1"/>
  <c r="D115" i="6"/>
  <c r="F91" i="6"/>
  <c r="E119" i="1" s="1"/>
  <c r="E91" i="6"/>
  <c r="D119" i="1" s="1"/>
  <c r="J30" i="2"/>
  <c r="M91" i="6"/>
  <c r="L119" i="1" s="1"/>
  <c r="M30" i="2"/>
  <c r="K30" i="2"/>
  <c r="N91" i="6"/>
  <c r="M119" i="1" s="1"/>
  <c r="I30" i="2"/>
  <c r="L91" i="6"/>
  <c r="K119" i="1" s="1"/>
  <c r="H30" i="2"/>
  <c r="K91" i="6"/>
  <c r="J119" i="1" s="1"/>
  <c r="F30" i="2"/>
  <c r="I91" i="6"/>
  <c r="H119" i="1" s="1"/>
  <c r="E30" i="2"/>
  <c r="H91" i="6"/>
  <c r="G119" i="1" s="1"/>
  <c r="D30" i="2"/>
  <c r="G91" i="6"/>
  <c r="F119" i="1" s="1"/>
  <c r="K12" i="5"/>
  <c r="J68" i="1" s="1"/>
  <c r="C29" i="2"/>
  <c r="E72" i="6"/>
  <c r="D118" i="1" s="1"/>
  <c r="AN118" i="1" s="1"/>
  <c r="M29" i="2"/>
  <c r="L29" i="2"/>
  <c r="K29" i="2"/>
  <c r="J29" i="2"/>
  <c r="H29" i="2"/>
  <c r="G29" i="2"/>
  <c r="F29" i="2"/>
  <c r="E29" i="2"/>
  <c r="D29" i="2"/>
  <c r="M141" i="6"/>
  <c r="M28" i="2"/>
  <c r="M27" i="2" s="1"/>
  <c r="L28" i="2"/>
  <c r="O57" i="6"/>
  <c r="N117" i="1" s="1"/>
  <c r="K28" i="2"/>
  <c r="K27" i="2" s="1"/>
  <c r="N57" i="6"/>
  <c r="M117" i="1" s="1"/>
  <c r="I28" i="2"/>
  <c r="L57" i="6"/>
  <c r="K117" i="1" s="1"/>
  <c r="H28" i="2"/>
  <c r="H27" i="2" s="1"/>
  <c r="K57" i="6"/>
  <c r="J117" i="1" s="1"/>
  <c r="F28" i="2"/>
  <c r="F27" i="2" s="1"/>
  <c r="I57" i="6"/>
  <c r="H117" i="1" s="1"/>
  <c r="E28" i="2"/>
  <c r="E27" i="2" s="1"/>
  <c r="H57" i="6"/>
  <c r="G117" i="1" s="1"/>
  <c r="D28" i="2"/>
  <c r="G57" i="6"/>
  <c r="F117" i="1" s="1"/>
  <c r="C28" i="2"/>
  <c r="F57" i="6"/>
  <c r="E117" i="1" s="1"/>
  <c r="E57" i="6"/>
  <c r="H141" i="6"/>
  <c r="AG141" i="6"/>
  <c r="L141" i="6"/>
  <c r="E127" i="6"/>
  <c r="D79" i="1" s="1"/>
  <c r="E123" i="6"/>
  <c r="F127" i="6"/>
  <c r="E79" i="1" s="1"/>
  <c r="F123" i="6"/>
  <c r="G127" i="6"/>
  <c r="F79" i="1" s="1"/>
  <c r="G123" i="6"/>
  <c r="H127" i="6"/>
  <c r="G79" i="1" s="1"/>
  <c r="H123" i="6"/>
  <c r="I127" i="6"/>
  <c r="H79" i="1" s="1"/>
  <c r="I123" i="6"/>
  <c r="J127" i="6"/>
  <c r="I79" i="1" s="1"/>
  <c r="J123" i="6"/>
  <c r="K127" i="6"/>
  <c r="J79" i="1" s="1"/>
  <c r="K123" i="6"/>
  <c r="L127" i="6"/>
  <c r="K79" i="1" s="1"/>
  <c r="L123" i="6"/>
  <c r="M127" i="6"/>
  <c r="L79" i="1" s="1"/>
  <c r="M123" i="6"/>
  <c r="N127" i="6"/>
  <c r="M79" i="1" s="1"/>
  <c r="N123" i="6"/>
  <c r="P123" i="6"/>
  <c r="P127" i="6"/>
  <c r="O79" i="1" s="1"/>
  <c r="Q127" i="6"/>
  <c r="P79" i="1" s="1"/>
  <c r="Q123" i="6"/>
  <c r="R127" i="6"/>
  <c r="Q79" i="1" s="1"/>
  <c r="R123" i="6"/>
  <c r="S127" i="6"/>
  <c r="R79" i="1" s="1"/>
  <c r="S123" i="6"/>
  <c r="T127" i="6"/>
  <c r="S79" i="1" s="1"/>
  <c r="T123" i="6"/>
  <c r="U127" i="6"/>
  <c r="T79" i="1" s="1"/>
  <c r="U123" i="6"/>
  <c r="V127" i="6"/>
  <c r="U79" i="1" s="1"/>
  <c r="V123" i="6"/>
  <c r="W127" i="6"/>
  <c r="V79" i="1" s="1"/>
  <c r="W123" i="6"/>
  <c r="D70" i="1"/>
  <c r="D141" i="1" s="1"/>
  <c r="E104" i="6"/>
  <c r="D37" i="1"/>
  <c r="E70" i="1"/>
  <c r="E141" i="1" s="1"/>
  <c r="F104" i="6"/>
  <c r="E37" i="1"/>
  <c r="F70" i="1"/>
  <c r="F141" i="1" s="1"/>
  <c r="G104" i="6"/>
  <c r="F37" i="1"/>
  <c r="G70" i="1"/>
  <c r="G141" i="1" s="1"/>
  <c r="H104" i="6"/>
  <c r="G37" i="1"/>
  <c r="H70" i="1"/>
  <c r="H141" i="1" s="1"/>
  <c r="I104" i="6"/>
  <c r="H37" i="1"/>
  <c r="I70" i="1"/>
  <c r="I141" i="1" s="1"/>
  <c r="J104" i="6"/>
  <c r="I37" i="1"/>
  <c r="J70" i="1"/>
  <c r="J141" i="1" s="1"/>
  <c r="K104" i="6"/>
  <c r="J37" i="1"/>
  <c r="K70" i="1"/>
  <c r="K141" i="1" s="1"/>
  <c r="L104" i="6"/>
  <c r="K37" i="1"/>
  <c r="L70" i="1"/>
  <c r="L141" i="1" s="1"/>
  <c r="M104" i="6"/>
  <c r="L37" i="1"/>
  <c r="M70" i="1"/>
  <c r="M141" i="1" s="1"/>
  <c r="N104" i="6"/>
  <c r="M37" i="1"/>
  <c r="AQ148" i="6"/>
  <c r="O141" i="6"/>
  <c r="V141" i="6"/>
  <c r="AO53" i="1"/>
  <c r="AP53" i="1"/>
  <c r="AN53" i="1"/>
  <c r="AL129" i="6"/>
  <c r="AK52" i="1"/>
  <c r="AK143" i="1" s="1"/>
  <c r="AK129" i="6"/>
  <c r="AJ52" i="1"/>
  <c r="AJ143" i="1" s="1"/>
  <c r="AI129" i="6"/>
  <c r="AH52" i="1"/>
  <c r="AH143" i="1" s="1"/>
  <c r="D85" i="6"/>
  <c r="C30" i="2"/>
  <c r="N85" i="6"/>
  <c r="L30" i="2"/>
  <c r="I85" i="6"/>
  <c r="G30" i="2"/>
  <c r="P165" i="6"/>
  <c r="O71" i="1"/>
  <c r="O146" i="1" s="1"/>
  <c r="J165" i="6"/>
  <c r="I71" i="1"/>
  <c r="I146" i="1" s="1"/>
  <c r="O165" i="6"/>
  <c r="N71" i="1"/>
  <c r="N146" i="1" s="1"/>
  <c r="D165" i="6"/>
  <c r="C71" i="1"/>
  <c r="C146" i="1" s="1"/>
  <c r="M115" i="6"/>
  <c r="L51" i="1"/>
  <c r="L142" i="1" s="1"/>
  <c r="N25" i="2"/>
  <c r="AN25" i="2" s="1"/>
  <c r="AN26" i="2"/>
  <c r="Z25" i="2"/>
  <c r="AO25" i="2" s="1"/>
  <c r="AO26" i="2"/>
  <c r="AL25" i="2"/>
  <c r="AP25" i="2" s="1"/>
  <c r="AP26" i="2"/>
  <c r="P31" i="7"/>
  <c r="D141" i="6"/>
  <c r="AO109" i="6"/>
  <c r="K68" i="6"/>
  <c r="I29" i="2"/>
  <c r="M76" i="1"/>
  <c r="L76" i="1"/>
  <c r="K76" i="1"/>
  <c r="L54" i="6"/>
  <c r="J28" i="2"/>
  <c r="J76" i="1"/>
  <c r="I76" i="1"/>
  <c r="H76" i="1"/>
  <c r="I54" i="6"/>
  <c r="G28" i="2"/>
  <c r="G76" i="1"/>
  <c r="F76" i="1"/>
  <c r="E76" i="1"/>
  <c r="D76" i="1"/>
  <c r="C76" i="1"/>
  <c r="C43" i="1"/>
  <c r="C136" i="1" s="1"/>
  <c r="I74" i="1"/>
  <c r="I136" i="1" s="1"/>
  <c r="J18" i="6"/>
  <c r="U141" i="6"/>
  <c r="AA141" i="6"/>
  <c r="AE141" i="6"/>
  <c r="AM141" i="6"/>
  <c r="AO121" i="6"/>
  <c r="R141" i="6"/>
  <c r="AH129" i="6"/>
  <c r="AG129" i="6"/>
  <c r="AF129" i="6"/>
  <c r="AE129" i="6"/>
  <c r="AD129" i="6"/>
  <c r="AC129" i="6"/>
  <c r="Z129" i="6"/>
  <c r="Y129" i="6"/>
  <c r="X129" i="6"/>
  <c r="N141" i="6"/>
  <c r="Y141" i="6"/>
  <c r="AQ121" i="6"/>
  <c r="AP148" i="6"/>
  <c r="AL141" i="6"/>
  <c r="D152" i="6"/>
  <c r="AB129" i="6"/>
  <c r="AA127" i="6"/>
  <c r="AP121" i="6"/>
  <c r="P100" i="6"/>
  <c r="O38" i="1" s="1"/>
  <c r="O100" i="6"/>
  <c r="N38" i="1" s="1"/>
  <c r="AO98" i="6"/>
  <c r="D104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54" i="1" s="1"/>
  <c r="AA145" i="1" s="1"/>
  <c r="AA150" i="6"/>
  <c r="Z150" i="6"/>
  <c r="Y150" i="6"/>
  <c r="X150" i="6"/>
  <c r="W150" i="6"/>
  <c r="V150" i="6"/>
  <c r="U150" i="6"/>
  <c r="T150" i="6"/>
  <c r="S150" i="6"/>
  <c r="R150" i="6"/>
  <c r="Q150" i="6"/>
  <c r="P150" i="6"/>
  <c r="O54" i="1" s="1"/>
  <c r="O145" i="1" s="1"/>
  <c r="O150" i="6"/>
  <c r="N150" i="6"/>
  <c r="M150" i="6"/>
  <c r="L150" i="6"/>
  <c r="K150" i="6"/>
  <c r="J150" i="6"/>
  <c r="I150" i="6"/>
  <c r="H150" i="6"/>
  <c r="G150" i="6"/>
  <c r="F150" i="6"/>
  <c r="E150" i="6"/>
  <c r="D54" i="1" s="1"/>
  <c r="D145" i="1" s="1"/>
  <c r="AJ127" i="6"/>
  <c r="AJ123" i="6"/>
  <c r="AI52" i="1" s="1"/>
  <c r="AQ140" i="6"/>
  <c r="AP140" i="6"/>
  <c r="AO140" i="6"/>
  <c r="AK143" i="6"/>
  <c r="AJ143" i="6"/>
  <c r="AI143" i="6"/>
  <c r="AH143" i="6"/>
  <c r="AF143" i="6"/>
  <c r="AD143" i="6"/>
  <c r="AC143" i="6"/>
  <c r="AQ136" i="6"/>
  <c r="AQ134" i="6"/>
  <c r="Z143" i="6"/>
  <c r="X143" i="6"/>
  <c r="W143" i="6"/>
  <c r="T143" i="6"/>
  <c r="S143" i="6"/>
  <c r="Q143" i="6"/>
  <c r="AP136" i="6"/>
  <c r="AP134" i="6"/>
  <c r="K143" i="6"/>
  <c r="J143" i="6"/>
  <c r="I143" i="6"/>
  <c r="G143" i="6"/>
  <c r="F143" i="6"/>
  <c r="E143" i="6"/>
  <c r="AO134" i="6"/>
  <c r="D123" i="6"/>
  <c r="C52" i="1" s="1"/>
  <c r="D127" i="6"/>
  <c r="C79" i="1" s="1"/>
  <c r="AM123" i="6"/>
  <c r="AA123" i="6"/>
  <c r="Z52" i="1" s="1"/>
  <c r="O123" i="6"/>
  <c r="AO125" i="6"/>
  <c r="AQ125" i="6"/>
  <c r="AP125" i="6"/>
  <c r="J12" i="5"/>
  <c r="I68" i="1" s="1"/>
  <c r="K54" i="6"/>
  <c r="P111" i="6"/>
  <c r="F123" i="3"/>
  <c r="F125" i="3" s="1"/>
  <c r="F127" i="3" s="1"/>
  <c r="F129" i="3" s="1"/>
  <c r="G34" i="7"/>
  <c r="G33" i="7" s="1"/>
  <c r="G11" i="4"/>
  <c r="E12" i="5"/>
  <c r="D68" i="1" s="1"/>
  <c r="C92" i="1"/>
  <c r="D130" i="3"/>
  <c r="D131" i="3" s="1"/>
  <c r="P87" i="6"/>
  <c r="O50" i="1" s="1"/>
  <c r="P81" i="6"/>
  <c r="Q8" i="6"/>
  <c r="Q10" i="6" s="1"/>
  <c r="Q12" i="6" s="1"/>
  <c r="Q14" i="6" s="1"/>
  <c r="R13" i="4"/>
  <c r="R8" i="6" s="1"/>
  <c r="Q81" i="3"/>
  <c r="Q83" i="3" s="1"/>
  <c r="Q85" i="3" s="1"/>
  <c r="Q100" i="3" s="1"/>
  <c r="P66" i="1" s="1"/>
  <c r="Q13" i="3"/>
  <c r="Q15" i="3" s="1"/>
  <c r="Q17" i="3" s="1"/>
  <c r="Q30" i="3" s="1"/>
  <c r="P63" i="1" s="1"/>
  <c r="Q37" i="3"/>
  <c r="Q39" i="3" s="1"/>
  <c r="Q41" i="3" s="1"/>
  <c r="Q107" i="3"/>
  <c r="Q109" i="3" s="1"/>
  <c r="Q111" i="3" s="1"/>
  <c r="Q59" i="3"/>
  <c r="Q61" i="3" s="1"/>
  <c r="Q63" i="3" s="1"/>
  <c r="Q74" i="3" s="1"/>
  <c r="P65" i="1" s="1"/>
  <c r="L13" i="3"/>
  <c r="L15" i="3" s="1"/>
  <c r="L17" i="3" s="1"/>
  <c r="L30" i="3" s="1"/>
  <c r="K63" i="1" s="1"/>
  <c r="L81" i="3"/>
  <c r="L83" i="3" s="1"/>
  <c r="L85" i="3" s="1"/>
  <c r="L100" i="3" s="1"/>
  <c r="K66" i="1" s="1"/>
  <c r="L107" i="3"/>
  <c r="L109" i="3" s="1"/>
  <c r="L111" i="3" s="1"/>
  <c r="L37" i="3"/>
  <c r="L39" i="3" s="1"/>
  <c r="L41" i="3" s="1"/>
  <c r="L59" i="3"/>
  <c r="L61" i="3" s="1"/>
  <c r="L63" i="3" s="1"/>
  <c r="L74" i="3" s="1"/>
  <c r="K65" i="1" s="1"/>
  <c r="F107" i="3"/>
  <c r="F109" i="3" s="1"/>
  <c r="F13" i="3"/>
  <c r="F15" i="3" s="1"/>
  <c r="F17" i="3" s="1"/>
  <c r="F30" i="3" s="1"/>
  <c r="E63" i="1" s="1"/>
  <c r="F37" i="3"/>
  <c r="F39" i="3" s="1"/>
  <c r="F41" i="3" s="1"/>
  <c r="F59" i="3"/>
  <c r="F61" i="3" s="1"/>
  <c r="F63" i="3" s="1"/>
  <c r="F74" i="3" s="1"/>
  <c r="E65" i="1" s="1"/>
  <c r="F81" i="3"/>
  <c r="F83" i="3" s="1"/>
  <c r="F85" i="3" s="1"/>
  <c r="F100" i="3" s="1"/>
  <c r="E66" i="1" s="1"/>
  <c r="M54" i="6"/>
  <c r="M59" i="6" s="1"/>
  <c r="H111" i="6"/>
  <c r="G51" i="1" s="1"/>
  <c r="G142" i="1" s="1"/>
  <c r="I115" i="6"/>
  <c r="F111" i="6"/>
  <c r="G115" i="6"/>
  <c r="I67" i="1"/>
  <c r="K118" i="3"/>
  <c r="J67" i="1"/>
  <c r="N67" i="1"/>
  <c r="P118" i="3"/>
  <c r="O67" i="1"/>
  <c r="D119" i="3"/>
  <c r="C91" i="1"/>
  <c r="D42" i="1"/>
  <c r="D134" i="1" s="1"/>
  <c r="C42" i="1"/>
  <c r="C134" i="1" s="1"/>
  <c r="G5" i="5"/>
  <c r="I46" i="1"/>
  <c r="J46" i="1"/>
  <c r="N46" i="1"/>
  <c r="O46" i="1"/>
  <c r="K31" i="7"/>
  <c r="D115" i="3"/>
  <c r="D116" i="3"/>
  <c r="Q32" i="7"/>
  <c r="Q31" i="7" s="1"/>
  <c r="L32" i="7"/>
  <c r="L31" i="7" s="1"/>
  <c r="E111" i="3"/>
  <c r="F32" i="7"/>
  <c r="F31" i="7" s="1"/>
  <c r="E50" i="3"/>
  <c r="D46" i="1" s="1"/>
  <c r="D50" i="3"/>
  <c r="C46" i="1" s="1"/>
  <c r="Q77" i="6"/>
  <c r="Q79" i="6" s="1"/>
  <c r="R18" i="4"/>
  <c r="P88" i="6"/>
  <c r="O19" i="1" s="1"/>
  <c r="Q96" i="6"/>
  <c r="Q98" i="6" s="1"/>
  <c r="R19" i="4"/>
  <c r="Q107" i="6"/>
  <c r="Q109" i="6" s="1"/>
  <c r="Q113" i="6" s="1"/>
  <c r="P78" i="1" s="1"/>
  <c r="R20" i="4"/>
  <c r="O87" i="6"/>
  <c r="O88" i="6"/>
  <c r="G68" i="6"/>
  <c r="AC4" i="7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R4" i="7" s="1"/>
  <c r="AQ4" i="7"/>
  <c r="K85" i="6"/>
  <c r="AO79" i="6"/>
  <c r="M85" i="6"/>
  <c r="H85" i="6"/>
  <c r="F85" i="6"/>
  <c r="E85" i="6"/>
  <c r="G85" i="6"/>
  <c r="O81" i="6"/>
  <c r="P91" i="6" s="1"/>
  <c r="O119" i="1" s="1"/>
  <c r="J85" i="6"/>
  <c r="L85" i="6"/>
  <c r="E115" i="6"/>
  <c r="J115" i="6"/>
  <c r="K115" i="6"/>
  <c r="L115" i="6"/>
  <c r="N115" i="6"/>
  <c r="O115" i="6"/>
  <c r="K163" i="6"/>
  <c r="Q163" i="6"/>
  <c r="E163" i="6"/>
  <c r="L155" i="6"/>
  <c r="L157" i="6" s="1"/>
  <c r="L159" i="6" s="1"/>
  <c r="L161" i="6" s="1"/>
  <c r="K55" i="1" s="1"/>
  <c r="R155" i="6"/>
  <c r="R157" i="6" s="1"/>
  <c r="R159" i="6" s="1"/>
  <c r="R161" i="6" s="1"/>
  <c r="Q55" i="1" s="1"/>
  <c r="S24" i="4"/>
  <c r="F155" i="6"/>
  <c r="F157" i="6" s="1"/>
  <c r="F159" i="6" s="1"/>
  <c r="F161" i="6" s="1"/>
  <c r="E55" i="1" s="1"/>
  <c r="P56" i="6"/>
  <c r="P52" i="6"/>
  <c r="O70" i="6"/>
  <c r="AO64" i="6"/>
  <c r="P70" i="6"/>
  <c r="O49" i="1" s="1"/>
  <c r="P66" i="6"/>
  <c r="G54" i="6"/>
  <c r="N68" i="6"/>
  <c r="L68" i="6"/>
  <c r="J68" i="6"/>
  <c r="I68" i="6"/>
  <c r="H68" i="6"/>
  <c r="Q62" i="6"/>
  <c r="Q64" i="6" s="1"/>
  <c r="R77" i="7" s="1"/>
  <c r="R75" i="7" s="1"/>
  <c r="R17" i="4"/>
  <c r="J54" i="6"/>
  <c r="J59" i="6" s="1"/>
  <c r="F54" i="6"/>
  <c r="D38" i="6"/>
  <c r="D40" i="6"/>
  <c r="H54" i="6"/>
  <c r="AM28" i="6"/>
  <c r="AL23" i="1" s="1"/>
  <c r="D68" i="6"/>
  <c r="E68" i="6"/>
  <c r="Q48" i="6"/>
  <c r="Q50" i="6" s="1"/>
  <c r="R16" i="4"/>
  <c r="F68" i="6"/>
  <c r="O66" i="6"/>
  <c r="M68" i="6"/>
  <c r="AJ28" i="6"/>
  <c r="AI23" i="1" s="1"/>
  <c r="N54" i="6"/>
  <c r="L38" i="6"/>
  <c r="L40" i="6"/>
  <c r="N40" i="6"/>
  <c r="N38" i="6"/>
  <c r="M75" i="1" s="1"/>
  <c r="O38" i="6"/>
  <c r="O40" i="6"/>
  <c r="Q38" i="6"/>
  <c r="Q40" i="6"/>
  <c r="R40" i="6"/>
  <c r="R38" i="6"/>
  <c r="S38" i="6"/>
  <c r="S40" i="6"/>
  <c r="T38" i="6"/>
  <c r="T40" i="6"/>
  <c r="U38" i="6"/>
  <c r="U40" i="6"/>
  <c r="V38" i="6"/>
  <c r="V40" i="6"/>
  <c r="W38" i="6"/>
  <c r="W40" i="6"/>
  <c r="X38" i="6"/>
  <c r="X40" i="6"/>
  <c r="Y40" i="6"/>
  <c r="Y38" i="6"/>
  <c r="X75" i="1" s="1"/>
  <c r="Z40" i="6"/>
  <c r="Z38" i="6"/>
  <c r="Y75" i="1" s="1"/>
  <c r="AA40" i="6"/>
  <c r="AA38" i="6"/>
  <c r="Z75" i="1" s="1"/>
  <c r="AC40" i="6"/>
  <c r="AC38" i="6"/>
  <c r="AB75" i="1" s="1"/>
  <c r="AD38" i="6"/>
  <c r="AD40" i="6"/>
  <c r="AE38" i="6"/>
  <c r="AE40" i="6"/>
  <c r="AF38" i="6"/>
  <c r="AF40" i="6"/>
  <c r="AG38" i="6"/>
  <c r="AG40" i="6"/>
  <c r="AH38" i="6"/>
  <c r="AH40" i="6"/>
  <c r="O52" i="6"/>
  <c r="O56" i="6"/>
  <c r="D54" i="6"/>
  <c r="D59" i="6" s="1"/>
  <c r="E54" i="6"/>
  <c r="O28" i="6"/>
  <c r="N23" i="1" s="1"/>
  <c r="AA28" i="6"/>
  <c r="Z23" i="1" s="1"/>
  <c r="AO31" i="6"/>
  <c r="AI40" i="6"/>
  <c r="AI38" i="6"/>
  <c r="AH75" i="1" s="1"/>
  <c r="AJ40" i="6"/>
  <c r="AJ38" i="6"/>
  <c r="AI75" i="1" s="1"/>
  <c r="AK40" i="6"/>
  <c r="AK38" i="6"/>
  <c r="AJ75" i="1" s="1"/>
  <c r="AL40" i="6"/>
  <c r="AL38" i="6"/>
  <c r="AK75" i="1" s="1"/>
  <c r="AM40" i="6"/>
  <c r="AM38" i="6"/>
  <c r="AL75" i="1" s="1"/>
  <c r="AG42" i="6"/>
  <c r="AF69" i="1" s="1"/>
  <c r="AG36" i="6"/>
  <c r="AF58" i="1" s="1"/>
  <c r="AF57" i="1" s="1"/>
  <c r="AH42" i="6"/>
  <c r="AG69" i="1" s="1"/>
  <c r="AH36" i="6"/>
  <c r="AG58" i="1" s="1"/>
  <c r="AG57" i="1" s="1"/>
  <c r="AI42" i="6"/>
  <c r="AH69" i="1" s="1"/>
  <c r="AI36" i="6"/>
  <c r="AH58" i="1" s="1"/>
  <c r="AH57" i="1" s="1"/>
  <c r="AJ42" i="6"/>
  <c r="AI69" i="1" s="1"/>
  <c r="AJ36" i="6"/>
  <c r="AI58" i="1" s="1"/>
  <c r="AI57" i="1" s="1"/>
  <c r="AK42" i="6"/>
  <c r="AJ69" i="1" s="1"/>
  <c r="AK36" i="6"/>
  <c r="AJ58" i="1" s="1"/>
  <c r="AJ57" i="1" s="1"/>
  <c r="AL36" i="6"/>
  <c r="AK58" i="1" s="1"/>
  <c r="AK57" i="1" s="1"/>
  <c r="AL42" i="6"/>
  <c r="AK69" i="1" s="1"/>
  <c r="AH28" i="6"/>
  <c r="AG23" i="1" s="1"/>
  <c r="AL28" i="6"/>
  <c r="AK23" i="1" s="1"/>
  <c r="AG28" i="6"/>
  <c r="AF23" i="1" s="1"/>
  <c r="K28" i="6"/>
  <c r="J23" i="1" s="1"/>
  <c r="AI28" i="6"/>
  <c r="AH23" i="1" s="1"/>
  <c r="R28" i="6"/>
  <c r="Q23" i="1" s="1"/>
  <c r="Y28" i="6"/>
  <c r="X23" i="1" s="1"/>
  <c r="AK28" i="6"/>
  <c r="AJ23" i="1" s="1"/>
  <c r="F28" i="6"/>
  <c r="E23" i="1" s="1"/>
  <c r="AP31" i="6"/>
  <c r="N42" i="6"/>
  <c r="M69" i="1" s="1"/>
  <c r="N36" i="6"/>
  <c r="M58" i="1" s="1"/>
  <c r="M57" i="1" s="1"/>
  <c r="L28" i="6"/>
  <c r="K23" i="1" s="1"/>
  <c r="T28" i="6"/>
  <c r="S23" i="1" s="1"/>
  <c r="V28" i="6"/>
  <c r="U23" i="1" s="1"/>
  <c r="AE28" i="6"/>
  <c r="AD23" i="1" s="1"/>
  <c r="L36" i="6"/>
  <c r="K58" i="1" s="1"/>
  <c r="K57" i="1" s="1"/>
  <c r="L42" i="6"/>
  <c r="K69" i="1" s="1"/>
  <c r="Q36" i="6"/>
  <c r="P58" i="1" s="1"/>
  <c r="P57" i="1" s="1"/>
  <c r="Q42" i="6"/>
  <c r="P69" i="1" s="1"/>
  <c r="AB42" i="6"/>
  <c r="AA69" i="1" s="1"/>
  <c r="AQ31" i="6"/>
  <c r="AC42" i="6"/>
  <c r="AB69" i="1" s="1"/>
  <c r="AC36" i="6"/>
  <c r="AB58" i="1" s="1"/>
  <c r="AB57" i="1" s="1"/>
  <c r="AD42" i="6"/>
  <c r="AC69" i="1" s="1"/>
  <c r="AD36" i="6"/>
  <c r="AC58" i="1" s="1"/>
  <c r="AC57" i="1" s="1"/>
  <c r="AE36" i="6"/>
  <c r="AD58" i="1" s="1"/>
  <c r="AD57" i="1" s="1"/>
  <c r="AE42" i="6"/>
  <c r="AD69" i="1" s="1"/>
  <c r="AF36" i="6"/>
  <c r="AE58" i="1" s="1"/>
  <c r="AE57" i="1" s="1"/>
  <c r="AF42" i="6"/>
  <c r="AE69" i="1" s="1"/>
  <c r="O42" i="6"/>
  <c r="N69" i="1" s="1"/>
  <c r="O36" i="6"/>
  <c r="N58" i="1" s="1"/>
  <c r="N57" i="1" s="1"/>
  <c r="S28" i="6"/>
  <c r="R23" i="1" s="1"/>
  <c r="AB28" i="6"/>
  <c r="AA23" i="1" s="1"/>
  <c r="W28" i="6"/>
  <c r="V23" i="1" s="1"/>
  <c r="AF28" i="6"/>
  <c r="AE23" i="1" s="1"/>
  <c r="U28" i="6"/>
  <c r="T23" i="1" s="1"/>
  <c r="X28" i="6"/>
  <c r="W23" i="1" s="1"/>
  <c r="Z28" i="6"/>
  <c r="Y23" i="1" s="1"/>
  <c r="AD28" i="6"/>
  <c r="AC23" i="1" s="1"/>
  <c r="R36" i="6"/>
  <c r="Q58" i="1" s="1"/>
  <c r="Q57" i="1" s="1"/>
  <c r="R42" i="6"/>
  <c r="Q69" i="1" s="1"/>
  <c r="S36" i="6"/>
  <c r="R58" i="1" s="1"/>
  <c r="R57" i="1" s="1"/>
  <c r="S42" i="6"/>
  <c r="R69" i="1" s="1"/>
  <c r="T36" i="6"/>
  <c r="S58" i="1" s="1"/>
  <c r="S57" i="1" s="1"/>
  <c r="T42" i="6"/>
  <c r="S69" i="1" s="1"/>
  <c r="U42" i="6"/>
  <c r="T69" i="1" s="1"/>
  <c r="U36" i="6"/>
  <c r="T58" i="1" s="1"/>
  <c r="T57" i="1" s="1"/>
  <c r="V36" i="6"/>
  <c r="U58" i="1" s="1"/>
  <c r="U57" i="1" s="1"/>
  <c r="V42" i="6"/>
  <c r="U69" i="1" s="1"/>
  <c r="W42" i="6"/>
  <c r="V69" i="1" s="1"/>
  <c r="W36" i="6"/>
  <c r="V58" i="1" s="1"/>
  <c r="V57" i="1" s="1"/>
  <c r="X36" i="6"/>
  <c r="W58" i="1" s="1"/>
  <c r="W57" i="1" s="1"/>
  <c r="X42" i="6"/>
  <c r="W69" i="1" s="1"/>
  <c r="Y36" i="6"/>
  <c r="X58" i="1" s="1"/>
  <c r="X57" i="1" s="1"/>
  <c r="Y42" i="6"/>
  <c r="X69" i="1" s="1"/>
  <c r="Z36" i="6"/>
  <c r="Y58" i="1" s="1"/>
  <c r="Y57" i="1" s="1"/>
  <c r="Z42" i="6"/>
  <c r="Y69" i="1" s="1"/>
  <c r="F36" i="6"/>
  <c r="E58" i="1" s="1"/>
  <c r="E57" i="1" s="1"/>
  <c r="F40" i="6"/>
  <c r="J38" i="6"/>
  <c r="J40" i="6"/>
  <c r="M38" i="6"/>
  <c r="M40" i="6"/>
  <c r="G36" i="6"/>
  <c r="F58" i="1" s="1"/>
  <c r="F57" i="1" s="1"/>
  <c r="G38" i="6"/>
  <c r="G40" i="6"/>
  <c r="I38" i="6"/>
  <c r="I40" i="6"/>
  <c r="P28" i="6"/>
  <c r="O23" i="1" s="1"/>
  <c r="AP24" i="6"/>
  <c r="Q28" i="6"/>
  <c r="P23" i="1" s="1"/>
  <c r="AQ24" i="6"/>
  <c r="AC28" i="6"/>
  <c r="AB23" i="1" s="1"/>
  <c r="F19" i="5"/>
  <c r="F21" i="5" s="1"/>
  <c r="F37" i="5"/>
  <c r="F39" i="5" s="1"/>
  <c r="F62" i="5"/>
  <c r="F64" i="5" s="1"/>
  <c r="F66" i="5" s="1"/>
  <c r="L37" i="5"/>
  <c r="L39" i="5" s="1"/>
  <c r="L41" i="5" s="1"/>
  <c r="L51" i="5" s="1"/>
  <c r="L58" i="5" s="1"/>
  <c r="L19" i="5"/>
  <c r="L21" i="5" s="1"/>
  <c r="L23" i="5" s="1"/>
  <c r="L33" i="5" s="1"/>
  <c r="L62" i="5"/>
  <c r="L64" i="5" s="1"/>
  <c r="L66" i="5" s="1"/>
  <c r="L76" i="5" s="1"/>
  <c r="L83" i="5" s="1"/>
  <c r="S19" i="5"/>
  <c r="S37" i="5"/>
  <c r="S62" i="5"/>
  <c r="F8" i="6"/>
  <c r="F10" i="6" s="1"/>
  <c r="G13" i="4"/>
  <c r="L8" i="6"/>
  <c r="L10" i="6" s="1"/>
  <c r="L12" i="6" s="1"/>
  <c r="L14" i="6" s="1"/>
  <c r="M13" i="4"/>
  <c r="AO32" i="6"/>
  <c r="AA36" i="6"/>
  <c r="Z58" i="1" s="1"/>
  <c r="Z57" i="1" s="1"/>
  <c r="AA42" i="6"/>
  <c r="Z69" i="1" s="1"/>
  <c r="P36" i="6"/>
  <c r="O58" i="1" s="1"/>
  <c r="O57" i="1" s="1"/>
  <c r="AP32" i="6"/>
  <c r="AB36" i="6"/>
  <c r="AA58" i="1" s="1"/>
  <c r="AA57" i="1" s="1"/>
  <c r="AQ32" i="6"/>
  <c r="AM42" i="6"/>
  <c r="AL69" i="1" s="1"/>
  <c r="AM36" i="6"/>
  <c r="AL58" i="1" s="1"/>
  <c r="AL57" i="1" s="1"/>
  <c r="E38" i="6"/>
  <c r="E40" i="6"/>
  <c r="P38" i="6"/>
  <c r="P40" i="6"/>
  <c r="AB40" i="6"/>
  <c r="AB38" i="6"/>
  <c r="AA75" i="1" s="1"/>
  <c r="H36" i="6"/>
  <c r="G58" i="1" s="1"/>
  <c r="G57" i="1" s="1"/>
  <c r="H38" i="6"/>
  <c r="H40" i="6"/>
  <c r="K36" i="6"/>
  <c r="J58" i="1" s="1"/>
  <c r="J57" i="1" s="1"/>
  <c r="K38" i="6"/>
  <c r="K40" i="6"/>
  <c r="H28" i="6"/>
  <c r="G23" i="1" s="1"/>
  <c r="G28" i="6"/>
  <c r="F23" i="1" s="1"/>
  <c r="N28" i="6"/>
  <c r="M23" i="1" s="1"/>
  <c r="M28" i="6"/>
  <c r="L23" i="1" s="1"/>
  <c r="J28" i="6"/>
  <c r="I23" i="1" s="1"/>
  <c r="I28" i="6"/>
  <c r="H23" i="1" s="1"/>
  <c r="AO24" i="6"/>
  <c r="E28" i="6"/>
  <c r="D23" i="1" s="1"/>
  <c r="D28" i="6"/>
  <c r="C23" i="1" s="1"/>
  <c r="M36" i="6"/>
  <c r="L58" i="1" s="1"/>
  <c r="L57" i="1" s="1"/>
  <c r="M42" i="6"/>
  <c r="L69" i="1" s="1"/>
  <c r="I36" i="6"/>
  <c r="H58" i="1" s="1"/>
  <c r="H57" i="1" s="1"/>
  <c r="I42" i="6"/>
  <c r="H69" i="1" s="1"/>
  <c r="G37" i="5"/>
  <c r="G19" i="5"/>
  <c r="G62" i="5"/>
  <c r="M62" i="5"/>
  <c r="M37" i="5"/>
  <c r="M19" i="5"/>
  <c r="T62" i="5"/>
  <c r="T19" i="5"/>
  <c r="T37" i="5"/>
  <c r="E14" i="6"/>
  <c r="E16" i="6"/>
  <c r="D74" i="1" s="1"/>
  <c r="P14" i="6"/>
  <c r="P16" i="6"/>
  <c r="O74" i="1" s="1"/>
  <c r="K14" i="6"/>
  <c r="K16" i="6"/>
  <c r="J74" i="1" s="1"/>
  <c r="H12" i="4"/>
  <c r="N12" i="4"/>
  <c r="U12" i="4"/>
  <c r="S13" i="4"/>
  <c r="S8" i="6" s="1"/>
  <c r="Q39" i="5"/>
  <c r="Q64" i="5"/>
  <c r="Q21" i="5"/>
  <c r="Q23" i="5" s="1"/>
  <c r="Q33" i="5" s="1"/>
  <c r="R10" i="4"/>
  <c r="M10" i="4"/>
  <c r="O12" i="6"/>
  <c r="O66" i="5"/>
  <c r="O76" i="5" s="1"/>
  <c r="O83" i="5" s="1"/>
  <c r="D76" i="5"/>
  <c r="D83" i="5" s="1"/>
  <c r="D70" i="5"/>
  <c r="P76" i="5"/>
  <c r="P83" i="5" s="1"/>
  <c r="O23" i="5"/>
  <c r="O33" i="5" s="1"/>
  <c r="O12" i="5" s="1"/>
  <c r="N68" i="1" s="1"/>
  <c r="P51" i="5"/>
  <c r="D45" i="5"/>
  <c r="D55" i="5" s="1"/>
  <c r="D27" i="5"/>
  <c r="D8" i="5" s="1"/>
  <c r="E40" i="7" s="1"/>
  <c r="E38" i="7" s="1"/>
  <c r="D33" i="5"/>
  <c r="P33" i="5"/>
  <c r="E52" i="3"/>
  <c r="D64" i="1" s="1"/>
  <c r="D20" i="3"/>
  <c r="D30" i="3"/>
  <c r="C63" i="1" s="1"/>
  <c r="D74" i="3"/>
  <c r="C65" i="1" s="1"/>
  <c r="D66" i="3"/>
  <c r="D86" i="3"/>
  <c r="E30" i="7" s="1"/>
  <c r="E29" i="7" s="1"/>
  <c r="D100" i="3"/>
  <c r="C66" i="1" s="1"/>
  <c r="E61" i="3"/>
  <c r="E63" i="3" s="1"/>
  <c r="E74" i="3" s="1"/>
  <c r="D65" i="1" s="1"/>
  <c r="D52" i="3"/>
  <c r="C64" i="1" s="1"/>
  <c r="D44" i="3"/>
  <c r="G10" i="4"/>
  <c r="F5" i="3"/>
  <c r="AA4" i="2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P4" i="2" s="1"/>
  <c r="AO4" i="2"/>
  <c r="AA4" i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P4" i="1" s="1"/>
  <c r="AO4" i="1"/>
  <c r="AP75" i="7" l="1"/>
  <c r="D27" i="2"/>
  <c r="AK137" i="1"/>
  <c r="AH137" i="1"/>
  <c r="AJ137" i="1"/>
  <c r="AB137" i="1"/>
  <c r="M137" i="1"/>
  <c r="O51" i="1"/>
  <c r="O142" i="1" s="1"/>
  <c r="P115" i="6"/>
  <c r="M93" i="6"/>
  <c r="J93" i="6"/>
  <c r="AI137" i="1"/>
  <c r="Q75" i="1"/>
  <c r="D93" i="6"/>
  <c r="C143" i="1"/>
  <c r="AL137" i="1"/>
  <c r="Q137" i="1"/>
  <c r="Z137" i="1"/>
  <c r="X137" i="1"/>
  <c r="AA137" i="1"/>
  <c r="Y137" i="1"/>
  <c r="N77" i="1"/>
  <c r="AO90" i="6"/>
  <c r="P92" i="6"/>
  <c r="O98" i="1"/>
  <c r="O92" i="6"/>
  <c r="AO92" i="6" s="1"/>
  <c r="N98" i="1"/>
  <c r="AN98" i="1" s="1"/>
  <c r="AN97" i="1"/>
  <c r="AO73" i="6"/>
  <c r="K93" i="6"/>
  <c r="H93" i="6"/>
  <c r="Q90" i="6"/>
  <c r="P77" i="1" s="1"/>
  <c r="R90" i="7"/>
  <c r="R87" i="7" s="1"/>
  <c r="Q73" i="6"/>
  <c r="P97" i="1"/>
  <c r="D15" i="5"/>
  <c r="C93" i="1"/>
  <c r="V53" i="7"/>
  <c r="H52" i="7"/>
  <c r="G8" i="7"/>
  <c r="AF9" i="7"/>
  <c r="AG46" i="7"/>
  <c r="T9" i="7"/>
  <c r="U46" i="7"/>
  <c r="D19" i="2"/>
  <c r="C18" i="2"/>
  <c r="K101" i="7"/>
  <c r="L101" i="7" s="1"/>
  <c r="M101" i="7" s="1"/>
  <c r="N101" i="7" s="1"/>
  <c r="AP12" i="7"/>
  <c r="G17" i="7"/>
  <c r="AP17" i="7" s="1"/>
  <c r="Q82" i="7"/>
  <c r="AP82" i="7"/>
  <c r="R82" i="7"/>
  <c r="S82" i="7" s="1"/>
  <c r="T82" i="7" s="1"/>
  <c r="V83" i="7"/>
  <c r="W83" i="7" s="1"/>
  <c r="X83" i="7" s="1"/>
  <c r="N72" i="7"/>
  <c r="H64" i="7"/>
  <c r="I64" i="7" s="1"/>
  <c r="K45" i="7"/>
  <c r="I27" i="2"/>
  <c r="L59" i="6"/>
  <c r="I59" i="6"/>
  <c r="G27" i="2"/>
  <c r="F93" i="6"/>
  <c r="E93" i="6"/>
  <c r="G93" i="6"/>
  <c r="AO57" i="6"/>
  <c r="D117" i="1"/>
  <c r="AN117" i="1" s="1"/>
  <c r="AN119" i="1"/>
  <c r="E130" i="3"/>
  <c r="E131" i="3" s="1"/>
  <c r="D92" i="1"/>
  <c r="J27" i="2"/>
  <c r="E59" i="6"/>
  <c r="N59" i="6"/>
  <c r="C27" i="2"/>
  <c r="N93" i="6"/>
  <c r="L27" i="2"/>
  <c r="I93" i="6"/>
  <c r="K59" i="6"/>
  <c r="L93" i="6"/>
  <c r="L80" i="1"/>
  <c r="L144" i="1" s="1"/>
  <c r="M143" i="6"/>
  <c r="G80" i="1"/>
  <c r="G144" i="1" s="1"/>
  <c r="H143" i="6"/>
  <c r="G59" i="6"/>
  <c r="F59" i="6"/>
  <c r="H59" i="6"/>
  <c r="AO91" i="6"/>
  <c r="O30" i="2"/>
  <c r="N30" i="2"/>
  <c r="AN30" i="2" s="1"/>
  <c r="Q91" i="6"/>
  <c r="P119" i="1" s="1"/>
  <c r="Q72" i="6"/>
  <c r="P118" i="1" s="1"/>
  <c r="P72" i="6"/>
  <c r="O118" i="1" s="1"/>
  <c r="AO72" i="6"/>
  <c r="O29" i="2"/>
  <c r="N29" i="2"/>
  <c r="AN29" i="2" s="1"/>
  <c r="O28" i="2"/>
  <c r="N28" i="2"/>
  <c r="P57" i="6"/>
  <c r="O117" i="1" s="1"/>
  <c r="Q57" i="6"/>
  <c r="P117" i="1" s="1"/>
  <c r="AF80" i="1"/>
  <c r="AF144" i="1" s="1"/>
  <c r="AG143" i="6"/>
  <c r="AN79" i="1"/>
  <c r="K80" i="1"/>
  <c r="K144" i="1" s="1"/>
  <c r="L143" i="6"/>
  <c r="D52" i="1"/>
  <c r="D143" i="1" s="1"/>
  <c r="E129" i="6"/>
  <c r="E52" i="1"/>
  <c r="E143" i="1" s="1"/>
  <c r="F129" i="6"/>
  <c r="F52" i="1"/>
  <c r="F143" i="1" s="1"/>
  <c r="G129" i="6"/>
  <c r="G52" i="1"/>
  <c r="G143" i="1" s="1"/>
  <c r="H129" i="6"/>
  <c r="H52" i="1"/>
  <c r="H143" i="1" s="1"/>
  <c r="I129" i="6"/>
  <c r="I52" i="1"/>
  <c r="I143" i="1" s="1"/>
  <c r="J129" i="6"/>
  <c r="J52" i="1"/>
  <c r="J143" i="1" s="1"/>
  <c r="K129" i="6"/>
  <c r="K52" i="1"/>
  <c r="K143" i="1" s="1"/>
  <c r="L129" i="6"/>
  <c r="L52" i="1"/>
  <c r="L143" i="1" s="1"/>
  <c r="M129" i="6"/>
  <c r="M52" i="1"/>
  <c r="M143" i="1" s="1"/>
  <c r="N129" i="6"/>
  <c r="O52" i="1"/>
  <c r="O143" i="1" s="1"/>
  <c r="P129" i="6"/>
  <c r="P52" i="1"/>
  <c r="P143" i="1" s="1"/>
  <c r="Q129" i="6"/>
  <c r="Q52" i="1"/>
  <c r="Q143" i="1" s="1"/>
  <c r="R129" i="6"/>
  <c r="R52" i="1"/>
  <c r="R143" i="1" s="1"/>
  <c r="S129" i="6"/>
  <c r="S52" i="1"/>
  <c r="S143" i="1" s="1"/>
  <c r="T129" i="6"/>
  <c r="T52" i="1"/>
  <c r="T143" i="1" s="1"/>
  <c r="U129" i="6"/>
  <c r="U52" i="1"/>
  <c r="U143" i="1" s="1"/>
  <c r="V129" i="6"/>
  <c r="V52" i="1"/>
  <c r="V143" i="1" s="1"/>
  <c r="W129" i="6"/>
  <c r="M80" i="1"/>
  <c r="M144" i="1" s="1"/>
  <c r="N143" i="6"/>
  <c r="X80" i="1"/>
  <c r="X144" i="1" s="1"/>
  <c r="Y143" i="6"/>
  <c r="AK80" i="1"/>
  <c r="AK144" i="1" s="1"/>
  <c r="AL143" i="6"/>
  <c r="C75" i="1"/>
  <c r="C137" i="1" s="1"/>
  <c r="S75" i="1"/>
  <c r="S137" i="1" s="1"/>
  <c r="U75" i="1"/>
  <c r="U137" i="1" s="1"/>
  <c r="V75" i="1"/>
  <c r="V137" i="1" s="1"/>
  <c r="AC75" i="1"/>
  <c r="AC137" i="1" s="1"/>
  <c r="AD75" i="1"/>
  <c r="AD137" i="1" s="1"/>
  <c r="AE75" i="1"/>
  <c r="AE137" i="1" s="1"/>
  <c r="AF75" i="1"/>
  <c r="AF137" i="1" s="1"/>
  <c r="AG75" i="1"/>
  <c r="AG137" i="1" s="1"/>
  <c r="M26" i="1"/>
  <c r="M140" i="1" s="1"/>
  <c r="H26" i="1"/>
  <c r="H140" i="1" s="1"/>
  <c r="Z79" i="1"/>
  <c r="Z143" i="1" s="1"/>
  <c r="AP127" i="6"/>
  <c r="R75" i="1"/>
  <c r="R137" i="1" s="1"/>
  <c r="G75" i="1"/>
  <c r="G137" i="1" s="1"/>
  <c r="J75" i="1"/>
  <c r="J137" i="1" s="1"/>
  <c r="T80" i="1"/>
  <c r="T144" i="1" s="1"/>
  <c r="U143" i="6"/>
  <c r="Z80" i="1"/>
  <c r="Z144" i="1" s="1"/>
  <c r="AA143" i="6"/>
  <c r="AD80" i="1"/>
  <c r="AD144" i="1" s="1"/>
  <c r="AE143" i="6"/>
  <c r="AL80" i="1"/>
  <c r="AL144" i="1" s="1"/>
  <c r="AM143" i="6"/>
  <c r="Q80" i="1"/>
  <c r="Q144" i="1" s="1"/>
  <c r="R143" i="6"/>
  <c r="C26" i="1"/>
  <c r="C140" i="1" s="1"/>
  <c r="T75" i="1"/>
  <c r="T137" i="1" s="1"/>
  <c r="K75" i="1"/>
  <c r="K137" i="1" s="1"/>
  <c r="N75" i="1"/>
  <c r="N137" i="1" s="1"/>
  <c r="P75" i="1"/>
  <c r="P137" i="1" s="1"/>
  <c r="W75" i="1"/>
  <c r="W137" i="1" s="1"/>
  <c r="I75" i="1"/>
  <c r="I137" i="1" s="1"/>
  <c r="L75" i="1"/>
  <c r="L137" i="1" s="1"/>
  <c r="F75" i="1"/>
  <c r="F137" i="1" s="1"/>
  <c r="H75" i="1"/>
  <c r="H137" i="1" s="1"/>
  <c r="D75" i="1"/>
  <c r="D137" i="1" s="1"/>
  <c r="O75" i="1"/>
  <c r="O137" i="1" s="1"/>
  <c r="N80" i="1"/>
  <c r="N144" i="1" s="1"/>
  <c r="O143" i="6"/>
  <c r="U80" i="1"/>
  <c r="U144" i="1" s="1"/>
  <c r="V143" i="6"/>
  <c r="D143" i="6"/>
  <c r="C80" i="1"/>
  <c r="C144" i="1" s="1"/>
  <c r="K24" i="1"/>
  <c r="K138" i="1" s="1"/>
  <c r="H24" i="1"/>
  <c r="H138" i="1" s="1"/>
  <c r="O37" i="1"/>
  <c r="N37" i="1"/>
  <c r="AN37" i="1" s="1"/>
  <c r="AN38" i="1"/>
  <c r="AM152" i="6"/>
  <c r="AL54" i="1"/>
  <c r="AL145" i="1" s="1"/>
  <c r="AL152" i="6"/>
  <c r="AK54" i="1"/>
  <c r="AK145" i="1" s="1"/>
  <c r="AK152" i="6"/>
  <c r="AJ54" i="1"/>
  <c r="AJ145" i="1" s="1"/>
  <c r="AJ152" i="6"/>
  <c r="AI54" i="1"/>
  <c r="AI145" i="1" s="1"/>
  <c r="AI152" i="6"/>
  <c r="AH54" i="1"/>
  <c r="AH145" i="1" s="1"/>
  <c r="AH152" i="6"/>
  <c r="AG54" i="1"/>
  <c r="AG145" i="1" s="1"/>
  <c r="AG152" i="6"/>
  <c r="AF54" i="1"/>
  <c r="AF145" i="1" s="1"/>
  <c r="AF152" i="6"/>
  <c r="AE54" i="1"/>
  <c r="AE145" i="1" s="1"/>
  <c r="AE152" i="6"/>
  <c r="AD54" i="1"/>
  <c r="AD145" i="1" s="1"/>
  <c r="AD152" i="6"/>
  <c r="AC54" i="1"/>
  <c r="AC145" i="1" s="1"/>
  <c r="AC152" i="6"/>
  <c r="AB54" i="1"/>
  <c r="AB145" i="1" s="1"/>
  <c r="AA152" i="6"/>
  <c r="Z54" i="1"/>
  <c r="Z145" i="1" s="1"/>
  <c r="Z152" i="6"/>
  <c r="Y54" i="1"/>
  <c r="Y145" i="1" s="1"/>
  <c r="Y152" i="6"/>
  <c r="X54" i="1"/>
  <c r="X145" i="1" s="1"/>
  <c r="X152" i="6"/>
  <c r="W54" i="1"/>
  <c r="W145" i="1" s="1"/>
  <c r="W152" i="6"/>
  <c r="V54" i="1"/>
  <c r="V145" i="1" s="1"/>
  <c r="V152" i="6"/>
  <c r="U54" i="1"/>
  <c r="U145" i="1" s="1"/>
  <c r="U152" i="6"/>
  <c r="T54" i="1"/>
  <c r="T145" i="1" s="1"/>
  <c r="T152" i="6"/>
  <c r="S54" i="1"/>
  <c r="S145" i="1" s="1"/>
  <c r="S152" i="6"/>
  <c r="R54" i="1"/>
  <c r="R145" i="1" s="1"/>
  <c r="R152" i="6"/>
  <c r="Q54" i="1"/>
  <c r="Q145" i="1" s="1"/>
  <c r="Q152" i="6"/>
  <c r="P54" i="1"/>
  <c r="P145" i="1" s="1"/>
  <c r="O152" i="6"/>
  <c r="N54" i="1"/>
  <c r="N145" i="1" s="1"/>
  <c r="N152" i="6"/>
  <c r="M54" i="1"/>
  <c r="M145" i="1" s="1"/>
  <c r="M152" i="6"/>
  <c r="L54" i="1"/>
  <c r="L145" i="1" s="1"/>
  <c r="L152" i="6"/>
  <c r="K54" i="1"/>
  <c r="K145" i="1" s="1"/>
  <c r="K152" i="6"/>
  <c r="J54" i="1"/>
  <c r="J145" i="1" s="1"/>
  <c r="J152" i="6"/>
  <c r="I54" i="1"/>
  <c r="I145" i="1" s="1"/>
  <c r="I152" i="6"/>
  <c r="H54" i="1"/>
  <c r="H145" i="1" s="1"/>
  <c r="H152" i="6"/>
  <c r="G54" i="1"/>
  <c r="G145" i="1" s="1"/>
  <c r="G152" i="6"/>
  <c r="F54" i="1"/>
  <c r="F145" i="1" s="1"/>
  <c r="F152" i="6"/>
  <c r="E54" i="1"/>
  <c r="E145" i="1" s="1"/>
  <c r="AQ127" i="6"/>
  <c r="AI79" i="1"/>
  <c r="AI143" i="1" s="1"/>
  <c r="AM129" i="6"/>
  <c r="AL52" i="1"/>
  <c r="AL143" i="1" s="1"/>
  <c r="O129" i="6"/>
  <c r="N52" i="1"/>
  <c r="N143" i="1" s="1"/>
  <c r="AO111" i="6"/>
  <c r="E51" i="1"/>
  <c r="E142" i="1" s="1"/>
  <c r="AO87" i="6"/>
  <c r="N50" i="1"/>
  <c r="AN50" i="1" s="1"/>
  <c r="AO88" i="6"/>
  <c r="N19" i="1"/>
  <c r="J26" i="1"/>
  <c r="J140" i="1" s="1"/>
  <c r="L26" i="1"/>
  <c r="L140" i="1" s="1"/>
  <c r="G26" i="1"/>
  <c r="G140" i="1" s="1"/>
  <c r="E26" i="1"/>
  <c r="E140" i="1" s="1"/>
  <c r="D26" i="1"/>
  <c r="D140" i="1" s="1"/>
  <c r="F26" i="1"/>
  <c r="F140" i="1" s="1"/>
  <c r="I26" i="1"/>
  <c r="I140" i="1" s="1"/>
  <c r="K26" i="1"/>
  <c r="K140" i="1" s="1"/>
  <c r="K165" i="6"/>
  <c r="J71" i="1"/>
  <c r="J146" i="1" s="1"/>
  <c r="Q165" i="6"/>
  <c r="P71" i="1"/>
  <c r="P146" i="1" s="1"/>
  <c r="E165" i="6"/>
  <c r="D71" i="1"/>
  <c r="D146" i="1" s="1"/>
  <c r="N91" i="1"/>
  <c r="O119" i="3"/>
  <c r="J25" i="1"/>
  <c r="J139" i="1" s="1"/>
  <c r="K71" i="6"/>
  <c r="K74" i="6" s="1"/>
  <c r="J24" i="1"/>
  <c r="J138" i="1" s="1"/>
  <c r="P43" i="1"/>
  <c r="L24" i="1"/>
  <c r="L138" i="1" s="1"/>
  <c r="G71" i="6"/>
  <c r="G74" i="6" s="1"/>
  <c r="F25" i="1"/>
  <c r="F139" i="1" s="1"/>
  <c r="O76" i="1"/>
  <c r="AO70" i="6"/>
  <c r="N49" i="1"/>
  <c r="AN49" i="1" s="1"/>
  <c r="F24" i="1"/>
  <c r="F138" i="1" s="1"/>
  <c r="N71" i="6"/>
  <c r="N74" i="6" s="1"/>
  <c r="M25" i="1"/>
  <c r="M139" i="1" s="1"/>
  <c r="L71" i="6"/>
  <c r="L74" i="6" s="1"/>
  <c r="K25" i="1"/>
  <c r="K139" i="1" s="1"/>
  <c r="J71" i="6"/>
  <c r="J74" i="6" s="1"/>
  <c r="I25" i="1"/>
  <c r="I139" i="1" s="1"/>
  <c r="I71" i="6"/>
  <c r="I74" i="6" s="1"/>
  <c r="H25" i="1"/>
  <c r="H139" i="1" s="1"/>
  <c r="H71" i="6"/>
  <c r="H74" i="6" s="1"/>
  <c r="G25" i="1"/>
  <c r="G139" i="1" s="1"/>
  <c r="I24" i="1"/>
  <c r="I138" i="1" s="1"/>
  <c r="E24" i="1"/>
  <c r="E138" i="1" s="1"/>
  <c r="G24" i="1"/>
  <c r="G138" i="1" s="1"/>
  <c r="D71" i="6"/>
  <c r="D74" i="6" s="1"/>
  <c r="C25" i="1"/>
  <c r="C139" i="1" s="1"/>
  <c r="E71" i="6"/>
  <c r="E74" i="6" s="1"/>
  <c r="D25" i="1"/>
  <c r="D139" i="1" s="1"/>
  <c r="F71" i="6"/>
  <c r="F74" i="6" s="1"/>
  <c r="E25" i="1"/>
  <c r="E139" i="1" s="1"/>
  <c r="M71" i="6"/>
  <c r="M74" i="6" s="1"/>
  <c r="L25" i="1"/>
  <c r="L139" i="1" s="1"/>
  <c r="M24" i="1"/>
  <c r="M138" i="1" s="1"/>
  <c r="AO56" i="6"/>
  <c r="N76" i="1"/>
  <c r="C24" i="1"/>
  <c r="C138" i="1" s="1"/>
  <c r="D24" i="1"/>
  <c r="AP23" i="1"/>
  <c r="F43" i="6"/>
  <c r="F45" i="6" s="1"/>
  <c r="E75" i="1"/>
  <c r="E137" i="1" s="1"/>
  <c r="AO23" i="1"/>
  <c r="K43" i="1"/>
  <c r="AN23" i="1"/>
  <c r="D43" i="1"/>
  <c r="D136" i="1" s="1"/>
  <c r="E18" i="6"/>
  <c r="O43" i="1"/>
  <c r="O136" i="1" s="1"/>
  <c r="P18" i="6"/>
  <c r="J43" i="1"/>
  <c r="J136" i="1" s="1"/>
  <c r="K18" i="6"/>
  <c r="AN57" i="1"/>
  <c r="AO57" i="1"/>
  <c r="AP57" i="1"/>
  <c r="I62" i="1"/>
  <c r="AO123" i="6"/>
  <c r="P102" i="6"/>
  <c r="O70" i="1" s="1"/>
  <c r="O141" i="1" s="1"/>
  <c r="AO100" i="6"/>
  <c r="O102" i="6"/>
  <c r="N70" i="1" s="1"/>
  <c r="N141" i="1" s="1"/>
  <c r="AB152" i="6"/>
  <c r="AQ150" i="6"/>
  <c r="P152" i="6"/>
  <c r="AP150" i="6"/>
  <c r="E152" i="6"/>
  <c r="AO150" i="6"/>
  <c r="AJ129" i="6"/>
  <c r="AQ123" i="6"/>
  <c r="AA129" i="6"/>
  <c r="AP123" i="6"/>
  <c r="Q100" i="6"/>
  <c r="D129" i="6"/>
  <c r="F111" i="3"/>
  <c r="F116" i="3" s="1"/>
  <c r="G32" i="7"/>
  <c r="G31" i="7" s="1"/>
  <c r="AO127" i="6"/>
  <c r="AQ138" i="6"/>
  <c r="AB143" i="6"/>
  <c r="AP138" i="6"/>
  <c r="P143" i="6"/>
  <c r="AO138" i="6"/>
  <c r="AO136" i="6"/>
  <c r="AO113" i="6"/>
  <c r="H115" i="6"/>
  <c r="E42" i="1"/>
  <c r="E134" i="1" s="1"/>
  <c r="E92" i="1"/>
  <c r="F130" i="3"/>
  <c r="F131" i="3" s="1"/>
  <c r="G123" i="3"/>
  <c r="G125" i="3" s="1"/>
  <c r="G127" i="3" s="1"/>
  <c r="G129" i="3" s="1"/>
  <c r="H34" i="7"/>
  <c r="H33" i="7" s="1"/>
  <c r="H11" i="4"/>
  <c r="Q52" i="3"/>
  <c r="P64" i="1" s="1"/>
  <c r="Q50" i="3"/>
  <c r="P46" i="1" s="1"/>
  <c r="Q115" i="3"/>
  <c r="Q116" i="3"/>
  <c r="L116" i="3"/>
  <c r="L115" i="3"/>
  <c r="L52" i="3"/>
  <c r="K64" i="1" s="1"/>
  <c r="L50" i="3"/>
  <c r="K46" i="1" s="1"/>
  <c r="F117" i="3"/>
  <c r="E67" i="1" s="1"/>
  <c r="E48" i="1"/>
  <c r="F52" i="3"/>
  <c r="E64" i="1" s="1"/>
  <c r="F50" i="3"/>
  <c r="E46" i="1" s="1"/>
  <c r="F115" i="3"/>
  <c r="L12" i="5"/>
  <c r="K68" i="1" s="1"/>
  <c r="D12" i="5"/>
  <c r="R81" i="3"/>
  <c r="R83" i="3" s="1"/>
  <c r="R85" i="3" s="1"/>
  <c r="R100" i="3" s="1"/>
  <c r="Q66" i="1" s="1"/>
  <c r="R13" i="3"/>
  <c r="R15" i="3" s="1"/>
  <c r="R17" i="3" s="1"/>
  <c r="R30" i="3" s="1"/>
  <c r="Q63" i="1" s="1"/>
  <c r="R37" i="3"/>
  <c r="R39" i="3" s="1"/>
  <c r="R41" i="3" s="1"/>
  <c r="R59" i="3"/>
  <c r="R61" i="3" s="1"/>
  <c r="R63" i="3" s="1"/>
  <c r="R74" i="3" s="1"/>
  <c r="Q65" i="1" s="1"/>
  <c r="R107" i="3"/>
  <c r="R109" i="3" s="1"/>
  <c r="M37" i="3"/>
  <c r="M39" i="3" s="1"/>
  <c r="M41" i="3" s="1"/>
  <c r="M81" i="3"/>
  <c r="M83" i="3" s="1"/>
  <c r="M85" i="3" s="1"/>
  <c r="M100" i="3" s="1"/>
  <c r="L66" i="1" s="1"/>
  <c r="M13" i="3"/>
  <c r="M15" i="3" s="1"/>
  <c r="M17" i="3" s="1"/>
  <c r="M30" i="3" s="1"/>
  <c r="L63" i="1" s="1"/>
  <c r="M59" i="3"/>
  <c r="M61" i="3" s="1"/>
  <c r="M63" i="3" s="1"/>
  <c r="M74" i="3" s="1"/>
  <c r="L65" i="1" s="1"/>
  <c r="M107" i="3"/>
  <c r="M109" i="3" s="1"/>
  <c r="M111" i="3" s="1"/>
  <c r="G37" i="3"/>
  <c r="G39" i="3" s="1"/>
  <c r="G41" i="3" s="1"/>
  <c r="G13" i="3"/>
  <c r="G15" i="3" s="1"/>
  <c r="G17" i="3" s="1"/>
  <c r="G30" i="3" s="1"/>
  <c r="F63" i="1" s="1"/>
  <c r="G59" i="3"/>
  <c r="G61" i="3" s="1"/>
  <c r="G63" i="3" s="1"/>
  <c r="G74" i="3" s="1"/>
  <c r="F65" i="1" s="1"/>
  <c r="G81" i="3"/>
  <c r="G83" i="3" s="1"/>
  <c r="G85" i="3" s="1"/>
  <c r="G100" i="3" s="1"/>
  <c r="F66" i="1" s="1"/>
  <c r="G107" i="3"/>
  <c r="G109" i="3" s="1"/>
  <c r="F115" i="6"/>
  <c r="C41" i="1"/>
  <c r="C34" i="1"/>
  <c r="D117" i="3"/>
  <c r="C48" i="1"/>
  <c r="E119" i="3"/>
  <c r="D91" i="1"/>
  <c r="D31" i="5"/>
  <c r="H5" i="5"/>
  <c r="I91" i="1"/>
  <c r="J119" i="3"/>
  <c r="P119" i="3"/>
  <c r="P120" i="3" s="1"/>
  <c r="O91" i="1"/>
  <c r="O133" i="1" s="1"/>
  <c r="K119" i="3"/>
  <c r="K120" i="3" s="1"/>
  <c r="J91" i="1"/>
  <c r="J133" i="1" s="1"/>
  <c r="E115" i="3"/>
  <c r="E116" i="3"/>
  <c r="R32" i="7"/>
  <c r="R31" i="7" s="1"/>
  <c r="M32" i="7"/>
  <c r="M31" i="7" s="1"/>
  <c r="E20" i="7"/>
  <c r="E19" i="7" s="1"/>
  <c r="C8" i="2"/>
  <c r="C10" i="2"/>
  <c r="E28" i="7"/>
  <c r="E27" i="7" s="1"/>
  <c r="D103" i="3"/>
  <c r="C90" i="1"/>
  <c r="E26" i="7"/>
  <c r="E25" i="7" s="1"/>
  <c r="C9" i="2"/>
  <c r="Q81" i="6"/>
  <c r="Q87" i="6"/>
  <c r="P50" i="1" s="1"/>
  <c r="Q88" i="6"/>
  <c r="P19" i="1" s="1"/>
  <c r="R77" i="6"/>
  <c r="R79" i="6" s="1"/>
  <c r="S18" i="4"/>
  <c r="R96" i="6"/>
  <c r="R98" i="6" s="1"/>
  <c r="R100" i="6" s="1"/>
  <c r="S19" i="4"/>
  <c r="Q111" i="6"/>
  <c r="P51" i="1" s="1"/>
  <c r="P142" i="1" s="1"/>
  <c r="R107" i="6"/>
  <c r="R109" i="6" s="1"/>
  <c r="R113" i="6" s="1"/>
  <c r="Q78" i="1" s="1"/>
  <c r="S20" i="4"/>
  <c r="O85" i="6"/>
  <c r="P85" i="6"/>
  <c r="AO81" i="6"/>
  <c r="D43" i="6"/>
  <c r="D45" i="6" s="1"/>
  <c r="L163" i="6"/>
  <c r="R163" i="6"/>
  <c r="F163" i="6"/>
  <c r="M155" i="6"/>
  <c r="M157" i="6" s="1"/>
  <c r="M159" i="6" s="1"/>
  <c r="M161" i="6" s="1"/>
  <c r="L55" i="1" s="1"/>
  <c r="N155" i="6"/>
  <c r="N157" i="6" s="1"/>
  <c r="N159" i="6" s="1"/>
  <c r="N161" i="6" s="1"/>
  <c r="M55" i="1" s="1"/>
  <c r="S155" i="6"/>
  <c r="S157" i="6" s="1"/>
  <c r="S159" i="6" s="1"/>
  <c r="S161" i="6" s="1"/>
  <c r="R55" i="1" s="1"/>
  <c r="T24" i="4"/>
  <c r="G155" i="6"/>
  <c r="G157" i="6" s="1"/>
  <c r="G159" i="6" s="1"/>
  <c r="G161" i="6" s="1"/>
  <c r="F55" i="1" s="1"/>
  <c r="Q66" i="6"/>
  <c r="Q70" i="6"/>
  <c r="P49" i="1" s="1"/>
  <c r="R62" i="6"/>
  <c r="R64" i="6" s="1"/>
  <c r="S77" i="7" s="1"/>
  <c r="S75" i="7" s="1"/>
  <c r="S17" i="4"/>
  <c r="R43" i="6"/>
  <c r="R45" i="6" s="1"/>
  <c r="S43" i="6"/>
  <c r="S45" i="6" s="1"/>
  <c r="AI43" i="6"/>
  <c r="AI45" i="6" s="1"/>
  <c r="T43" i="6"/>
  <c r="T45" i="6" s="1"/>
  <c r="U43" i="6"/>
  <c r="U45" i="6" s="1"/>
  <c r="V43" i="6"/>
  <c r="V45" i="6" s="1"/>
  <c r="W43" i="6"/>
  <c r="W45" i="6" s="1"/>
  <c r="X43" i="6"/>
  <c r="X45" i="6" s="1"/>
  <c r="AJ43" i="6"/>
  <c r="AJ45" i="6" s="1"/>
  <c r="AK43" i="6"/>
  <c r="AK45" i="6" s="1"/>
  <c r="Q56" i="6"/>
  <c r="Q52" i="6"/>
  <c r="R48" i="6"/>
  <c r="R50" i="6" s="1"/>
  <c r="S16" i="4"/>
  <c r="AL43" i="6"/>
  <c r="AL45" i="6" s="1"/>
  <c r="N43" i="6"/>
  <c r="N45" i="6" s="1"/>
  <c r="G43" i="6"/>
  <c r="G45" i="6" s="1"/>
  <c r="O68" i="6"/>
  <c r="N25" i="1" s="1"/>
  <c r="AO66" i="6"/>
  <c r="P68" i="6"/>
  <c r="AP40" i="6"/>
  <c r="M43" i="6"/>
  <c r="M45" i="6" s="1"/>
  <c r="Q43" i="6"/>
  <c r="Q45" i="6" s="1"/>
  <c r="AQ38" i="6"/>
  <c r="AG43" i="6"/>
  <c r="AG45" i="6" s="1"/>
  <c r="AH43" i="6"/>
  <c r="AH45" i="6" s="1"/>
  <c r="L43" i="6"/>
  <c r="L45" i="6" s="1"/>
  <c r="AQ42" i="6"/>
  <c r="Y43" i="6"/>
  <c r="Y45" i="6" s="1"/>
  <c r="Z43" i="6"/>
  <c r="Z45" i="6" s="1"/>
  <c r="AC43" i="6"/>
  <c r="AC45" i="6" s="1"/>
  <c r="AD43" i="6"/>
  <c r="AD45" i="6" s="1"/>
  <c r="AE43" i="6"/>
  <c r="AE45" i="6" s="1"/>
  <c r="AF43" i="6"/>
  <c r="AF45" i="6" s="1"/>
  <c r="O43" i="6"/>
  <c r="O45" i="6" s="1"/>
  <c r="O54" i="6"/>
  <c r="O59" i="6" s="1"/>
  <c r="AO52" i="6"/>
  <c r="P54" i="6"/>
  <c r="AM43" i="6"/>
  <c r="AM45" i="6" s="1"/>
  <c r="J43" i="6"/>
  <c r="J45" i="6" s="1"/>
  <c r="AP28" i="6"/>
  <c r="AQ28" i="6"/>
  <c r="G8" i="6"/>
  <c r="G10" i="6" s="1"/>
  <c r="H13" i="4"/>
  <c r="M8" i="6"/>
  <c r="M10" i="6" s="1"/>
  <c r="M12" i="6" s="1"/>
  <c r="M14" i="6" s="1"/>
  <c r="N13" i="4"/>
  <c r="N8" i="6" s="1"/>
  <c r="H43" i="6"/>
  <c r="H45" i="6" s="1"/>
  <c r="AP38" i="6"/>
  <c r="P43" i="6"/>
  <c r="AQ40" i="6"/>
  <c r="AB43" i="6"/>
  <c r="K43" i="6"/>
  <c r="K45" i="6" s="1"/>
  <c r="AP42" i="6"/>
  <c r="AA43" i="6"/>
  <c r="AA45" i="6" s="1"/>
  <c r="AO38" i="6"/>
  <c r="E43" i="6"/>
  <c r="AO28" i="6"/>
  <c r="AO40" i="6"/>
  <c r="I43" i="6"/>
  <c r="I45" i="6" s="1"/>
  <c r="AO42" i="6"/>
  <c r="H37" i="5"/>
  <c r="H19" i="5"/>
  <c r="H62" i="5"/>
  <c r="N62" i="5"/>
  <c r="N37" i="5"/>
  <c r="N19" i="5"/>
  <c r="U62" i="5"/>
  <c r="U37" i="5"/>
  <c r="U19" i="5"/>
  <c r="D22" i="3"/>
  <c r="D28" i="3"/>
  <c r="C9" i="1" s="1"/>
  <c r="D98" i="3"/>
  <c r="C10" i="1" s="1"/>
  <c r="O16" i="6"/>
  <c r="N74" i="1" s="1"/>
  <c r="O14" i="6"/>
  <c r="I12" i="4"/>
  <c r="V12" i="4"/>
  <c r="T13" i="4"/>
  <c r="T8" i="6" s="1"/>
  <c r="Q41" i="5"/>
  <c r="Q66" i="5"/>
  <c r="R64" i="5"/>
  <c r="R39" i="5"/>
  <c r="Q16" i="6"/>
  <c r="R10" i="6"/>
  <c r="R21" i="5"/>
  <c r="S10" i="4"/>
  <c r="L16" i="6"/>
  <c r="M21" i="5"/>
  <c r="M23" i="5" s="1"/>
  <c r="M33" i="5" s="1"/>
  <c r="M64" i="5"/>
  <c r="M66" i="5" s="1"/>
  <c r="M76" i="5" s="1"/>
  <c r="M83" i="5" s="1"/>
  <c r="M39" i="5"/>
  <c r="M41" i="5" s="1"/>
  <c r="M51" i="5" s="1"/>
  <c r="M58" i="5" s="1"/>
  <c r="N10" i="4"/>
  <c r="F41" i="5"/>
  <c r="F23" i="5"/>
  <c r="F76" i="5"/>
  <c r="F83" i="5" s="1"/>
  <c r="F12" i="6"/>
  <c r="F14" i="6" s="1"/>
  <c r="G39" i="5"/>
  <c r="G64" i="5"/>
  <c r="G21" i="5"/>
  <c r="D74" i="5"/>
  <c r="D75" i="5"/>
  <c r="D82" i="5" s="1"/>
  <c r="D80" i="5"/>
  <c r="D9" i="5" s="1"/>
  <c r="P58" i="5"/>
  <c r="P12" i="5" s="1"/>
  <c r="E69" i="5"/>
  <c r="D50" i="5"/>
  <c r="D57" i="5" s="1"/>
  <c r="D49" i="5"/>
  <c r="E44" i="5"/>
  <c r="D32" i="5"/>
  <c r="E26" i="5"/>
  <c r="D29" i="3"/>
  <c r="C12" i="1" s="1"/>
  <c r="E19" i="3"/>
  <c r="E20" i="3" s="1"/>
  <c r="D27" i="3"/>
  <c r="E86" i="3"/>
  <c r="D88" i="3"/>
  <c r="E65" i="3"/>
  <c r="E72" i="3" s="1"/>
  <c r="D47" i="1" s="1"/>
  <c r="D73" i="3"/>
  <c r="C14" i="1" s="1"/>
  <c r="D71" i="3"/>
  <c r="D51" i="3"/>
  <c r="C13" i="1" s="1"/>
  <c r="E43" i="3"/>
  <c r="E44" i="3" s="1"/>
  <c r="D49" i="3"/>
  <c r="D97" i="3"/>
  <c r="H10" i="4"/>
  <c r="G5" i="3"/>
  <c r="O27" i="2" l="1"/>
  <c r="D138" i="1"/>
  <c r="O93" i="6"/>
  <c r="AO93" i="6" s="1"/>
  <c r="P93" i="6"/>
  <c r="N139" i="1"/>
  <c r="Q92" i="6"/>
  <c r="P98" i="1"/>
  <c r="R90" i="6"/>
  <c r="Q77" i="1" s="1"/>
  <c r="S90" i="7"/>
  <c r="S87" i="7" s="1"/>
  <c r="R73" i="6"/>
  <c r="Q97" i="1"/>
  <c r="E7" i="7"/>
  <c r="E10" i="7" s="1"/>
  <c r="C45" i="1"/>
  <c r="C40" i="1" s="1"/>
  <c r="W53" i="7"/>
  <c r="X53" i="7" s="1"/>
  <c r="Y53" i="7" s="1"/>
  <c r="Z53" i="7" s="1"/>
  <c r="AA53" i="7" s="1"/>
  <c r="AB53" i="7" s="1"/>
  <c r="AQ53" i="7"/>
  <c r="I52" i="7"/>
  <c r="H8" i="7"/>
  <c r="E20" i="2"/>
  <c r="F20" i="2" s="1"/>
  <c r="AG9" i="7"/>
  <c r="AH46" i="7"/>
  <c r="U9" i="7"/>
  <c r="V46" i="7"/>
  <c r="E19" i="2"/>
  <c r="D18" i="2"/>
  <c r="L45" i="7"/>
  <c r="O101" i="7"/>
  <c r="P101" i="7" s="1"/>
  <c r="Q101" i="7" s="1"/>
  <c r="R101" i="7" s="1"/>
  <c r="S101" i="7" s="1"/>
  <c r="T101" i="7" s="1"/>
  <c r="U101" i="7" s="1"/>
  <c r="V101" i="7" s="1"/>
  <c r="W101" i="7" s="1"/>
  <c r="X101" i="7" s="1"/>
  <c r="AP101" i="7"/>
  <c r="U82" i="7"/>
  <c r="V82" i="7" s="1"/>
  <c r="Y83" i="7"/>
  <c r="J64" i="7"/>
  <c r="K64" i="7" s="1"/>
  <c r="L64" i="7" s="1"/>
  <c r="M64" i="7" s="1"/>
  <c r="N64" i="7" s="1"/>
  <c r="O72" i="7"/>
  <c r="P72" i="7" s="1"/>
  <c r="AP79" i="1"/>
  <c r="P30" i="2"/>
  <c r="R91" i="6"/>
  <c r="Q119" i="1" s="1"/>
  <c r="R72" i="6"/>
  <c r="Q118" i="1" s="1"/>
  <c r="C68" i="1"/>
  <c r="C32" i="2"/>
  <c r="C31" i="2" s="1"/>
  <c r="C24" i="2" s="1"/>
  <c r="C34" i="2" s="1"/>
  <c r="E13" i="5"/>
  <c r="P59" i="6"/>
  <c r="N27" i="2"/>
  <c r="AN27" i="2" s="1"/>
  <c r="AN28" i="2"/>
  <c r="AO85" i="6"/>
  <c r="P29" i="2"/>
  <c r="I73" i="1"/>
  <c r="I61" i="1" s="1"/>
  <c r="P28" i="2"/>
  <c r="P27" i="2" s="1"/>
  <c r="R57" i="6"/>
  <c r="Q117" i="1" s="1"/>
  <c r="AO143" i="6"/>
  <c r="O73" i="1"/>
  <c r="AP129" i="6"/>
  <c r="AQ143" i="6"/>
  <c r="AP143" i="6"/>
  <c r="AO52" i="1"/>
  <c r="J73" i="1"/>
  <c r="C73" i="1"/>
  <c r="AO79" i="1"/>
  <c r="AO143" i="1"/>
  <c r="AP80" i="1"/>
  <c r="AP144" i="1"/>
  <c r="AO80" i="1"/>
  <c r="AO144" i="1"/>
  <c r="AN137" i="1"/>
  <c r="D73" i="1"/>
  <c r="AP145" i="1"/>
  <c r="AP54" i="1"/>
  <c r="AQ152" i="6"/>
  <c r="AP152" i="6"/>
  <c r="AO152" i="6"/>
  <c r="AQ129" i="6"/>
  <c r="AO129" i="6"/>
  <c r="AN145" i="1"/>
  <c r="AN54" i="1"/>
  <c r="D41" i="1"/>
  <c r="AN144" i="1"/>
  <c r="AN80" i="1"/>
  <c r="AN51" i="1"/>
  <c r="AN142" i="1"/>
  <c r="AN19" i="1"/>
  <c r="J62" i="1"/>
  <c r="AO145" i="1"/>
  <c r="AO54" i="1"/>
  <c r="AP143" i="1"/>
  <c r="AP52" i="1"/>
  <c r="AN143" i="1"/>
  <c r="AN52" i="1"/>
  <c r="N62" i="1"/>
  <c r="AN141" i="1"/>
  <c r="AN70" i="1"/>
  <c r="Q102" i="6"/>
  <c r="P38" i="1"/>
  <c r="R102" i="6"/>
  <c r="Q38" i="1"/>
  <c r="N26" i="1"/>
  <c r="N140" i="1" s="1"/>
  <c r="O26" i="1"/>
  <c r="O140" i="1" s="1"/>
  <c r="L165" i="6"/>
  <c r="K71" i="1"/>
  <c r="K146" i="1" s="1"/>
  <c r="R165" i="6"/>
  <c r="Q71" i="1"/>
  <c r="Q146" i="1" s="1"/>
  <c r="F165" i="6"/>
  <c r="E71" i="1"/>
  <c r="E146" i="1" s="1"/>
  <c r="N24" i="1"/>
  <c r="N138" i="1" s="1"/>
  <c r="AO59" i="6"/>
  <c r="O24" i="1"/>
  <c r="O138" i="1" s="1"/>
  <c r="P74" i="1"/>
  <c r="P136" i="1" s="1"/>
  <c r="Q18" i="6"/>
  <c r="AN139" i="1"/>
  <c r="E91" i="1"/>
  <c r="F119" i="3"/>
  <c r="AN25" i="1"/>
  <c r="AP137" i="1"/>
  <c r="AO137" i="1"/>
  <c r="P76" i="1"/>
  <c r="P71" i="6"/>
  <c r="P74" i="6" s="1"/>
  <c r="O25" i="1"/>
  <c r="O139" i="1" s="1"/>
  <c r="L43" i="1"/>
  <c r="N73" i="1"/>
  <c r="N43" i="1"/>
  <c r="N136" i="1" s="1"/>
  <c r="O18" i="6"/>
  <c r="L18" i="6"/>
  <c r="K74" i="1"/>
  <c r="K136" i="1" s="1"/>
  <c r="E43" i="1"/>
  <c r="AO115" i="6"/>
  <c r="P104" i="6"/>
  <c r="AO102" i="6"/>
  <c r="O104" i="6"/>
  <c r="AO104" i="6" s="1"/>
  <c r="R111" i="3"/>
  <c r="S32" i="7"/>
  <c r="S31" i="7" s="1"/>
  <c r="AQ141" i="6"/>
  <c r="AP141" i="6"/>
  <c r="AO141" i="6"/>
  <c r="Q115" i="6"/>
  <c r="M12" i="5"/>
  <c r="L68" i="1" s="1"/>
  <c r="E34" i="1"/>
  <c r="E133" i="1" s="1"/>
  <c r="F118" i="3"/>
  <c r="F42" i="1"/>
  <c r="F134" i="1" s="1"/>
  <c r="G130" i="3"/>
  <c r="G131" i="3" s="1"/>
  <c r="F92" i="1"/>
  <c r="H123" i="3"/>
  <c r="H125" i="3" s="1"/>
  <c r="H127" i="3" s="1"/>
  <c r="H129" i="3" s="1"/>
  <c r="I34" i="7"/>
  <c r="I33" i="7" s="1"/>
  <c r="I11" i="4"/>
  <c r="P34" i="1"/>
  <c r="Q117" i="3"/>
  <c r="P48" i="1"/>
  <c r="L117" i="3"/>
  <c r="K48" i="1"/>
  <c r="K34" i="1"/>
  <c r="R52" i="3"/>
  <c r="Q64" i="1" s="1"/>
  <c r="R50" i="3"/>
  <c r="Q46" i="1" s="1"/>
  <c r="R115" i="3"/>
  <c r="R116" i="3"/>
  <c r="M52" i="3"/>
  <c r="L64" i="1" s="1"/>
  <c r="M50" i="3"/>
  <c r="L46" i="1" s="1"/>
  <c r="M116" i="3"/>
  <c r="M115" i="3"/>
  <c r="G52" i="3"/>
  <c r="F64" i="1" s="1"/>
  <c r="G50" i="3"/>
  <c r="F46" i="1" s="1"/>
  <c r="G111" i="3"/>
  <c r="H32" i="7"/>
  <c r="H31" i="7" s="1"/>
  <c r="C67" i="1"/>
  <c r="C133" i="1" s="1"/>
  <c r="D118" i="3"/>
  <c r="D120" i="3" s="1"/>
  <c r="S13" i="3"/>
  <c r="S15" i="3" s="1"/>
  <c r="S17" i="3" s="1"/>
  <c r="S30" i="3" s="1"/>
  <c r="R63" i="1" s="1"/>
  <c r="S81" i="3"/>
  <c r="S83" i="3" s="1"/>
  <c r="S85" i="3" s="1"/>
  <c r="S100" i="3" s="1"/>
  <c r="R66" i="1" s="1"/>
  <c r="S107" i="3"/>
  <c r="S109" i="3" s="1"/>
  <c r="S37" i="3"/>
  <c r="S39" i="3" s="1"/>
  <c r="S41" i="3" s="1"/>
  <c r="S59" i="3"/>
  <c r="S61" i="3" s="1"/>
  <c r="S63" i="3" s="1"/>
  <c r="S74" i="3" s="1"/>
  <c r="R65" i="1" s="1"/>
  <c r="N13" i="3"/>
  <c r="N15" i="3" s="1"/>
  <c r="N17" i="3" s="1"/>
  <c r="N30" i="3" s="1"/>
  <c r="M63" i="1" s="1"/>
  <c r="N37" i="3"/>
  <c r="N39" i="3" s="1"/>
  <c r="N41" i="3" s="1"/>
  <c r="N81" i="3"/>
  <c r="N83" i="3" s="1"/>
  <c r="N85" i="3" s="1"/>
  <c r="N100" i="3" s="1"/>
  <c r="M66" i="1" s="1"/>
  <c r="N107" i="3"/>
  <c r="N109" i="3" s="1"/>
  <c r="N111" i="3" s="1"/>
  <c r="N59" i="3"/>
  <c r="N61" i="3" s="1"/>
  <c r="N63" i="3" s="1"/>
  <c r="N74" i="3" s="1"/>
  <c r="M65" i="1" s="1"/>
  <c r="H81" i="3"/>
  <c r="H83" i="3" s="1"/>
  <c r="H85" i="3" s="1"/>
  <c r="H100" i="3" s="1"/>
  <c r="G66" i="1" s="1"/>
  <c r="H13" i="3"/>
  <c r="H15" i="3" s="1"/>
  <c r="H17" i="3" s="1"/>
  <c r="H30" i="3" s="1"/>
  <c r="G63" i="1" s="1"/>
  <c r="H37" i="3"/>
  <c r="H39" i="3" s="1"/>
  <c r="H41" i="3" s="1"/>
  <c r="H107" i="3"/>
  <c r="H109" i="3" s="1"/>
  <c r="H111" i="3" s="1"/>
  <c r="H59" i="3"/>
  <c r="H61" i="3" s="1"/>
  <c r="H63" i="3" s="1"/>
  <c r="H74" i="3" s="1"/>
  <c r="G65" i="1" s="1"/>
  <c r="D34" i="1"/>
  <c r="E117" i="3"/>
  <c r="D48" i="1"/>
  <c r="F19" i="3"/>
  <c r="F20" i="3"/>
  <c r="F30" i="7"/>
  <c r="F29" i="7" s="1"/>
  <c r="F86" i="3"/>
  <c r="F43" i="3"/>
  <c r="F44" i="3" s="1"/>
  <c r="F51" i="3" s="1"/>
  <c r="E24" i="5"/>
  <c r="E27" i="5" s="1"/>
  <c r="O68" i="1"/>
  <c r="D34" i="5"/>
  <c r="D11" i="5"/>
  <c r="I5" i="5"/>
  <c r="C8" i="1"/>
  <c r="P91" i="1"/>
  <c r="Q119" i="3"/>
  <c r="K91" i="1"/>
  <c r="L119" i="3"/>
  <c r="C87" i="1"/>
  <c r="D33" i="3"/>
  <c r="C89" i="1"/>
  <c r="D77" i="3"/>
  <c r="C88" i="1"/>
  <c r="D55" i="3"/>
  <c r="N32" i="7"/>
  <c r="N31" i="7" s="1"/>
  <c r="F20" i="7"/>
  <c r="F19" i="7" s="1"/>
  <c r="D8" i="2"/>
  <c r="D31" i="3"/>
  <c r="C13" i="2"/>
  <c r="D99" i="3"/>
  <c r="C15" i="1" s="1"/>
  <c r="C11" i="2"/>
  <c r="C7" i="2" s="1"/>
  <c r="D75" i="3"/>
  <c r="C15" i="2"/>
  <c r="F26" i="7"/>
  <c r="F25" i="7" s="1"/>
  <c r="D88" i="1" s="1"/>
  <c r="D9" i="2"/>
  <c r="D53" i="3"/>
  <c r="C14" i="2"/>
  <c r="O71" i="6"/>
  <c r="O74" i="6" s="1"/>
  <c r="AO68" i="6"/>
  <c r="Q85" i="6"/>
  <c r="R81" i="6"/>
  <c r="R87" i="6"/>
  <c r="Q50" i="1" s="1"/>
  <c r="R88" i="6"/>
  <c r="Q19" i="1" s="1"/>
  <c r="S77" i="6"/>
  <c r="S79" i="6" s="1"/>
  <c r="T18" i="4"/>
  <c r="S96" i="6"/>
  <c r="S98" i="6" s="1"/>
  <c r="T19" i="4"/>
  <c r="R111" i="6"/>
  <c r="Q51" i="1" s="1"/>
  <c r="Q142" i="1" s="1"/>
  <c r="S107" i="6"/>
  <c r="S109" i="6" s="1"/>
  <c r="S113" i="6" s="1"/>
  <c r="R78" i="1" s="1"/>
  <c r="T20" i="4"/>
  <c r="M163" i="6"/>
  <c r="N163" i="6"/>
  <c r="S163" i="6"/>
  <c r="G163" i="6"/>
  <c r="T155" i="6"/>
  <c r="T157" i="6" s="1"/>
  <c r="T159" i="6" s="1"/>
  <c r="T161" i="6" s="1"/>
  <c r="S55" i="1" s="1"/>
  <c r="U24" i="4"/>
  <c r="H155" i="6"/>
  <c r="H157" i="6" s="1"/>
  <c r="H159" i="6" s="1"/>
  <c r="H161" i="6" s="1"/>
  <c r="G55" i="1" s="1"/>
  <c r="I155" i="6"/>
  <c r="I157" i="6" s="1"/>
  <c r="I159" i="6" s="1"/>
  <c r="I161" i="6" s="1"/>
  <c r="H55" i="1" s="1"/>
  <c r="Q68" i="6"/>
  <c r="R66" i="6"/>
  <c r="S72" i="6" s="1"/>
  <c r="R118" i="1" s="1"/>
  <c r="R70" i="6"/>
  <c r="Q49" i="1" s="1"/>
  <c r="S62" i="6"/>
  <c r="S64" i="6" s="1"/>
  <c r="T77" i="7" s="1"/>
  <c r="T75" i="7" s="1"/>
  <c r="T17" i="4"/>
  <c r="AO54" i="6"/>
  <c r="Q54" i="6"/>
  <c r="Q59" i="6" s="1"/>
  <c r="R56" i="6"/>
  <c r="R52" i="6"/>
  <c r="S48" i="6"/>
  <c r="S50" i="6" s="1"/>
  <c r="T16" i="4"/>
  <c r="H8" i="6"/>
  <c r="H10" i="6" s="1"/>
  <c r="I13" i="4"/>
  <c r="I8" i="6" s="1"/>
  <c r="P45" i="6"/>
  <c r="AP43" i="6"/>
  <c r="AQ43" i="6"/>
  <c r="AB45" i="6"/>
  <c r="AQ45" i="6" s="1"/>
  <c r="AO43" i="6"/>
  <c r="E45" i="6"/>
  <c r="AO45" i="6" s="1"/>
  <c r="I62" i="5"/>
  <c r="I37" i="5"/>
  <c r="I19" i="5"/>
  <c r="V62" i="5"/>
  <c r="V37" i="5"/>
  <c r="V19" i="5"/>
  <c r="E28" i="3"/>
  <c r="D9" i="1" s="1"/>
  <c r="E98" i="3"/>
  <c r="D10" i="1" s="1"/>
  <c r="W12" i="4"/>
  <c r="U13" i="4"/>
  <c r="U8" i="6" s="1"/>
  <c r="Q51" i="5"/>
  <c r="Q76" i="5"/>
  <c r="R66" i="5"/>
  <c r="R76" i="5" s="1"/>
  <c r="R83" i="5" s="1"/>
  <c r="R41" i="5"/>
  <c r="R51" i="5" s="1"/>
  <c r="R58" i="5" s="1"/>
  <c r="S39" i="5"/>
  <c r="S64" i="5"/>
  <c r="R12" i="6"/>
  <c r="R14" i="6" s="1"/>
  <c r="R23" i="5"/>
  <c r="S10" i="6"/>
  <c r="S21" i="5"/>
  <c r="T10" i="4"/>
  <c r="M16" i="6"/>
  <c r="N21" i="5"/>
  <c r="N23" i="5" s="1"/>
  <c r="N33" i="5" s="1"/>
  <c r="N10" i="6"/>
  <c r="N12" i="6" s="1"/>
  <c r="N14" i="6" s="1"/>
  <c r="N64" i="5"/>
  <c r="N66" i="5" s="1"/>
  <c r="N76" i="5" s="1"/>
  <c r="N83" i="5" s="1"/>
  <c r="N39" i="5"/>
  <c r="N41" i="5" s="1"/>
  <c r="N51" i="5" s="1"/>
  <c r="N58" i="5" s="1"/>
  <c r="F51" i="5"/>
  <c r="F33" i="5"/>
  <c r="F16" i="6"/>
  <c r="G66" i="5"/>
  <c r="G41" i="5"/>
  <c r="G51" i="5" s="1"/>
  <c r="G58" i="5" s="1"/>
  <c r="G12" i="6"/>
  <c r="G14" i="6" s="1"/>
  <c r="G23" i="5"/>
  <c r="G33" i="5" s="1"/>
  <c r="H64" i="5"/>
  <c r="H21" i="5"/>
  <c r="H23" i="5" s="1"/>
  <c r="H33" i="5" s="1"/>
  <c r="H39" i="5"/>
  <c r="H41" i="5" s="1"/>
  <c r="D77" i="5"/>
  <c r="D84" i="5" s="1"/>
  <c r="D81" i="5"/>
  <c r="D52" i="5"/>
  <c r="D59" i="5" s="1"/>
  <c r="D56" i="5"/>
  <c r="D10" i="5" s="1"/>
  <c r="C18" i="1" s="1"/>
  <c r="E88" i="3"/>
  <c r="D90" i="3"/>
  <c r="D96" i="3"/>
  <c r="E67" i="5"/>
  <c r="E70" i="5" s="1"/>
  <c r="E80" i="5" s="1"/>
  <c r="E42" i="5"/>
  <c r="E27" i="3"/>
  <c r="E29" i="3"/>
  <c r="D12" i="1" s="1"/>
  <c r="E66" i="3"/>
  <c r="E51" i="3"/>
  <c r="D13" i="1" s="1"/>
  <c r="E49" i="3"/>
  <c r="I10" i="4"/>
  <c r="E22" i="3"/>
  <c r="H5" i="3"/>
  <c r="R92" i="6" l="1"/>
  <c r="Q98" i="1"/>
  <c r="Q93" i="6"/>
  <c r="E41" i="1"/>
  <c r="S90" i="6"/>
  <c r="R77" i="1" s="1"/>
  <c r="T90" i="7"/>
  <c r="T87" i="7" s="1"/>
  <c r="S73" i="6"/>
  <c r="R97" i="1"/>
  <c r="J52" i="7"/>
  <c r="I8" i="7"/>
  <c r="G20" i="2" s="1"/>
  <c r="AH9" i="7"/>
  <c r="AI46" i="7"/>
  <c r="V9" i="7"/>
  <c r="W46" i="7"/>
  <c r="E18" i="2"/>
  <c r="F19" i="2"/>
  <c r="Z83" i="7"/>
  <c r="AA83" i="7" s="1"/>
  <c r="D87" i="1"/>
  <c r="M45" i="7"/>
  <c r="AB83" i="7"/>
  <c r="Y101" i="7"/>
  <c r="Z101" i="7" s="1"/>
  <c r="AA101" i="7" s="1"/>
  <c r="AB101" i="7" s="1"/>
  <c r="AC101" i="7" s="1"/>
  <c r="AQ101" i="7"/>
  <c r="W82" i="7"/>
  <c r="X82" i="7" s="1"/>
  <c r="Y82" i="7" s="1"/>
  <c r="AD101" i="7"/>
  <c r="AE101" i="7" s="1"/>
  <c r="AF101" i="7" s="1"/>
  <c r="AG101" i="7" s="1"/>
  <c r="AH101" i="7" s="1"/>
  <c r="AI101" i="7" s="1"/>
  <c r="AJ101" i="7" s="1"/>
  <c r="AK101" i="7" s="1"/>
  <c r="AL101" i="7" s="1"/>
  <c r="AM101" i="7" s="1"/>
  <c r="O64" i="7"/>
  <c r="Q72" i="7"/>
  <c r="AP72" i="7"/>
  <c r="R72" i="7"/>
  <c r="S72" i="7" s="1"/>
  <c r="T72" i="7" s="1"/>
  <c r="U72" i="7" s="1"/>
  <c r="V72" i="7" s="1"/>
  <c r="W72" i="7" s="1"/>
  <c r="X72" i="7" s="1"/>
  <c r="Y72" i="7" s="1"/>
  <c r="AN138" i="1"/>
  <c r="AN24" i="1"/>
  <c r="D14" i="5"/>
  <c r="D16" i="5" s="1"/>
  <c r="S91" i="6"/>
  <c r="R119" i="1" s="1"/>
  <c r="D116" i="1"/>
  <c r="D115" i="1" s="1"/>
  <c r="D114" i="1" s="1"/>
  <c r="J61" i="1"/>
  <c r="S57" i="6"/>
  <c r="R117" i="1" s="1"/>
  <c r="P73" i="1"/>
  <c r="L74" i="1"/>
  <c r="L136" i="1" s="1"/>
  <c r="M18" i="6"/>
  <c r="E74" i="1"/>
  <c r="E136" i="1" s="1"/>
  <c r="F18" i="6"/>
  <c r="N61" i="1"/>
  <c r="F120" i="3"/>
  <c r="P70" i="1"/>
  <c r="P141" i="1" s="1"/>
  <c r="Q104" i="6"/>
  <c r="P37" i="1"/>
  <c r="Q70" i="1"/>
  <c r="Q141" i="1" s="1"/>
  <c r="R104" i="6"/>
  <c r="Q37" i="1"/>
  <c r="AN140" i="1"/>
  <c r="AN26" i="1"/>
  <c r="P26" i="1"/>
  <c r="P140" i="1" s="1"/>
  <c r="R85" i="6"/>
  <c r="Q30" i="2"/>
  <c r="M165" i="6"/>
  <c r="L71" i="1"/>
  <c r="L146" i="1" s="1"/>
  <c r="N165" i="6"/>
  <c r="M71" i="1"/>
  <c r="M146" i="1" s="1"/>
  <c r="S165" i="6"/>
  <c r="R71" i="1"/>
  <c r="R146" i="1" s="1"/>
  <c r="G165" i="6"/>
  <c r="F71" i="1"/>
  <c r="F146" i="1" s="1"/>
  <c r="AN55" i="1"/>
  <c r="Q91" i="1"/>
  <c r="R119" i="3"/>
  <c r="C86" i="1"/>
  <c r="C85" i="1" s="1"/>
  <c r="K73" i="1"/>
  <c r="Q71" i="6"/>
  <c r="Q74" i="6" s="1"/>
  <c r="P25" i="1"/>
  <c r="P139" i="1" s="1"/>
  <c r="R68" i="6"/>
  <c r="Q29" i="2"/>
  <c r="P24" i="1"/>
  <c r="P138" i="1" s="1"/>
  <c r="Q76" i="1"/>
  <c r="R54" i="6"/>
  <c r="R59" i="6" s="1"/>
  <c r="Q28" i="2"/>
  <c r="Q43" i="1"/>
  <c r="M43" i="1"/>
  <c r="F43" i="1"/>
  <c r="AO74" i="6"/>
  <c r="AO71" i="6"/>
  <c r="S100" i="6"/>
  <c r="R38" i="1" s="1"/>
  <c r="K67" i="1"/>
  <c r="K133" i="1" s="1"/>
  <c r="L118" i="3"/>
  <c r="F28" i="3"/>
  <c r="E9" i="1" s="1"/>
  <c r="F29" i="3"/>
  <c r="E12" i="1" s="1"/>
  <c r="D90" i="1"/>
  <c r="E103" i="3"/>
  <c r="G30" i="7"/>
  <c r="G29" i="7" s="1"/>
  <c r="F98" i="3"/>
  <c r="E10" i="1" s="1"/>
  <c r="G119" i="3"/>
  <c r="F91" i="1"/>
  <c r="C62" i="1"/>
  <c r="C61" i="1" s="1"/>
  <c r="C83" i="1" s="1"/>
  <c r="S111" i="3"/>
  <c r="T32" i="7"/>
  <c r="T31" i="7" s="1"/>
  <c r="G42" i="1"/>
  <c r="G134" i="1" s="1"/>
  <c r="G92" i="1"/>
  <c r="H130" i="3"/>
  <c r="H131" i="3" s="1"/>
  <c r="I123" i="3"/>
  <c r="I125" i="3" s="1"/>
  <c r="I127" i="3" s="1"/>
  <c r="I129" i="3" s="1"/>
  <c r="J34" i="7"/>
  <c r="J33" i="7" s="1"/>
  <c r="J11" i="4"/>
  <c r="Q34" i="1"/>
  <c r="R117" i="3"/>
  <c r="Q48" i="1"/>
  <c r="M117" i="3"/>
  <c r="L67" i="1" s="1"/>
  <c r="L48" i="1"/>
  <c r="M118" i="3"/>
  <c r="L34" i="1"/>
  <c r="G116" i="3"/>
  <c r="G115" i="3"/>
  <c r="S52" i="3"/>
  <c r="R64" i="1" s="1"/>
  <c r="S50" i="3"/>
  <c r="R46" i="1" s="1"/>
  <c r="N52" i="3"/>
  <c r="M64" i="1" s="1"/>
  <c r="N50" i="3"/>
  <c r="M46" i="1" s="1"/>
  <c r="N116" i="3"/>
  <c r="N115" i="3"/>
  <c r="O115" i="3"/>
  <c r="H52" i="3"/>
  <c r="G64" i="1" s="1"/>
  <c r="H50" i="3"/>
  <c r="G46" i="1" s="1"/>
  <c r="H115" i="3"/>
  <c r="H116" i="3"/>
  <c r="L120" i="3"/>
  <c r="N12" i="5"/>
  <c r="M68" i="1" s="1"/>
  <c r="P67" i="1"/>
  <c r="P133" i="1" s="1"/>
  <c r="Q118" i="3"/>
  <c r="Q120" i="3" s="1"/>
  <c r="D67" i="1"/>
  <c r="D133" i="1" s="1"/>
  <c r="E118" i="3"/>
  <c r="E120" i="3" s="1"/>
  <c r="T81" i="3"/>
  <c r="T83" i="3" s="1"/>
  <c r="T85" i="3" s="1"/>
  <c r="T100" i="3" s="1"/>
  <c r="S66" i="1" s="1"/>
  <c r="T107" i="3"/>
  <c r="T109" i="3" s="1"/>
  <c r="T111" i="3" s="1"/>
  <c r="T13" i="3"/>
  <c r="T15" i="3" s="1"/>
  <c r="T17" i="3" s="1"/>
  <c r="T30" i="3" s="1"/>
  <c r="S63" i="1" s="1"/>
  <c r="T37" i="3"/>
  <c r="T39" i="3" s="1"/>
  <c r="T41" i="3" s="1"/>
  <c r="T59" i="3"/>
  <c r="T61" i="3" s="1"/>
  <c r="T63" i="3" s="1"/>
  <c r="T74" i="3" s="1"/>
  <c r="S65" i="1" s="1"/>
  <c r="I107" i="3"/>
  <c r="I109" i="3" s="1"/>
  <c r="I81" i="3"/>
  <c r="I83" i="3" s="1"/>
  <c r="I85" i="3" s="1"/>
  <c r="I100" i="3" s="1"/>
  <c r="H66" i="1" s="1"/>
  <c r="AN66" i="1" s="1"/>
  <c r="I13" i="3"/>
  <c r="I15" i="3" s="1"/>
  <c r="I17" i="3" s="1"/>
  <c r="I30" i="3" s="1"/>
  <c r="H63" i="1" s="1"/>
  <c r="AN63" i="1" s="1"/>
  <c r="I37" i="3"/>
  <c r="I39" i="3" s="1"/>
  <c r="I41" i="3" s="1"/>
  <c r="I59" i="3"/>
  <c r="I61" i="3" s="1"/>
  <c r="I63" i="3" s="1"/>
  <c r="I74" i="3" s="1"/>
  <c r="H65" i="1" s="1"/>
  <c r="AN65" i="1" s="1"/>
  <c r="D45" i="1"/>
  <c r="D40" i="1" s="1"/>
  <c r="G19" i="3"/>
  <c r="G20" i="3" s="1"/>
  <c r="F27" i="3"/>
  <c r="F31" i="3" s="1"/>
  <c r="F22" i="3"/>
  <c r="G86" i="3"/>
  <c r="H30" i="7" s="1"/>
  <c r="H29" i="7" s="1"/>
  <c r="F88" i="3"/>
  <c r="F97" i="3"/>
  <c r="G43" i="3"/>
  <c r="G44" i="3" s="1"/>
  <c r="F49" i="3"/>
  <c r="F53" i="3" s="1"/>
  <c r="E13" i="1"/>
  <c r="C30" i="1"/>
  <c r="D32" i="3"/>
  <c r="D34" i="3" s="1"/>
  <c r="D8" i="1"/>
  <c r="D11" i="2"/>
  <c r="F65" i="3"/>
  <c r="F72" i="3" s="1"/>
  <c r="F66" i="3"/>
  <c r="F73" i="3" s="1"/>
  <c r="E14" i="1" s="1"/>
  <c r="C17" i="1"/>
  <c r="O62" i="1"/>
  <c r="C22" i="1"/>
  <c r="C135" i="1" s="1"/>
  <c r="J5" i="5"/>
  <c r="C11" i="1"/>
  <c r="C7" i="1" s="1"/>
  <c r="M119" i="3"/>
  <c r="L91" i="1"/>
  <c r="C32" i="1"/>
  <c r="C131" i="1" s="1"/>
  <c r="D76" i="3"/>
  <c r="D78" i="3" s="1"/>
  <c r="C31" i="1"/>
  <c r="C130" i="1" s="1"/>
  <c r="D54" i="3"/>
  <c r="D56" i="3" s="1"/>
  <c r="D9" i="3"/>
  <c r="E33" i="3"/>
  <c r="E55" i="3"/>
  <c r="O32" i="7"/>
  <c r="O31" i="7" s="1"/>
  <c r="I32" i="7"/>
  <c r="I31" i="7" s="1"/>
  <c r="D101" i="3"/>
  <c r="C16" i="2"/>
  <c r="C12" i="2" s="1"/>
  <c r="C21" i="2" s="1"/>
  <c r="E31" i="3"/>
  <c r="D13" i="2"/>
  <c r="D10" i="2"/>
  <c r="F28" i="7"/>
  <c r="F27" i="7" s="1"/>
  <c r="G26" i="7"/>
  <c r="G25" i="7" s="1"/>
  <c r="E9" i="2"/>
  <c r="E53" i="3"/>
  <c r="D31" i="1" s="1"/>
  <c r="D130" i="1" s="1"/>
  <c r="D14" i="2"/>
  <c r="G20" i="7"/>
  <c r="G19" i="7" s="1"/>
  <c r="E8" i="2"/>
  <c r="S81" i="6"/>
  <c r="S87" i="6"/>
  <c r="R50" i="1" s="1"/>
  <c r="S88" i="6"/>
  <c r="R19" i="1" s="1"/>
  <c r="T77" i="6"/>
  <c r="T79" i="6" s="1"/>
  <c r="U18" i="4"/>
  <c r="T96" i="6"/>
  <c r="T98" i="6" s="1"/>
  <c r="T100" i="6" s="1"/>
  <c r="U19" i="4"/>
  <c r="S111" i="6"/>
  <c r="R51" i="1" s="1"/>
  <c r="R142" i="1" s="1"/>
  <c r="T107" i="6"/>
  <c r="T109" i="6" s="1"/>
  <c r="T113" i="6" s="1"/>
  <c r="S78" i="1" s="1"/>
  <c r="U20" i="4"/>
  <c r="R115" i="6"/>
  <c r="T163" i="6"/>
  <c r="H163" i="6"/>
  <c r="I163" i="6"/>
  <c r="U155" i="6"/>
  <c r="U157" i="6" s="1"/>
  <c r="U159" i="6" s="1"/>
  <c r="U161" i="6" s="1"/>
  <c r="T55" i="1" s="1"/>
  <c r="V24" i="4"/>
  <c r="S66" i="6"/>
  <c r="S70" i="6"/>
  <c r="R49" i="1" s="1"/>
  <c r="T62" i="6"/>
  <c r="T64" i="6" s="1"/>
  <c r="U77" i="7" s="1"/>
  <c r="U75" i="7" s="1"/>
  <c r="U17" i="4"/>
  <c r="S56" i="6"/>
  <c r="S52" i="6"/>
  <c r="T48" i="6"/>
  <c r="T50" i="6" s="1"/>
  <c r="U16" i="4"/>
  <c r="W62" i="5"/>
  <c r="W37" i="5"/>
  <c r="W19" i="5"/>
  <c r="X12" i="4"/>
  <c r="V13" i="4"/>
  <c r="V8" i="6" s="1"/>
  <c r="Q58" i="5"/>
  <c r="Q83" i="5"/>
  <c r="S41" i="5"/>
  <c r="S66" i="5"/>
  <c r="T64" i="5"/>
  <c r="T66" i="5" s="1"/>
  <c r="T76" i="5" s="1"/>
  <c r="T39" i="5"/>
  <c r="R16" i="6"/>
  <c r="R33" i="5"/>
  <c r="R12" i="5" s="1"/>
  <c r="Q68" i="1" s="1"/>
  <c r="T10" i="6"/>
  <c r="T12" i="6" s="1"/>
  <c r="T14" i="6" s="1"/>
  <c r="T21" i="5"/>
  <c r="T23" i="5" s="1"/>
  <c r="U10" i="4"/>
  <c r="N16" i="6"/>
  <c r="S12" i="6"/>
  <c r="S14" i="6" s="1"/>
  <c r="S23" i="5"/>
  <c r="S33" i="5" s="1"/>
  <c r="F58" i="5"/>
  <c r="F12" i="5" s="1"/>
  <c r="G76" i="5"/>
  <c r="G16" i="6"/>
  <c r="H12" i="6"/>
  <c r="H14" i="6" s="1"/>
  <c r="H66" i="5"/>
  <c r="H76" i="5" s="1"/>
  <c r="H83" i="5" s="1"/>
  <c r="H51" i="5"/>
  <c r="H58" i="5" s="1"/>
  <c r="I21" i="5"/>
  <c r="I10" i="6"/>
  <c r="I64" i="5"/>
  <c r="I39" i="5"/>
  <c r="E97" i="3"/>
  <c r="E90" i="3"/>
  <c r="E96" i="3"/>
  <c r="E99" i="3"/>
  <c r="D15" i="1" s="1"/>
  <c r="E31" i="5"/>
  <c r="F26" i="5"/>
  <c r="E45" i="5"/>
  <c r="E32" i="5"/>
  <c r="E73" i="3"/>
  <c r="D14" i="1" s="1"/>
  <c r="E71" i="3"/>
  <c r="I5" i="3"/>
  <c r="R93" i="6" l="1"/>
  <c r="S92" i="6"/>
  <c r="R98" i="1"/>
  <c r="F41" i="1"/>
  <c r="T90" i="6"/>
  <c r="S77" i="1" s="1"/>
  <c r="U90" i="7"/>
  <c r="U87" i="7" s="1"/>
  <c r="T73" i="6"/>
  <c r="S97" i="1"/>
  <c r="E55" i="5"/>
  <c r="E9" i="5" s="1"/>
  <c r="E8" i="5"/>
  <c r="F40" i="7" s="1"/>
  <c r="F38" i="7" s="1"/>
  <c r="F7" i="7" s="1"/>
  <c r="L133" i="1"/>
  <c r="C129" i="1"/>
  <c r="W9" i="7"/>
  <c r="X46" i="7"/>
  <c r="J8" i="7"/>
  <c r="H20" i="2" s="1"/>
  <c r="K52" i="7"/>
  <c r="AI9" i="7"/>
  <c r="AJ46" i="7"/>
  <c r="F18" i="2"/>
  <c r="G19" i="2"/>
  <c r="AC83" i="7"/>
  <c r="AQ83" i="7"/>
  <c r="P64" i="7"/>
  <c r="Q64" i="7" s="1"/>
  <c r="R64" i="7" s="1"/>
  <c r="S64" i="7" s="1"/>
  <c r="T64" i="7" s="1"/>
  <c r="U64" i="7" s="1"/>
  <c r="V64" i="7" s="1"/>
  <c r="W64" i="7" s="1"/>
  <c r="X64" i="7" s="1"/>
  <c r="Y64" i="7" s="1"/>
  <c r="Z64" i="7" s="1"/>
  <c r="AA64" i="7" s="1"/>
  <c r="AP64" i="7"/>
  <c r="D89" i="1"/>
  <c r="N45" i="7"/>
  <c r="AD83" i="7"/>
  <c r="AR83" i="7"/>
  <c r="Z82" i="7"/>
  <c r="AA82" i="7" s="1"/>
  <c r="AB82" i="7" s="1"/>
  <c r="AN101" i="7"/>
  <c r="AR101" i="7" s="1"/>
  <c r="Z72" i="7"/>
  <c r="AA72" i="7" s="1"/>
  <c r="AB72" i="7" s="1"/>
  <c r="AB64" i="7"/>
  <c r="L73" i="1"/>
  <c r="R30" i="2"/>
  <c r="T91" i="6"/>
  <c r="S119" i="1" s="1"/>
  <c r="T72" i="6"/>
  <c r="S118" i="1" s="1"/>
  <c r="C21" i="1"/>
  <c r="C16" i="1" s="1"/>
  <c r="C28" i="1" s="1"/>
  <c r="D32" i="2"/>
  <c r="D31" i="2" s="1"/>
  <c r="D24" i="2" s="1"/>
  <c r="D34" i="2" s="1"/>
  <c r="F13" i="5"/>
  <c r="S116" i="3"/>
  <c r="S115" i="3"/>
  <c r="R29" i="2"/>
  <c r="R28" i="2"/>
  <c r="T57" i="6"/>
  <c r="S117" i="1" s="1"/>
  <c r="E73" i="1"/>
  <c r="L62" i="1"/>
  <c r="Q27" i="2"/>
  <c r="Q26" i="1"/>
  <c r="Q140" i="1" s="1"/>
  <c r="D7" i="2"/>
  <c r="Q25" i="1"/>
  <c r="Q139" i="1" s="1"/>
  <c r="R71" i="6"/>
  <c r="R74" i="6" s="1"/>
  <c r="Q24" i="1"/>
  <c r="Q138" i="1" s="1"/>
  <c r="R37" i="1"/>
  <c r="T102" i="6"/>
  <c r="S38" i="1"/>
  <c r="T165" i="6"/>
  <c r="S71" i="1"/>
  <c r="S146" i="1" s="1"/>
  <c r="H165" i="6"/>
  <c r="G71" i="1"/>
  <c r="G146" i="1" s="1"/>
  <c r="I165" i="6"/>
  <c r="H71" i="1"/>
  <c r="H146" i="1" s="1"/>
  <c r="F103" i="3"/>
  <c r="E90" i="1"/>
  <c r="R76" i="1"/>
  <c r="R18" i="6"/>
  <c r="Q74" i="1"/>
  <c r="Q136" i="1" s="1"/>
  <c r="S43" i="1"/>
  <c r="N18" i="6"/>
  <c r="M74" i="1"/>
  <c r="M136" i="1" s="1"/>
  <c r="R43" i="1"/>
  <c r="G18" i="6"/>
  <c r="F74" i="1"/>
  <c r="F136" i="1" s="1"/>
  <c r="G43" i="1"/>
  <c r="K62" i="1"/>
  <c r="K61" i="1" s="1"/>
  <c r="S102" i="6"/>
  <c r="R70" i="1" s="1"/>
  <c r="R141" i="1" s="1"/>
  <c r="E8" i="1"/>
  <c r="H12" i="5"/>
  <c r="G68" i="1" s="1"/>
  <c r="I111" i="3"/>
  <c r="J32" i="7"/>
  <c r="J31" i="7" s="1"/>
  <c r="M120" i="3"/>
  <c r="S119" i="3"/>
  <c r="R91" i="1"/>
  <c r="D62" i="1"/>
  <c r="D61" i="1" s="1"/>
  <c r="D83" i="1" s="1"/>
  <c r="F99" i="3"/>
  <c r="E15" i="1" s="1"/>
  <c r="E11" i="2"/>
  <c r="H42" i="1"/>
  <c r="H134" i="1" s="1"/>
  <c r="H92" i="1"/>
  <c r="I130" i="3"/>
  <c r="I131" i="3" s="1"/>
  <c r="K34" i="7"/>
  <c r="K33" i="7" s="1"/>
  <c r="J123" i="3"/>
  <c r="J125" i="3" s="1"/>
  <c r="J127" i="3" s="1"/>
  <c r="J129" i="3" s="1"/>
  <c r="K11" i="4"/>
  <c r="G117" i="3"/>
  <c r="F67" i="1" s="1"/>
  <c r="F48" i="1"/>
  <c r="G118" i="3"/>
  <c r="G120" i="3" s="1"/>
  <c r="F34" i="1"/>
  <c r="N117" i="3"/>
  <c r="M67" i="1" s="1"/>
  <c r="M62" i="1" s="1"/>
  <c r="M48" i="1"/>
  <c r="N118" i="3"/>
  <c r="M34" i="1"/>
  <c r="O118" i="3"/>
  <c r="O120" i="3" s="1"/>
  <c r="N34" i="1"/>
  <c r="N133" i="1" s="1"/>
  <c r="G34" i="1"/>
  <c r="H117" i="3"/>
  <c r="G48" i="1"/>
  <c r="T115" i="3"/>
  <c r="T116" i="3"/>
  <c r="T52" i="3"/>
  <c r="S64" i="1" s="1"/>
  <c r="T50" i="3"/>
  <c r="S46" i="1" s="1"/>
  <c r="I116" i="3"/>
  <c r="I115" i="3"/>
  <c r="J115" i="3"/>
  <c r="I50" i="3"/>
  <c r="H46" i="1" s="1"/>
  <c r="AN46" i="1" s="1"/>
  <c r="I52" i="3"/>
  <c r="H64" i="1" s="1"/>
  <c r="AN64" i="1" s="1"/>
  <c r="Q12" i="5"/>
  <c r="Q67" i="1"/>
  <c r="Q133" i="1" s="1"/>
  <c r="R118" i="3"/>
  <c r="R120" i="3" s="1"/>
  <c r="U81" i="3"/>
  <c r="U83" i="3" s="1"/>
  <c r="U85" i="3" s="1"/>
  <c r="U100" i="3" s="1"/>
  <c r="T66" i="1" s="1"/>
  <c r="U13" i="3"/>
  <c r="U15" i="3" s="1"/>
  <c r="U17" i="3" s="1"/>
  <c r="U30" i="3" s="1"/>
  <c r="T63" i="1" s="1"/>
  <c r="U37" i="3"/>
  <c r="U39" i="3" s="1"/>
  <c r="U41" i="3" s="1"/>
  <c r="U59" i="3"/>
  <c r="U61" i="3" s="1"/>
  <c r="U63" i="3" s="1"/>
  <c r="U74" i="3" s="1"/>
  <c r="T65" i="1" s="1"/>
  <c r="U107" i="3"/>
  <c r="U109" i="3" s="1"/>
  <c r="G22" i="3"/>
  <c r="G27" i="3"/>
  <c r="G31" i="3" s="1"/>
  <c r="F30" i="1" s="1"/>
  <c r="H19" i="3"/>
  <c r="H20" i="3" s="1"/>
  <c r="H86" i="3"/>
  <c r="G88" i="3"/>
  <c r="G97" i="3" s="1"/>
  <c r="G98" i="3"/>
  <c r="F10" i="1" s="1"/>
  <c r="G99" i="3"/>
  <c r="F15" i="1" s="1"/>
  <c r="F90" i="3"/>
  <c r="F96" i="3"/>
  <c r="F101" i="3" s="1"/>
  <c r="G49" i="3"/>
  <c r="G53" i="3" s="1"/>
  <c r="F31" i="1" s="1"/>
  <c r="H43" i="3"/>
  <c r="H44" i="3" s="1"/>
  <c r="G51" i="3"/>
  <c r="E47" i="1"/>
  <c r="E45" i="1" s="1"/>
  <c r="E40" i="1" s="1"/>
  <c r="F71" i="3"/>
  <c r="F75" i="3" s="1"/>
  <c r="G65" i="3"/>
  <c r="G29" i="3"/>
  <c r="F12" i="1" s="1"/>
  <c r="G28" i="3"/>
  <c r="E30" i="1"/>
  <c r="F32" i="3"/>
  <c r="E31" i="1"/>
  <c r="F54" i="3"/>
  <c r="E32" i="3"/>
  <c r="E34" i="3" s="1"/>
  <c r="D30" i="1"/>
  <c r="D129" i="1" s="1"/>
  <c r="D11" i="1"/>
  <c r="D7" i="1" s="1"/>
  <c r="O61" i="1"/>
  <c r="E68" i="1"/>
  <c r="F24" i="5"/>
  <c r="F27" i="5" s="1"/>
  <c r="K5" i="5"/>
  <c r="N119" i="3"/>
  <c r="M91" i="1"/>
  <c r="H119" i="3"/>
  <c r="G91" i="1"/>
  <c r="F55" i="3"/>
  <c r="E88" i="1"/>
  <c r="E87" i="1"/>
  <c r="F33" i="3"/>
  <c r="G103" i="3"/>
  <c r="F90" i="1"/>
  <c r="E54" i="3"/>
  <c r="E56" i="3" s="1"/>
  <c r="C33" i="1"/>
  <c r="D102" i="3"/>
  <c r="E77" i="3"/>
  <c r="C17" i="2"/>
  <c r="U32" i="7"/>
  <c r="U31" i="7" s="1"/>
  <c r="E101" i="3"/>
  <c r="D16" i="2"/>
  <c r="E75" i="3"/>
  <c r="D32" i="1" s="1"/>
  <c r="D131" i="1" s="1"/>
  <c r="D15" i="2"/>
  <c r="H26" i="7"/>
  <c r="H25" i="7" s="1"/>
  <c r="F9" i="2"/>
  <c r="E14" i="2"/>
  <c r="E13" i="2"/>
  <c r="H20" i="7"/>
  <c r="H19" i="7" s="1"/>
  <c r="F8" i="2"/>
  <c r="S85" i="6"/>
  <c r="T81" i="6"/>
  <c r="T87" i="6"/>
  <c r="S50" i="1" s="1"/>
  <c r="T88" i="6"/>
  <c r="S19" i="1" s="1"/>
  <c r="U77" i="6"/>
  <c r="U79" i="6" s="1"/>
  <c r="V18" i="4"/>
  <c r="U96" i="6"/>
  <c r="U98" i="6" s="1"/>
  <c r="V19" i="4"/>
  <c r="T111" i="6"/>
  <c r="S51" i="1" s="1"/>
  <c r="S142" i="1" s="1"/>
  <c r="U107" i="6"/>
  <c r="U109" i="6" s="1"/>
  <c r="U113" i="6" s="1"/>
  <c r="T78" i="1" s="1"/>
  <c r="V20" i="4"/>
  <c r="S115" i="6"/>
  <c r="U163" i="6"/>
  <c r="V155" i="6"/>
  <c r="V157" i="6" s="1"/>
  <c r="V159" i="6" s="1"/>
  <c r="V161" i="6" s="1"/>
  <c r="U55" i="1" s="1"/>
  <c r="W24" i="4"/>
  <c r="S68" i="6"/>
  <c r="R25" i="1" s="1"/>
  <c r="R139" i="1" s="1"/>
  <c r="T66" i="6"/>
  <c r="T70" i="6"/>
  <c r="S49" i="1" s="1"/>
  <c r="U62" i="6"/>
  <c r="U64" i="6" s="1"/>
  <c r="V77" i="7" s="1"/>
  <c r="V75" i="7" s="1"/>
  <c r="V17" i="4"/>
  <c r="S54" i="6"/>
  <c r="S59" i="6" s="1"/>
  <c r="T52" i="6"/>
  <c r="T56" i="6"/>
  <c r="U48" i="6"/>
  <c r="U50" i="6" s="1"/>
  <c r="V16" i="4"/>
  <c r="X62" i="5"/>
  <c r="X37" i="5"/>
  <c r="X19" i="5"/>
  <c r="Y12" i="4"/>
  <c r="W13" i="4"/>
  <c r="W8" i="6" s="1"/>
  <c r="S51" i="5"/>
  <c r="S58" i="5" s="1"/>
  <c r="S76" i="5"/>
  <c r="S83" i="5" s="1"/>
  <c r="T83" i="5"/>
  <c r="T41" i="5"/>
  <c r="T51" i="5" s="1"/>
  <c r="U39" i="5"/>
  <c r="U64" i="5"/>
  <c r="T16" i="6"/>
  <c r="U10" i="6"/>
  <c r="U21" i="5"/>
  <c r="V10" i="4"/>
  <c r="S16" i="6"/>
  <c r="T33" i="5"/>
  <c r="G83" i="5"/>
  <c r="G12" i="5" s="1"/>
  <c r="H16" i="6"/>
  <c r="AO21" i="5"/>
  <c r="I23" i="5"/>
  <c r="AO109" i="3"/>
  <c r="AO39" i="5"/>
  <c r="I41" i="5"/>
  <c r="I12" i="6"/>
  <c r="AO10" i="6"/>
  <c r="I66" i="5"/>
  <c r="AO64" i="5"/>
  <c r="E74" i="5"/>
  <c r="E81" i="5" s="1"/>
  <c r="E75" i="5"/>
  <c r="E82" i="5" s="1"/>
  <c r="F69" i="5"/>
  <c r="E34" i="5"/>
  <c r="E49" i="5"/>
  <c r="E50" i="5"/>
  <c r="E57" i="5" s="1"/>
  <c r="E11" i="5" s="1"/>
  <c r="F44" i="5"/>
  <c r="J5" i="3"/>
  <c r="S93" i="6" l="1"/>
  <c r="T92" i="6"/>
  <c r="S98" i="1"/>
  <c r="G41" i="1"/>
  <c r="U90" i="6"/>
  <c r="T77" i="1" s="1"/>
  <c r="V90" i="7"/>
  <c r="V87" i="7" s="1"/>
  <c r="U73" i="6"/>
  <c r="T97" i="1"/>
  <c r="E15" i="5"/>
  <c r="D93" i="1"/>
  <c r="E129" i="1"/>
  <c r="F133" i="1"/>
  <c r="M133" i="1"/>
  <c r="E130" i="1"/>
  <c r="S117" i="3"/>
  <c r="R67" i="1" s="1"/>
  <c r="R48" i="1"/>
  <c r="S118" i="3"/>
  <c r="S120" i="3" s="1"/>
  <c r="R34" i="1"/>
  <c r="C132" i="1"/>
  <c r="C29" i="1"/>
  <c r="C35" i="1" s="1"/>
  <c r="AC72" i="7"/>
  <c r="AD72" i="7" s="1"/>
  <c r="AQ72" i="7"/>
  <c r="Y46" i="7"/>
  <c r="X9" i="7"/>
  <c r="K8" i="7"/>
  <c r="I20" i="2" s="1"/>
  <c r="L52" i="7"/>
  <c r="AJ9" i="7"/>
  <c r="AK46" i="7"/>
  <c r="G18" i="2"/>
  <c r="H19" i="2"/>
  <c r="F10" i="7"/>
  <c r="AC82" i="7"/>
  <c r="AQ82" i="7"/>
  <c r="O45" i="7"/>
  <c r="R27" i="2"/>
  <c r="AC64" i="7"/>
  <c r="AD64" i="7" s="1"/>
  <c r="AQ64" i="7"/>
  <c r="AE72" i="7"/>
  <c r="AF72" i="7" s="1"/>
  <c r="AG72" i="7" s="1"/>
  <c r="AH72" i="7" s="1"/>
  <c r="AI72" i="7" s="1"/>
  <c r="AJ72" i="7" s="1"/>
  <c r="AK72" i="7" s="1"/>
  <c r="L61" i="1"/>
  <c r="U91" i="6"/>
  <c r="T119" i="1" s="1"/>
  <c r="U72" i="6"/>
  <c r="T118" i="1" s="1"/>
  <c r="E116" i="1"/>
  <c r="E115" i="1" s="1"/>
  <c r="E114" i="1" s="1"/>
  <c r="P68" i="1"/>
  <c r="P62" i="1" s="1"/>
  <c r="R26" i="1"/>
  <c r="R140" i="1" s="1"/>
  <c r="U57" i="6"/>
  <c r="T117" i="1" s="1"/>
  <c r="AO165" i="6"/>
  <c r="R24" i="1"/>
  <c r="R138" i="1" s="1"/>
  <c r="S74" i="1"/>
  <c r="S136" i="1" s="1"/>
  <c r="T18" i="6"/>
  <c r="G74" i="1"/>
  <c r="G136" i="1" s="1"/>
  <c r="H18" i="6"/>
  <c r="R74" i="1"/>
  <c r="R136" i="1" s="1"/>
  <c r="S18" i="6"/>
  <c r="S70" i="1"/>
  <c r="S141" i="1" s="1"/>
  <c r="T104" i="6"/>
  <c r="S37" i="1"/>
  <c r="AN146" i="1"/>
  <c r="AN71" i="1"/>
  <c r="T85" i="6"/>
  <c r="S30" i="2"/>
  <c r="U165" i="6"/>
  <c r="T71" i="1"/>
  <c r="T146" i="1" s="1"/>
  <c r="H91" i="1"/>
  <c r="AN91" i="1" s="1"/>
  <c r="AP31" i="7"/>
  <c r="I119" i="3"/>
  <c r="AO119" i="3" s="1"/>
  <c r="Q73" i="1"/>
  <c r="M73" i="1"/>
  <c r="M61" i="1" s="1"/>
  <c r="F73" i="1"/>
  <c r="T68" i="6"/>
  <c r="S29" i="2"/>
  <c r="T54" i="6"/>
  <c r="T59" i="6" s="1"/>
  <c r="S28" i="2"/>
  <c r="S76" i="1"/>
  <c r="S104" i="6"/>
  <c r="U100" i="6"/>
  <c r="N120" i="3"/>
  <c r="F56" i="3"/>
  <c r="Q62" i="1"/>
  <c r="U111" i="3"/>
  <c r="V32" i="7"/>
  <c r="V31" i="7" s="1"/>
  <c r="E11" i="1"/>
  <c r="E7" i="1" s="1"/>
  <c r="D33" i="1"/>
  <c r="D132" i="1" s="1"/>
  <c r="E102" i="3"/>
  <c r="E104" i="3" s="1"/>
  <c r="D12" i="2"/>
  <c r="D21" i="2" s="1"/>
  <c r="E33" i="1"/>
  <c r="E132" i="1" s="1"/>
  <c r="F102" i="3"/>
  <c r="F104" i="3" s="1"/>
  <c r="J130" i="3"/>
  <c r="J131" i="3" s="1"/>
  <c r="I92" i="1"/>
  <c r="I42" i="1"/>
  <c r="I134" i="1" s="1"/>
  <c r="K123" i="3"/>
  <c r="K125" i="3" s="1"/>
  <c r="K127" i="3" s="1"/>
  <c r="K129" i="3" s="1"/>
  <c r="L34" i="7"/>
  <c r="L33" i="7" s="1"/>
  <c r="L11" i="4"/>
  <c r="S34" i="1"/>
  <c r="T117" i="3"/>
  <c r="S48" i="1"/>
  <c r="I117" i="3"/>
  <c r="H67" i="1" s="1"/>
  <c r="H48" i="1"/>
  <c r="I118" i="3"/>
  <c r="H34" i="1"/>
  <c r="J118" i="3"/>
  <c r="J120" i="3" s="1"/>
  <c r="I34" i="1"/>
  <c r="I133" i="1" s="1"/>
  <c r="U52" i="3"/>
  <c r="T64" i="1" s="1"/>
  <c r="U50" i="3"/>
  <c r="T46" i="1" s="1"/>
  <c r="S12" i="5"/>
  <c r="G67" i="1"/>
  <c r="G133" i="1" s="1"/>
  <c r="H118" i="3"/>
  <c r="H120" i="3" s="1"/>
  <c r="V13" i="3"/>
  <c r="V15" i="3" s="1"/>
  <c r="V17" i="3" s="1"/>
  <c r="V30" i="3" s="1"/>
  <c r="U63" i="1" s="1"/>
  <c r="V81" i="3"/>
  <c r="V83" i="3" s="1"/>
  <c r="V85" i="3" s="1"/>
  <c r="V100" i="3" s="1"/>
  <c r="U66" i="1" s="1"/>
  <c r="V107" i="3"/>
  <c r="V109" i="3" s="1"/>
  <c r="V37" i="3"/>
  <c r="V39" i="3" s="1"/>
  <c r="V41" i="3" s="1"/>
  <c r="V59" i="3"/>
  <c r="V61" i="3" s="1"/>
  <c r="V63" i="3" s="1"/>
  <c r="V74" i="3" s="1"/>
  <c r="U65" i="1" s="1"/>
  <c r="I19" i="3"/>
  <c r="I20" i="3" s="1"/>
  <c r="I28" i="3" s="1"/>
  <c r="H27" i="3"/>
  <c r="H31" i="3" s="1"/>
  <c r="G30" i="1" s="1"/>
  <c r="H22" i="3"/>
  <c r="H28" i="3"/>
  <c r="I86" i="3"/>
  <c r="H88" i="3"/>
  <c r="H98" i="3"/>
  <c r="G90" i="3"/>
  <c r="G96" i="3"/>
  <c r="G101" i="3" s="1"/>
  <c r="I43" i="3"/>
  <c r="I44" i="3" s="1"/>
  <c r="H9" i="2" s="1"/>
  <c r="H49" i="3"/>
  <c r="H53" i="3" s="1"/>
  <c r="G31" i="1" s="1"/>
  <c r="H51" i="3"/>
  <c r="G54" i="3"/>
  <c r="F13" i="1"/>
  <c r="F9" i="1"/>
  <c r="G32" i="3"/>
  <c r="H29" i="3"/>
  <c r="G12" i="1" s="1"/>
  <c r="G8" i="2"/>
  <c r="E32" i="1"/>
  <c r="F76" i="3"/>
  <c r="G72" i="3"/>
  <c r="G66" i="3"/>
  <c r="E62" i="1"/>
  <c r="F32" i="5"/>
  <c r="F68" i="1"/>
  <c r="D22" i="1"/>
  <c r="L5" i="5"/>
  <c r="F34" i="3"/>
  <c r="T119" i="3"/>
  <c r="S91" i="1"/>
  <c r="G55" i="3"/>
  <c r="F88" i="1"/>
  <c r="F87" i="1"/>
  <c r="G33" i="3"/>
  <c r="D104" i="3"/>
  <c r="D10" i="3" s="1"/>
  <c r="D8" i="3"/>
  <c r="E76" i="3"/>
  <c r="E9" i="3"/>
  <c r="E16" i="2"/>
  <c r="F11" i="2"/>
  <c r="I30" i="7"/>
  <c r="I29" i="7" s="1"/>
  <c r="E10" i="2"/>
  <c r="E7" i="2" s="1"/>
  <c r="G28" i="7"/>
  <c r="G27" i="7" s="1"/>
  <c r="I26" i="7"/>
  <c r="I25" i="7" s="1"/>
  <c r="G9" i="2"/>
  <c r="F14" i="2"/>
  <c r="F13" i="2"/>
  <c r="U81" i="6"/>
  <c r="V91" i="6" s="1"/>
  <c r="U119" i="1" s="1"/>
  <c r="U87" i="6"/>
  <c r="T50" i="1" s="1"/>
  <c r="U88" i="6"/>
  <c r="T19" i="1" s="1"/>
  <c r="V77" i="6"/>
  <c r="V79" i="6" s="1"/>
  <c r="W18" i="4"/>
  <c r="V96" i="6"/>
  <c r="V98" i="6" s="1"/>
  <c r="V100" i="6" s="1"/>
  <c r="U38" i="1" s="1"/>
  <c r="W19" i="4"/>
  <c r="U111" i="6"/>
  <c r="T51" i="1" s="1"/>
  <c r="T142" i="1" s="1"/>
  <c r="V107" i="6"/>
  <c r="V109" i="6" s="1"/>
  <c r="V113" i="6" s="1"/>
  <c r="U78" i="1" s="1"/>
  <c r="W20" i="4"/>
  <c r="T115" i="6"/>
  <c r="I20" i="7"/>
  <c r="I19" i="7" s="1"/>
  <c r="V163" i="6"/>
  <c r="W155" i="6"/>
  <c r="W157" i="6" s="1"/>
  <c r="W159" i="6" s="1"/>
  <c r="W161" i="6" s="1"/>
  <c r="V55" i="1" s="1"/>
  <c r="X24" i="4"/>
  <c r="S71" i="6"/>
  <c r="S74" i="6" s="1"/>
  <c r="U66" i="6"/>
  <c r="V72" i="6" s="1"/>
  <c r="U118" i="1" s="1"/>
  <c r="U70" i="6"/>
  <c r="T49" i="1" s="1"/>
  <c r="V62" i="6"/>
  <c r="V64" i="6" s="1"/>
  <c r="W77" i="7" s="1"/>
  <c r="W75" i="7" s="1"/>
  <c r="W17" i="4"/>
  <c r="U52" i="6"/>
  <c r="V57" i="6" s="1"/>
  <c r="U117" i="1" s="1"/>
  <c r="U56" i="6"/>
  <c r="V48" i="6"/>
  <c r="V50" i="6" s="1"/>
  <c r="W16" i="4"/>
  <c r="Y62" i="5"/>
  <c r="Y37" i="5"/>
  <c r="Y19" i="5"/>
  <c r="AO12" i="6"/>
  <c r="I14" i="6"/>
  <c r="F31" i="5"/>
  <c r="G26" i="5"/>
  <c r="Z12" i="4"/>
  <c r="X13" i="4"/>
  <c r="X8" i="6" s="1"/>
  <c r="T58" i="5"/>
  <c r="T12" i="5" s="1"/>
  <c r="U66" i="5"/>
  <c r="U41" i="5"/>
  <c r="V21" i="5"/>
  <c r="V23" i="5" s="1"/>
  <c r="V33" i="5" s="1"/>
  <c r="V64" i="5"/>
  <c r="V39" i="5"/>
  <c r="V41" i="5" s="1"/>
  <c r="V51" i="5" s="1"/>
  <c r="U12" i="6"/>
  <c r="U14" i="6" s="1"/>
  <c r="U23" i="5"/>
  <c r="V10" i="6"/>
  <c r="W10" i="4"/>
  <c r="I76" i="5"/>
  <c r="AO66" i="5"/>
  <c r="AO23" i="5"/>
  <c r="I33" i="5"/>
  <c r="AO111" i="3"/>
  <c r="AO41" i="5"/>
  <c r="I51" i="5"/>
  <c r="I16" i="6"/>
  <c r="E56" i="5"/>
  <c r="E10" i="5" s="1"/>
  <c r="D18" i="1" s="1"/>
  <c r="E52" i="5"/>
  <c r="E59" i="5" s="1"/>
  <c r="E77" i="5"/>
  <c r="E84" i="5" s="1"/>
  <c r="F67" i="5"/>
  <c r="F42" i="5"/>
  <c r="K5" i="3"/>
  <c r="U92" i="6" l="1"/>
  <c r="T98" i="1"/>
  <c r="T93" i="6"/>
  <c r="V90" i="6"/>
  <c r="U77" i="1" s="1"/>
  <c r="W90" i="7"/>
  <c r="W87" i="7" s="1"/>
  <c r="V73" i="6"/>
  <c r="U97" i="1"/>
  <c r="D135" i="1"/>
  <c r="D86" i="1"/>
  <c r="D85" i="1" s="1"/>
  <c r="R133" i="1"/>
  <c r="F130" i="1"/>
  <c r="AN48" i="1"/>
  <c r="H133" i="1"/>
  <c r="H97" i="3"/>
  <c r="H99" i="3"/>
  <c r="G15" i="1" s="1"/>
  <c r="F8" i="1"/>
  <c r="F129" i="1"/>
  <c r="Y9" i="7"/>
  <c r="Z46" i="7"/>
  <c r="L8" i="7"/>
  <c r="M52" i="7"/>
  <c r="AK9" i="7"/>
  <c r="AL46" i="7"/>
  <c r="H18" i="2"/>
  <c r="I19" i="2"/>
  <c r="AD82" i="7"/>
  <c r="AE82" i="7" s="1"/>
  <c r="AF82" i="7" s="1"/>
  <c r="AG82" i="7" s="1"/>
  <c r="AH82" i="7" s="1"/>
  <c r="AI82" i="7" s="1"/>
  <c r="AJ82" i="7" s="1"/>
  <c r="AK82" i="7" s="1"/>
  <c r="AL82" i="7" s="1"/>
  <c r="AM82" i="7" s="1"/>
  <c r="P45" i="7"/>
  <c r="AP45" i="7"/>
  <c r="AE64" i="7"/>
  <c r="AF64" i="7" s="1"/>
  <c r="AL72" i="7"/>
  <c r="AM72" i="7" s="1"/>
  <c r="AN72" i="7" s="1"/>
  <c r="AR72" i="7" s="1"/>
  <c r="E14" i="5"/>
  <c r="E16" i="5" s="1"/>
  <c r="T30" i="2"/>
  <c r="R68" i="1"/>
  <c r="R62" i="1" s="1"/>
  <c r="U116" i="3"/>
  <c r="U117" i="3" s="1"/>
  <c r="U115" i="3"/>
  <c r="T29" i="2"/>
  <c r="T28" i="2"/>
  <c r="S73" i="1"/>
  <c r="G73" i="1"/>
  <c r="S27" i="2"/>
  <c r="R73" i="1"/>
  <c r="S26" i="1"/>
  <c r="S140" i="1" s="1"/>
  <c r="S25" i="1"/>
  <c r="S139" i="1" s="1"/>
  <c r="T71" i="6"/>
  <c r="T74" i="6" s="1"/>
  <c r="S24" i="1"/>
  <c r="S138" i="1" s="1"/>
  <c r="U102" i="6"/>
  <c r="T38" i="1"/>
  <c r="U37" i="1"/>
  <c r="V165" i="6"/>
  <c r="U71" i="1"/>
  <c r="U146" i="1" s="1"/>
  <c r="I120" i="3"/>
  <c r="Q61" i="1"/>
  <c r="T76" i="1"/>
  <c r="H43" i="1"/>
  <c r="I18" i="6"/>
  <c r="AO18" i="6" s="1"/>
  <c r="T43" i="1"/>
  <c r="AO16" i="6"/>
  <c r="H74" i="1"/>
  <c r="D17" i="2"/>
  <c r="V102" i="6"/>
  <c r="U70" i="1" s="1"/>
  <c r="U141" i="1" s="1"/>
  <c r="F8" i="3"/>
  <c r="E29" i="1"/>
  <c r="D29" i="1"/>
  <c r="AN34" i="1"/>
  <c r="T91" i="1"/>
  <c r="U119" i="3"/>
  <c r="I41" i="1"/>
  <c r="J42" i="1"/>
  <c r="J134" i="1" s="1"/>
  <c r="J92" i="1"/>
  <c r="K130" i="3"/>
  <c r="K131" i="3" s="1"/>
  <c r="L123" i="3"/>
  <c r="L125" i="3" s="1"/>
  <c r="L127" i="3" s="1"/>
  <c r="L129" i="3" s="1"/>
  <c r="M34" i="7"/>
  <c r="M33" i="7" s="1"/>
  <c r="M11" i="4"/>
  <c r="T48" i="1"/>
  <c r="T34" i="1"/>
  <c r="AN67" i="1"/>
  <c r="G62" i="1"/>
  <c r="V50" i="3"/>
  <c r="U46" i="1" s="1"/>
  <c r="V52" i="3"/>
  <c r="U64" i="1" s="1"/>
  <c r="AN133" i="1"/>
  <c r="G56" i="3"/>
  <c r="S67" i="1"/>
  <c r="S133" i="1" s="1"/>
  <c r="T118" i="3"/>
  <c r="T120" i="3" s="1"/>
  <c r="V111" i="3"/>
  <c r="W32" i="7"/>
  <c r="W31" i="7" s="1"/>
  <c r="W81" i="3"/>
  <c r="W83" i="3" s="1"/>
  <c r="W85" i="3" s="1"/>
  <c r="W100" i="3" s="1"/>
  <c r="V66" i="1" s="1"/>
  <c r="W107" i="3"/>
  <c r="W109" i="3" s="1"/>
  <c r="W13" i="3"/>
  <c r="W15" i="3" s="1"/>
  <c r="W17" i="3" s="1"/>
  <c r="W30" i="3" s="1"/>
  <c r="V63" i="1" s="1"/>
  <c r="W37" i="3"/>
  <c r="W39" i="3" s="1"/>
  <c r="W41" i="3" s="1"/>
  <c r="W59" i="3"/>
  <c r="W61" i="3" s="1"/>
  <c r="W63" i="3" s="1"/>
  <c r="W74" i="3" s="1"/>
  <c r="V65" i="1" s="1"/>
  <c r="I22" i="3"/>
  <c r="J19" i="3"/>
  <c r="J20" i="3" s="1"/>
  <c r="I27" i="3"/>
  <c r="I31" i="3" s="1"/>
  <c r="I29" i="3"/>
  <c r="H12" i="1" s="1"/>
  <c r="H9" i="1"/>
  <c r="H32" i="3"/>
  <c r="G9" i="1"/>
  <c r="J86" i="3"/>
  <c r="I88" i="3"/>
  <c r="I98" i="3"/>
  <c r="H90" i="3"/>
  <c r="H96" i="3"/>
  <c r="G10" i="1"/>
  <c r="G102" i="3"/>
  <c r="G104" i="3" s="1"/>
  <c r="F33" i="1"/>
  <c r="F132" i="1" s="1"/>
  <c r="J43" i="3"/>
  <c r="J44" i="3" s="1"/>
  <c r="I9" i="2" s="1"/>
  <c r="I49" i="3"/>
  <c r="I51" i="3"/>
  <c r="G13" i="1"/>
  <c r="G130" i="1" s="1"/>
  <c r="H54" i="3"/>
  <c r="F47" i="1"/>
  <c r="F45" i="1" s="1"/>
  <c r="F40" i="1" s="1"/>
  <c r="H65" i="3"/>
  <c r="G71" i="3"/>
  <c r="G75" i="3" s="1"/>
  <c r="F32" i="1" s="1"/>
  <c r="G73" i="3"/>
  <c r="P61" i="1"/>
  <c r="E61" i="1"/>
  <c r="D21" i="1"/>
  <c r="F62" i="1"/>
  <c r="F61" i="1" s="1"/>
  <c r="S68" i="1"/>
  <c r="AO33" i="5"/>
  <c r="D17" i="1"/>
  <c r="U115" i="6"/>
  <c r="M5" i="5"/>
  <c r="G34" i="3"/>
  <c r="H103" i="3"/>
  <c r="G90" i="1"/>
  <c r="F77" i="3"/>
  <c r="E89" i="1"/>
  <c r="E131" i="1" s="1"/>
  <c r="H55" i="3"/>
  <c r="G88" i="1"/>
  <c r="G87" i="1"/>
  <c r="H33" i="3"/>
  <c r="AO115" i="3"/>
  <c r="E8" i="3"/>
  <c r="E78" i="3"/>
  <c r="E10" i="3" s="1"/>
  <c r="J30" i="7"/>
  <c r="J29" i="7" s="1"/>
  <c r="F16" i="2"/>
  <c r="G11" i="2"/>
  <c r="E15" i="2"/>
  <c r="E12" i="2" s="1"/>
  <c r="E21" i="2" s="1"/>
  <c r="G14" i="2"/>
  <c r="G13" i="2"/>
  <c r="J20" i="7"/>
  <c r="J19" i="7" s="1"/>
  <c r="H8" i="2"/>
  <c r="U85" i="6"/>
  <c r="V81" i="6"/>
  <c r="W91" i="6" s="1"/>
  <c r="V119" i="1" s="1"/>
  <c r="V87" i="6"/>
  <c r="U50" i="1" s="1"/>
  <c r="V88" i="6"/>
  <c r="U19" i="1" s="1"/>
  <c r="W77" i="6"/>
  <c r="W79" i="6" s="1"/>
  <c r="X18" i="4"/>
  <c r="W96" i="6"/>
  <c r="W98" i="6" s="1"/>
  <c r="X19" i="4"/>
  <c r="V111" i="6"/>
  <c r="U51" i="1" s="1"/>
  <c r="U142" i="1" s="1"/>
  <c r="W107" i="6"/>
  <c r="W109" i="6" s="1"/>
  <c r="W113" i="6" s="1"/>
  <c r="V78" i="1" s="1"/>
  <c r="X20" i="4"/>
  <c r="J26" i="7"/>
  <c r="J25" i="7" s="1"/>
  <c r="W163" i="6"/>
  <c r="X155" i="6"/>
  <c r="X157" i="6" s="1"/>
  <c r="X159" i="6" s="1"/>
  <c r="X161" i="6" s="1"/>
  <c r="W55" i="1" s="1"/>
  <c r="Y24" i="4"/>
  <c r="U68" i="6"/>
  <c r="T25" i="1" s="1"/>
  <c r="T139" i="1" s="1"/>
  <c r="V66" i="6"/>
  <c r="V70" i="6"/>
  <c r="U49" i="1" s="1"/>
  <c r="W62" i="6"/>
  <c r="W64" i="6" s="1"/>
  <c r="X77" i="7" s="1"/>
  <c r="X75" i="7" s="1"/>
  <c r="X17" i="4"/>
  <c r="U54" i="6"/>
  <c r="V52" i="6"/>
  <c r="V56" i="6"/>
  <c r="W48" i="6"/>
  <c r="W50" i="6" s="1"/>
  <c r="X16" i="4"/>
  <c r="F34" i="5"/>
  <c r="G24" i="5"/>
  <c r="Z62" i="5"/>
  <c r="Z19" i="5"/>
  <c r="Z37" i="5"/>
  <c r="AO36" i="6"/>
  <c r="AO14" i="6"/>
  <c r="G27" i="5"/>
  <c r="AA12" i="4"/>
  <c r="Y13" i="4"/>
  <c r="Y8" i="6" s="1"/>
  <c r="U76" i="5"/>
  <c r="U51" i="5"/>
  <c r="U58" i="5" s="1"/>
  <c r="V66" i="5"/>
  <c r="V76" i="5" s="1"/>
  <c r="V83" i="5" s="1"/>
  <c r="V58" i="5"/>
  <c r="W64" i="5"/>
  <c r="W39" i="5"/>
  <c r="W21" i="5"/>
  <c r="U16" i="6"/>
  <c r="U33" i="5"/>
  <c r="W10" i="6"/>
  <c r="X10" i="4"/>
  <c r="AO76" i="5"/>
  <c r="I83" i="5"/>
  <c r="AO83" i="5" s="1"/>
  <c r="V12" i="6"/>
  <c r="V14" i="6" s="1"/>
  <c r="AO116" i="3"/>
  <c r="AO51" i="5"/>
  <c r="I58" i="5"/>
  <c r="F70" i="5"/>
  <c r="F80" i="5" s="1"/>
  <c r="F45" i="5"/>
  <c r="L5" i="3"/>
  <c r="G129" i="1" l="1"/>
  <c r="H101" i="3"/>
  <c r="H136" i="1"/>
  <c r="AN136" i="1" s="1"/>
  <c r="T27" i="2"/>
  <c r="V92" i="6"/>
  <c r="U98" i="1"/>
  <c r="U93" i="6"/>
  <c r="W90" i="6"/>
  <c r="V77" i="1" s="1"/>
  <c r="X90" i="7"/>
  <c r="X87" i="7" s="1"/>
  <c r="W73" i="6"/>
  <c r="V97" i="1"/>
  <c r="F55" i="5"/>
  <c r="F9" i="5" s="1"/>
  <c r="F8" i="5"/>
  <c r="G40" i="7" s="1"/>
  <c r="G38" i="7" s="1"/>
  <c r="T67" i="1"/>
  <c r="T133" i="1" s="1"/>
  <c r="U118" i="3"/>
  <c r="U120" i="3" s="1"/>
  <c r="I97" i="3"/>
  <c r="I99" i="3"/>
  <c r="H15" i="1" s="1"/>
  <c r="AA46" i="7"/>
  <c r="Z9" i="7"/>
  <c r="J20" i="2"/>
  <c r="M8" i="7"/>
  <c r="N52" i="7"/>
  <c r="AL9" i="7"/>
  <c r="AM46" i="7"/>
  <c r="I18" i="2"/>
  <c r="J19" i="2"/>
  <c r="AN82" i="7"/>
  <c r="AR82" i="7"/>
  <c r="Q45" i="7"/>
  <c r="AG64" i="7"/>
  <c r="AH64" i="7" s="1"/>
  <c r="AI64" i="7" s="1"/>
  <c r="AJ64" i="7" s="1"/>
  <c r="W72" i="6"/>
  <c r="V118" i="1" s="1"/>
  <c r="T26" i="1"/>
  <c r="T140" i="1" s="1"/>
  <c r="T24" i="1"/>
  <c r="T138" i="1" s="1"/>
  <c r="U59" i="6"/>
  <c r="W57" i="6"/>
  <c r="V117" i="1" s="1"/>
  <c r="G61" i="1"/>
  <c r="R61" i="1"/>
  <c r="T70" i="1"/>
  <c r="T141" i="1" s="1"/>
  <c r="U104" i="6"/>
  <c r="H30" i="1"/>
  <c r="I32" i="3"/>
  <c r="H72" i="3"/>
  <c r="G47" i="1" s="1"/>
  <c r="G45" i="1" s="1"/>
  <c r="G40" i="1" s="1"/>
  <c r="H66" i="3"/>
  <c r="I65" i="3" s="1"/>
  <c r="T37" i="1"/>
  <c r="H41" i="1"/>
  <c r="AN43" i="1"/>
  <c r="V85" i="6"/>
  <c r="U30" i="2"/>
  <c r="W165" i="6"/>
  <c r="V71" i="1"/>
  <c r="V146" i="1" s="1"/>
  <c r="T74" i="1"/>
  <c r="T136" i="1" s="1"/>
  <c r="U18" i="6"/>
  <c r="AN74" i="1"/>
  <c r="H73" i="1"/>
  <c r="AN73" i="1" s="1"/>
  <c r="V68" i="6"/>
  <c r="U29" i="2"/>
  <c r="V54" i="6"/>
  <c r="V59" i="6" s="1"/>
  <c r="U28" i="2"/>
  <c r="U76" i="1"/>
  <c r="U43" i="1"/>
  <c r="F83" i="1"/>
  <c r="V104" i="6"/>
  <c r="W100" i="6"/>
  <c r="V38" i="1" s="1"/>
  <c r="V115" i="6"/>
  <c r="V12" i="5"/>
  <c r="U68" i="1" s="1"/>
  <c r="V119" i="3"/>
  <c r="U91" i="1"/>
  <c r="W111" i="3"/>
  <c r="X32" i="7"/>
  <c r="X31" i="7" s="1"/>
  <c r="J41" i="1"/>
  <c r="K42" i="1"/>
  <c r="K134" i="1" s="1"/>
  <c r="K92" i="1"/>
  <c r="L130" i="3"/>
  <c r="L131" i="3" s="1"/>
  <c r="M123" i="3"/>
  <c r="M125" i="3" s="1"/>
  <c r="M127" i="3" s="1"/>
  <c r="M129" i="3" s="1"/>
  <c r="N34" i="7"/>
  <c r="N33" i="7" s="1"/>
  <c r="N11" i="4"/>
  <c r="V116" i="3"/>
  <c r="V115" i="3"/>
  <c r="W50" i="3"/>
  <c r="V46" i="1" s="1"/>
  <c r="W52" i="3"/>
  <c r="V64" i="1" s="1"/>
  <c r="X13" i="3"/>
  <c r="X15" i="3" s="1"/>
  <c r="X17" i="3" s="1"/>
  <c r="X30" i="3" s="1"/>
  <c r="W63" i="1" s="1"/>
  <c r="X81" i="3"/>
  <c r="X83" i="3" s="1"/>
  <c r="X85" i="3" s="1"/>
  <c r="X100" i="3" s="1"/>
  <c r="W66" i="1" s="1"/>
  <c r="X107" i="3"/>
  <c r="X109" i="3" s="1"/>
  <c r="X111" i="3" s="1"/>
  <c r="X37" i="3"/>
  <c r="X39" i="3" s="1"/>
  <c r="X41" i="3" s="1"/>
  <c r="X59" i="3"/>
  <c r="X61" i="3" s="1"/>
  <c r="X63" i="3" s="1"/>
  <c r="X74" i="3" s="1"/>
  <c r="W65" i="1" s="1"/>
  <c r="AO58" i="5"/>
  <c r="I12" i="5"/>
  <c r="J22" i="3"/>
  <c r="J27" i="3"/>
  <c r="J31" i="3" s="1"/>
  <c r="I30" i="1" s="1"/>
  <c r="K19" i="3"/>
  <c r="K20" i="3" s="1"/>
  <c r="K28" i="3" s="1"/>
  <c r="J88" i="3"/>
  <c r="K86" i="3"/>
  <c r="J97" i="3"/>
  <c r="J98" i="3"/>
  <c r="I90" i="3"/>
  <c r="I96" i="3"/>
  <c r="H10" i="1"/>
  <c r="F29" i="1"/>
  <c r="J49" i="3"/>
  <c r="J53" i="3" s="1"/>
  <c r="I31" i="1" s="1"/>
  <c r="K43" i="3"/>
  <c r="K44" i="3" s="1"/>
  <c r="L26" i="7" s="1"/>
  <c r="L25" i="7" s="1"/>
  <c r="J51" i="3"/>
  <c r="H13" i="1"/>
  <c r="H71" i="3"/>
  <c r="H75" i="3" s="1"/>
  <c r="G32" i="1" s="1"/>
  <c r="H73" i="3"/>
  <c r="H56" i="3"/>
  <c r="G8" i="1"/>
  <c r="J28" i="3"/>
  <c r="J29" i="3"/>
  <c r="I12" i="1" s="1"/>
  <c r="I8" i="2"/>
  <c r="I53" i="3"/>
  <c r="H14" i="2"/>
  <c r="F14" i="1"/>
  <c r="G76" i="3"/>
  <c r="G8" i="3" s="1"/>
  <c r="E83" i="1"/>
  <c r="D16" i="1"/>
  <c r="S62" i="1"/>
  <c r="G32" i="5"/>
  <c r="N5" i="5"/>
  <c r="C126" i="1"/>
  <c r="C128" i="1" s="1"/>
  <c r="F9" i="3"/>
  <c r="F78" i="3"/>
  <c r="F10" i="3" s="1"/>
  <c r="H34" i="3"/>
  <c r="I103" i="3"/>
  <c r="H90" i="1"/>
  <c r="H87" i="1"/>
  <c r="I33" i="3"/>
  <c r="I55" i="3"/>
  <c r="H88" i="1"/>
  <c r="G16" i="2"/>
  <c r="H11" i="2"/>
  <c r="K30" i="7"/>
  <c r="K29" i="7" s="1"/>
  <c r="E17" i="2"/>
  <c r="F10" i="2"/>
  <c r="F7" i="2" s="1"/>
  <c r="H28" i="7"/>
  <c r="H27" i="7" s="1"/>
  <c r="H13" i="2"/>
  <c r="W81" i="6"/>
  <c r="W87" i="6"/>
  <c r="V50" i="1" s="1"/>
  <c r="W88" i="6"/>
  <c r="V19" i="1" s="1"/>
  <c r="X77" i="6"/>
  <c r="X79" i="6" s="1"/>
  <c r="Y18" i="4"/>
  <c r="X96" i="6"/>
  <c r="X98" i="6" s="1"/>
  <c r="X100" i="6" s="1"/>
  <c r="Y19" i="4"/>
  <c r="W111" i="6"/>
  <c r="V51" i="1" s="1"/>
  <c r="V142" i="1" s="1"/>
  <c r="X107" i="6"/>
  <c r="X109" i="6" s="1"/>
  <c r="X113" i="6" s="1"/>
  <c r="W78" i="1" s="1"/>
  <c r="Y20" i="4"/>
  <c r="K26" i="7"/>
  <c r="K25" i="7" s="1"/>
  <c r="K20" i="7"/>
  <c r="K19" i="7" s="1"/>
  <c r="X163" i="6"/>
  <c r="Y155" i="6"/>
  <c r="Y157" i="6" s="1"/>
  <c r="Y159" i="6" s="1"/>
  <c r="Y161" i="6" s="1"/>
  <c r="X55" i="1" s="1"/>
  <c r="Z24" i="4"/>
  <c r="U71" i="6"/>
  <c r="U74" i="6" s="1"/>
  <c r="W66" i="6"/>
  <c r="X72" i="6" s="1"/>
  <c r="W118" i="1" s="1"/>
  <c r="W70" i="6"/>
  <c r="V49" i="1" s="1"/>
  <c r="X62" i="6"/>
  <c r="X64" i="6" s="1"/>
  <c r="Y77" i="7" s="1"/>
  <c r="Y75" i="7" s="1"/>
  <c r="Y17" i="4"/>
  <c r="W52" i="6"/>
  <c r="W56" i="6"/>
  <c r="X48" i="6"/>
  <c r="X50" i="6" s="1"/>
  <c r="Y16" i="4"/>
  <c r="G31" i="5"/>
  <c r="H26" i="5"/>
  <c r="AA62" i="5"/>
  <c r="AA37" i="5"/>
  <c r="AA19" i="5"/>
  <c r="AP12" i="4"/>
  <c r="AB12" i="4"/>
  <c r="Z13" i="4"/>
  <c r="Z8" i="6" s="1"/>
  <c r="U83" i="5"/>
  <c r="U12" i="5" s="1"/>
  <c r="W41" i="5"/>
  <c r="W23" i="5"/>
  <c r="W66" i="5"/>
  <c r="X64" i="5"/>
  <c r="X39" i="5"/>
  <c r="X21" i="5"/>
  <c r="X10" i="6"/>
  <c r="X12" i="6" s="1"/>
  <c r="X14" i="6" s="1"/>
  <c r="Y10" i="4"/>
  <c r="V16" i="6"/>
  <c r="W12" i="6"/>
  <c r="W14" i="6" s="1"/>
  <c r="AO117" i="3"/>
  <c r="G69" i="5"/>
  <c r="F75" i="5"/>
  <c r="F82" i="5" s="1"/>
  <c r="F74" i="5"/>
  <c r="F81" i="5" s="1"/>
  <c r="F49" i="5"/>
  <c r="F56" i="5" s="1"/>
  <c r="G44" i="5"/>
  <c r="F50" i="5"/>
  <c r="F57" i="5" s="1"/>
  <c r="F11" i="5" s="1"/>
  <c r="M5" i="3"/>
  <c r="V93" i="6" l="1"/>
  <c r="I101" i="3"/>
  <c r="G33" i="1"/>
  <c r="H102" i="3"/>
  <c r="H104" i="3" s="1"/>
  <c r="W92" i="6"/>
  <c r="V98" i="1"/>
  <c r="X90" i="6"/>
  <c r="W77" i="1" s="1"/>
  <c r="Y90" i="7"/>
  <c r="Y87" i="7" s="1"/>
  <c r="X73" i="6"/>
  <c r="W97" i="1"/>
  <c r="E32" i="2"/>
  <c r="E31" i="2" s="1"/>
  <c r="E24" i="2" s="1"/>
  <c r="E34" i="2" s="1"/>
  <c r="G13" i="5"/>
  <c r="F116" i="1" s="1"/>
  <c r="F115" i="1" s="1"/>
  <c r="F114" i="1" s="1"/>
  <c r="G7" i="7"/>
  <c r="G10" i="7" s="1"/>
  <c r="F15" i="5"/>
  <c r="E93" i="1"/>
  <c r="H129" i="1"/>
  <c r="H8" i="1"/>
  <c r="F11" i="1"/>
  <c r="F7" i="1" s="1"/>
  <c r="AB46" i="7"/>
  <c r="AQ46" i="7" s="1"/>
  <c r="AA9" i="7"/>
  <c r="N8" i="7"/>
  <c r="O52" i="7"/>
  <c r="AM9" i="7"/>
  <c r="AN46" i="7"/>
  <c r="AN9" i="7" s="1"/>
  <c r="J18" i="2"/>
  <c r="K19" i="2"/>
  <c r="K20" i="2"/>
  <c r="L20" i="2" s="1"/>
  <c r="AK64" i="7"/>
  <c r="AL64" i="7" s="1"/>
  <c r="AM64" i="7" s="1"/>
  <c r="AN64" i="7" s="1"/>
  <c r="AR64" i="7"/>
  <c r="R45" i="7"/>
  <c r="V30" i="2"/>
  <c r="X91" i="6"/>
  <c r="W119" i="1" s="1"/>
  <c r="H68" i="1"/>
  <c r="AO12" i="5"/>
  <c r="V29" i="2"/>
  <c r="U27" i="2"/>
  <c r="V28" i="2"/>
  <c r="V27" i="2" s="1"/>
  <c r="X57" i="6"/>
  <c r="W117" i="1" s="1"/>
  <c r="G83" i="1"/>
  <c r="U24" i="1"/>
  <c r="U138" i="1" s="1"/>
  <c r="U74" i="1"/>
  <c r="U136" i="1" s="1"/>
  <c r="V18" i="6"/>
  <c r="U26" i="1"/>
  <c r="U140" i="1" s="1"/>
  <c r="T73" i="1"/>
  <c r="W119" i="3"/>
  <c r="V91" i="1"/>
  <c r="W116" i="3"/>
  <c r="V48" i="1" s="1"/>
  <c r="W115" i="3"/>
  <c r="U25" i="1"/>
  <c r="U139" i="1" s="1"/>
  <c r="V71" i="6"/>
  <c r="V74" i="6" s="1"/>
  <c r="V37" i="1"/>
  <c r="X102" i="6"/>
  <c r="W38" i="1"/>
  <c r="X165" i="6"/>
  <c r="W71" i="1"/>
  <c r="W146" i="1" s="1"/>
  <c r="V76" i="1"/>
  <c r="W43" i="1"/>
  <c r="V43" i="1"/>
  <c r="W102" i="6"/>
  <c r="V70" i="1" s="1"/>
  <c r="V141" i="1" s="1"/>
  <c r="F10" i="5"/>
  <c r="E18" i="1" s="1"/>
  <c r="W115" i="6"/>
  <c r="K41" i="1"/>
  <c r="L42" i="1"/>
  <c r="L134" i="1" s="1"/>
  <c r="L92" i="1"/>
  <c r="M130" i="3"/>
  <c r="M131" i="3" s="1"/>
  <c r="N123" i="3"/>
  <c r="N125" i="3" s="1"/>
  <c r="N127" i="3" s="1"/>
  <c r="N129" i="3" s="1"/>
  <c r="O11" i="4"/>
  <c r="O34" i="7"/>
  <c r="O33" i="7" s="1"/>
  <c r="V117" i="3"/>
  <c r="U67" i="1" s="1"/>
  <c r="U48" i="1"/>
  <c r="V118" i="3"/>
  <c r="V120" i="3" s="1"/>
  <c r="U34" i="1"/>
  <c r="W117" i="3"/>
  <c r="V34" i="1"/>
  <c r="X116" i="3"/>
  <c r="X115" i="3"/>
  <c r="X50" i="3"/>
  <c r="W46" i="1" s="1"/>
  <c r="X52" i="3"/>
  <c r="W64" i="1" s="1"/>
  <c r="H31" i="1"/>
  <c r="H130" i="1" s="1"/>
  <c r="I54" i="3"/>
  <c r="I56" i="3" s="1"/>
  <c r="Y81" i="3"/>
  <c r="Y83" i="3" s="1"/>
  <c r="Y85" i="3" s="1"/>
  <c r="Y100" i="3" s="1"/>
  <c r="X66" i="1" s="1"/>
  <c r="Y13" i="3"/>
  <c r="Y15" i="3" s="1"/>
  <c r="Y17" i="3" s="1"/>
  <c r="Y30" i="3" s="1"/>
  <c r="X63" i="1" s="1"/>
  <c r="Y37" i="3"/>
  <c r="Y39" i="3" s="1"/>
  <c r="Y41" i="3" s="1"/>
  <c r="Y59" i="3"/>
  <c r="Y61" i="3" s="1"/>
  <c r="Y63" i="3" s="1"/>
  <c r="Y74" i="3" s="1"/>
  <c r="X65" i="1" s="1"/>
  <c r="Y107" i="3"/>
  <c r="Y109" i="3" s="1"/>
  <c r="J9" i="1"/>
  <c r="K22" i="3"/>
  <c r="K27" i="3"/>
  <c r="K31" i="3" s="1"/>
  <c r="J30" i="1" s="1"/>
  <c r="L19" i="3"/>
  <c r="L20" i="3" s="1"/>
  <c r="K29" i="3"/>
  <c r="J96" i="3"/>
  <c r="J101" i="3" s="1"/>
  <c r="I33" i="1" s="1"/>
  <c r="J90" i="3"/>
  <c r="J99" i="3"/>
  <c r="L86" i="3"/>
  <c r="K88" i="3"/>
  <c r="K98" i="3"/>
  <c r="I10" i="1"/>
  <c r="J9" i="2"/>
  <c r="L43" i="3"/>
  <c r="L44" i="3" s="1"/>
  <c r="M26" i="7" s="1"/>
  <c r="M25" i="7" s="1"/>
  <c r="K49" i="3"/>
  <c r="K51" i="3"/>
  <c r="J54" i="3"/>
  <c r="I13" i="1"/>
  <c r="I130" i="1" s="1"/>
  <c r="J32" i="3"/>
  <c r="I9" i="1"/>
  <c r="I72" i="3"/>
  <c r="I66" i="3"/>
  <c r="G14" i="1"/>
  <c r="H76" i="3"/>
  <c r="D28" i="1"/>
  <c r="D35" i="1" s="1"/>
  <c r="D126" i="1" s="1"/>
  <c r="D128" i="1" s="1"/>
  <c r="S61" i="1"/>
  <c r="T68" i="1"/>
  <c r="E22" i="1"/>
  <c r="O5" i="5"/>
  <c r="I34" i="3"/>
  <c r="J103" i="3"/>
  <c r="I90" i="1"/>
  <c r="G77" i="3"/>
  <c r="F89" i="1"/>
  <c r="F131" i="1" s="1"/>
  <c r="J55" i="3"/>
  <c r="I88" i="1"/>
  <c r="K55" i="3"/>
  <c r="J88" i="1"/>
  <c r="I87" i="1"/>
  <c r="J33" i="3"/>
  <c r="L30" i="7"/>
  <c r="L29" i="7" s="1"/>
  <c r="F15" i="2"/>
  <c r="F12" i="2" s="1"/>
  <c r="F21" i="2" s="1"/>
  <c r="H16" i="2"/>
  <c r="I11" i="2"/>
  <c r="I14" i="2"/>
  <c r="Y32" i="7"/>
  <c r="Y31" i="7" s="1"/>
  <c r="I13" i="2"/>
  <c r="L20" i="7"/>
  <c r="L19" i="7" s="1"/>
  <c r="J8" i="2"/>
  <c r="W85" i="6"/>
  <c r="X81" i="6"/>
  <c r="X87" i="6"/>
  <c r="W50" i="1" s="1"/>
  <c r="X88" i="6"/>
  <c r="W19" i="1" s="1"/>
  <c r="Y77" i="6"/>
  <c r="Y79" i="6" s="1"/>
  <c r="Z18" i="4"/>
  <c r="Y96" i="6"/>
  <c r="Y98" i="6" s="1"/>
  <c r="Z19" i="4"/>
  <c r="X111" i="6"/>
  <c r="W51" i="1" s="1"/>
  <c r="W142" i="1" s="1"/>
  <c r="Y107" i="6"/>
  <c r="Y109" i="6" s="1"/>
  <c r="Y113" i="6" s="1"/>
  <c r="X78" i="1" s="1"/>
  <c r="Z20" i="4"/>
  <c r="Y163" i="6"/>
  <c r="Z155" i="6"/>
  <c r="Z157" i="6" s="1"/>
  <c r="Z159" i="6" s="1"/>
  <c r="Z161" i="6" s="1"/>
  <c r="Y55" i="1" s="1"/>
  <c r="AA24" i="4"/>
  <c r="W68" i="6"/>
  <c r="V25" i="1" s="1"/>
  <c r="V139" i="1" s="1"/>
  <c r="X66" i="6"/>
  <c r="X70" i="6"/>
  <c r="W49" i="1" s="1"/>
  <c r="Y62" i="6"/>
  <c r="Y64" i="6" s="1"/>
  <c r="Z77" i="7" s="1"/>
  <c r="Z75" i="7" s="1"/>
  <c r="Z17" i="4"/>
  <c r="W54" i="6"/>
  <c r="W59" i="6" s="1"/>
  <c r="X52" i="6"/>
  <c r="X56" i="6"/>
  <c r="Y48" i="6"/>
  <c r="Y50" i="6" s="1"/>
  <c r="Z16" i="4"/>
  <c r="H24" i="5"/>
  <c r="H27" i="5" s="1"/>
  <c r="G34" i="5"/>
  <c r="AB62" i="5"/>
  <c r="AB19" i="5"/>
  <c r="AB37" i="5"/>
  <c r="AO118" i="3"/>
  <c r="AO120" i="3"/>
  <c r="AC12" i="4"/>
  <c r="AA13" i="4"/>
  <c r="AA8" i="6" s="1"/>
  <c r="W51" i="5"/>
  <c r="W33" i="5"/>
  <c r="W76" i="5"/>
  <c r="W83" i="5" s="1"/>
  <c r="X66" i="5"/>
  <c r="X76" i="5" s="1"/>
  <c r="X41" i="5"/>
  <c r="X51" i="5" s="1"/>
  <c r="X58" i="5" s="1"/>
  <c r="X23" i="5"/>
  <c r="X33" i="5" s="1"/>
  <c r="Y39" i="5"/>
  <c r="Y21" i="5"/>
  <c r="Y64" i="5"/>
  <c r="Y66" i="5" s="1"/>
  <c r="Y76" i="5" s="1"/>
  <c r="Y83" i="5" s="1"/>
  <c r="X16" i="6"/>
  <c r="Y10" i="6"/>
  <c r="Z10" i="4"/>
  <c r="W16" i="6"/>
  <c r="G67" i="5"/>
  <c r="F77" i="5"/>
  <c r="F84" i="5" s="1"/>
  <c r="F52" i="5"/>
  <c r="F59" i="5" s="1"/>
  <c r="F14" i="5" s="1"/>
  <c r="G42" i="5"/>
  <c r="N5" i="3"/>
  <c r="I129" i="1" l="1"/>
  <c r="W93" i="6"/>
  <c r="E135" i="1"/>
  <c r="H8" i="3"/>
  <c r="H33" i="1"/>
  <c r="H132" i="1" s="1"/>
  <c r="I102" i="3"/>
  <c r="I104" i="3" s="1"/>
  <c r="G132" i="1"/>
  <c r="G29" i="1"/>
  <c r="X92" i="6"/>
  <c r="W98" i="1"/>
  <c r="Y90" i="6"/>
  <c r="X77" i="1" s="1"/>
  <c r="Z90" i="7"/>
  <c r="Z87" i="7" s="1"/>
  <c r="Y73" i="6"/>
  <c r="X97" i="1"/>
  <c r="E86" i="1"/>
  <c r="E85" i="1" s="1"/>
  <c r="F16" i="5"/>
  <c r="U133" i="1"/>
  <c r="G11" i="1"/>
  <c r="G7" i="1" s="1"/>
  <c r="AB9" i="7"/>
  <c r="AQ9" i="7" s="1"/>
  <c r="AC46" i="7"/>
  <c r="O8" i="7"/>
  <c r="P52" i="7"/>
  <c r="K18" i="2"/>
  <c r="L19" i="2"/>
  <c r="S45" i="7"/>
  <c r="Y91" i="6"/>
  <c r="X119" i="1" s="1"/>
  <c r="Y72" i="6"/>
  <c r="X118" i="1" s="1"/>
  <c r="AN68" i="1"/>
  <c r="H62" i="1"/>
  <c r="E17" i="1"/>
  <c r="V67" i="1"/>
  <c r="V133" i="1" s="1"/>
  <c r="W118" i="3"/>
  <c r="W120" i="3" s="1"/>
  <c r="U73" i="1"/>
  <c r="V26" i="1"/>
  <c r="V140" i="1" s="1"/>
  <c r="Y57" i="6"/>
  <c r="X117" i="1" s="1"/>
  <c r="W70" i="1"/>
  <c r="W141" i="1" s="1"/>
  <c r="X104" i="6"/>
  <c r="W37" i="1"/>
  <c r="X85" i="6"/>
  <c r="W30" i="2"/>
  <c r="Y165" i="6"/>
  <c r="X71" i="1"/>
  <c r="X146" i="1" s="1"/>
  <c r="X68" i="6"/>
  <c r="W29" i="2"/>
  <c r="V24" i="1"/>
  <c r="V138" i="1" s="1"/>
  <c r="X54" i="6"/>
  <c r="X59" i="6" s="1"/>
  <c r="W28" i="2"/>
  <c r="W76" i="1"/>
  <c r="X18" i="6"/>
  <c r="W74" i="1"/>
  <c r="W136" i="1" s="1"/>
  <c r="W18" i="6"/>
  <c r="V74" i="1"/>
  <c r="V136" i="1" s="1"/>
  <c r="W104" i="6"/>
  <c r="Y100" i="6"/>
  <c r="F17" i="2"/>
  <c r="I15" i="1"/>
  <c r="I132" i="1" s="1"/>
  <c r="J102" i="3"/>
  <c r="J104" i="3" s="1"/>
  <c r="J56" i="3"/>
  <c r="L41" i="1"/>
  <c r="M42" i="1"/>
  <c r="M134" i="1" s="1"/>
  <c r="P11" i="4"/>
  <c r="AO11" i="4"/>
  <c r="P34" i="7"/>
  <c r="P33" i="7" s="1"/>
  <c r="O123" i="3"/>
  <c r="O125" i="3" s="1"/>
  <c r="O127" i="3" s="1"/>
  <c r="O129" i="3" s="1"/>
  <c r="N130" i="3"/>
  <c r="N131" i="3" s="1"/>
  <c r="M92" i="1"/>
  <c r="U62" i="1"/>
  <c r="X117" i="3"/>
  <c r="W67" i="1" s="1"/>
  <c r="W48" i="1"/>
  <c r="X118" i="3"/>
  <c r="W34" i="1"/>
  <c r="Y50" i="3"/>
  <c r="X46" i="1" s="1"/>
  <c r="Y52" i="3"/>
  <c r="X64" i="1" s="1"/>
  <c r="Y111" i="3"/>
  <c r="Z32" i="7"/>
  <c r="Z31" i="7" s="1"/>
  <c r="K53" i="3"/>
  <c r="J14" i="2"/>
  <c r="Z107" i="3"/>
  <c r="Z109" i="3" s="1"/>
  <c r="Z13" i="3"/>
  <c r="Z15" i="3" s="1"/>
  <c r="Z17" i="3" s="1"/>
  <c r="Z30" i="3" s="1"/>
  <c r="Y63" i="1" s="1"/>
  <c r="Z81" i="3"/>
  <c r="Z83" i="3" s="1"/>
  <c r="Z85" i="3" s="1"/>
  <c r="Z100" i="3" s="1"/>
  <c r="Y66" i="1" s="1"/>
  <c r="Z37" i="3"/>
  <c r="Z39" i="3" s="1"/>
  <c r="Z41" i="3" s="1"/>
  <c r="Z59" i="3"/>
  <c r="Z61" i="3" s="1"/>
  <c r="Z63" i="3" s="1"/>
  <c r="Z74" i="3" s="1"/>
  <c r="Y65" i="1" s="1"/>
  <c r="M19" i="3"/>
  <c r="M20" i="3" s="1"/>
  <c r="L27" i="3"/>
  <c r="L31" i="3" s="1"/>
  <c r="K30" i="1" s="1"/>
  <c r="L22" i="3"/>
  <c r="M86" i="3"/>
  <c r="L88" i="3"/>
  <c r="L98" i="3"/>
  <c r="K10" i="1" s="1"/>
  <c r="L99" i="3"/>
  <c r="K15" i="1" s="1"/>
  <c r="K90" i="3"/>
  <c r="K96" i="3"/>
  <c r="J10" i="1"/>
  <c r="K9" i="2"/>
  <c r="L49" i="3"/>
  <c r="M43" i="3"/>
  <c r="M44" i="3" s="1"/>
  <c r="N26" i="7" s="1"/>
  <c r="N25" i="7" s="1"/>
  <c r="L51" i="3"/>
  <c r="J13" i="1"/>
  <c r="H47" i="1"/>
  <c r="H45" i="1" s="1"/>
  <c r="H40" i="1" s="1"/>
  <c r="I73" i="3"/>
  <c r="J65" i="3"/>
  <c r="I71" i="3"/>
  <c r="I75" i="3" s="1"/>
  <c r="H32" i="1" s="1"/>
  <c r="H29" i="1" s="1"/>
  <c r="I8" i="1"/>
  <c r="L29" i="3"/>
  <c r="K12" i="1" s="1"/>
  <c r="L28" i="3"/>
  <c r="J12" i="1"/>
  <c r="K32" i="3"/>
  <c r="K99" i="3"/>
  <c r="K97" i="3"/>
  <c r="T62" i="1"/>
  <c r="E21" i="1"/>
  <c r="P5" i="5"/>
  <c r="G9" i="3"/>
  <c r="G78" i="3"/>
  <c r="G10" i="3" s="1"/>
  <c r="J34" i="3"/>
  <c r="K103" i="3"/>
  <c r="J90" i="1"/>
  <c r="X119" i="3"/>
  <c r="W91" i="1"/>
  <c r="K33" i="3"/>
  <c r="J87" i="1"/>
  <c r="L55" i="3"/>
  <c r="K88" i="1"/>
  <c r="J11" i="2"/>
  <c r="M30" i="7"/>
  <c r="M29" i="7" s="1"/>
  <c r="I16" i="2"/>
  <c r="G10" i="2"/>
  <c r="G7" i="2" s="1"/>
  <c r="I28" i="7"/>
  <c r="I27" i="7" s="1"/>
  <c r="J13" i="2"/>
  <c r="M20" i="7"/>
  <c r="M19" i="7" s="1"/>
  <c r="K8" i="2"/>
  <c r="Y87" i="6"/>
  <c r="X50" i="1" s="1"/>
  <c r="Y81" i="6"/>
  <c r="Y88" i="6"/>
  <c r="X19" i="1" s="1"/>
  <c r="Z77" i="6"/>
  <c r="Z79" i="6" s="1"/>
  <c r="AA18" i="4"/>
  <c r="Z96" i="6"/>
  <c r="Z98" i="6" s="1"/>
  <c r="AA19" i="4"/>
  <c r="Y111" i="6"/>
  <c r="X51" i="1" s="1"/>
  <c r="X142" i="1" s="1"/>
  <c r="Z107" i="6"/>
  <c r="Z109" i="6" s="1"/>
  <c r="Z113" i="6" s="1"/>
  <c r="Y78" i="1" s="1"/>
  <c r="AA20" i="4"/>
  <c r="X115" i="6"/>
  <c r="AA155" i="6"/>
  <c r="AB24" i="4"/>
  <c r="H31" i="5"/>
  <c r="H32" i="5"/>
  <c r="I26" i="5"/>
  <c r="Z163" i="6"/>
  <c r="W71" i="6"/>
  <c r="W74" i="6" s="1"/>
  <c r="Y66" i="6"/>
  <c r="Y70" i="6"/>
  <c r="X49" i="1" s="1"/>
  <c r="Z62" i="6"/>
  <c r="Z64" i="6" s="1"/>
  <c r="AA77" i="7" s="1"/>
  <c r="AA75" i="7" s="1"/>
  <c r="AA17" i="4"/>
  <c r="Y56" i="6"/>
  <c r="Y52" i="6"/>
  <c r="Z48" i="6"/>
  <c r="Z50" i="6" s="1"/>
  <c r="AA16" i="4"/>
  <c r="AC37" i="5"/>
  <c r="AC62" i="5"/>
  <c r="AC19" i="5"/>
  <c r="AD12" i="4"/>
  <c r="AP9" i="4"/>
  <c r="AB13" i="4"/>
  <c r="AB8" i="6" s="1"/>
  <c r="AP13" i="4"/>
  <c r="W58" i="5"/>
  <c r="W12" i="5" s="1"/>
  <c r="X83" i="5"/>
  <c r="X12" i="5" s="1"/>
  <c r="W68" i="1" s="1"/>
  <c r="Y41" i="5"/>
  <c r="Y23" i="5"/>
  <c r="Z64" i="5"/>
  <c r="Z21" i="5"/>
  <c r="Z23" i="5" s="1"/>
  <c r="Z33" i="5" s="1"/>
  <c r="Z39" i="5"/>
  <c r="Z41" i="5" s="1"/>
  <c r="Z51" i="5" s="1"/>
  <c r="Y12" i="6"/>
  <c r="Y14" i="6" s="1"/>
  <c r="Z10" i="6"/>
  <c r="Z12" i="6" s="1"/>
  <c r="Z14" i="6" s="1"/>
  <c r="AA10" i="4"/>
  <c r="G70" i="5"/>
  <c r="G80" i="5" s="1"/>
  <c r="G45" i="5"/>
  <c r="O5" i="3"/>
  <c r="X93" i="6" l="1"/>
  <c r="Y92" i="6"/>
  <c r="X98" i="1"/>
  <c r="Z90" i="6"/>
  <c r="Y77" i="1" s="1"/>
  <c r="AA90" i="7"/>
  <c r="AA87" i="7" s="1"/>
  <c r="Z73" i="6"/>
  <c r="Y97" i="1"/>
  <c r="G55" i="5"/>
  <c r="G9" i="5" s="1"/>
  <c r="G8" i="5"/>
  <c r="H40" i="7" s="1"/>
  <c r="H38" i="7" s="1"/>
  <c r="W133" i="1"/>
  <c r="J129" i="1"/>
  <c r="J8" i="1"/>
  <c r="AC9" i="7"/>
  <c r="AD46" i="7"/>
  <c r="AD9" i="7" s="1"/>
  <c r="AR46" i="7"/>
  <c r="M20" i="2"/>
  <c r="AP52" i="7"/>
  <c r="P8" i="7"/>
  <c r="AP8" i="7" s="1"/>
  <c r="Q52" i="7"/>
  <c r="L18" i="2"/>
  <c r="M19" i="2"/>
  <c r="T45" i="7"/>
  <c r="W27" i="2"/>
  <c r="E16" i="1"/>
  <c r="E28" i="1" s="1"/>
  <c r="E35" i="1" s="1"/>
  <c r="E126" i="1" s="1"/>
  <c r="E128" i="1" s="1"/>
  <c r="X30" i="2"/>
  <c r="Z91" i="6"/>
  <c r="Y119" i="1" s="1"/>
  <c r="Z72" i="6"/>
  <c r="Y118" i="1" s="1"/>
  <c r="AN62" i="1"/>
  <c r="H61" i="1"/>
  <c r="J72" i="3"/>
  <c r="I47" i="1" s="1"/>
  <c r="I45" i="1" s="1"/>
  <c r="I40" i="1" s="1"/>
  <c r="I83" i="1" s="1"/>
  <c r="J66" i="3"/>
  <c r="L97" i="3"/>
  <c r="K11" i="2"/>
  <c r="L53" i="3"/>
  <c r="K31" i="1" s="1"/>
  <c r="K14" i="2"/>
  <c r="U61" i="1"/>
  <c r="X29" i="2"/>
  <c r="X28" i="2"/>
  <c r="Z57" i="6"/>
  <c r="Y117" i="1" s="1"/>
  <c r="W24" i="1"/>
  <c r="W138" i="1" s="1"/>
  <c r="W26" i="1"/>
  <c r="W140" i="1" s="1"/>
  <c r="W25" i="1"/>
  <c r="W139" i="1" s="1"/>
  <c r="X71" i="6"/>
  <c r="X74" i="6" s="1"/>
  <c r="Y102" i="6"/>
  <c r="X38" i="1"/>
  <c r="Z165" i="6"/>
  <c r="Y71" i="1"/>
  <c r="Y146" i="1" s="1"/>
  <c r="W73" i="1"/>
  <c r="V73" i="1"/>
  <c r="X76" i="1"/>
  <c r="X43" i="1"/>
  <c r="Y43" i="1"/>
  <c r="Z100" i="6"/>
  <c r="Y38" i="1" s="1"/>
  <c r="X91" i="1"/>
  <c r="Y119" i="3"/>
  <c r="J31" i="1"/>
  <c r="J130" i="1" s="1"/>
  <c r="K54" i="3"/>
  <c r="K56" i="3" s="1"/>
  <c r="Z111" i="3"/>
  <c r="AA32" i="7"/>
  <c r="AA31" i="7" s="1"/>
  <c r="M41" i="1"/>
  <c r="Q34" i="7"/>
  <c r="Q33" i="7" s="1"/>
  <c r="P123" i="3"/>
  <c r="P125" i="3" s="1"/>
  <c r="P127" i="3" s="1"/>
  <c r="P129" i="3" s="1"/>
  <c r="Q11" i="4"/>
  <c r="AP33" i="7"/>
  <c r="N92" i="1"/>
  <c r="AN92" i="1" s="1"/>
  <c r="O130" i="3"/>
  <c r="N42" i="1"/>
  <c r="N134" i="1" s="1"/>
  <c r="Y116" i="3"/>
  <c r="Y115" i="3"/>
  <c r="Z52" i="3"/>
  <c r="Y64" i="1" s="1"/>
  <c r="Z50" i="3"/>
  <c r="Y46" i="1" s="1"/>
  <c r="X120" i="3"/>
  <c r="W62" i="1"/>
  <c r="AA77" i="6"/>
  <c r="AB18" i="4"/>
  <c r="AA96" i="6"/>
  <c r="AB19" i="4"/>
  <c r="AA107" i="6"/>
  <c r="AB20" i="4"/>
  <c r="AA157" i="6"/>
  <c r="AA159" i="6" s="1"/>
  <c r="AA161" i="6" s="1"/>
  <c r="AP155" i="6"/>
  <c r="AP10" i="4"/>
  <c r="AA81" i="3"/>
  <c r="AA83" i="3" s="1"/>
  <c r="AA85" i="3" s="1"/>
  <c r="AA100" i="3" s="1"/>
  <c r="Z66" i="1" s="1"/>
  <c r="AO66" i="1" s="1"/>
  <c r="AA13" i="3"/>
  <c r="AA15" i="3" s="1"/>
  <c r="AA17" i="3" s="1"/>
  <c r="AA30" i="3" s="1"/>
  <c r="Z63" i="1" s="1"/>
  <c r="AO63" i="1" s="1"/>
  <c r="AA107" i="3"/>
  <c r="AA109" i="3" s="1"/>
  <c r="AA111" i="3" s="1"/>
  <c r="AA37" i="3"/>
  <c r="AA39" i="3" s="1"/>
  <c r="AA41" i="3" s="1"/>
  <c r="AA59" i="3"/>
  <c r="AA61" i="3" s="1"/>
  <c r="AA63" i="3" s="1"/>
  <c r="AA74" i="3" s="1"/>
  <c r="Z65" i="1" s="1"/>
  <c r="AO65" i="1" s="1"/>
  <c r="M22" i="3"/>
  <c r="M27" i="3"/>
  <c r="M31" i="3" s="1"/>
  <c r="L30" i="1" s="1"/>
  <c r="N19" i="3"/>
  <c r="N20" i="3" s="1"/>
  <c r="M29" i="3"/>
  <c r="L12" i="1" s="1"/>
  <c r="N86" i="3"/>
  <c r="O30" i="7" s="1"/>
  <c r="O29" i="7" s="1"/>
  <c r="M88" i="3"/>
  <c r="M98" i="3"/>
  <c r="L10" i="1" s="1"/>
  <c r="L90" i="3"/>
  <c r="L96" i="3"/>
  <c r="L9" i="2"/>
  <c r="M49" i="3"/>
  <c r="N43" i="3"/>
  <c r="N44" i="3" s="1"/>
  <c r="O26" i="7" s="1"/>
  <c r="O25" i="7" s="1"/>
  <c r="M51" i="3"/>
  <c r="L54" i="3"/>
  <c r="K13" i="1"/>
  <c r="K130" i="1" s="1"/>
  <c r="L32" i="3"/>
  <c r="K9" i="1"/>
  <c r="K101" i="3"/>
  <c r="M28" i="3"/>
  <c r="L8" i="2"/>
  <c r="H14" i="1"/>
  <c r="I76" i="3"/>
  <c r="I8" i="3" s="1"/>
  <c r="J15" i="1"/>
  <c r="T61" i="1"/>
  <c r="H34" i="5"/>
  <c r="I24" i="5"/>
  <c r="V68" i="1"/>
  <c r="Q5" i="5"/>
  <c r="I27" i="5"/>
  <c r="K34" i="3"/>
  <c r="L103" i="3"/>
  <c r="K90" i="1"/>
  <c r="H77" i="3"/>
  <c r="G89" i="1"/>
  <c r="G131" i="1" s="1"/>
  <c r="K87" i="1"/>
  <c r="L33" i="3"/>
  <c r="M55" i="3"/>
  <c r="L88" i="1"/>
  <c r="J16" i="2"/>
  <c r="N30" i="7"/>
  <c r="N29" i="7" s="1"/>
  <c r="G15" i="2"/>
  <c r="G12" i="2" s="1"/>
  <c r="G21" i="2" s="1"/>
  <c r="K13" i="2"/>
  <c r="Y85" i="6"/>
  <c r="Z81" i="6"/>
  <c r="AA91" i="6" s="1"/>
  <c r="Z119" i="1" s="1"/>
  <c r="Z87" i="6"/>
  <c r="Y50" i="1" s="1"/>
  <c r="Z88" i="6"/>
  <c r="Y19" i="1" s="1"/>
  <c r="Z111" i="6"/>
  <c r="Y51" i="1" s="1"/>
  <c r="Y142" i="1" s="1"/>
  <c r="AB155" i="6"/>
  <c r="AB157" i="6" s="1"/>
  <c r="AB159" i="6" s="1"/>
  <c r="AB161" i="6" s="1"/>
  <c r="AC24" i="4"/>
  <c r="Y115" i="6"/>
  <c r="AA48" i="6"/>
  <c r="AB16" i="4"/>
  <c r="AP16" i="4"/>
  <c r="N20" i="7"/>
  <c r="N19" i="7" s="1"/>
  <c r="Y68" i="6"/>
  <c r="X25" i="1" s="1"/>
  <c r="X139" i="1" s="1"/>
  <c r="Z66" i="6"/>
  <c r="AA72" i="6" s="1"/>
  <c r="Z118" i="1" s="1"/>
  <c r="Z70" i="6"/>
  <c r="Y49" i="1" s="1"/>
  <c r="AA62" i="6"/>
  <c r="AB17" i="4"/>
  <c r="Y54" i="6"/>
  <c r="Y59" i="6" s="1"/>
  <c r="Z56" i="6"/>
  <c r="Z52" i="6"/>
  <c r="AA57" i="6" s="1"/>
  <c r="Z117" i="1" s="1"/>
  <c r="AD62" i="5"/>
  <c r="AD19" i="5"/>
  <c r="AD37" i="5"/>
  <c r="AE12" i="4"/>
  <c r="AC13" i="4"/>
  <c r="AC8" i="6" s="1"/>
  <c r="Y51" i="5"/>
  <c r="Y58" i="5" s="1"/>
  <c r="Y33" i="5"/>
  <c r="Z66" i="5"/>
  <c r="Z58" i="5"/>
  <c r="Y16" i="6"/>
  <c r="Y18" i="6" s="1"/>
  <c r="Z16" i="6"/>
  <c r="AB10" i="4"/>
  <c r="G75" i="5"/>
  <c r="G82" i="5" s="1"/>
  <c r="G74" i="5"/>
  <c r="G81" i="5" s="1"/>
  <c r="H69" i="5"/>
  <c r="G49" i="5"/>
  <c r="G56" i="5" s="1"/>
  <c r="G10" i="5" s="1"/>
  <c r="H44" i="5"/>
  <c r="G50" i="5"/>
  <c r="G57" i="5" s="1"/>
  <c r="G11" i="5" s="1"/>
  <c r="AO37" i="3"/>
  <c r="AO123" i="3"/>
  <c r="AO59" i="3"/>
  <c r="AO81" i="3"/>
  <c r="AO13" i="3"/>
  <c r="AO25" i="3"/>
  <c r="P5" i="3"/>
  <c r="J71" i="3" l="1"/>
  <c r="J75" i="3" s="1"/>
  <c r="I32" i="1" s="1"/>
  <c r="I29" i="1" s="1"/>
  <c r="K65" i="3"/>
  <c r="J73" i="3"/>
  <c r="X27" i="2"/>
  <c r="Z92" i="6"/>
  <c r="Y98" i="1"/>
  <c r="Y93" i="6"/>
  <c r="H7" i="7"/>
  <c r="H10" i="7" s="1"/>
  <c r="G15" i="5"/>
  <c r="F93" i="1"/>
  <c r="K129" i="1"/>
  <c r="Z116" i="3"/>
  <c r="Z115" i="3"/>
  <c r="Y34" i="1" s="1"/>
  <c r="H11" i="1"/>
  <c r="H7" i="1" s="1"/>
  <c r="AR9" i="7"/>
  <c r="Q8" i="7"/>
  <c r="R52" i="7"/>
  <c r="M18" i="2"/>
  <c r="N19" i="2"/>
  <c r="N20" i="2"/>
  <c r="U45" i="7"/>
  <c r="X74" i="1"/>
  <c r="X136" i="1" s="1"/>
  <c r="AO119" i="1"/>
  <c r="AO118" i="1"/>
  <c r="AO117" i="1"/>
  <c r="AP57" i="6"/>
  <c r="AP91" i="6"/>
  <c r="AN61" i="1"/>
  <c r="H83" i="1"/>
  <c r="AP72" i="6"/>
  <c r="F32" i="2"/>
  <c r="F31" i="2" s="1"/>
  <c r="F24" i="2" s="1"/>
  <c r="F34" i="2" s="1"/>
  <c r="H13" i="5"/>
  <c r="X26" i="1"/>
  <c r="X140" i="1" s="1"/>
  <c r="X70" i="1"/>
  <c r="X141" i="1" s="1"/>
  <c r="Y104" i="6"/>
  <c r="Y74" i="1"/>
  <c r="Y136" i="1" s="1"/>
  <c r="Z18" i="6"/>
  <c r="Y12" i="5"/>
  <c r="X37" i="1"/>
  <c r="Y37" i="1"/>
  <c r="AA163" i="6"/>
  <c r="Z55" i="1"/>
  <c r="Z85" i="6"/>
  <c r="Y30" i="2"/>
  <c r="AB163" i="6"/>
  <c r="AA55" i="1"/>
  <c r="X24" i="1"/>
  <c r="X138" i="1" s="1"/>
  <c r="AO130" i="3"/>
  <c r="O131" i="3"/>
  <c r="AO131" i="3" s="1"/>
  <c r="W61" i="1"/>
  <c r="Z68" i="6"/>
  <c r="Y29" i="2"/>
  <c r="Y76" i="1"/>
  <c r="Z54" i="6"/>
  <c r="Z59" i="6" s="1"/>
  <c r="Y28" i="2"/>
  <c r="X73" i="1"/>
  <c r="Z102" i="6"/>
  <c r="Y70" i="1" s="1"/>
  <c r="Y141" i="1" s="1"/>
  <c r="Z119" i="3"/>
  <c r="Y91" i="1"/>
  <c r="M97" i="3"/>
  <c r="M99" i="3"/>
  <c r="L15" i="1" s="1"/>
  <c r="L101" i="3"/>
  <c r="K16" i="2"/>
  <c r="M53" i="3"/>
  <c r="L14" i="2"/>
  <c r="AP96" i="6"/>
  <c r="AA98" i="6"/>
  <c r="AA79" i="6"/>
  <c r="AP77" i="6"/>
  <c r="AP107" i="6"/>
  <c r="AA109" i="6"/>
  <c r="J33" i="1"/>
  <c r="J132" i="1" s="1"/>
  <c r="K102" i="3"/>
  <c r="K104" i="3" s="1"/>
  <c r="O92" i="1"/>
  <c r="P130" i="3"/>
  <c r="P131" i="3" s="1"/>
  <c r="O42" i="1"/>
  <c r="O134" i="1" s="1"/>
  <c r="R34" i="7"/>
  <c r="R33" i="7" s="1"/>
  <c r="Q123" i="3"/>
  <c r="Q125" i="3" s="1"/>
  <c r="Q127" i="3" s="1"/>
  <c r="Q129" i="3" s="1"/>
  <c r="R11" i="4"/>
  <c r="AN42" i="1"/>
  <c r="AN134" i="1"/>
  <c r="N41" i="1"/>
  <c r="AN41" i="1" s="1"/>
  <c r="Y117" i="3"/>
  <c r="X67" i="1" s="1"/>
  <c r="X48" i="1"/>
  <c r="Y118" i="3"/>
  <c r="Y120" i="3" s="1"/>
  <c r="X34" i="1"/>
  <c r="AC18" i="4"/>
  <c r="AB77" i="6"/>
  <c r="AB79" i="6" s="1"/>
  <c r="AB96" i="6"/>
  <c r="AB98" i="6" s="1"/>
  <c r="AC19" i="4"/>
  <c r="AB107" i="6"/>
  <c r="AB109" i="6" s="1"/>
  <c r="AB113" i="6" s="1"/>
  <c r="AA78" i="1" s="1"/>
  <c r="AC20" i="4"/>
  <c r="AA115" i="3"/>
  <c r="AA116" i="3"/>
  <c r="AA52" i="3"/>
  <c r="Z64" i="1" s="1"/>
  <c r="AO64" i="1" s="1"/>
  <c r="AA50" i="3"/>
  <c r="Z46" i="1" s="1"/>
  <c r="AO46" i="1" s="1"/>
  <c r="AB81" i="3"/>
  <c r="AB83" i="3" s="1"/>
  <c r="AB85" i="3" s="1"/>
  <c r="AB100" i="3" s="1"/>
  <c r="AA66" i="1" s="1"/>
  <c r="AB13" i="3"/>
  <c r="AB15" i="3" s="1"/>
  <c r="AB17" i="3" s="1"/>
  <c r="AB30" i="3" s="1"/>
  <c r="AA63" i="1" s="1"/>
  <c r="AB37" i="3"/>
  <c r="AB39" i="3" s="1"/>
  <c r="AB41" i="3" s="1"/>
  <c r="AB59" i="3"/>
  <c r="AB61" i="3" s="1"/>
  <c r="AB63" i="3" s="1"/>
  <c r="AB74" i="3" s="1"/>
  <c r="AA65" i="1" s="1"/>
  <c r="AB107" i="3"/>
  <c r="AB109" i="3" s="1"/>
  <c r="AP48" i="6"/>
  <c r="AA50" i="6"/>
  <c r="N22" i="3"/>
  <c r="N27" i="3"/>
  <c r="N31" i="3" s="1"/>
  <c r="M30" i="1" s="1"/>
  <c r="O19" i="3"/>
  <c r="O20" i="3" s="1"/>
  <c r="O86" i="3"/>
  <c r="N88" i="3"/>
  <c r="M11" i="2" s="1"/>
  <c r="N98" i="3"/>
  <c r="M90" i="3"/>
  <c r="M96" i="3"/>
  <c r="N99" i="3"/>
  <c r="M15" i="1" s="1"/>
  <c r="M9" i="2"/>
  <c r="O43" i="3"/>
  <c r="N49" i="3"/>
  <c r="N51" i="3"/>
  <c r="L13" i="1"/>
  <c r="K8" i="1"/>
  <c r="M32" i="3"/>
  <c r="L9" i="1"/>
  <c r="N29" i="3"/>
  <c r="M12" i="1" s="1"/>
  <c r="N28" i="3"/>
  <c r="L56" i="3"/>
  <c r="V62" i="1"/>
  <c r="F18" i="1"/>
  <c r="F22" i="1"/>
  <c r="R5" i="5"/>
  <c r="J26" i="5"/>
  <c r="I31" i="5"/>
  <c r="I32" i="5"/>
  <c r="H9" i="3"/>
  <c r="H78" i="3"/>
  <c r="H10" i="3" s="1"/>
  <c r="L34" i="3"/>
  <c r="M103" i="3"/>
  <c r="L90" i="1"/>
  <c r="N103" i="3"/>
  <c r="M90" i="1"/>
  <c r="N55" i="3"/>
  <c r="M88" i="1"/>
  <c r="L87" i="1"/>
  <c r="M33" i="3"/>
  <c r="L11" i="2"/>
  <c r="G17" i="2"/>
  <c r="H10" i="2"/>
  <c r="H7" i="2" s="1"/>
  <c r="J28" i="7"/>
  <c r="J27" i="7" s="1"/>
  <c r="L13" i="2"/>
  <c r="O20" i="7"/>
  <c r="O19" i="7" s="1"/>
  <c r="M8" i="2"/>
  <c r="AD24" i="4"/>
  <c r="AC155" i="6"/>
  <c r="AC157" i="6" s="1"/>
  <c r="AC159" i="6" s="1"/>
  <c r="AC161" i="6" s="1"/>
  <c r="AB48" i="6"/>
  <c r="AB50" i="6" s="1"/>
  <c r="AC16" i="4"/>
  <c r="Z115" i="6"/>
  <c r="Y71" i="6"/>
  <c r="Y74" i="6" s="1"/>
  <c r="AA64" i="6"/>
  <c r="AB77" i="7" s="1"/>
  <c r="AB75" i="7" s="1"/>
  <c r="AP62" i="6"/>
  <c r="AB62" i="6"/>
  <c r="AB64" i="6" s="1"/>
  <c r="AC77" i="7" s="1"/>
  <c r="AC75" i="7" s="1"/>
  <c r="AC17" i="4"/>
  <c r="AQ14" i="4"/>
  <c r="AE62" i="5"/>
  <c r="AE19" i="5"/>
  <c r="AE37" i="5"/>
  <c r="AF12" i="4"/>
  <c r="AD13" i="4"/>
  <c r="AD8" i="6" s="1"/>
  <c r="Z76" i="5"/>
  <c r="AA64" i="5"/>
  <c r="AP62" i="5"/>
  <c r="AP37" i="5"/>
  <c r="AA39" i="5"/>
  <c r="AA21" i="5"/>
  <c r="AP19" i="5"/>
  <c r="AB39" i="5"/>
  <c r="AB21" i="5"/>
  <c r="AB64" i="5"/>
  <c r="AP21" i="6"/>
  <c r="AA10" i="6"/>
  <c r="AP8" i="6"/>
  <c r="AP107" i="3"/>
  <c r="AB32" i="7"/>
  <c r="AB31" i="7" s="1"/>
  <c r="AB10" i="6"/>
  <c r="AC10" i="4"/>
  <c r="H67" i="5"/>
  <c r="G77" i="5"/>
  <c r="G84" i="5" s="1"/>
  <c r="H42" i="5"/>
  <c r="G52" i="5"/>
  <c r="G59" i="5" s="1"/>
  <c r="AO39" i="3"/>
  <c r="AO61" i="3"/>
  <c r="AO83" i="3"/>
  <c r="AO125" i="3"/>
  <c r="AO15" i="3"/>
  <c r="Q5" i="3"/>
  <c r="K72" i="3" l="1"/>
  <c r="K66" i="3"/>
  <c r="I14" i="1"/>
  <c r="J76" i="3"/>
  <c r="J8" i="3" s="1"/>
  <c r="Z117" i="3"/>
  <c r="Y48" i="1"/>
  <c r="Z93" i="6"/>
  <c r="AA90" i="6"/>
  <c r="AB90" i="7"/>
  <c r="AB87" i="7" s="1"/>
  <c r="AB90" i="6"/>
  <c r="AC90" i="7"/>
  <c r="AC87" i="7" s="1"/>
  <c r="AQ75" i="7"/>
  <c r="AA73" i="6"/>
  <c r="AP73" i="6" s="1"/>
  <c r="Z97" i="1"/>
  <c r="AO97" i="1" s="1"/>
  <c r="AB73" i="6"/>
  <c r="AA97" i="1"/>
  <c r="F135" i="1"/>
  <c r="G14" i="5"/>
  <c r="F86" i="1"/>
  <c r="F85" i="1" s="1"/>
  <c r="G16" i="5"/>
  <c r="L129" i="1"/>
  <c r="X133" i="1"/>
  <c r="I11" i="1"/>
  <c r="I7" i="1" s="1"/>
  <c r="R8" i="7"/>
  <c r="S52" i="7"/>
  <c r="AN19" i="2"/>
  <c r="N18" i="2"/>
  <c r="AN18" i="2" s="1"/>
  <c r="O19" i="2"/>
  <c r="AN20" i="2"/>
  <c r="O20" i="2"/>
  <c r="P20" i="2" s="1"/>
  <c r="V45" i="7"/>
  <c r="Y73" i="1"/>
  <c r="G116" i="1"/>
  <c r="G115" i="1" s="1"/>
  <c r="G114" i="1" s="1"/>
  <c r="X68" i="1"/>
  <c r="X62" i="1" s="1"/>
  <c r="X61" i="1" s="1"/>
  <c r="M101" i="3"/>
  <c r="L102" i="3"/>
  <c r="L104" i="3" s="1"/>
  <c r="K33" i="1"/>
  <c r="K132" i="1" s="1"/>
  <c r="L31" i="1"/>
  <c r="L130" i="1" s="1"/>
  <c r="M54" i="3"/>
  <c r="M56" i="3" s="1"/>
  <c r="N53" i="3"/>
  <c r="M14" i="2"/>
  <c r="Y27" i="2"/>
  <c r="Y26" i="1"/>
  <c r="Y140" i="1" s="1"/>
  <c r="Z71" i="1"/>
  <c r="Z146" i="1" s="1"/>
  <c r="AA165" i="6"/>
  <c r="AP165" i="6" s="1"/>
  <c r="AO55" i="1"/>
  <c r="AA71" i="1"/>
  <c r="AA146" i="1" s="1"/>
  <c r="AB165" i="6"/>
  <c r="Y25" i="1"/>
  <c r="Y139" i="1" s="1"/>
  <c r="Z71" i="6"/>
  <c r="Z74" i="6" s="1"/>
  <c r="Y24" i="1"/>
  <c r="Y138" i="1" s="1"/>
  <c r="AP109" i="6"/>
  <c r="AA113" i="6"/>
  <c r="AC163" i="6"/>
  <c r="AB55" i="1"/>
  <c r="Z104" i="6"/>
  <c r="AA100" i="6"/>
  <c r="Z38" i="1" s="1"/>
  <c r="AP98" i="6"/>
  <c r="AB100" i="6"/>
  <c r="AA38" i="1" s="1"/>
  <c r="AB111" i="3"/>
  <c r="AC32" i="7"/>
  <c r="AC31" i="7" s="1"/>
  <c r="AB88" i="6"/>
  <c r="AA19" i="1" s="1"/>
  <c r="AP79" i="6"/>
  <c r="AA81" i="6"/>
  <c r="AA87" i="6"/>
  <c r="AA88" i="6"/>
  <c r="AA111" i="6"/>
  <c r="AB111" i="6"/>
  <c r="O41" i="1"/>
  <c r="P92" i="1"/>
  <c r="Q130" i="3"/>
  <c r="Q131" i="3" s="1"/>
  <c r="P42" i="1"/>
  <c r="P134" i="1" s="1"/>
  <c r="S34" i="7"/>
  <c r="S33" i="7" s="1"/>
  <c r="R123" i="3"/>
  <c r="R125" i="3" s="1"/>
  <c r="R127" i="3" s="1"/>
  <c r="R129" i="3" s="1"/>
  <c r="S11" i="4"/>
  <c r="AC77" i="6"/>
  <c r="AC79" i="6" s="1"/>
  <c r="AD18" i="4"/>
  <c r="AA77" i="1"/>
  <c r="AB81" i="6"/>
  <c r="AB87" i="6"/>
  <c r="AA50" i="1" s="1"/>
  <c r="AD19" i="4"/>
  <c r="AC96" i="6"/>
  <c r="AC98" i="6" s="1"/>
  <c r="AD20" i="4"/>
  <c r="AC107" i="6"/>
  <c r="AC109" i="6" s="1"/>
  <c r="AC113" i="6" s="1"/>
  <c r="AB78" i="1" s="1"/>
  <c r="Z34" i="1"/>
  <c r="AO34" i="1" s="1"/>
  <c r="AA117" i="3"/>
  <c r="Z48" i="1"/>
  <c r="AB52" i="3"/>
  <c r="AA64" i="1" s="1"/>
  <c r="AB50" i="3"/>
  <c r="AA46" i="1" s="1"/>
  <c r="AC81" i="3"/>
  <c r="AC83" i="3" s="1"/>
  <c r="AC85" i="3" s="1"/>
  <c r="AC100" i="3" s="1"/>
  <c r="AB66" i="1" s="1"/>
  <c r="AC107" i="3"/>
  <c r="AC109" i="3" s="1"/>
  <c r="AC13" i="3"/>
  <c r="AC15" i="3" s="1"/>
  <c r="AC17" i="3" s="1"/>
  <c r="AC30" i="3" s="1"/>
  <c r="AB63" i="1" s="1"/>
  <c r="AC37" i="3"/>
  <c r="AC39" i="3" s="1"/>
  <c r="AC41" i="3" s="1"/>
  <c r="AC59" i="3"/>
  <c r="AC61" i="3" s="1"/>
  <c r="AC63" i="3" s="1"/>
  <c r="AC74" i="3" s="1"/>
  <c r="AB65" i="1" s="1"/>
  <c r="AA52" i="6"/>
  <c r="AP50" i="6"/>
  <c r="AA56" i="6"/>
  <c r="P19" i="3"/>
  <c r="P20" i="3" s="1"/>
  <c r="O22" i="3"/>
  <c r="O27" i="3"/>
  <c r="O31" i="3" s="1"/>
  <c r="N30" i="1" s="1"/>
  <c r="AN30" i="1" s="1"/>
  <c r="P86" i="3"/>
  <c r="O88" i="3"/>
  <c r="O98" i="3"/>
  <c r="N10" i="1" s="1"/>
  <c r="N90" i="3"/>
  <c r="N96" i="3"/>
  <c r="N97" i="3"/>
  <c r="M10" i="1"/>
  <c r="M13" i="1"/>
  <c r="N32" i="3"/>
  <c r="M9" i="1"/>
  <c r="J47" i="1"/>
  <c r="J45" i="1" s="1"/>
  <c r="J40" i="1" s="1"/>
  <c r="J83" i="1" s="1"/>
  <c r="K73" i="3"/>
  <c r="L65" i="3"/>
  <c r="K71" i="3"/>
  <c r="K75" i="3" s="1"/>
  <c r="J32" i="1" s="1"/>
  <c r="J29" i="1" s="1"/>
  <c r="O29" i="3"/>
  <c r="N12" i="1" s="1"/>
  <c r="AN12" i="1" s="1"/>
  <c r="O28" i="3"/>
  <c r="O44" i="3"/>
  <c r="AO43" i="3"/>
  <c r="L8" i="1"/>
  <c r="V61" i="1"/>
  <c r="F17" i="1"/>
  <c r="F21" i="1"/>
  <c r="S5" i="5"/>
  <c r="J24" i="5"/>
  <c r="J27" i="5" s="1"/>
  <c r="I34" i="5"/>
  <c r="M34" i="3"/>
  <c r="I77" i="3"/>
  <c r="H89" i="1"/>
  <c r="H131" i="1" s="1"/>
  <c r="M87" i="1"/>
  <c r="N33" i="3"/>
  <c r="Z91" i="1"/>
  <c r="AA119" i="3"/>
  <c r="L16" i="2"/>
  <c r="AQ31" i="7"/>
  <c r="H15" i="2"/>
  <c r="H12" i="2" s="1"/>
  <c r="H21" i="2" s="1"/>
  <c r="M13" i="2"/>
  <c r="AE24" i="4"/>
  <c r="AD155" i="6"/>
  <c r="AD157" i="6" s="1"/>
  <c r="AD159" i="6" s="1"/>
  <c r="AD161" i="6" s="1"/>
  <c r="AB52" i="6"/>
  <c r="AB56" i="6"/>
  <c r="AD16" i="4"/>
  <c r="AC48" i="6"/>
  <c r="AC50" i="6" s="1"/>
  <c r="AP64" i="6"/>
  <c r="AA66" i="6"/>
  <c r="AA70" i="6"/>
  <c r="AB66" i="6"/>
  <c r="AB70" i="6"/>
  <c r="AA49" i="1" s="1"/>
  <c r="AC62" i="6"/>
  <c r="AC64" i="6" s="1"/>
  <c r="AD77" i="7" s="1"/>
  <c r="AD75" i="7" s="1"/>
  <c r="AD17" i="4"/>
  <c r="AF37" i="5"/>
  <c r="AF62" i="5"/>
  <c r="AF19" i="5"/>
  <c r="AG12" i="4"/>
  <c r="AE13" i="4"/>
  <c r="AE8" i="6" s="1"/>
  <c r="Z83" i="5"/>
  <c r="Z12" i="5" s="1"/>
  <c r="AP64" i="5"/>
  <c r="AA66" i="5"/>
  <c r="AP39" i="5"/>
  <c r="AA41" i="5"/>
  <c r="AP21" i="5"/>
  <c r="AA23" i="5"/>
  <c r="AB41" i="5"/>
  <c r="AB23" i="5"/>
  <c r="AB66" i="5"/>
  <c r="AC64" i="5"/>
  <c r="AC39" i="5"/>
  <c r="AC41" i="5" s="1"/>
  <c r="AC51" i="5" s="1"/>
  <c r="AC58" i="5" s="1"/>
  <c r="AC21" i="5"/>
  <c r="AC23" i="5" s="1"/>
  <c r="AC33" i="5" s="1"/>
  <c r="AP10" i="6"/>
  <c r="AA12" i="6"/>
  <c r="AA14" i="6" s="1"/>
  <c r="AP109" i="3"/>
  <c r="AB12" i="6"/>
  <c r="AB14" i="6" s="1"/>
  <c r="AC10" i="6"/>
  <c r="AD10" i="4"/>
  <c r="H70" i="5"/>
  <c r="H80" i="5" s="1"/>
  <c r="H45" i="5"/>
  <c r="AO63" i="3"/>
  <c r="AO41" i="3"/>
  <c r="P30" i="7"/>
  <c r="P29" i="7" s="1"/>
  <c r="AO85" i="3"/>
  <c r="AO127" i="3"/>
  <c r="AO129" i="3"/>
  <c r="AO17" i="3"/>
  <c r="AO19" i="3"/>
  <c r="R5" i="3"/>
  <c r="Y67" i="1" l="1"/>
  <c r="Y133" i="1" s="1"/>
  <c r="Z118" i="3"/>
  <c r="Z120" i="3" s="1"/>
  <c r="AA51" i="1"/>
  <c r="AA142" i="1" s="1"/>
  <c r="AB115" i="6"/>
  <c r="AQ87" i="7"/>
  <c r="AA92" i="6"/>
  <c r="AP92" i="6" s="1"/>
  <c r="Z98" i="1"/>
  <c r="AO98" i="1" s="1"/>
  <c r="AB92" i="6"/>
  <c r="AA98" i="1"/>
  <c r="AC90" i="6"/>
  <c r="AB77" i="1" s="1"/>
  <c r="AD90" i="7"/>
  <c r="AD87" i="7" s="1"/>
  <c r="AC73" i="6"/>
  <c r="AB97" i="1"/>
  <c r="H55" i="5"/>
  <c r="H9" i="5" s="1"/>
  <c r="H8" i="5"/>
  <c r="I40" i="7" s="1"/>
  <c r="I38" i="7" s="1"/>
  <c r="M129" i="1"/>
  <c r="AO48" i="1"/>
  <c r="AO71" i="1"/>
  <c r="AO146" i="1"/>
  <c r="S8" i="7"/>
  <c r="T52" i="7"/>
  <c r="O18" i="2"/>
  <c r="P19" i="2"/>
  <c r="W45" i="7"/>
  <c r="Z30" i="2"/>
  <c r="AO30" i="2" s="1"/>
  <c r="AC91" i="6"/>
  <c r="AB119" i="1" s="1"/>
  <c r="AB91" i="6"/>
  <c r="AA119" i="1" s="1"/>
  <c r="AA30" i="2"/>
  <c r="AC72" i="6"/>
  <c r="AB118" i="1" s="1"/>
  <c r="AB72" i="6"/>
  <c r="AA118" i="1" s="1"/>
  <c r="M102" i="3"/>
  <c r="L33" i="1"/>
  <c r="L132" i="1" s="1"/>
  <c r="M31" i="1"/>
  <c r="M130" i="1" s="1"/>
  <c r="N54" i="3"/>
  <c r="N56" i="3" s="1"/>
  <c r="O97" i="3"/>
  <c r="O99" i="3"/>
  <c r="N15" i="1" s="1"/>
  <c r="Z29" i="2"/>
  <c r="AO29" i="2" s="1"/>
  <c r="AA29" i="2"/>
  <c r="Z28" i="2"/>
  <c r="AC57" i="6"/>
  <c r="AB117" i="1" s="1"/>
  <c r="AB57" i="6"/>
  <c r="AA117" i="1" s="1"/>
  <c r="AA28" i="2"/>
  <c r="AA27" i="2" s="1"/>
  <c r="Z78" i="1"/>
  <c r="AP113" i="6"/>
  <c r="AB115" i="3"/>
  <c r="AB116" i="3"/>
  <c r="L72" i="3"/>
  <c r="K47" i="1" s="1"/>
  <c r="K45" i="1" s="1"/>
  <c r="K40" i="1" s="1"/>
  <c r="K83" i="1" s="1"/>
  <c r="L66" i="3"/>
  <c r="AB71" i="1"/>
  <c r="AB146" i="1" s="1"/>
  <c r="AC165" i="6"/>
  <c r="AO38" i="1"/>
  <c r="Z37" i="1"/>
  <c r="AO37" i="1" s="1"/>
  <c r="AA37" i="1"/>
  <c r="AP87" i="6"/>
  <c r="Z50" i="1"/>
  <c r="AO50" i="1" s="1"/>
  <c r="AP90" i="6"/>
  <c r="Z77" i="1"/>
  <c r="AP88" i="6"/>
  <c r="Z19" i="1"/>
  <c r="AP111" i="6"/>
  <c r="Z51" i="1"/>
  <c r="AD163" i="6"/>
  <c r="AC55" i="1"/>
  <c r="AP56" i="6"/>
  <c r="Z76" i="1"/>
  <c r="AA76" i="1"/>
  <c r="AP70" i="6"/>
  <c r="Z49" i="1"/>
  <c r="AO49" i="1" s="1"/>
  <c r="Z43" i="1"/>
  <c r="AA43" i="1"/>
  <c r="AA102" i="6"/>
  <c r="Z70" i="1" s="1"/>
  <c r="Z141" i="1" s="1"/>
  <c r="AP100" i="6"/>
  <c r="AB102" i="6"/>
  <c r="AA70" i="1" s="1"/>
  <c r="AA141" i="1" s="1"/>
  <c r="AC100" i="6"/>
  <c r="AB119" i="3"/>
  <c r="AA91" i="1"/>
  <c r="AA115" i="6"/>
  <c r="AP115" i="6" s="1"/>
  <c r="AA85" i="6"/>
  <c r="AA93" i="6" s="1"/>
  <c r="AP81" i="6"/>
  <c r="AB85" i="6"/>
  <c r="AA54" i="6"/>
  <c r="AA59" i="6" s="1"/>
  <c r="AP52" i="6"/>
  <c r="P41" i="1"/>
  <c r="R130" i="3"/>
  <c r="R131" i="3" s="1"/>
  <c r="Q92" i="1"/>
  <c r="Q42" i="1"/>
  <c r="Q134" i="1" s="1"/>
  <c r="S123" i="3"/>
  <c r="S125" i="3" s="1"/>
  <c r="S127" i="3" s="1"/>
  <c r="S129" i="3" s="1"/>
  <c r="T34" i="7"/>
  <c r="T33" i="7" s="1"/>
  <c r="T11" i="4"/>
  <c r="AC88" i="6"/>
  <c r="AB19" i="1" s="1"/>
  <c r="AC81" i="6"/>
  <c r="AC87" i="6"/>
  <c r="AB50" i="1" s="1"/>
  <c r="AE18" i="4"/>
  <c r="AD77" i="6"/>
  <c r="AD79" i="6" s="1"/>
  <c r="AE19" i="4"/>
  <c r="AD96" i="6"/>
  <c r="AD98" i="6" s="1"/>
  <c r="AE20" i="4"/>
  <c r="AD107" i="6"/>
  <c r="AD109" i="6" s="1"/>
  <c r="AD113" i="6" s="1"/>
  <c r="AC78" i="1" s="1"/>
  <c r="AC111" i="6"/>
  <c r="AB51" i="1" s="1"/>
  <c r="AB142" i="1" s="1"/>
  <c r="AA34" i="1"/>
  <c r="AC50" i="3"/>
  <c r="AB46" i="1" s="1"/>
  <c r="AC52" i="3"/>
  <c r="AB64" i="1" s="1"/>
  <c r="Z67" i="1"/>
  <c r="Z133" i="1" s="1"/>
  <c r="AA118" i="3"/>
  <c r="AA120" i="3" s="1"/>
  <c r="AC111" i="3"/>
  <c r="AD32" i="7"/>
  <c r="AD31" i="7" s="1"/>
  <c r="AD81" i="3"/>
  <c r="AD83" i="3" s="1"/>
  <c r="AD85" i="3" s="1"/>
  <c r="AD100" i="3" s="1"/>
  <c r="AC66" i="1" s="1"/>
  <c r="AD13" i="3"/>
  <c r="AD15" i="3" s="1"/>
  <c r="AD17" i="3" s="1"/>
  <c r="AD30" i="3" s="1"/>
  <c r="AC63" i="1" s="1"/>
  <c r="AD37" i="3"/>
  <c r="AD39" i="3" s="1"/>
  <c r="AD41" i="3" s="1"/>
  <c r="AD59" i="3"/>
  <c r="AD61" i="3" s="1"/>
  <c r="AD63" i="3" s="1"/>
  <c r="AD74" i="3" s="1"/>
  <c r="AC65" i="1" s="1"/>
  <c r="AD107" i="3"/>
  <c r="AD109" i="3" s="1"/>
  <c r="AB54" i="6"/>
  <c r="P27" i="3"/>
  <c r="P31" i="3" s="1"/>
  <c r="O30" i="1" s="1"/>
  <c r="Q19" i="3"/>
  <c r="Q20" i="3" s="1"/>
  <c r="Q28" i="3" s="1"/>
  <c r="P22" i="3"/>
  <c r="Q86" i="3"/>
  <c r="P88" i="3"/>
  <c r="P98" i="3"/>
  <c r="O90" i="3"/>
  <c r="O96" i="3"/>
  <c r="M16" i="2"/>
  <c r="N101" i="3"/>
  <c r="AN10" i="1"/>
  <c r="M104" i="3"/>
  <c r="N9" i="1"/>
  <c r="O32" i="3"/>
  <c r="O51" i="3"/>
  <c r="P43" i="3"/>
  <c r="P44" i="3" s="1"/>
  <c r="O49" i="3"/>
  <c r="M8" i="1"/>
  <c r="P28" i="3"/>
  <c r="P29" i="3"/>
  <c r="O12" i="1" s="1"/>
  <c r="J14" i="1"/>
  <c r="K76" i="3"/>
  <c r="K8" i="3" s="1"/>
  <c r="F16" i="1"/>
  <c r="Y68" i="1"/>
  <c r="T5" i="5"/>
  <c r="J31" i="5"/>
  <c r="J32" i="5"/>
  <c r="K26" i="5"/>
  <c r="AO91" i="1"/>
  <c r="I9" i="3"/>
  <c r="I78" i="3"/>
  <c r="I10" i="3" s="1"/>
  <c r="N34" i="3"/>
  <c r="AP119" i="3"/>
  <c r="O103" i="3"/>
  <c r="AO103" i="3" s="1"/>
  <c r="N90" i="1"/>
  <c r="AO50" i="3"/>
  <c r="H17" i="2"/>
  <c r="P26" i="7"/>
  <c r="P25" i="7" s="1"/>
  <c r="N9" i="2"/>
  <c r="AN9" i="2" s="1"/>
  <c r="I10" i="2"/>
  <c r="I7" i="2" s="1"/>
  <c r="K28" i="7"/>
  <c r="K27" i="7" s="1"/>
  <c r="AO74" i="3"/>
  <c r="AO52" i="3"/>
  <c r="AO100" i="3"/>
  <c r="AP29" i="7"/>
  <c r="AO30" i="3"/>
  <c r="P20" i="7"/>
  <c r="P19" i="7" s="1"/>
  <c r="N8" i="2"/>
  <c r="AN8" i="2" s="1"/>
  <c r="AE155" i="6"/>
  <c r="AE157" i="6" s="1"/>
  <c r="AE159" i="6" s="1"/>
  <c r="AE161" i="6" s="1"/>
  <c r="AF24" i="4"/>
  <c r="AE16" i="4"/>
  <c r="AD48" i="6"/>
  <c r="AD50" i="6" s="1"/>
  <c r="AC56" i="6"/>
  <c r="AC52" i="6"/>
  <c r="AD57" i="6" s="1"/>
  <c r="AC117" i="1" s="1"/>
  <c r="AA68" i="6"/>
  <c r="Z25" i="1" s="1"/>
  <c r="AB68" i="6"/>
  <c r="AA25" i="1" s="1"/>
  <c r="AP66" i="6"/>
  <c r="AC66" i="6"/>
  <c r="AC70" i="6"/>
  <c r="AB49" i="1" s="1"/>
  <c r="AD62" i="6"/>
  <c r="AD64" i="6" s="1"/>
  <c r="AE77" i="7" s="1"/>
  <c r="AE75" i="7" s="1"/>
  <c r="AE17" i="4"/>
  <c r="AG62" i="5"/>
  <c r="AG37" i="5"/>
  <c r="AG19" i="5"/>
  <c r="AP36" i="6"/>
  <c r="AP45" i="6"/>
  <c r="AH12" i="4"/>
  <c r="AF13" i="4"/>
  <c r="AF8" i="6" s="1"/>
  <c r="AP66" i="5"/>
  <c r="AA76" i="5"/>
  <c r="AP41" i="5"/>
  <c r="AA51" i="5"/>
  <c r="AP23" i="5"/>
  <c r="AA33" i="5"/>
  <c r="AB51" i="5"/>
  <c r="AB33" i="5"/>
  <c r="AB76" i="5"/>
  <c r="AC66" i="5"/>
  <c r="AC76" i="5" s="1"/>
  <c r="AC83" i="5" s="1"/>
  <c r="AC12" i="5" s="1"/>
  <c r="AB68" i="1" s="1"/>
  <c r="AD21" i="5"/>
  <c r="AD64" i="5"/>
  <c r="AD39" i="5"/>
  <c r="AP12" i="6"/>
  <c r="AA16" i="6"/>
  <c r="AA18" i="6" s="1"/>
  <c r="AP111" i="3"/>
  <c r="AB16" i="6"/>
  <c r="AD10" i="6"/>
  <c r="AD12" i="6" s="1"/>
  <c r="AD14" i="6" s="1"/>
  <c r="AE10" i="4"/>
  <c r="AC12" i="6"/>
  <c r="AC14" i="6" s="1"/>
  <c r="I69" i="5"/>
  <c r="H74" i="5"/>
  <c r="H81" i="5" s="1"/>
  <c r="H75" i="5"/>
  <c r="H82" i="5" s="1"/>
  <c r="H49" i="5"/>
  <c r="H56" i="5" s="1"/>
  <c r="H10" i="5" s="1"/>
  <c r="I44" i="5"/>
  <c r="H50" i="5"/>
  <c r="H57" i="5" s="1"/>
  <c r="H11" i="5" s="1"/>
  <c r="AO44" i="3"/>
  <c r="AO22" i="3"/>
  <c r="Q30" i="7"/>
  <c r="Q29" i="7" s="1"/>
  <c r="N11" i="2"/>
  <c r="AN11" i="2" s="1"/>
  <c r="AO86" i="3"/>
  <c r="AO20" i="3"/>
  <c r="S5" i="3"/>
  <c r="Z142" i="1" l="1"/>
  <c r="Z139" i="1"/>
  <c r="AO139" i="1" s="1"/>
  <c r="AA139" i="1"/>
  <c r="AC92" i="6"/>
  <c r="AB98" i="1"/>
  <c r="AO43" i="1"/>
  <c r="AD90" i="6"/>
  <c r="AC77" i="1" s="1"/>
  <c r="AE90" i="7"/>
  <c r="AE87" i="7" s="1"/>
  <c r="AD73" i="6"/>
  <c r="AC97" i="1"/>
  <c r="G32" i="2"/>
  <c r="G31" i="2" s="1"/>
  <c r="G24" i="2" s="1"/>
  <c r="G34" i="2" s="1"/>
  <c r="I13" i="5"/>
  <c r="H116" i="1" s="1"/>
  <c r="H115" i="1" s="1"/>
  <c r="H114" i="1" s="1"/>
  <c r="I7" i="7"/>
  <c r="I10" i="7" s="1"/>
  <c r="H15" i="5"/>
  <c r="G93" i="1"/>
  <c r="O101" i="3"/>
  <c r="AN15" i="1"/>
  <c r="Q20" i="2"/>
  <c r="T8" i="7"/>
  <c r="U52" i="7"/>
  <c r="P18" i="2"/>
  <c r="Q19" i="2"/>
  <c r="X45" i="7"/>
  <c r="AO28" i="2"/>
  <c r="Z27" i="2"/>
  <c r="AO27" i="2" s="1"/>
  <c r="AB93" i="6"/>
  <c r="AD91" i="6"/>
  <c r="AC119" i="1" s="1"/>
  <c r="AD72" i="6"/>
  <c r="AC118" i="1" s="1"/>
  <c r="L73" i="3"/>
  <c r="K14" i="1" s="1"/>
  <c r="M65" i="3"/>
  <c r="L71" i="3"/>
  <c r="L75" i="3" s="1"/>
  <c r="K32" i="1" s="1"/>
  <c r="K29" i="1" s="1"/>
  <c r="AB59" i="6"/>
  <c r="Z26" i="1"/>
  <c r="AB29" i="2"/>
  <c r="AB117" i="3"/>
  <c r="AA48" i="1"/>
  <c r="AO19" i="1"/>
  <c r="AO51" i="1"/>
  <c r="AO142" i="1"/>
  <c r="AC71" i="1"/>
  <c r="AC146" i="1" s="1"/>
  <c r="AD165" i="6"/>
  <c r="AO141" i="1"/>
  <c r="AO70" i="1"/>
  <c r="AC102" i="6"/>
  <c r="AB38" i="1"/>
  <c r="AA26" i="1"/>
  <c r="AA140" i="1" s="1"/>
  <c r="AC85" i="6"/>
  <c r="AC93" i="6" s="1"/>
  <c r="AB30" i="2"/>
  <c r="AA24" i="1"/>
  <c r="AA138" i="1" s="1"/>
  <c r="AE163" i="6"/>
  <c r="AD55" i="1"/>
  <c r="AA74" i="1"/>
  <c r="AA136" i="1" s="1"/>
  <c r="AB18" i="6"/>
  <c r="AO25" i="1"/>
  <c r="AP59" i="6"/>
  <c r="Z24" i="1"/>
  <c r="Z138" i="1" s="1"/>
  <c r="AB76" i="1"/>
  <c r="AC54" i="6"/>
  <c r="AC59" i="6" s="1"/>
  <c r="AB28" i="2"/>
  <c r="AP16" i="6"/>
  <c r="Z74" i="1"/>
  <c r="Z136" i="1" s="1"/>
  <c r="AC43" i="1"/>
  <c r="AB43" i="1"/>
  <c r="AP102" i="6"/>
  <c r="AA104" i="6"/>
  <c r="AP104" i="6" s="1"/>
  <c r="AB104" i="6"/>
  <c r="AD100" i="6"/>
  <c r="AC38" i="1" s="1"/>
  <c r="AO67" i="1"/>
  <c r="AO133" i="1"/>
  <c r="P97" i="3"/>
  <c r="P99" i="3"/>
  <c r="O15" i="1" s="1"/>
  <c r="AP93" i="6"/>
  <c r="AP85" i="6"/>
  <c r="AP54" i="6"/>
  <c r="AD111" i="3"/>
  <c r="AE32" i="7"/>
  <c r="AE31" i="7" s="1"/>
  <c r="Q41" i="1"/>
  <c r="R42" i="1"/>
  <c r="R134" i="1" s="1"/>
  <c r="R92" i="1"/>
  <c r="S130" i="3"/>
  <c r="S131" i="3" s="1"/>
  <c r="U34" i="7"/>
  <c r="U33" i="7" s="1"/>
  <c r="T123" i="3"/>
  <c r="T125" i="3" s="1"/>
  <c r="T127" i="3" s="1"/>
  <c r="T129" i="3" s="1"/>
  <c r="U11" i="4"/>
  <c r="AF18" i="4"/>
  <c r="AE77" i="6"/>
  <c r="AE79" i="6" s="1"/>
  <c r="AD88" i="6"/>
  <c r="AC19" i="1" s="1"/>
  <c r="AD87" i="6"/>
  <c r="AC50" i="1" s="1"/>
  <c r="AD81" i="6"/>
  <c r="AF19" i="4"/>
  <c r="AE96" i="6"/>
  <c r="AE98" i="6" s="1"/>
  <c r="AF20" i="4"/>
  <c r="AE107" i="6"/>
  <c r="AE109" i="6" s="1"/>
  <c r="AE113" i="6" s="1"/>
  <c r="AD78" i="1" s="1"/>
  <c r="AD111" i="6"/>
  <c r="AC51" i="1" s="1"/>
  <c r="AC142" i="1" s="1"/>
  <c r="AC115" i="3"/>
  <c r="AC116" i="3"/>
  <c r="AD50" i="3"/>
  <c r="AC46" i="1" s="1"/>
  <c r="AD52" i="3"/>
  <c r="AC64" i="1" s="1"/>
  <c r="AC115" i="6"/>
  <c r="AC119" i="3"/>
  <c r="AB91" i="1"/>
  <c r="L76" i="3"/>
  <c r="L8" i="3" s="1"/>
  <c r="AE81" i="3"/>
  <c r="AE83" i="3" s="1"/>
  <c r="AE85" i="3" s="1"/>
  <c r="AE100" i="3" s="1"/>
  <c r="AD66" i="1" s="1"/>
  <c r="AE13" i="3"/>
  <c r="AE15" i="3" s="1"/>
  <c r="AE17" i="3" s="1"/>
  <c r="AE30" i="3" s="1"/>
  <c r="AD63" i="1" s="1"/>
  <c r="AE107" i="3"/>
  <c r="AE109" i="3" s="1"/>
  <c r="AE37" i="3"/>
  <c r="AE39" i="3" s="1"/>
  <c r="AE41" i="3" s="1"/>
  <c r="AE59" i="3"/>
  <c r="AE61" i="3" s="1"/>
  <c r="AE63" i="3" s="1"/>
  <c r="AE74" i="3" s="1"/>
  <c r="AD65" i="1" s="1"/>
  <c r="Q27" i="3"/>
  <c r="Q31" i="3" s="1"/>
  <c r="P30" i="1" s="1"/>
  <c r="Q22" i="3"/>
  <c r="R19" i="3"/>
  <c r="R20" i="3" s="1"/>
  <c r="Q29" i="3"/>
  <c r="P9" i="1"/>
  <c r="R86" i="3"/>
  <c r="Q88" i="3"/>
  <c r="Q97" i="3" s="1"/>
  <c r="Q98" i="3"/>
  <c r="P90" i="3"/>
  <c r="P96" i="3"/>
  <c r="O10" i="1"/>
  <c r="N33" i="1"/>
  <c r="N132" i="1" s="1"/>
  <c r="O102" i="3"/>
  <c r="N102" i="3"/>
  <c r="N104" i="3" s="1"/>
  <c r="M33" i="1"/>
  <c r="M132" i="1" s="1"/>
  <c r="AN9" i="1"/>
  <c r="N8" i="1"/>
  <c r="N13" i="1"/>
  <c r="P49" i="3"/>
  <c r="P53" i="3" s="1"/>
  <c r="O31" i="1" s="1"/>
  <c r="Q43" i="3"/>
  <c r="Q44" i="3" s="1"/>
  <c r="P51" i="3"/>
  <c r="P32" i="3"/>
  <c r="O9" i="1"/>
  <c r="J11" i="1"/>
  <c r="O53" i="3"/>
  <c r="N14" i="2"/>
  <c r="AN14" i="2" s="1"/>
  <c r="F28" i="1"/>
  <c r="Y62" i="1"/>
  <c r="AP33" i="5"/>
  <c r="G18" i="1"/>
  <c r="G22" i="1"/>
  <c r="U5" i="5"/>
  <c r="J34" i="5"/>
  <c r="K24" i="5"/>
  <c r="K27" i="5" s="1"/>
  <c r="AN90" i="1"/>
  <c r="O55" i="3"/>
  <c r="N88" i="1"/>
  <c r="J77" i="3"/>
  <c r="I89" i="1"/>
  <c r="I131" i="1" s="1"/>
  <c r="N87" i="1"/>
  <c r="O33" i="3"/>
  <c r="AO33" i="3" s="1"/>
  <c r="P103" i="3"/>
  <c r="O90" i="1"/>
  <c r="AP25" i="7"/>
  <c r="AP19" i="7"/>
  <c r="AO98" i="3"/>
  <c r="Q26" i="7"/>
  <c r="Q25" i="7" s="1"/>
  <c r="O9" i="2"/>
  <c r="I15" i="2"/>
  <c r="I12" i="2" s="1"/>
  <c r="I21" i="2" s="1"/>
  <c r="J10" i="2"/>
  <c r="J7" i="2" s="1"/>
  <c r="L28" i="7"/>
  <c r="L27" i="7" s="1"/>
  <c r="N13" i="2"/>
  <c r="AN13" i="2" s="1"/>
  <c r="AO29" i="3"/>
  <c r="Q20" i="7"/>
  <c r="Q19" i="7" s="1"/>
  <c r="O8" i="2"/>
  <c r="AG24" i="4"/>
  <c r="AF155" i="6"/>
  <c r="AF157" i="6" s="1"/>
  <c r="AF159" i="6" s="1"/>
  <c r="AF161" i="6" s="1"/>
  <c r="AE48" i="6"/>
  <c r="AE50" i="6" s="1"/>
  <c r="AF16" i="4"/>
  <c r="AD56" i="6"/>
  <c r="AD52" i="6"/>
  <c r="AP68" i="6"/>
  <c r="AA71" i="6"/>
  <c r="AA74" i="6" s="1"/>
  <c r="AB71" i="6"/>
  <c r="AB74" i="6" s="1"/>
  <c r="AC68" i="6"/>
  <c r="AB25" i="1" s="1"/>
  <c r="AB139" i="1" s="1"/>
  <c r="AD66" i="6"/>
  <c r="AD70" i="6"/>
  <c r="AC49" i="1" s="1"/>
  <c r="AE62" i="6"/>
  <c r="AE64" i="6" s="1"/>
  <c r="AF77" i="7" s="1"/>
  <c r="AF75" i="7" s="1"/>
  <c r="AF17" i="4"/>
  <c r="AH37" i="5"/>
  <c r="AH19" i="5"/>
  <c r="AH62" i="5"/>
  <c r="AP14" i="6"/>
  <c r="AP18" i="6"/>
  <c r="AI12" i="4"/>
  <c r="AG13" i="4"/>
  <c r="AG8" i="6" s="1"/>
  <c r="AP76" i="5"/>
  <c r="AA83" i="5"/>
  <c r="AP83" i="5" s="1"/>
  <c r="AP51" i="5"/>
  <c r="AA58" i="5"/>
  <c r="AB58" i="5"/>
  <c r="AB83" i="5"/>
  <c r="AD23" i="5"/>
  <c r="AD41" i="5"/>
  <c r="AD66" i="5"/>
  <c r="AE39" i="5"/>
  <c r="AE64" i="5"/>
  <c r="AE21" i="5"/>
  <c r="AE23" i="5" s="1"/>
  <c r="AE33" i="5" s="1"/>
  <c r="AP116" i="3"/>
  <c r="AD16" i="6"/>
  <c r="AE10" i="6"/>
  <c r="AF10" i="4"/>
  <c r="AC16" i="6"/>
  <c r="H77" i="5"/>
  <c r="H84" i="5" s="1"/>
  <c r="I67" i="5"/>
  <c r="I42" i="5"/>
  <c r="H52" i="5"/>
  <c r="H59" i="5" s="1"/>
  <c r="H14" i="5" s="1"/>
  <c r="AO49" i="3"/>
  <c r="AO51" i="3"/>
  <c r="AO88" i="3"/>
  <c r="AO90" i="3"/>
  <c r="AO97" i="3"/>
  <c r="AO28" i="3"/>
  <c r="AO27" i="3"/>
  <c r="P8" i="2"/>
  <c r="T5" i="3"/>
  <c r="AD92" i="6" l="1"/>
  <c r="AC98" i="1"/>
  <c r="AO26" i="1"/>
  <c r="Z140" i="1"/>
  <c r="AO140" i="1" s="1"/>
  <c r="AE90" i="6"/>
  <c r="AF90" i="7"/>
  <c r="AF87" i="7" s="1"/>
  <c r="AE73" i="6"/>
  <c r="AD97" i="1"/>
  <c r="G135" i="1"/>
  <c r="G86" i="1"/>
  <c r="G85" i="1" s="1"/>
  <c r="H16" i="5"/>
  <c r="M72" i="3"/>
  <c r="M66" i="3"/>
  <c r="K11" i="1"/>
  <c r="K7" i="1" s="1"/>
  <c r="AN87" i="1"/>
  <c r="N129" i="1"/>
  <c r="U8" i="7"/>
  <c r="V52" i="7"/>
  <c r="Q18" i="2"/>
  <c r="R19" i="2"/>
  <c r="R20" i="2"/>
  <c r="S20" i="2" s="1"/>
  <c r="Y45" i="7"/>
  <c r="AC30" i="2"/>
  <c r="AE91" i="6"/>
  <c r="AD119" i="1" s="1"/>
  <c r="AE72" i="6"/>
  <c r="AD118" i="1" s="1"/>
  <c r="P101" i="3"/>
  <c r="AC28" i="2"/>
  <c r="AE57" i="6"/>
  <c r="AD117" i="1" s="1"/>
  <c r="AB26" i="1"/>
  <c r="AB140" i="1" s="1"/>
  <c r="AC74" i="1"/>
  <c r="AC136" i="1" s="1"/>
  <c r="AD18" i="6"/>
  <c r="AB74" i="1"/>
  <c r="AB136" i="1" s="1"/>
  <c r="AC18" i="6"/>
  <c r="AA73" i="1"/>
  <c r="AB27" i="2"/>
  <c r="AA67" i="1"/>
  <c r="AA133" i="1" s="1"/>
  <c r="AB118" i="3"/>
  <c r="AB120" i="3" s="1"/>
  <c r="AB70" i="1"/>
  <c r="AB141" i="1" s="1"/>
  <c r="AC104" i="6"/>
  <c r="AB37" i="1"/>
  <c r="AD71" i="1"/>
  <c r="AD146" i="1" s="1"/>
  <c r="AE165" i="6"/>
  <c r="AB24" i="1"/>
  <c r="AB138" i="1" s="1"/>
  <c r="AC37" i="1"/>
  <c r="AF163" i="6"/>
  <c r="AE55" i="1"/>
  <c r="AC91" i="1"/>
  <c r="AD119" i="3"/>
  <c r="AO24" i="1"/>
  <c r="AO138" i="1"/>
  <c r="AO136" i="1"/>
  <c r="AO74" i="1"/>
  <c r="Z73" i="1"/>
  <c r="AO73" i="1" s="1"/>
  <c r="AC76" i="1"/>
  <c r="AD68" i="6"/>
  <c r="AC29" i="2"/>
  <c r="AD102" i="6"/>
  <c r="AC70" i="1" s="1"/>
  <c r="AC141" i="1" s="1"/>
  <c r="AE100" i="6"/>
  <c r="AD115" i="6"/>
  <c r="AP74" i="6"/>
  <c r="AP71" i="6"/>
  <c r="AD115" i="3"/>
  <c r="AC34" i="1" s="1"/>
  <c r="AD116" i="3"/>
  <c r="AE111" i="3"/>
  <c r="AF32" i="7"/>
  <c r="AF31" i="7" s="1"/>
  <c r="N31" i="1"/>
  <c r="N130" i="1" s="1"/>
  <c r="O54" i="3"/>
  <c r="O56" i="3" s="1"/>
  <c r="R41" i="1"/>
  <c r="S92" i="1"/>
  <c r="T130" i="3"/>
  <c r="T131" i="3" s="1"/>
  <c r="S42" i="1"/>
  <c r="S134" i="1" s="1"/>
  <c r="V34" i="7"/>
  <c r="V33" i="7" s="1"/>
  <c r="U123" i="3"/>
  <c r="U125" i="3" s="1"/>
  <c r="U127" i="3" s="1"/>
  <c r="U129" i="3" s="1"/>
  <c r="V11" i="4"/>
  <c r="AG18" i="4"/>
  <c r="AF77" i="6"/>
  <c r="AF79" i="6" s="1"/>
  <c r="AD77" i="1"/>
  <c r="AE81" i="6"/>
  <c r="AE88" i="6"/>
  <c r="AD19" i="1" s="1"/>
  <c r="AE87" i="6"/>
  <c r="AD50" i="1" s="1"/>
  <c r="AE85" i="6"/>
  <c r="AD85" i="6"/>
  <c r="AD93" i="6" s="1"/>
  <c r="AG19" i="4"/>
  <c r="AF96" i="6"/>
  <c r="AF98" i="6" s="1"/>
  <c r="AG20" i="4"/>
  <c r="AF107" i="6"/>
  <c r="AF109" i="6" s="1"/>
  <c r="AF113" i="6" s="1"/>
  <c r="AE78" i="1" s="1"/>
  <c r="AE111" i="6"/>
  <c r="AD51" i="1" s="1"/>
  <c r="AD142" i="1" s="1"/>
  <c r="AB34" i="1"/>
  <c r="AC117" i="3"/>
  <c r="AB48" i="1"/>
  <c r="AE50" i="3"/>
  <c r="AD46" i="1" s="1"/>
  <c r="AE52" i="3"/>
  <c r="AD64" i="1" s="1"/>
  <c r="AB12" i="5"/>
  <c r="P12" i="1"/>
  <c r="Q32" i="3"/>
  <c r="AF107" i="3"/>
  <c r="AF109" i="3" s="1"/>
  <c r="AF81" i="3"/>
  <c r="AF83" i="3" s="1"/>
  <c r="AF85" i="3" s="1"/>
  <c r="AF100" i="3" s="1"/>
  <c r="AE66" i="1" s="1"/>
  <c r="AF13" i="3"/>
  <c r="AF15" i="3" s="1"/>
  <c r="AF17" i="3" s="1"/>
  <c r="AF30" i="3" s="1"/>
  <c r="AE63" i="1" s="1"/>
  <c r="AF37" i="3"/>
  <c r="AF39" i="3" s="1"/>
  <c r="AF41" i="3" s="1"/>
  <c r="AF59" i="3"/>
  <c r="AF61" i="3" s="1"/>
  <c r="AF63" i="3" s="1"/>
  <c r="AF74" i="3" s="1"/>
  <c r="AE65" i="1" s="1"/>
  <c r="S19" i="3"/>
  <c r="R22" i="3"/>
  <c r="S20" i="3"/>
  <c r="R27" i="3"/>
  <c r="R31" i="3" s="1"/>
  <c r="Q30" i="1" s="1"/>
  <c r="R88" i="3"/>
  <c r="S86" i="3"/>
  <c r="R98" i="3"/>
  <c r="Q90" i="3"/>
  <c r="Q96" i="3"/>
  <c r="Q101" i="3" s="1"/>
  <c r="Q99" i="3"/>
  <c r="P15" i="1" s="1"/>
  <c r="P10" i="1"/>
  <c r="O104" i="3"/>
  <c r="AN8" i="1"/>
  <c r="AN13" i="1"/>
  <c r="R43" i="3"/>
  <c r="R44" i="3" s="1"/>
  <c r="Q49" i="3"/>
  <c r="Q53" i="3" s="1"/>
  <c r="P31" i="1" s="1"/>
  <c r="Q51" i="3"/>
  <c r="O13" i="1"/>
  <c r="P54" i="3"/>
  <c r="J7" i="1"/>
  <c r="L47" i="1"/>
  <c r="L45" i="1" s="1"/>
  <c r="M71" i="3"/>
  <c r="M75" i="3" s="1"/>
  <c r="L32" i="1" s="1"/>
  <c r="N65" i="3"/>
  <c r="M73" i="3"/>
  <c r="O8" i="1"/>
  <c r="R29" i="3"/>
  <c r="Q12" i="1" s="1"/>
  <c r="R28" i="3"/>
  <c r="O33" i="1"/>
  <c r="O132" i="1" s="1"/>
  <c r="P102" i="3"/>
  <c r="P104" i="3" s="1"/>
  <c r="AN33" i="1"/>
  <c r="AN132" i="1"/>
  <c r="F35" i="1"/>
  <c r="F126" i="1" s="1"/>
  <c r="F128" i="1" s="1"/>
  <c r="Y61" i="1"/>
  <c r="G17" i="1"/>
  <c r="G21" i="1"/>
  <c r="AP58" i="5"/>
  <c r="AA12" i="5"/>
  <c r="AP12" i="5" s="1"/>
  <c r="AA68" i="1"/>
  <c r="V5" i="5"/>
  <c r="K31" i="5"/>
  <c r="K32" i="5"/>
  <c r="L26" i="5"/>
  <c r="AN88" i="1"/>
  <c r="J9" i="3"/>
  <c r="J78" i="3"/>
  <c r="J10" i="3" s="1"/>
  <c r="AN129" i="1"/>
  <c r="O34" i="3"/>
  <c r="AO34" i="3" s="1"/>
  <c r="AO55" i="3"/>
  <c r="P55" i="3"/>
  <c r="O88" i="1"/>
  <c r="K77" i="3"/>
  <c r="J89" i="1"/>
  <c r="J131" i="1" s="1"/>
  <c r="O87" i="1"/>
  <c r="O129" i="1" s="1"/>
  <c r="P33" i="3"/>
  <c r="N16" i="2"/>
  <c r="AN16" i="2" s="1"/>
  <c r="AO31" i="3"/>
  <c r="I17" i="2"/>
  <c r="O14" i="2"/>
  <c r="R26" i="7"/>
  <c r="R25" i="7" s="1"/>
  <c r="P9" i="2"/>
  <c r="R30" i="7"/>
  <c r="R29" i="7" s="1"/>
  <c r="O11" i="2"/>
  <c r="J15" i="2"/>
  <c r="J12" i="2" s="1"/>
  <c r="J21" i="2" s="1"/>
  <c r="O13" i="2"/>
  <c r="AH24" i="4"/>
  <c r="AG155" i="6"/>
  <c r="AG157" i="6" s="1"/>
  <c r="AG159" i="6" s="1"/>
  <c r="AG161" i="6" s="1"/>
  <c r="AE52" i="6"/>
  <c r="AF57" i="6" s="1"/>
  <c r="AE117" i="1" s="1"/>
  <c r="AE56" i="6"/>
  <c r="AG16" i="4"/>
  <c r="AF48" i="6"/>
  <c r="AF50" i="6" s="1"/>
  <c r="AD54" i="6"/>
  <c r="AD59" i="6" s="1"/>
  <c r="R20" i="7"/>
  <c r="R19" i="7" s="1"/>
  <c r="AE66" i="6"/>
  <c r="AE70" i="6"/>
  <c r="AD49" i="1" s="1"/>
  <c r="AF62" i="6"/>
  <c r="AF64" i="6" s="1"/>
  <c r="AG77" i="7" s="1"/>
  <c r="AG75" i="7" s="1"/>
  <c r="AG17" i="4"/>
  <c r="AC71" i="6"/>
  <c r="AC74" i="6" s="1"/>
  <c r="AI62" i="5"/>
  <c r="AI19" i="5"/>
  <c r="AI37" i="5"/>
  <c r="AO32" i="3"/>
  <c r="AJ12" i="4"/>
  <c r="AH13" i="4"/>
  <c r="AH8" i="6" s="1"/>
  <c r="AD33" i="5"/>
  <c r="AD51" i="5"/>
  <c r="AD76" i="5"/>
  <c r="AD83" i="5" s="1"/>
  <c r="AE41" i="5"/>
  <c r="AE51" i="5" s="1"/>
  <c r="AE58" i="5" s="1"/>
  <c r="AE66" i="5"/>
  <c r="AE76" i="5" s="1"/>
  <c r="AF64" i="5"/>
  <c r="AF21" i="5"/>
  <c r="AF39" i="5"/>
  <c r="AF41" i="5" s="1"/>
  <c r="AF51" i="5" s="1"/>
  <c r="AF58" i="5" s="1"/>
  <c r="AE12" i="6"/>
  <c r="AE14" i="6" s="1"/>
  <c r="AF10" i="6"/>
  <c r="AG10" i="4"/>
  <c r="AP117" i="3"/>
  <c r="I70" i="5"/>
  <c r="I80" i="5" s="1"/>
  <c r="I45" i="5"/>
  <c r="AO53" i="3"/>
  <c r="S30" i="7"/>
  <c r="S29" i="7" s="1"/>
  <c r="P11" i="2"/>
  <c r="AO96" i="3"/>
  <c r="AO99" i="3"/>
  <c r="U5" i="3"/>
  <c r="AE92" i="6" l="1"/>
  <c r="AD98" i="1"/>
  <c r="AF90" i="6"/>
  <c r="AG90" i="7"/>
  <c r="AG87" i="7" s="1"/>
  <c r="AF73" i="6"/>
  <c r="AE97" i="1"/>
  <c r="I55" i="5"/>
  <c r="I9" i="5" s="1"/>
  <c r="I8" i="5"/>
  <c r="J40" i="7" s="1"/>
  <c r="J38" i="7" s="1"/>
  <c r="O130" i="1"/>
  <c r="R97" i="3"/>
  <c r="R99" i="3"/>
  <c r="Q15" i="1" s="1"/>
  <c r="P8" i="1"/>
  <c r="V8" i="7"/>
  <c r="T20" i="2" s="1"/>
  <c r="W52" i="7"/>
  <c r="R18" i="2"/>
  <c r="S19" i="2"/>
  <c r="Z45" i="7"/>
  <c r="AC27" i="2"/>
  <c r="AD30" i="2"/>
  <c r="AF91" i="6"/>
  <c r="AE119" i="1" s="1"/>
  <c r="AF72" i="6"/>
  <c r="AE118" i="1" s="1"/>
  <c r="H32" i="2"/>
  <c r="H31" i="2" s="1"/>
  <c r="H24" i="2" s="1"/>
  <c r="H34" i="2" s="1"/>
  <c r="J13" i="5"/>
  <c r="AE115" i="3"/>
  <c r="AD34" i="1" s="1"/>
  <c r="AE116" i="3"/>
  <c r="AE117" i="3" s="1"/>
  <c r="AD29" i="2"/>
  <c r="AC73" i="1"/>
  <c r="AB73" i="1"/>
  <c r="AC24" i="1"/>
  <c r="AC138" i="1" s="1"/>
  <c r="AC25" i="1"/>
  <c r="AC139" i="1" s="1"/>
  <c r="AD71" i="6"/>
  <c r="AD74" i="6" s="1"/>
  <c r="N72" i="3"/>
  <c r="M47" i="1" s="1"/>
  <c r="M45" i="1" s="1"/>
  <c r="N66" i="3"/>
  <c r="AE71" i="1"/>
  <c r="AE146" i="1" s="1"/>
  <c r="AF165" i="6"/>
  <c r="AE102" i="6"/>
  <c r="AD38" i="1"/>
  <c r="AD26" i="1"/>
  <c r="AD140" i="1" s="1"/>
  <c r="AC26" i="1"/>
  <c r="AC140" i="1" s="1"/>
  <c r="AG163" i="6"/>
  <c r="AF55" i="1"/>
  <c r="AE54" i="6"/>
  <c r="AE59" i="6" s="1"/>
  <c r="AD28" i="2"/>
  <c r="AD76" i="1"/>
  <c r="AD43" i="1"/>
  <c r="AD104" i="6"/>
  <c r="AF100" i="6"/>
  <c r="AE38" i="1" s="1"/>
  <c r="AD117" i="3"/>
  <c r="AC48" i="1"/>
  <c r="AD91" i="1"/>
  <c r="AE119" i="3"/>
  <c r="AN31" i="1"/>
  <c r="AN130" i="1"/>
  <c r="AF111" i="3"/>
  <c r="AG32" i="7"/>
  <c r="AG31" i="7" s="1"/>
  <c r="S41" i="1"/>
  <c r="U130" i="3"/>
  <c r="U131" i="3" s="1"/>
  <c r="T92" i="1"/>
  <c r="T42" i="1"/>
  <c r="T134" i="1" s="1"/>
  <c r="V123" i="3"/>
  <c r="V125" i="3" s="1"/>
  <c r="V127" i="3" s="1"/>
  <c r="V129" i="3" s="1"/>
  <c r="W34" i="7"/>
  <c r="W33" i="7" s="1"/>
  <c r="W11" i="4"/>
  <c r="AH18" i="4"/>
  <c r="AG77" i="6"/>
  <c r="AG79" i="6" s="1"/>
  <c r="AE77" i="1"/>
  <c r="AF88" i="6"/>
  <c r="AE19" i="1" s="1"/>
  <c r="AF87" i="6"/>
  <c r="AE50" i="1" s="1"/>
  <c r="AF81" i="6"/>
  <c r="AG91" i="6" s="1"/>
  <c r="AF119" i="1" s="1"/>
  <c r="AH19" i="4"/>
  <c r="AG96" i="6"/>
  <c r="AG98" i="6" s="1"/>
  <c r="AH20" i="4"/>
  <c r="AG107" i="6"/>
  <c r="AG109" i="6" s="1"/>
  <c r="AG113" i="6" s="1"/>
  <c r="AF78" i="1" s="1"/>
  <c r="AF111" i="6"/>
  <c r="AE51" i="1" s="1"/>
  <c r="AE142" i="1" s="1"/>
  <c r="AD48" i="1"/>
  <c r="AF52" i="3"/>
  <c r="AE64" i="1" s="1"/>
  <c r="AF50" i="3"/>
  <c r="AE46" i="1" s="1"/>
  <c r="AE115" i="6"/>
  <c r="AB67" i="1"/>
  <c r="AB133" i="1" s="1"/>
  <c r="AC118" i="3"/>
  <c r="AC120" i="3" s="1"/>
  <c r="P33" i="1"/>
  <c r="Q102" i="3"/>
  <c r="AG81" i="3"/>
  <c r="AG83" i="3" s="1"/>
  <c r="AG85" i="3" s="1"/>
  <c r="AG100" i="3" s="1"/>
  <c r="AF66" i="1" s="1"/>
  <c r="AG13" i="3"/>
  <c r="AG15" i="3" s="1"/>
  <c r="AG17" i="3" s="1"/>
  <c r="AG30" i="3" s="1"/>
  <c r="AF63" i="1" s="1"/>
  <c r="AG107" i="3"/>
  <c r="AG109" i="3" s="1"/>
  <c r="AG37" i="3"/>
  <c r="AG39" i="3" s="1"/>
  <c r="AG41" i="3" s="1"/>
  <c r="AG59" i="3"/>
  <c r="AG61" i="3" s="1"/>
  <c r="AG63" i="3" s="1"/>
  <c r="AG74" i="3" s="1"/>
  <c r="AF65" i="1" s="1"/>
  <c r="S27" i="3"/>
  <c r="S31" i="3" s="1"/>
  <c r="R30" i="1" s="1"/>
  <c r="S22" i="3"/>
  <c r="T19" i="3"/>
  <c r="T20" i="3" s="1"/>
  <c r="R96" i="3"/>
  <c r="R90" i="3"/>
  <c r="S88" i="3"/>
  <c r="T86" i="3"/>
  <c r="S98" i="3"/>
  <c r="R10" i="1" s="1"/>
  <c r="S43" i="3"/>
  <c r="R49" i="3"/>
  <c r="R53" i="3" s="1"/>
  <c r="Q31" i="1" s="1"/>
  <c r="S44" i="3"/>
  <c r="R9" i="2" s="1"/>
  <c r="R51" i="3"/>
  <c r="Q54" i="3"/>
  <c r="P13" i="1"/>
  <c r="L40" i="1"/>
  <c r="L29" i="1"/>
  <c r="R32" i="3"/>
  <c r="Q9" i="1"/>
  <c r="P56" i="3"/>
  <c r="S29" i="3"/>
  <c r="R12" i="1" s="1"/>
  <c r="S28" i="3"/>
  <c r="Q10" i="1"/>
  <c r="L14" i="1"/>
  <c r="M76" i="3"/>
  <c r="M8" i="3" s="1"/>
  <c r="G16" i="1"/>
  <c r="Z68" i="1"/>
  <c r="AA62" i="1"/>
  <c r="W5" i="5"/>
  <c r="K34" i="5"/>
  <c r="L24" i="5"/>
  <c r="L27" i="5" s="1"/>
  <c r="K9" i="3"/>
  <c r="K78" i="3"/>
  <c r="K10" i="3" s="1"/>
  <c r="P34" i="3"/>
  <c r="Q55" i="3"/>
  <c r="P88" i="1"/>
  <c r="Q103" i="3"/>
  <c r="P90" i="1"/>
  <c r="P87" i="1"/>
  <c r="P129" i="1" s="1"/>
  <c r="Q33" i="3"/>
  <c r="R103" i="3"/>
  <c r="Q90" i="1"/>
  <c r="J17" i="2"/>
  <c r="P14" i="2"/>
  <c r="S26" i="7"/>
  <c r="S25" i="7" s="1"/>
  <c r="Q9" i="2"/>
  <c r="O16" i="2"/>
  <c r="K10" i="2"/>
  <c r="K7" i="2" s="1"/>
  <c r="M28" i="7"/>
  <c r="M27" i="7" s="1"/>
  <c r="P13" i="2"/>
  <c r="S20" i="7"/>
  <c r="S19" i="7" s="1"/>
  <c r="Q8" i="2"/>
  <c r="AI24" i="4"/>
  <c r="AH155" i="6"/>
  <c r="AH157" i="6" s="1"/>
  <c r="AH159" i="6" s="1"/>
  <c r="AH161" i="6" s="1"/>
  <c r="AG48" i="6"/>
  <c r="AG50" i="6" s="1"/>
  <c r="AH16" i="4"/>
  <c r="AF52" i="6"/>
  <c r="AF56" i="6"/>
  <c r="AE68" i="6"/>
  <c r="AD25" i="1" s="1"/>
  <c r="AD139" i="1" s="1"/>
  <c r="AF66" i="6"/>
  <c r="AG72" i="6" s="1"/>
  <c r="AF118" i="1" s="1"/>
  <c r="AF70" i="6"/>
  <c r="AE49" i="1" s="1"/>
  <c r="AG62" i="6"/>
  <c r="AG64" i="6" s="1"/>
  <c r="AH77" i="7" s="1"/>
  <c r="AH75" i="7" s="1"/>
  <c r="AH17" i="4"/>
  <c r="AJ62" i="5"/>
  <c r="AJ19" i="5"/>
  <c r="AJ37" i="5"/>
  <c r="AO54" i="3"/>
  <c r="AO56" i="3"/>
  <c r="AK12" i="4"/>
  <c r="AI13" i="4"/>
  <c r="AI8" i="6" s="1"/>
  <c r="AD58" i="5"/>
  <c r="AD12" i="5" s="1"/>
  <c r="AE83" i="5"/>
  <c r="AE12" i="5" s="1"/>
  <c r="AD68" i="1" s="1"/>
  <c r="AF23" i="5"/>
  <c r="AF66" i="5"/>
  <c r="AF76" i="5" s="1"/>
  <c r="AF83" i="5" s="1"/>
  <c r="AG39" i="5"/>
  <c r="AG21" i="5"/>
  <c r="AG64" i="5"/>
  <c r="AE16" i="6"/>
  <c r="AG10" i="6"/>
  <c r="AG12" i="6" s="1"/>
  <c r="AG14" i="6" s="1"/>
  <c r="AH10" i="4"/>
  <c r="AF12" i="6"/>
  <c r="AF14" i="6" s="1"/>
  <c r="J69" i="5"/>
  <c r="I74" i="5"/>
  <c r="I81" i="5" s="1"/>
  <c r="I75" i="5"/>
  <c r="I82" i="5" s="1"/>
  <c r="I49" i="5"/>
  <c r="I56" i="5" s="1"/>
  <c r="I10" i="5" s="1"/>
  <c r="J44" i="5"/>
  <c r="I50" i="5"/>
  <c r="I57" i="5" s="1"/>
  <c r="I11" i="5" s="1"/>
  <c r="AO101" i="3"/>
  <c r="R8" i="2"/>
  <c r="V5" i="3"/>
  <c r="P132" i="1" l="1"/>
  <c r="Q56" i="3"/>
  <c r="AE93" i="6"/>
  <c r="AF92" i="6"/>
  <c r="AE98" i="1"/>
  <c r="AG90" i="6"/>
  <c r="AH90" i="7"/>
  <c r="AH87" i="7" s="1"/>
  <c r="AG73" i="6"/>
  <c r="AF97" i="1"/>
  <c r="J7" i="7"/>
  <c r="J10" i="7" s="1"/>
  <c r="I15" i="5"/>
  <c r="H93" i="1"/>
  <c r="R101" i="3"/>
  <c r="P130" i="1"/>
  <c r="AC67" i="1"/>
  <c r="AC133" i="1" s="1"/>
  <c r="AD118" i="3"/>
  <c r="AD120" i="3" s="1"/>
  <c r="W8" i="7"/>
  <c r="U20" i="2" s="1"/>
  <c r="X52" i="7"/>
  <c r="S18" i="2"/>
  <c r="T19" i="2"/>
  <c r="AA45" i="7"/>
  <c r="AD27" i="2"/>
  <c r="AE30" i="2"/>
  <c r="I116" i="1"/>
  <c r="I115" i="1" s="1"/>
  <c r="I114" i="1" s="1"/>
  <c r="N73" i="3"/>
  <c r="M14" i="1" s="1"/>
  <c r="O65" i="3"/>
  <c r="N71" i="3"/>
  <c r="N75" i="3" s="1"/>
  <c r="AE28" i="2"/>
  <c r="AG57" i="6"/>
  <c r="AF117" i="1" s="1"/>
  <c r="AD24" i="1"/>
  <c r="AD138" i="1" s="1"/>
  <c r="AD70" i="1"/>
  <c r="AD141" i="1" s="1"/>
  <c r="AE104" i="6"/>
  <c r="AD37" i="1"/>
  <c r="AF71" i="1"/>
  <c r="AF146" i="1" s="1"/>
  <c r="AG165" i="6"/>
  <c r="AE37" i="1"/>
  <c r="AH163" i="6"/>
  <c r="AG55" i="1"/>
  <c r="AE76" i="1"/>
  <c r="AF68" i="6"/>
  <c r="AE29" i="2"/>
  <c r="AE18" i="6"/>
  <c r="AD74" i="1"/>
  <c r="AD136" i="1" s="1"/>
  <c r="AF43" i="1"/>
  <c r="AE43" i="1"/>
  <c r="AF102" i="6"/>
  <c r="AE70" i="1" s="1"/>
  <c r="AE141" i="1" s="1"/>
  <c r="AG100" i="6"/>
  <c r="AF115" i="6"/>
  <c r="AF116" i="3"/>
  <c r="AF115" i="3"/>
  <c r="AF119" i="3"/>
  <c r="AE91" i="1"/>
  <c r="Q8" i="1"/>
  <c r="T41" i="1"/>
  <c r="U42" i="1"/>
  <c r="U134" i="1" s="1"/>
  <c r="U92" i="1"/>
  <c r="V130" i="3"/>
  <c r="V131" i="3" s="1"/>
  <c r="X34" i="7"/>
  <c r="X33" i="7" s="1"/>
  <c r="W123" i="3"/>
  <c r="W125" i="3" s="1"/>
  <c r="W127" i="3" s="1"/>
  <c r="W129" i="3" s="1"/>
  <c r="X11" i="4"/>
  <c r="AI18" i="4"/>
  <c r="AH77" i="6"/>
  <c r="AH79" i="6" s="1"/>
  <c r="AF77" i="1"/>
  <c r="AG88" i="6"/>
  <c r="AF19" i="1" s="1"/>
  <c r="AG81" i="6"/>
  <c r="AG85" i="6" s="1"/>
  <c r="AG87" i="6"/>
  <c r="AF50" i="1" s="1"/>
  <c r="AF85" i="6"/>
  <c r="AF93" i="6" s="1"/>
  <c r="AI19" i="4"/>
  <c r="AH96" i="6"/>
  <c r="AH98" i="6" s="1"/>
  <c r="AI20" i="4"/>
  <c r="AH107" i="6"/>
  <c r="AH109" i="6" s="1"/>
  <c r="AH113" i="6" s="1"/>
  <c r="AG78" i="1" s="1"/>
  <c r="AG111" i="6"/>
  <c r="AF51" i="1" s="1"/>
  <c r="AF142" i="1" s="1"/>
  <c r="AB62" i="1"/>
  <c r="AB61" i="1" s="1"/>
  <c r="AG50" i="3"/>
  <c r="AF46" i="1" s="1"/>
  <c r="AG52" i="3"/>
  <c r="AF64" i="1" s="1"/>
  <c r="Q104" i="3"/>
  <c r="AD67" i="1"/>
  <c r="AD133" i="1" s="1"/>
  <c r="AE118" i="3"/>
  <c r="AE120" i="3" s="1"/>
  <c r="AG111" i="3"/>
  <c r="AH32" i="7"/>
  <c r="AH31" i="7" s="1"/>
  <c r="AH81" i="3"/>
  <c r="AH83" i="3" s="1"/>
  <c r="AH85" i="3" s="1"/>
  <c r="AH100" i="3" s="1"/>
  <c r="AG66" i="1" s="1"/>
  <c r="AH13" i="3"/>
  <c r="AH15" i="3" s="1"/>
  <c r="AH17" i="3" s="1"/>
  <c r="AH30" i="3" s="1"/>
  <c r="AG63" i="1" s="1"/>
  <c r="AH37" i="3"/>
  <c r="AH39" i="3" s="1"/>
  <c r="AH41" i="3" s="1"/>
  <c r="AH59" i="3"/>
  <c r="AH61" i="3" s="1"/>
  <c r="AH63" i="3" s="1"/>
  <c r="AH74" i="3" s="1"/>
  <c r="AG65" i="1" s="1"/>
  <c r="AH107" i="3"/>
  <c r="AH109" i="3" s="1"/>
  <c r="AH111" i="3" s="1"/>
  <c r="T22" i="3"/>
  <c r="U19" i="3"/>
  <c r="U20" i="3" s="1"/>
  <c r="U28" i="3" s="1"/>
  <c r="T27" i="3"/>
  <c r="T31" i="3" s="1"/>
  <c r="S30" i="1" s="1"/>
  <c r="S90" i="3"/>
  <c r="S96" i="3"/>
  <c r="U86" i="3"/>
  <c r="T88" i="3"/>
  <c r="T98" i="3"/>
  <c r="T43" i="3"/>
  <c r="S49" i="3"/>
  <c r="T44" i="3"/>
  <c r="S51" i="3"/>
  <c r="R54" i="3"/>
  <c r="Q13" i="1"/>
  <c r="L83" i="1"/>
  <c r="R9" i="1"/>
  <c r="S32" i="3"/>
  <c r="L11" i="1"/>
  <c r="T28" i="3"/>
  <c r="T29" i="3"/>
  <c r="S12" i="1" s="1"/>
  <c r="S99" i="3"/>
  <c r="S97" i="3"/>
  <c r="M40" i="1"/>
  <c r="M83" i="1" s="1"/>
  <c r="M32" i="1"/>
  <c r="N76" i="3"/>
  <c r="N8" i="3" s="1"/>
  <c r="G28" i="1"/>
  <c r="AO68" i="1"/>
  <c r="Z62" i="1"/>
  <c r="AA61" i="1"/>
  <c r="AC68" i="1"/>
  <c r="H18" i="1"/>
  <c r="H22" i="1"/>
  <c r="X5" i="5"/>
  <c r="L31" i="5"/>
  <c r="L32" i="5"/>
  <c r="M26" i="5"/>
  <c r="Q34" i="3"/>
  <c r="R55" i="3"/>
  <c r="Q88" i="1"/>
  <c r="L77" i="3"/>
  <c r="K89" i="1"/>
  <c r="K131" i="1" s="1"/>
  <c r="R33" i="3"/>
  <c r="Q87" i="1"/>
  <c r="Q129" i="1" s="1"/>
  <c r="P16" i="2"/>
  <c r="Q14" i="2"/>
  <c r="Q11" i="2"/>
  <c r="T30" i="7"/>
  <c r="T29" i="7" s="1"/>
  <c r="K15" i="2"/>
  <c r="K12" i="2" s="1"/>
  <c r="K21" i="2" s="1"/>
  <c r="N28" i="7"/>
  <c r="N27" i="7" s="1"/>
  <c r="L10" i="2"/>
  <c r="L7" i="2" s="1"/>
  <c r="Q13" i="2"/>
  <c r="AJ24" i="4"/>
  <c r="AI155" i="6"/>
  <c r="AI157" i="6" s="1"/>
  <c r="AI159" i="6" s="1"/>
  <c r="AI161" i="6" s="1"/>
  <c r="AG56" i="6"/>
  <c r="AG52" i="6"/>
  <c r="AH48" i="6"/>
  <c r="AH50" i="6" s="1"/>
  <c r="AI16" i="4"/>
  <c r="AF54" i="6"/>
  <c r="AF59" i="6" s="1"/>
  <c r="T26" i="7"/>
  <c r="T25" i="7" s="1"/>
  <c r="T20" i="7"/>
  <c r="T19" i="7" s="1"/>
  <c r="AE71" i="6"/>
  <c r="AE74" i="6" s="1"/>
  <c r="AG66" i="6"/>
  <c r="AG70" i="6"/>
  <c r="AF49" i="1" s="1"/>
  <c r="AH62" i="6"/>
  <c r="AH64" i="6" s="1"/>
  <c r="AI77" i="7" s="1"/>
  <c r="AI75" i="7" s="1"/>
  <c r="AI17" i="4"/>
  <c r="AK37" i="5"/>
  <c r="AK19" i="5"/>
  <c r="AK62" i="5"/>
  <c r="AO102" i="3"/>
  <c r="AO104" i="3"/>
  <c r="AL12" i="4"/>
  <c r="AJ13" i="4"/>
  <c r="AJ8" i="6" s="1"/>
  <c r="AF33" i="5"/>
  <c r="AF12" i="5" s="1"/>
  <c r="AG41" i="5"/>
  <c r="AG23" i="5"/>
  <c r="AG33" i="5" s="1"/>
  <c r="AG66" i="5"/>
  <c r="AH64" i="5"/>
  <c r="AH39" i="5"/>
  <c r="AH41" i="5" s="1"/>
  <c r="AH51" i="5" s="1"/>
  <c r="AH58" i="5" s="1"/>
  <c r="AH21" i="5"/>
  <c r="AG16" i="6"/>
  <c r="AH10" i="6"/>
  <c r="AI10" i="4"/>
  <c r="AF16" i="6"/>
  <c r="J67" i="5"/>
  <c r="I77" i="5"/>
  <c r="I84" i="5" s="1"/>
  <c r="I52" i="5"/>
  <c r="I59" i="5" s="1"/>
  <c r="J42" i="5"/>
  <c r="U30" i="7"/>
  <c r="U29" i="7" s="1"/>
  <c r="R11" i="2"/>
  <c r="W5" i="3"/>
  <c r="I14" i="5" l="1"/>
  <c r="I16" i="5" s="1"/>
  <c r="Q33" i="1"/>
  <c r="Q132" i="1" s="1"/>
  <c r="R102" i="3"/>
  <c r="R104" i="3" s="1"/>
  <c r="AG92" i="6"/>
  <c r="AF98" i="1"/>
  <c r="AH90" i="6"/>
  <c r="AI90" i="7"/>
  <c r="AI87" i="7" s="1"/>
  <c r="AH73" i="6"/>
  <c r="AG97" i="1"/>
  <c r="H135" i="1"/>
  <c r="H86" i="1"/>
  <c r="H85" i="1" s="1"/>
  <c r="Q130" i="1"/>
  <c r="O72" i="3"/>
  <c r="N47" i="1" s="1"/>
  <c r="O66" i="3"/>
  <c r="R8" i="1"/>
  <c r="M11" i="1"/>
  <c r="M7" i="1" s="1"/>
  <c r="X8" i="7"/>
  <c r="V20" i="2" s="1"/>
  <c r="Y52" i="7"/>
  <c r="T18" i="2"/>
  <c r="U19" i="2"/>
  <c r="AB45" i="7"/>
  <c r="AQ45" i="7" s="1"/>
  <c r="AE27" i="2"/>
  <c r="AF30" i="2"/>
  <c r="AH91" i="6"/>
  <c r="AG119" i="1" s="1"/>
  <c r="AH72" i="6"/>
  <c r="AG118" i="1" s="1"/>
  <c r="AF26" i="1"/>
  <c r="AF140" i="1" s="1"/>
  <c r="AE26" i="1"/>
  <c r="AE140" i="1" s="1"/>
  <c r="AF29" i="2"/>
  <c r="AF74" i="1"/>
  <c r="AF136" i="1" s="1"/>
  <c r="AG18" i="6"/>
  <c r="AE74" i="1"/>
  <c r="AF18" i="6"/>
  <c r="AH57" i="6"/>
  <c r="AG117" i="1" s="1"/>
  <c r="AE24" i="1"/>
  <c r="AE138" i="1" s="1"/>
  <c r="AF117" i="3"/>
  <c r="AE48" i="1"/>
  <c r="AE34" i="1"/>
  <c r="AG71" i="1"/>
  <c r="AG146" i="1" s="1"/>
  <c r="AH165" i="6"/>
  <c r="AE25" i="1"/>
  <c r="AE139" i="1" s="1"/>
  <c r="AF71" i="6"/>
  <c r="AF74" i="6" s="1"/>
  <c r="AG102" i="6"/>
  <c r="AF38" i="1"/>
  <c r="AI163" i="6"/>
  <c r="AH55" i="1"/>
  <c r="AD73" i="1"/>
  <c r="AF76" i="1"/>
  <c r="AG54" i="6"/>
  <c r="AG59" i="6" s="1"/>
  <c r="AF28" i="2"/>
  <c r="AD62" i="1"/>
  <c r="AF104" i="6"/>
  <c r="AH100" i="6"/>
  <c r="AG38" i="1" s="1"/>
  <c r="AG119" i="3"/>
  <c r="AF91" i="1"/>
  <c r="U41" i="1"/>
  <c r="V92" i="1"/>
  <c r="W130" i="3"/>
  <c r="W131" i="3" s="1"/>
  <c r="V42" i="1"/>
  <c r="V134" i="1" s="1"/>
  <c r="Y34" i="7"/>
  <c r="Y33" i="7" s="1"/>
  <c r="X123" i="3"/>
  <c r="X125" i="3" s="1"/>
  <c r="X127" i="3" s="1"/>
  <c r="X129" i="3" s="1"/>
  <c r="Y11" i="4"/>
  <c r="AJ18" i="4"/>
  <c r="AI77" i="6"/>
  <c r="AI79" i="6" s="1"/>
  <c r="AG77" i="1"/>
  <c r="AH88" i="6"/>
  <c r="AG19" i="1" s="1"/>
  <c r="AH87" i="6"/>
  <c r="AG50" i="1" s="1"/>
  <c r="AH81" i="6"/>
  <c r="AJ19" i="4"/>
  <c r="AI96" i="6"/>
  <c r="AI98" i="6" s="1"/>
  <c r="AJ20" i="4"/>
  <c r="AI107" i="6"/>
  <c r="AI109" i="6" s="1"/>
  <c r="AI113" i="6" s="1"/>
  <c r="AH78" i="1" s="1"/>
  <c r="AH111" i="6"/>
  <c r="AG51" i="1" s="1"/>
  <c r="AG142" i="1" s="1"/>
  <c r="AG116" i="3"/>
  <c r="AG115" i="3"/>
  <c r="AH50" i="3"/>
  <c r="AG46" i="1" s="1"/>
  <c r="AH52" i="3"/>
  <c r="AG64" i="1" s="1"/>
  <c r="AH116" i="3"/>
  <c r="AH115" i="3"/>
  <c r="AG115" i="6"/>
  <c r="S101" i="3"/>
  <c r="AI81" i="3"/>
  <c r="AI83" i="3" s="1"/>
  <c r="AI85" i="3" s="1"/>
  <c r="AI100" i="3" s="1"/>
  <c r="AH66" i="1" s="1"/>
  <c r="AI13" i="3"/>
  <c r="AI15" i="3" s="1"/>
  <c r="AI17" i="3" s="1"/>
  <c r="AI30" i="3" s="1"/>
  <c r="AH63" i="1" s="1"/>
  <c r="AI107" i="3"/>
  <c r="AI109" i="3" s="1"/>
  <c r="AI37" i="3"/>
  <c r="AI39" i="3" s="1"/>
  <c r="AI41" i="3" s="1"/>
  <c r="AI59" i="3"/>
  <c r="AI61" i="3" s="1"/>
  <c r="AI63" i="3" s="1"/>
  <c r="AI74" i="3" s="1"/>
  <c r="AH65" i="1" s="1"/>
  <c r="V19" i="3"/>
  <c r="V20" i="3" s="1"/>
  <c r="U22" i="3"/>
  <c r="U27" i="3"/>
  <c r="U31" i="3" s="1"/>
  <c r="U29" i="3"/>
  <c r="T12" i="1" s="1"/>
  <c r="T9" i="1"/>
  <c r="V86" i="3"/>
  <c r="U88" i="3"/>
  <c r="U98" i="3"/>
  <c r="T10" i="1" s="1"/>
  <c r="T90" i="3"/>
  <c r="T96" i="3"/>
  <c r="U43" i="3"/>
  <c r="U44" i="3" s="1"/>
  <c r="T49" i="3"/>
  <c r="T53" i="3" s="1"/>
  <c r="S31" i="1" s="1"/>
  <c r="T51" i="3"/>
  <c r="R13" i="1"/>
  <c r="L7" i="1"/>
  <c r="T32" i="3"/>
  <c r="S9" i="1"/>
  <c r="R15" i="1"/>
  <c r="M29" i="1"/>
  <c r="R56" i="3"/>
  <c r="T99" i="3"/>
  <c r="S15" i="1" s="1"/>
  <c r="T97" i="3"/>
  <c r="S10" i="1"/>
  <c r="S53" i="3"/>
  <c r="R14" i="2"/>
  <c r="G35" i="1"/>
  <c r="G126" i="1" s="1"/>
  <c r="G128" i="1" s="1"/>
  <c r="AO62" i="1"/>
  <c r="Z61" i="1"/>
  <c r="AO61" i="1" s="1"/>
  <c r="AC62" i="1"/>
  <c r="H17" i="1"/>
  <c r="H21" i="1"/>
  <c r="L34" i="5"/>
  <c r="M24" i="5"/>
  <c r="M27" i="5" s="1"/>
  <c r="AE68" i="1"/>
  <c r="Y5" i="5"/>
  <c r="L9" i="3"/>
  <c r="L78" i="3"/>
  <c r="L10" i="3" s="1"/>
  <c r="R34" i="3"/>
  <c r="S103" i="3"/>
  <c r="R90" i="1"/>
  <c r="M77" i="3"/>
  <c r="L89" i="1"/>
  <c r="L131" i="1" s="1"/>
  <c r="S55" i="3"/>
  <c r="R88" i="1"/>
  <c r="R87" i="1"/>
  <c r="R129" i="1" s="1"/>
  <c r="S33" i="3"/>
  <c r="T103" i="3"/>
  <c r="S90" i="1"/>
  <c r="K17" i="2"/>
  <c r="S9" i="2"/>
  <c r="AI32" i="7"/>
  <c r="AI31" i="7" s="1"/>
  <c r="Q16" i="2"/>
  <c r="L15" i="2"/>
  <c r="L12" i="2" s="1"/>
  <c r="L21" i="2" s="1"/>
  <c r="R13" i="2"/>
  <c r="U20" i="7"/>
  <c r="U19" i="7" s="1"/>
  <c r="S8" i="2"/>
  <c r="AK24" i="4"/>
  <c r="AJ155" i="6"/>
  <c r="AJ157" i="6" s="1"/>
  <c r="AJ159" i="6" s="1"/>
  <c r="AJ161" i="6" s="1"/>
  <c r="AH52" i="6"/>
  <c r="AH56" i="6"/>
  <c r="AJ16" i="4"/>
  <c r="AI48" i="6"/>
  <c r="AI50" i="6" s="1"/>
  <c r="U26" i="7"/>
  <c r="U25" i="7" s="1"/>
  <c r="AG68" i="6"/>
  <c r="AF25" i="1" s="1"/>
  <c r="AF139" i="1" s="1"/>
  <c r="AH66" i="6"/>
  <c r="AH70" i="6"/>
  <c r="AG49" i="1" s="1"/>
  <c r="AI62" i="6"/>
  <c r="AI64" i="6" s="1"/>
  <c r="AJ77" i="7" s="1"/>
  <c r="AJ75" i="7" s="1"/>
  <c r="AJ17" i="4"/>
  <c r="AL62" i="5"/>
  <c r="AL37" i="5"/>
  <c r="AL19" i="5"/>
  <c r="AM12" i="4"/>
  <c r="AK13" i="4"/>
  <c r="AK8" i="6" s="1"/>
  <c r="AG51" i="5"/>
  <c r="AG76" i="5"/>
  <c r="AH66" i="5"/>
  <c r="AH76" i="5" s="1"/>
  <c r="AH83" i="5" s="1"/>
  <c r="AH23" i="5"/>
  <c r="AI64" i="5"/>
  <c r="AI39" i="5"/>
  <c r="AI21" i="5"/>
  <c r="AH12" i="6"/>
  <c r="AH14" i="6" s="1"/>
  <c r="AI10" i="6"/>
  <c r="AI12" i="6" s="1"/>
  <c r="AI14" i="6" s="1"/>
  <c r="AJ10" i="4"/>
  <c r="J70" i="5"/>
  <c r="J80" i="5" s="1"/>
  <c r="J45" i="5"/>
  <c r="V30" i="7"/>
  <c r="V29" i="7" s="1"/>
  <c r="R16" i="2"/>
  <c r="X5" i="3"/>
  <c r="AE136" i="1" l="1"/>
  <c r="AE73" i="1"/>
  <c r="AE67" i="1"/>
  <c r="AF118" i="3"/>
  <c r="AF120" i="3" s="1"/>
  <c r="AF27" i="2"/>
  <c r="AG93" i="6"/>
  <c r="AH92" i="6"/>
  <c r="AG98" i="1"/>
  <c r="AI90" i="6"/>
  <c r="AH77" i="1" s="1"/>
  <c r="AJ90" i="7"/>
  <c r="AJ87" i="7" s="1"/>
  <c r="AI73" i="6"/>
  <c r="AH97" i="1"/>
  <c r="J55" i="5"/>
  <c r="J9" i="5" s="1"/>
  <c r="J8" i="5"/>
  <c r="K40" i="7" s="1"/>
  <c r="K38" i="7" s="1"/>
  <c r="AE133" i="1"/>
  <c r="N45" i="1"/>
  <c r="AN47" i="1"/>
  <c r="O71" i="3"/>
  <c r="O75" i="3" s="1"/>
  <c r="N32" i="1" s="1"/>
  <c r="P65" i="3"/>
  <c r="O73" i="3"/>
  <c r="T30" i="1"/>
  <c r="U32" i="3"/>
  <c r="Y8" i="7"/>
  <c r="W20" i="2" s="1"/>
  <c r="Z52" i="7"/>
  <c r="U18" i="2"/>
  <c r="V19" i="2"/>
  <c r="AC45" i="7"/>
  <c r="AF73" i="1"/>
  <c r="AG30" i="2"/>
  <c r="AI91" i="6"/>
  <c r="AH119" i="1" s="1"/>
  <c r="AI72" i="6"/>
  <c r="AH118" i="1" s="1"/>
  <c r="U97" i="3"/>
  <c r="U99" i="3"/>
  <c r="T15" i="1" s="1"/>
  <c r="AG28" i="2"/>
  <c r="AI57" i="6"/>
  <c r="AH117" i="1" s="1"/>
  <c r="AD61" i="1"/>
  <c r="AF70" i="1"/>
  <c r="AF141" i="1" s="1"/>
  <c r="AG104" i="6"/>
  <c r="AF37" i="1"/>
  <c r="AH71" i="1"/>
  <c r="AH146" i="1" s="1"/>
  <c r="AI165" i="6"/>
  <c r="AF24" i="1"/>
  <c r="AF138" i="1" s="1"/>
  <c r="AG37" i="1"/>
  <c r="AJ163" i="6"/>
  <c r="AI55" i="1"/>
  <c r="AG76" i="1"/>
  <c r="AH68" i="6"/>
  <c r="AG29" i="2"/>
  <c r="AG43" i="1"/>
  <c r="AH43" i="1"/>
  <c r="AH102" i="6"/>
  <c r="AG70" i="1" s="1"/>
  <c r="AG141" i="1" s="1"/>
  <c r="AI100" i="6"/>
  <c r="V41" i="1"/>
  <c r="W92" i="1"/>
  <c r="X130" i="3"/>
  <c r="X131" i="3" s="1"/>
  <c r="W42" i="1"/>
  <c r="W134" i="1" s="1"/>
  <c r="Y123" i="3"/>
  <c r="Y125" i="3" s="1"/>
  <c r="Y127" i="3" s="1"/>
  <c r="Y129" i="3" s="1"/>
  <c r="Z34" i="7"/>
  <c r="Z33" i="7" s="1"/>
  <c r="Z11" i="4"/>
  <c r="AK18" i="4"/>
  <c r="AJ77" i="6"/>
  <c r="AJ79" i="6" s="1"/>
  <c r="AI88" i="6"/>
  <c r="AH19" i="1" s="1"/>
  <c r="AI81" i="6"/>
  <c r="AI85" i="6" s="1"/>
  <c r="AI87" i="6"/>
  <c r="AH50" i="1" s="1"/>
  <c r="AH85" i="6"/>
  <c r="AK19" i="4"/>
  <c r="AJ96" i="6"/>
  <c r="AJ98" i="6" s="1"/>
  <c r="AK20" i="4"/>
  <c r="AJ107" i="6"/>
  <c r="AJ109" i="6" s="1"/>
  <c r="AJ113" i="6" s="1"/>
  <c r="AI78" i="1" s="1"/>
  <c r="AI111" i="6"/>
  <c r="AH51" i="1" s="1"/>
  <c r="AH142" i="1" s="1"/>
  <c r="AG117" i="3"/>
  <c r="AF48" i="1"/>
  <c r="AF34" i="1"/>
  <c r="AH117" i="3"/>
  <c r="AG67" i="1" s="1"/>
  <c r="AG48" i="1"/>
  <c r="AH118" i="3"/>
  <c r="AG34" i="1"/>
  <c r="AI50" i="3"/>
  <c r="AH46" i="1" s="1"/>
  <c r="AI52" i="3"/>
  <c r="AH64" i="1" s="1"/>
  <c r="S8" i="1"/>
  <c r="AH115" i="6"/>
  <c r="R33" i="1"/>
  <c r="R132" i="1" s="1"/>
  <c r="S102" i="3"/>
  <c r="S104" i="3" s="1"/>
  <c r="AI111" i="3"/>
  <c r="AJ32" i="7"/>
  <c r="AJ31" i="7" s="1"/>
  <c r="R31" i="1"/>
  <c r="R130" i="1" s="1"/>
  <c r="S54" i="3"/>
  <c r="S56" i="3" s="1"/>
  <c r="AJ81" i="3"/>
  <c r="AJ83" i="3" s="1"/>
  <c r="AJ85" i="3" s="1"/>
  <c r="AJ100" i="3" s="1"/>
  <c r="AI66" i="1" s="1"/>
  <c r="AJ107" i="3"/>
  <c r="AJ109" i="3" s="1"/>
  <c r="AJ13" i="3"/>
  <c r="AJ15" i="3" s="1"/>
  <c r="AJ17" i="3" s="1"/>
  <c r="AJ30" i="3" s="1"/>
  <c r="AI63" i="1" s="1"/>
  <c r="AJ37" i="3"/>
  <c r="AJ39" i="3" s="1"/>
  <c r="AJ41" i="3" s="1"/>
  <c r="AJ59" i="3"/>
  <c r="AJ61" i="3" s="1"/>
  <c r="AJ63" i="3" s="1"/>
  <c r="AJ74" i="3" s="1"/>
  <c r="AI65" i="1" s="1"/>
  <c r="V27" i="3"/>
  <c r="V31" i="3" s="1"/>
  <c r="U30" i="1" s="1"/>
  <c r="W19" i="3"/>
  <c r="W20" i="3" s="1"/>
  <c r="W28" i="3" s="1"/>
  <c r="V22" i="3"/>
  <c r="V88" i="3"/>
  <c r="V97" i="3" s="1"/>
  <c r="W86" i="3"/>
  <c r="V98" i="3"/>
  <c r="U10" i="1" s="1"/>
  <c r="V99" i="3"/>
  <c r="U15" i="1" s="1"/>
  <c r="U90" i="3"/>
  <c r="U96" i="3"/>
  <c r="V43" i="3"/>
  <c r="V44" i="3" s="1"/>
  <c r="U49" i="3"/>
  <c r="U53" i="3" s="1"/>
  <c r="T31" i="1" s="1"/>
  <c r="U51" i="3"/>
  <c r="T54" i="3"/>
  <c r="S13" i="1"/>
  <c r="T8" i="1"/>
  <c r="T101" i="3"/>
  <c r="V28" i="3"/>
  <c r="V29" i="3"/>
  <c r="U12" i="1" s="1"/>
  <c r="AC61" i="1"/>
  <c r="H16" i="1"/>
  <c r="N26" i="5"/>
  <c r="M31" i="5"/>
  <c r="M32" i="5"/>
  <c r="AE62" i="1"/>
  <c r="AE61" i="1" s="1"/>
  <c r="Z5" i="5"/>
  <c r="M9" i="3"/>
  <c r="M78" i="3"/>
  <c r="M10" i="3" s="1"/>
  <c r="S34" i="3"/>
  <c r="AG91" i="1"/>
  <c r="AH119" i="3"/>
  <c r="S87" i="1"/>
  <c r="S129" i="1" s="1"/>
  <c r="T33" i="3"/>
  <c r="T55" i="3"/>
  <c r="S88" i="1"/>
  <c r="U103" i="3"/>
  <c r="T90" i="1"/>
  <c r="AP115" i="3"/>
  <c r="T9" i="2"/>
  <c r="V26" i="7"/>
  <c r="V25" i="7" s="1"/>
  <c r="L17" i="2"/>
  <c r="S14" i="2"/>
  <c r="S11" i="2"/>
  <c r="M10" i="2"/>
  <c r="M7" i="2" s="1"/>
  <c r="O28" i="7"/>
  <c r="O27" i="7" s="1"/>
  <c r="S13" i="2"/>
  <c r="V20" i="7"/>
  <c r="V19" i="7" s="1"/>
  <c r="T8" i="2"/>
  <c r="AL24" i="4"/>
  <c r="AK155" i="6"/>
  <c r="AK157" i="6" s="1"/>
  <c r="AK159" i="6" s="1"/>
  <c r="AK161" i="6" s="1"/>
  <c r="AH54" i="6"/>
  <c r="AH59" i="6" s="1"/>
  <c r="AK16" i="4"/>
  <c r="AJ48" i="6"/>
  <c r="AJ50" i="6" s="1"/>
  <c r="AI56" i="6"/>
  <c r="AI52" i="6"/>
  <c r="AG71" i="6"/>
  <c r="AG74" i="6" s="1"/>
  <c r="AI66" i="6"/>
  <c r="AJ72" i="6" s="1"/>
  <c r="AI118" i="1" s="1"/>
  <c r="AI70" i="6"/>
  <c r="AH49" i="1" s="1"/>
  <c r="AJ62" i="6"/>
  <c r="AJ64" i="6" s="1"/>
  <c r="AK77" i="7" s="1"/>
  <c r="AK75" i="7" s="1"/>
  <c r="AK17" i="4"/>
  <c r="AM62" i="5"/>
  <c r="AM19" i="5"/>
  <c r="AM37" i="5"/>
  <c r="AQ12" i="4"/>
  <c r="AL13" i="4"/>
  <c r="AL8" i="6" s="1"/>
  <c r="AG58" i="5"/>
  <c r="AG83" i="5"/>
  <c r="AH33" i="5"/>
  <c r="AH12" i="5" s="1"/>
  <c r="AG68" i="1" s="1"/>
  <c r="AI41" i="5"/>
  <c r="AI66" i="5"/>
  <c r="AI23" i="5"/>
  <c r="AI33" i="5" s="1"/>
  <c r="AJ64" i="5"/>
  <c r="AJ66" i="5" s="1"/>
  <c r="AJ76" i="5" s="1"/>
  <c r="AJ39" i="5"/>
  <c r="AJ41" i="5" s="1"/>
  <c r="AJ51" i="5" s="1"/>
  <c r="AJ58" i="5" s="1"/>
  <c r="AJ21" i="5"/>
  <c r="AH16" i="6"/>
  <c r="AI16" i="6"/>
  <c r="AJ10" i="6"/>
  <c r="AK10" i="4"/>
  <c r="K69" i="5"/>
  <c r="J74" i="5"/>
  <c r="J81" i="5" s="1"/>
  <c r="J75" i="5"/>
  <c r="J82" i="5" s="1"/>
  <c r="J49" i="5"/>
  <c r="J56" i="5" s="1"/>
  <c r="J10" i="5" s="1"/>
  <c r="K44" i="5"/>
  <c r="J50" i="5"/>
  <c r="J57" i="5" s="1"/>
  <c r="J11" i="5" s="1"/>
  <c r="T11" i="2"/>
  <c r="Y5" i="3"/>
  <c r="I32" i="2" l="1"/>
  <c r="I31" i="2" s="1"/>
  <c r="I24" i="2" s="1"/>
  <c r="I34" i="2" s="1"/>
  <c r="K13" i="5"/>
  <c r="AG27" i="2"/>
  <c r="AH93" i="6"/>
  <c r="AI92" i="6"/>
  <c r="AH98" i="1"/>
  <c r="AN45" i="1"/>
  <c r="N40" i="1"/>
  <c r="AJ90" i="6"/>
  <c r="AI77" i="1" s="1"/>
  <c r="AK90" i="7"/>
  <c r="AK87" i="7" s="1"/>
  <c r="AJ73" i="6"/>
  <c r="AI97" i="1"/>
  <c r="K7" i="7"/>
  <c r="K10" i="7" s="1"/>
  <c r="J15" i="5"/>
  <c r="I93" i="1"/>
  <c r="S130" i="1"/>
  <c r="AG133" i="1"/>
  <c r="P66" i="3"/>
  <c r="P72" i="3"/>
  <c r="O76" i="3"/>
  <c r="O8" i="3" s="1"/>
  <c r="N14" i="1"/>
  <c r="U101" i="3"/>
  <c r="N29" i="1"/>
  <c r="AN29" i="1" s="1"/>
  <c r="AN32" i="1"/>
  <c r="Z8" i="7"/>
  <c r="X20" i="2" s="1"/>
  <c r="AA52" i="7"/>
  <c r="V18" i="2"/>
  <c r="W19" i="2"/>
  <c r="AD45" i="7"/>
  <c r="AH30" i="2"/>
  <c r="AJ91" i="6"/>
  <c r="AI119" i="1" s="1"/>
  <c r="J116" i="1"/>
  <c r="J115" i="1" s="1"/>
  <c r="J114" i="1" s="1"/>
  <c r="AH120" i="3"/>
  <c r="AG26" i="1"/>
  <c r="AG140" i="1" s="1"/>
  <c r="AH29" i="2"/>
  <c r="AJ57" i="6"/>
  <c r="AI117" i="1" s="1"/>
  <c r="AG24" i="1"/>
  <c r="AG138" i="1" s="1"/>
  <c r="AG74" i="1"/>
  <c r="AG136" i="1" s="1"/>
  <c r="AH18" i="6"/>
  <c r="AF67" i="1"/>
  <c r="AF133" i="1" s="1"/>
  <c r="AG118" i="3"/>
  <c r="AG120" i="3" s="1"/>
  <c r="AI71" i="1"/>
  <c r="AI146" i="1" s="1"/>
  <c r="AJ165" i="6"/>
  <c r="AG25" i="1"/>
  <c r="AG139" i="1" s="1"/>
  <c r="AH71" i="6"/>
  <c r="AH74" i="6" s="1"/>
  <c r="AI102" i="6"/>
  <c r="AH38" i="1"/>
  <c r="AH26" i="1"/>
  <c r="AH140" i="1" s="1"/>
  <c r="AK163" i="6"/>
  <c r="AJ55" i="1"/>
  <c r="AH74" i="1"/>
  <c r="AH136" i="1" s="1"/>
  <c r="AI18" i="6"/>
  <c r="AH76" i="1"/>
  <c r="AI54" i="6"/>
  <c r="AI59" i="6" s="1"/>
  <c r="AH28" i="2"/>
  <c r="AH27" i="2" s="1"/>
  <c r="AH104" i="6"/>
  <c r="AJ100" i="6"/>
  <c r="AI38" i="1" s="1"/>
  <c r="AI115" i="6"/>
  <c r="AG62" i="1"/>
  <c r="T56" i="3"/>
  <c r="AI119" i="3"/>
  <c r="AH91" i="1"/>
  <c r="AJ111" i="3"/>
  <c r="AK32" i="7"/>
  <c r="AK31" i="7" s="1"/>
  <c r="W41" i="1"/>
  <c r="X42" i="1"/>
  <c r="X134" i="1" s="1"/>
  <c r="Y130" i="3"/>
  <c r="Y131" i="3" s="1"/>
  <c r="X92" i="1"/>
  <c r="AA34" i="7"/>
  <c r="AA33" i="7" s="1"/>
  <c r="Z123" i="3"/>
  <c r="Z125" i="3" s="1"/>
  <c r="Z127" i="3" s="1"/>
  <c r="Z129" i="3" s="1"/>
  <c r="AA11" i="4"/>
  <c r="AK77" i="6"/>
  <c r="AK79" i="6" s="1"/>
  <c r="AL18" i="4"/>
  <c r="AJ88" i="6"/>
  <c r="AI19" i="1" s="1"/>
  <c r="AJ87" i="6"/>
  <c r="AI50" i="1" s="1"/>
  <c r="AJ81" i="6"/>
  <c r="AL19" i="4"/>
  <c r="AK96" i="6"/>
  <c r="AK98" i="6" s="1"/>
  <c r="AL20" i="4"/>
  <c r="AK107" i="6"/>
  <c r="AK109" i="6" s="1"/>
  <c r="AK113" i="6" s="1"/>
  <c r="AJ78" i="1" s="1"/>
  <c r="AJ111" i="6"/>
  <c r="AI51" i="1" s="1"/>
  <c r="AI142" i="1" s="1"/>
  <c r="AI116" i="3"/>
  <c r="AI115" i="3"/>
  <c r="AJ52" i="3"/>
  <c r="AI64" i="1" s="1"/>
  <c r="AJ50" i="3"/>
  <c r="AI46" i="1" s="1"/>
  <c r="AG12" i="5"/>
  <c r="AK81" i="3"/>
  <c r="AK83" i="3" s="1"/>
  <c r="AK85" i="3" s="1"/>
  <c r="AK100" i="3" s="1"/>
  <c r="AJ66" i="1" s="1"/>
  <c r="AK13" i="3"/>
  <c r="AK15" i="3" s="1"/>
  <c r="AK17" i="3" s="1"/>
  <c r="AK30" i="3" s="1"/>
  <c r="AJ63" i="1" s="1"/>
  <c r="AK37" i="3"/>
  <c r="AK39" i="3" s="1"/>
  <c r="AK41" i="3" s="1"/>
  <c r="AK59" i="3"/>
  <c r="AK61" i="3" s="1"/>
  <c r="AK63" i="3" s="1"/>
  <c r="AK74" i="3" s="1"/>
  <c r="AJ65" i="1" s="1"/>
  <c r="AK107" i="3"/>
  <c r="AK109" i="3" s="1"/>
  <c r="V9" i="1"/>
  <c r="W22" i="3"/>
  <c r="W27" i="3"/>
  <c r="W31" i="3" s="1"/>
  <c r="V30" i="1" s="1"/>
  <c r="X19" i="3"/>
  <c r="X20" i="3" s="1"/>
  <c r="X28" i="3" s="1"/>
  <c r="W29" i="3"/>
  <c r="V90" i="3"/>
  <c r="V96" i="3"/>
  <c r="V101" i="3" s="1"/>
  <c r="X86" i="3"/>
  <c r="W88" i="3"/>
  <c r="W98" i="3"/>
  <c r="V49" i="3"/>
  <c r="V53" i="3" s="1"/>
  <c r="U31" i="1" s="1"/>
  <c r="W43" i="3"/>
  <c r="W44" i="3" s="1"/>
  <c r="V51" i="3"/>
  <c r="T13" i="1"/>
  <c r="U54" i="3"/>
  <c r="T102" i="3"/>
  <c r="S33" i="1"/>
  <c r="S132" i="1" s="1"/>
  <c r="U9" i="1"/>
  <c r="V32" i="3"/>
  <c r="H28" i="1"/>
  <c r="M34" i="5"/>
  <c r="N24" i="5"/>
  <c r="N27" i="5" s="1"/>
  <c r="I18" i="1"/>
  <c r="I22" i="1"/>
  <c r="AA5" i="5"/>
  <c r="T34" i="3"/>
  <c r="U55" i="3"/>
  <c r="T88" i="1"/>
  <c r="N77" i="3"/>
  <c r="M89" i="1"/>
  <c r="M131" i="1" s="1"/>
  <c r="U33" i="3"/>
  <c r="T87" i="1"/>
  <c r="T129" i="1" s="1"/>
  <c r="AP118" i="3"/>
  <c r="AP120" i="3"/>
  <c r="U9" i="2"/>
  <c r="W26" i="7"/>
  <c r="W25" i="7" s="1"/>
  <c r="T14" i="2"/>
  <c r="W30" i="7"/>
  <c r="W29" i="7" s="1"/>
  <c r="S16" i="2"/>
  <c r="M15" i="2"/>
  <c r="M12" i="2" s="1"/>
  <c r="M21" i="2" s="1"/>
  <c r="T13" i="2"/>
  <c r="W20" i="7"/>
  <c r="W19" i="7" s="1"/>
  <c r="U8" i="2"/>
  <c r="AL155" i="6"/>
  <c r="AL157" i="6" s="1"/>
  <c r="AL159" i="6" s="1"/>
  <c r="AL161" i="6" s="1"/>
  <c r="AM24" i="4"/>
  <c r="AL16" i="4"/>
  <c r="AK48" i="6"/>
  <c r="AK50" i="6" s="1"/>
  <c r="AJ56" i="6"/>
  <c r="AJ52" i="6"/>
  <c r="AI68" i="6"/>
  <c r="AH25" i="1" s="1"/>
  <c r="AH139" i="1" s="1"/>
  <c r="AJ66" i="6"/>
  <c r="AJ70" i="6"/>
  <c r="AI49" i="1" s="1"/>
  <c r="AK62" i="6"/>
  <c r="AK64" i="6" s="1"/>
  <c r="AL77" i="7" s="1"/>
  <c r="AL75" i="7" s="1"/>
  <c r="AL17" i="4"/>
  <c r="AM13" i="4"/>
  <c r="AM8" i="6" s="1"/>
  <c r="AI51" i="5"/>
  <c r="AI76" i="5"/>
  <c r="AI83" i="5" s="1"/>
  <c r="AJ83" i="5"/>
  <c r="AJ23" i="5"/>
  <c r="AK64" i="5"/>
  <c r="AK39" i="5"/>
  <c r="AK21" i="5"/>
  <c r="AJ12" i="6"/>
  <c r="AJ14" i="6" s="1"/>
  <c r="AK10" i="6"/>
  <c r="AK12" i="6" s="1"/>
  <c r="AK14" i="6" s="1"/>
  <c r="AL10" i="4"/>
  <c r="K67" i="5"/>
  <c r="J77" i="5"/>
  <c r="J84" i="5" s="1"/>
  <c r="J52" i="5"/>
  <c r="J59" i="5" s="1"/>
  <c r="K42" i="5"/>
  <c r="X30" i="7"/>
  <c r="X29" i="7" s="1"/>
  <c r="U11" i="2"/>
  <c r="AO72" i="3"/>
  <c r="AO65" i="3"/>
  <c r="Z5" i="3"/>
  <c r="AI93" i="6" l="1"/>
  <c r="AJ92" i="6"/>
  <c r="AI98" i="1"/>
  <c r="AN40" i="1"/>
  <c r="N83" i="1"/>
  <c r="AN83" i="1" s="1"/>
  <c r="AK90" i="6"/>
  <c r="AJ77" i="1" s="1"/>
  <c r="AL90" i="7"/>
  <c r="AL87" i="7" s="1"/>
  <c r="AK73" i="6"/>
  <c r="AJ97" i="1"/>
  <c r="I135" i="1"/>
  <c r="I86" i="1"/>
  <c r="I85" i="1" s="1"/>
  <c r="J14" i="5"/>
  <c r="J16" i="5" s="1"/>
  <c r="T130" i="1"/>
  <c r="P71" i="3"/>
  <c r="P75" i="3" s="1"/>
  <c r="O32" i="1" s="1"/>
  <c r="O29" i="1" s="1"/>
  <c r="Q65" i="3"/>
  <c r="P73" i="3"/>
  <c r="O14" i="1" s="1"/>
  <c r="P76" i="3"/>
  <c r="P8" i="3" s="1"/>
  <c r="O47" i="1"/>
  <c r="O45" i="1" s="1"/>
  <c r="O40" i="1" s="1"/>
  <c r="O83" i="1" s="1"/>
  <c r="AN14" i="1"/>
  <c r="N11" i="1"/>
  <c r="U102" i="3"/>
  <c r="U104" i="3" s="1"/>
  <c r="T33" i="1"/>
  <c r="T132" i="1" s="1"/>
  <c r="U8" i="1"/>
  <c r="AA8" i="7"/>
  <c r="Y20" i="2" s="1"/>
  <c r="AB52" i="7"/>
  <c r="AQ52" i="7" s="1"/>
  <c r="W18" i="2"/>
  <c r="X19" i="2"/>
  <c r="AE45" i="7"/>
  <c r="AI30" i="2"/>
  <c r="AK91" i="6"/>
  <c r="AJ119" i="1" s="1"/>
  <c r="AK72" i="6"/>
  <c r="AJ118" i="1" s="1"/>
  <c r="AF68" i="1"/>
  <c r="AF62" i="1" s="1"/>
  <c r="AI28" i="2"/>
  <c r="AK57" i="6"/>
  <c r="AJ117" i="1" s="1"/>
  <c r="AG73" i="1"/>
  <c r="AG61" i="1" s="1"/>
  <c r="AH73" i="1"/>
  <c r="AH70" i="1"/>
  <c r="AH141" i="1" s="1"/>
  <c r="AI104" i="6"/>
  <c r="AH37" i="1"/>
  <c r="AJ71" i="1"/>
  <c r="AJ146" i="1" s="1"/>
  <c r="AK165" i="6"/>
  <c r="AH24" i="1"/>
  <c r="AH138" i="1" s="1"/>
  <c r="AI37" i="1"/>
  <c r="AL163" i="6"/>
  <c r="AK55" i="1"/>
  <c r="AI76" i="1"/>
  <c r="AJ68" i="6"/>
  <c r="AI29" i="2"/>
  <c r="AI43" i="1"/>
  <c r="AJ43" i="1"/>
  <c r="AJ102" i="6"/>
  <c r="AI70" i="1" s="1"/>
  <c r="AI141" i="1" s="1"/>
  <c r="AK100" i="6"/>
  <c r="AJ115" i="6"/>
  <c r="AJ116" i="3"/>
  <c r="AJ115" i="3"/>
  <c r="AI91" i="1"/>
  <c r="AJ119" i="3"/>
  <c r="AK111" i="3"/>
  <c r="AL32" i="7"/>
  <c r="AL31" i="7" s="1"/>
  <c r="X41" i="1"/>
  <c r="Y92" i="1"/>
  <c r="Z130" i="3"/>
  <c r="Z131" i="3" s="1"/>
  <c r="Y42" i="1"/>
  <c r="Y134" i="1" s="1"/>
  <c r="AB34" i="7"/>
  <c r="AB33" i="7" s="1"/>
  <c r="AQ33" i="7" s="1"/>
  <c r="AA123" i="3"/>
  <c r="AA125" i="3" s="1"/>
  <c r="AA127" i="3" s="1"/>
  <c r="AA129" i="3" s="1"/>
  <c r="AP11" i="4"/>
  <c r="AB11" i="4"/>
  <c r="AK88" i="6"/>
  <c r="AJ19" i="1" s="1"/>
  <c r="AK81" i="6"/>
  <c r="AL91" i="6" s="1"/>
  <c r="AK119" i="1" s="1"/>
  <c r="AK87" i="6"/>
  <c r="AJ50" i="1" s="1"/>
  <c r="AM18" i="4"/>
  <c r="AL77" i="6"/>
  <c r="AL79" i="6" s="1"/>
  <c r="AJ85" i="6"/>
  <c r="AJ93" i="6" s="1"/>
  <c r="AM19" i="4"/>
  <c r="AL96" i="6"/>
  <c r="AL98" i="6" s="1"/>
  <c r="AM20" i="4"/>
  <c r="AL107" i="6"/>
  <c r="AL109" i="6" s="1"/>
  <c r="AL113" i="6" s="1"/>
  <c r="AK78" i="1" s="1"/>
  <c r="AK111" i="6"/>
  <c r="AJ51" i="1" s="1"/>
  <c r="AJ142" i="1" s="1"/>
  <c r="AI117" i="3"/>
  <c r="AH67" i="1" s="1"/>
  <c r="AH48" i="1"/>
  <c r="AI118" i="3"/>
  <c r="AI120" i="3" s="1"/>
  <c r="AH34" i="1"/>
  <c r="AK50" i="3"/>
  <c r="AJ46" i="1" s="1"/>
  <c r="AK52" i="3"/>
  <c r="AJ64" i="1" s="1"/>
  <c r="U56" i="3"/>
  <c r="AL81" i="3"/>
  <c r="AL83" i="3" s="1"/>
  <c r="AL85" i="3" s="1"/>
  <c r="AL100" i="3" s="1"/>
  <c r="AK66" i="1" s="1"/>
  <c r="AL107" i="3"/>
  <c r="AL109" i="3" s="1"/>
  <c r="AL111" i="3" s="1"/>
  <c r="AL13" i="3"/>
  <c r="AL15" i="3" s="1"/>
  <c r="AL17" i="3" s="1"/>
  <c r="AL30" i="3" s="1"/>
  <c r="AK63" i="1" s="1"/>
  <c r="AL37" i="3"/>
  <c r="AL39" i="3" s="1"/>
  <c r="AL41" i="3" s="1"/>
  <c r="AL59" i="3"/>
  <c r="AL61" i="3" s="1"/>
  <c r="AL63" i="3" s="1"/>
  <c r="AL74" i="3" s="1"/>
  <c r="AK65" i="1" s="1"/>
  <c r="X27" i="3"/>
  <c r="X31" i="3" s="1"/>
  <c r="Y19" i="3"/>
  <c r="Y20" i="3" s="1"/>
  <c r="X22" i="3"/>
  <c r="X29" i="3"/>
  <c r="W12" i="1" s="1"/>
  <c r="W9" i="1"/>
  <c r="V102" i="3"/>
  <c r="U33" i="1"/>
  <c r="Y86" i="3"/>
  <c r="X88" i="3"/>
  <c r="X98" i="3"/>
  <c r="W10" i="1" s="1"/>
  <c r="W90" i="3"/>
  <c r="W96" i="3"/>
  <c r="V10" i="1"/>
  <c r="W49" i="3"/>
  <c r="W53" i="3" s="1"/>
  <c r="V31" i="1" s="1"/>
  <c r="X43" i="3"/>
  <c r="X44" i="3" s="1"/>
  <c r="W51" i="3"/>
  <c r="V54" i="3"/>
  <c r="U13" i="1"/>
  <c r="T104" i="3"/>
  <c r="V12" i="1"/>
  <c r="W32" i="3"/>
  <c r="W99" i="3"/>
  <c r="W97" i="3"/>
  <c r="H35" i="1"/>
  <c r="H126" i="1" s="1"/>
  <c r="H128" i="1" s="1"/>
  <c r="I17" i="1"/>
  <c r="I21" i="1"/>
  <c r="N31" i="5"/>
  <c r="N32" i="5"/>
  <c r="O26" i="5"/>
  <c r="AO26" i="5" s="1"/>
  <c r="AB5" i="5"/>
  <c r="N9" i="3"/>
  <c r="N78" i="3"/>
  <c r="N10" i="3" s="1"/>
  <c r="U34" i="3"/>
  <c r="V55" i="3"/>
  <c r="U88" i="1"/>
  <c r="V103" i="3"/>
  <c r="U90" i="1"/>
  <c r="U87" i="1"/>
  <c r="U129" i="1" s="1"/>
  <c r="V33" i="3"/>
  <c r="W103" i="3"/>
  <c r="V90" i="1"/>
  <c r="T16" i="2"/>
  <c r="M17" i="2"/>
  <c r="V9" i="2"/>
  <c r="X26" i="7"/>
  <c r="X25" i="7" s="1"/>
  <c r="U14" i="2"/>
  <c r="N10" i="2"/>
  <c r="P28" i="7"/>
  <c r="P27" i="7" s="1"/>
  <c r="U13" i="2"/>
  <c r="X20" i="7"/>
  <c r="X19" i="7" s="1"/>
  <c r="V8" i="2"/>
  <c r="AM155" i="6"/>
  <c r="AL48" i="6"/>
  <c r="AL50" i="6" s="1"/>
  <c r="AM16" i="4"/>
  <c r="AK56" i="6"/>
  <c r="AK52" i="6"/>
  <c r="AL57" i="6" s="1"/>
  <c r="AK117" i="1" s="1"/>
  <c r="AJ54" i="6"/>
  <c r="AI71" i="6"/>
  <c r="AI74" i="6" s="1"/>
  <c r="AK66" i="6"/>
  <c r="AK70" i="6"/>
  <c r="AJ49" i="1" s="1"/>
  <c r="AL62" i="6"/>
  <c r="AL64" i="6" s="1"/>
  <c r="AM77" i="7" s="1"/>
  <c r="AM75" i="7" s="1"/>
  <c r="AM17" i="4"/>
  <c r="AM62" i="6" s="1"/>
  <c r="AQ9" i="4"/>
  <c r="AQ13" i="4"/>
  <c r="AI58" i="5"/>
  <c r="AI12" i="5" s="1"/>
  <c r="AJ33" i="5"/>
  <c r="AJ12" i="5" s="1"/>
  <c r="AI68" i="1" s="1"/>
  <c r="AK66" i="5"/>
  <c r="AK41" i="5"/>
  <c r="AK23" i="5"/>
  <c r="AK33" i="5" s="1"/>
  <c r="AL21" i="5"/>
  <c r="AL23" i="5" s="1"/>
  <c r="AL64" i="5"/>
  <c r="AL39" i="5"/>
  <c r="AJ16" i="6"/>
  <c r="AK16" i="6"/>
  <c r="AL10" i="6"/>
  <c r="AM10" i="4"/>
  <c r="K70" i="5"/>
  <c r="K80" i="5" s="1"/>
  <c r="K45" i="5"/>
  <c r="V11" i="2"/>
  <c r="AO66" i="3"/>
  <c r="N15" i="2"/>
  <c r="AA5" i="3"/>
  <c r="AK115" i="3" l="1"/>
  <c r="AK116" i="3"/>
  <c r="AK117" i="3" s="1"/>
  <c r="AI27" i="2"/>
  <c r="AK92" i="6"/>
  <c r="AJ98" i="1"/>
  <c r="AL90" i="6"/>
  <c r="AM90" i="7"/>
  <c r="AM87" i="7" s="1"/>
  <c r="AL73" i="6"/>
  <c r="AK97" i="1"/>
  <c r="K55" i="5"/>
  <c r="K9" i="5" s="1"/>
  <c r="K8" i="5"/>
  <c r="L40" i="7" s="1"/>
  <c r="L38" i="7" s="1"/>
  <c r="AH133" i="1"/>
  <c r="U132" i="1"/>
  <c r="U130" i="1"/>
  <c r="O11" i="1"/>
  <c r="O7" i="1" s="1"/>
  <c r="AN11" i="1"/>
  <c r="N7" i="1"/>
  <c r="AN7" i="1" s="1"/>
  <c r="Q72" i="3"/>
  <c r="P47" i="1" s="1"/>
  <c r="P45" i="1" s="1"/>
  <c r="P40" i="1" s="1"/>
  <c r="P83" i="1" s="1"/>
  <c r="Q66" i="3"/>
  <c r="AJ117" i="3"/>
  <c r="AI67" i="1" s="1"/>
  <c r="AI62" i="1" s="1"/>
  <c r="AI48" i="1"/>
  <c r="AJ118" i="3"/>
  <c r="AJ120" i="3" s="1"/>
  <c r="AI34" i="1"/>
  <c r="V8" i="1"/>
  <c r="AB8" i="7"/>
  <c r="AC52" i="7"/>
  <c r="X18" i="2"/>
  <c r="Y19" i="2"/>
  <c r="AF45" i="7"/>
  <c r="AI74" i="1"/>
  <c r="AI136" i="1" s="1"/>
  <c r="AJ18" i="6"/>
  <c r="AJ74" i="1"/>
  <c r="AJ136" i="1" s="1"/>
  <c r="AK18" i="6"/>
  <c r="AL72" i="6"/>
  <c r="AK118" i="1" s="1"/>
  <c r="J32" i="2"/>
  <c r="J31" i="2" s="1"/>
  <c r="J24" i="2" s="1"/>
  <c r="J34" i="2" s="1"/>
  <c r="L13" i="5"/>
  <c r="AI26" i="1"/>
  <c r="AI140" i="1" s="1"/>
  <c r="AJ29" i="2"/>
  <c r="AI24" i="1"/>
  <c r="AI138" i="1" s="1"/>
  <c r="AJ59" i="6"/>
  <c r="X97" i="3"/>
  <c r="X99" i="3"/>
  <c r="AK71" i="1"/>
  <c r="AK146" i="1" s="1"/>
  <c r="AL165" i="6"/>
  <c r="AI25" i="1"/>
  <c r="AI139" i="1" s="1"/>
  <c r="AJ71" i="6"/>
  <c r="AJ74" i="6" s="1"/>
  <c r="AK102" i="6"/>
  <c r="AJ38" i="1"/>
  <c r="AK85" i="6"/>
  <c r="AK93" i="6" s="1"/>
  <c r="AJ30" i="2"/>
  <c r="N7" i="2"/>
  <c r="AN7" i="2" s="1"/>
  <c r="AN10" i="2"/>
  <c r="N12" i="2"/>
  <c r="AN15" i="2"/>
  <c r="AJ76" i="1"/>
  <c r="AK54" i="6"/>
  <c r="AK59" i="6" s="1"/>
  <c r="AJ28" i="2"/>
  <c r="AI73" i="1"/>
  <c r="AJ104" i="6"/>
  <c r="AK115" i="6"/>
  <c r="AL100" i="6"/>
  <c r="AK38" i="1" s="1"/>
  <c r="AK119" i="3"/>
  <c r="AJ91" i="1"/>
  <c r="Y41" i="1"/>
  <c r="Z92" i="1"/>
  <c r="AO92" i="1" s="1"/>
  <c r="AA130" i="3"/>
  <c r="Z42" i="1"/>
  <c r="AB123" i="3"/>
  <c r="AB125" i="3" s="1"/>
  <c r="AB127" i="3" s="1"/>
  <c r="AB129" i="3" s="1"/>
  <c r="AC34" i="7"/>
  <c r="AC33" i="7" s="1"/>
  <c r="AC11" i="4"/>
  <c r="AM77" i="6"/>
  <c r="AL81" i="6"/>
  <c r="AL88" i="6"/>
  <c r="AK19" i="1" s="1"/>
  <c r="AK77" i="1"/>
  <c r="AL87" i="6"/>
  <c r="AK50" i="1" s="1"/>
  <c r="AM96" i="6"/>
  <c r="AM107" i="6"/>
  <c r="AL111" i="6"/>
  <c r="AK51" i="1" s="1"/>
  <c r="AK142" i="1" s="1"/>
  <c r="AJ48" i="1"/>
  <c r="AJ34" i="1"/>
  <c r="AL116" i="3"/>
  <c r="AL115" i="3"/>
  <c r="AL52" i="3"/>
  <c r="AK64" i="1" s="1"/>
  <c r="AL50" i="3"/>
  <c r="AK46" i="1" s="1"/>
  <c r="W101" i="3"/>
  <c r="W30" i="1"/>
  <c r="X32" i="3"/>
  <c r="V15" i="1"/>
  <c r="AQ10" i="4"/>
  <c r="AM107" i="3"/>
  <c r="AM109" i="3" s="1"/>
  <c r="AM111" i="3" s="1"/>
  <c r="AM13" i="3"/>
  <c r="AM15" i="3" s="1"/>
  <c r="AM17" i="3" s="1"/>
  <c r="AM30" i="3" s="1"/>
  <c r="AL63" i="1" s="1"/>
  <c r="AP63" i="1" s="1"/>
  <c r="AM81" i="3"/>
  <c r="AM83" i="3" s="1"/>
  <c r="AM85" i="3" s="1"/>
  <c r="AM100" i="3" s="1"/>
  <c r="AL66" i="1" s="1"/>
  <c r="AP66" i="1" s="1"/>
  <c r="AM37" i="3"/>
  <c r="AM39" i="3" s="1"/>
  <c r="AM41" i="3" s="1"/>
  <c r="AM59" i="3"/>
  <c r="AM61" i="3" s="1"/>
  <c r="AM63" i="3" s="1"/>
  <c r="AM74" i="3" s="1"/>
  <c r="AL65" i="1" s="1"/>
  <c r="AP65" i="1" s="1"/>
  <c r="Y27" i="3"/>
  <c r="Y31" i="3" s="1"/>
  <c r="X30" i="1" s="1"/>
  <c r="Z19" i="3"/>
  <c r="Z20" i="3" s="1"/>
  <c r="Y22" i="3"/>
  <c r="Z86" i="3"/>
  <c r="Y88" i="3"/>
  <c r="Y97" i="3" s="1"/>
  <c r="Y98" i="3"/>
  <c r="Y99" i="3"/>
  <c r="X15" i="1" s="1"/>
  <c r="X96" i="3"/>
  <c r="X90" i="3"/>
  <c r="Y43" i="3"/>
  <c r="Y44" i="3" s="1"/>
  <c r="X49" i="3"/>
  <c r="X53" i="3" s="1"/>
  <c r="W31" i="1" s="1"/>
  <c r="X51" i="3"/>
  <c r="V13" i="1"/>
  <c r="W54" i="3"/>
  <c r="V56" i="3"/>
  <c r="V104" i="3"/>
  <c r="W8" i="1"/>
  <c r="Y29" i="3"/>
  <c r="X12" i="1" s="1"/>
  <c r="Y28" i="3"/>
  <c r="W15" i="1"/>
  <c r="AF61" i="1"/>
  <c r="I16" i="1"/>
  <c r="O24" i="5"/>
  <c r="N34" i="5"/>
  <c r="AH68" i="1"/>
  <c r="AC5" i="5"/>
  <c r="V34" i="3"/>
  <c r="W55" i="3"/>
  <c r="V88" i="1"/>
  <c r="O77" i="3"/>
  <c r="N89" i="1"/>
  <c r="V87" i="1"/>
  <c r="V129" i="1" s="1"/>
  <c r="W33" i="3"/>
  <c r="U16" i="2"/>
  <c r="Y26" i="7"/>
  <c r="Y25" i="7" s="1"/>
  <c r="V14" i="2"/>
  <c r="AP27" i="7"/>
  <c r="W9" i="2"/>
  <c r="AM32" i="7"/>
  <c r="AM31" i="7" s="1"/>
  <c r="Y30" i="7"/>
  <c r="Y29" i="7" s="1"/>
  <c r="V13" i="2"/>
  <c r="Y20" i="7"/>
  <c r="Y19" i="7" s="1"/>
  <c r="W8" i="2"/>
  <c r="AQ155" i="6"/>
  <c r="AM157" i="6"/>
  <c r="AM159" i="6" s="1"/>
  <c r="AM161" i="6" s="1"/>
  <c r="AL52" i="6"/>
  <c r="AL56" i="6"/>
  <c r="AQ16" i="4"/>
  <c r="AM48" i="6"/>
  <c r="AK68" i="6"/>
  <c r="AJ25" i="1" s="1"/>
  <c r="AJ139" i="1" s="1"/>
  <c r="AL66" i="6"/>
  <c r="AM72" i="6" s="1"/>
  <c r="AL118" i="1" s="1"/>
  <c r="AL70" i="6"/>
  <c r="AK49" i="1" s="1"/>
  <c r="AQ62" i="6"/>
  <c r="AM64" i="6"/>
  <c r="AK76" i="5"/>
  <c r="AK51" i="5"/>
  <c r="AL33" i="5"/>
  <c r="AL66" i="5"/>
  <c r="AL76" i="5" s="1"/>
  <c r="AL83" i="5" s="1"/>
  <c r="AL41" i="5"/>
  <c r="AL51" i="5" s="1"/>
  <c r="AL58" i="5" s="1"/>
  <c r="AL12" i="6"/>
  <c r="AL14" i="6" s="1"/>
  <c r="K74" i="5"/>
  <c r="K81" i="5" s="1"/>
  <c r="K75" i="5"/>
  <c r="K82" i="5" s="1"/>
  <c r="L69" i="5"/>
  <c r="K49" i="5"/>
  <c r="K56" i="5" s="1"/>
  <c r="K10" i="5" s="1"/>
  <c r="K50" i="5"/>
  <c r="K57" i="5" s="1"/>
  <c r="K11" i="5" s="1"/>
  <c r="L44" i="5"/>
  <c r="Z30" i="7"/>
  <c r="Z29" i="7" s="1"/>
  <c r="W11" i="2"/>
  <c r="V16" i="2"/>
  <c r="AP81" i="3"/>
  <c r="AP59" i="3"/>
  <c r="AP123" i="3"/>
  <c r="AP13" i="3"/>
  <c r="AP37" i="3"/>
  <c r="AO71" i="3"/>
  <c r="AO73" i="3"/>
  <c r="AP25" i="3"/>
  <c r="AB5" i="3"/>
  <c r="AK118" i="3" l="1"/>
  <c r="AJ67" i="1"/>
  <c r="AL92" i="6"/>
  <c r="AK98" i="1"/>
  <c r="AQ64" i="6"/>
  <c r="AN77" i="7"/>
  <c r="AN75" i="7" s="1"/>
  <c r="K15" i="5"/>
  <c r="J93" i="1"/>
  <c r="L7" i="7"/>
  <c r="AJ133" i="1"/>
  <c r="V130" i="1"/>
  <c r="Q71" i="3"/>
  <c r="Q75" i="3" s="1"/>
  <c r="P32" i="1" s="1"/>
  <c r="P29" i="1" s="1"/>
  <c r="R65" i="3"/>
  <c r="R72" i="3" s="1"/>
  <c r="R66" i="3"/>
  <c r="Q73" i="3"/>
  <c r="R73" i="3"/>
  <c r="Q14" i="1" s="1"/>
  <c r="AI133" i="1"/>
  <c r="AO42" i="1"/>
  <c r="Z134" i="1"/>
  <c r="AO134" i="1" s="1"/>
  <c r="AN89" i="1"/>
  <c r="N131" i="1"/>
  <c r="AN131" i="1" s="1"/>
  <c r="AP118" i="1"/>
  <c r="Z20" i="2"/>
  <c r="AQ8" i="7"/>
  <c r="AC8" i="7"/>
  <c r="AD52" i="7"/>
  <c r="Y18" i="2"/>
  <c r="Z19" i="2"/>
  <c r="AG45" i="7"/>
  <c r="AI61" i="1"/>
  <c r="AJ73" i="1"/>
  <c r="AJ27" i="2"/>
  <c r="AQ72" i="6"/>
  <c r="AK30" i="2"/>
  <c r="AM91" i="6"/>
  <c r="K116" i="1"/>
  <c r="K115" i="1" s="1"/>
  <c r="K114" i="1" s="1"/>
  <c r="X101" i="3"/>
  <c r="AK28" i="2"/>
  <c r="AM57" i="6"/>
  <c r="AJ26" i="1"/>
  <c r="AJ140" i="1" s="1"/>
  <c r="AJ70" i="1"/>
  <c r="AJ141" i="1" s="1"/>
  <c r="AK104" i="6"/>
  <c r="AJ37" i="1"/>
  <c r="AJ24" i="1"/>
  <c r="AJ138" i="1" s="1"/>
  <c r="AK37" i="1"/>
  <c r="AM163" i="6"/>
  <c r="AL55" i="1"/>
  <c r="N21" i="2"/>
  <c r="AN21" i="2" s="1"/>
  <c r="AN12" i="2"/>
  <c r="N17" i="2"/>
  <c r="AN17" i="2" s="1"/>
  <c r="AK120" i="3"/>
  <c r="AP130" i="3"/>
  <c r="AA131" i="3"/>
  <c r="AP131" i="3" s="1"/>
  <c r="AK76" i="1"/>
  <c r="AL68" i="6"/>
  <c r="AK29" i="2"/>
  <c r="AK43" i="1"/>
  <c r="AL102" i="6"/>
  <c r="AK70" i="1" s="1"/>
  <c r="AK141" i="1" s="1"/>
  <c r="O27" i="5"/>
  <c r="AO24" i="5"/>
  <c r="Z41" i="1"/>
  <c r="AO41" i="1" s="1"/>
  <c r="AA42" i="1"/>
  <c r="AA134" i="1" s="1"/>
  <c r="AA92" i="1"/>
  <c r="AB130" i="3"/>
  <c r="AB131" i="3" s="1"/>
  <c r="AD34" i="7"/>
  <c r="AD33" i="7" s="1"/>
  <c r="AC123" i="3"/>
  <c r="AC125" i="3" s="1"/>
  <c r="AC127" i="3" s="1"/>
  <c r="AC129" i="3" s="1"/>
  <c r="AD11" i="4"/>
  <c r="AQ77" i="6"/>
  <c r="AM79" i="6"/>
  <c r="AL85" i="6"/>
  <c r="AL93" i="6" s="1"/>
  <c r="AM98" i="6"/>
  <c r="AQ96" i="6"/>
  <c r="AM109" i="6"/>
  <c r="AQ107" i="6"/>
  <c r="AL117" i="3"/>
  <c r="AK67" i="1" s="1"/>
  <c r="AK48" i="1"/>
  <c r="AL118" i="3"/>
  <c r="AK34" i="1"/>
  <c r="AM115" i="3"/>
  <c r="AM116" i="3"/>
  <c r="AM52" i="3"/>
  <c r="AL64" i="1" s="1"/>
  <c r="AP64" i="1" s="1"/>
  <c r="AM50" i="3"/>
  <c r="AL46" i="1" s="1"/>
  <c r="AP46" i="1" s="1"/>
  <c r="AL115" i="6"/>
  <c r="AL12" i="5"/>
  <c r="AK68" i="1" s="1"/>
  <c r="V33" i="1"/>
  <c r="V132" i="1" s="1"/>
  <c r="W102" i="3"/>
  <c r="W104" i="3" s="1"/>
  <c r="Z27" i="3"/>
  <c r="Z31" i="3" s="1"/>
  <c r="Y30" i="1" s="1"/>
  <c r="Z22" i="3"/>
  <c r="AA19" i="3"/>
  <c r="AA20" i="3" s="1"/>
  <c r="AA28" i="3" s="1"/>
  <c r="AA86" i="3"/>
  <c r="Z88" i="3"/>
  <c r="Z97" i="3" s="1"/>
  <c r="AA98" i="3"/>
  <c r="Z98" i="3"/>
  <c r="Z99" i="3"/>
  <c r="Y15" i="1" s="1"/>
  <c r="Y90" i="3"/>
  <c r="Y96" i="3"/>
  <c r="Y101" i="3" s="1"/>
  <c r="X10" i="1"/>
  <c r="Y49" i="3"/>
  <c r="Y53" i="3" s="1"/>
  <c r="X31" i="1" s="1"/>
  <c r="Z43" i="3"/>
  <c r="Z44" i="3" s="1"/>
  <c r="Y51" i="3"/>
  <c r="W13" i="1"/>
  <c r="X54" i="3"/>
  <c r="Y32" i="3"/>
  <c r="X9" i="1"/>
  <c r="W56" i="3"/>
  <c r="Z28" i="3"/>
  <c r="Z29" i="3"/>
  <c r="Y12" i="1" s="1"/>
  <c r="I28" i="1"/>
  <c r="AH62" i="1"/>
  <c r="J18" i="1"/>
  <c r="J22" i="1"/>
  <c r="AD5" i="5"/>
  <c r="O9" i="3"/>
  <c r="AO9" i="3" s="1"/>
  <c r="O78" i="3"/>
  <c r="O10" i="3" s="1"/>
  <c r="AO10" i="3" s="1"/>
  <c r="W34" i="3"/>
  <c r="X55" i="3"/>
  <c r="W88" i="1"/>
  <c r="AL119" i="3"/>
  <c r="AK91" i="1"/>
  <c r="X103" i="3"/>
  <c r="W90" i="1"/>
  <c r="W87" i="1"/>
  <c r="W129" i="1" s="1"/>
  <c r="X33" i="3"/>
  <c r="Y103" i="3"/>
  <c r="X90" i="1"/>
  <c r="AO77" i="3"/>
  <c r="W14" i="2"/>
  <c r="X9" i="2"/>
  <c r="Z26" i="7"/>
  <c r="Z25" i="7" s="1"/>
  <c r="O10" i="2"/>
  <c r="O7" i="2" s="1"/>
  <c r="Q28" i="7"/>
  <c r="Q27" i="7" s="1"/>
  <c r="W13" i="2"/>
  <c r="Z20" i="7"/>
  <c r="Z19" i="7" s="1"/>
  <c r="X8" i="2"/>
  <c r="AL54" i="6"/>
  <c r="AM50" i="6"/>
  <c r="AQ48" i="6"/>
  <c r="AK71" i="6"/>
  <c r="AK74" i="6" s="1"/>
  <c r="AM66" i="6"/>
  <c r="AL29" i="2" s="1"/>
  <c r="AP29" i="2" s="1"/>
  <c r="AM70" i="6"/>
  <c r="AK83" i="5"/>
  <c r="AK58" i="5"/>
  <c r="AK12" i="5" s="1"/>
  <c r="AQ37" i="5"/>
  <c r="AM39" i="5"/>
  <c r="AM64" i="5"/>
  <c r="AQ62" i="5"/>
  <c r="AM21" i="5"/>
  <c r="AQ19" i="5"/>
  <c r="AL16" i="6"/>
  <c r="AQ8" i="6"/>
  <c r="AM10" i="6"/>
  <c r="AQ107" i="3"/>
  <c r="AN32" i="7"/>
  <c r="AN31" i="7" s="1"/>
  <c r="AQ21" i="6"/>
  <c r="L67" i="5"/>
  <c r="K77" i="5"/>
  <c r="K84" i="5" s="1"/>
  <c r="L42" i="5"/>
  <c r="K52" i="5"/>
  <c r="K59" i="5" s="1"/>
  <c r="K14" i="5" s="1"/>
  <c r="AP125" i="3"/>
  <c r="AP61" i="3"/>
  <c r="AP39" i="3"/>
  <c r="X11" i="2"/>
  <c r="AP15" i="3"/>
  <c r="W16" i="2"/>
  <c r="AP83" i="3"/>
  <c r="AO75" i="3"/>
  <c r="Y8" i="2"/>
  <c r="AC5" i="3"/>
  <c r="AR75" i="7" l="1"/>
  <c r="AM73" i="6"/>
  <c r="AQ73" i="6" s="1"/>
  <c r="AL97" i="1"/>
  <c r="AP97" i="1" s="1"/>
  <c r="AM90" i="6"/>
  <c r="AN90" i="7"/>
  <c r="AN87" i="7" s="1"/>
  <c r="J135" i="1"/>
  <c r="J86" i="1"/>
  <c r="J85" i="1" s="1"/>
  <c r="L10" i="7"/>
  <c r="K16" i="5"/>
  <c r="W130" i="1"/>
  <c r="AK133" i="1"/>
  <c r="Q47" i="1"/>
  <c r="Q45" i="1" s="1"/>
  <c r="Q40" i="1" s="1"/>
  <c r="Q83" i="1" s="1"/>
  <c r="S65" i="3"/>
  <c r="R71" i="3"/>
  <c r="R75" i="3" s="1"/>
  <c r="P14" i="1"/>
  <c r="Q76" i="3"/>
  <c r="Q8" i="3" s="1"/>
  <c r="Q11" i="1"/>
  <c r="Q7" i="1" s="1"/>
  <c r="W33" i="1"/>
  <c r="W132" i="1" s="1"/>
  <c r="X102" i="3"/>
  <c r="X104" i="3" s="1"/>
  <c r="AA20" i="2"/>
  <c r="AO20" i="2"/>
  <c r="AD8" i="7"/>
  <c r="AE52" i="7"/>
  <c r="AO19" i="2"/>
  <c r="Z18" i="2"/>
  <c r="AO18" i="2" s="1"/>
  <c r="AA19" i="2"/>
  <c r="AH45" i="7"/>
  <c r="AQ91" i="6"/>
  <c r="AL119" i="1"/>
  <c r="AP119" i="1" s="1"/>
  <c r="AQ57" i="6"/>
  <c r="AL117" i="1"/>
  <c r="AP117" i="1" s="1"/>
  <c r="AK27" i="2"/>
  <c r="AK26" i="1"/>
  <c r="AK140" i="1" s="1"/>
  <c r="AK24" i="1"/>
  <c r="AK138" i="1" s="1"/>
  <c r="AL59" i="6"/>
  <c r="AK74" i="1"/>
  <c r="AK136" i="1" s="1"/>
  <c r="AL18" i="6"/>
  <c r="P26" i="5"/>
  <c r="AO27" i="5"/>
  <c r="AL71" i="1"/>
  <c r="AM165" i="6"/>
  <c r="AQ165" i="6" s="1"/>
  <c r="AP55" i="1"/>
  <c r="AK25" i="1"/>
  <c r="AK139" i="1" s="1"/>
  <c r="AL71" i="6"/>
  <c r="AL74" i="6" s="1"/>
  <c r="AQ109" i="6"/>
  <c r="AM113" i="6"/>
  <c r="AK62" i="1"/>
  <c r="AQ70" i="6"/>
  <c r="AL49" i="1"/>
  <c r="AP49" i="1" s="1"/>
  <c r="AL104" i="6"/>
  <c r="AM100" i="6"/>
  <c r="AL38" i="1" s="1"/>
  <c r="AQ98" i="6"/>
  <c r="O31" i="5"/>
  <c r="O32" i="5"/>
  <c r="AO32" i="5" s="1"/>
  <c r="AA41" i="1"/>
  <c r="AC130" i="3"/>
  <c r="AB92" i="1"/>
  <c r="AB42" i="1"/>
  <c r="AB134" i="1" s="1"/>
  <c r="AC131" i="3"/>
  <c r="AE34" i="7"/>
  <c r="AE33" i="7" s="1"/>
  <c r="AD123" i="3"/>
  <c r="AD125" i="3" s="1"/>
  <c r="AD127" i="3" s="1"/>
  <c r="AD129" i="3" s="1"/>
  <c r="AE11" i="4"/>
  <c r="AQ79" i="6"/>
  <c r="AM87" i="6"/>
  <c r="AM88" i="6"/>
  <c r="AM81" i="6"/>
  <c r="AL30" i="2" s="1"/>
  <c r="AP30" i="2" s="1"/>
  <c r="AM111" i="6"/>
  <c r="AL34" i="1"/>
  <c r="AP34" i="1" s="1"/>
  <c r="AL48" i="1"/>
  <c r="AM117" i="3"/>
  <c r="X56" i="3"/>
  <c r="AL120" i="3"/>
  <c r="Z9" i="1"/>
  <c r="AA22" i="3"/>
  <c r="AA27" i="3"/>
  <c r="AA31" i="3" s="1"/>
  <c r="Z30" i="1" s="1"/>
  <c r="AO30" i="1" s="1"/>
  <c r="AB19" i="3"/>
  <c r="AB20" i="3" s="1"/>
  <c r="AA29" i="3"/>
  <c r="AB86" i="3"/>
  <c r="AA88" i="3"/>
  <c r="AA97" i="3" s="1"/>
  <c r="Z90" i="3"/>
  <c r="Z96" i="3"/>
  <c r="Z101" i="3" s="1"/>
  <c r="Y10" i="1"/>
  <c r="Z49" i="3"/>
  <c r="Z53" i="3" s="1"/>
  <c r="Y31" i="1" s="1"/>
  <c r="AA43" i="3"/>
  <c r="AA44" i="3" s="1"/>
  <c r="Z51" i="3"/>
  <c r="Y54" i="3"/>
  <c r="X13" i="1"/>
  <c r="X8" i="1"/>
  <c r="Y9" i="1"/>
  <c r="Z32" i="3"/>
  <c r="Z10" i="1"/>
  <c r="X33" i="1"/>
  <c r="X132" i="1" s="1"/>
  <c r="Y102" i="3"/>
  <c r="Y104" i="3" s="1"/>
  <c r="I35" i="1"/>
  <c r="I126" i="1" s="1"/>
  <c r="I128" i="1" s="1"/>
  <c r="AH61" i="1"/>
  <c r="J17" i="1"/>
  <c r="J21" i="1"/>
  <c r="AJ68" i="1"/>
  <c r="AE5" i="5"/>
  <c r="X34" i="3"/>
  <c r="Y55" i="3"/>
  <c r="X88" i="1"/>
  <c r="P77" i="3"/>
  <c r="O89" i="1"/>
  <c r="O131" i="1" s="1"/>
  <c r="X87" i="1"/>
  <c r="X129" i="1" s="1"/>
  <c r="Y33" i="3"/>
  <c r="AL91" i="1"/>
  <c r="AM119" i="3"/>
  <c r="AQ119" i="3" s="1"/>
  <c r="X14" i="2"/>
  <c r="Y9" i="2"/>
  <c r="AA26" i="7"/>
  <c r="AA25" i="7" s="1"/>
  <c r="AR31" i="7"/>
  <c r="AA30" i="7"/>
  <c r="AA29" i="7" s="1"/>
  <c r="O15" i="2"/>
  <c r="O12" i="2" s="1"/>
  <c r="O21" i="2" s="1"/>
  <c r="X13" i="2"/>
  <c r="AQ50" i="6"/>
  <c r="AM56" i="6"/>
  <c r="AM52" i="6"/>
  <c r="AL28" i="2" s="1"/>
  <c r="AA20" i="7"/>
  <c r="AA19" i="7" s="1"/>
  <c r="AM68" i="6"/>
  <c r="AL25" i="1" s="1"/>
  <c r="AQ66" i="6"/>
  <c r="AO8" i="3"/>
  <c r="AO76" i="3"/>
  <c r="AQ39" i="5"/>
  <c r="AM41" i="5"/>
  <c r="AQ64" i="5"/>
  <c r="AM66" i="5"/>
  <c r="AQ21" i="5"/>
  <c r="AM23" i="5"/>
  <c r="AQ10" i="6"/>
  <c r="AM12" i="6"/>
  <c r="AM14" i="6" s="1"/>
  <c r="AQ109" i="3"/>
  <c r="L70" i="5"/>
  <c r="L80" i="5" s="1"/>
  <c r="L45" i="5"/>
  <c r="AB30" i="7"/>
  <c r="AB29" i="7" s="1"/>
  <c r="AP127" i="3"/>
  <c r="AP129" i="3"/>
  <c r="AP63" i="3"/>
  <c r="AP41" i="3"/>
  <c r="X16" i="2"/>
  <c r="AP17" i="3"/>
  <c r="AP85" i="3"/>
  <c r="AD5" i="3"/>
  <c r="AL139" i="1" l="1"/>
  <c r="AR87" i="7"/>
  <c r="AM92" i="6"/>
  <c r="AQ92" i="6" s="1"/>
  <c r="AL98" i="1"/>
  <c r="AP98" i="1" s="1"/>
  <c r="AP71" i="1"/>
  <c r="AL146" i="1"/>
  <c r="AP146" i="1" s="1"/>
  <c r="L55" i="5"/>
  <c r="L9" i="5" s="1"/>
  <c r="K32" i="2" s="1"/>
  <c r="K31" i="2" s="1"/>
  <c r="K24" i="2" s="1"/>
  <c r="K34" i="2" s="1"/>
  <c r="L8" i="5"/>
  <c r="M40" i="7" s="1"/>
  <c r="M38" i="7" s="1"/>
  <c r="X130" i="1"/>
  <c r="P11" i="1"/>
  <c r="P7" i="1" s="1"/>
  <c r="S72" i="3"/>
  <c r="R47" i="1" s="1"/>
  <c r="R45" i="1" s="1"/>
  <c r="R40" i="1" s="1"/>
  <c r="R83" i="1" s="1"/>
  <c r="S66" i="3"/>
  <c r="Q32" i="1"/>
  <c r="Q29" i="1" s="1"/>
  <c r="R76" i="3"/>
  <c r="R8" i="3" s="1"/>
  <c r="AP48" i="1"/>
  <c r="AE8" i="7"/>
  <c r="AF52" i="7"/>
  <c r="AA18" i="2"/>
  <c r="AB19" i="2"/>
  <c r="AB20" i="2"/>
  <c r="AC20" i="2" s="1"/>
  <c r="AI45" i="7"/>
  <c r="AK73" i="1"/>
  <c r="AK61" i="1" s="1"/>
  <c r="M13" i="5"/>
  <c r="AL78" i="1"/>
  <c r="AQ113" i="6"/>
  <c r="AP38" i="1"/>
  <c r="AL37" i="1"/>
  <c r="AP37" i="1" s="1"/>
  <c r="AQ87" i="6"/>
  <c r="AL50" i="1"/>
  <c r="AP50" i="1" s="1"/>
  <c r="AQ88" i="6"/>
  <c r="AL19" i="1"/>
  <c r="AQ90" i="6"/>
  <c r="AL77" i="1"/>
  <c r="AQ111" i="6"/>
  <c r="AL51" i="1"/>
  <c r="AL142" i="1" s="1"/>
  <c r="AL27" i="2"/>
  <c r="AP27" i="2" s="1"/>
  <c r="AP28" i="2"/>
  <c r="AP139" i="1"/>
  <c r="AP25" i="1"/>
  <c r="AQ56" i="6"/>
  <c r="AL76" i="1"/>
  <c r="AL43" i="1"/>
  <c r="AM102" i="6"/>
  <c r="AL70" i="1" s="1"/>
  <c r="AL141" i="1" s="1"/>
  <c r="AQ100" i="6"/>
  <c r="O34" i="5"/>
  <c r="P24" i="5"/>
  <c r="P27" i="5" s="1"/>
  <c r="AO31" i="5"/>
  <c r="Z8" i="1"/>
  <c r="AO10" i="1"/>
  <c r="AM115" i="6"/>
  <c r="AQ115" i="6" s="1"/>
  <c r="AB41" i="1"/>
  <c r="AC92" i="1"/>
  <c r="AD130" i="3"/>
  <c r="AD131" i="3" s="1"/>
  <c r="AC42" i="1"/>
  <c r="AC134" i="1" s="1"/>
  <c r="AF34" i="7"/>
  <c r="AF33" i="7" s="1"/>
  <c r="AE123" i="3"/>
  <c r="AE125" i="3" s="1"/>
  <c r="AE127" i="3" s="1"/>
  <c r="AE129" i="3" s="1"/>
  <c r="AF11" i="4"/>
  <c r="AM85" i="6"/>
  <c r="AQ81" i="6"/>
  <c r="AL67" i="1"/>
  <c r="AL133" i="1" s="1"/>
  <c r="AM118" i="3"/>
  <c r="AM120" i="3" s="1"/>
  <c r="AB27" i="3"/>
  <c r="AB31" i="3" s="1"/>
  <c r="AA30" i="1" s="1"/>
  <c r="AC19" i="3"/>
  <c r="AC20" i="3" s="1"/>
  <c r="AB22" i="3"/>
  <c r="AC86" i="3"/>
  <c r="AB88" i="3"/>
  <c r="AB97" i="3" s="1"/>
  <c r="AB98" i="3"/>
  <c r="AA90" i="3"/>
  <c r="AA96" i="3"/>
  <c r="AA101" i="3" s="1"/>
  <c r="Z33" i="1" s="1"/>
  <c r="AA99" i="3"/>
  <c r="AA49" i="3"/>
  <c r="AB43" i="3"/>
  <c r="AB44" i="3" s="1"/>
  <c r="AA9" i="2" s="1"/>
  <c r="AA51" i="3"/>
  <c r="Y13" i="1"/>
  <c r="Z54" i="3"/>
  <c r="Y56" i="3"/>
  <c r="AB28" i="3"/>
  <c r="AB29" i="3"/>
  <c r="AA12" i="1" s="1"/>
  <c r="Z12" i="1"/>
  <c r="AA32" i="3"/>
  <c r="Y33" i="1"/>
  <c r="Z102" i="3"/>
  <c r="Y8" i="1"/>
  <c r="AO9" i="1"/>
  <c r="J16" i="1"/>
  <c r="AJ62" i="1"/>
  <c r="AF5" i="5"/>
  <c r="AP91" i="1"/>
  <c r="P9" i="3"/>
  <c r="P78" i="3"/>
  <c r="P10" i="3" s="1"/>
  <c r="Y34" i="3"/>
  <c r="Z55" i="3"/>
  <c r="Y88" i="1"/>
  <c r="Z103" i="3"/>
  <c r="Y90" i="1"/>
  <c r="Z33" i="3"/>
  <c r="Y87" i="1"/>
  <c r="Y129" i="1" s="1"/>
  <c r="AA103" i="3"/>
  <c r="Z90" i="1"/>
  <c r="Y14" i="2"/>
  <c r="AQ29" i="7"/>
  <c r="AP43" i="3"/>
  <c r="O17" i="2"/>
  <c r="AP50" i="3"/>
  <c r="AO78" i="3"/>
  <c r="Y11" i="2"/>
  <c r="AP74" i="3"/>
  <c r="AP52" i="3"/>
  <c r="AP30" i="3"/>
  <c r="AP100" i="3"/>
  <c r="R28" i="7"/>
  <c r="R27" i="7" s="1"/>
  <c r="P10" i="2"/>
  <c r="P7" i="2" s="1"/>
  <c r="Y13" i="2"/>
  <c r="AM54" i="6"/>
  <c r="AM59" i="6" s="1"/>
  <c r="AQ52" i="6"/>
  <c r="AQ68" i="6"/>
  <c r="AM71" i="6"/>
  <c r="AM74" i="6" s="1"/>
  <c r="AQ36" i="6"/>
  <c r="AQ41" i="5"/>
  <c r="AM51" i="5"/>
  <c r="AQ66" i="5"/>
  <c r="AM76" i="5"/>
  <c r="AQ23" i="5"/>
  <c r="AM33" i="5"/>
  <c r="AQ12" i="6"/>
  <c r="AM16" i="6"/>
  <c r="AQ111" i="3"/>
  <c r="M69" i="5"/>
  <c r="L75" i="5"/>
  <c r="L82" i="5" s="1"/>
  <c r="L74" i="5"/>
  <c r="L81" i="5" s="1"/>
  <c r="L49" i="5"/>
  <c r="L56" i="5" s="1"/>
  <c r="L10" i="5" s="1"/>
  <c r="M44" i="5"/>
  <c r="L50" i="5"/>
  <c r="L57" i="5" s="1"/>
  <c r="L11" i="5" s="1"/>
  <c r="AP86" i="3"/>
  <c r="AC30" i="7"/>
  <c r="AC29" i="7" s="1"/>
  <c r="Z11" i="2"/>
  <c r="AO11" i="2" s="1"/>
  <c r="Y16" i="2"/>
  <c r="AP44" i="3"/>
  <c r="AP19" i="3"/>
  <c r="AE5" i="3"/>
  <c r="Y130" i="1" l="1"/>
  <c r="AP43" i="1"/>
  <c r="L15" i="5"/>
  <c r="K93" i="1"/>
  <c r="M7" i="7"/>
  <c r="Y132" i="1"/>
  <c r="S71" i="3"/>
  <c r="S75" i="3" s="1"/>
  <c r="R32" i="1" s="1"/>
  <c r="R29" i="1" s="1"/>
  <c r="T65" i="3"/>
  <c r="S73" i="3"/>
  <c r="AO12" i="1"/>
  <c r="AF8" i="7"/>
  <c r="AD20" i="2" s="1"/>
  <c r="AG52" i="7"/>
  <c r="AB18" i="2"/>
  <c r="AC19" i="2"/>
  <c r="AJ45" i="7"/>
  <c r="AL26" i="1"/>
  <c r="AM93" i="6"/>
  <c r="AQ93" i="6" s="1"/>
  <c r="L116" i="1"/>
  <c r="L115" i="1" s="1"/>
  <c r="L114" i="1" s="1"/>
  <c r="AO34" i="5"/>
  <c r="AL24" i="1"/>
  <c r="AL138" i="1" s="1"/>
  <c r="AQ59" i="6"/>
  <c r="AP19" i="1"/>
  <c r="AP51" i="1"/>
  <c r="AP142" i="1"/>
  <c r="AP141" i="1"/>
  <c r="AP70" i="1"/>
  <c r="AO8" i="1"/>
  <c r="AQ16" i="6"/>
  <c r="AM18" i="6"/>
  <c r="AQ18" i="6" s="1"/>
  <c r="AL74" i="1"/>
  <c r="AL136" i="1" s="1"/>
  <c r="AQ102" i="6"/>
  <c r="AM104" i="6"/>
  <c r="AQ104" i="6" s="1"/>
  <c r="AQ74" i="6"/>
  <c r="AQ71" i="6"/>
  <c r="Z56" i="3"/>
  <c r="P32" i="5"/>
  <c r="Q26" i="5"/>
  <c r="P31" i="5"/>
  <c r="AP67" i="1"/>
  <c r="AP133" i="1"/>
  <c r="AC41" i="1"/>
  <c r="AD92" i="1"/>
  <c r="AE130" i="3"/>
  <c r="AE131" i="3" s="1"/>
  <c r="AD42" i="1"/>
  <c r="AD134" i="1" s="1"/>
  <c r="AG34" i="7"/>
  <c r="AG33" i="7" s="1"/>
  <c r="AF123" i="3"/>
  <c r="AF125" i="3" s="1"/>
  <c r="AF127" i="3" s="1"/>
  <c r="AF129" i="3" s="1"/>
  <c r="AG11" i="4"/>
  <c r="AQ85" i="6"/>
  <c r="AO33" i="1"/>
  <c r="AA53" i="3"/>
  <c r="Z14" i="2"/>
  <c r="AO14" i="2" s="1"/>
  <c r="AC22" i="3"/>
  <c r="AD19" i="3"/>
  <c r="AD20" i="3" s="1"/>
  <c r="AC27" i="3"/>
  <c r="AC31" i="3" s="1"/>
  <c r="AB30" i="1" s="1"/>
  <c r="AD86" i="3"/>
  <c r="AC88" i="3"/>
  <c r="AC98" i="3"/>
  <c r="AB96" i="3"/>
  <c r="AB101" i="3" s="1"/>
  <c r="AA33" i="1" s="1"/>
  <c r="AB90" i="3"/>
  <c r="AB99" i="3"/>
  <c r="AA10" i="1"/>
  <c r="AA102" i="3"/>
  <c r="AA104" i="3" s="1"/>
  <c r="Z15" i="1"/>
  <c r="Z132" i="1" s="1"/>
  <c r="AB49" i="3"/>
  <c r="AC43" i="3"/>
  <c r="AC44" i="3" s="1"/>
  <c r="AB51" i="3"/>
  <c r="Z13" i="1"/>
  <c r="AA9" i="1"/>
  <c r="AB32" i="3"/>
  <c r="Z104" i="3"/>
  <c r="AC29" i="3"/>
  <c r="AB12" i="1" s="1"/>
  <c r="AC28" i="3"/>
  <c r="J28" i="1"/>
  <c r="AJ61" i="1"/>
  <c r="AQ33" i="5"/>
  <c r="K18" i="1"/>
  <c r="K22" i="1"/>
  <c r="AG5" i="5"/>
  <c r="AO90" i="1"/>
  <c r="Z34" i="3"/>
  <c r="Q77" i="3"/>
  <c r="P89" i="1"/>
  <c r="P131" i="1" s="1"/>
  <c r="AB103" i="3"/>
  <c r="AA90" i="1"/>
  <c r="AP103" i="3"/>
  <c r="Z9" i="2"/>
  <c r="AO9" i="2" s="1"/>
  <c r="AB26" i="7"/>
  <c r="AB25" i="7" s="1"/>
  <c r="AP98" i="3"/>
  <c r="P15" i="2"/>
  <c r="P12" i="2" s="1"/>
  <c r="P21" i="2" s="1"/>
  <c r="AB20" i="7"/>
  <c r="AB19" i="7" s="1"/>
  <c r="Z8" i="2"/>
  <c r="AO8" i="2" s="1"/>
  <c r="AQ54" i="6"/>
  <c r="AC26" i="7"/>
  <c r="AC25" i="7" s="1"/>
  <c r="AQ14" i="6"/>
  <c r="AQ51" i="5"/>
  <c r="AM58" i="5"/>
  <c r="AQ76" i="5"/>
  <c r="AM83" i="5"/>
  <c r="AQ83" i="5" s="1"/>
  <c r="AQ116" i="3"/>
  <c r="M67" i="5"/>
  <c r="L77" i="5"/>
  <c r="L84" i="5" s="1"/>
  <c r="L52" i="5"/>
  <c r="L59" i="5" s="1"/>
  <c r="L14" i="5" s="1"/>
  <c r="M42" i="5"/>
  <c r="AA11" i="2"/>
  <c r="AD30" i="7"/>
  <c r="AD29" i="7" s="1"/>
  <c r="AP97" i="3"/>
  <c r="AP90" i="3"/>
  <c r="Z16" i="2"/>
  <c r="AO16" i="2" s="1"/>
  <c r="AP88" i="3"/>
  <c r="AP22" i="3"/>
  <c r="AP49" i="3"/>
  <c r="AP51" i="3"/>
  <c r="AP20" i="3"/>
  <c r="AF5" i="3"/>
  <c r="AP26" i="1" l="1"/>
  <c r="AL140" i="1"/>
  <c r="AP140" i="1" s="1"/>
  <c r="K135" i="1"/>
  <c r="K86" i="1"/>
  <c r="M10" i="7"/>
  <c r="T72" i="3"/>
  <c r="S47" i="1" s="1"/>
  <c r="S45" i="1" s="1"/>
  <c r="S40" i="1" s="1"/>
  <c r="S83" i="1" s="1"/>
  <c r="T66" i="3"/>
  <c r="S76" i="3"/>
  <c r="S8" i="3" s="1"/>
  <c r="R14" i="1"/>
  <c r="AC97" i="3"/>
  <c r="AC99" i="3"/>
  <c r="AB15" i="1" s="1"/>
  <c r="AO13" i="1"/>
  <c r="AP24" i="1"/>
  <c r="AP138" i="1"/>
  <c r="AG8" i="7"/>
  <c r="AE20" i="2" s="1"/>
  <c r="AH52" i="7"/>
  <c r="AC18" i="2"/>
  <c r="AD19" i="2"/>
  <c r="AK45" i="7"/>
  <c r="Z31" i="1"/>
  <c r="AA54" i="3"/>
  <c r="Q24" i="5"/>
  <c r="Q27" i="5" s="1"/>
  <c r="P34" i="5"/>
  <c r="AP136" i="1"/>
  <c r="AP74" i="1"/>
  <c r="AL73" i="1"/>
  <c r="AP73" i="1" s="1"/>
  <c r="AD29" i="3"/>
  <c r="AC12" i="1" s="1"/>
  <c r="AD28" i="3"/>
  <c r="AC9" i="1" s="1"/>
  <c r="AB53" i="3"/>
  <c r="AA14" i="2"/>
  <c r="L16" i="5"/>
  <c r="AQ58" i="5"/>
  <c r="AM12" i="5"/>
  <c r="AQ12" i="5" s="1"/>
  <c r="AD41" i="1"/>
  <c r="AE92" i="1"/>
  <c r="AF130" i="3"/>
  <c r="AF131" i="3" s="1"/>
  <c r="AE42" i="1"/>
  <c r="AE134" i="1" s="1"/>
  <c r="AH34" i="7"/>
  <c r="AH33" i="7" s="1"/>
  <c r="AG123" i="3"/>
  <c r="AG125" i="3" s="1"/>
  <c r="AG127" i="3" s="1"/>
  <c r="AG129" i="3" s="1"/>
  <c r="AH11" i="4"/>
  <c r="AD22" i="3"/>
  <c r="AD27" i="3"/>
  <c r="AD31" i="3" s="1"/>
  <c r="AE19" i="3"/>
  <c r="AE20" i="3" s="1"/>
  <c r="AE86" i="3"/>
  <c r="AD88" i="3"/>
  <c r="AD98" i="3"/>
  <c r="AC90" i="3"/>
  <c r="AC96" i="3"/>
  <c r="AC101" i="3" s="1"/>
  <c r="AO132" i="1"/>
  <c r="AO15" i="1"/>
  <c r="AC49" i="3"/>
  <c r="AC53" i="3" s="1"/>
  <c r="AB31" i="1" s="1"/>
  <c r="AD43" i="3"/>
  <c r="AD44" i="3" s="1"/>
  <c r="AC51" i="3"/>
  <c r="AA13" i="1"/>
  <c r="AC32" i="3"/>
  <c r="AB9" i="1"/>
  <c r="AA8" i="1"/>
  <c r="AB10" i="1"/>
  <c r="AA15" i="1"/>
  <c r="AA132" i="1" s="1"/>
  <c r="AB102" i="3"/>
  <c r="AB104" i="3" s="1"/>
  <c r="J35" i="1"/>
  <c r="J126" i="1" s="1"/>
  <c r="K17" i="1"/>
  <c r="K21" i="1"/>
  <c r="AH5" i="5"/>
  <c r="Q9" i="3"/>
  <c r="Q78" i="3"/>
  <c r="Q10" i="3" s="1"/>
  <c r="AA55" i="3"/>
  <c r="Z88" i="1"/>
  <c r="Z87" i="1"/>
  <c r="AA33" i="3"/>
  <c r="AP33" i="3" s="1"/>
  <c r="AB55" i="3"/>
  <c r="AA88" i="1"/>
  <c r="AC103" i="3"/>
  <c r="AB90" i="1"/>
  <c r="AQ19" i="7"/>
  <c r="AQ25" i="7"/>
  <c r="P17" i="2"/>
  <c r="AB9" i="2"/>
  <c r="AP99" i="3"/>
  <c r="Q10" i="2"/>
  <c r="Q7" i="2" s="1"/>
  <c r="S28" i="7"/>
  <c r="S27" i="7" s="1"/>
  <c r="Z13" i="2"/>
  <c r="AO13" i="2" s="1"/>
  <c r="AP29" i="3"/>
  <c r="AC20" i="7"/>
  <c r="AC19" i="7" s="1"/>
  <c r="AA8" i="2"/>
  <c r="AD26" i="7"/>
  <c r="AD25" i="7" s="1"/>
  <c r="AQ117" i="3"/>
  <c r="M70" i="5"/>
  <c r="M80" i="5" s="1"/>
  <c r="M45" i="5"/>
  <c r="AP96" i="3"/>
  <c r="AA16" i="2"/>
  <c r="AE30" i="7"/>
  <c r="AE29" i="7" s="1"/>
  <c r="AP53" i="3"/>
  <c r="AP28" i="3"/>
  <c r="AB8" i="2"/>
  <c r="AP31" i="3"/>
  <c r="AP27" i="3"/>
  <c r="AG5" i="3"/>
  <c r="T73" i="3" l="1"/>
  <c r="T71" i="3"/>
  <c r="T75" i="3" s="1"/>
  <c r="S32" i="1" s="1"/>
  <c r="S29" i="1" s="1"/>
  <c r="U65" i="3"/>
  <c r="K85" i="1"/>
  <c r="M55" i="5"/>
  <c r="M9" i="5" s="1"/>
  <c r="M8" i="5"/>
  <c r="N40" i="7" s="1"/>
  <c r="N38" i="7" s="1"/>
  <c r="AO31" i="1"/>
  <c r="Z130" i="1"/>
  <c r="R11" i="1"/>
  <c r="R7" i="1" s="1"/>
  <c r="T76" i="3"/>
  <c r="T8" i="3" s="1"/>
  <c r="S14" i="1"/>
  <c r="U66" i="3"/>
  <c r="U72" i="3"/>
  <c r="AO87" i="1"/>
  <c r="Z129" i="1"/>
  <c r="AO129" i="1" s="1"/>
  <c r="AH8" i="7"/>
  <c r="AI52" i="7"/>
  <c r="AD18" i="2"/>
  <c r="AE19" i="2"/>
  <c r="AL45" i="7"/>
  <c r="Q31" i="5"/>
  <c r="Q32" i="5"/>
  <c r="R26" i="5"/>
  <c r="AA31" i="1"/>
  <c r="AA130" i="1" s="1"/>
  <c r="AB54" i="3"/>
  <c r="AB56" i="3" s="1"/>
  <c r="AL68" i="1"/>
  <c r="AC9" i="2"/>
  <c r="AE26" i="7"/>
  <c r="AE25" i="7" s="1"/>
  <c r="AE41" i="1"/>
  <c r="AF92" i="1"/>
  <c r="AG130" i="3"/>
  <c r="AG131" i="3" s="1"/>
  <c r="AF42" i="1"/>
  <c r="AF134" i="1" s="1"/>
  <c r="AI34" i="7"/>
  <c r="AI33" i="7" s="1"/>
  <c r="AH123" i="3"/>
  <c r="AH125" i="3" s="1"/>
  <c r="AH127" i="3" s="1"/>
  <c r="AH129" i="3" s="1"/>
  <c r="AI11" i="4"/>
  <c r="AB8" i="1"/>
  <c r="AD97" i="3"/>
  <c r="AD99" i="3"/>
  <c r="AA56" i="3"/>
  <c r="AP56" i="3" s="1"/>
  <c r="AP55" i="3"/>
  <c r="AE27" i="3"/>
  <c r="AE31" i="3" s="1"/>
  <c r="AD30" i="1" s="1"/>
  <c r="AF19" i="3"/>
  <c r="AF20" i="3" s="1"/>
  <c r="AE22" i="3"/>
  <c r="AF86" i="3"/>
  <c r="AE88" i="3"/>
  <c r="AE98" i="3"/>
  <c r="AD96" i="3"/>
  <c r="AD90" i="3"/>
  <c r="AC10" i="1"/>
  <c r="AE43" i="3"/>
  <c r="AE44" i="3" s="1"/>
  <c r="AF26" i="7" s="1"/>
  <c r="AF25" i="7" s="1"/>
  <c r="AD49" i="3"/>
  <c r="AD51" i="3"/>
  <c r="AC54" i="3"/>
  <c r="AB13" i="1"/>
  <c r="AB130" i="1" s="1"/>
  <c r="AC30" i="1"/>
  <c r="AD32" i="3"/>
  <c r="AE28" i="3"/>
  <c r="AE29" i="3"/>
  <c r="AD12" i="1" s="1"/>
  <c r="AB33" i="1"/>
  <c r="AB132" i="1" s="1"/>
  <c r="AC102" i="3"/>
  <c r="AC104" i="3" s="1"/>
  <c r="J128" i="1"/>
  <c r="K16" i="1"/>
  <c r="AI5" i="5"/>
  <c r="AO130" i="1"/>
  <c r="AO88" i="1"/>
  <c r="AA34" i="3"/>
  <c r="AP34" i="3" s="1"/>
  <c r="R77" i="3"/>
  <c r="Q89" i="1"/>
  <c r="Q131" i="1" s="1"/>
  <c r="AA87" i="1"/>
  <c r="AA129" i="1" s="1"/>
  <c r="AB33" i="3"/>
  <c r="AC55" i="3"/>
  <c r="AB88" i="1"/>
  <c r="AD103" i="3"/>
  <c r="AC90" i="1"/>
  <c r="AB14" i="2"/>
  <c r="AB11" i="2"/>
  <c r="Q15" i="2"/>
  <c r="Q12" i="2" s="1"/>
  <c r="Q21" i="2" s="1"/>
  <c r="AA13" i="2"/>
  <c r="AD20" i="7"/>
  <c r="AD19" i="7" s="1"/>
  <c r="AP54" i="3"/>
  <c r="AP32" i="3"/>
  <c r="N69" i="5"/>
  <c r="M75" i="5"/>
  <c r="M82" i="5" s="1"/>
  <c r="M74" i="5"/>
  <c r="M81" i="5" s="1"/>
  <c r="M49" i="5"/>
  <c r="M56" i="5" s="1"/>
  <c r="M10" i="5" s="1"/>
  <c r="M50" i="5"/>
  <c r="M57" i="5" s="1"/>
  <c r="N44" i="5"/>
  <c r="AP101" i="3"/>
  <c r="AC11" i="2"/>
  <c r="AF30" i="7"/>
  <c r="AF29" i="7" s="1"/>
  <c r="AB16" i="2"/>
  <c r="AH5" i="3"/>
  <c r="M15" i="5" l="1"/>
  <c r="L93" i="1"/>
  <c r="N7" i="7"/>
  <c r="S11" i="1"/>
  <c r="S7" i="1" s="1"/>
  <c r="U71" i="3"/>
  <c r="U75" i="3" s="1"/>
  <c r="T32" i="1" s="1"/>
  <c r="T29" i="1" s="1"/>
  <c r="V65" i="3"/>
  <c r="U73" i="3"/>
  <c r="T14" i="1" s="1"/>
  <c r="U76" i="3"/>
  <c r="U8" i="3" s="1"/>
  <c r="T47" i="1"/>
  <c r="T45" i="1" s="1"/>
  <c r="T40" i="1" s="1"/>
  <c r="T83" i="1" s="1"/>
  <c r="AC8" i="1"/>
  <c r="AF20" i="2"/>
  <c r="AI8" i="7"/>
  <c r="AJ52" i="7"/>
  <c r="AE18" i="2"/>
  <c r="AF19" i="2"/>
  <c r="AM45" i="7"/>
  <c r="R24" i="5"/>
  <c r="R27" i="5" s="1"/>
  <c r="Q34" i="5"/>
  <c r="L32" i="2"/>
  <c r="L31" i="2" s="1"/>
  <c r="L24" i="2" s="1"/>
  <c r="L34" i="2" s="1"/>
  <c r="N13" i="5"/>
  <c r="AD101" i="3"/>
  <c r="M11" i="5"/>
  <c r="L22" i="1" s="1"/>
  <c r="AP68" i="1"/>
  <c r="AL62" i="1"/>
  <c r="AD55" i="3"/>
  <c r="AC88" i="1"/>
  <c r="AF41" i="1"/>
  <c r="AG92" i="1"/>
  <c r="AH130" i="3"/>
  <c r="AH131" i="3" s="1"/>
  <c r="AG42" i="1"/>
  <c r="AG134" i="1" s="1"/>
  <c r="AI123" i="3"/>
  <c r="AI125" i="3" s="1"/>
  <c r="AI127" i="3" s="1"/>
  <c r="AI129" i="3" s="1"/>
  <c r="AJ34" i="7"/>
  <c r="AJ33" i="7" s="1"/>
  <c r="AJ11" i="4"/>
  <c r="AC15" i="1"/>
  <c r="AF22" i="3"/>
  <c r="AF27" i="3"/>
  <c r="AF31" i="3" s="1"/>
  <c r="AE30" i="1" s="1"/>
  <c r="AG19" i="3"/>
  <c r="AG20" i="3" s="1"/>
  <c r="AG29" i="3" s="1"/>
  <c r="AF12" i="1" s="1"/>
  <c r="AF88" i="3"/>
  <c r="AG86" i="3"/>
  <c r="AF98" i="3"/>
  <c r="AE96" i="3"/>
  <c r="AE90" i="3"/>
  <c r="AD10" i="1"/>
  <c r="AD9" i="2"/>
  <c r="AE49" i="3"/>
  <c r="AF43" i="3"/>
  <c r="AF44" i="3" s="1"/>
  <c r="AG26" i="7" s="1"/>
  <c r="AG25" i="7" s="1"/>
  <c r="AE51" i="3"/>
  <c r="AC13" i="1"/>
  <c r="AD9" i="1"/>
  <c r="AE32" i="3"/>
  <c r="AC56" i="3"/>
  <c r="AF28" i="3"/>
  <c r="AF29" i="3"/>
  <c r="AE12" i="1" s="1"/>
  <c r="AE99" i="3"/>
  <c r="AE97" i="3"/>
  <c r="AD53" i="3"/>
  <c r="AC14" i="2"/>
  <c r="K28" i="1"/>
  <c r="L18" i="1"/>
  <c r="AJ5" i="5"/>
  <c r="R9" i="3"/>
  <c r="R78" i="3"/>
  <c r="R10" i="3" s="1"/>
  <c r="AB34" i="3"/>
  <c r="AE55" i="3"/>
  <c r="AD88" i="1"/>
  <c r="AC33" i="3"/>
  <c r="AB87" i="1"/>
  <c r="AB129" i="1" s="1"/>
  <c r="AE103" i="3"/>
  <c r="AD90" i="1"/>
  <c r="Q17" i="2"/>
  <c r="R10" i="2"/>
  <c r="R7" i="2" s="1"/>
  <c r="T28" i="7"/>
  <c r="T27" i="7" s="1"/>
  <c r="AB13" i="2"/>
  <c r="AE20" i="7"/>
  <c r="AE19" i="7" s="1"/>
  <c r="AC8" i="2"/>
  <c r="AP102" i="3"/>
  <c r="AP104" i="3"/>
  <c r="M77" i="5"/>
  <c r="M84" i="5" s="1"/>
  <c r="N67" i="5"/>
  <c r="N42" i="5"/>
  <c r="M52" i="5"/>
  <c r="M59" i="5" s="1"/>
  <c r="M14" i="5" s="1"/>
  <c r="AD8" i="2"/>
  <c r="AI5" i="3"/>
  <c r="AC33" i="1" l="1"/>
  <c r="AC132" i="1" s="1"/>
  <c r="AD102" i="3"/>
  <c r="AD104" i="3" s="1"/>
  <c r="L135" i="1"/>
  <c r="L86" i="1"/>
  <c r="N10" i="7"/>
  <c r="M16" i="5"/>
  <c r="T11" i="1"/>
  <c r="T7" i="1" s="1"/>
  <c r="V72" i="3"/>
  <c r="U47" i="1" s="1"/>
  <c r="U45" i="1" s="1"/>
  <c r="U40" i="1" s="1"/>
  <c r="U83" i="1" s="1"/>
  <c r="V66" i="3"/>
  <c r="AJ8" i="7"/>
  <c r="AK52" i="7"/>
  <c r="AF18" i="2"/>
  <c r="AG19" i="2"/>
  <c r="AG20" i="2"/>
  <c r="AH20" i="2" s="1"/>
  <c r="AN45" i="7"/>
  <c r="S26" i="5"/>
  <c r="R31" i="5"/>
  <c r="R32" i="5"/>
  <c r="M116" i="1"/>
  <c r="M115" i="1" s="1"/>
  <c r="M114" i="1" s="1"/>
  <c r="AE53" i="3"/>
  <c r="AD31" i="1" s="1"/>
  <c r="AD14" i="2"/>
  <c r="AP62" i="1"/>
  <c r="AL61" i="1"/>
  <c r="AP61" i="1" s="1"/>
  <c r="AF97" i="3"/>
  <c r="AF99" i="3"/>
  <c r="AE15" i="1" s="1"/>
  <c r="AG41" i="1"/>
  <c r="AH42" i="1"/>
  <c r="AH134" i="1" s="1"/>
  <c r="AH92" i="1"/>
  <c r="AI130" i="3"/>
  <c r="AI131" i="3" s="1"/>
  <c r="AK34" i="7"/>
  <c r="AK33" i="7" s="1"/>
  <c r="AJ123" i="3"/>
  <c r="AJ125" i="3" s="1"/>
  <c r="AJ127" i="3" s="1"/>
  <c r="AJ129" i="3" s="1"/>
  <c r="AK11" i="4"/>
  <c r="AE101" i="3"/>
  <c r="AD15" i="1"/>
  <c r="AC31" i="1"/>
  <c r="AC130" i="1" s="1"/>
  <c r="AD54" i="3"/>
  <c r="AD56" i="3" s="1"/>
  <c r="AG27" i="3"/>
  <c r="AG31" i="3" s="1"/>
  <c r="AF30" i="1" s="1"/>
  <c r="AG22" i="3"/>
  <c r="AH19" i="3"/>
  <c r="AH20" i="3" s="1"/>
  <c r="AG28" i="3"/>
  <c r="AF90" i="3"/>
  <c r="AF96" i="3"/>
  <c r="AH86" i="3"/>
  <c r="AG88" i="3"/>
  <c r="AG98" i="3"/>
  <c r="AE10" i="1"/>
  <c r="AE9" i="2"/>
  <c r="AG43" i="3"/>
  <c r="AG44" i="3" s="1"/>
  <c r="AH26" i="7" s="1"/>
  <c r="AH25" i="7" s="1"/>
  <c r="AF49" i="3"/>
  <c r="AF51" i="3"/>
  <c r="AD13" i="1"/>
  <c r="AD130" i="1" s="1"/>
  <c r="AE54" i="3"/>
  <c r="AE56" i="3" s="1"/>
  <c r="AF32" i="3"/>
  <c r="AE9" i="1"/>
  <c r="AD8" i="1"/>
  <c r="K35" i="1"/>
  <c r="K126" i="1" s="1"/>
  <c r="L17" i="1"/>
  <c r="L21" i="1"/>
  <c r="AK5" i="5"/>
  <c r="AC34" i="3"/>
  <c r="S77" i="3"/>
  <c r="R89" i="1"/>
  <c r="R131" i="1" s="1"/>
  <c r="AC87" i="1"/>
  <c r="AC129" i="1" s="1"/>
  <c r="AD33" i="3"/>
  <c r="AF55" i="3"/>
  <c r="AE88" i="1"/>
  <c r="AC16" i="2"/>
  <c r="AD11" i="2"/>
  <c r="AG30" i="7"/>
  <c r="AG29" i="7" s="1"/>
  <c r="R15" i="2"/>
  <c r="R12" i="2" s="1"/>
  <c r="R21" i="2" s="1"/>
  <c r="U28" i="7"/>
  <c r="U27" i="7" s="1"/>
  <c r="S10" i="2"/>
  <c r="S7" i="2" s="1"/>
  <c r="AC13" i="2"/>
  <c r="AF20" i="7"/>
  <c r="AF19" i="7" s="1"/>
  <c r="AE11" i="2"/>
  <c r="AH30" i="7"/>
  <c r="AH29" i="7" s="1"/>
  <c r="N70" i="5"/>
  <c r="N80" i="5" s="1"/>
  <c r="N45" i="5"/>
  <c r="AJ5" i="3"/>
  <c r="L85" i="1" l="1"/>
  <c r="N55" i="5"/>
  <c r="N9" i="5" s="1"/>
  <c r="N8" i="5"/>
  <c r="O40" i="7" s="1"/>
  <c r="O38" i="7" s="1"/>
  <c r="V71" i="3"/>
  <c r="V75" i="3" s="1"/>
  <c r="U32" i="1" s="1"/>
  <c r="U29" i="1" s="1"/>
  <c r="W65" i="3"/>
  <c r="W72" i="3" s="1"/>
  <c r="W66" i="3"/>
  <c r="V73" i="3"/>
  <c r="AK8" i="7"/>
  <c r="AI20" i="2" s="1"/>
  <c r="AL52" i="7"/>
  <c r="AG18" i="2"/>
  <c r="AH19" i="2"/>
  <c r="AR45" i="7"/>
  <c r="S24" i="5"/>
  <c r="S27" i="5" s="1"/>
  <c r="R34" i="5"/>
  <c r="M32" i="2"/>
  <c r="M31" i="2" s="1"/>
  <c r="M24" i="2" s="1"/>
  <c r="M34" i="2" s="1"/>
  <c r="O13" i="5"/>
  <c r="AF101" i="3"/>
  <c r="AE8" i="1"/>
  <c r="AD33" i="1"/>
  <c r="AD132" i="1" s="1"/>
  <c r="AE102" i="3"/>
  <c r="AE104" i="3" s="1"/>
  <c r="AH41" i="1"/>
  <c r="AI92" i="1"/>
  <c r="AJ130" i="3"/>
  <c r="AJ131" i="3" s="1"/>
  <c r="AI42" i="1"/>
  <c r="AI134" i="1" s="1"/>
  <c r="AL34" i="7"/>
  <c r="AL33" i="7" s="1"/>
  <c r="AK123" i="3"/>
  <c r="AK125" i="3" s="1"/>
  <c r="AK127" i="3" s="1"/>
  <c r="AK129" i="3" s="1"/>
  <c r="AL11" i="4"/>
  <c r="AG99" i="3"/>
  <c r="AF15" i="1" s="1"/>
  <c r="AG97" i="3"/>
  <c r="AH22" i="3"/>
  <c r="AH27" i="3"/>
  <c r="AH31" i="3" s="1"/>
  <c r="AG30" i="1" s="1"/>
  <c r="AI19" i="3"/>
  <c r="AI20" i="3" s="1"/>
  <c r="AI28" i="3" s="1"/>
  <c r="AG32" i="3"/>
  <c r="AF9" i="1"/>
  <c r="AI86" i="3"/>
  <c r="AH88" i="3"/>
  <c r="AH98" i="3"/>
  <c r="AG10" i="1" s="1"/>
  <c r="AG90" i="3"/>
  <c r="AG96" i="3"/>
  <c r="AF10" i="1"/>
  <c r="AF9" i="2"/>
  <c r="AH43" i="3"/>
  <c r="AH44" i="3" s="1"/>
  <c r="AI26" i="7" s="1"/>
  <c r="AI25" i="7" s="1"/>
  <c r="AG49" i="3"/>
  <c r="AG51" i="3"/>
  <c r="AE13" i="1"/>
  <c r="AH28" i="3"/>
  <c r="AH29" i="3"/>
  <c r="AG12" i="1" s="1"/>
  <c r="AF53" i="3"/>
  <c r="AE14" i="2"/>
  <c r="K128" i="1"/>
  <c r="L16" i="1"/>
  <c r="AL5" i="5"/>
  <c r="S9" i="3"/>
  <c r="S78" i="3"/>
  <c r="S10" i="3" s="1"/>
  <c r="AD34" i="3"/>
  <c r="AF103" i="3"/>
  <c r="AE90" i="1"/>
  <c r="T77" i="3"/>
  <c r="S89" i="1"/>
  <c r="S131" i="1" s="1"/>
  <c r="AG55" i="3"/>
  <c r="AF88" i="1"/>
  <c r="AD87" i="1"/>
  <c r="AD129" i="1" s="1"/>
  <c r="AE33" i="3"/>
  <c r="AG103" i="3"/>
  <c r="AF90" i="1"/>
  <c r="AQ115" i="3"/>
  <c r="R17" i="2"/>
  <c r="AD16" i="2"/>
  <c r="S15" i="2"/>
  <c r="S12" i="2" s="1"/>
  <c r="S21" i="2" s="1"/>
  <c r="AD13" i="2"/>
  <c r="AG20" i="7"/>
  <c r="AG19" i="7" s="1"/>
  <c r="AE8" i="2"/>
  <c r="AE16" i="2"/>
  <c r="AF11" i="2"/>
  <c r="AI30" i="7"/>
  <c r="AI29" i="7" s="1"/>
  <c r="O69" i="5"/>
  <c r="N74" i="5"/>
  <c r="N81" i="5" s="1"/>
  <c r="N75" i="5"/>
  <c r="N82" i="5" s="1"/>
  <c r="N49" i="5"/>
  <c r="N56" i="5" s="1"/>
  <c r="N10" i="5" s="1"/>
  <c r="O44" i="5"/>
  <c r="N50" i="5"/>
  <c r="N57" i="5" s="1"/>
  <c r="N11" i="5" s="1"/>
  <c r="AK5" i="3"/>
  <c r="S32" i="5" l="1"/>
  <c r="S31" i="5"/>
  <c r="T26" i="5"/>
  <c r="N15" i="5"/>
  <c r="M93" i="1"/>
  <c r="O7" i="7"/>
  <c r="V47" i="1"/>
  <c r="V45" i="1" s="1"/>
  <c r="V40" i="1" s="1"/>
  <c r="V83" i="1" s="1"/>
  <c r="W71" i="3"/>
  <c r="W75" i="3" s="1"/>
  <c r="V32" i="1" s="1"/>
  <c r="V29" i="1" s="1"/>
  <c r="X65" i="3"/>
  <c r="W73" i="3"/>
  <c r="V76" i="3"/>
  <c r="V8" i="3" s="1"/>
  <c r="U14" i="1"/>
  <c r="AE33" i="1"/>
  <c r="AE132" i="1" s="1"/>
  <c r="AF102" i="3"/>
  <c r="AF104" i="3" s="1"/>
  <c r="AL8" i="7"/>
  <c r="AM52" i="7"/>
  <c r="AH18" i="2"/>
  <c r="AI19" i="2"/>
  <c r="AO13" i="5"/>
  <c r="N116" i="1"/>
  <c r="N115" i="1" s="1"/>
  <c r="N114" i="1" s="1"/>
  <c r="AG101" i="3"/>
  <c r="AH97" i="3"/>
  <c r="AH99" i="3"/>
  <c r="AG15" i="1" s="1"/>
  <c r="AI41" i="1"/>
  <c r="AJ92" i="1"/>
  <c r="AK130" i="3"/>
  <c r="AK131" i="3" s="1"/>
  <c r="AJ42" i="1"/>
  <c r="AJ134" i="1" s="1"/>
  <c r="AM34" i="7"/>
  <c r="AM33" i="7" s="1"/>
  <c r="AL123" i="3"/>
  <c r="AL125" i="3" s="1"/>
  <c r="AL127" i="3" s="1"/>
  <c r="AL129" i="3" s="1"/>
  <c r="AM11" i="4"/>
  <c r="AF8" i="1"/>
  <c r="AG53" i="3"/>
  <c r="AF14" i="2"/>
  <c r="AE31" i="1"/>
  <c r="AE130" i="1" s="1"/>
  <c r="AF54" i="3"/>
  <c r="AF56" i="3" s="1"/>
  <c r="AH9" i="1"/>
  <c r="AI27" i="3"/>
  <c r="AI31" i="3" s="1"/>
  <c r="AH30" i="1" s="1"/>
  <c r="AI22" i="3"/>
  <c r="AJ19" i="3"/>
  <c r="AJ20" i="3" s="1"/>
  <c r="AI29" i="3"/>
  <c r="AJ86" i="3"/>
  <c r="AI88" i="3"/>
  <c r="AI97" i="3" s="1"/>
  <c r="AI98" i="3"/>
  <c r="AH96" i="3"/>
  <c r="AH90" i="3"/>
  <c r="AG9" i="2"/>
  <c r="AH49" i="3"/>
  <c r="AI43" i="3"/>
  <c r="AI44" i="3" s="1"/>
  <c r="AJ26" i="7" s="1"/>
  <c r="AJ25" i="7" s="1"/>
  <c r="AH51" i="3"/>
  <c r="AF13" i="1"/>
  <c r="AH32" i="3"/>
  <c r="AG9" i="1"/>
  <c r="L28" i="1"/>
  <c r="M18" i="1"/>
  <c r="M22" i="1"/>
  <c r="AM5" i="5"/>
  <c r="T9" i="3"/>
  <c r="T78" i="3"/>
  <c r="T10" i="3" s="1"/>
  <c r="AE34" i="3"/>
  <c r="AF33" i="3"/>
  <c r="AE87" i="1"/>
  <c r="AE129" i="1" s="1"/>
  <c r="AH55" i="3"/>
  <c r="AG88" i="1"/>
  <c r="AH103" i="3"/>
  <c r="AG90" i="1"/>
  <c r="AQ118" i="3"/>
  <c r="AQ120" i="3"/>
  <c r="S17" i="2"/>
  <c r="V28" i="7"/>
  <c r="V27" i="7" s="1"/>
  <c r="T10" i="2"/>
  <c r="T7" i="2" s="1"/>
  <c r="AE13" i="2"/>
  <c r="AH20" i="7"/>
  <c r="AH19" i="7" s="1"/>
  <c r="AF8" i="2"/>
  <c r="AJ30" i="7"/>
  <c r="AJ29" i="7" s="1"/>
  <c r="O67" i="5"/>
  <c r="N77" i="5"/>
  <c r="N84" i="5" s="1"/>
  <c r="AO69" i="5"/>
  <c r="N52" i="5"/>
  <c r="N59" i="5" s="1"/>
  <c r="N14" i="5" s="1"/>
  <c r="O42" i="5"/>
  <c r="AO44" i="5"/>
  <c r="AL5" i="3"/>
  <c r="S34" i="5" l="1"/>
  <c r="T24" i="5"/>
  <c r="T27" i="5" s="1"/>
  <c r="T32" i="5" s="1"/>
  <c r="M135" i="1"/>
  <c r="M86" i="1"/>
  <c r="O10" i="7"/>
  <c r="N16" i="5"/>
  <c r="U11" i="1"/>
  <c r="U7" i="1" s="1"/>
  <c r="X72" i="3"/>
  <c r="W47" i="1" s="1"/>
  <c r="W45" i="1" s="1"/>
  <c r="W40" i="1" s="1"/>
  <c r="W83" i="1" s="1"/>
  <c r="X66" i="3"/>
  <c r="V14" i="1"/>
  <c r="W76" i="3"/>
  <c r="W8" i="3" s="1"/>
  <c r="AG8" i="1"/>
  <c r="AJ20" i="2"/>
  <c r="AM8" i="7"/>
  <c r="AN52" i="7"/>
  <c r="AI18" i="2"/>
  <c r="AJ19" i="2"/>
  <c r="AN116" i="1"/>
  <c r="AH101" i="3"/>
  <c r="T31" i="5"/>
  <c r="U24" i="5" s="1"/>
  <c r="U26" i="5"/>
  <c r="AF31" i="1"/>
  <c r="AF130" i="1" s="1"/>
  <c r="AG54" i="3"/>
  <c r="AG56" i="3" s="1"/>
  <c r="AG102" i="3"/>
  <c r="AG104" i="3" s="1"/>
  <c r="AF33" i="1"/>
  <c r="AF132" i="1" s="1"/>
  <c r="AJ41" i="1"/>
  <c r="AK92" i="1"/>
  <c r="AL130" i="3"/>
  <c r="AL131" i="3" s="1"/>
  <c r="AK42" i="1"/>
  <c r="AK134" i="1" s="1"/>
  <c r="AN34" i="7"/>
  <c r="AN33" i="7" s="1"/>
  <c r="AR33" i="7" s="1"/>
  <c r="AM123" i="3"/>
  <c r="AM125" i="3" s="1"/>
  <c r="AM127" i="3" s="1"/>
  <c r="AM129" i="3" s="1"/>
  <c r="AQ11" i="4"/>
  <c r="AJ27" i="3"/>
  <c r="AJ31" i="3" s="1"/>
  <c r="AI30" i="1" s="1"/>
  <c r="AJ22" i="3"/>
  <c r="AK19" i="3"/>
  <c r="AK20" i="3" s="1"/>
  <c r="AK29" i="3" s="1"/>
  <c r="AJ12" i="1" s="1"/>
  <c r="AJ88" i="3"/>
  <c r="AK86" i="3"/>
  <c r="AJ98" i="3"/>
  <c r="AI10" i="1" s="1"/>
  <c r="AI90" i="3"/>
  <c r="AI96" i="3"/>
  <c r="AI101" i="3" s="1"/>
  <c r="AI99" i="3"/>
  <c r="AH15" i="1" s="1"/>
  <c r="AH10" i="1"/>
  <c r="AH9" i="2"/>
  <c r="AI49" i="3"/>
  <c r="AJ43" i="3"/>
  <c r="AJ44" i="3" s="1"/>
  <c r="AK26" i="7" s="1"/>
  <c r="AK25" i="7" s="1"/>
  <c r="AI51" i="3"/>
  <c r="AG13" i="1"/>
  <c r="AJ29" i="3"/>
  <c r="AI12" i="1" s="1"/>
  <c r="AJ28" i="3"/>
  <c r="AH12" i="1"/>
  <c r="AI32" i="3"/>
  <c r="AH53" i="3"/>
  <c r="AG14" i="2"/>
  <c r="L35" i="1"/>
  <c r="L126" i="1" s="1"/>
  <c r="M17" i="1"/>
  <c r="M21" i="1"/>
  <c r="AF34" i="3"/>
  <c r="U77" i="3"/>
  <c r="T89" i="1"/>
  <c r="T131" i="1" s="1"/>
  <c r="AF87" i="1"/>
  <c r="AF129" i="1" s="1"/>
  <c r="AG33" i="3"/>
  <c r="AI55" i="3"/>
  <c r="AH88" i="1"/>
  <c r="AI103" i="3"/>
  <c r="AH90" i="1"/>
  <c r="AF16" i="2"/>
  <c r="T15" i="2"/>
  <c r="T12" i="2" s="1"/>
  <c r="T21" i="2" s="1"/>
  <c r="AG11" i="2"/>
  <c r="AF13" i="2"/>
  <c r="AI20" i="7"/>
  <c r="AI19" i="7" s="1"/>
  <c r="AG8" i="2"/>
  <c r="AK30" i="7"/>
  <c r="AK29" i="7" s="1"/>
  <c r="AH11" i="2"/>
  <c r="AO67" i="5"/>
  <c r="O70" i="5"/>
  <c r="O80" i="5" s="1"/>
  <c r="AO80" i="5" s="1"/>
  <c r="AO42" i="5"/>
  <c r="O45" i="5"/>
  <c r="AM5" i="3"/>
  <c r="M85" i="1" l="1"/>
  <c r="AO45" i="5"/>
  <c r="O8" i="5"/>
  <c r="X71" i="3"/>
  <c r="X75" i="3" s="1"/>
  <c r="W32" i="1" s="1"/>
  <c r="W29" i="1" s="1"/>
  <c r="Y65" i="3"/>
  <c r="X73" i="3"/>
  <c r="V11" i="1"/>
  <c r="V7" i="1" s="1"/>
  <c r="AH8" i="1"/>
  <c r="AN8" i="7"/>
  <c r="AR52" i="7"/>
  <c r="AJ18" i="2"/>
  <c r="AK19" i="2"/>
  <c r="AK20" i="2"/>
  <c r="AL20" i="2" s="1"/>
  <c r="AP20" i="2" s="1"/>
  <c r="AN114" i="1"/>
  <c r="U27" i="5"/>
  <c r="AG33" i="1"/>
  <c r="AG132" i="1" s="1"/>
  <c r="AH102" i="3"/>
  <c r="AH104" i="3" s="1"/>
  <c r="T34" i="5"/>
  <c r="AH33" i="1"/>
  <c r="AH132" i="1" s="1"/>
  <c r="AI102" i="3"/>
  <c r="AI104" i="3" s="1"/>
  <c r="AK41" i="1"/>
  <c r="AM130" i="3"/>
  <c r="AL92" i="1"/>
  <c r="AP92" i="1" s="1"/>
  <c r="AL42" i="1"/>
  <c r="AJ97" i="3"/>
  <c r="AJ99" i="3"/>
  <c r="AI15" i="1" s="1"/>
  <c r="AI53" i="3"/>
  <c r="AH14" i="2"/>
  <c r="AG31" i="1"/>
  <c r="AG130" i="1" s="1"/>
  <c r="AH54" i="3"/>
  <c r="AH56" i="3" s="1"/>
  <c r="AK22" i="3"/>
  <c r="AK27" i="3"/>
  <c r="AK31" i="3" s="1"/>
  <c r="AJ30" i="1" s="1"/>
  <c r="AL19" i="3"/>
  <c r="AL20" i="3" s="1"/>
  <c r="AL28" i="3" s="1"/>
  <c r="AK28" i="3"/>
  <c r="AJ90" i="3"/>
  <c r="AJ96" i="3"/>
  <c r="AL86" i="3"/>
  <c r="AK88" i="3"/>
  <c r="AK98" i="3"/>
  <c r="AJ10" i="1" s="1"/>
  <c r="AI9" i="2"/>
  <c r="AJ49" i="3"/>
  <c r="AK43" i="3"/>
  <c r="AK44" i="3" s="1"/>
  <c r="AL26" i="7" s="1"/>
  <c r="AL25" i="7" s="1"/>
  <c r="AJ51" i="3"/>
  <c r="AH13" i="1"/>
  <c r="AI9" i="1"/>
  <c r="AJ32" i="3"/>
  <c r="L128" i="1"/>
  <c r="M16" i="1"/>
  <c r="U9" i="3"/>
  <c r="U78" i="3"/>
  <c r="U10" i="3" s="1"/>
  <c r="AG34" i="3"/>
  <c r="AG87" i="1"/>
  <c r="AG129" i="1" s="1"/>
  <c r="AH33" i="3"/>
  <c r="AJ55" i="3"/>
  <c r="AI88" i="1"/>
  <c r="AJ103" i="3"/>
  <c r="AI90" i="1"/>
  <c r="T17" i="2"/>
  <c r="AG16" i="2"/>
  <c r="U10" i="2"/>
  <c r="U7" i="2" s="1"/>
  <c r="W28" i="7"/>
  <c r="W27" i="7" s="1"/>
  <c r="AG13" i="2"/>
  <c r="AJ20" i="7"/>
  <c r="AJ19" i="7" s="1"/>
  <c r="AH8" i="2"/>
  <c r="AL30" i="7"/>
  <c r="AL29" i="7" s="1"/>
  <c r="AH16" i="2"/>
  <c r="O50" i="5"/>
  <c r="O55" i="5"/>
  <c r="O75" i="5"/>
  <c r="O82" i="5" s="1"/>
  <c r="O74" i="5"/>
  <c r="O81" i="5" s="1"/>
  <c r="P69" i="5"/>
  <c r="AO70" i="5"/>
  <c r="P44" i="5"/>
  <c r="O49" i="5"/>
  <c r="AQ13" i="3"/>
  <c r="AQ59" i="3"/>
  <c r="AQ81" i="3"/>
  <c r="AQ123" i="3"/>
  <c r="AQ37" i="3"/>
  <c r="AQ25" i="3"/>
  <c r="P40" i="7" l="1"/>
  <c r="P38" i="7" s="1"/>
  <c r="AO8" i="5"/>
  <c r="X76" i="3"/>
  <c r="X8" i="3" s="1"/>
  <c r="W14" i="1"/>
  <c r="Y72" i="3"/>
  <c r="Y66" i="3"/>
  <c r="AP42" i="1"/>
  <c r="AL134" i="1"/>
  <c r="AP134" i="1" s="1"/>
  <c r="AI8" i="1"/>
  <c r="AR8" i="7"/>
  <c r="AK18" i="2"/>
  <c r="AL19" i="2"/>
  <c r="AQ130" i="3"/>
  <c r="AM131" i="3"/>
  <c r="AQ131" i="3" s="1"/>
  <c r="V26" i="5"/>
  <c r="U31" i="5"/>
  <c r="U32" i="5"/>
  <c r="AH31" i="1"/>
  <c r="AH130" i="1" s="1"/>
  <c r="AI54" i="3"/>
  <c r="AI56" i="3" s="1"/>
  <c r="AJ101" i="3"/>
  <c r="AL41" i="1"/>
  <c r="AP41" i="1" s="1"/>
  <c r="AJ53" i="3"/>
  <c r="AI14" i="2"/>
  <c r="AK9" i="1"/>
  <c r="AM19" i="3"/>
  <c r="AM20" i="3" s="1"/>
  <c r="AL27" i="3"/>
  <c r="AL31" i="3" s="1"/>
  <c r="AK30" i="1" s="1"/>
  <c r="AL22" i="3"/>
  <c r="AL29" i="3"/>
  <c r="AK32" i="3"/>
  <c r="AJ9" i="1"/>
  <c r="AL88" i="3"/>
  <c r="AM86" i="3"/>
  <c r="AL98" i="3"/>
  <c r="AK10" i="1" s="1"/>
  <c r="AK90" i="3"/>
  <c r="AK96" i="3"/>
  <c r="AJ9" i="2"/>
  <c r="AK49" i="3"/>
  <c r="AL43" i="3"/>
  <c r="AL44" i="3" s="1"/>
  <c r="AM26" i="7" s="1"/>
  <c r="AM25" i="7" s="1"/>
  <c r="AK51" i="3"/>
  <c r="AI13" i="1"/>
  <c r="AK99" i="3"/>
  <c r="AK97" i="3"/>
  <c r="M28" i="1"/>
  <c r="AO55" i="5"/>
  <c r="O9" i="5"/>
  <c r="AH34" i="3"/>
  <c r="V77" i="3"/>
  <c r="U89" i="1"/>
  <c r="U131" i="1" s="1"/>
  <c r="AI33" i="3"/>
  <c r="AH87" i="1"/>
  <c r="AH129" i="1" s="1"/>
  <c r="AK55" i="3"/>
  <c r="AJ88" i="1"/>
  <c r="AK103" i="3"/>
  <c r="AJ90" i="1"/>
  <c r="AI11" i="2"/>
  <c r="U15" i="2"/>
  <c r="U12" i="2" s="1"/>
  <c r="U21" i="2" s="1"/>
  <c r="AK20" i="7"/>
  <c r="AK19" i="7" s="1"/>
  <c r="AI8" i="2"/>
  <c r="AH13" i="2"/>
  <c r="AJ11" i="2"/>
  <c r="AM30" i="7"/>
  <c r="AM29" i="7" s="1"/>
  <c r="O57" i="5"/>
  <c r="AO50" i="5"/>
  <c r="O52" i="5"/>
  <c r="O56" i="5"/>
  <c r="O10" i="5" s="1"/>
  <c r="AO75" i="5"/>
  <c r="AO82" i="5"/>
  <c r="AO74" i="5"/>
  <c r="O77" i="5"/>
  <c r="O84" i="5" s="1"/>
  <c r="P67" i="5"/>
  <c r="AO81" i="5"/>
  <c r="AO49" i="5"/>
  <c r="P42" i="5"/>
  <c r="P45" i="5" s="1"/>
  <c r="AQ15" i="3"/>
  <c r="AQ39" i="3"/>
  <c r="AQ61" i="3"/>
  <c r="AQ125" i="3"/>
  <c r="AQ83" i="3"/>
  <c r="AP38" i="7" l="1"/>
  <c r="P7" i="7"/>
  <c r="N93" i="1"/>
  <c r="O15" i="5"/>
  <c r="AO15" i="5" s="1"/>
  <c r="P55" i="5"/>
  <c r="W11" i="1"/>
  <c r="W7" i="1" s="1"/>
  <c r="X47" i="1"/>
  <c r="X45" i="1" s="1"/>
  <c r="X40" i="1" s="1"/>
  <c r="X83" i="1" s="1"/>
  <c r="Y73" i="3"/>
  <c r="Y71" i="3"/>
  <c r="Y75" i="3" s="1"/>
  <c r="X32" i="1" s="1"/>
  <c r="X29" i="1" s="1"/>
  <c r="Z65" i="3"/>
  <c r="Z72" i="3" s="1"/>
  <c r="Z66" i="3"/>
  <c r="Z73" i="3"/>
  <c r="Y14" i="1" s="1"/>
  <c r="Y11" i="1" s="1"/>
  <c r="AJ8" i="1"/>
  <c r="AP19" i="2"/>
  <c r="AL18" i="2"/>
  <c r="AP18" i="2" s="1"/>
  <c r="U34" i="5"/>
  <c r="V24" i="5"/>
  <c r="V27" i="5" s="1"/>
  <c r="P13" i="5"/>
  <c r="AI33" i="1"/>
  <c r="AI132" i="1" s="1"/>
  <c r="AJ102" i="3"/>
  <c r="AJ104" i="3" s="1"/>
  <c r="AI31" i="1"/>
  <c r="AI130" i="1" s="1"/>
  <c r="AJ54" i="3"/>
  <c r="AJ56" i="3" s="1"/>
  <c r="AL97" i="3"/>
  <c r="AL99" i="3"/>
  <c r="AK15" i="1" s="1"/>
  <c r="AK8" i="1"/>
  <c r="AK53" i="3"/>
  <c r="AJ14" i="2"/>
  <c r="AM22" i="3"/>
  <c r="AM27" i="3"/>
  <c r="AM31" i="3" s="1"/>
  <c r="AL30" i="1" s="1"/>
  <c r="AP30" i="1" s="1"/>
  <c r="AL90" i="3"/>
  <c r="AL96" i="3"/>
  <c r="AM88" i="3"/>
  <c r="AM97" i="3" s="1"/>
  <c r="AM98" i="3"/>
  <c r="AK9" i="2"/>
  <c r="AL49" i="3"/>
  <c r="AM43" i="3"/>
  <c r="AL51" i="3"/>
  <c r="AJ13" i="1"/>
  <c r="AJ15" i="1"/>
  <c r="AK101" i="3"/>
  <c r="AM29" i="3"/>
  <c r="AL12" i="1" s="1"/>
  <c r="AM28" i="3"/>
  <c r="AK12" i="1"/>
  <c r="AL32" i="3"/>
  <c r="M35" i="1"/>
  <c r="M126" i="1" s="1"/>
  <c r="N32" i="2"/>
  <c r="AO9" i="5"/>
  <c r="AO57" i="5"/>
  <c r="O11" i="5"/>
  <c r="AO10" i="5"/>
  <c r="N18" i="1"/>
  <c r="V9" i="3"/>
  <c r="V78" i="3"/>
  <c r="V10" i="3" s="1"/>
  <c r="AI34" i="3"/>
  <c r="AI87" i="1"/>
  <c r="AI129" i="1" s="1"/>
  <c r="AJ33" i="3"/>
  <c r="AL55" i="3"/>
  <c r="AK88" i="1"/>
  <c r="AL103" i="3"/>
  <c r="AK90" i="1"/>
  <c r="AI16" i="2"/>
  <c r="U17" i="2"/>
  <c r="V10" i="2"/>
  <c r="V7" i="2" s="1"/>
  <c r="X28" i="7"/>
  <c r="X27" i="7" s="1"/>
  <c r="AL20" i="7"/>
  <c r="AL19" i="7" s="1"/>
  <c r="AJ8" i="2"/>
  <c r="AI13" i="2"/>
  <c r="O59" i="5"/>
  <c r="O14" i="5" s="1"/>
  <c r="AO52" i="5"/>
  <c r="AO77" i="5"/>
  <c r="AO84" i="5"/>
  <c r="P70" i="5"/>
  <c r="AO56" i="5"/>
  <c r="P49" i="5"/>
  <c r="P56" i="5" s="1"/>
  <c r="P50" i="5"/>
  <c r="P57" i="5" s="1"/>
  <c r="Q44" i="5"/>
  <c r="AQ17" i="3"/>
  <c r="AQ41" i="3"/>
  <c r="AQ63" i="3"/>
  <c r="AQ127" i="3"/>
  <c r="AQ129" i="3"/>
  <c r="AQ85" i="3"/>
  <c r="P80" i="5" l="1"/>
  <c r="P8" i="5"/>
  <c r="Q40" i="7" s="1"/>
  <c r="Q38" i="7" s="1"/>
  <c r="P9" i="5"/>
  <c r="AP7" i="7"/>
  <c r="P10" i="7"/>
  <c r="AP10" i="7" s="1"/>
  <c r="AN93" i="1"/>
  <c r="N86" i="1"/>
  <c r="P15" i="5"/>
  <c r="O93" i="1"/>
  <c r="Q7" i="7"/>
  <c r="Q10" i="7" s="1"/>
  <c r="Y47" i="1"/>
  <c r="Y45" i="1" s="1"/>
  <c r="Y40" i="1" s="1"/>
  <c r="Y83" i="1" s="1"/>
  <c r="AA65" i="3"/>
  <c r="Z71" i="3"/>
  <c r="Z75" i="3" s="1"/>
  <c r="X14" i="1"/>
  <c r="Y76" i="3"/>
  <c r="Y8" i="3" s="1"/>
  <c r="V31" i="5"/>
  <c r="W26" i="5"/>
  <c r="V32" i="5"/>
  <c r="O116" i="1"/>
  <c r="O115" i="1" s="1"/>
  <c r="O114" i="1" s="1"/>
  <c r="N31" i="2"/>
  <c r="AN32" i="2"/>
  <c r="AL101" i="3"/>
  <c r="AL53" i="3"/>
  <c r="AK14" i="2"/>
  <c r="AM44" i="3"/>
  <c r="AQ43" i="3"/>
  <c r="AJ31" i="1"/>
  <c r="AJ130" i="1" s="1"/>
  <c r="AK54" i="3"/>
  <c r="AK56" i="3" s="1"/>
  <c r="AP12" i="1"/>
  <c r="AJ33" i="1"/>
  <c r="AJ132" i="1" s="1"/>
  <c r="AK102" i="3"/>
  <c r="AK104" i="3" s="1"/>
  <c r="AM90" i="3"/>
  <c r="AM96" i="3"/>
  <c r="AM101" i="3" s="1"/>
  <c r="AL33" i="1" s="1"/>
  <c r="AM99" i="3"/>
  <c r="AL10" i="1"/>
  <c r="AK13" i="1"/>
  <c r="Y7" i="1"/>
  <c r="AL9" i="1"/>
  <c r="AM32" i="3"/>
  <c r="M128" i="1"/>
  <c r="AO11" i="5"/>
  <c r="N22" i="1"/>
  <c r="N135" i="1" s="1"/>
  <c r="AN135" i="1" s="1"/>
  <c r="AN18" i="1"/>
  <c r="N17" i="1"/>
  <c r="O16" i="5"/>
  <c r="AO16" i="5" s="1"/>
  <c r="AO14" i="5"/>
  <c r="AO59" i="5"/>
  <c r="AJ34" i="3"/>
  <c r="W77" i="3"/>
  <c r="V89" i="1"/>
  <c r="V131" i="1" s="1"/>
  <c r="AJ87" i="1"/>
  <c r="AJ129" i="1" s="1"/>
  <c r="AK33" i="3"/>
  <c r="AQ50" i="3"/>
  <c r="AJ16" i="2"/>
  <c r="AK11" i="2"/>
  <c r="AQ30" i="3"/>
  <c r="AQ52" i="3"/>
  <c r="V15" i="2"/>
  <c r="V12" i="2" s="1"/>
  <c r="V21" i="2" s="1"/>
  <c r="AQ74" i="3"/>
  <c r="AQ100" i="3"/>
  <c r="AN30" i="7"/>
  <c r="AN29" i="7" s="1"/>
  <c r="AJ13" i="2"/>
  <c r="AM20" i="7"/>
  <c r="AM19" i="7" s="1"/>
  <c r="AK8" i="2"/>
  <c r="AK16" i="2"/>
  <c r="Q69" i="5"/>
  <c r="P74" i="5"/>
  <c r="P81" i="5" s="1"/>
  <c r="P10" i="5" s="1"/>
  <c r="P75" i="5"/>
  <c r="P82" i="5" s="1"/>
  <c r="P11" i="5" s="1"/>
  <c r="Q42" i="5"/>
  <c r="P52" i="5"/>
  <c r="P59" i="5" s="1"/>
  <c r="AQ86" i="3"/>
  <c r="Q13" i="5" l="1"/>
  <c r="P116" i="1" s="1"/>
  <c r="P115" i="1" s="1"/>
  <c r="P114" i="1" s="1"/>
  <c r="O32" i="2"/>
  <c r="O31" i="2" s="1"/>
  <c r="O24" i="2" s="1"/>
  <c r="O34" i="2" s="1"/>
  <c r="V34" i="5"/>
  <c r="W24" i="5"/>
  <c r="W27" i="5" s="1"/>
  <c r="AN86" i="1"/>
  <c r="N85" i="1"/>
  <c r="AN85" i="1" s="1"/>
  <c r="O86" i="1"/>
  <c r="X11" i="1"/>
  <c r="X7" i="1" s="1"/>
  <c r="AA72" i="3"/>
  <c r="Z47" i="1" s="1"/>
  <c r="AA66" i="3"/>
  <c r="Y32" i="1"/>
  <c r="Z76" i="3"/>
  <c r="Z8" i="3" s="1"/>
  <c r="AP10" i="1"/>
  <c r="AN31" i="2"/>
  <c r="N24" i="2"/>
  <c r="AK33" i="1"/>
  <c r="AK132" i="1" s="1"/>
  <c r="AL102" i="3"/>
  <c r="AL104" i="3" s="1"/>
  <c r="AK31" i="1"/>
  <c r="AK130" i="1" s="1"/>
  <c r="AL54" i="3"/>
  <c r="AL56" i="3" s="1"/>
  <c r="AM51" i="3"/>
  <c r="AL13" i="1" s="1"/>
  <c r="AL9" i="2"/>
  <c r="AP9" i="2" s="1"/>
  <c r="AM49" i="3"/>
  <c r="AL14" i="2" s="1"/>
  <c r="AP14" i="2" s="1"/>
  <c r="AN26" i="7"/>
  <c r="AN25" i="7" s="1"/>
  <c r="AL88" i="1" s="1"/>
  <c r="AQ44" i="3"/>
  <c r="AL15" i="1"/>
  <c r="AM102" i="3"/>
  <c r="AL8" i="1"/>
  <c r="AP8" i="1" s="1"/>
  <c r="AP9" i="1"/>
  <c r="AN22" i="1"/>
  <c r="N21" i="1"/>
  <c r="AN17" i="1"/>
  <c r="O18" i="1"/>
  <c r="O22" i="1"/>
  <c r="W78" i="3"/>
  <c r="W10" i="3" s="1"/>
  <c r="W9" i="3"/>
  <c r="AK34" i="3"/>
  <c r="AM103" i="3"/>
  <c r="AL90" i="1"/>
  <c r="AL33" i="3"/>
  <c r="AK87" i="1"/>
  <c r="AK129" i="1" s="1"/>
  <c r="AQ98" i="3"/>
  <c r="AR29" i="7"/>
  <c r="V17" i="2"/>
  <c r="W10" i="2"/>
  <c r="W7" i="2" s="1"/>
  <c r="Y28" i="7"/>
  <c r="Y27" i="7" s="1"/>
  <c r="AQ96" i="3"/>
  <c r="AL11" i="2"/>
  <c r="AP11" i="2" s="1"/>
  <c r="AK13" i="2"/>
  <c r="Q67" i="5"/>
  <c r="P77" i="5"/>
  <c r="P84" i="5" s="1"/>
  <c r="P14" i="5" s="1"/>
  <c r="P16" i="5" s="1"/>
  <c r="Q45" i="5"/>
  <c r="AQ90" i="3"/>
  <c r="AQ88" i="3"/>
  <c r="AQ19" i="3"/>
  <c r="AL8" i="2"/>
  <c r="AP8" i="2" s="1"/>
  <c r="W31" i="5" l="1"/>
  <c r="W32" i="5"/>
  <c r="X26" i="5"/>
  <c r="O135" i="1"/>
  <c r="Q55" i="5"/>
  <c r="Z45" i="1"/>
  <c r="AO47" i="1"/>
  <c r="AA71" i="3"/>
  <c r="AA75" i="3" s="1"/>
  <c r="Z32" i="1" s="1"/>
  <c r="AB65" i="3"/>
  <c r="AB72" i="3" s="1"/>
  <c r="AA47" i="1" s="1"/>
  <c r="AA45" i="1" s="1"/>
  <c r="AA40" i="1" s="1"/>
  <c r="AA83" i="1" s="1"/>
  <c r="AA73" i="3"/>
  <c r="AB66" i="3"/>
  <c r="Y29" i="1"/>
  <c r="AP13" i="1"/>
  <c r="AP15" i="1"/>
  <c r="AL132" i="1"/>
  <c r="O85" i="1"/>
  <c r="N34" i="2"/>
  <c r="AN34" i="2" s="1"/>
  <c r="AN24" i="2"/>
  <c r="AQ51" i="3"/>
  <c r="AM55" i="3"/>
  <c r="AR25" i="7"/>
  <c r="AP33" i="1"/>
  <c r="AN21" i="1"/>
  <c r="N16" i="1"/>
  <c r="AM53" i="3"/>
  <c r="AQ53" i="3" s="1"/>
  <c r="AQ49" i="3"/>
  <c r="AM104" i="3"/>
  <c r="AQ103" i="3"/>
  <c r="O17" i="1"/>
  <c r="O21" i="1"/>
  <c r="AP90" i="1"/>
  <c r="AP88" i="1"/>
  <c r="AL34" i="3"/>
  <c r="X77" i="3"/>
  <c r="W89" i="1"/>
  <c r="W131" i="1" s="1"/>
  <c r="AL16" i="2"/>
  <c r="AP16" i="2" s="1"/>
  <c r="W15" i="2"/>
  <c r="W12" i="2" s="1"/>
  <c r="W21" i="2" s="1"/>
  <c r="AQ99" i="3"/>
  <c r="AN20" i="7"/>
  <c r="AN19" i="7" s="1"/>
  <c r="Q70" i="5"/>
  <c r="Q49" i="5"/>
  <c r="Q56" i="5" s="1"/>
  <c r="Q50" i="5"/>
  <c r="Q57" i="5" s="1"/>
  <c r="R44" i="5"/>
  <c r="AQ97" i="3"/>
  <c r="AQ22" i="3"/>
  <c r="AL13" i="2"/>
  <c r="AP13" i="2" s="1"/>
  <c r="AQ20" i="3"/>
  <c r="X24" i="5" l="1"/>
  <c r="W34" i="5"/>
  <c r="Q80" i="5"/>
  <c r="Q9" i="5" s="1"/>
  <c r="Q8" i="5"/>
  <c r="R40" i="7" s="1"/>
  <c r="R38" i="7" s="1"/>
  <c r="AO45" i="1"/>
  <c r="Z40" i="1"/>
  <c r="Z29" i="1"/>
  <c r="AO29" i="1" s="1"/>
  <c r="AO32" i="1"/>
  <c r="Z14" i="1"/>
  <c r="AA76" i="3"/>
  <c r="AA8" i="3" s="1"/>
  <c r="AC65" i="3"/>
  <c r="AB71" i="3"/>
  <c r="AB75" i="3" s="1"/>
  <c r="AA32" i="1" s="1"/>
  <c r="AA29" i="1" s="1"/>
  <c r="AB73" i="3"/>
  <c r="AL31" i="1"/>
  <c r="AL130" i="1" s="1"/>
  <c r="AM54" i="3"/>
  <c r="AQ55" i="3"/>
  <c r="AP132" i="1"/>
  <c r="AN16" i="1"/>
  <c r="N28" i="1"/>
  <c r="O16" i="1"/>
  <c r="X78" i="3"/>
  <c r="X10" i="3" s="1"/>
  <c r="X9" i="3"/>
  <c r="AL87" i="1"/>
  <c r="AM33" i="3"/>
  <c r="AQ28" i="3"/>
  <c r="W17" i="2"/>
  <c r="X10" i="2"/>
  <c r="X7" i="2" s="1"/>
  <c r="Z28" i="7"/>
  <c r="Z27" i="7" s="1"/>
  <c r="AR19" i="7"/>
  <c r="Q74" i="5"/>
  <c r="Q81" i="5" s="1"/>
  <c r="Q10" i="5" s="1"/>
  <c r="Q75" i="5"/>
  <c r="Q82" i="5" s="1"/>
  <c r="Q11" i="5" s="1"/>
  <c r="R69" i="5"/>
  <c r="X27" i="5"/>
  <c r="R42" i="5"/>
  <c r="Q52" i="5"/>
  <c r="Q59" i="5" s="1"/>
  <c r="AQ101" i="3"/>
  <c r="AQ27" i="3"/>
  <c r="AQ29" i="3"/>
  <c r="P32" i="2" l="1"/>
  <c r="P31" i="2" s="1"/>
  <c r="P24" i="2" s="1"/>
  <c r="P34" i="2" s="1"/>
  <c r="R13" i="5"/>
  <c r="Q116" i="1" s="1"/>
  <c r="Q115" i="1" s="1"/>
  <c r="Q114" i="1" s="1"/>
  <c r="R7" i="7"/>
  <c r="R10" i="7" s="1"/>
  <c r="P93" i="1"/>
  <c r="Q15" i="5"/>
  <c r="Z83" i="1"/>
  <c r="AO83" i="1" s="1"/>
  <c r="AO40" i="1"/>
  <c r="AO14" i="1"/>
  <c r="Z11" i="1"/>
  <c r="AC66" i="3"/>
  <c r="AC72" i="3"/>
  <c r="AB76" i="3"/>
  <c r="AB8" i="3" s="1"/>
  <c r="AA14" i="1"/>
  <c r="AQ54" i="3"/>
  <c r="AM56" i="3"/>
  <c r="AQ56" i="3" s="1"/>
  <c r="AP87" i="1"/>
  <c r="AL129" i="1"/>
  <c r="AP129" i="1" s="1"/>
  <c r="AP130" i="1"/>
  <c r="AP31" i="1"/>
  <c r="AN28" i="1"/>
  <c r="N35" i="1"/>
  <c r="O28" i="1"/>
  <c r="P18" i="1"/>
  <c r="P22" i="1"/>
  <c r="AM34" i="3"/>
  <c r="Y77" i="3"/>
  <c r="X89" i="1"/>
  <c r="X131" i="1" s="1"/>
  <c r="X15" i="2"/>
  <c r="X12" i="2" s="1"/>
  <c r="X21" i="2" s="1"/>
  <c r="AQ33" i="3"/>
  <c r="AQ102" i="3"/>
  <c r="AQ104" i="3"/>
  <c r="Q77" i="5"/>
  <c r="Q84" i="5" s="1"/>
  <c r="Q14" i="5" s="1"/>
  <c r="R67" i="5"/>
  <c r="X31" i="5"/>
  <c r="X32" i="5"/>
  <c r="Y26" i="5"/>
  <c r="R45" i="5"/>
  <c r="AQ31" i="3"/>
  <c r="P135" i="1" l="1"/>
  <c r="Q16" i="5"/>
  <c r="P86" i="1"/>
  <c r="P85" i="1" s="1"/>
  <c r="R55" i="5"/>
  <c r="AO11" i="1"/>
  <c r="Z7" i="1"/>
  <c r="AO7" i="1" s="1"/>
  <c r="AC73" i="3"/>
  <c r="AD65" i="3"/>
  <c r="AC71" i="3"/>
  <c r="AC75" i="3" s="1"/>
  <c r="AB32" i="1" s="1"/>
  <c r="AB29" i="1" s="1"/>
  <c r="AA11" i="1"/>
  <c r="AA7" i="1" s="1"/>
  <c r="AB47" i="1"/>
  <c r="AB45" i="1" s="1"/>
  <c r="AB40" i="1" s="1"/>
  <c r="AB83" i="1" s="1"/>
  <c r="N126" i="1"/>
  <c r="AN35" i="1"/>
  <c r="O35" i="1"/>
  <c r="O126" i="1" s="1"/>
  <c r="O128" i="1" s="1"/>
  <c r="O148" i="1" s="1"/>
  <c r="P17" i="1"/>
  <c r="P21" i="1"/>
  <c r="Y78" i="3"/>
  <c r="Y10" i="3" s="1"/>
  <c r="Y9" i="3"/>
  <c r="X17" i="2"/>
  <c r="Y10" i="2"/>
  <c r="Y7" i="2" s="1"/>
  <c r="AA28" i="7"/>
  <c r="AA27" i="7" s="1"/>
  <c r="AQ32" i="3"/>
  <c r="AQ34" i="3"/>
  <c r="R70" i="5"/>
  <c r="R49" i="5"/>
  <c r="R56" i="5" s="1"/>
  <c r="Y24" i="5"/>
  <c r="X34" i="5"/>
  <c r="R50" i="5"/>
  <c r="R57" i="5" s="1"/>
  <c r="S44" i="5"/>
  <c r="R80" i="5" l="1"/>
  <c r="R9" i="5" s="1"/>
  <c r="R8" i="5"/>
  <c r="S40" i="7" s="1"/>
  <c r="S38" i="7" s="1"/>
  <c r="AD66" i="3"/>
  <c r="AD72" i="3"/>
  <c r="AB14" i="1"/>
  <c r="AC76" i="3"/>
  <c r="AC8" i="3" s="1"/>
  <c r="AN126" i="1"/>
  <c r="N128" i="1"/>
  <c r="P16" i="1"/>
  <c r="Z77" i="3"/>
  <c r="Y89" i="1"/>
  <c r="Y131" i="1" s="1"/>
  <c r="Y15" i="2"/>
  <c r="Y12" i="2" s="1"/>
  <c r="Y21" i="2" s="1"/>
  <c r="R75" i="5"/>
  <c r="R82" i="5" s="1"/>
  <c r="R11" i="5" s="1"/>
  <c r="R74" i="5"/>
  <c r="R81" i="5" s="1"/>
  <c r="R10" i="5" s="1"/>
  <c r="S69" i="5"/>
  <c r="Y27" i="5"/>
  <c r="S42" i="5"/>
  <c r="R52" i="5"/>
  <c r="R59" i="5" s="1"/>
  <c r="AP65" i="3"/>
  <c r="AP72" i="3"/>
  <c r="Q32" i="2" l="1"/>
  <c r="Q31" i="2" s="1"/>
  <c r="Q24" i="2" s="1"/>
  <c r="Q34" i="2" s="1"/>
  <c r="S13" i="5"/>
  <c r="R116" i="1" s="1"/>
  <c r="R115" i="1" s="1"/>
  <c r="R114" i="1" s="1"/>
  <c r="S7" i="7"/>
  <c r="S10" i="7" s="1"/>
  <c r="Q93" i="1"/>
  <c r="R15" i="5"/>
  <c r="AD73" i="3"/>
  <c r="AC14" i="1" s="1"/>
  <c r="AD71" i="3"/>
  <c r="AD75" i="3" s="1"/>
  <c r="AE65" i="3"/>
  <c r="AB11" i="1"/>
  <c r="AB7" i="1" s="1"/>
  <c r="AC47" i="1"/>
  <c r="AC45" i="1" s="1"/>
  <c r="AC40" i="1" s="1"/>
  <c r="AC83" i="1" s="1"/>
  <c r="O38" i="2"/>
  <c r="P28" i="1"/>
  <c r="Q22" i="1"/>
  <c r="Q18" i="1"/>
  <c r="Z78" i="3"/>
  <c r="Z10" i="3" s="1"/>
  <c r="Z9" i="3"/>
  <c r="Y17" i="2"/>
  <c r="Z10" i="2"/>
  <c r="AB28" i="7"/>
  <c r="AB27" i="7" s="1"/>
  <c r="S67" i="5"/>
  <c r="R77" i="5"/>
  <c r="R84" i="5" s="1"/>
  <c r="R14" i="5" s="1"/>
  <c r="Y31" i="5"/>
  <c r="Y32" i="5"/>
  <c r="Z26" i="5"/>
  <c r="S45" i="5"/>
  <c r="Z15" i="2"/>
  <c r="AP66" i="3"/>
  <c r="Q135" i="1" l="1"/>
  <c r="Q86" i="1"/>
  <c r="Q85" i="1" s="1"/>
  <c r="R16" i="5"/>
  <c r="S55" i="5"/>
  <c r="AC11" i="1"/>
  <c r="AC7" i="1" s="1"/>
  <c r="AE66" i="3"/>
  <c r="AE72" i="3"/>
  <c r="AC32" i="1"/>
  <c r="AC29" i="1" s="1"/>
  <c r="AD76" i="3"/>
  <c r="AD8" i="3" s="1"/>
  <c r="Z7" i="2"/>
  <c r="AO10" i="2"/>
  <c r="Z12" i="2"/>
  <c r="AO12" i="2" s="1"/>
  <c r="AO15" i="2"/>
  <c r="P35" i="1"/>
  <c r="P126" i="1" s="1"/>
  <c r="P128" i="1" s="1"/>
  <c r="P148" i="1" s="1"/>
  <c r="Q21" i="1"/>
  <c r="Q17" i="1"/>
  <c r="AA77" i="3"/>
  <c r="Z89" i="1"/>
  <c r="AQ27" i="7"/>
  <c r="AP73" i="3"/>
  <c r="S70" i="5"/>
  <c r="S49" i="5"/>
  <c r="S56" i="5" s="1"/>
  <c r="Z24" i="5"/>
  <c r="Y34" i="5"/>
  <c r="S50" i="5"/>
  <c r="S57" i="5" s="1"/>
  <c r="T44" i="5"/>
  <c r="AP71" i="3"/>
  <c r="S80" i="5" l="1"/>
  <c r="S9" i="5" s="1"/>
  <c r="S8" i="5"/>
  <c r="T40" i="7" s="1"/>
  <c r="T38" i="7" s="1"/>
  <c r="T7" i="7" s="1"/>
  <c r="AE71" i="3"/>
  <c r="AE75" i="3" s="1"/>
  <c r="AD32" i="1" s="1"/>
  <c r="AD29" i="1" s="1"/>
  <c r="AF65" i="3"/>
  <c r="AE73" i="3"/>
  <c r="AD14" i="1" s="1"/>
  <c r="AD47" i="1"/>
  <c r="AD45" i="1" s="1"/>
  <c r="AD40" i="1" s="1"/>
  <c r="AD83" i="1" s="1"/>
  <c r="AE76" i="3"/>
  <c r="AE8" i="3" s="1"/>
  <c r="AO89" i="1"/>
  <c r="Z131" i="1"/>
  <c r="AO131" i="1" s="1"/>
  <c r="AO7" i="2"/>
  <c r="Z17" i="2"/>
  <c r="AO17" i="2" s="1"/>
  <c r="Z21" i="2"/>
  <c r="AO21" i="2" s="1"/>
  <c r="P38" i="2"/>
  <c r="Q16" i="1"/>
  <c r="AA78" i="3"/>
  <c r="AA10" i="3" s="1"/>
  <c r="AP10" i="3" s="1"/>
  <c r="AA9" i="3"/>
  <c r="AP9" i="3" s="1"/>
  <c r="AP77" i="3"/>
  <c r="AA10" i="2"/>
  <c r="AA7" i="2" s="1"/>
  <c r="AC28" i="7"/>
  <c r="AC27" i="7" s="1"/>
  <c r="S74" i="5"/>
  <c r="S81" i="5" s="1"/>
  <c r="S10" i="5" s="1"/>
  <c r="S75" i="5"/>
  <c r="S82" i="5" s="1"/>
  <c r="S11" i="5" s="1"/>
  <c r="T69" i="5"/>
  <c r="Z27" i="5"/>
  <c r="T42" i="5"/>
  <c r="S52" i="5"/>
  <c r="S59" i="5" s="1"/>
  <c r="AP75" i="3"/>
  <c r="R32" i="2" l="1"/>
  <c r="R31" i="2" s="1"/>
  <c r="R24" i="2" s="1"/>
  <c r="R34" i="2" s="1"/>
  <c r="T13" i="5"/>
  <c r="S15" i="5"/>
  <c r="R93" i="1"/>
  <c r="R86" i="1" s="1"/>
  <c r="R85" i="1" s="1"/>
  <c r="T10" i="7"/>
  <c r="AF66" i="3"/>
  <c r="AF72" i="3"/>
  <c r="AE47" i="1" s="1"/>
  <c r="AE45" i="1" s="1"/>
  <c r="AE40" i="1" s="1"/>
  <c r="AE83" i="1" s="1"/>
  <c r="AD11" i="1"/>
  <c r="AD7" i="1" s="1"/>
  <c r="S116" i="1"/>
  <c r="S115" i="1" s="1"/>
  <c r="S114" i="1" s="1"/>
  <c r="Q28" i="1"/>
  <c r="R18" i="1"/>
  <c r="R22" i="1"/>
  <c r="AB77" i="3"/>
  <c r="AA89" i="1"/>
  <c r="AA131" i="1" s="1"/>
  <c r="AA15" i="2"/>
  <c r="AA12" i="2" s="1"/>
  <c r="AA21" i="2" s="1"/>
  <c r="AP8" i="3"/>
  <c r="AP76" i="3"/>
  <c r="S77" i="5"/>
  <c r="S84" i="5" s="1"/>
  <c r="S14" i="5" s="1"/>
  <c r="T67" i="5"/>
  <c r="Z31" i="5"/>
  <c r="Z32" i="5"/>
  <c r="AA26" i="5"/>
  <c r="T45" i="5"/>
  <c r="S16" i="5" l="1"/>
  <c r="R135" i="1"/>
  <c r="T55" i="5"/>
  <c r="AF71" i="3"/>
  <c r="AF75" i="3" s="1"/>
  <c r="AE32" i="1" s="1"/>
  <c r="AE29" i="1" s="1"/>
  <c r="AG65" i="3"/>
  <c r="AF73" i="3"/>
  <c r="Q35" i="1"/>
  <c r="Q126" i="1" s="1"/>
  <c r="Q128" i="1" s="1"/>
  <c r="Q148" i="1" s="1"/>
  <c r="R17" i="1"/>
  <c r="R21" i="1"/>
  <c r="AB78" i="3"/>
  <c r="AB10" i="3" s="1"/>
  <c r="AB9" i="3"/>
  <c r="AA17" i="2"/>
  <c r="AP78" i="3"/>
  <c r="AB10" i="2"/>
  <c r="AB7" i="2" s="1"/>
  <c r="AD28" i="7"/>
  <c r="AD27" i="7" s="1"/>
  <c r="T70" i="5"/>
  <c r="T49" i="5"/>
  <c r="T56" i="5" s="1"/>
  <c r="Z34" i="5"/>
  <c r="AA24" i="5"/>
  <c r="AP26" i="5"/>
  <c r="U44" i="5"/>
  <c r="T50" i="5"/>
  <c r="T57" i="5" s="1"/>
  <c r="T80" i="5" l="1"/>
  <c r="T9" i="5" s="1"/>
  <c r="T8" i="5"/>
  <c r="U40" i="7" s="1"/>
  <c r="U38" i="7" s="1"/>
  <c r="AE14" i="1"/>
  <c r="AF76" i="3"/>
  <c r="AF8" i="3" s="1"/>
  <c r="AG72" i="3"/>
  <c r="AF47" i="1" s="1"/>
  <c r="AF45" i="1" s="1"/>
  <c r="AF40" i="1" s="1"/>
  <c r="AF83" i="1" s="1"/>
  <c r="AG66" i="3"/>
  <c r="Q38" i="2"/>
  <c r="R16" i="1"/>
  <c r="AC77" i="3"/>
  <c r="AB89" i="1"/>
  <c r="AB131" i="1" s="1"/>
  <c r="AB15" i="2"/>
  <c r="AB12" i="2" s="1"/>
  <c r="AB21" i="2" s="1"/>
  <c r="T74" i="5"/>
  <c r="T81" i="5" s="1"/>
  <c r="T10" i="5" s="1"/>
  <c r="T75" i="5"/>
  <c r="T82" i="5" s="1"/>
  <c r="T11" i="5" s="1"/>
  <c r="U69" i="5"/>
  <c r="AP24" i="5"/>
  <c r="AA27" i="5"/>
  <c r="U42" i="5"/>
  <c r="T52" i="5"/>
  <c r="T59" i="5" s="1"/>
  <c r="S32" i="2" l="1"/>
  <c r="S31" i="2" s="1"/>
  <c r="S24" i="2" s="1"/>
  <c r="S34" i="2" s="1"/>
  <c r="U13" i="5"/>
  <c r="T116" i="1" s="1"/>
  <c r="T115" i="1" s="1"/>
  <c r="T114" i="1" s="1"/>
  <c r="U7" i="7"/>
  <c r="S93" i="1"/>
  <c r="T15" i="5"/>
  <c r="AE11" i="1"/>
  <c r="AE7" i="1" s="1"/>
  <c r="AH65" i="3"/>
  <c r="AH72" i="3" s="1"/>
  <c r="AG47" i="1" s="1"/>
  <c r="AG45" i="1" s="1"/>
  <c r="AG40" i="1" s="1"/>
  <c r="AG83" i="1" s="1"/>
  <c r="AG71" i="3"/>
  <c r="AG75" i="3" s="1"/>
  <c r="AF32" i="1" s="1"/>
  <c r="AF29" i="1" s="1"/>
  <c r="AG73" i="3"/>
  <c r="AH66" i="3"/>
  <c r="R28" i="1"/>
  <c r="S18" i="1"/>
  <c r="S22" i="1"/>
  <c r="AC78" i="3"/>
  <c r="AC10" i="3" s="1"/>
  <c r="AC9" i="3"/>
  <c r="AB17" i="2"/>
  <c r="AC10" i="2"/>
  <c r="AC7" i="2" s="1"/>
  <c r="AE28" i="7"/>
  <c r="AE27" i="7" s="1"/>
  <c r="U67" i="5"/>
  <c r="T77" i="5"/>
  <c r="T84" i="5" s="1"/>
  <c r="T14" i="5" s="1"/>
  <c r="AA31" i="5"/>
  <c r="AA32" i="5"/>
  <c r="AP27" i="5"/>
  <c r="AB26" i="5"/>
  <c r="U45" i="5"/>
  <c r="S135" i="1" l="1"/>
  <c r="T16" i="5"/>
  <c r="U10" i="7"/>
  <c r="S86" i="1"/>
  <c r="S85" i="1" s="1"/>
  <c r="U55" i="5"/>
  <c r="AF14" i="1"/>
  <c r="AG76" i="3"/>
  <c r="AG8" i="3" s="1"/>
  <c r="AH73" i="3"/>
  <c r="AH71" i="3"/>
  <c r="AH75" i="3" s="1"/>
  <c r="AG32" i="1" s="1"/>
  <c r="AG29" i="1" s="1"/>
  <c r="AI65" i="3"/>
  <c r="R35" i="1"/>
  <c r="R126" i="1" s="1"/>
  <c r="S17" i="1"/>
  <c r="S21" i="1"/>
  <c r="AP32" i="5"/>
  <c r="AD77" i="3"/>
  <c r="AC89" i="1"/>
  <c r="AC131" i="1" s="1"/>
  <c r="AC15" i="2"/>
  <c r="AC12" i="2" s="1"/>
  <c r="AC21" i="2" s="1"/>
  <c r="AD10" i="2"/>
  <c r="AD7" i="2" s="1"/>
  <c r="AF28" i="7"/>
  <c r="AF27" i="7" s="1"/>
  <c r="U70" i="5"/>
  <c r="U49" i="5"/>
  <c r="U56" i="5" s="1"/>
  <c r="AP31" i="5"/>
  <c r="AB24" i="5"/>
  <c r="AB27" i="5" s="1"/>
  <c r="AA34" i="5"/>
  <c r="V44" i="5"/>
  <c r="U50" i="5"/>
  <c r="U57" i="5" s="1"/>
  <c r="U80" i="5" l="1"/>
  <c r="U9" i="5" s="1"/>
  <c r="U8" i="5"/>
  <c r="V40" i="7" s="1"/>
  <c r="V38" i="7" s="1"/>
  <c r="V7" i="7" s="1"/>
  <c r="AF11" i="1"/>
  <c r="AF7" i="1" s="1"/>
  <c r="AH76" i="3"/>
  <c r="AH8" i="3" s="1"/>
  <c r="AG14" i="1"/>
  <c r="AI72" i="3"/>
  <c r="AI66" i="3"/>
  <c r="T32" i="2"/>
  <c r="T31" i="2" s="1"/>
  <c r="T24" i="2" s="1"/>
  <c r="T34" i="2" s="1"/>
  <c r="V13" i="5"/>
  <c r="R128" i="1"/>
  <c r="R148" i="1" s="1"/>
  <c r="S16" i="1"/>
  <c r="AP34" i="5"/>
  <c r="AD78" i="3"/>
  <c r="AD10" i="3" s="1"/>
  <c r="AD9" i="3"/>
  <c r="AE77" i="3"/>
  <c r="AD89" i="1"/>
  <c r="AD131" i="1" s="1"/>
  <c r="AC17" i="2"/>
  <c r="AD15" i="2"/>
  <c r="AD12" i="2" s="1"/>
  <c r="AD21" i="2" s="1"/>
  <c r="U75" i="5"/>
  <c r="U82" i="5" s="1"/>
  <c r="U11" i="5" s="1"/>
  <c r="U74" i="5"/>
  <c r="U81" i="5" s="1"/>
  <c r="U10" i="5" s="1"/>
  <c r="V69" i="5"/>
  <c r="AB31" i="5"/>
  <c r="AB32" i="5"/>
  <c r="AC26" i="5"/>
  <c r="U52" i="5"/>
  <c r="U59" i="5" s="1"/>
  <c r="V42" i="5"/>
  <c r="U15" i="5" l="1"/>
  <c r="T93" i="1"/>
  <c r="T86" i="1"/>
  <c r="T85" i="1" s="1"/>
  <c r="V10" i="7"/>
  <c r="AG11" i="1"/>
  <c r="AG7" i="1" s="1"/>
  <c r="AH47" i="1"/>
  <c r="AH45" i="1" s="1"/>
  <c r="AH40" i="1" s="1"/>
  <c r="AH83" i="1" s="1"/>
  <c r="AI73" i="3"/>
  <c r="AJ65" i="3"/>
  <c r="AI71" i="3"/>
  <c r="AI75" i="3" s="1"/>
  <c r="AH32" i="1" s="1"/>
  <c r="AH29" i="1" s="1"/>
  <c r="U116" i="1"/>
  <c r="U115" i="1" s="1"/>
  <c r="U114" i="1" s="1"/>
  <c r="R38" i="2"/>
  <c r="S28" i="1"/>
  <c r="T22" i="1"/>
  <c r="T18" i="1"/>
  <c r="AE78" i="3"/>
  <c r="AE10" i="3" s="1"/>
  <c r="AE9" i="3"/>
  <c r="AD17" i="2"/>
  <c r="AE10" i="2"/>
  <c r="AE7" i="2" s="1"/>
  <c r="AG28" i="7"/>
  <c r="AG27" i="7" s="1"/>
  <c r="V67" i="5"/>
  <c r="U77" i="5"/>
  <c r="U84" i="5" s="1"/>
  <c r="U14" i="5" s="1"/>
  <c r="U16" i="5" s="1"/>
  <c r="AC24" i="5"/>
  <c r="AC27" i="5" s="1"/>
  <c r="AB34" i="5"/>
  <c r="V45" i="5"/>
  <c r="T135" i="1" l="1"/>
  <c r="V55" i="5"/>
  <c r="AH14" i="1"/>
  <c r="AI76" i="3"/>
  <c r="AI8" i="3" s="1"/>
  <c r="AJ72" i="3"/>
  <c r="AJ66" i="3"/>
  <c r="S35" i="1"/>
  <c r="S126" i="1" s="1"/>
  <c r="T21" i="1"/>
  <c r="T17" i="1"/>
  <c r="AF77" i="3"/>
  <c r="AE89" i="1"/>
  <c r="AE131" i="1" s="1"/>
  <c r="AE15" i="2"/>
  <c r="AE12" i="2" s="1"/>
  <c r="AE21" i="2" s="1"/>
  <c r="V70" i="5"/>
  <c r="V49" i="5"/>
  <c r="V56" i="5" s="1"/>
  <c r="AC31" i="5"/>
  <c r="AC32" i="5"/>
  <c r="AD26" i="5"/>
  <c r="W44" i="5"/>
  <c r="V50" i="5"/>
  <c r="V57" i="5" s="1"/>
  <c r="V80" i="5" l="1"/>
  <c r="V9" i="5" s="1"/>
  <c r="V8" i="5"/>
  <c r="W40" i="7" s="1"/>
  <c r="W38" i="7" s="1"/>
  <c r="W7" i="7" s="1"/>
  <c r="AH11" i="1"/>
  <c r="AH7" i="1" s="1"/>
  <c r="AI47" i="1"/>
  <c r="AI45" i="1" s="1"/>
  <c r="AI40" i="1" s="1"/>
  <c r="AI83" i="1" s="1"/>
  <c r="AJ73" i="3"/>
  <c r="AK65" i="3"/>
  <c r="AJ71" i="3"/>
  <c r="AJ75" i="3" s="1"/>
  <c r="AI32" i="1" s="1"/>
  <c r="AI29" i="1" s="1"/>
  <c r="S128" i="1"/>
  <c r="S148" i="1" s="1"/>
  <c r="T16" i="1"/>
  <c r="AF78" i="3"/>
  <c r="AF10" i="3" s="1"/>
  <c r="AF9" i="3"/>
  <c r="AE17" i="2"/>
  <c r="AF10" i="2"/>
  <c r="AF7" i="2" s="1"/>
  <c r="AH28" i="7"/>
  <c r="AH27" i="7" s="1"/>
  <c r="V74" i="5"/>
  <c r="V81" i="5" s="1"/>
  <c r="V10" i="5" s="1"/>
  <c r="V75" i="5"/>
  <c r="V82" i="5" s="1"/>
  <c r="V11" i="5" s="1"/>
  <c r="W69" i="5"/>
  <c r="AD24" i="5"/>
  <c r="AD27" i="5" s="1"/>
  <c r="AC34" i="5"/>
  <c r="V52" i="5"/>
  <c r="V59" i="5" s="1"/>
  <c r="W42" i="5"/>
  <c r="U32" i="2" l="1"/>
  <c r="U31" i="2" s="1"/>
  <c r="U24" i="2" s="1"/>
  <c r="U34" i="2" s="1"/>
  <c r="W13" i="5"/>
  <c r="V116" i="1" s="1"/>
  <c r="V115" i="1" s="1"/>
  <c r="V114" i="1" s="1"/>
  <c r="V15" i="5"/>
  <c r="U93" i="1"/>
  <c r="U86" i="1" s="1"/>
  <c r="U85" i="1" s="1"/>
  <c r="AK72" i="3"/>
  <c r="AK66" i="3"/>
  <c r="W10" i="7"/>
  <c r="AK71" i="3"/>
  <c r="AK75" i="3" s="1"/>
  <c r="AJ32" i="1" s="1"/>
  <c r="AJ29" i="1" s="1"/>
  <c r="AL65" i="3"/>
  <c r="AK73" i="3"/>
  <c r="AI14" i="1"/>
  <c r="AJ76" i="3"/>
  <c r="AJ8" i="3" s="1"/>
  <c r="AJ47" i="1"/>
  <c r="AJ45" i="1" s="1"/>
  <c r="AJ40" i="1" s="1"/>
  <c r="AJ83" i="1" s="1"/>
  <c r="S38" i="2"/>
  <c r="T28" i="1"/>
  <c r="U18" i="1"/>
  <c r="U22" i="1"/>
  <c r="AG77" i="3"/>
  <c r="AF89" i="1"/>
  <c r="AF131" i="1" s="1"/>
  <c r="AF15" i="2"/>
  <c r="AF12" i="2" s="1"/>
  <c r="AF21" i="2" s="1"/>
  <c r="W67" i="5"/>
  <c r="V77" i="5"/>
  <c r="V84" i="5" s="1"/>
  <c r="V14" i="5" s="1"/>
  <c r="AD31" i="5"/>
  <c r="AD32" i="5"/>
  <c r="AE26" i="5"/>
  <c r="W45" i="5"/>
  <c r="V16" i="5" l="1"/>
  <c r="U135" i="1"/>
  <c r="W55" i="5"/>
  <c r="AI11" i="1"/>
  <c r="AI7" i="1" s="1"/>
  <c r="AL72" i="3"/>
  <c r="AL66" i="3"/>
  <c r="AJ14" i="1"/>
  <c r="AK76" i="3"/>
  <c r="AK8" i="3" s="1"/>
  <c r="T35" i="1"/>
  <c r="T126" i="1" s="1"/>
  <c r="U17" i="1"/>
  <c r="U21" i="1"/>
  <c r="AG78" i="3"/>
  <c r="AG10" i="3" s="1"/>
  <c r="AG9" i="3"/>
  <c r="AF17" i="2"/>
  <c r="AG10" i="2"/>
  <c r="AG7" i="2" s="1"/>
  <c r="AI28" i="7"/>
  <c r="AI27" i="7" s="1"/>
  <c r="W70" i="5"/>
  <c r="W49" i="5"/>
  <c r="W56" i="5" s="1"/>
  <c r="AD34" i="5"/>
  <c r="AE24" i="5"/>
  <c r="AE27" i="5" s="1"/>
  <c r="X44" i="5"/>
  <c r="W50" i="5"/>
  <c r="W57" i="5" s="1"/>
  <c r="W80" i="5" l="1"/>
  <c r="W9" i="5" s="1"/>
  <c r="W8" i="5"/>
  <c r="X40" i="7" s="1"/>
  <c r="X38" i="7" s="1"/>
  <c r="AK47" i="1"/>
  <c r="AK45" i="1" s="1"/>
  <c r="AK40" i="1" s="1"/>
  <c r="AK83" i="1" s="1"/>
  <c r="AL71" i="3"/>
  <c r="AL75" i="3" s="1"/>
  <c r="AK32" i="1" s="1"/>
  <c r="AK29" i="1" s="1"/>
  <c r="AM65" i="3"/>
  <c r="AM72" i="3" s="1"/>
  <c r="AL47" i="1" s="1"/>
  <c r="AM66" i="3"/>
  <c r="AL73" i="3"/>
  <c r="AJ11" i="1"/>
  <c r="AJ7" i="1" s="1"/>
  <c r="T128" i="1"/>
  <c r="T148" i="1" s="1"/>
  <c r="U16" i="1"/>
  <c r="AH77" i="3"/>
  <c r="AG89" i="1"/>
  <c r="AG131" i="1" s="1"/>
  <c r="AG15" i="2"/>
  <c r="AG12" i="2" s="1"/>
  <c r="AG21" i="2" s="1"/>
  <c r="X69" i="5"/>
  <c r="W75" i="5"/>
  <c r="W82" i="5" s="1"/>
  <c r="W11" i="5" s="1"/>
  <c r="W74" i="5"/>
  <c r="W81" i="5" s="1"/>
  <c r="W10" i="5" s="1"/>
  <c r="AE31" i="5"/>
  <c r="AE32" i="5"/>
  <c r="AF26" i="5"/>
  <c r="X42" i="5"/>
  <c r="W52" i="5"/>
  <c r="W59" i="5" s="1"/>
  <c r="V32" i="2" l="1"/>
  <c r="V31" i="2" s="1"/>
  <c r="V24" i="2" s="1"/>
  <c r="V34" i="2" s="1"/>
  <c r="X13" i="5"/>
  <c r="W116" i="1" s="1"/>
  <c r="W115" i="1" s="1"/>
  <c r="W114" i="1" s="1"/>
  <c r="X7" i="7"/>
  <c r="V93" i="1"/>
  <c r="W15" i="5"/>
  <c r="AK14" i="1"/>
  <c r="AL76" i="3"/>
  <c r="AL8" i="3" s="1"/>
  <c r="AL45" i="1"/>
  <c r="AP47" i="1"/>
  <c r="AM73" i="3"/>
  <c r="AM71" i="3"/>
  <c r="AM75" i="3" s="1"/>
  <c r="AL32" i="1" s="1"/>
  <c r="AK11" i="1"/>
  <c r="AK7" i="1" s="1"/>
  <c r="T38" i="2"/>
  <c r="U28" i="1"/>
  <c r="V22" i="1"/>
  <c r="V18" i="1"/>
  <c r="AH78" i="3"/>
  <c r="AH10" i="3" s="1"/>
  <c r="AH9" i="3"/>
  <c r="AG17" i="2"/>
  <c r="AH10" i="2"/>
  <c r="AH7" i="2" s="1"/>
  <c r="AJ28" i="7"/>
  <c r="AJ27" i="7" s="1"/>
  <c r="X67" i="5"/>
  <c r="W77" i="5"/>
  <c r="W84" i="5" s="1"/>
  <c r="W14" i="5" s="1"/>
  <c r="AF24" i="5"/>
  <c r="AF27" i="5" s="1"/>
  <c r="AE34" i="5"/>
  <c r="X45" i="5"/>
  <c r="V135" i="1" l="1"/>
  <c r="X10" i="7"/>
  <c r="V86" i="1"/>
  <c r="V85" i="1" s="1"/>
  <c r="W16" i="5"/>
  <c r="X55" i="5"/>
  <c r="AP45" i="1"/>
  <c r="AL40" i="1"/>
  <c r="AL14" i="1"/>
  <c r="AM76" i="3"/>
  <c r="AM8" i="3" s="1"/>
  <c r="AP32" i="1"/>
  <c r="AL29" i="1"/>
  <c r="AP29" i="1" s="1"/>
  <c r="U35" i="1"/>
  <c r="U126" i="1" s="1"/>
  <c r="V21" i="1"/>
  <c r="V17" i="1"/>
  <c r="AI77" i="3"/>
  <c r="AH89" i="1"/>
  <c r="AH131" i="1" s="1"/>
  <c r="AH15" i="2"/>
  <c r="AH12" i="2" s="1"/>
  <c r="AH21" i="2" s="1"/>
  <c r="X70" i="5"/>
  <c r="X49" i="5"/>
  <c r="X56" i="5" s="1"/>
  <c r="AF31" i="5"/>
  <c r="AF32" i="5"/>
  <c r="AG26" i="5"/>
  <c r="Y44" i="5"/>
  <c r="X50" i="5"/>
  <c r="X57" i="5" s="1"/>
  <c r="X80" i="5" l="1"/>
  <c r="X9" i="5" s="1"/>
  <c r="X8" i="5"/>
  <c r="Y40" i="7" s="1"/>
  <c r="Y38" i="7" s="1"/>
  <c r="Y7" i="7" s="1"/>
  <c r="AL83" i="1"/>
  <c r="AP83" i="1" s="1"/>
  <c r="AP40" i="1"/>
  <c r="AL11" i="1"/>
  <c r="AP14" i="1"/>
  <c r="U128" i="1"/>
  <c r="U148" i="1" s="1"/>
  <c r="V16" i="1"/>
  <c r="AI78" i="3"/>
  <c r="AI10" i="3" s="1"/>
  <c r="AI9" i="3"/>
  <c r="AH17" i="2"/>
  <c r="AI10" i="2"/>
  <c r="AI7" i="2" s="1"/>
  <c r="AK28" i="7"/>
  <c r="AK27" i="7" s="1"/>
  <c r="X75" i="5"/>
  <c r="X82" i="5" s="1"/>
  <c r="X11" i="5" s="1"/>
  <c r="X74" i="5"/>
  <c r="X81" i="5" s="1"/>
  <c r="X10" i="5" s="1"/>
  <c r="Y69" i="5"/>
  <c r="AG24" i="5"/>
  <c r="AG27" i="5" s="1"/>
  <c r="AF34" i="5"/>
  <c r="X52" i="5"/>
  <c r="X59" i="5" s="1"/>
  <c r="Y42" i="5"/>
  <c r="Y13" i="5" l="1"/>
  <c r="X116" i="1" s="1"/>
  <c r="X115" i="1" s="1"/>
  <c r="X114" i="1" s="1"/>
  <c r="W32" i="2"/>
  <c r="W31" i="2" s="1"/>
  <c r="W24" i="2" s="1"/>
  <c r="W34" i="2" s="1"/>
  <c r="X15" i="5"/>
  <c r="W93" i="1"/>
  <c r="W86" i="1" s="1"/>
  <c r="W85" i="1" s="1"/>
  <c r="Y10" i="7"/>
  <c r="AP11" i="1"/>
  <c r="AL7" i="1"/>
  <c r="AP7" i="1" s="1"/>
  <c r="U38" i="2"/>
  <c r="V28" i="1"/>
  <c r="W22" i="1"/>
  <c r="W18" i="1"/>
  <c r="AJ77" i="3"/>
  <c r="AI89" i="1"/>
  <c r="AI131" i="1" s="1"/>
  <c r="AI15" i="2"/>
  <c r="AI12" i="2" s="1"/>
  <c r="AI21" i="2" s="1"/>
  <c r="X77" i="5"/>
  <c r="X84" i="5" s="1"/>
  <c r="X14" i="5" s="1"/>
  <c r="Y67" i="5"/>
  <c r="AG31" i="5"/>
  <c r="AG32" i="5"/>
  <c r="AH26" i="5"/>
  <c r="Y45" i="5"/>
  <c r="X16" i="5" l="1"/>
  <c r="W135" i="1"/>
  <c r="Y55" i="5"/>
  <c r="V35" i="1"/>
  <c r="V126" i="1" s="1"/>
  <c r="W21" i="1"/>
  <c r="W17" i="1"/>
  <c r="AJ78" i="3"/>
  <c r="AJ10" i="3" s="1"/>
  <c r="AJ9" i="3"/>
  <c r="AI17" i="2"/>
  <c r="AJ10" i="2"/>
  <c r="AJ7" i="2" s="1"/>
  <c r="AL28" i="7"/>
  <c r="AL27" i="7" s="1"/>
  <c r="Y70" i="5"/>
  <c r="Y49" i="5"/>
  <c r="Y56" i="5" s="1"/>
  <c r="AH24" i="5"/>
  <c r="AH27" i="5" s="1"/>
  <c r="AG34" i="5"/>
  <c r="Y50" i="5"/>
  <c r="Y57" i="5" s="1"/>
  <c r="Z44" i="5"/>
  <c r="Y80" i="5" l="1"/>
  <c r="Y9" i="5" s="1"/>
  <c r="Y8" i="5"/>
  <c r="Z40" i="7" s="1"/>
  <c r="Z38" i="7" s="1"/>
  <c r="V128" i="1"/>
  <c r="V148" i="1" s="1"/>
  <c r="W16" i="1"/>
  <c r="AK77" i="3"/>
  <c r="AJ89" i="1"/>
  <c r="AJ131" i="1" s="1"/>
  <c r="AJ15" i="2"/>
  <c r="AJ12" i="2" s="1"/>
  <c r="AJ21" i="2" s="1"/>
  <c r="Y74" i="5"/>
  <c r="Y81" i="5" s="1"/>
  <c r="Y10" i="5" s="1"/>
  <c r="Y75" i="5"/>
  <c r="Y82" i="5" s="1"/>
  <c r="Y11" i="5" s="1"/>
  <c r="Z69" i="5"/>
  <c r="AH31" i="5"/>
  <c r="AI26" i="5"/>
  <c r="AH32" i="5"/>
  <c r="Y52" i="5"/>
  <c r="Y59" i="5" s="1"/>
  <c r="Z42" i="5"/>
  <c r="X32" i="2" l="1"/>
  <c r="X31" i="2" s="1"/>
  <c r="X24" i="2" s="1"/>
  <c r="X34" i="2" s="1"/>
  <c r="Z13" i="5"/>
  <c r="Y116" i="1" s="1"/>
  <c r="Y115" i="1" s="1"/>
  <c r="Y114" i="1" s="1"/>
  <c r="Y15" i="5"/>
  <c r="X93" i="1"/>
  <c r="Z7" i="7"/>
  <c r="Z10" i="7" s="1"/>
  <c r="X86" i="1"/>
  <c r="X85" i="1" s="1"/>
  <c r="V38" i="2"/>
  <c r="W28" i="1"/>
  <c r="X18" i="1"/>
  <c r="X22" i="1"/>
  <c r="AK78" i="3"/>
  <c r="AK10" i="3" s="1"/>
  <c r="AK9" i="3"/>
  <c r="AJ17" i="2"/>
  <c r="AK10" i="2"/>
  <c r="AK7" i="2" s="1"/>
  <c r="AM28" i="7"/>
  <c r="AM27" i="7" s="1"/>
  <c r="Z67" i="5"/>
  <c r="Y77" i="5"/>
  <c r="Y84" i="5" s="1"/>
  <c r="Y14" i="5" s="1"/>
  <c r="AI24" i="5"/>
  <c r="AI27" i="5" s="1"/>
  <c r="AH34" i="5"/>
  <c r="Z45" i="5"/>
  <c r="X135" i="1" l="1"/>
  <c r="Y16" i="5"/>
  <c r="Z55" i="5"/>
  <c r="W35" i="1"/>
  <c r="W126" i="1" s="1"/>
  <c r="X17" i="1"/>
  <c r="X21" i="1"/>
  <c r="AL77" i="3"/>
  <c r="AK89" i="1"/>
  <c r="AK131" i="1" s="1"/>
  <c r="AK15" i="2"/>
  <c r="AK12" i="2" s="1"/>
  <c r="AK21" i="2" s="1"/>
  <c r="Z70" i="5"/>
  <c r="Z49" i="5"/>
  <c r="Z56" i="5" s="1"/>
  <c r="AI31" i="5"/>
  <c r="AJ26" i="5"/>
  <c r="AI32" i="5"/>
  <c r="AA44" i="5"/>
  <c r="Z50" i="5"/>
  <c r="Z57" i="5" s="1"/>
  <c r="AQ72" i="3"/>
  <c r="AQ65" i="3"/>
  <c r="Z80" i="5" l="1"/>
  <c r="Z9" i="5" s="1"/>
  <c r="Z8" i="5"/>
  <c r="AA40" i="7" s="1"/>
  <c r="AA38" i="7" s="1"/>
  <c r="W128" i="1"/>
  <c r="W148" i="1" s="1"/>
  <c r="X16" i="1"/>
  <c r="AL78" i="3"/>
  <c r="AL10" i="3" s="1"/>
  <c r="AL9" i="3"/>
  <c r="AK17" i="2"/>
  <c r="AL10" i="2"/>
  <c r="AN28" i="7"/>
  <c r="AN27" i="7" s="1"/>
  <c r="AA69" i="5"/>
  <c r="Z74" i="5"/>
  <c r="Z81" i="5" s="1"/>
  <c r="Z10" i="5" s="1"/>
  <c r="Z75" i="5"/>
  <c r="Z82" i="5" s="1"/>
  <c r="Z11" i="5" s="1"/>
  <c r="AJ24" i="5"/>
  <c r="AJ27" i="5" s="1"/>
  <c r="AI34" i="5"/>
  <c r="Z52" i="5"/>
  <c r="Z59" i="5" s="1"/>
  <c r="AA42" i="5"/>
  <c r="AP44" i="5"/>
  <c r="AQ66" i="3"/>
  <c r="AL15" i="2"/>
  <c r="Y32" i="2" l="1"/>
  <c r="Y31" i="2" s="1"/>
  <c r="Y24" i="2" s="1"/>
  <c r="Y34" i="2" s="1"/>
  <c r="AA13" i="5"/>
  <c r="Z15" i="5"/>
  <c r="AA7" i="7"/>
  <c r="AA10" i="7" s="1"/>
  <c r="Y93" i="1"/>
  <c r="Y86" i="1"/>
  <c r="Y85" i="1" s="1"/>
  <c r="AP13" i="5"/>
  <c r="Z116" i="1"/>
  <c r="Z115" i="1" s="1"/>
  <c r="Z114" i="1" s="1"/>
  <c r="W38" i="2"/>
  <c r="AL7" i="2"/>
  <c r="AP10" i="2"/>
  <c r="AL12" i="2"/>
  <c r="AP12" i="2" s="1"/>
  <c r="AP15" i="2"/>
  <c r="X28" i="1"/>
  <c r="Y18" i="1"/>
  <c r="Y22" i="1"/>
  <c r="AM77" i="3"/>
  <c r="AL89" i="1"/>
  <c r="AR27" i="7"/>
  <c r="AQ73" i="3"/>
  <c r="Z77" i="5"/>
  <c r="Z84" i="5" s="1"/>
  <c r="Z14" i="5" s="1"/>
  <c r="AA67" i="5"/>
  <c r="AP69" i="5"/>
  <c r="AJ31" i="5"/>
  <c r="AK26" i="5"/>
  <c r="AJ32" i="5"/>
  <c r="AP42" i="5"/>
  <c r="AA45" i="5"/>
  <c r="AQ71" i="3"/>
  <c r="Y135" i="1" l="1"/>
  <c r="Z16" i="5"/>
  <c r="AA55" i="5"/>
  <c r="AP55" i="5" s="1"/>
  <c r="AP89" i="1"/>
  <c r="AL131" i="1"/>
  <c r="AP131" i="1" s="1"/>
  <c r="AO116" i="1"/>
  <c r="AP7" i="2"/>
  <c r="AL17" i="2"/>
  <c r="AP17" i="2" s="1"/>
  <c r="AL21" i="2"/>
  <c r="AP21" i="2" s="1"/>
  <c r="X35" i="1"/>
  <c r="X126" i="1" s="1"/>
  <c r="Y17" i="1"/>
  <c r="Y21" i="1"/>
  <c r="AM78" i="3"/>
  <c r="AM10" i="3" s="1"/>
  <c r="AQ10" i="3" s="1"/>
  <c r="AM9" i="3"/>
  <c r="AQ9" i="3" s="1"/>
  <c r="AQ77" i="3"/>
  <c r="AP67" i="5"/>
  <c r="AA70" i="5"/>
  <c r="AA49" i="5"/>
  <c r="AA56" i="5" s="1"/>
  <c r="AK24" i="5"/>
  <c r="AK27" i="5" s="1"/>
  <c r="AJ34" i="5"/>
  <c r="AA50" i="5"/>
  <c r="AP45" i="5"/>
  <c r="AB44" i="5"/>
  <c r="AQ75" i="3"/>
  <c r="AA80" i="5" l="1"/>
  <c r="AA8" i="5"/>
  <c r="AO114" i="1"/>
  <c r="X128" i="1"/>
  <c r="X148" i="1" s="1"/>
  <c r="Y16" i="1"/>
  <c r="AQ8" i="3"/>
  <c r="AQ76" i="3"/>
  <c r="AP50" i="5"/>
  <c r="AA57" i="5"/>
  <c r="AA75" i="5"/>
  <c r="AA82" i="5" s="1"/>
  <c r="AA74" i="5"/>
  <c r="AA81" i="5" s="1"/>
  <c r="AA10" i="5" s="1"/>
  <c r="AP70" i="5"/>
  <c r="AB69" i="5"/>
  <c r="AK31" i="5"/>
  <c r="AL26" i="5"/>
  <c r="AK32" i="5"/>
  <c r="AP49" i="5"/>
  <c r="AA52" i="5"/>
  <c r="AA59" i="5" s="1"/>
  <c r="AB42" i="5"/>
  <c r="AA9" i="5" l="1"/>
  <c r="AP80" i="5"/>
  <c r="AP8" i="5"/>
  <c r="AB40" i="7"/>
  <c r="AB38" i="7" s="1"/>
  <c r="X38" i="2"/>
  <c r="AA11" i="5"/>
  <c r="Y28" i="1"/>
  <c r="Z18" i="1"/>
  <c r="AP10" i="5"/>
  <c r="AQ78" i="3"/>
  <c r="AP75" i="5"/>
  <c r="AP82" i="5"/>
  <c r="AP74" i="5"/>
  <c r="AA77" i="5"/>
  <c r="AA84" i="5" s="1"/>
  <c r="AA14" i="5" s="1"/>
  <c r="AB67" i="5"/>
  <c r="AP81" i="5"/>
  <c r="AP52" i="5"/>
  <c r="AP57" i="5"/>
  <c r="AL24" i="5"/>
  <c r="AL27" i="5" s="1"/>
  <c r="AK34" i="5"/>
  <c r="AB45" i="5"/>
  <c r="AB13" i="5" l="1"/>
  <c r="AA116" i="1" s="1"/>
  <c r="AA115" i="1" s="1"/>
  <c r="AA114" i="1" s="1"/>
  <c r="AP9" i="5"/>
  <c r="Z32" i="2"/>
  <c r="AO32" i="2" s="1"/>
  <c r="AQ38" i="7"/>
  <c r="AB7" i="7"/>
  <c r="Z93" i="1"/>
  <c r="AA15" i="5"/>
  <c r="AB55" i="5"/>
  <c r="AP11" i="5"/>
  <c r="Z22" i="1"/>
  <c r="Z31" i="2"/>
  <c r="Y35" i="1"/>
  <c r="AO18" i="1"/>
  <c r="Z17" i="1"/>
  <c r="AP14" i="5"/>
  <c r="AP77" i="5"/>
  <c r="AP84" i="5"/>
  <c r="AB70" i="5"/>
  <c r="AP56" i="5"/>
  <c r="AP59" i="5"/>
  <c r="AB49" i="5"/>
  <c r="AB56" i="5" s="1"/>
  <c r="AL31" i="5"/>
  <c r="AM26" i="5"/>
  <c r="AQ26" i="5" s="1"/>
  <c r="AL32" i="5"/>
  <c r="AC44" i="5"/>
  <c r="AB50" i="5"/>
  <c r="AB57" i="5" s="1"/>
  <c r="Z135" i="1" l="1"/>
  <c r="AO135" i="1" s="1"/>
  <c r="AQ7" i="7"/>
  <c r="AB10" i="7"/>
  <c r="AQ10" i="7" s="1"/>
  <c r="AO93" i="1"/>
  <c r="Z86" i="1"/>
  <c r="AP15" i="5"/>
  <c r="AA16" i="5"/>
  <c r="AP16" i="5" s="1"/>
  <c r="AB80" i="5"/>
  <c r="AB9" i="5" s="1"/>
  <c r="AB8" i="5"/>
  <c r="AC40" i="7" s="1"/>
  <c r="AC38" i="7" s="1"/>
  <c r="AO22" i="1"/>
  <c r="Z21" i="1"/>
  <c r="AO31" i="2"/>
  <c r="Z24" i="2"/>
  <c r="Y126" i="1"/>
  <c r="Y128" i="1" s="1"/>
  <c r="Y148" i="1" s="1"/>
  <c r="AO17" i="1"/>
  <c r="AB75" i="5"/>
  <c r="AB82" i="5" s="1"/>
  <c r="AB11" i="5" s="1"/>
  <c r="AB74" i="5"/>
  <c r="AB81" i="5" s="1"/>
  <c r="AB10" i="5" s="1"/>
  <c r="AC69" i="5"/>
  <c r="AM24" i="5"/>
  <c r="AL34" i="5"/>
  <c r="AB52" i="5"/>
  <c r="AB59" i="5" s="1"/>
  <c r="AC42" i="5"/>
  <c r="AC13" i="5" l="1"/>
  <c r="AB116" i="1" s="1"/>
  <c r="AB115" i="1" s="1"/>
  <c r="AB114" i="1" s="1"/>
  <c r="AA32" i="2"/>
  <c r="AA31" i="2" s="1"/>
  <c r="AA24" i="2" s="1"/>
  <c r="AA34" i="2" s="1"/>
  <c r="Z85" i="1"/>
  <c r="AO85" i="1" s="1"/>
  <c r="AO86" i="1"/>
  <c r="AC7" i="7"/>
  <c r="AA93" i="1"/>
  <c r="AB15" i="5"/>
  <c r="AO21" i="1"/>
  <c r="Z16" i="1"/>
  <c r="AO24" i="2"/>
  <c r="Z34" i="2"/>
  <c r="AO34" i="2" s="1"/>
  <c r="Y38" i="2"/>
  <c r="AA22" i="1"/>
  <c r="AA18" i="1"/>
  <c r="AC67" i="5"/>
  <c r="AB77" i="5"/>
  <c r="AB84" i="5" s="1"/>
  <c r="AB14" i="5" s="1"/>
  <c r="AM27" i="5"/>
  <c r="AQ24" i="5"/>
  <c r="AC45" i="5"/>
  <c r="AB16" i="5" l="1"/>
  <c r="AA135" i="1"/>
  <c r="AC10" i="7"/>
  <c r="AA86" i="1"/>
  <c r="AA85" i="1" s="1"/>
  <c r="AC55" i="5"/>
  <c r="AO16" i="1"/>
  <c r="Z28" i="1"/>
  <c r="AA21" i="1"/>
  <c r="AA17" i="1"/>
  <c r="AM31" i="5"/>
  <c r="AC70" i="5"/>
  <c r="AC49" i="5"/>
  <c r="AC56" i="5" s="1"/>
  <c r="AM32" i="5"/>
  <c r="AQ27" i="5"/>
  <c r="AD44" i="5"/>
  <c r="AC50" i="5"/>
  <c r="AC57" i="5" s="1"/>
  <c r="AC80" i="5" l="1"/>
  <c r="AC9" i="5" s="1"/>
  <c r="AC8" i="5"/>
  <c r="AD40" i="7" s="1"/>
  <c r="AD38" i="7" s="1"/>
  <c r="AD7" i="7" s="1"/>
  <c r="AO28" i="1"/>
  <c r="Z35" i="1"/>
  <c r="AA16" i="1"/>
  <c r="AQ32" i="5"/>
  <c r="AC75" i="5"/>
  <c r="AC82" i="5" s="1"/>
  <c r="AC11" i="5" s="1"/>
  <c r="AC74" i="5"/>
  <c r="AC81" i="5" s="1"/>
  <c r="AC10" i="5" s="1"/>
  <c r="AD69" i="5"/>
  <c r="AQ31" i="5"/>
  <c r="AM34" i="5"/>
  <c r="AD42" i="5"/>
  <c r="AC52" i="5"/>
  <c r="AC59" i="5" s="1"/>
  <c r="AB32" i="2" l="1"/>
  <c r="AB31" i="2" s="1"/>
  <c r="AB24" i="2" s="1"/>
  <c r="AB34" i="2" s="1"/>
  <c r="AD13" i="5"/>
  <c r="AC116" i="1" s="1"/>
  <c r="AC115" i="1" s="1"/>
  <c r="AC114" i="1" s="1"/>
  <c r="AB93" i="1"/>
  <c r="AB86" i="1" s="1"/>
  <c r="AB85" i="1" s="1"/>
  <c r="AC15" i="5"/>
  <c r="AD10" i="7"/>
  <c r="AO35" i="1"/>
  <c r="Z126" i="1"/>
  <c r="AA28" i="1"/>
  <c r="AB22" i="1"/>
  <c r="AB18" i="1"/>
  <c r="AQ34" i="5"/>
  <c r="AD67" i="5"/>
  <c r="AC77" i="5"/>
  <c r="AC84" i="5" s="1"/>
  <c r="AC14" i="5" s="1"/>
  <c r="AD45" i="5"/>
  <c r="AC16" i="5" l="1"/>
  <c r="AB135" i="1"/>
  <c r="AD55" i="5"/>
  <c r="Z128" i="1"/>
  <c r="AO126" i="1"/>
  <c r="AA35" i="1"/>
  <c r="AA126" i="1" s="1"/>
  <c r="AB21" i="1"/>
  <c r="AB17" i="1"/>
  <c r="AD70" i="5"/>
  <c r="AD49" i="5"/>
  <c r="AD56" i="5" s="1"/>
  <c r="AD50" i="5"/>
  <c r="AD57" i="5" s="1"/>
  <c r="AE44" i="5"/>
  <c r="AD80" i="5" l="1"/>
  <c r="AD9" i="5" s="1"/>
  <c r="AD8" i="5"/>
  <c r="AE40" i="7" s="1"/>
  <c r="AE38" i="7" s="1"/>
  <c r="AO128" i="1"/>
  <c r="Z148" i="1"/>
  <c r="AA128" i="1"/>
  <c r="AA148" i="1" s="1"/>
  <c r="AB16" i="1"/>
  <c r="AD74" i="5"/>
  <c r="AD81" i="5" s="1"/>
  <c r="AD10" i="5" s="1"/>
  <c r="AD75" i="5"/>
  <c r="AD82" i="5" s="1"/>
  <c r="AD11" i="5" s="1"/>
  <c r="AE69" i="5"/>
  <c r="AD52" i="5"/>
  <c r="AD59" i="5" s="1"/>
  <c r="AE42" i="5"/>
  <c r="AC32" i="2" l="1"/>
  <c r="AC31" i="2" s="1"/>
  <c r="AC24" i="2" s="1"/>
  <c r="AC34" i="2" s="1"/>
  <c r="AE13" i="5"/>
  <c r="AO148" i="1"/>
  <c r="Z38" i="2"/>
  <c r="AO38" i="2" s="1"/>
  <c r="AE7" i="7"/>
  <c r="AC93" i="1"/>
  <c r="AD15" i="5"/>
  <c r="AD116" i="1"/>
  <c r="AD115" i="1" s="1"/>
  <c r="AD114" i="1" s="1"/>
  <c r="AA38" i="2"/>
  <c r="AB28" i="1"/>
  <c r="AC18" i="1"/>
  <c r="AC22" i="1"/>
  <c r="AD77" i="5"/>
  <c r="AD84" i="5" s="1"/>
  <c r="AD14" i="5" s="1"/>
  <c r="AE67" i="5"/>
  <c r="AE45" i="5"/>
  <c r="AC135" i="1" l="1"/>
  <c r="AD16" i="5"/>
  <c r="AE10" i="7"/>
  <c r="AC86" i="1"/>
  <c r="AC85" i="1" s="1"/>
  <c r="AE55" i="5"/>
  <c r="AB35" i="1"/>
  <c r="AB126" i="1" s="1"/>
  <c r="AC17" i="1"/>
  <c r="AC21" i="1"/>
  <c r="AE70" i="5"/>
  <c r="AE49" i="5"/>
  <c r="AE56" i="5" s="1"/>
  <c r="AE50" i="5"/>
  <c r="AE57" i="5" s="1"/>
  <c r="AF44" i="5"/>
  <c r="AE80" i="5" l="1"/>
  <c r="AE9" i="5" s="1"/>
  <c r="AE8" i="5"/>
  <c r="AF40" i="7" s="1"/>
  <c r="AF38" i="7" s="1"/>
  <c r="AB128" i="1"/>
  <c r="AB148" i="1" s="1"/>
  <c r="AC16" i="1"/>
  <c r="AE74" i="5"/>
  <c r="AE81" i="5" s="1"/>
  <c r="AE10" i="5" s="1"/>
  <c r="AE75" i="5"/>
  <c r="AE82" i="5" s="1"/>
  <c r="AE11" i="5" s="1"/>
  <c r="AF69" i="5"/>
  <c r="AF42" i="5"/>
  <c r="AE52" i="5"/>
  <c r="AE59" i="5" s="1"/>
  <c r="AF13" i="5" l="1"/>
  <c r="AE116" i="1" s="1"/>
  <c r="AE115" i="1" s="1"/>
  <c r="AE114" i="1" s="1"/>
  <c r="AD32" i="2"/>
  <c r="AD31" i="2" s="1"/>
  <c r="AD24" i="2" s="1"/>
  <c r="AD34" i="2" s="1"/>
  <c r="AF7" i="7"/>
  <c r="AD93" i="1"/>
  <c r="AE15" i="5"/>
  <c r="AB38" i="2"/>
  <c r="AC28" i="1"/>
  <c r="AD18" i="1"/>
  <c r="AD22" i="1"/>
  <c r="AE77" i="5"/>
  <c r="AE84" i="5" s="1"/>
  <c r="AE14" i="5" s="1"/>
  <c r="AF67" i="5"/>
  <c r="AF45" i="5"/>
  <c r="AD135" i="1" l="1"/>
  <c r="AF10" i="7"/>
  <c r="AD86" i="1"/>
  <c r="AD85" i="1" s="1"/>
  <c r="AE16" i="5"/>
  <c r="AF55" i="5"/>
  <c r="AC35" i="1"/>
  <c r="AC126" i="1" s="1"/>
  <c r="AD17" i="1"/>
  <c r="AD21" i="1"/>
  <c r="AF70" i="5"/>
  <c r="AF49" i="5"/>
  <c r="AF56" i="5" s="1"/>
  <c r="AF50" i="5"/>
  <c r="AF57" i="5" s="1"/>
  <c r="AG44" i="5"/>
  <c r="AF80" i="5" l="1"/>
  <c r="AF9" i="5" s="1"/>
  <c r="AE32" i="2" s="1"/>
  <c r="AE31" i="2" s="1"/>
  <c r="AE24" i="2" s="1"/>
  <c r="AE34" i="2" s="1"/>
  <c r="AF8" i="5"/>
  <c r="AG40" i="7" s="1"/>
  <c r="AG38" i="7" s="1"/>
  <c r="AG13" i="5"/>
  <c r="AC128" i="1"/>
  <c r="AC148" i="1" s="1"/>
  <c r="AD16" i="1"/>
  <c r="AF75" i="5"/>
  <c r="AF82" i="5" s="1"/>
  <c r="AF11" i="5" s="1"/>
  <c r="AF74" i="5"/>
  <c r="AF81" i="5" s="1"/>
  <c r="AF10" i="5" s="1"/>
  <c r="AG69" i="5"/>
  <c r="AF52" i="5"/>
  <c r="AF59" i="5" s="1"/>
  <c r="AG42" i="5"/>
  <c r="AF15" i="5" l="1"/>
  <c r="AG7" i="7"/>
  <c r="AG10" i="7" s="1"/>
  <c r="AE93" i="1"/>
  <c r="AE86" i="1"/>
  <c r="AE85" i="1" s="1"/>
  <c r="AF116" i="1"/>
  <c r="AF115" i="1" s="1"/>
  <c r="AF114" i="1" s="1"/>
  <c r="AC38" i="2"/>
  <c r="AD28" i="1"/>
  <c r="AE22" i="1"/>
  <c r="AE18" i="1"/>
  <c r="AF77" i="5"/>
  <c r="AF84" i="5" s="1"/>
  <c r="AF14" i="5" s="1"/>
  <c r="AG67" i="5"/>
  <c r="AG45" i="5"/>
  <c r="AF16" i="5" l="1"/>
  <c r="AE135" i="1"/>
  <c r="AG55" i="5"/>
  <c r="AD35" i="1"/>
  <c r="AD126" i="1" s="1"/>
  <c r="AE21" i="1"/>
  <c r="AE17" i="1"/>
  <c r="AG70" i="5"/>
  <c r="AG49" i="5"/>
  <c r="AG56" i="5" s="1"/>
  <c r="AG50" i="5"/>
  <c r="AG57" i="5" s="1"/>
  <c r="AH44" i="5"/>
  <c r="AG80" i="5" l="1"/>
  <c r="AG9" i="5" s="1"/>
  <c r="AG8" i="5"/>
  <c r="AH40" i="7" s="1"/>
  <c r="AH38" i="7" s="1"/>
  <c r="AD128" i="1"/>
  <c r="AD148" i="1" s="1"/>
  <c r="AE16" i="1"/>
  <c r="AH69" i="5"/>
  <c r="AG74" i="5"/>
  <c r="AG81" i="5" s="1"/>
  <c r="AG10" i="5" s="1"/>
  <c r="AG75" i="5"/>
  <c r="AG82" i="5" s="1"/>
  <c r="AG11" i="5" s="1"/>
  <c r="AH42" i="5"/>
  <c r="AG52" i="5"/>
  <c r="AG59" i="5" s="1"/>
  <c r="AH13" i="5" l="1"/>
  <c r="AF32" i="2"/>
  <c r="AF31" i="2" s="1"/>
  <c r="AF24" i="2" s="1"/>
  <c r="AF34" i="2" s="1"/>
  <c r="AG15" i="5"/>
  <c r="AH7" i="7"/>
  <c r="AH10" i="7" s="1"/>
  <c r="AF93" i="1"/>
  <c r="AF86" i="1"/>
  <c r="AF85" i="1" s="1"/>
  <c r="AG116" i="1"/>
  <c r="AG115" i="1" s="1"/>
  <c r="AG114" i="1" s="1"/>
  <c r="AD38" i="2"/>
  <c r="AE28" i="1"/>
  <c r="AF18" i="1"/>
  <c r="AF22" i="1"/>
  <c r="AG77" i="5"/>
  <c r="AG84" i="5" s="1"/>
  <c r="AG14" i="5" s="1"/>
  <c r="AG16" i="5" s="1"/>
  <c r="AH67" i="5"/>
  <c r="AH45" i="5"/>
  <c r="AF135" i="1" l="1"/>
  <c r="AH55" i="5"/>
  <c r="AE35" i="1"/>
  <c r="AE126" i="1" s="1"/>
  <c r="AF17" i="1"/>
  <c r="AF21" i="1"/>
  <c r="AH70" i="5"/>
  <c r="AH49" i="5"/>
  <c r="AH56" i="5" s="1"/>
  <c r="AI44" i="5"/>
  <c r="AH50" i="5"/>
  <c r="AH57" i="5" s="1"/>
  <c r="AH80" i="5" l="1"/>
  <c r="AH9" i="5" s="1"/>
  <c r="AH8" i="5"/>
  <c r="AI40" i="7" s="1"/>
  <c r="AI38" i="7" s="1"/>
  <c r="AI7" i="7" s="1"/>
  <c r="AE128" i="1"/>
  <c r="AE148" i="1" s="1"/>
  <c r="AF16" i="1"/>
  <c r="AH75" i="5"/>
  <c r="AH82" i="5" s="1"/>
  <c r="AH11" i="5" s="1"/>
  <c r="AH74" i="5"/>
  <c r="AH81" i="5" s="1"/>
  <c r="AH10" i="5" s="1"/>
  <c r="AI69" i="5"/>
  <c r="AH52" i="5"/>
  <c r="AH59" i="5" s="1"/>
  <c r="AI42" i="5"/>
  <c r="AG32" i="2" l="1"/>
  <c r="AG31" i="2" s="1"/>
  <c r="AG24" i="2" s="1"/>
  <c r="AG34" i="2" s="1"/>
  <c r="AI13" i="5"/>
  <c r="AH116" i="1" s="1"/>
  <c r="AH115" i="1" s="1"/>
  <c r="AH114" i="1" s="1"/>
  <c r="AH15" i="5"/>
  <c r="AG93" i="1"/>
  <c r="AG86" i="1" s="1"/>
  <c r="AG85" i="1" s="1"/>
  <c r="AI10" i="7"/>
  <c r="AE38" i="2"/>
  <c r="AF28" i="1"/>
  <c r="AG22" i="1"/>
  <c r="AG18" i="1"/>
  <c r="AI67" i="5"/>
  <c r="AH77" i="5"/>
  <c r="AH84" i="5" s="1"/>
  <c r="AH14" i="5" s="1"/>
  <c r="AI45" i="5"/>
  <c r="AG135" i="1" l="1"/>
  <c r="AH16" i="5"/>
  <c r="AI55" i="5"/>
  <c r="AF35" i="1"/>
  <c r="AF126" i="1" s="1"/>
  <c r="AG21" i="1"/>
  <c r="AG17" i="1"/>
  <c r="AI70" i="5"/>
  <c r="AI49" i="5"/>
  <c r="AI56" i="5" s="1"/>
  <c r="AJ44" i="5"/>
  <c r="AI50" i="5"/>
  <c r="AI57" i="5" s="1"/>
  <c r="AI80" i="5" l="1"/>
  <c r="AI9" i="5" s="1"/>
  <c r="AI8" i="5"/>
  <c r="AJ40" i="7" s="1"/>
  <c r="AJ38" i="7" s="1"/>
  <c r="AF128" i="1"/>
  <c r="AF148" i="1" s="1"/>
  <c r="AG16" i="1"/>
  <c r="AI75" i="5"/>
  <c r="AI82" i="5" s="1"/>
  <c r="AI11" i="5" s="1"/>
  <c r="AI74" i="5"/>
  <c r="AI81" i="5" s="1"/>
  <c r="AI10" i="5" s="1"/>
  <c r="AJ69" i="5"/>
  <c r="AI52" i="5"/>
  <c r="AI59" i="5" s="1"/>
  <c r="AJ42" i="5"/>
  <c r="AH32" i="2" l="1"/>
  <c r="AH31" i="2" s="1"/>
  <c r="AH24" i="2" s="1"/>
  <c r="AH34" i="2" s="1"/>
  <c r="AJ13" i="5"/>
  <c r="AI116" i="1" s="1"/>
  <c r="AI115" i="1" s="1"/>
  <c r="AI114" i="1" s="1"/>
  <c r="AI15" i="5"/>
  <c r="AJ7" i="7"/>
  <c r="AJ10" i="7" s="1"/>
  <c r="AH93" i="1"/>
  <c r="AH86" i="1" s="1"/>
  <c r="AH85" i="1" s="1"/>
  <c r="AF38" i="2"/>
  <c r="AG28" i="1"/>
  <c r="AH22" i="1"/>
  <c r="AH18" i="1"/>
  <c r="AJ67" i="5"/>
  <c r="AI77" i="5"/>
  <c r="AI84" i="5" s="1"/>
  <c r="AI14" i="5" s="1"/>
  <c r="AJ45" i="5"/>
  <c r="AI16" i="5" l="1"/>
  <c r="AH135" i="1"/>
  <c r="AJ55" i="5"/>
  <c r="AG35" i="1"/>
  <c r="AG126" i="1" s="1"/>
  <c r="AH21" i="1"/>
  <c r="AH17" i="1"/>
  <c r="AJ70" i="5"/>
  <c r="AJ49" i="5"/>
  <c r="AJ56" i="5" s="1"/>
  <c r="AJ50" i="5"/>
  <c r="AJ57" i="5" s="1"/>
  <c r="AK44" i="5"/>
  <c r="AJ80" i="5" l="1"/>
  <c r="AJ9" i="5" s="1"/>
  <c r="AJ8" i="5"/>
  <c r="AK40" i="7" s="1"/>
  <c r="AK38" i="7" s="1"/>
  <c r="AK7" i="7" s="1"/>
  <c r="AG128" i="1"/>
  <c r="AG148" i="1" s="1"/>
  <c r="AH16" i="1"/>
  <c r="AK69" i="5"/>
  <c r="AJ74" i="5"/>
  <c r="AJ81" i="5" s="1"/>
  <c r="AJ10" i="5" s="1"/>
  <c r="AJ75" i="5"/>
  <c r="AJ82" i="5" s="1"/>
  <c r="AJ11" i="5" s="1"/>
  <c r="AJ52" i="5"/>
  <c r="AJ59" i="5" s="1"/>
  <c r="AK42" i="5"/>
  <c r="AI32" i="2" l="1"/>
  <c r="AI31" i="2" s="1"/>
  <c r="AI24" i="2" s="1"/>
  <c r="AI34" i="2" s="1"/>
  <c r="AK13" i="5"/>
  <c r="AJ116" i="1" s="1"/>
  <c r="AJ115" i="1" s="1"/>
  <c r="AJ114" i="1" s="1"/>
  <c r="AJ15" i="5"/>
  <c r="AI93" i="1"/>
  <c r="AI86" i="1" s="1"/>
  <c r="AI85" i="1" s="1"/>
  <c r="AK10" i="7"/>
  <c r="AG38" i="2"/>
  <c r="AH28" i="1"/>
  <c r="AI18" i="1"/>
  <c r="AI22" i="1"/>
  <c r="AJ77" i="5"/>
  <c r="AJ84" i="5" s="1"/>
  <c r="AJ14" i="5" s="1"/>
  <c r="AK67" i="5"/>
  <c r="AK45" i="5"/>
  <c r="AJ16" i="5" l="1"/>
  <c r="AI135" i="1"/>
  <c r="AK55" i="5"/>
  <c r="AH35" i="1"/>
  <c r="AH126" i="1" s="1"/>
  <c r="AI17" i="1"/>
  <c r="AI21" i="1"/>
  <c r="AK70" i="5"/>
  <c r="AK49" i="5"/>
  <c r="AK56" i="5" s="1"/>
  <c r="AL44" i="5"/>
  <c r="AK50" i="5"/>
  <c r="AK57" i="5" s="1"/>
  <c r="AK80" i="5" l="1"/>
  <c r="AK8" i="5"/>
  <c r="AL40" i="7" s="1"/>
  <c r="AL38" i="7" s="1"/>
  <c r="AK15" i="5" s="1"/>
  <c r="AK9" i="5"/>
  <c r="AH128" i="1"/>
  <c r="AH148" i="1" s="1"/>
  <c r="AI16" i="1"/>
  <c r="AL69" i="5"/>
  <c r="AK74" i="5"/>
  <c r="AK81" i="5" s="1"/>
  <c r="AK10" i="5" s="1"/>
  <c r="AK75" i="5"/>
  <c r="AK82" i="5" s="1"/>
  <c r="AK11" i="5" s="1"/>
  <c r="AK52" i="5"/>
  <c r="AK59" i="5" s="1"/>
  <c r="AL42" i="5"/>
  <c r="AL7" i="7" l="1"/>
  <c r="AL10" i="7" s="1"/>
  <c r="AJ93" i="1"/>
  <c r="AJ32" i="2"/>
  <c r="AJ31" i="2" s="1"/>
  <c r="AJ24" i="2" s="1"/>
  <c r="AJ34" i="2" s="1"/>
  <c r="AL13" i="5"/>
  <c r="AK116" i="1" s="1"/>
  <c r="AK115" i="1" s="1"/>
  <c r="AK114" i="1" s="1"/>
  <c r="AJ86" i="1"/>
  <c r="AJ85" i="1" s="1"/>
  <c r="AH38" i="2"/>
  <c r="AI28" i="1"/>
  <c r="AJ18" i="1"/>
  <c r="AJ22" i="1"/>
  <c r="AK77" i="5"/>
  <c r="AK84" i="5" s="1"/>
  <c r="AK14" i="5" s="1"/>
  <c r="AK16" i="5" s="1"/>
  <c r="AL67" i="5"/>
  <c r="AL45" i="5"/>
  <c r="AJ135" i="1" l="1"/>
  <c r="AL55" i="5"/>
  <c r="AI35" i="1"/>
  <c r="AI126" i="1" s="1"/>
  <c r="AJ17" i="1"/>
  <c r="AJ21" i="1"/>
  <c r="AL70" i="5"/>
  <c r="AL49" i="5"/>
  <c r="AL56" i="5" s="1"/>
  <c r="AM44" i="5"/>
  <c r="AL50" i="5"/>
  <c r="AL57" i="5" s="1"/>
  <c r="AL80" i="5" l="1"/>
  <c r="AL9" i="5" s="1"/>
  <c r="AL8" i="5"/>
  <c r="AM40" i="7" s="1"/>
  <c r="AM38" i="7" s="1"/>
  <c r="AI128" i="1"/>
  <c r="AI148" i="1" s="1"/>
  <c r="AJ16" i="1"/>
  <c r="AM69" i="5"/>
  <c r="AL75" i="5"/>
  <c r="AL82" i="5" s="1"/>
  <c r="AL11" i="5" s="1"/>
  <c r="AL74" i="5"/>
  <c r="AL81" i="5" s="1"/>
  <c r="AL10" i="5" s="1"/>
  <c r="AM42" i="5"/>
  <c r="AL52" i="5"/>
  <c r="AL59" i="5" s="1"/>
  <c r="AQ44" i="5"/>
  <c r="AK32" i="2" l="1"/>
  <c r="AK31" i="2" s="1"/>
  <c r="AK24" i="2" s="1"/>
  <c r="AK34" i="2" s="1"/>
  <c r="AM13" i="5"/>
  <c r="AM7" i="7"/>
  <c r="AK93" i="1"/>
  <c r="AL15" i="5"/>
  <c r="AI38" i="2"/>
  <c r="AJ28" i="1"/>
  <c r="AK22" i="1"/>
  <c r="AK18" i="1"/>
  <c r="AM67" i="5"/>
  <c r="AL77" i="5"/>
  <c r="AL84" i="5" s="1"/>
  <c r="AL14" i="5" s="1"/>
  <c r="AQ69" i="5"/>
  <c r="AQ42" i="5"/>
  <c r="AM45" i="5"/>
  <c r="AQ13" i="5" l="1"/>
  <c r="AL116" i="1"/>
  <c r="AL115" i="1" s="1"/>
  <c r="AL114" i="1" s="1"/>
  <c r="AK135" i="1"/>
  <c r="AM10" i="7"/>
  <c r="AK86" i="1"/>
  <c r="AK85" i="1" s="1"/>
  <c r="AL16" i="5"/>
  <c r="AP116" i="1"/>
  <c r="AJ35" i="1"/>
  <c r="AJ126" i="1" s="1"/>
  <c r="AK21" i="1"/>
  <c r="AK17" i="1"/>
  <c r="AM49" i="5"/>
  <c r="AM56" i="5" s="1"/>
  <c r="AM55" i="5"/>
  <c r="AQ67" i="5"/>
  <c r="AM70" i="5"/>
  <c r="AQ45" i="5"/>
  <c r="AM50" i="5"/>
  <c r="AM80" i="5" l="1"/>
  <c r="AM8" i="5"/>
  <c r="AP114" i="1"/>
  <c r="AJ128" i="1"/>
  <c r="AJ148" i="1" s="1"/>
  <c r="AK16" i="1"/>
  <c r="AQ55" i="5"/>
  <c r="AQ50" i="5"/>
  <c r="AM57" i="5"/>
  <c r="AM74" i="5"/>
  <c r="AM81" i="5" s="1"/>
  <c r="AM10" i="5" s="1"/>
  <c r="AM75" i="5"/>
  <c r="AM82" i="5" s="1"/>
  <c r="AQ70" i="5"/>
  <c r="AQ49" i="5"/>
  <c r="AM52" i="5"/>
  <c r="AM59" i="5" s="1"/>
  <c r="AQ80" i="5" l="1"/>
  <c r="AM9" i="5"/>
  <c r="AQ8" i="5"/>
  <c r="AN40" i="7"/>
  <c r="AN38" i="7" s="1"/>
  <c r="AJ38" i="2"/>
  <c r="AM11" i="5"/>
  <c r="AK28" i="1"/>
  <c r="AL18" i="1"/>
  <c r="AQ10" i="5"/>
  <c r="AQ74" i="5"/>
  <c r="AQ81" i="5"/>
  <c r="AM77" i="5"/>
  <c r="AM84" i="5" s="1"/>
  <c r="AM14" i="5" s="1"/>
  <c r="AQ75" i="5"/>
  <c r="AQ82" i="5"/>
  <c r="AQ52" i="5"/>
  <c r="AQ57" i="5"/>
  <c r="AQ9" i="5" l="1"/>
  <c r="AL32" i="2"/>
  <c r="AR38" i="7"/>
  <c r="AN7" i="7"/>
  <c r="AL93" i="1"/>
  <c r="AM15" i="5"/>
  <c r="AQ11" i="5"/>
  <c r="AL22" i="1"/>
  <c r="AK35" i="1"/>
  <c r="AK126" i="1" s="1"/>
  <c r="AP18" i="1"/>
  <c r="AL17" i="1"/>
  <c r="AQ14" i="5"/>
  <c r="AQ77" i="5"/>
  <c r="AQ84" i="5"/>
  <c r="AQ56" i="5"/>
  <c r="AQ59" i="5"/>
  <c r="AL31" i="2" l="1"/>
  <c r="AP32" i="2"/>
  <c r="AL135" i="1"/>
  <c r="AP135" i="1" s="1"/>
  <c r="AQ15" i="5"/>
  <c r="AM16" i="5"/>
  <c r="AQ16" i="5" s="1"/>
  <c r="AR7" i="7"/>
  <c r="AN10" i="7"/>
  <c r="AR10" i="7" s="1"/>
  <c r="AP93" i="1"/>
  <c r="AL86" i="1"/>
  <c r="AP31" i="2"/>
  <c r="AL24" i="2"/>
  <c r="AP22" i="1"/>
  <c r="AL21" i="1"/>
  <c r="AK128" i="1"/>
  <c r="AK148" i="1" s="1"/>
  <c r="AP17" i="1"/>
  <c r="AN128" i="1"/>
  <c r="C148" i="1"/>
  <c r="D148" i="1" s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AL85" i="1" l="1"/>
  <c r="AP85" i="1" s="1"/>
  <c r="AP86" i="1"/>
  <c r="AP24" i="2"/>
  <c r="AL34" i="2"/>
  <c r="AP34" i="2" s="1"/>
  <c r="AK38" i="2"/>
  <c r="C38" i="2"/>
  <c r="C39" i="2" s="1"/>
  <c r="C40" i="2" s="1"/>
  <c r="AP21" i="1"/>
  <c r="AL16" i="1"/>
  <c r="D38" i="2" l="1"/>
  <c r="D39" i="2" s="1"/>
  <c r="D40" i="2" s="1"/>
  <c r="AP16" i="1"/>
  <c r="AL28" i="1"/>
  <c r="E38" i="2" l="1"/>
  <c r="E39" i="2" s="1"/>
  <c r="E40" i="2" s="1"/>
  <c r="AL35" i="1"/>
  <c r="AP28" i="1"/>
  <c r="F38" i="2" l="1"/>
  <c r="F39" i="2" s="1"/>
  <c r="F40" i="2" s="1"/>
  <c r="AL126" i="1"/>
  <c r="AL128" i="1" s="1"/>
  <c r="AL148" i="1" s="1"/>
  <c r="AP35" i="1"/>
  <c r="G38" i="2" l="1"/>
  <c r="G39" i="2" s="1"/>
  <c r="G40" i="2" s="1"/>
  <c r="AP126" i="1"/>
  <c r="H38" i="2" l="1"/>
  <c r="H39" i="2" s="1"/>
  <c r="H40" i="2" s="1"/>
  <c r="AP128" i="1"/>
  <c r="I38" i="2" l="1"/>
  <c r="I39" i="2" s="1"/>
  <c r="I40" i="2" s="1"/>
  <c r="AL38" i="2"/>
  <c r="AP148" i="1"/>
  <c r="J38" i="2" l="1"/>
  <c r="J39" i="2" s="1"/>
  <c r="J40" i="2" s="1"/>
  <c r="AP38" i="2"/>
  <c r="K38" i="2" l="1"/>
  <c r="K39" i="2" s="1"/>
  <c r="K40" i="2" s="1"/>
  <c r="L38" i="2" l="1"/>
  <c r="L39" i="2" s="1"/>
  <c r="L40" i="2" s="1"/>
  <c r="M38" i="2" l="1"/>
  <c r="M39" i="2" s="1"/>
  <c r="M40" i="2" s="1"/>
  <c r="AN148" i="1" l="1"/>
  <c r="N38" i="2"/>
  <c r="AN38" i="2" l="1"/>
  <c r="N39" i="2"/>
  <c r="O37" i="2"/>
  <c r="N40" i="2" l="1"/>
  <c r="AN40" i="2" s="1"/>
  <c r="AN39" i="2"/>
  <c r="P37" i="2"/>
  <c r="O39" i="2"/>
  <c r="O40" i="2" s="1"/>
  <c r="Q37" i="2" l="1"/>
  <c r="P39" i="2"/>
  <c r="P40" i="2" s="1"/>
  <c r="Q39" i="2" l="1"/>
  <c r="Q40" i="2" s="1"/>
  <c r="R37" i="2"/>
  <c r="R39" i="2" l="1"/>
  <c r="R40" i="2" s="1"/>
  <c r="S37" i="2"/>
  <c r="S39" i="2" l="1"/>
  <c r="S40" i="2" s="1"/>
  <c r="T37" i="2"/>
  <c r="T39" i="2" l="1"/>
  <c r="T40" i="2" s="1"/>
  <c r="U37" i="2"/>
  <c r="U39" i="2" l="1"/>
  <c r="U40" i="2" s="1"/>
  <c r="V37" i="2"/>
  <c r="V39" i="2" l="1"/>
  <c r="V40" i="2" s="1"/>
  <c r="W37" i="2"/>
  <c r="W39" i="2" l="1"/>
  <c r="W40" i="2" s="1"/>
  <c r="X37" i="2"/>
  <c r="X39" i="2" l="1"/>
  <c r="X40" i="2" s="1"/>
  <c r="Y37" i="2"/>
  <c r="Y39" i="2" l="1"/>
  <c r="Y40" i="2" s="1"/>
  <c r="Z37" i="2"/>
  <c r="Z39" i="2" l="1"/>
  <c r="AA37" i="2"/>
  <c r="AO37" i="2"/>
  <c r="AO39" i="2" l="1"/>
  <c r="Z40" i="2"/>
  <c r="AO40" i="2" s="1"/>
  <c r="AB37" i="2"/>
  <c r="AA39" i="2"/>
  <c r="AA40" i="2" s="1"/>
  <c r="AB39" i="2" l="1"/>
  <c r="AB40" i="2" s="1"/>
  <c r="AC37" i="2"/>
  <c r="AC39" i="2" l="1"/>
  <c r="AC40" i="2" s="1"/>
  <c r="AD37" i="2"/>
  <c r="AD39" i="2" l="1"/>
  <c r="AD40" i="2" s="1"/>
  <c r="AE37" i="2"/>
  <c r="AE39" i="2" l="1"/>
  <c r="AE40" i="2" s="1"/>
  <c r="AF37" i="2"/>
  <c r="AF39" i="2" l="1"/>
  <c r="AF40" i="2" s="1"/>
  <c r="AG37" i="2"/>
  <c r="AG39" i="2" l="1"/>
  <c r="AG40" i="2" s="1"/>
  <c r="AH37" i="2"/>
  <c r="AH39" i="2" l="1"/>
  <c r="AH40" i="2" s="1"/>
  <c r="AI37" i="2"/>
  <c r="AI39" i="2" l="1"/>
  <c r="AI40" i="2" s="1"/>
  <c r="AJ37" i="2"/>
  <c r="AJ39" i="2" l="1"/>
  <c r="AJ40" i="2" s="1"/>
  <c r="AK37" i="2"/>
  <c r="AK39" i="2" l="1"/>
  <c r="AK40" i="2" s="1"/>
  <c r="AL37" i="2"/>
  <c r="AL39" i="2" l="1"/>
  <c r="AP37" i="2"/>
  <c r="AP39" i="2" l="1"/>
  <c r="AL40" i="2"/>
  <c r="AP40" i="2" s="1"/>
</calcChain>
</file>

<file path=xl/sharedStrings.xml><?xml version="1.0" encoding="utf-8"?>
<sst xmlns="http://schemas.openxmlformats.org/spreadsheetml/2006/main" count="1523" uniqueCount="338">
  <si>
    <t>(тыс. сом)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</si>
  <si>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</si>
  <si>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</si>
  <si>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</si>
  <si>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</si>
  <si>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</si>
  <si>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</si>
  <si>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</si>
  <si>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</si>
  <si>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</si>
  <si>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</si>
  <si>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</si>
  <si>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</si>
  <si>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</si>
  <si>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</si>
  <si>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</si>
  <si>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</si>
  <si>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</si>
  <si>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</si>
  <si>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</si>
  <si>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</si>
  <si>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</si>
  <si>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</si>
  <si>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</si>
  <si>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</si>
  <si>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</si>
  <si>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</si>
  <si>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</si>
  <si>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</si>
  <si>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</si>
  <si>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</si>
  <si>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</si>
  <si>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</si>
  <si>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</si>
  <si>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</si>
  <si>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</si>
  <si>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</si>
  <si>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Y1</t>
  </si>
  <si>
    <t>Y2</t>
  </si>
  <si>
    <t>Y3</t>
  </si>
  <si>
    <t>Комиссионные доходы</t>
  </si>
  <si>
    <t>Комиссионные расходы</t>
  </si>
  <si>
    <t>Расходы на персонал</t>
  </si>
  <si>
    <t>Амортизационные отчисления</t>
  </si>
  <si>
    <t>Чистый процентный доход до формирования резервов</t>
  </si>
  <si>
    <t>Формирование резерва под обесценение процентных активов</t>
  </si>
  <si>
    <t>ЧИСТЫЙ ПРОЦЕНТНЫЙ ДОХОД</t>
  </si>
  <si>
    <t>Чистый доход от операций с ин валютой</t>
  </si>
  <si>
    <t>Прочие доходы</t>
  </si>
  <si>
    <t>ЧИСТЫЙ НЕПРОЦЕНТНЫЙ ДОХОД</t>
  </si>
  <si>
    <t>Операционные расходы</t>
  </si>
  <si>
    <t>Налоги</t>
  </si>
  <si>
    <t>Прочие АУР</t>
  </si>
  <si>
    <t>Прибыль до налога на прибыль</t>
  </si>
  <si>
    <t>Расходы по налогу на прибыль</t>
  </si>
  <si>
    <t>ЧИСТАЯ ПРИБЫЛЬ</t>
  </si>
  <si>
    <t>Баланс BaaS</t>
  </si>
  <si>
    <t>Финансовый результат  BaaS</t>
  </si>
  <si>
    <t>АКТИВЫ</t>
  </si>
  <si>
    <t>Кредиты клиентам</t>
  </si>
  <si>
    <t>Резервы под обесценение</t>
  </si>
  <si>
    <t>Чистые кредиты клиентам</t>
  </si>
  <si>
    <t>Основные средства и НМА</t>
  </si>
  <si>
    <t>ВСЕГО АКТИВЫ</t>
  </si>
  <si>
    <t>ОБЯЗАТЕЛЬСТВА</t>
  </si>
  <si>
    <t>Средства клиентов</t>
  </si>
  <si>
    <t>Текущие счета юр лиц</t>
  </si>
  <si>
    <t>Депозиты до востребования физ лиц</t>
  </si>
  <si>
    <t>Срочные депозиты физ лиц</t>
  </si>
  <si>
    <t>Срочные депозиты юр лиц</t>
  </si>
  <si>
    <t>ИТОГО ОБЯЗАТЕЛЬСТВА</t>
  </si>
  <si>
    <t>КАПИТАЛ</t>
  </si>
  <si>
    <t>Нераспределенная прибыль</t>
  </si>
  <si>
    <t>Текущая прибыль</t>
  </si>
  <si>
    <t>ИТОГО КАПИТАЛ</t>
  </si>
  <si>
    <t>ВСЕГО ОБЯЗАТЕЛЬСТВА И КАПИТАЛ</t>
  </si>
  <si>
    <t>ЕИ</t>
  </si>
  <si>
    <t>Отв.исп.</t>
  </si>
  <si>
    <t>тыс сом</t>
  </si>
  <si>
    <t>%</t>
  </si>
  <si>
    <t>ср. % ставка фондирования</t>
  </si>
  <si>
    <t>ср. % резервирования</t>
  </si>
  <si>
    <t>РППУ на конец месяца</t>
  </si>
  <si>
    <t>% доход</t>
  </si>
  <si>
    <t>количество выдач</t>
  </si>
  <si>
    <t>шт</t>
  </si>
  <si>
    <t>ср. сумма выдачи</t>
  </si>
  <si>
    <t>выдачи</t>
  </si>
  <si>
    <t>cр. срок портфеля</t>
  </si>
  <si>
    <t>мес</t>
  </si>
  <si>
    <t>погашения</t>
  </si>
  <si>
    <t>ср. % ставка портфеля</t>
  </si>
  <si>
    <t>трансфертный расход</t>
  </si>
  <si>
    <t>расходы на провизии</t>
  </si>
  <si>
    <t>Расходы на фондирование</t>
  </si>
  <si>
    <t>Маржа по размещению</t>
  </si>
  <si>
    <t>Потребительский кредит</t>
  </si>
  <si>
    <t>комиссионный доход</t>
  </si>
  <si>
    <t>комиссия мерчанта</t>
  </si>
  <si>
    <t>комиссия партнеру</t>
  </si>
  <si>
    <t>комиссия банка</t>
  </si>
  <si>
    <t>Продажа чужих кредитов</t>
  </si>
  <si>
    <t>Рассрочка (BNPL)</t>
  </si>
  <si>
    <t>Факторинг</t>
  </si>
  <si>
    <t>количество сделок</t>
  </si>
  <si>
    <t>ср. % комиссии</t>
  </si>
  <si>
    <t>ср. сумма купленного долга</t>
  </si>
  <si>
    <t>сумма купленного долга</t>
  </si>
  <si>
    <t>Кредитная линия для ИП</t>
  </si>
  <si>
    <t>новые клиенты</t>
  </si>
  <si>
    <t>ср. сумма КЛ</t>
  </si>
  <si>
    <t>портфель КЛ</t>
  </si>
  <si>
    <t>кредитный портфель</t>
  </si>
  <si>
    <t>факторинговый портфель</t>
  </si>
  <si>
    <t>ср. % резервирования (КП)</t>
  </si>
  <si>
    <t>ср. % резервирования (УО)</t>
  </si>
  <si>
    <t>РППУ (УО)</t>
  </si>
  <si>
    <t>РППУ (КП)</t>
  </si>
  <si>
    <t>сумма новых КЛ</t>
  </si>
  <si>
    <t>ср.использование КЛ</t>
  </si>
  <si>
    <t>доля просроченной задолженности, %</t>
  </si>
  <si>
    <t>просроченная задолженность</t>
  </si>
  <si>
    <t>чистый операционный доход</t>
  </si>
  <si>
    <t>количество партнеров</t>
  </si>
  <si>
    <t>среднее количество выдач на 1 партнера</t>
  </si>
  <si>
    <t>среднее количество сделок на 1 партнера</t>
  </si>
  <si>
    <t>среднее количество продаж на 1 партнера</t>
  </si>
  <si>
    <t>ср. количество продаж на 1 партнера</t>
  </si>
  <si>
    <t>количество продаж</t>
  </si>
  <si>
    <t>ср. сумма кредита</t>
  </si>
  <si>
    <t>BaaS - параметры модели</t>
  </si>
  <si>
    <t>BaaS - Онлайн кредитование</t>
  </si>
  <si>
    <t>BaaS - Онлайн депозит</t>
  </si>
  <si>
    <t>BaaS - Онлайн транзакционный бизнес</t>
  </si>
  <si>
    <t>DCB ID / DCB BIO</t>
  </si>
  <si>
    <t>QR прием / оплата</t>
  </si>
  <si>
    <t>Онлайн конвертация</t>
  </si>
  <si>
    <t>Онлайн переводы</t>
  </si>
  <si>
    <t xml:space="preserve"> + разделение между BaaS и департаментами</t>
  </si>
  <si>
    <t>операционные расходы</t>
  </si>
  <si>
    <t>Гарантия</t>
  </si>
  <si>
    <t>ср. сумма гарантии</t>
  </si>
  <si>
    <t>проданные гарантии</t>
  </si>
  <si>
    <t>комиссия партнера</t>
  </si>
  <si>
    <t>количество проданных гарантий</t>
  </si>
  <si>
    <t>% расход</t>
  </si>
  <si>
    <t>трансфертный доход</t>
  </si>
  <si>
    <t>среднее количество депозитов на 1 партнера</t>
  </si>
  <si>
    <t>количество новых депозитов</t>
  </si>
  <si>
    <t>ср. сумма депозита</t>
  </si>
  <si>
    <t>привлечение депозитов</t>
  </si>
  <si>
    <t>возвраты</t>
  </si>
  <si>
    <t>портфель</t>
  </si>
  <si>
    <t>капитализация %</t>
  </si>
  <si>
    <t>Депозиты KGS</t>
  </si>
  <si>
    <t>Депозиты RUB</t>
  </si>
  <si>
    <t>Депозиты USD</t>
  </si>
  <si>
    <t>тыс руб</t>
  </si>
  <si>
    <t>курсы валют</t>
  </si>
  <si>
    <t>RUB</t>
  </si>
  <si>
    <t>USD</t>
  </si>
  <si>
    <t>эквивалент в сом</t>
  </si>
  <si>
    <t>сом</t>
  </si>
  <si>
    <t>курс RUB (сом за 1 RUB)</t>
  </si>
  <si>
    <t>тыс. долл</t>
  </si>
  <si>
    <t>курс USD (сом за 1 USD)</t>
  </si>
  <si>
    <t>количество клиентов</t>
  </si>
  <si>
    <t>среднее кол-во клиентов на 1 партнера</t>
  </si>
  <si>
    <t>ср.кол-во идентификаций в месяц 1 клиента</t>
  </si>
  <si>
    <t>общее кол-во идентификаций</t>
  </si>
  <si>
    <t>Продажа страховых полисов</t>
  </si>
  <si>
    <t>ср.комиссия за идентификацию 1 клиента</t>
  </si>
  <si>
    <t>депозиты</t>
  </si>
  <si>
    <t>онлайн конвертация</t>
  </si>
  <si>
    <t>онлайн переводы</t>
  </si>
  <si>
    <t>продажа страховых полисов</t>
  </si>
  <si>
    <t>общее количество партнеров, в т.ч.:</t>
  </si>
  <si>
    <t>прибыль</t>
  </si>
  <si>
    <t>Итого</t>
  </si>
  <si>
    <t>общая сумма Предварительного возмещения (для исходящих платежей Партнеров)</t>
  </si>
  <si>
    <t>ср.сумма исходящих переводов на 1 Партнера</t>
  </si>
  <si>
    <t>ср.сумма входящих переводов на 1 Партнера</t>
  </si>
  <si>
    <t>общая сумма исходящих переводов</t>
  </si>
  <si>
    <t>QR прием</t>
  </si>
  <si>
    <t>QR оплата</t>
  </si>
  <si>
    <t>количество партнеров QR-приход</t>
  </si>
  <si>
    <t>ср.сумма остатка на р/с 1 Партнера по входящим платежам</t>
  </si>
  <si>
    <t>количество партнеров QR-оплата</t>
  </si>
  <si>
    <t>ср.комиссия за исходящие платежи партнера</t>
  </si>
  <si>
    <t>ср.комиссия за входящие платежи партнера</t>
  </si>
  <si>
    <t>общая сумма входящих переводов</t>
  </si>
  <si>
    <t>сумма возмещения Процессингу за входящие платежи</t>
  </si>
  <si>
    <t>ср.комиссия возмещения Процессингу за входящие платежи</t>
  </si>
  <si>
    <t>ср.комиссия за входящие платежи (Interchange)</t>
  </si>
  <si>
    <t>сумма возмещения за входящие платежи (Interchange)</t>
  </si>
  <si>
    <t>ср.комиссия за исходящие платежи (Interchange)</t>
  </si>
  <si>
    <t>сумма возмещения Партнеру за исходящие платежи (Interchange)</t>
  </si>
  <si>
    <t>ср.комиссия за исходящие платежи Партнера (Interchange)</t>
  </si>
  <si>
    <t>комиссионный расход</t>
  </si>
  <si>
    <t>операционные расходы (сотрудники банка)</t>
  </si>
  <si>
    <t>общая сумма остатков на р/с Партнеров по входящим платежам</t>
  </si>
  <si>
    <t>Кошельки</t>
  </si>
  <si>
    <t>среднее количество кошельков на 1 партнера</t>
  </si>
  <si>
    <t>количество кошельков</t>
  </si>
  <si>
    <t>ср. остаток в 1 кошельке</t>
  </si>
  <si>
    <t>операционные расходы (постоянные)</t>
  </si>
  <si>
    <t>операционные расходы (переменные)</t>
  </si>
  <si>
    <t>операционные расходы на 1 кошелек</t>
  </si>
  <si>
    <t>тыс. сом</t>
  </si>
  <si>
    <t>Расчетный счет (ФЛ)</t>
  </si>
  <si>
    <t>среднее количество счетов на 1 партнера</t>
  </si>
  <si>
    <t>количество счетов</t>
  </si>
  <si>
    <t>ср. остаток на 1 счете</t>
  </si>
  <si>
    <t>кошелек</t>
  </si>
  <si>
    <t>расчетный счет</t>
  </si>
  <si>
    <t>карта</t>
  </si>
  <si>
    <t>ср.комиссия за ослуживание 1 расчетного счета</t>
  </si>
  <si>
    <t>объем конвертации</t>
  </si>
  <si>
    <t>% маржи</t>
  </si>
  <si>
    <t>доход от конвертации</t>
  </si>
  <si>
    <t>среднее объем конвертаций на 1 партнера</t>
  </si>
  <si>
    <t>% партнеру</t>
  </si>
  <si>
    <t>расход на партнера</t>
  </si>
  <si>
    <t>среднее объем переводов на 1 партнера</t>
  </si>
  <si>
    <t>объем переводов</t>
  </si>
  <si>
    <t>ср % от переводов</t>
  </si>
  <si>
    <t>доход от переводов</t>
  </si>
  <si>
    <t>среднее количество полисов на 1 партнера</t>
  </si>
  <si>
    <t>общее количество полисов</t>
  </si>
  <si>
    <t>ср.цена полиса</t>
  </si>
  <si>
    <t>общее сумма страховых платежей</t>
  </si>
  <si>
    <t>доход от суммы полиса</t>
  </si>
  <si>
    <t>% партнеру от суммы полиса</t>
  </si>
  <si>
    <t>расход партнеру</t>
  </si>
  <si>
    <t>среднее количество вирт.карт на 1 партнера</t>
  </si>
  <si>
    <t>количество вирт.карт</t>
  </si>
  <si>
    <t>ср. остаток на 1 карте</t>
  </si>
  <si>
    <t>ср.комиссионный доход на 1 карту</t>
  </si>
  <si>
    <t>ср.операционный расход на 1 карту</t>
  </si>
  <si>
    <t>Продукт BaaS</t>
  </si>
  <si>
    <t>Административные расходы</t>
  </si>
  <si>
    <t>Вид расхода</t>
  </si>
  <si>
    <t>Лицензии ПО</t>
  </si>
  <si>
    <t>Оборудование</t>
  </si>
  <si>
    <t>Депозиты</t>
  </si>
  <si>
    <t>Статья расходов</t>
  </si>
  <si>
    <t>Операционные расходы и Инвестиции в BaaS</t>
  </si>
  <si>
    <t>ср.% cashback</t>
  </si>
  <si>
    <t>cashback</t>
  </si>
  <si>
    <t>ср. Дт оборот по 1 карте</t>
  </si>
  <si>
    <t>кред.администраторы</t>
  </si>
  <si>
    <t>бухгалтеры</t>
  </si>
  <si>
    <t>collection</t>
  </si>
  <si>
    <t>количество кредитов в портфеле</t>
  </si>
  <si>
    <t>тыс.сом</t>
  </si>
  <si>
    <t>количество новых партнеров</t>
  </si>
  <si>
    <t>кредитование (чужие кредиты)</t>
  </si>
  <si>
    <t>кредитование (свои кредиты)</t>
  </si>
  <si>
    <t>нормирование (сопровождение 1 кредита)</t>
  </si>
  <si>
    <t>нормирование (подключение 1 нового партнера)</t>
  </si>
  <si>
    <t>специалист по hub</t>
  </si>
  <si>
    <t>it-разработчик</t>
  </si>
  <si>
    <t>Показатель</t>
  </si>
  <si>
    <t>Маржа по привлечению</t>
  </si>
  <si>
    <t>Доходы от фондирования</t>
  </si>
  <si>
    <t>партнерам BaaS</t>
  </si>
  <si>
    <t>от клиентов</t>
  </si>
  <si>
    <t>от партнеров BaaS</t>
  </si>
  <si>
    <t>поставщикам услуг</t>
  </si>
  <si>
    <t>от поставщиков услуг</t>
  </si>
  <si>
    <t>Гарантии</t>
  </si>
  <si>
    <t>Онлайн депозит</t>
  </si>
  <si>
    <t>Онлайн депозиты</t>
  </si>
  <si>
    <t>ТЕКУЩАЯ ПРИБЫЛЬ (YTD)</t>
  </si>
  <si>
    <t>Прием оплаты (интернет-эквайринг)</t>
  </si>
  <si>
    <t>QR-генерация</t>
  </si>
  <si>
    <t>операционные расходы (процессингу за 1 партнера)</t>
  </si>
  <si>
    <t>среднее объем платежей на 1 партнера</t>
  </si>
  <si>
    <t>сумма возмещения за платежи (Interchange)</t>
  </si>
  <si>
    <t>ср.комиссия за платежи (Interchange)</t>
  </si>
  <si>
    <t>объем платежей</t>
  </si>
  <si>
    <t>ср % от платежей</t>
  </si>
  <si>
    <t>доход от платежей</t>
  </si>
  <si>
    <t>количество партнеров по QR-генерации</t>
  </si>
  <si>
    <t>ср.сумма входящих QR-переводов на 1 Партнера</t>
  </si>
  <si>
    <t xml:space="preserve">общая сумма входящих QR-переводов </t>
  </si>
  <si>
    <t>ср.комиссия за входящие QR-переводы</t>
  </si>
  <si>
    <t>Переход в мобильное приложение DCB + платежи из него</t>
  </si>
  <si>
    <t>средний объем платежей на 1 партнера</t>
  </si>
  <si>
    <t>операционные расходы (provider)</t>
  </si>
  <si>
    <t>операционные расходы (банк)</t>
  </si>
  <si>
    <t>usd</t>
  </si>
  <si>
    <t>MinIO * 50%</t>
  </si>
  <si>
    <t>Система хранения данных*10%</t>
  </si>
  <si>
    <t>Сервер</t>
  </si>
  <si>
    <t>it-разработчики + DevOps</t>
  </si>
  <si>
    <t>it-разработчики + DevOps (текущие)</t>
  </si>
  <si>
    <t>it-разработчики + DevOps (микросервисная архитектура)</t>
  </si>
  <si>
    <t>Система хранения данных (медленные)</t>
  </si>
  <si>
    <t>специалисты-верификаторы</t>
  </si>
  <si>
    <t>бухгалтеры (проводки по котловым счетам)</t>
  </si>
  <si>
    <t>бухгалтеры (проводки по котловым счетам+сверки)</t>
  </si>
  <si>
    <t>казначей</t>
  </si>
  <si>
    <t>it-разработчики + аналитики</t>
  </si>
  <si>
    <t>Виртуальная карта</t>
  </si>
  <si>
    <t>Виртуальные карты</t>
  </si>
  <si>
    <t>Процентные расходы</t>
  </si>
  <si>
    <t>Процентные доходы</t>
  </si>
  <si>
    <t>Виртуальные карты (cashback)</t>
  </si>
  <si>
    <t>(ИЭ) Привязка карты и списания с карты</t>
  </si>
  <si>
    <t>(ИЭ) QR-генерация</t>
  </si>
  <si>
    <t>(ИЭ) Переход в МП DCB + платежи из него</t>
  </si>
  <si>
    <t>отчетность</t>
  </si>
  <si>
    <t>опер.департамент</t>
  </si>
  <si>
    <t>it-разработчики + аналитики + DevOps</t>
  </si>
  <si>
    <t>кол центр</t>
  </si>
  <si>
    <t>нормирование (сопровождение 1 депозита)</t>
  </si>
  <si>
    <t>количество депозитов в портфеле</t>
  </si>
  <si>
    <t>Система хранения данных</t>
  </si>
  <si>
    <t>Система хранения данных (сопровождение)</t>
  </si>
  <si>
    <t>начисление расходов в ФЗД</t>
  </si>
  <si>
    <t>нормирование (сопровождение 1 расчетного счета)</t>
  </si>
  <si>
    <t>нормирование (сопровождение 1 виртуальных карт)</t>
  </si>
  <si>
    <t>Привязка карты и списания с карты (Элкарт)</t>
  </si>
  <si>
    <t>бухгалтеры (сверки с партнерами)</t>
  </si>
  <si>
    <t>бухгалтеры (учет и сверка)</t>
  </si>
  <si>
    <t>количество депозитов</t>
  </si>
  <si>
    <t>CAPEX</t>
  </si>
  <si>
    <t>себестоимость 1 идентификации (OzForenzics, 0,29usd за 1 запрос)</t>
  </si>
  <si>
    <t>консалтинг (оценка текущей и будущей архитектуры платежной системы)</t>
  </si>
  <si>
    <t>количество расчетных счетов</t>
  </si>
  <si>
    <t>количество виртуальных карт</t>
  </si>
  <si>
    <t>OPEX</t>
  </si>
  <si>
    <t>Первоначальная стоимость</t>
  </si>
  <si>
    <t>(Амортизация)</t>
  </si>
  <si>
    <t>Административные расходы (из OPEX)</t>
  </si>
  <si>
    <t>Отчисления в ФЗД (из моделей продуктов)</t>
  </si>
  <si>
    <t>среднемесячная сумма Предварительного возмещения на 1 партнера (на транзитных счета)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</si>
</sst>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"/>
    <numFmt numFmtId="165" formatCode="#,##0_ ;[Red]\-#,##0\ "/>
    <numFmt numFmtId="166" formatCode="_-* #,##0.00_р_._-;\-* #,##0.00_р_._-;_-* &quot;-&quot;??_р_._-;_-@_-"/>
    <numFmt numFmtId="167" formatCode="_-* #,##0_-;\-* #,##0_-;_-* &quot;-&quot;??_-;_-@_-"/>
    <numFmt numFmtId="168" formatCode="_-* #,##0.00\ _₽_-;\-* #,##0.00\ _₽_-;_-* &quot;-&quot;??\ _₽_-;_-@_-"/>
    <numFmt numFmtId="169" formatCode="_-* #,##0\ _₽_-;\-* #,##0\ _₽_-;_-* &quot;-&quot;??\ _₽_-;_-@_-"/>
    <numFmt numFmtId="170" formatCode="#,##0.00_ ;[Red]\-#,##0.00\ "/>
    <numFmt numFmtId="171" formatCode="#,##0.0_ ;[Red]\-#,##0.0\ "/>
  </numFmts>
  <fonts count="3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Optima"/>
    </font>
    <font>
      <b/>
      <sz val="12"/>
      <color indexed="9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name val="Helv"/>
      <charset val="204"/>
    </font>
    <font>
      <i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8"/>
      <name val="Arial Cyr"/>
    </font>
    <font>
      <sz val="9"/>
      <color indexed="8"/>
      <name val="Arial"/>
      <family val="2"/>
      <charset val="204"/>
    </font>
    <font>
      <sz val="10"/>
      <name val="MS Sans Serif"/>
      <family val="2"/>
      <charset val="204"/>
    </font>
    <font>
      <b/>
      <sz val="9"/>
      <color indexed="8"/>
      <name val="Arial"/>
      <family val="2"/>
      <charset val="204"/>
    </font>
    <font>
      <b/>
      <u/>
      <sz val="9"/>
      <color indexed="8"/>
      <name val="Arial"/>
      <family val="2"/>
      <charset val="204"/>
    </font>
    <font>
      <sz val="9"/>
      <color indexed="1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9"/>
      <color theme="0"/>
      <name val="Arial"/>
      <family val="2"/>
      <charset val="204"/>
    </font>
    <font>
      <b/>
      <sz val="10"/>
      <name val="Arial"/>
      <family val="2"/>
      <charset val="204"/>
    </font>
    <font>
      <sz val="10"/>
      <color theme="0" tint="-0.34998626667073579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indexed="12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2"/>
      <name val="Arial"/>
      <family val="2"/>
      <charset val="204"/>
    </font>
    <font>
      <sz val="9"/>
      <color rgb="FF000000"/>
      <name val="Arial"/>
      <family val="2"/>
      <charset val="204"/>
    </font>
    <font>
      <i/>
      <sz val="10"/>
      <color theme="1"/>
      <name val="Calibri"/>
      <family val="2"/>
      <charset val="204"/>
      <scheme val="minor"/>
    </font>
    <font>
      <sz val="1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5" fillId="0" borderId="0"/>
    <xf numFmtId="0" fontId="10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>
      <alignment vertical="top"/>
    </xf>
    <xf numFmtId="0" fontId="1" fillId="0" borderId="0"/>
    <xf numFmtId="166" fontId="1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3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4" fillId="3" borderId="0" xfId="1" applyFont="1" applyFill="1"/>
    <xf numFmtId="0" fontId="6" fillId="3" borderId="0" xfId="2" applyFont="1" applyFill="1" applyAlignment="1">
      <alignment horizontal="left" vertical="top"/>
    </xf>
    <xf numFmtId="0" fontId="8" fillId="3" borderId="0" xfId="2" applyFont="1" applyFill="1" applyAlignment="1">
      <alignment vertical="top"/>
    </xf>
    <xf numFmtId="164" fontId="8" fillId="3" borderId="0" xfId="2" applyNumberFormat="1" applyFont="1" applyFill="1" applyAlignment="1">
      <alignment vertical="top"/>
    </xf>
    <xf numFmtId="0" fontId="6" fillId="3" borderId="0" xfId="2" applyFont="1" applyFill="1" applyAlignment="1">
      <alignment horizontal="center" vertical="center"/>
    </xf>
    <xf numFmtId="17" fontId="9" fillId="3" borderId="0" xfId="1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1" fontId="9" fillId="3" borderId="0" xfId="1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7" fontId="4" fillId="4" borderId="0" xfId="3" applyNumberFormat="1" applyFont="1" applyFill="1" applyAlignment="1">
      <alignment horizontal="center" vertical="center"/>
    </xf>
    <xf numFmtId="0" fontId="8" fillId="3" borderId="0" xfId="4" applyFont="1" applyFill="1"/>
    <xf numFmtId="0" fontId="12" fillId="3" borderId="0" xfId="4" applyFont="1" applyFill="1" applyAlignment="1">
      <alignment wrapText="1"/>
    </xf>
    <xf numFmtId="164" fontId="8" fillId="3" borderId="0" xfId="4" applyNumberFormat="1" applyFont="1" applyFill="1" applyAlignment="1">
      <alignment horizontal="right"/>
    </xf>
    <xf numFmtId="0" fontId="7" fillId="3" borderId="0" xfId="4" applyFont="1" applyFill="1"/>
    <xf numFmtId="0" fontId="7" fillId="0" borderId="0" xfId="4" applyFont="1"/>
    <xf numFmtId="0" fontId="8" fillId="0" borderId="0" xfId="4" applyFont="1"/>
    <xf numFmtId="0" fontId="6" fillId="3" borderId="0" xfId="4" applyFont="1" applyFill="1"/>
    <xf numFmtId="0" fontId="6" fillId="0" borderId="0" xfId="4" applyFont="1"/>
    <xf numFmtId="0" fontId="16" fillId="3" borderId="0" xfId="4" applyFont="1" applyFill="1"/>
    <xf numFmtId="0" fontId="16" fillId="0" borderId="0" xfId="4" applyFont="1"/>
    <xf numFmtId="0" fontId="7" fillId="3" borderId="2" xfId="7" applyFont="1" applyFill="1" applyBorder="1" applyAlignment="1" applyProtection="1">
      <alignment vertical="center" wrapText="1"/>
      <protection hidden="1"/>
    </xf>
    <xf numFmtId="165" fontId="7" fillId="3" borderId="2" xfId="6" applyNumberFormat="1" applyFont="1" applyFill="1" applyBorder="1" applyAlignment="1" applyProtection="1">
      <alignment horizontal="right"/>
    </xf>
    <xf numFmtId="165" fontId="8" fillId="3" borderId="2" xfId="5" applyNumberFormat="1" applyFont="1" applyFill="1" applyBorder="1" applyAlignment="1">
      <alignment horizontal="right"/>
    </xf>
    <xf numFmtId="0" fontId="8" fillId="3" borderId="0" xfId="4" applyFont="1" applyFill="1" applyAlignment="1">
      <alignment horizontal="center"/>
    </xf>
    <xf numFmtId="0" fontId="8" fillId="0" borderId="0" xfId="4" applyFont="1" applyAlignment="1">
      <alignment horizontal="center"/>
    </xf>
    <xf numFmtId="0" fontId="8" fillId="3" borderId="2" xfId="7" applyFont="1" applyFill="1" applyBorder="1" applyAlignment="1" applyProtection="1">
      <alignment horizontal="left" vertical="center" wrapText="1" indent="2"/>
      <protection hidden="1"/>
    </xf>
    <xf numFmtId="165" fontId="8" fillId="3" borderId="2" xfId="6" applyNumberFormat="1" applyFont="1" applyFill="1" applyBorder="1" applyAlignment="1" applyProtection="1">
      <alignment horizontal="right"/>
    </xf>
    <xf numFmtId="165" fontId="8" fillId="3" borderId="0" xfId="6" applyNumberFormat="1" applyFont="1" applyFill="1" applyBorder="1" applyAlignment="1" applyProtection="1">
      <alignment horizontal="right"/>
    </xf>
    <xf numFmtId="165" fontId="8" fillId="3" borderId="1" xfId="6" applyNumberFormat="1" applyFont="1" applyFill="1" applyBorder="1" applyAlignment="1" applyProtection="1">
      <alignment horizontal="right"/>
    </xf>
    <xf numFmtId="165" fontId="7" fillId="3" borderId="2" xfId="5" applyNumberFormat="1" applyFont="1" applyFill="1" applyBorder="1" applyAlignment="1">
      <alignment horizontal="right"/>
    </xf>
    <xf numFmtId="164" fontId="7" fillId="3" borderId="0" xfId="6" applyNumberFormat="1" applyFont="1" applyFill="1" applyBorder="1" applyAlignment="1" applyProtection="1">
      <alignment horizontal="right"/>
    </xf>
    <xf numFmtId="0" fontId="12" fillId="0" borderId="0" xfId="4" applyFont="1" applyAlignment="1">
      <alignment wrapText="1"/>
    </xf>
    <xf numFmtId="164" fontId="8" fillId="0" borderId="0" xfId="4" applyNumberFormat="1" applyFont="1" applyAlignment="1">
      <alignment horizontal="right"/>
    </xf>
    <xf numFmtId="3" fontId="14" fillId="3" borderId="1" xfId="5" quotePrefix="1" applyNumberFormat="1" applyFont="1" applyFill="1" applyBorder="1" applyAlignment="1">
      <alignment horizontal="center" vertical="center" wrapText="1"/>
    </xf>
    <xf numFmtId="3" fontId="14" fillId="3" borderId="1" xfId="5" applyNumberFormat="1" applyFont="1" applyFill="1" applyBorder="1" applyAlignment="1">
      <alignment horizontal="left" wrapText="1"/>
    </xf>
    <xf numFmtId="165" fontId="8" fillId="3" borderId="2" xfId="5" applyNumberFormat="1" applyFont="1" applyFill="1" applyBorder="1" applyAlignment="1">
      <alignment horizontal="right" wrapText="1"/>
    </xf>
    <xf numFmtId="165" fontId="7" fillId="3" borderId="2" xfId="5" applyNumberFormat="1" applyFont="1" applyFill="1" applyBorder="1" applyAlignment="1">
      <alignment horizontal="right" wrapText="1"/>
    </xf>
    <xf numFmtId="165" fontId="8" fillId="3" borderId="3" xfId="5" applyNumberFormat="1" applyFont="1" applyFill="1" applyBorder="1" applyAlignment="1">
      <alignment horizontal="right"/>
    </xf>
    <xf numFmtId="0" fontId="18" fillId="5" borderId="4" xfId="0" applyFont="1" applyFill="1" applyBorder="1"/>
    <xf numFmtId="3" fontId="22" fillId="5" borderId="4" xfId="0" applyNumberFormat="1" applyFont="1" applyFill="1" applyBorder="1" applyAlignment="1">
      <alignment horizontal="right"/>
    </xf>
    <xf numFmtId="0" fontId="19" fillId="3" borderId="0" xfId="0" applyFont="1" applyFill="1" applyAlignment="1">
      <alignment horizontal="right"/>
    </xf>
    <xf numFmtId="0" fontId="19" fillId="3" borderId="0" xfId="0" applyFont="1" applyFill="1"/>
    <xf numFmtId="0" fontId="20" fillId="0" borderId="2" xfId="0" applyFont="1" applyBorder="1"/>
    <xf numFmtId="0" fontId="20" fillId="0" borderId="2" xfId="0" applyFont="1" applyBorder="1" applyAlignment="1">
      <alignment horizontal="left" indent="1"/>
    </xf>
    <xf numFmtId="0" fontId="19" fillId="0" borderId="2" xfId="0" applyFont="1" applyBorder="1" applyAlignment="1">
      <alignment horizontal="left"/>
    </xf>
    <xf numFmtId="0" fontId="18" fillId="5" borderId="2" xfId="0" applyFont="1" applyFill="1" applyBorder="1"/>
    <xf numFmtId="3" fontId="22" fillId="5" borderId="2" xfId="0" applyNumberFormat="1" applyFont="1" applyFill="1" applyBorder="1" applyAlignment="1">
      <alignment horizontal="right"/>
    </xf>
    <xf numFmtId="0" fontId="19" fillId="0" borderId="2" xfId="0" applyFont="1" applyBorder="1"/>
    <xf numFmtId="3" fontId="17" fillId="0" borderId="2" xfId="0" applyNumberFormat="1" applyFont="1" applyBorder="1" applyAlignment="1">
      <alignment horizontal="right"/>
    </xf>
    <xf numFmtId="0" fontId="21" fillId="0" borderId="2" xfId="0" applyFont="1" applyBorder="1" applyAlignment="1">
      <alignment horizontal="left" vertical="center" indent="1"/>
    </xf>
    <xf numFmtId="0" fontId="23" fillId="2" borderId="0" xfId="1" applyFont="1" applyFill="1"/>
    <xf numFmtId="0" fontId="23" fillId="3" borderId="0" xfId="1" applyFont="1" applyFill="1"/>
    <xf numFmtId="0" fontId="9" fillId="3" borderId="0" xfId="1" applyFont="1" applyFill="1"/>
    <xf numFmtId="0" fontId="9" fillId="3" borderId="0" xfId="1" applyFont="1" applyFill="1" applyAlignment="1">
      <alignment horizontal="center"/>
    </xf>
    <xf numFmtId="38" fontId="9" fillId="3" borderId="0" xfId="1" applyNumberFormat="1" applyFont="1" applyFill="1" applyAlignment="1">
      <alignment horizontal="right"/>
    </xf>
    <xf numFmtId="17" fontId="9" fillId="3" borderId="0" xfId="1" applyNumberFormat="1" applyFont="1" applyFill="1" applyAlignment="1">
      <alignment horizontal="center"/>
    </xf>
    <xf numFmtId="17" fontId="4" fillId="4" borderId="0" xfId="3" applyNumberFormat="1" applyFont="1" applyFill="1" applyAlignment="1">
      <alignment horizontal="center"/>
    </xf>
    <xf numFmtId="0" fontId="9" fillId="3" borderId="0" xfId="3" applyFont="1" applyFill="1"/>
    <xf numFmtId="0" fontId="24" fillId="3" borderId="0" xfId="3" applyFont="1" applyFill="1" applyAlignment="1">
      <alignment horizontal="center" vertical="center"/>
    </xf>
    <xf numFmtId="0" fontId="9" fillId="3" borderId="0" xfId="3" applyFont="1" applyFill="1" applyAlignment="1">
      <alignment horizontal="right"/>
    </xf>
    <xf numFmtId="17" fontId="25" fillId="3" borderId="0" xfId="3" applyNumberFormat="1" applyFont="1" applyFill="1" applyAlignment="1">
      <alignment horizontal="center" vertical="center"/>
    </xf>
    <xf numFmtId="0" fontId="4" fillId="4" borderId="0" xfId="3" applyFont="1" applyFill="1"/>
    <xf numFmtId="0" fontId="26" fillId="4" borderId="0" xfId="3" applyFont="1" applyFill="1" applyAlignment="1">
      <alignment horizontal="center"/>
    </xf>
    <xf numFmtId="3" fontId="9" fillId="4" borderId="0" xfId="3" applyNumberFormat="1" applyFont="1" applyFill="1" applyAlignment="1">
      <alignment horizontal="center"/>
    </xf>
    <xf numFmtId="3" fontId="27" fillId="4" borderId="0" xfId="3" applyNumberFormat="1" applyFont="1" applyFill="1" applyAlignment="1">
      <alignment horizontal="center"/>
    </xf>
    <xf numFmtId="0" fontId="27" fillId="3" borderId="0" xfId="3" applyFont="1" applyFill="1"/>
    <xf numFmtId="0" fontId="9" fillId="3" borderId="0" xfId="9" applyFont="1" applyFill="1"/>
    <xf numFmtId="0" fontId="9" fillId="3" borderId="0" xfId="9" applyFont="1" applyFill="1" applyAlignment="1">
      <alignment horizontal="center" vertical="center"/>
    </xf>
    <xf numFmtId="0" fontId="9" fillId="3" borderId="0" xfId="3" applyFont="1" applyFill="1" applyAlignment="1">
      <alignment horizontal="center"/>
    </xf>
    <xf numFmtId="38" fontId="9" fillId="3" borderId="0" xfId="10" applyNumberFormat="1" applyFont="1" applyFill="1" applyBorder="1" applyAlignment="1">
      <alignment horizontal="right"/>
    </xf>
    <xf numFmtId="38" fontId="27" fillId="3" borderId="0" xfId="3" applyNumberFormat="1" applyFont="1" applyFill="1" applyAlignment="1">
      <alignment horizontal="right"/>
    </xf>
    <xf numFmtId="38" fontId="9" fillId="3" borderId="0" xfId="10" applyNumberFormat="1" applyFont="1" applyFill="1" applyAlignment="1">
      <alignment horizontal="right"/>
    </xf>
    <xf numFmtId="38" fontId="27" fillId="3" borderId="0" xfId="3" applyNumberFormat="1" applyFont="1" applyFill="1"/>
    <xf numFmtId="38" fontId="9" fillId="3" borderId="0" xfId="3" applyNumberFormat="1" applyFont="1" applyFill="1" applyAlignment="1">
      <alignment horizontal="right"/>
    </xf>
    <xf numFmtId="38" fontId="9" fillId="3" borderId="0" xfId="9" applyNumberFormat="1" applyFont="1" applyFill="1" applyAlignment="1">
      <alignment horizontal="right"/>
    </xf>
    <xf numFmtId="0" fontId="30" fillId="3" borderId="0" xfId="9" applyFont="1" applyFill="1"/>
    <xf numFmtId="0" fontId="29" fillId="3" borderId="0" xfId="9" applyFont="1" applyFill="1"/>
    <xf numFmtId="38" fontId="29" fillId="3" borderId="0" xfId="9" applyNumberFormat="1" applyFont="1" applyFill="1" applyAlignment="1">
      <alignment horizontal="right"/>
    </xf>
    <xf numFmtId="38" fontId="29" fillId="3" borderId="0" xfId="9" applyNumberFormat="1" applyFont="1" applyFill="1"/>
    <xf numFmtId="0" fontId="26" fillId="4" borderId="0" xfId="3" applyFont="1" applyFill="1"/>
    <xf numFmtId="0" fontId="4" fillId="6" borderId="0" xfId="3" applyFont="1" applyFill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38" fontId="9" fillId="7" borderId="0" xfId="3" applyNumberFormat="1" applyFont="1" applyFill="1" applyAlignment="1">
      <alignment horizontal="right"/>
    </xf>
    <xf numFmtId="0" fontId="23" fillId="3" borderId="0" xfId="3" applyFont="1" applyFill="1" applyAlignment="1">
      <alignment horizontal="center"/>
    </xf>
    <xf numFmtId="38" fontId="31" fillId="3" borderId="0" xfId="9" applyNumberFormat="1" applyFont="1" applyFill="1" applyAlignment="1">
      <alignment horizontal="right"/>
    </xf>
    <xf numFmtId="38" fontId="31" fillId="3" borderId="0" xfId="9" applyNumberFormat="1" applyFont="1" applyFill="1"/>
    <xf numFmtId="0" fontId="31" fillId="3" borderId="0" xfId="9" applyFont="1" applyFill="1"/>
    <xf numFmtId="0" fontId="9" fillId="3" borderId="0" xfId="9" applyFont="1" applyFill="1" applyAlignment="1">
      <alignment horizontal="left"/>
    </xf>
    <xf numFmtId="10" fontId="29" fillId="7" borderId="0" xfId="9" applyNumberFormat="1" applyFont="1" applyFill="1"/>
    <xf numFmtId="9" fontId="9" fillId="3" borderId="0" xfId="11" applyFont="1" applyFill="1" applyAlignment="1">
      <alignment horizontal="right"/>
    </xf>
    <xf numFmtId="38" fontId="29" fillId="3" borderId="0" xfId="10" applyNumberFormat="1" applyFont="1" applyFill="1" applyAlignment="1">
      <alignment horizontal="right"/>
    </xf>
    <xf numFmtId="1" fontId="9" fillId="3" borderId="0" xfId="3" applyNumberFormat="1" applyFont="1" applyFill="1" applyAlignment="1">
      <alignment horizontal="right"/>
    </xf>
    <xf numFmtId="10" fontId="9" fillId="3" borderId="0" xfId="12" applyNumberFormat="1" applyFont="1" applyFill="1" applyAlignment="1">
      <alignment horizontal="right"/>
    </xf>
    <xf numFmtId="0" fontId="32" fillId="3" borderId="0" xfId="9" quotePrefix="1" applyFont="1" applyFill="1"/>
    <xf numFmtId="0" fontId="32" fillId="3" borderId="0" xfId="9" applyFont="1" applyFill="1"/>
    <xf numFmtId="40" fontId="9" fillId="3" borderId="0" xfId="10" applyNumberFormat="1" applyFont="1" applyFill="1" applyBorder="1" applyAlignment="1">
      <alignment horizontal="right"/>
    </xf>
    <xf numFmtId="38" fontId="9" fillId="3" borderId="0" xfId="9" applyNumberFormat="1" applyFont="1" applyFill="1"/>
    <xf numFmtId="0" fontId="4" fillId="4" borderId="0" xfId="3" applyFont="1" applyFill="1" applyAlignment="1">
      <alignment horizontal="center" vertical="center"/>
    </xf>
    <xf numFmtId="0" fontId="23" fillId="4" borderId="0" xfId="3" applyFont="1" applyFill="1" applyAlignment="1">
      <alignment horizontal="left"/>
    </xf>
    <xf numFmtId="0" fontId="29" fillId="3" borderId="0" xfId="9" applyFont="1" applyFill="1" applyAlignment="1">
      <alignment horizontal="left" indent="2"/>
    </xf>
    <xf numFmtId="40" fontId="9" fillId="7" borderId="0" xfId="3" applyNumberFormat="1" applyFont="1" applyFill="1" applyAlignment="1">
      <alignment horizontal="right"/>
    </xf>
    <xf numFmtId="40" fontId="9" fillId="3" borderId="0" xfId="9" applyNumberFormat="1" applyFont="1" applyFill="1" applyAlignment="1">
      <alignment horizontal="right"/>
    </xf>
    <xf numFmtId="0" fontId="33" fillId="3" borderId="0" xfId="9" applyFont="1" applyFill="1" applyAlignment="1">
      <alignment horizontal="right"/>
    </xf>
    <xf numFmtId="3" fontId="34" fillId="4" borderId="0" xfId="3" applyNumberFormat="1" applyFont="1" applyFill="1" applyAlignment="1">
      <alignment horizontal="center"/>
    </xf>
    <xf numFmtId="0" fontId="34" fillId="3" borderId="0" xfId="3" applyFont="1" applyFill="1"/>
    <xf numFmtId="10" fontId="9" fillId="3" borderId="0" xfId="11" applyNumberFormat="1" applyFont="1" applyFill="1" applyAlignment="1">
      <alignment horizontal="right"/>
    </xf>
    <xf numFmtId="167" fontId="9" fillId="3" borderId="0" xfId="13" applyNumberFormat="1" applyFont="1" applyFill="1"/>
    <xf numFmtId="168" fontId="9" fillId="3" borderId="0" xfId="9" applyNumberFormat="1" applyFont="1" applyFill="1"/>
    <xf numFmtId="169" fontId="9" fillId="3" borderId="0" xfId="9" applyNumberFormat="1" applyFont="1" applyFill="1"/>
    <xf numFmtId="167" fontId="9" fillId="3" borderId="0" xfId="9" applyNumberFormat="1" applyFont="1" applyFill="1"/>
    <xf numFmtId="3" fontId="12" fillId="3" borderId="1" xfId="5" applyNumberFormat="1" applyFont="1" applyFill="1" applyBorder="1" applyAlignment="1">
      <alignment horizontal="left" wrapText="1"/>
    </xf>
    <xf numFmtId="3" fontId="35" fillId="3" borderId="1" xfId="5" applyNumberFormat="1" applyFont="1" applyFill="1" applyBorder="1" applyAlignment="1">
      <alignment horizontal="left" wrapText="1"/>
    </xf>
    <xf numFmtId="3" fontId="12" fillId="3" borderId="1" xfId="5" applyNumberFormat="1" applyFont="1" applyFill="1" applyBorder="1" applyAlignment="1">
      <alignment horizontal="left" wrapText="1" indent="1"/>
    </xf>
    <xf numFmtId="165" fontId="8" fillId="7" borderId="2" xfId="6" applyNumberFormat="1" applyFont="1" applyFill="1" applyBorder="1" applyAlignment="1" applyProtection="1">
      <alignment horizontal="right"/>
    </xf>
    <xf numFmtId="170" fontId="8" fillId="3" borderId="2" xfId="6" applyNumberFormat="1" applyFont="1" applyFill="1" applyBorder="1" applyAlignment="1" applyProtection="1">
      <alignment horizontal="right"/>
    </xf>
    <xf numFmtId="3" fontId="12" fillId="3" borderId="1" xfId="5" applyNumberFormat="1" applyFont="1" applyFill="1" applyBorder="1" applyAlignment="1">
      <alignment horizontal="left" wrapText="1" indent="2"/>
    </xf>
    <xf numFmtId="0" fontId="36" fillId="0" borderId="2" xfId="0" applyFont="1" applyBorder="1" applyAlignment="1">
      <alignment horizontal="right"/>
    </xf>
    <xf numFmtId="165" fontId="8" fillId="3" borderId="5" xfId="6" applyNumberFormat="1" applyFont="1" applyFill="1" applyBorder="1" applyAlignment="1" applyProtection="1">
      <alignment horizontal="right"/>
    </xf>
    <xf numFmtId="1" fontId="9" fillId="3" borderId="0" xfId="13" applyNumberFormat="1" applyFont="1" applyFill="1" applyAlignment="1">
      <alignment horizontal="center" vertical="center"/>
    </xf>
    <xf numFmtId="0" fontId="3" fillId="3" borderId="0" xfId="1" applyFont="1" applyFill="1"/>
    <xf numFmtId="3" fontId="14" fillId="3" borderId="2" xfId="5" applyNumberFormat="1" applyFont="1" applyFill="1" applyBorder="1" applyAlignment="1">
      <alignment horizontal="left" wrapText="1"/>
    </xf>
    <xf numFmtId="3" fontId="12" fillId="0" borderId="2" xfId="5" applyNumberFormat="1" applyFont="1" applyBorder="1" applyAlignment="1">
      <alignment wrapText="1"/>
    </xf>
    <xf numFmtId="3" fontId="12" fillId="0" borderId="2" xfId="5" applyNumberFormat="1" applyFont="1" applyBorder="1" applyAlignment="1">
      <alignment horizontal="left" wrapText="1"/>
    </xf>
    <xf numFmtId="3" fontId="14" fillId="0" borderId="2" xfId="5" applyNumberFormat="1" applyFont="1" applyBorder="1" applyAlignment="1">
      <alignment wrapText="1"/>
    </xf>
    <xf numFmtId="3" fontId="15" fillId="0" borderId="2" xfId="5" applyNumberFormat="1" applyFont="1" applyBorder="1" applyAlignment="1">
      <alignment horizontal="center" wrapText="1"/>
    </xf>
    <xf numFmtId="3" fontId="12" fillId="0" borderId="2" xfId="5" applyNumberFormat="1" applyFont="1" applyBorder="1" applyAlignment="1">
      <alignment horizontal="left" wrapText="1" indent="2"/>
    </xf>
    <xf numFmtId="10" fontId="9" fillId="7" borderId="0" xfId="9" applyNumberFormat="1" applyFont="1" applyFill="1"/>
    <xf numFmtId="43" fontId="9" fillId="3" borderId="0" xfId="13" applyFont="1" applyFill="1" applyAlignment="1">
      <alignment horizontal="right"/>
    </xf>
    <xf numFmtId="171" fontId="8" fillId="7" borderId="2" xfId="6" applyNumberFormat="1" applyFont="1" applyFill="1" applyBorder="1" applyAlignment="1" applyProtection="1">
      <alignment horizontal="right"/>
    </xf>
    <xf numFmtId="3" fontId="7" fillId="3" borderId="1" xfId="5" quotePrefix="1" applyNumberFormat="1" applyFont="1" applyFill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right"/>
    </xf>
    <xf numFmtId="0" fontId="18" fillId="3" borderId="0" xfId="0" applyFont="1" applyFill="1"/>
    <xf numFmtId="3" fontId="22" fillId="3" borderId="0" xfId="0" applyNumberFormat="1" applyFont="1" applyFill="1" applyAlignment="1">
      <alignment horizontal="right"/>
    </xf>
    <xf numFmtId="170" fontId="8" fillId="7" borderId="2" xfId="6" applyNumberFormat="1" applyFont="1" applyFill="1" applyBorder="1" applyAlignment="1" applyProtection="1">
      <alignment horizontal="right"/>
    </xf>
    <xf numFmtId="0" fontId="37" fillId="3" borderId="0" xfId="9" applyFont="1" applyFill="1"/>
    <xf numFmtId="0" fontId="37" fillId="3" borderId="0" xfId="9" applyFont="1" applyFill="1" applyAlignment="1">
      <alignment horizontal="center" vertical="center"/>
    </xf>
    <xf numFmtId="0" fontId="37" fillId="3" borderId="0" xfId="3" applyFont="1" applyFill="1" applyAlignment="1">
      <alignment horizontal="center"/>
    </xf>
    <xf numFmtId="38" fontId="37" fillId="3" borderId="0" xfId="10" applyNumberFormat="1" applyFont="1" applyFill="1" applyBorder="1" applyAlignment="1">
      <alignment horizontal="right"/>
    </xf>
    <xf numFmtId="38" fontId="37" fillId="3" borderId="0" xfId="3" applyNumberFormat="1" applyFont="1" applyFill="1" applyAlignment="1">
      <alignment horizontal="right"/>
    </xf>
    <xf numFmtId="38" fontId="37" fillId="3" borderId="0" xfId="10" applyNumberFormat="1" applyFont="1" applyFill="1" applyAlignment="1">
      <alignment horizontal="right"/>
    </xf>
    <xf numFmtId="0" fontId="37" fillId="3" borderId="0" xfId="3" applyFont="1" applyFill="1"/>
    <xf numFmtId="3" fontId="12" fillId="3" borderId="2" xfId="5" applyNumberFormat="1" applyFont="1" applyFill="1" applyBorder="1" applyAlignment="1">
      <alignment horizontal="left" wrapText="1"/>
    </xf>
    <xf numFmtId="165" fontId="8" fillId="0" borderId="2" xfId="4" applyNumberFormat="1" applyFont="1" applyBorder="1"/>
    <xf numFmtId="165" fontId="7" fillId="0" borderId="2" xfId="4" applyNumberFormat="1" applyFont="1" applyBorder="1"/>
  </cellXfs>
  <cellStyles count="14">
    <cellStyle name="Normal_ICPM IKANO Russian Market v1.0" xfId="3" xr:uid="{189D994B-23AE-4BB6-931A-BAA6618F4B90}"/>
    <cellStyle name="Normal_Jul04 - Assmps" xfId="1" xr:uid="{4F01D96A-6A40-4E80-AAB1-CA95A7285E93}"/>
    <cellStyle name="Обычный" xfId="0" builtinId="0"/>
    <cellStyle name="Обычный 2" xfId="9" xr:uid="{3BFF4763-3B77-41A7-BEB8-9BDE0D098E1B}"/>
    <cellStyle name="Обычный 4 2 2" xfId="7" xr:uid="{C127810F-3189-414E-83C6-167552C287DB}"/>
    <cellStyle name="Обычный_forma" xfId="4" xr:uid="{E82E06DB-EA54-4FFA-BC95-F822DE0195CD}"/>
    <cellStyle name="Обычный_баланс" xfId="2" xr:uid="{33D41C1B-86B4-4553-AFCF-01B77E150929}"/>
    <cellStyle name="Обычный_Все таб Нар БП" xfId="6" xr:uid="{9CF8DF78-B5D3-45EB-9F39-9B7FA5D0A9A8}"/>
    <cellStyle name="Обычный_таб.703-99" xfId="5" xr:uid="{B4A4CA72-B7E0-45D4-95CF-E50D4378DA53}"/>
    <cellStyle name="Процентный" xfId="12" builtinId="5"/>
    <cellStyle name="Процентный 2" xfId="11" xr:uid="{C406C24D-368F-4F1F-AF95-822FC03DFF5A}"/>
    <cellStyle name="Финансовый" xfId="13" builtinId="3"/>
    <cellStyle name="Финансовый 2" xfId="10" xr:uid="{3675E96A-C96E-495D-A86D-845371775A30}"/>
    <cellStyle name="Финансовый 4 2" xfId="8" xr:uid="{1BD5C57B-8606-4236-9668-D0A9CAF4A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283B-8309-43E4-B22C-344C495D4D15}">
  <sheetPr>
    <tabColor theme="0"/>
  </sheetPr>
  <dimension ref="A1:AR27"/>
  <sheetViews>
    <sheetView zoomScaleNormal="100" workbookViewId="0">
      <pane xSplit="3" ySplit="5" topLeftCell="D6" activePane="bottomRight" state="frozen"/>
      <selection activeCell="A34" sqref="A34"/>
      <selection pane="topRight" activeCell="A34" sqref="A34"/>
      <selection pane="bottomLeft" activeCell="A34" sqref="A34"/>
      <selection pane="bottomRight" activeCell="AP18" sqref="AP18"/>
    </sheetView>
  </sheetViews>
  <sheetFormatPr defaultColWidth="8.88671875" defaultRowHeight="13.2"/>
  <cols>
    <col min="1" max="1" width="40.33203125" style="80" customWidth="1"/>
    <col min="2" max="2" width="9.88671875" style="80" bestFit="1" customWidth="1"/>
    <col min="3" max="3" width="17.5546875" style="80" customWidth="1"/>
    <col min="4" max="4" width="11.109375" style="70" bestFit="1" customWidth="1"/>
    <col min="5" max="18" width="9.88671875" style="80" bestFit="1" customWidth="1"/>
    <col min="19" max="39" width="10.88671875" style="80" bestFit="1" customWidth="1"/>
    <col min="40" max="40" width="5.44140625" style="80" customWidth="1"/>
    <col min="41" max="42" width="10.88671875" style="80" bestFit="1" customWidth="1"/>
    <col min="43" max="43" width="12" style="80" bestFit="1" customWidth="1"/>
    <col min="44" max="16384" width="8.88671875" style="80"/>
  </cols>
  <sheetData>
    <row r="1" spans="1:44" s="4" customFormat="1" ht="15.6">
      <c r="A1" s="1" t="s">
        <v>130</v>
      </c>
      <c r="B1" s="2"/>
      <c r="C1" s="2"/>
      <c r="D1" s="54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44" s="56" customFormat="1" ht="17.25" customHeight="1">
      <c r="A2" s="55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 spans="1:44" s="56" customFormat="1">
      <c r="A3" s="55"/>
      <c r="D3" s="58"/>
      <c r="E3" s="58"/>
      <c r="F3" s="58"/>
      <c r="G3" s="58"/>
      <c r="H3" s="58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spans="1:44" s="56" customFormat="1" ht="15" customHeight="1">
      <c r="D4" s="59">
        <v>46023</v>
      </c>
      <c r="E4" s="59">
        <v>46054</v>
      </c>
      <c r="F4" s="59">
        <v>46082</v>
      </c>
      <c r="G4" s="59">
        <v>46113</v>
      </c>
      <c r="H4" s="59">
        <v>46143</v>
      </c>
      <c r="I4" s="59">
        <v>46174</v>
      </c>
      <c r="J4" s="59">
        <v>46204</v>
      </c>
      <c r="K4" s="59">
        <v>46235</v>
      </c>
      <c r="L4" s="59">
        <v>46266</v>
      </c>
      <c r="M4" s="59">
        <v>46296</v>
      </c>
      <c r="N4" s="59">
        <v>46327</v>
      </c>
      <c r="O4" s="59">
        <v>46357</v>
      </c>
      <c r="P4" s="59">
        <v>46388</v>
      </c>
      <c r="Q4" s="59">
        <v>46419</v>
      </c>
      <c r="R4" s="59">
        <v>46447</v>
      </c>
      <c r="S4" s="59">
        <v>46478</v>
      </c>
      <c r="T4" s="59">
        <v>46508</v>
      </c>
      <c r="U4" s="59">
        <v>46539</v>
      </c>
      <c r="V4" s="59">
        <v>46569</v>
      </c>
      <c r="W4" s="59">
        <v>46600</v>
      </c>
      <c r="X4" s="59">
        <v>46631</v>
      </c>
      <c r="Y4" s="59">
        <v>46661</v>
      </c>
      <c r="Z4" s="59">
        <v>46692</v>
      </c>
      <c r="AA4" s="59">
        <v>46722</v>
      </c>
      <c r="AB4" s="59">
        <v>46753</v>
      </c>
      <c r="AC4" s="59">
        <v>46784</v>
      </c>
      <c r="AD4" s="59">
        <v>46813</v>
      </c>
      <c r="AE4" s="59">
        <v>46844</v>
      </c>
      <c r="AF4" s="59">
        <v>46874</v>
      </c>
      <c r="AG4" s="59">
        <v>46905</v>
      </c>
      <c r="AH4" s="59">
        <v>46935</v>
      </c>
      <c r="AI4" s="59">
        <v>46966</v>
      </c>
      <c r="AJ4" s="59">
        <v>46997</v>
      </c>
      <c r="AK4" s="59">
        <v>47027</v>
      </c>
      <c r="AL4" s="59">
        <v>47058</v>
      </c>
      <c r="AM4" s="59">
        <v>47088</v>
      </c>
      <c r="AO4" s="57">
        <f>YEAR(O4)</f>
        <v>2026</v>
      </c>
      <c r="AP4" s="57">
        <f>YEAR(AA4)</f>
        <v>2027</v>
      </c>
      <c r="AQ4" s="57">
        <f>YEAR(AM4)</f>
        <v>2028</v>
      </c>
    </row>
    <row r="5" spans="1:44" s="61" customFormat="1">
      <c r="A5" s="56"/>
      <c r="B5" s="56"/>
      <c r="C5" s="56"/>
      <c r="D5" s="60" t="s">
        <v>1</v>
      </c>
      <c r="E5" s="60" t="s">
        <v>2</v>
      </c>
      <c r="F5" s="60" t="s">
        <v>3</v>
      </c>
      <c r="G5" s="60" t="s">
        <v>4</v>
      </c>
      <c r="H5" s="60" t="s">
        <v>5</v>
      </c>
      <c r="I5" s="60" t="s">
        <v>6</v>
      </c>
      <c r="J5" s="60" t="s">
        <v>7</v>
      </c>
      <c r="K5" s="60" t="s">
        <v>8</v>
      </c>
      <c r="L5" s="60" t="s">
        <v>9</v>
      </c>
      <c r="M5" s="60" t="s">
        <v>10</v>
      </c>
      <c r="N5" s="60" t="s">
        <v>11</v>
      </c>
      <c r="O5" s="60" t="s">
        <v>12</v>
      </c>
      <c r="P5" s="60" t="s">
        <v>13</v>
      </c>
      <c r="Q5" s="60" t="s">
        <v>14</v>
      </c>
      <c r="R5" s="60" t="s">
        <v>15</v>
      </c>
      <c r="S5" s="60" t="s">
        <v>16</v>
      </c>
      <c r="T5" s="60" t="s">
        <v>17</v>
      </c>
      <c r="U5" s="60" t="s">
        <v>18</v>
      </c>
      <c r="V5" s="60" t="s">
        <v>19</v>
      </c>
      <c r="W5" s="60" t="s">
        <v>20</v>
      </c>
      <c r="X5" s="60" t="s">
        <v>21</v>
      </c>
      <c r="Y5" s="60" t="s">
        <v>22</v>
      </c>
      <c r="Z5" s="60" t="s">
        <v>23</v>
      </c>
      <c r="AA5" s="60" t="s">
        <v>24</v>
      </c>
      <c r="AB5" s="60" t="s">
        <v>25</v>
      </c>
      <c r="AC5" s="60" t="s">
        <v>26</v>
      </c>
      <c r="AD5" s="60" t="s">
        <v>27</v>
      </c>
      <c r="AE5" s="60" t="s">
        <v>28</v>
      </c>
      <c r="AF5" s="60" t="s">
        <v>29</v>
      </c>
      <c r="AG5" s="60" t="s">
        <v>30</v>
      </c>
      <c r="AH5" s="60" t="s">
        <v>31</v>
      </c>
      <c r="AI5" s="60" t="s">
        <v>32</v>
      </c>
      <c r="AJ5" s="60" t="s">
        <v>33</v>
      </c>
      <c r="AK5" s="60" t="s">
        <v>34</v>
      </c>
      <c r="AL5" s="60" t="s">
        <v>35</v>
      </c>
      <c r="AM5" s="60" t="s">
        <v>36</v>
      </c>
      <c r="AO5" s="60" t="s">
        <v>37</v>
      </c>
      <c r="AP5" s="60" t="s">
        <v>38</v>
      </c>
      <c r="AQ5" s="60" t="s">
        <v>39</v>
      </c>
    </row>
    <row r="6" spans="1:44" s="62" customFormat="1">
      <c r="D6" s="95">
        <v>1</v>
      </c>
      <c r="E6" s="63">
        <f t="shared" ref="E6:AM6" si="0">D6+1</f>
        <v>2</v>
      </c>
      <c r="F6" s="63">
        <f t="shared" si="0"/>
        <v>3</v>
      </c>
      <c r="G6" s="63">
        <f t="shared" si="0"/>
        <v>4</v>
      </c>
      <c r="H6" s="63">
        <f t="shared" si="0"/>
        <v>5</v>
      </c>
      <c r="I6" s="63">
        <f t="shared" si="0"/>
        <v>6</v>
      </c>
      <c r="J6" s="63">
        <f t="shared" si="0"/>
        <v>7</v>
      </c>
      <c r="K6" s="63">
        <f t="shared" si="0"/>
        <v>8</v>
      </c>
      <c r="L6" s="63">
        <f t="shared" si="0"/>
        <v>9</v>
      </c>
      <c r="M6" s="63">
        <f t="shared" si="0"/>
        <v>10</v>
      </c>
      <c r="N6" s="63">
        <f t="shared" si="0"/>
        <v>11</v>
      </c>
      <c r="O6" s="63">
        <f t="shared" si="0"/>
        <v>12</v>
      </c>
      <c r="P6" s="63">
        <f t="shared" si="0"/>
        <v>13</v>
      </c>
      <c r="Q6" s="63">
        <f t="shared" si="0"/>
        <v>14</v>
      </c>
      <c r="R6" s="63">
        <f t="shared" si="0"/>
        <v>15</v>
      </c>
      <c r="S6" s="63">
        <f t="shared" si="0"/>
        <v>16</v>
      </c>
      <c r="T6" s="63">
        <f t="shared" si="0"/>
        <v>17</v>
      </c>
      <c r="U6" s="63">
        <f t="shared" si="0"/>
        <v>18</v>
      </c>
      <c r="V6" s="63">
        <f t="shared" si="0"/>
        <v>19</v>
      </c>
      <c r="W6" s="63">
        <f t="shared" si="0"/>
        <v>20</v>
      </c>
      <c r="X6" s="63">
        <f t="shared" si="0"/>
        <v>21</v>
      </c>
      <c r="Y6" s="63">
        <f t="shared" si="0"/>
        <v>22</v>
      </c>
      <c r="Z6" s="63">
        <f t="shared" si="0"/>
        <v>23</v>
      </c>
      <c r="AA6" s="63">
        <f t="shared" si="0"/>
        <v>24</v>
      </c>
      <c r="AB6" s="63">
        <f t="shared" si="0"/>
        <v>25</v>
      </c>
      <c r="AC6" s="63">
        <f t="shared" si="0"/>
        <v>26</v>
      </c>
      <c r="AD6" s="63">
        <f t="shared" si="0"/>
        <v>27</v>
      </c>
      <c r="AE6" s="63">
        <f t="shared" si="0"/>
        <v>28</v>
      </c>
      <c r="AF6" s="63">
        <f t="shared" si="0"/>
        <v>29</v>
      </c>
      <c r="AG6" s="63">
        <f t="shared" si="0"/>
        <v>30</v>
      </c>
      <c r="AH6" s="63">
        <f t="shared" si="0"/>
        <v>31</v>
      </c>
      <c r="AI6" s="63">
        <f t="shared" si="0"/>
        <v>32</v>
      </c>
      <c r="AJ6" s="63">
        <f t="shared" si="0"/>
        <v>33</v>
      </c>
      <c r="AK6" s="63">
        <f t="shared" si="0"/>
        <v>34</v>
      </c>
      <c r="AL6" s="63">
        <f t="shared" si="0"/>
        <v>35</v>
      </c>
      <c r="AM6" s="63">
        <f t="shared" si="0"/>
        <v>36</v>
      </c>
      <c r="AO6" s="64"/>
      <c r="AP6" s="64"/>
      <c r="AQ6" s="64"/>
    </row>
    <row r="7" spans="1:44" s="62" customFormat="1" ht="6.6" customHeight="1"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O7" s="64"/>
      <c r="AP7" s="64"/>
      <c r="AQ7" s="64"/>
    </row>
    <row r="8" spans="1:44" s="69" customFormat="1">
      <c r="A8" s="83" t="s">
        <v>262</v>
      </c>
      <c r="B8" s="66" t="s">
        <v>76</v>
      </c>
      <c r="C8" s="84" t="s">
        <v>77</v>
      </c>
      <c r="D8" s="67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O8" s="68"/>
      <c r="AP8" s="68"/>
      <c r="AQ8" s="68"/>
    </row>
    <row r="9" spans="1:44">
      <c r="A9" s="70" t="s">
        <v>176</v>
      </c>
      <c r="B9" s="85"/>
      <c r="C9" s="72"/>
      <c r="D9" s="86">
        <v>15</v>
      </c>
      <c r="E9" s="86">
        <f>D9+1</f>
        <v>16</v>
      </c>
      <c r="F9" s="86">
        <f t="shared" ref="F9" si="1">E9+1</f>
        <v>17</v>
      </c>
      <c r="G9" s="86">
        <f t="shared" ref="G9" si="2">F9+1</f>
        <v>18</v>
      </c>
      <c r="H9" s="86">
        <f t="shared" ref="H9" si="3">G9+1</f>
        <v>19</v>
      </c>
      <c r="I9" s="86">
        <f t="shared" ref="I9" si="4">H9+1</f>
        <v>20</v>
      </c>
      <c r="J9" s="86">
        <v>20</v>
      </c>
      <c r="K9" s="86">
        <f>J9+2</f>
        <v>22</v>
      </c>
      <c r="L9" s="86">
        <f t="shared" ref="L9" si="5">K9+2</f>
        <v>24</v>
      </c>
      <c r="M9" s="86">
        <f t="shared" ref="M9" si="6">L9+2</f>
        <v>26</v>
      </c>
      <c r="N9" s="86">
        <f t="shared" ref="N9" si="7">M9+2</f>
        <v>28</v>
      </c>
      <c r="O9" s="86">
        <v>30</v>
      </c>
      <c r="P9" s="86">
        <f>O9</f>
        <v>30</v>
      </c>
      <c r="Q9" s="86">
        <f t="shared" ref="Q9" si="8">P9</f>
        <v>30</v>
      </c>
      <c r="R9" s="86">
        <f t="shared" ref="R9" si="9">Q9</f>
        <v>30</v>
      </c>
      <c r="S9" s="86">
        <f t="shared" ref="S9" si="10">R9</f>
        <v>30</v>
      </c>
      <c r="T9" s="86">
        <f t="shared" ref="T9" si="11">S9</f>
        <v>30</v>
      </c>
      <c r="U9" s="86">
        <f t="shared" ref="U9" si="12">T9</f>
        <v>30</v>
      </c>
      <c r="V9" s="86">
        <f t="shared" ref="V9" si="13">U9</f>
        <v>30</v>
      </c>
      <c r="W9" s="86">
        <f t="shared" ref="W9" si="14">V9</f>
        <v>30</v>
      </c>
      <c r="X9" s="86">
        <f t="shared" ref="X9" si="15">W9</f>
        <v>30</v>
      </c>
      <c r="Y9" s="86">
        <f t="shared" ref="Y9" si="16">X9</f>
        <v>30</v>
      </c>
      <c r="Z9" s="86">
        <f t="shared" ref="Z9" si="17">Y9</f>
        <v>30</v>
      </c>
      <c r="AA9" s="86">
        <f t="shared" ref="AA9" si="18">Z9</f>
        <v>30</v>
      </c>
      <c r="AB9" s="86">
        <f t="shared" ref="AB9" si="19">AA9</f>
        <v>30</v>
      </c>
      <c r="AC9" s="86">
        <f t="shared" ref="AC9" si="20">AB9</f>
        <v>30</v>
      </c>
      <c r="AD9" s="86">
        <f t="shared" ref="AD9" si="21">AC9</f>
        <v>30</v>
      </c>
      <c r="AE9" s="86">
        <f t="shared" ref="AE9" si="22">AD9</f>
        <v>30</v>
      </c>
      <c r="AF9" s="86">
        <f t="shared" ref="AF9" si="23">AE9</f>
        <v>30</v>
      </c>
      <c r="AG9" s="86">
        <f t="shared" ref="AG9" si="24">AF9</f>
        <v>30</v>
      </c>
      <c r="AH9" s="86">
        <f t="shared" ref="AH9" si="25">AG9</f>
        <v>30</v>
      </c>
      <c r="AI9" s="86">
        <f t="shared" ref="AI9" si="26">AH9</f>
        <v>30</v>
      </c>
      <c r="AJ9" s="86">
        <f t="shared" ref="AJ9" si="27">AI9</f>
        <v>30</v>
      </c>
      <c r="AK9" s="86">
        <f t="shared" ref="AK9" si="28">AJ9</f>
        <v>30</v>
      </c>
      <c r="AL9" s="86">
        <f t="shared" ref="AL9" si="29">AK9</f>
        <v>30</v>
      </c>
      <c r="AM9" s="86">
        <f t="shared" ref="AM9" si="30">AL9</f>
        <v>30</v>
      </c>
      <c r="AN9" s="81"/>
      <c r="AO9" s="75">
        <f>O9</f>
        <v>30</v>
      </c>
      <c r="AP9" s="75">
        <f>AA9</f>
        <v>30</v>
      </c>
      <c r="AQ9" s="75">
        <f>AM9</f>
        <v>30</v>
      </c>
      <c r="AR9" s="82"/>
    </row>
    <row r="10" spans="1:44">
      <c r="A10" s="103" t="s">
        <v>257</v>
      </c>
      <c r="B10" s="85" t="s">
        <v>85</v>
      </c>
      <c r="C10" s="72"/>
      <c r="D10" s="86">
        <v>15</v>
      </c>
      <c r="E10" s="86">
        <f>D10+1</f>
        <v>16</v>
      </c>
      <c r="F10" s="86">
        <f t="shared" ref="F10:I11" si="31">E10+1</f>
        <v>17</v>
      </c>
      <c r="G10" s="86">
        <f t="shared" si="31"/>
        <v>18</v>
      </c>
      <c r="H10" s="86">
        <f t="shared" si="31"/>
        <v>19</v>
      </c>
      <c r="I10" s="86">
        <f t="shared" si="31"/>
        <v>20</v>
      </c>
      <c r="J10" s="86">
        <v>20</v>
      </c>
      <c r="K10" s="86">
        <f>J10+2</f>
        <v>22</v>
      </c>
      <c r="L10" s="86">
        <f t="shared" ref="L10:N10" si="32">K10+2</f>
        <v>24</v>
      </c>
      <c r="M10" s="86">
        <f t="shared" si="32"/>
        <v>26</v>
      </c>
      <c r="N10" s="86">
        <f t="shared" si="32"/>
        <v>28</v>
      </c>
      <c r="O10" s="86">
        <v>30</v>
      </c>
      <c r="P10" s="86">
        <f>O10</f>
        <v>30</v>
      </c>
      <c r="Q10" s="86">
        <f t="shared" ref="Q10:AM10" si="33">P10</f>
        <v>30</v>
      </c>
      <c r="R10" s="86">
        <f t="shared" si="33"/>
        <v>30</v>
      </c>
      <c r="S10" s="86">
        <f t="shared" si="33"/>
        <v>30</v>
      </c>
      <c r="T10" s="86">
        <f t="shared" si="33"/>
        <v>30</v>
      </c>
      <c r="U10" s="86">
        <f t="shared" si="33"/>
        <v>30</v>
      </c>
      <c r="V10" s="86">
        <f t="shared" si="33"/>
        <v>30</v>
      </c>
      <c r="W10" s="86">
        <f t="shared" si="33"/>
        <v>30</v>
      </c>
      <c r="X10" s="86">
        <f t="shared" si="33"/>
        <v>30</v>
      </c>
      <c r="Y10" s="86">
        <f t="shared" si="33"/>
        <v>30</v>
      </c>
      <c r="Z10" s="86">
        <f t="shared" si="33"/>
        <v>30</v>
      </c>
      <c r="AA10" s="86">
        <f t="shared" si="33"/>
        <v>30</v>
      </c>
      <c r="AB10" s="86">
        <f t="shared" si="33"/>
        <v>30</v>
      </c>
      <c r="AC10" s="86">
        <f t="shared" si="33"/>
        <v>30</v>
      </c>
      <c r="AD10" s="86">
        <f t="shared" si="33"/>
        <v>30</v>
      </c>
      <c r="AE10" s="86">
        <f t="shared" si="33"/>
        <v>30</v>
      </c>
      <c r="AF10" s="86">
        <f t="shared" si="33"/>
        <v>30</v>
      </c>
      <c r="AG10" s="86">
        <f t="shared" si="33"/>
        <v>30</v>
      </c>
      <c r="AH10" s="86">
        <f t="shared" si="33"/>
        <v>30</v>
      </c>
      <c r="AI10" s="86">
        <f t="shared" si="33"/>
        <v>30</v>
      </c>
      <c r="AJ10" s="86">
        <f t="shared" si="33"/>
        <v>30</v>
      </c>
      <c r="AK10" s="86">
        <f t="shared" si="33"/>
        <v>30</v>
      </c>
      <c r="AL10" s="86">
        <f t="shared" si="33"/>
        <v>30</v>
      </c>
      <c r="AM10" s="86">
        <f t="shared" si="33"/>
        <v>30</v>
      </c>
      <c r="AN10" s="81"/>
      <c r="AO10" s="75">
        <f t="shared" ref="AO10:AO14" si="34">O10</f>
        <v>30</v>
      </c>
      <c r="AP10" s="75">
        <f t="shared" ref="AP10:AP14" si="35">AA10</f>
        <v>30</v>
      </c>
      <c r="AQ10" s="75">
        <f t="shared" ref="AQ10:AQ14" si="36">AM10</f>
        <v>30</v>
      </c>
      <c r="AR10" s="82"/>
    </row>
    <row r="11" spans="1:44">
      <c r="A11" s="103" t="s">
        <v>256</v>
      </c>
      <c r="B11" s="85" t="s">
        <v>85</v>
      </c>
      <c r="C11" s="72"/>
      <c r="D11" s="86">
        <v>2</v>
      </c>
      <c r="E11" s="86">
        <f>D11+1</f>
        <v>3</v>
      </c>
      <c r="F11" s="86">
        <f t="shared" si="31"/>
        <v>4</v>
      </c>
      <c r="G11" s="86">
        <f t="shared" si="31"/>
        <v>5</v>
      </c>
      <c r="H11" s="86">
        <f t="shared" si="31"/>
        <v>6</v>
      </c>
      <c r="I11" s="86">
        <f t="shared" si="31"/>
        <v>7</v>
      </c>
      <c r="J11" s="86">
        <f t="shared" ref="J11:AM11" si="37">I11+1</f>
        <v>8</v>
      </c>
      <c r="K11" s="86">
        <f t="shared" si="37"/>
        <v>9</v>
      </c>
      <c r="L11" s="86">
        <f t="shared" si="37"/>
        <v>10</v>
      </c>
      <c r="M11" s="86">
        <f t="shared" si="37"/>
        <v>11</v>
      </c>
      <c r="N11" s="86">
        <f t="shared" si="37"/>
        <v>12</v>
      </c>
      <c r="O11" s="86">
        <f t="shared" si="37"/>
        <v>13</v>
      </c>
      <c r="P11" s="86">
        <f t="shared" si="37"/>
        <v>14</v>
      </c>
      <c r="Q11" s="86">
        <f t="shared" si="37"/>
        <v>15</v>
      </c>
      <c r="R11" s="86">
        <f t="shared" si="37"/>
        <v>16</v>
      </c>
      <c r="S11" s="86">
        <f t="shared" si="37"/>
        <v>17</v>
      </c>
      <c r="T11" s="86">
        <f t="shared" si="37"/>
        <v>18</v>
      </c>
      <c r="U11" s="86">
        <f t="shared" si="37"/>
        <v>19</v>
      </c>
      <c r="V11" s="86">
        <f t="shared" si="37"/>
        <v>20</v>
      </c>
      <c r="W11" s="86">
        <f t="shared" si="37"/>
        <v>21</v>
      </c>
      <c r="X11" s="86">
        <f t="shared" si="37"/>
        <v>22</v>
      </c>
      <c r="Y11" s="86">
        <f t="shared" si="37"/>
        <v>23</v>
      </c>
      <c r="Z11" s="86">
        <f t="shared" si="37"/>
        <v>24</v>
      </c>
      <c r="AA11" s="86">
        <f t="shared" si="37"/>
        <v>25</v>
      </c>
      <c r="AB11" s="86">
        <f t="shared" si="37"/>
        <v>26</v>
      </c>
      <c r="AC11" s="86">
        <f t="shared" si="37"/>
        <v>27</v>
      </c>
      <c r="AD11" s="86">
        <f t="shared" si="37"/>
        <v>28</v>
      </c>
      <c r="AE11" s="86">
        <f t="shared" si="37"/>
        <v>29</v>
      </c>
      <c r="AF11" s="86">
        <f t="shared" si="37"/>
        <v>30</v>
      </c>
      <c r="AG11" s="86">
        <f t="shared" si="37"/>
        <v>31</v>
      </c>
      <c r="AH11" s="86">
        <f t="shared" si="37"/>
        <v>32</v>
      </c>
      <c r="AI11" s="86">
        <f t="shared" si="37"/>
        <v>33</v>
      </c>
      <c r="AJ11" s="86">
        <f t="shared" si="37"/>
        <v>34</v>
      </c>
      <c r="AK11" s="86">
        <f t="shared" si="37"/>
        <v>35</v>
      </c>
      <c r="AL11" s="86">
        <f t="shared" si="37"/>
        <v>36</v>
      </c>
      <c r="AM11" s="86">
        <f t="shared" si="37"/>
        <v>37</v>
      </c>
      <c r="AN11" s="81"/>
      <c r="AO11" s="75">
        <f t="shared" ref="AO11" si="38">O11</f>
        <v>13</v>
      </c>
      <c r="AP11" s="75">
        <f t="shared" ref="AP11" si="39">AA11</f>
        <v>25</v>
      </c>
      <c r="AQ11" s="75">
        <f t="shared" ref="AQ11" si="40">AM11</f>
        <v>37</v>
      </c>
      <c r="AR11" s="82"/>
    </row>
    <row r="12" spans="1:44">
      <c r="A12" s="103" t="s">
        <v>172</v>
      </c>
      <c r="B12" s="85" t="s">
        <v>85</v>
      </c>
      <c r="C12" s="72"/>
      <c r="D12" s="86">
        <v>15</v>
      </c>
      <c r="E12" s="86">
        <f t="shared" ref="E12:E22" si="41">D12+1</f>
        <v>16</v>
      </c>
      <c r="F12" s="86">
        <f t="shared" ref="F12:F22" si="42">E12+1</f>
        <v>17</v>
      </c>
      <c r="G12" s="86">
        <f t="shared" ref="G12:G22" si="43">F12+1</f>
        <v>18</v>
      </c>
      <c r="H12" s="86">
        <f t="shared" ref="H12:H22" si="44">G12+1</f>
        <v>19</v>
      </c>
      <c r="I12" s="86">
        <f t="shared" ref="I12:I22" si="45">H12+1</f>
        <v>20</v>
      </c>
      <c r="J12" s="86">
        <v>20</v>
      </c>
      <c r="K12" s="86">
        <f t="shared" ref="K12:K22" si="46">J12+2</f>
        <v>22</v>
      </c>
      <c r="L12" s="86">
        <f t="shared" ref="L12:L22" si="47">K12+2</f>
        <v>24</v>
      </c>
      <c r="M12" s="86">
        <f t="shared" ref="M12:M22" si="48">L12+2</f>
        <v>26</v>
      </c>
      <c r="N12" s="86">
        <f t="shared" ref="N12:N22" si="49">M12+2</f>
        <v>28</v>
      </c>
      <c r="O12" s="86">
        <v>30</v>
      </c>
      <c r="P12" s="86">
        <f t="shared" ref="P12:P24" si="50">O12</f>
        <v>30</v>
      </c>
      <c r="Q12" s="86">
        <f t="shared" ref="Q12:Q24" si="51">P12</f>
        <v>30</v>
      </c>
      <c r="R12" s="86">
        <f t="shared" ref="R12:R24" si="52">Q12</f>
        <v>30</v>
      </c>
      <c r="S12" s="86">
        <f t="shared" ref="S12:S24" si="53">R12</f>
        <v>30</v>
      </c>
      <c r="T12" s="86">
        <f t="shared" ref="T12:T24" si="54">S12</f>
        <v>30</v>
      </c>
      <c r="U12" s="86">
        <f t="shared" ref="U12:U24" si="55">T12</f>
        <v>30</v>
      </c>
      <c r="V12" s="86">
        <f t="shared" ref="V12:V24" si="56">U12</f>
        <v>30</v>
      </c>
      <c r="W12" s="86">
        <f t="shared" ref="W12:W24" si="57">V12</f>
        <v>30</v>
      </c>
      <c r="X12" s="86">
        <f t="shared" ref="X12:X24" si="58">W12</f>
        <v>30</v>
      </c>
      <c r="Y12" s="86">
        <f t="shared" ref="Y12:Y24" si="59">X12</f>
        <v>30</v>
      </c>
      <c r="Z12" s="86">
        <f t="shared" ref="Z12:Z24" si="60">Y12</f>
        <v>30</v>
      </c>
      <c r="AA12" s="86">
        <f t="shared" ref="AA12:AA24" si="61">Z12</f>
        <v>30</v>
      </c>
      <c r="AB12" s="86">
        <f t="shared" ref="AB12:AB24" si="62">AA12</f>
        <v>30</v>
      </c>
      <c r="AC12" s="86">
        <f t="shared" ref="AC12:AC24" si="63">AB12</f>
        <v>30</v>
      </c>
      <c r="AD12" s="86">
        <f t="shared" ref="AD12:AD24" si="64">AC12</f>
        <v>30</v>
      </c>
      <c r="AE12" s="86">
        <f t="shared" ref="AE12:AE24" si="65">AD12</f>
        <v>30</v>
      </c>
      <c r="AF12" s="86">
        <f t="shared" ref="AF12:AF24" si="66">AE12</f>
        <v>30</v>
      </c>
      <c r="AG12" s="86">
        <f t="shared" ref="AG12:AG24" si="67">AF12</f>
        <v>30</v>
      </c>
      <c r="AH12" s="86">
        <f t="shared" ref="AH12:AH24" si="68">AG12</f>
        <v>30</v>
      </c>
      <c r="AI12" s="86">
        <f t="shared" ref="AI12:AI24" si="69">AH12</f>
        <v>30</v>
      </c>
      <c r="AJ12" s="86">
        <f t="shared" ref="AJ12:AJ24" si="70">AI12</f>
        <v>30</v>
      </c>
      <c r="AK12" s="86">
        <f t="shared" ref="AK12:AK24" si="71">AJ12</f>
        <v>30</v>
      </c>
      <c r="AL12" s="86">
        <f t="shared" ref="AL12:AL24" si="72">AK12</f>
        <v>30</v>
      </c>
      <c r="AM12" s="86">
        <f t="shared" ref="AM12:AM24" si="73">AL12</f>
        <v>30</v>
      </c>
      <c r="AN12" s="81"/>
      <c r="AO12" s="75">
        <f t="shared" si="34"/>
        <v>30</v>
      </c>
      <c r="AP12" s="75">
        <f t="shared" si="35"/>
        <v>30</v>
      </c>
      <c r="AQ12" s="75">
        <f t="shared" si="36"/>
        <v>30</v>
      </c>
      <c r="AR12" s="82"/>
    </row>
    <row r="13" spans="1:44">
      <c r="A13" s="103" t="s">
        <v>134</v>
      </c>
      <c r="B13" s="85" t="s">
        <v>85</v>
      </c>
      <c r="C13" s="72"/>
      <c r="D13" s="86">
        <v>15</v>
      </c>
      <c r="E13" s="86">
        <f t="shared" si="41"/>
        <v>16</v>
      </c>
      <c r="F13" s="86">
        <f t="shared" si="42"/>
        <v>17</v>
      </c>
      <c r="G13" s="86">
        <f t="shared" si="43"/>
        <v>18</v>
      </c>
      <c r="H13" s="86">
        <f t="shared" si="44"/>
        <v>19</v>
      </c>
      <c r="I13" s="86">
        <f t="shared" si="45"/>
        <v>20</v>
      </c>
      <c r="J13" s="86">
        <v>20</v>
      </c>
      <c r="K13" s="86">
        <f t="shared" si="46"/>
        <v>22</v>
      </c>
      <c r="L13" s="86">
        <f t="shared" si="47"/>
        <v>24</v>
      </c>
      <c r="M13" s="86">
        <f t="shared" si="48"/>
        <v>26</v>
      </c>
      <c r="N13" s="86">
        <f t="shared" si="49"/>
        <v>28</v>
      </c>
      <c r="O13" s="86">
        <v>30</v>
      </c>
      <c r="P13" s="86">
        <f t="shared" si="50"/>
        <v>30</v>
      </c>
      <c r="Q13" s="86">
        <f t="shared" si="51"/>
        <v>30</v>
      </c>
      <c r="R13" s="86">
        <f t="shared" si="52"/>
        <v>30</v>
      </c>
      <c r="S13" s="86">
        <f t="shared" si="53"/>
        <v>30</v>
      </c>
      <c r="T13" s="86">
        <f t="shared" si="54"/>
        <v>30</v>
      </c>
      <c r="U13" s="86">
        <f t="shared" si="55"/>
        <v>30</v>
      </c>
      <c r="V13" s="86">
        <f t="shared" si="56"/>
        <v>30</v>
      </c>
      <c r="W13" s="86">
        <f t="shared" si="57"/>
        <v>30</v>
      </c>
      <c r="X13" s="86">
        <f t="shared" si="58"/>
        <v>30</v>
      </c>
      <c r="Y13" s="86">
        <f t="shared" si="59"/>
        <v>30</v>
      </c>
      <c r="Z13" s="86">
        <f t="shared" si="60"/>
        <v>30</v>
      </c>
      <c r="AA13" s="86">
        <f t="shared" si="61"/>
        <v>30</v>
      </c>
      <c r="AB13" s="86">
        <f t="shared" si="62"/>
        <v>30</v>
      </c>
      <c r="AC13" s="86">
        <f t="shared" si="63"/>
        <v>30</v>
      </c>
      <c r="AD13" s="86">
        <f t="shared" si="64"/>
        <v>30</v>
      </c>
      <c r="AE13" s="86">
        <f t="shared" si="65"/>
        <v>30</v>
      </c>
      <c r="AF13" s="86">
        <f t="shared" si="66"/>
        <v>30</v>
      </c>
      <c r="AG13" s="86">
        <f t="shared" si="67"/>
        <v>30</v>
      </c>
      <c r="AH13" s="86">
        <f t="shared" si="68"/>
        <v>30</v>
      </c>
      <c r="AI13" s="86">
        <f t="shared" si="69"/>
        <v>30</v>
      </c>
      <c r="AJ13" s="86">
        <f t="shared" si="70"/>
        <v>30</v>
      </c>
      <c r="AK13" s="86">
        <f t="shared" si="71"/>
        <v>30</v>
      </c>
      <c r="AL13" s="86">
        <f t="shared" si="72"/>
        <v>30</v>
      </c>
      <c r="AM13" s="86">
        <f t="shared" si="73"/>
        <v>30</v>
      </c>
      <c r="AN13" s="81"/>
      <c r="AO13" s="75">
        <f t="shared" si="34"/>
        <v>30</v>
      </c>
      <c r="AP13" s="75">
        <f t="shared" si="35"/>
        <v>30</v>
      </c>
      <c r="AQ13" s="75">
        <f t="shared" si="36"/>
        <v>30</v>
      </c>
      <c r="AR13" s="82"/>
    </row>
    <row r="14" spans="1:44">
      <c r="A14" s="103" t="s">
        <v>183</v>
      </c>
      <c r="B14" s="85" t="s">
        <v>85</v>
      </c>
      <c r="C14" s="72"/>
      <c r="D14" s="86">
        <v>7</v>
      </c>
      <c r="E14" s="86">
        <v>7</v>
      </c>
      <c r="F14" s="86">
        <v>8</v>
      </c>
      <c r="G14" s="86">
        <v>8</v>
      </c>
      <c r="H14" s="86">
        <v>8</v>
      </c>
      <c r="I14" s="86">
        <v>9</v>
      </c>
      <c r="J14" s="86">
        <v>9</v>
      </c>
      <c r="K14" s="86">
        <v>9</v>
      </c>
      <c r="L14" s="86">
        <v>10</v>
      </c>
      <c r="M14" s="86">
        <v>10</v>
      </c>
      <c r="N14" s="86">
        <v>12</v>
      </c>
      <c r="O14" s="86">
        <v>14</v>
      </c>
      <c r="P14" s="86">
        <v>14</v>
      </c>
      <c r="Q14" s="86">
        <v>14</v>
      </c>
      <c r="R14" s="86">
        <v>14</v>
      </c>
      <c r="S14" s="86">
        <v>14</v>
      </c>
      <c r="T14" s="86">
        <v>14</v>
      </c>
      <c r="U14" s="86">
        <v>14</v>
      </c>
      <c r="V14" s="86">
        <v>14</v>
      </c>
      <c r="W14" s="86">
        <v>14</v>
      </c>
      <c r="X14" s="86">
        <v>14</v>
      </c>
      <c r="Y14" s="86">
        <v>14</v>
      </c>
      <c r="Z14" s="86">
        <v>14</v>
      </c>
      <c r="AA14" s="86">
        <v>14</v>
      </c>
      <c r="AB14" s="86">
        <v>14</v>
      </c>
      <c r="AC14" s="86">
        <v>14</v>
      </c>
      <c r="AD14" s="86">
        <v>14</v>
      </c>
      <c r="AE14" s="86">
        <v>14</v>
      </c>
      <c r="AF14" s="86">
        <v>14</v>
      </c>
      <c r="AG14" s="86">
        <v>14</v>
      </c>
      <c r="AH14" s="86">
        <v>14</v>
      </c>
      <c r="AI14" s="86">
        <v>14</v>
      </c>
      <c r="AJ14" s="86">
        <v>14</v>
      </c>
      <c r="AK14" s="86">
        <v>14</v>
      </c>
      <c r="AL14" s="86">
        <v>14</v>
      </c>
      <c r="AM14" s="86">
        <v>14</v>
      </c>
      <c r="AN14" s="81"/>
      <c r="AO14" s="75">
        <f t="shared" si="34"/>
        <v>14</v>
      </c>
      <c r="AP14" s="75">
        <f t="shared" si="35"/>
        <v>14</v>
      </c>
      <c r="AQ14" s="75">
        <f t="shared" si="36"/>
        <v>14</v>
      </c>
      <c r="AR14" s="82"/>
    </row>
    <row r="15" spans="1:44">
      <c r="A15" s="103" t="s">
        <v>184</v>
      </c>
      <c r="B15" s="85" t="s">
        <v>85</v>
      </c>
      <c r="C15" s="72"/>
      <c r="D15" s="86">
        <v>5</v>
      </c>
      <c r="E15" s="86">
        <v>5</v>
      </c>
      <c r="F15" s="86">
        <v>5</v>
      </c>
      <c r="G15" s="86">
        <v>6</v>
      </c>
      <c r="H15" s="86">
        <v>6</v>
      </c>
      <c r="I15" s="86">
        <v>6</v>
      </c>
      <c r="J15" s="86">
        <v>7</v>
      </c>
      <c r="K15" s="86">
        <v>7</v>
      </c>
      <c r="L15" s="86">
        <v>7</v>
      </c>
      <c r="M15" s="86">
        <v>8</v>
      </c>
      <c r="N15" s="86">
        <v>8</v>
      </c>
      <c r="O15" s="86">
        <v>9</v>
      </c>
      <c r="P15" s="86">
        <v>9</v>
      </c>
      <c r="Q15" s="86">
        <v>9</v>
      </c>
      <c r="R15" s="86">
        <v>9</v>
      </c>
      <c r="S15" s="86">
        <v>9</v>
      </c>
      <c r="T15" s="86">
        <v>9</v>
      </c>
      <c r="U15" s="86">
        <v>9</v>
      </c>
      <c r="V15" s="86">
        <v>9</v>
      </c>
      <c r="W15" s="86">
        <v>9</v>
      </c>
      <c r="X15" s="86">
        <v>9</v>
      </c>
      <c r="Y15" s="86">
        <v>9</v>
      </c>
      <c r="Z15" s="86">
        <v>9</v>
      </c>
      <c r="AA15" s="86">
        <v>9</v>
      </c>
      <c r="AB15" s="86">
        <v>9</v>
      </c>
      <c r="AC15" s="86">
        <v>9</v>
      </c>
      <c r="AD15" s="86">
        <v>9</v>
      </c>
      <c r="AE15" s="86">
        <v>9</v>
      </c>
      <c r="AF15" s="86">
        <v>9</v>
      </c>
      <c r="AG15" s="86">
        <v>9</v>
      </c>
      <c r="AH15" s="86">
        <v>9</v>
      </c>
      <c r="AI15" s="86">
        <v>9</v>
      </c>
      <c r="AJ15" s="86">
        <v>9</v>
      </c>
      <c r="AK15" s="86">
        <v>9</v>
      </c>
      <c r="AL15" s="86">
        <v>9</v>
      </c>
      <c r="AM15" s="86">
        <v>9</v>
      </c>
      <c r="AN15" s="81"/>
      <c r="AO15" s="75">
        <f t="shared" ref="AO15:AO16" si="74">O15</f>
        <v>9</v>
      </c>
      <c r="AP15" s="75">
        <f t="shared" ref="AP15:AP16" si="75">AA15</f>
        <v>9</v>
      </c>
      <c r="AQ15" s="75">
        <f t="shared" ref="AQ15:AQ16" si="76">AM15</f>
        <v>9</v>
      </c>
      <c r="AR15" s="82"/>
    </row>
    <row r="16" spans="1:44">
      <c r="A16" s="103" t="s">
        <v>213</v>
      </c>
      <c r="B16" s="85" t="s">
        <v>85</v>
      </c>
      <c r="C16" s="72"/>
      <c r="D16" s="86">
        <v>2</v>
      </c>
      <c r="E16" s="86">
        <v>2</v>
      </c>
      <c r="F16" s="86">
        <v>2</v>
      </c>
      <c r="G16" s="86">
        <v>3</v>
      </c>
      <c r="H16" s="86">
        <v>3</v>
      </c>
      <c r="I16" s="86">
        <v>4</v>
      </c>
      <c r="J16" s="86">
        <v>4</v>
      </c>
      <c r="K16" s="86">
        <v>4</v>
      </c>
      <c r="L16" s="86">
        <v>5</v>
      </c>
      <c r="M16" s="86">
        <v>5</v>
      </c>
      <c r="N16" s="86">
        <v>5</v>
      </c>
      <c r="O16" s="86">
        <v>6</v>
      </c>
      <c r="P16" s="86">
        <f t="shared" ref="P16" si="77">O16</f>
        <v>6</v>
      </c>
      <c r="Q16" s="86">
        <f t="shared" ref="Q16" si="78">P16</f>
        <v>6</v>
      </c>
      <c r="R16" s="86">
        <f t="shared" ref="R16" si="79">Q16</f>
        <v>6</v>
      </c>
      <c r="S16" s="86">
        <f t="shared" ref="S16" si="80">R16</f>
        <v>6</v>
      </c>
      <c r="T16" s="86">
        <f t="shared" ref="T16" si="81">S16</f>
        <v>6</v>
      </c>
      <c r="U16" s="86">
        <f t="shared" ref="U16" si="82">T16</f>
        <v>6</v>
      </c>
      <c r="V16" s="86">
        <f t="shared" ref="V16" si="83">U16</f>
        <v>6</v>
      </c>
      <c r="W16" s="86">
        <f t="shared" ref="W16" si="84">V16</f>
        <v>6</v>
      </c>
      <c r="X16" s="86">
        <f t="shared" ref="X16" si="85">W16</f>
        <v>6</v>
      </c>
      <c r="Y16" s="86">
        <f t="shared" ref="Y16" si="86">X16</f>
        <v>6</v>
      </c>
      <c r="Z16" s="86">
        <f t="shared" ref="Z16" si="87">Y16</f>
        <v>6</v>
      </c>
      <c r="AA16" s="86">
        <f t="shared" ref="AA16" si="88">Z16</f>
        <v>6</v>
      </c>
      <c r="AB16" s="86">
        <f t="shared" ref="AB16" si="89">AA16</f>
        <v>6</v>
      </c>
      <c r="AC16" s="86">
        <f t="shared" ref="AC16" si="90">AB16</f>
        <v>6</v>
      </c>
      <c r="AD16" s="86">
        <f t="shared" ref="AD16" si="91">AC16</f>
        <v>6</v>
      </c>
      <c r="AE16" s="86">
        <f t="shared" ref="AE16" si="92">AD16</f>
        <v>6</v>
      </c>
      <c r="AF16" s="86">
        <f t="shared" ref="AF16" si="93">AE16</f>
        <v>6</v>
      </c>
      <c r="AG16" s="86">
        <f t="shared" ref="AG16" si="94">AF16</f>
        <v>6</v>
      </c>
      <c r="AH16" s="86">
        <f t="shared" ref="AH16" si="95">AG16</f>
        <v>6</v>
      </c>
      <c r="AI16" s="86">
        <f t="shared" ref="AI16" si="96">AH16</f>
        <v>6</v>
      </c>
      <c r="AJ16" s="86">
        <f t="shared" ref="AJ16" si="97">AI16</f>
        <v>6</v>
      </c>
      <c r="AK16" s="86">
        <f t="shared" ref="AK16" si="98">AJ16</f>
        <v>6</v>
      </c>
      <c r="AL16" s="86">
        <f t="shared" ref="AL16" si="99">AK16</f>
        <v>6</v>
      </c>
      <c r="AM16" s="86">
        <f t="shared" ref="AM16" si="100">AL16</f>
        <v>6</v>
      </c>
      <c r="AN16" s="81"/>
      <c r="AO16" s="75">
        <f t="shared" si="74"/>
        <v>6</v>
      </c>
      <c r="AP16" s="75">
        <f t="shared" si="75"/>
        <v>6</v>
      </c>
      <c r="AQ16" s="75">
        <f t="shared" si="76"/>
        <v>6</v>
      </c>
      <c r="AR16" s="82"/>
    </row>
    <row r="17" spans="1:44">
      <c r="A17" s="103" t="s">
        <v>214</v>
      </c>
      <c r="B17" s="85" t="s">
        <v>85</v>
      </c>
      <c r="C17" s="72"/>
      <c r="D17" s="86">
        <v>1</v>
      </c>
      <c r="E17" s="86">
        <v>1</v>
      </c>
      <c r="F17" s="86">
        <v>2</v>
      </c>
      <c r="G17" s="86">
        <v>2</v>
      </c>
      <c r="H17" s="86">
        <v>3</v>
      </c>
      <c r="I17" s="86">
        <v>3</v>
      </c>
      <c r="J17" s="86">
        <v>4</v>
      </c>
      <c r="K17" s="86">
        <v>5</v>
      </c>
      <c r="L17" s="86">
        <v>6</v>
      </c>
      <c r="M17" s="86">
        <v>7</v>
      </c>
      <c r="N17" s="86">
        <v>8</v>
      </c>
      <c r="O17" s="86">
        <v>8</v>
      </c>
      <c r="P17" s="86">
        <f t="shared" ref="P17" si="101">O17</f>
        <v>8</v>
      </c>
      <c r="Q17" s="86">
        <f t="shared" ref="Q17" si="102">P17</f>
        <v>8</v>
      </c>
      <c r="R17" s="86">
        <f t="shared" ref="R17" si="103">Q17</f>
        <v>8</v>
      </c>
      <c r="S17" s="86">
        <f t="shared" ref="S17" si="104">R17</f>
        <v>8</v>
      </c>
      <c r="T17" s="86">
        <f t="shared" ref="T17" si="105">S17</f>
        <v>8</v>
      </c>
      <c r="U17" s="86">
        <f t="shared" ref="U17" si="106">T17</f>
        <v>8</v>
      </c>
      <c r="V17" s="86">
        <f t="shared" ref="V17" si="107">U17</f>
        <v>8</v>
      </c>
      <c r="W17" s="86">
        <f t="shared" ref="W17" si="108">V17</f>
        <v>8</v>
      </c>
      <c r="X17" s="86">
        <f t="shared" ref="X17" si="109">W17</f>
        <v>8</v>
      </c>
      <c r="Y17" s="86">
        <f t="shared" ref="Y17" si="110">X17</f>
        <v>8</v>
      </c>
      <c r="Z17" s="86">
        <f t="shared" ref="Z17" si="111">Y17</f>
        <v>8</v>
      </c>
      <c r="AA17" s="86">
        <f t="shared" ref="AA17" si="112">Z17</f>
        <v>8</v>
      </c>
      <c r="AB17" s="86">
        <f t="shared" ref="AB17" si="113">AA17</f>
        <v>8</v>
      </c>
      <c r="AC17" s="86">
        <f t="shared" ref="AC17" si="114">AB17</f>
        <v>8</v>
      </c>
      <c r="AD17" s="86">
        <f t="shared" ref="AD17" si="115">AC17</f>
        <v>8</v>
      </c>
      <c r="AE17" s="86">
        <f t="shared" ref="AE17" si="116">AD17</f>
        <v>8</v>
      </c>
      <c r="AF17" s="86">
        <f t="shared" ref="AF17" si="117">AE17</f>
        <v>8</v>
      </c>
      <c r="AG17" s="86">
        <f t="shared" ref="AG17" si="118">AF17</f>
        <v>8</v>
      </c>
      <c r="AH17" s="86">
        <f t="shared" ref="AH17" si="119">AG17</f>
        <v>8</v>
      </c>
      <c r="AI17" s="86">
        <f t="shared" ref="AI17" si="120">AH17</f>
        <v>8</v>
      </c>
      <c r="AJ17" s="86">
        <f t="shared" ref="AJ17" si="121">AI17</f>
        <v>8</v>
      </c>
      <c r="AK17" s="86">
        <f t="shared" ref="AK17" si="122">AJ17</f>
        <v>8</v>
      </c>
      <c r="AL17" s="86">
        <f t="shared" ref="AL17" si="123">AK17</f>
        <v>8</v>
      </c>
      <c r="AM17" s="86">
        <f t="shared" ref="AM17" si="124">AL17</f>
        <v>8</v>
      </c>
      <c r="AN17" s="81"/>
      <c r="AO17" s="75">
        <f t="shared" ref="AO17:AO24" si="125">O17</f>
        <v>8</v>
      </c>
      <c r="AP17" s="75">
        <f t="shared" ref="AP17:AP24" si="126">AA17</f>
        <v>8</v>
      </c>
      <c r="AQ17" s="75">
        <f t="shared" ref="AQ17:AQ24" si="127">AM17</f>
        <v>8</v>
      </c>
      <c r="AR17" s="82"/>
    </row>
    <row r="18" spans="1:44">
      <c r="A18" s="103" t="s">
        <v>215</v>
      </c>
      <c r="B18" s="85" t="s">
        <v>85</v>
      </c>
      <c r="C18" s="72"/>
      <c r="D18" s="86">
        <v>1</v>
      </c>
      <c r="E18" s="86">
        <f t="shared" si="41"/>
        <v>2</v>
      </c>
      <c r="F18" s="86">
        <v>2</v>
      </c>
      <c r="G18" s="86">
        <v>2</v>
      </c>
      <c r="H18" s="86">
        <v>2</v>
      </c>
      <c r="I18" s="86">
        <v>3</v>
      </c>
      <c r="J18" s="86">
        <v>3</v>
      </c>
      <c r="K18" s="86">
        <v>3</v>
      </c>
      <c r="L18" s="86">
        <v>3</v>
      </c>
      <c r="M18" s="86">
        <v>3</v>
      </c>
      <c r="N18" s="86">
        <v>4</v>
      </c>
      <c r="O18" s="86">
        <v>4</v>
      </c>
      <c r="P18" s="86">
        <f t="shared" si="50"/>
        <v>4</v>
      </c>
      <c r="Q18" s="86">
        <f t="shared" si="51"/>
        <v>4</v>
      </c>
      <c r="R18" s="86">
        <f t="shared" si="52"/>
        <v>4</v>
      </c>
      <c r="S18" s="86">
        <f t="shared" si="53"/>
        <v>4</v>
      </c>
      <c r="T18" s="86">
        <f t="shared" si="54"/>
        <v>4</v>
      </c>
      <c r="U18" s="86">
        <f t="shared" si="55"/>
        <v>4</v>
      </c>
      <c r="V18" s="86">
        <f t="shared" si="56"/>
        <v>4</v>
      </c>
      <c r="W18" s="86">
        <f t="shared" si="57"/>
        <v>4</v>
      </c>
      <c r="X18" s="86">
        <f t="shared" si="58"/>
        <v>4</v>
      </c>
      <c r="Y18" s="86">
        <f t="shared" si="59"/>
        <v>4</v>
      </c>
      <c r="Z18" s="86">
        <f t="shared" si="60"/>
        <v>4</v>
      </c>
      <c r="AA18" s="86">
        <f t="shared" si="61"/>
        <v>4</v>
      </c>
      <c r="AB18" s="86">
        <f t="shared" si="62"/>
        <v>4</v>
      </c>
      <c r="AC18" s="86">
        <f t="shared" si="63"/>
        <v>4</v>
      </c>
      <c r="AD18" s="86">
        <f t="shared" si="64"/>
        <v>4</v>
      </c>
      <c r="AE18" s="86">
        <f t="shared" si="65"/>
        <v>4</v>
      </c>
      <c r="AF18" s="86">
        <f t="shared" si="66"/>
        <v>4</v>
      </c>
      <c r="AG18" s="86">
        <f t="shared" si="67"/>
        <v>4</v>
      </c>
      <c r="AH18" s="86">
        <f t="shared" si="68"/>
        <v>4</v>
      </c>
      <c r="AI18" s="86">
        <f t="shared" si="69"/>
        <v>4</v>
      </c>
      <c r="AJ18" s="86">
        <f t="shared" si="70"/>
        <v>4</v>
      </c>
      <c r="AK18" s="86">
        <f t="shared" si="71"/>
        <v>4</v>
      </c>
      <c r="AL18" s="86">
        <f t="shared" si="72"/>
        <v>4</v>
      </c>
      <c r="AM18" s="86">
        <f t="shared" si="73"/>
        <v>4</v>
      </c>
      <c r="AN18" s="81"/>
      <c r="AO18" s="75">
        <f t="shared" si="125"/>
        <v>4</v>
      </c>
      <c r="AP18" s="75">
        <f t="shared" si="126"/>
        <v>4</v>
      </c>
      <c r="AQ18" s="75">
        <f t="shared" si="127"/>
        <v>4</v>
      </c>
      <c r="AR18" s="82"/>
    </row>
    <row r="19" spans="1:44">
      <c r="A19" s="103" t="s">
        <v>173</v>
      </c>
      <c r="B19" s="85" t="s">
        <v>85</v>
      </c>
      <c r="C19" s="72"/>
      <c r="D19" s="86">
        <v>1</v>
      </c>
      <c r="E19" s="86">
        <v>1</v>
      </c>
      <c r="F19" s="86">
        <v>1</v>
      </c>
      <c r="G19" s="86">
        <v>2</v>
      </c>
      <c r="H19" s="86">
        <v>2</v>
      </c>
      <c r="I19" s="86">
        <v>2</v>
      </c>
      <c r="J19" s="86">
        <v>3</v>
      </c>
      <c r="K19" s="86">
        <v>3</v>
      </c>
      <c r="L19" s="86">
        <v>4</v>
      </c>
      <c r="M19" s="86">
        <v>5</v>
      </c>
      <c r="N19" s="86">
        <v>5</v>
      </c>
      <c r="O19" s="86">
        <v>6</v>
      </c>
      <c r="P19" s="86">
        <f t="shared" si="50"/>
        <v>6</v>
      </c>
      <c r="Q19" s="86">
        <f t="shared" si="51"/>
        <v>6</v>
      </c>
      <c r="R19" s="86">
        <f t="shared" si="52"/>
        <v>6</v>
      </c>
      <c r="S19" s="86">
        <f t="shared" si="53"/>
        <v>6</v>
      </c>
      <c r="T19" s="86">
        <f t="shared" si="54"/>
        <v>6</v>
      </c>
      <c r="U19" s="86">
        <f t="shared" si="55"/>
        <v>6</v>
      </c>
      <c r="V19" s="86">
        <f t="shared" si="56"/>
        <v>6</v>
      </c>
      <c r="W19" s="86">
        <f t="shared" si="57"/>
        <v>6</v>
      </c>
      <c r="X19" s="86">
        <f t="shared" si="58"/>
        <v>6</v>
      </c>
      <c r="Y19" s="86">
        <f t="shared" si="59"/>
        <v>6</v>
      </c>
      <c r="Z19" s="86">
        <f t="shared" si="60"/>
        <v>6</v>
      </c>
      <c r="AA19" s="86">
        <f t="shared" si="61"/>
        <v>6</v>
      </c>
      <c r="AB19" s="86">
        <f t="shared" si="62"/>
        <v>6</v>
      </c>
      <c r="AC19" s="86">
        <f t="shared" si="63"/>
        <v>6</v>
      </c>
      <c r="AD19" s="86">
        <f t="shared" si="64"/>
        <v>6</v>
      </c>
      <c r="AE19" s="86">
        <f t="shared" si="65"/>
        <v>6</v>
      </c>
      <c r="AF19" s="86">
        <f t="shared" si="66"/>
        <v>6</v>
      </c>
      <c r="AG19" s="86">
        <f t="shared" si="67"/>
        <v>6</v>
      </c>
      <c r="AH19" s="86">
        <f t="shared" si="68"/>
        <v>6</v>
      </c>
      <c r="AI19" s="86">
        <f t="shared" si="69"/>
        <v>6</v>
      </c>
      <c r="AJ19" s="86">
        <f t="shared" si="70"/>
        <v>6</v>
      </c>
      <c r="AK19" s="86">
        <f t="shared" si="71"/>
        <v>6</v>
      </c>
      <c r="AL19" s="86">
        <f t="shared" si="72"/>
        <v>6</v>
      </c>
      <c r="AM19" s="86">
        <f t="shared" si="73"/>
        <v>6</v>
      </c>
      <c r="AN19" s="81"/>
      <c r="AO19" s="75">
        <f t="shared" si="125"/>
        <v>6</v>
      </c>
      <c r="AP19" s="75">
        <f t="shared" si="126"/>
        <v>6</v>
      </c>
      <c r="AQ19" s="75">
        <f t="shared" si="127"/>
        <v>6</v>
      </c>
      <c r="AR19" s="82"/>
    </row>
    <row r="20" spans="1:44">
      <c r="A20" s="103" t="s">
        <v>174</v>
      </c>
      <c r="B20" s="85" t="s">
        <v>85</v>
      </c>
      <c r="C20" s="72"/>
      <c r="D20" s="86">
        <v>23</v>
      </c>
      <c r="E20" s="86">
        <v>23</v>
      </c>
      <c r="F20" s="86">
        <f t="shared" si="42"/>
        <v>24</v>
      </c>
      <c r="G20" s="86">
        <v>24</v>
      </c>
      <c r="H20" s="86">
        <f t="shared" si="44"/>
        <v>25</v>
      </c>
      <c r="I20" s="86">
        <v>25</v>
      </c>
      <c r="J20" s="86">
        <v>27</v>
      </c>
      <c r="K20" s="86">
        <v>28</v>
      </c>
      <c r="L20" s="86">
        <v>28</v>
      </c>
      <c r="M20" s="86">
        <v>29</v>
      </c>
      <c r="N20" s="86">
        <v>29</v>
      </c>
      <c r="O20" s="86">
        <v>30</v>
      </c>
      <c r="P20" s="86">
        <f t="shared" si="50"/>
        <v>30</v>
      </c>
      <c r="Q20" s="86">
        <f t="shared" si="51"/>
        <v>30</v>
      </c>
      <c r="R20" s="86">
        <f t="shared" si="52"/>
        <v>30</v>
      </c>
      <c r="S20" s="86">
        <f t="shared" si="53"/>
        <v>30</v>
      </c>
      <c r="T20" s="86">
        <f t="shared" si="54"/>
        <v>30</v>
      </c>
      <c r="U20" s="86">
        <f t="shared" si="55"/>
        <v>30</v>
      </c>
      <c r="V20" s="86">
        <f t="shared" si="56"/>
        <v>30</v>
      </c>
      <c r="W20" s="86">
        <f t="shared" si="57"/>
        <v>30</v>
      </c>
      <c r="X20" s="86">
        <f t="shared" si="58"/>
        <v>30</v>
      </c>
      <c r="Y20" s="86">
        <f t="shared" si="59"/>
        <v>30</v>
      </c>
      <c r="Z20" s="86">
        <f t="shared" si="60"/>
        <v>30</v>
      </c>
      <c r="AA20" s="86">
        <f t="shared" si="61"/>
        <v>30</v>
      </c>
      <c r="AB20" s="86">
        <f t="shared" si="62"/>
        <v>30</v>
      </c>
      <c r="AC20" s="86">
        <f t="shared" si="63"/>
        <v>30</v>
      </c>
      <c r="AD20" s="86">
        <f t="shared" si="64"/>
        <v>30</v>
      </c>
      <c r="AE20" s="86">
        <f t="shared" si="65"/>
        <v>30</v>
      </c>
      <c r="AF20" s="86">
        <f t="shared" si="66"/>
        <v>30</v>
      </c>
      <c r="AG20" s="86">
        <f t="shared" si="67"/>
        <v>30</v>
      </c>
      <c r="AH20" s="86">
        <f t="shared" si="68"/>
        <v>30</v>
      </c>
      <c r="AI20" s="86">
        <f t="shared" si="69"/>
        <v>30</v>
      </c>
      <c r="AJ20" s="86">
        <f t="shared" si="70"/>
        <v>30</v>
      </c>
      <c r="AK20" s="86">
        <f t="shared" si="71"/>
        <v>30</v>
      </c>
      <c r="AL20" s="86">
        <f t="shared" si="72"/>
        <v>30</v>
      </c>
      <c r="AM20" s="86">
        <f t="shared" si="73"/>
        <v>30</v>
      </c>
      <c r="AN20" s="81"/>
      <c r="AO20" s="75">
        <f t="shared" si="125"/>
        <v>30</v>
      </c>
      <c r="AP20" s="75">
        <f t="shared" si="126"/>
        <v>30</v>
      </c>
      <c r="AQ20" s="75">
        <f t="shared" si="127"/>
        <v>30</v>
      </c>
      <c r="AR20" s="82"/>
    </row>
    <row r="21" spans="1:44">
      <c r="A21" s="103" t="s">
        <v>309</v>
      </c>
      <c r="B21" s="85" t="s">
        <v>85</v>
      </c>
      <c r="C21" s="72"/>
      <c r="D21" s="86">
        <v>15</v>
      </c>
      <c r="E21" s="86">
        <f t="shared" ref="E21" si="128">D21+1</f>
        <v>16</v>
      </c>
      <c r="F21" s="86">
        <f t="shared" ref="F21" si="129">E21+1</f>
        <v>17</v>
      </c>
      <c r="G21" s="86">
        <f t="shared" ref="G21" si="130">F21+1</f>
        <v>18</v>
      </c>
      <c r="H21" s="86">
        <f t="shared" ref="H21" si="131">G21+1</f>
        <v>19</v>
      </c>
      <c r="I21" s="86">
        <f t="shared" ref="I21" si="132">H21+1</f>
        <v>20</v>
      </c>
      <c r="J21" s="86">
        <v>20</v>
      </c>
      <c r="K21" s="86">
        <f t="shared" ref="K21" si="133">J21+2</f>
        <v>22</v>
      </c>
      <c r="L21" s="86">
        <f t="shared" ref="L21" si="134">K21+2</f>
        <v>24</v>
      </c>
      <c r="M21" s="86">
        <f t="shared" ref="M21" si="135">L21+2</f>
        <v>26</v>
      </c>
      <c r="N21" s="86">
        <f t="shared" ref="N21" si="136">M21+2</f>
        <v>28</v>
      </c>
      <c r="O21" s="86">
        <v>30</v>
      </c>
      <c r="P21" s="86">
        <f t="shared" ref="P21" si="137">O21</f>
        <v>30</v>
      </c>
      <c r="Q21" s="86">
        <f t="shared" ref="Q21" si="138">P21</f>
        <v>30</v>
      </c>
      <c r="R21" s="86">
        <f t="shared" ref="R21" si="139">Q21</f>
        <v>30</v>
      </c>
      <c r="S21" s="86">
        <f t="shared" ref="S21" si="140">R21</f>
        <v>30</v>
      </c>
      <c r="T21" s="86">
        <f t="shared" ref="T21" si="141">S21</f>
        <v>30</v>
      </c>
      <c r="U21" s="86">
        <f t="shared" ref="U21" si="142">T21</f>
        <v>30</v>
      </c>
      <c r="V21" s="86">
        <f t="shared" ref="V21" si="143">U21</f>
        <v>30</v>
      </c>
      <c r="W21" s="86">
        <f t="shared" ref="W21" si="144">V21</f>
        <v>30</v>
      </c>
      <c r="X21" s="86">
        <f t="shared" ref="X21" si="145">W21</f>
        <v>30</v>
      </c>
      <c r="Y21" s="86">
        <f t="shared" ref="Y21" si="146">X21</f>
        <v>30</v>
      </c>
      <c r="Z21" s="86">
        <f t="shared" ref="Z21" si="147">Y21</f>
        <v>30</v>
      </c>
      <c r="AA21" s="86">
        <f t="shared" ref="AA21" si="148">Z21</f>
        <v>30</v>
      </c>
      <c r="AB21" s="86">
        <f t="shared" ref="AB21" si="149">AA21</f>
        <v>30</v>
      </c>
      <c r="AC21" s="86">
        <f t="shared" ref="AC21" si="150">AB21</f>
        <v>30</v>
      </c>
      <c r="AD21" s="86">
        <f t="shared" ref="AD21" si="151">AC21</f>
        <v>30</v>
      </c>
      <c r="AE21" s="86">
        <f t="shared" ref="AE21" si="152">AD21</f>
        <v>30</v>
      </c>
      <c r="AF21" s="86">
        <f t="shared" ref="AF21" si="153">AE21</f>
        <v>30</v>
      </c>
      <c r="AG21" s="86">
        <f t="shared" ref="AG21" si="154">AF21</f>
        <v>30</v>
      </c>
      <c r="AH21" s="86">
        <f t="shared" ref="AH21" si="155">AG21</f>
        <v>30</v>
      </c>
      <c r="AI21" s="86">
        <f t="shared" ref="AI21" si="156">AH21</f>
        <v>30</v>
      </c>
      <c r="AJ21" s="86">
        <f t="shared" ref="AJ21" si="157">AI21</f>
        <v>30</v>
      </c>
      <c r="AK21" s="86">
        <f t="shared" ref="AK21" si="158">AJ21</f>
        <v>30</v>
      </c>
      <c r="AL21" s="86">
        <f t="shared" ref="AL21" si="159">AK21</f>
        <v>30</v>
      </c>
      <c r="AM21" s="86">
        <f t="shared" ref="AM21" si="160">AL21</f>
        <v>30</v>
      </c>
      <c r="AN21" s="81"/>
      <c r="AO21" s="75">
        <f t="shared" si="125"/>
        <v>30</v>
      </c>
      <c r="AP21" s="75">
        <f t="shared" si="126"/>
        <v>30</v>
      </c>
      <c r="AQ21" s="75">
        <f t="shared" si="127"/>
        <v>30</v>
      </c>
      <c r="AR21" s="82"/>
    </row>
    <row r="22" spans="1:44">
      <c r="A22" s="103" t="s">
        <v>310</v>
      </c>
      <c r="B22" s="85" t="s">
        <v>85</v>
      </c>
      <c r="C22" s="72"/>
      <c r="D22" s="86">
        <v>15</v>
      </c>
      <c r="E22" s="86">
        <f t="shared" si="41"/>
        <v>16</v>
      </c>
      <c r="F22" s="86">
        <f t="shared" si="42"/>
        <v>17</v>
      </c>
      <c r="G22" s="86">
        <f t="shared" si="43"/>
        <v>18</v>
      </c>
      <c r="H22" s="86">
        <f t="shared" si="44"/>
        <v>19</v>
      </c>
      <c r="I22" s="86">
        <f t="shared" si="45"/>
        <v>20</v>
      </c>
      <c r="J22" s="86">
        <v>20</v>
      </c>
      <c r="K22" s="86">
        <f t="shared" si="46"/>
        <v>22</v>
      </c>
      <c r="L22" s="86">
        <f t="shared" si="47"/>
        <v>24</v>
      </c>
      <c r="M22" s="86">
        <f t="shared" si="48"/>
        <v>26</v>
      </c>
      <c r="N22" s="86">
        <f t="shared" si="49"/>
        <v>28</v>
      </c>
      <c r="O22" s="86">
        <v>30</v>
      </c>
      <c r="P22" s="86">
        <f t="shared" si="50"/>
        <v>30</v>
      </c>
      <c r="Q22" s="86">
        <f t="shared" si="51"/>
        <v>30</v>
      </c>
      <c r="R22" s="86">
        <f t="shared" si="52"/>
        <v>30</v>
      </c>
      <c r="S22" s="86">
        <f t="shared" si="53"/>
        <v>30</v>
      </c>
      <c r="T22" s="86">
        <f t="shared" si="54"/>
        <v>30</v>
      </c>
      <c r="U22" s="86">
        <f t="shared" si="55"/>
        <v>30</v>
      </c>
      <c r="V22" s="86">
        <f t="shared" si="56"/>
        <v>30</v>
      </c>
      <c r="W22" s="86">
        <f t="shared" si="57"/>
        <v>30</v>
      </c>
      <c r="X22" s="86">
        <f t="shared" si="58"/>
        <v>30</v>
      </c>
      <c r="Y22" s="86">
        <f t="shared" si="59"/>
        <v>30</v>
      </c>
      <c r="Z22" s="86">
        <f t="shared" si="60"/>
        <v>30</v>
      </c>
      <c r="AA22" s="86">
        <f t="shared" si="61"/>
        <v>30</v>
      </c>
      <c r="AB22" s="86">
        <f t="shared" si="62"/>
        <v>30</v>
      </c>
      <c r="AC22" s="86">
        <f t="shared" si="63"/>
        <v>30</v>
      </c>
      <c r="AD22" s="86">
        <f t="shared" si="64"/>
        <v>30</v>
      </c>
      <c r="AE22" s="86">
        <f t="shared" si="65"/>
        <v>30</v>
      </c>
      <c r="AF22" s="86">
        <f t="shared" si="66"/>
        <v>30</v>
      </c>
      <c r="AG22" s="86">
        <f t="shared" si="67"/>
        <v>30</v>
      </c>
      <c r="AH22" s="86">
        <f t="shared" si="68"/>
        <v>30</v>
      </c>
      <c r="AI22" s="86">
        <f t="shared" si="69"/>
        <v>30</v>
      </c>
      <c r="AJ22" s="86">
        <f t="shared" si="70"/>
        <v>30</v>
      </c>
      <c r="AK22" s="86">
        <f t="shared" si="71"/>
        <v>30</v>
      </c>
      <c r="AL22" s="86">
        <f t="shared" si="72"/>
        <v>30</v>
      </c>
      <c r="AM22" s="86">
        <f t="shared" si="73"/>
        <v>30</v>
      </c>
      <c r="AN22" s="81"/>
      <c r="AO22" s="75">
        <f t="shared" si="125"/>
        <v>30</v>
      </c>
      <c r="AP22" s="75">
        <f t="shared" si="126"/>
        <v>30</v>
      </c>
      <c r="AQ22" s="75">
        <f t="shared" si="127"/>
        <v>30</v>
      </c>
      <c r="AR22" s="82"/>
    </row>
    <row r="23" spans="1:44">
      <c r="A23" s="103" t="s">
        <v>311</v>
      </c>
      <c r="B23" s="85" t="s">
        <v>85</v>
      </c>
      <c r="C23" s="72"/>
      <c r="D23" s="86">
        <v>15</v>
      </c>
      <c r="E23" s="86">
        <f t="shared" ref="E23" si="161">D23+1</f>
        <v>16</v>
      </c>
      <c r="F23" s="86">
        <f t="shared" ref="F23" si="162">E23+1</f>
        <v>17</v>
      </c>
      <c r="G23" s="86">
        <f t="shared" ref="G23" si="163">F23+1</f>
        <v>18</v>
      </c>
      <c r="H23" s="86">
        <f t="shared" ref="H23" si="164">G23+1</f>
        <v>19</v>
      </c>
      <c r="I23" s="86">
        <f t="shared" ref="I23" si="165">H23+1</f>
        <v>20</v>
      </c>
      <c r="J23" s="86">
        <v>20</v>
      </c>
      <c r="K23" s="86">
        <f t="shared" ref="K23" si="166">J23+2</f>
        <v>22</v>
      </c>
      <c r="L23" s="86">
        <f t="shared" ref="L23" si="167">K23+2</f>
        <v>24</v>
      </c>
      <c r="M23" s="86">
        <f t="shared" ref="M23" si="168">L23+2</f>
        <v>26</v>
      </c>
      <c r="N23" s="86">
        <f t="shared" ref="N23" si="169">M23+2</f>
        <v>28</v>
      </c>
      <c r="O23" s="86">
        <v>30</v>
      </c>
      <c r="P23" s="86">
        <f t="shared" ref="P23" si="170">O23</f>
        <v>30</v>
      </c>
      <c r="Q23" s="86">
        <f t="shared" ref="Q23" si="171">P23</f>
        <v>30</v>
      </c>
      <c r="R23" s="86">
        <f t="shared" ref="R23" si="172">Q23</f>
        <v>30</v>
      </c>
      <c r="S23" s="86">
        <f t="shared" ref="S23" si="173">R23</f>
        <v>30</v>
      </c>
      <c r="T23" s="86">
        <f t="shared" ref="T23" si="174">S23</f>
        <v>30</v>
      </c>
      <c r="U23" s="86">
        <f t="shared" ref="U23" si="175">T23</f>
        <v>30</v>
      </c>
      <c r="V23" s="86">
        <f t="shared" ref="V23" si="176">U23</f>
        <v>30</v>
      </c>
      <c r="W23" s="86">
        <f t="shared" ref="W23" si="177">V23</f>
        <v>30</v>
      </c>
      <c r="X23" s="86">
        <f t="shared" ref="X23" si="178">W23</f>
        <v>30</v>
      </c>
      <c r="Y23" s="86">
        <f t="shared" ref="Y23" si="179">X23</f>
        <v>30</v>
      </c>
      <c r="Z23" s="86">
        <f t="shared" ref="Z23" si="180">Y23</f>
        <v>30</v>
      </c>
      <c r="AA23" s="86">
        <f t="shared" ref="AA23" si="181">Z23</f>
        <v>30</v>
      </c>
      <c r="AB23" s="86">
        <f t="shared" ref="AB23" si="182">AA23</f>
        <v>30</v>
      </c>
      <c r="AC23" s="86">
        <f t="shared" ref="AC23" si="183">AB23</f>
        <v>30</v>
      </c>
      <c r="AD23" s="86">
        <f t="shared" ref="AD23" si="184">AC23</f>
        <v>30</v>
      </c>
      <c r="AE23" s="86">
        <f t="shared" ref="AE23" si="185">AD23</f>
        <v>30</v>
      </c>
      <c r="AF23" s="86">
        <f t="shared" ref="AF23" si="186">AE23</f>
        <v>30</v>
      </c>
      <c r="AG23" s="86">
        <f t="shared" ref="AG23" si="187">AF23</f>
        <v>30</v>
      </c>
      <c r="AH23" s="86">
        <f t="shared" ref="AH23" si="188">AG23</f>
        <v>30</v>
      </c>
      <c r="AI23" s="86">
        <f t="shared" ref="AI23" si="189">AH23</f>
        <v>30</v>
      </c>
      <c r="AJ23" s="86">
        <f t="shared" ref="AJ23" si="190">AI23</f>
        <v>30</v>
      </c>
      <c r="AK23" s="86">
        <f t="shared" ref="AK23" si="191">AJ23</f>
        <v>30</v>
      </c>
      <c r="AL23" s="86">
        <f t="shared" ref="AL23" si="192">AK23</f>
        <v>30</v>
      </c>
      <c r="AM23" s="86">
        <f t="shared" ref="AM23" si="193">AL23</f>
        <v>30</v>
      </c>
      <c r="AN23" s="81"/>
      <c r="AO23" s="75">
        <f t="shared" si="125"/>
        <v>30</v>
      </c>
      <c r="AP23" s="75">
        <f t="shared" si="126"/>
        <v>30</v>
      </c>
      <c r="AQ23" s="75">
        <f t="shared" si="127"/>
        <v>30</v>
      </c>
      <c r="AR23" s="82"/>
    </row>
    <row r="24" spans="1:44">
      <c r="A24" s="103" t="s">
        <v>175</v>
      </c>
      <c r="B24" s="85" t="s">
        <v>85</v>
      </c>
      <c r="C24" s="72"/>
      <c r="D24" s="86">
        <v>2</v>
      </c>
      <c r="E24" s="86">
        <v>2</v>
      </c>
      <c r="F24" s="86">
        <v>3</v>
      </c>
      <c r="G24" s="86">
        <v>3</v>
      </c>
      <c r="H24" s="86">
        <v>3</v>
      </c>
      <c r="I24" s="86">
        <v>3</v>
      </c>
      <c r="J24" s="86">
        <v>4</v>
      </c>
      <c r="K24" s="86">
        <v>4</v>
      </c>
      <c r="L24" s="86">
        <v>5</v>
      </c>
      <c r="M24" s="86">
        <v>5</v>
      </c>
      <c r="N24" s="86">
        <v>5</v>
      </c>
      <c r="O24" s="86">
        <v>6</v>
      </c>
      <c r="P24" s="86">
        <f t="shared" si="50"/>
        <v>6</v>
      </c>
      <c r="Q24" s="86">
        <f t="shared" si="51"/>
        <v>6</v>
      </c>
      <c r="R24" s="86">
        <f t="shared" si="52"/>
        <v>6</v>
      </c>
      <c r="S24" s="86">
        <f t="shared" si="53"/>
        <v>6</v>
      </c>
      <c r="T24" s="86">
        <f t="shared" si="54"/>
        <v>6</v>
      </c>
      <c r="U24" s="86">
        <f t="shared" si="55"/>
        <v>6</v>
      </c>
      <c r="V24" s="86">
        <f t="shared" si="56"/>
        <v>6</v>
      </c>
      <c r="W24" s="86">
        <f t="shared" si="57"/>
        <v>6</v>
      </c>
      <c r="X24" s="86">
        <f t="shared" si="58"/>
        <v>6</v>
      </c>
      <c r="Y24" s="86">
        <f t="shared" si="59"/>
        <v>6</v>
      </c>
      <c r="Z24" s="86">
        <f t="shared" si="60"/>
        <v>6</v>
      </c>
      <c r="AA24" s="86">
        <f t="shared" si="61"/>
        <v>6</v>
      </c>
      <c r="AB24" s="86">
        <f t="shared" si="62"/>
        <v>6</v>
      </c>
      <c r="AC24" s="86">
        <f t="shared" si="63"/>
        <v>6</v>
      </c>
      <c r="AD24" s="86">
        <f t="shared" si="64"/>
        <v>6</v>
      </c>
      <c r="AE24" s="86">
        <f t="shared" si="65"/>
        <v>6</v>
      </c>
      <c r="AF24" s="86">
        <f t="shared" si="66"/>
        <v>6</v>
      </c>
      <c r="AG24" s="86">
        <f t="shared" si="67"/>
        <v>6</v>
      </c>
      <c r="AH24" s="86">
        <f t="shared" si="68"/>
        <v>6</v>
      </c>
      <c r="AI24" s="86">
        <f t="shared" si="69"/>
        <v>6</v>
      </c>
      <c r="AJ24" s="86">
        <f t="shared" si="70"/>
        <v>6</v>
      </c>
      <c r="AK24" s="86">
        <f t="shared" si="71"/>
        <v>6</v>
      </c>
      <c r="AL24" s="86">
        <f t="shared" si="72"/>
        <v>6</v>
      </c>
      <c r="AM24" s="86">
        <f t="shared" si="73"/>
        <v>6</v>
      </c>
      <c r="AN24" s="81"/>
      <c r="AO24" s="75">
        <f t="shared" si="125"/>
        <v>6</v>
      </c>
      <c r="AP24" s="75">
        <f t="shared" si="126"/>
        <v>6</v>
      </c>
      <c r="AQ24" s="75">
        <f t="shared" si="127"/>
        <v>6</v>
      </c>
      <c r="AR24" s="82"/>
    </row>
    <row r="25" spans="1:44">
      <c r="A25" s="80" t="s">
        <v>158</v>
      </c>
    </row>
    <row r="26" spans="1:44">
      <c r="A26" s="103" t="s">
        <v>159</v>
      </c>
      <c r="D26" s="104">
        <v>1.01</v>
      </c>
      <c r="E26" s="104">
        <v>1.01</v>
      </c>
      <c r="F26" s="104">
        <v>1.01</v>
      </c>
      <c r="G26" s="104">
        <v>1.01</v>
      </c>
      <c r="H26" s="104">
        <v>1.01</v>
      </c>
      <c r="I26" s="104">
        <v>1</v>
      </c>
      <c r="J26" s="104">
        <v>1</v>
      </c>
      <c r="K26" s="104">
        <v>1</v>
      </c>
      <c r="L26" s="104">
        <v>1</v>
      </c>
      <c r="M26" s="104">
        <v>1</v>
      </c>
      <c r="N26" s="104">
        <v>1</v>
      </c>
      <c r="O26" s="104">
        <v>1</v>
      </c>
      <c r="P26" s="104">
        <v>1</v>
      </c>
      <c r="Q26" s="104">
        <v>1</v>
      </c>
      <c r="R26" s="104">
        <v>0.97</v>
      </c>
      <c r="S26" s="104">
        <v>0.97</v>
      </c>
      <c r="T26" s="104">
        <v>0.97</v>
      </c>
      <c r="U26" s="104">
        <v>0.97</v>
      </c>
      <c r="V26" s="104">
        <v>0.97</v>
      </c>
      <c r="W26" s="104">
        <v>0.97</v>
      </c>
      <c r="X26" s="104">
        <v>0.97</v>
      </c>
      <c r="Y26" s="104">
        <v>0.97</v>
      </c>
      <c r="Z26" s="104">
        <v>0.97</v>
      </c>
      <c r="AA26" s="104">
        <v>0.97</v>
      </c>
      <c r="AB26" s="104">
        <v>0.97</v>
      </c>
      <c r="AC26" s="104">
        <v>0.97</v>
      </c>
      <c r="AD26" s="104">
        <v>0.97</v>
      </c>
      <c r="AE26" s="104">
        <v>0.97</v>
      </c>
      <c r="AF26" s="104">
        <v>0.97</v>
      </c>
      <c r="AG26" s="104">
        <v>0.97</v>
      </c>
      <c r="AH26" s="104">
        <v>0.97</v>
      </c>
      <c r="AI26" s="104">
        <v>0.97</v>
      </c>
      <c r="AJ26" s="104">
        <v>0.97</v>
      </c>
      <c r="AK26" s="104">
        <v>0.97</v>
      </c>
      <c r="AL26" s="104">
        <v>0.97</v>
      </c>
      <c r="AM26" s="104">
        <v>0.97</v>
      </c>
    </row>
    <row r="27" spans="1:44">
      <c r="A27" s="103" t="s">
        <v>160</v>
      </c>
      <c r="D27" s="86">
        <v>85</v>
      </c>
      <c r="E27" s="86">
        <v>85</v>
      </c>
      <c r="F27" s="86">
        <v>85</v>
      </c>
      <c r="G27" s="86">
        <v>85</v>
      </c>
      <c r="H27" s="86">
        <v>85</v>
      </c>
      <c r="I27" s="86">
        <v>85</v>
      </c>
      <c r="J27" s="86">
        <v>85</v>
      </c>
      <c r="K27" s="86">
        <v>85</v>
      </c>
      <c r="L27" s="86">
        <v>85</v>
      </c>
      <c r="M27" s="86">
        <v>85</v>
      </c>
      <c r="N27" s="86">
        <v>85</v>
      </c>
      <c r="O27" s="86">
        <v>85</v>
      </c>
      <c r="P27" s="86">
        <v>85</v>
      </c>
      <c r="Q27" s="86">
        <v>85</v>
      </c>
      <c r="R27" s="86">
        <v>85</v>
      </c>
      <c r="S27" s="86">
        <v>85</v>
      </c>
      <c r="T27" s="86">
        <v>85</v>
      </c>
      <c r="U27" s="86">
        <v>85</v>
      </c>
      <c r="V27" s="86">
        <v>85</v>
      </c>
      <c r="W27" s="86">
        <v>85</v>
      </c>
      <c r="X27" s="86">
        <v>85</v>
      </c>
      <c r="Y27" s="86">
        <v>85</v>
      </c>
      <c r="Z27" s="86">
        <v>85</v>
      </c>
      <c r="AA27" s="86">
        <v>85</v>
      </c>
      <c r="AB27" s="86">
        <v>85</v>
      </c>
      <c r="AC27" s="86">
        <v>85</v>
      </c>
      <c r="AD27" s="86">
        <v>85</v>
      </c>
      <c r="AE27" s="86">
        <v>85</v>
      </c>
      <c r="AF27" s="86">
        <v>85</v>
      </c>
      <c r="AG27" s="86">
        <v>85</v>
      </c>
      <c r="AH27" s="86">
        <v>85</v>
      </c>
      <c r="AI27" s="86">
        <v>85</v>
      </c>
      <c r="AJ27" s="86">
        <v>85</v>
      </c>
      <c r="AK27" s="86">
        <v>85</v>
      </c>
      <c r="AL27" s="86">
        <v>85</v>
      </c>
      <c r="AM27" s="86">
        <v>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E491-AF68-49A5-A03D-AEA47453430E}">
  <sheetPr>
    <tabColor theme="0"/>
  </sheetPr>
  <dimension ref="A1:XEP135"/>
  <sheetViews>
    <sheetView zoomScaleNormal="100" workbookViewId="0">
      <pane xSplit="3" ySplit="4" topLeftCell="D9" activePane="bottomRight" state="frozen"/>
      <selection activeCell="A34" sqref="A34"/>
      <selection pane="topRight" activeCell="A34" sqref="A34"/>
      <selection pane="bottomLeft" activeCell="A34" sqref="A34"/>
      <selection pane="bottomRight" activeCell="A13" sqref="A13:A30"/>
    </sheetView>
  </sheetViews>
  <sheetFormatPr defaultColWidth="8.88671875" defaultRowHeight="13.2" outlineLevelRow="1" outlineLevelCol="1"/>
  <cols>
    <col min="1" max="1" width="35.109375" style="80" customWidth="1"/>
    <col min="2" max="2" width="12.77734375" style="80" customWidth="1"/>
    <col min="3" max="3" width="17.5546875" style="80" customWidth="1"/>
    <col min="4" max="4" width="11.109375" style="70" customWidth="1" outlineLevel="1"/>
    <col min="5" max="18" width="9.88671875" style="80" customWidth="1" outlineLevel="1"/>
    <col min="19" max="39" width="10.88671875" style="80" customWidth="1" outlineLevel="1"/>
    <col min="40" max="40" width="5.44140625" style="80" customWidth="1"/>
    <col min="41" max="42" width="10.88671875" style="80" bestFit="1" customWidth="1"/>
    <col min="43" max="43" width="12" style="80" bestFit="1" customWidth="1"/>
    <col min="44" max="16384" width="8.88671875" style="80"/>
  </cols>
  <sheetData>
    <row r="1" spans="1:16370" s="4" customFormat="1" ht="15.6">
      <c r="A1" s="1" t="s">
        <v>131</v>
      </c>
      <c r="B1" s="2"/>
      <c r="C1" s="2"/>
      <c r="D1" s="54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16370" s="56" customFormat="1" ht="17.25" customHeight="1">
      <c r="A2" s="55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 spans="1:16370" s="56" customFormat="1" ht="15" customHeight="1">
      <c r="D3" s="59">
        <v>46023</v>
      </c>
      <c r="E3" s="59">
        <v>46054</v>
      </c>
      <c r="F3" s="59">
        <v>46082</v>
      </c>
      <c r="G3" s="59">
        <v>46113</v>
      </c>
      <c r="H3" s="59">
        <v>46143</v>
      </c>
      <c r="I3" s="59">
        <v>46174</v>
      </c>
      <c r="J3" s="59">
        <v>46204</v>
      </c>
      <c r="K3" s="59">
        <v>46235</v>
      </c>
      <c r="L3" s="59">
        <v>46266</v>
      </c>
      <c r="M3" s="59">
        <v>46296</v>
      </c>
      <c r="N3" s="59">
        <v>46327</v>
      </c>
      <c r="O3" s="59">
        <v>46357</v>
      </c>
      <c r="P3" s="59">
        <v>46388</v>
      </c>
      <c r="Q3" s="59">
        <v>46419</v>
      </c>
      <c r="R3" s="59">
        <v>46447</v>
      </c>
      <c r="S3" s="59">
        <v>46478</v>
      </c>
      <c r="T3" s="59">
        <v>46508</v>
      </c>
      <c r="U3" s="59">
        <v>46539</v>
      </c>
      <c r="V3" s="59">
        <v>46569</v>
      </c>
      <c r="W3" s="59">
        <v>46600</v>
      </c>
      <c r="X3" s="59">
        <v>46631</v>
      </c>
      <c r="Y3" s="59">
        <v>46661</v>
      </c>
      <c r="Z3" s="59">
        <v>46692</v>
      </c>
      <c r="AA3" s="59">
        <v>46722</v>
      </c>
      <c r="AB3" s="59">
        <v>46753</v>
      </c>
      <c r="AC3" s="59">
        <v>46784</v>
      </c>
      <c r="AD3" s="59">
        <v>46813</v>
      </c>
      <c r="AE3" s="59">
        <v>46844</v>
      </c>
      <c r="AF3" s="59">
        <v>46874</v>
      </c>
      <c r="AG3" s="59">
        <v>46905</v>
      </c>
      <c r="AH3" s="59">
        <v>46935</v>
      </c>
      <c r="AI3" s="59">
        <v>46966</v>
      </c>
      <c r="AJ3" s="59">
        <v>46997</v>
      </c>
      <c r="AK3" s="59">
        <v>47027</v>
      </c>
      <c r="AL3" s="59">
        <v>47058</v>
      </c>
      <c r="AM3" s="59">
        <v>47088</v>
      </c>
      <c r="AO3" s="57">
        <f>YEAR(O3)</f>
        <v>2026</v>
      </c>
      <c r="AP3" s="57">
        <f>YEAR(AA3)</f>
        <v>2027</v>
      </c>
      <c r="AQ3" s="57">
        <f>YEAR(AM3)</f>
        <v>2028</v>
      </c>
    </row>
    <row r="4" spans="1:16370" s="61" customFormat="1">
      <c r="A4" s="56"/>
      <c r="B4" s="56"/>
      <c r="C4" s="56"/>
      <c r="D4" s="60" t="s">
        <v>1</v>
      </c>
      <c r="E4" s="60" t="s">
        <v>2</v>
      </c>
      <c r="F4" s="60" t="s">
        <v>3</v>
      </c>
      <c r="G4" s="60" t="s">
        <v>4</v>
      </c>
      <c r="H4" s="60" t="s">
        <v>5</v>
      </c>
      <c r="I4" s="60" t="s">
        <v>6</v>
      </c>
      <c r="J4" s="60" t="s">
        <v>7</v>
      </c>
      <c r="K4" s="60" t="s">
        <v>8</v>
      </c>
      <c r="L4" s="60" t="s">
        <v>9</v>
      </c>
      <c r="M4" s="60" t="s">
        <v>10</v>
      </c>
      <c r="N4" s="60" t="s">
        <v>11</v>
      </c>
      <c r="O4" s="60" t="s">
        <v>12</v>
      </c>
      <c r="P4" s="60" t="s">
        <v>13</v>
      </c>
      <c r="Q4" s="60" t="s">
        <v>14</v>
      </c>
      <c r="R4" s="60" t="s">
        <v>15</v>
      </c>
      <c r="S4" s="60" t="s">
        <v>16</v>
      </c>
      <c r="T4" s="60" t="s">
        <v>17</v>
      </c>
      <c r="U4" s="60" t="s">
        <v>18</v>
      </c>
      <c r="V4" s="60" t="s">
        <v>19</v>
      </c>
      <c r="W4" s="60" t="s">
        <v>20</v>
      </c>
      <c r="X4" s="60" t="s">
        <v>21</v>
      </c>
      <c r="Y4" s="60" t="s">
        <v>22</v>
      </c>
      <c r="Z4" s="60" t="s">
        <v>23</v>
      </c>
      <c r="AA4" s="60" t="s">
        <v>24</v>
      </c>
      <c r="AB4" s="60" t="s">
        <v>25</v>
      </c>
      <c r="AC4" s="60" t="s">
        <v>26</v>
      </c>
      <c r="AD4" s="60" t="s">
        <v>27</v>
      </c>
      <c r="AE4" s="60" t="s">
        <v>28</v>
      </c>
      <c r="AF4" s="60" t="s">
        <v>29</v>
      </c>
      <c r="AG4" s="60" t="s">
        <v>30</v>
      </c>
      <c r="AH4" s="60" t="s">
        <v>31</v>
      </c>
      <c r="AI4" s="60" t="s">
        <v>32</v>
      </c>
      <c r="AJ4" s="60" t="s">
        <v>33</v>
      </c>
      <c r="AK4" s="60" t="s">
        <v>34</v>
      </c>
      <c r="AL4" s="60" t="s">
        <v>35</v>
      </c>
      <c r="AM4" s="60" t="s">
        <v>36</v>
      </c>
      <c r="AO4" s="60" t="s">
        <v>37</v>
      </c>
      <c r="AP4" s="60" t="s">
        <v>38</v>
      </c>
      <c r="AQ4" s="60" t="s">
        <v>39</v>
      </c>
    </row>
    <row r="5" spans="1:16370" s="62" customFormat="1">
      <c r="D5" s="95">
        <v>1</v>
      </c>
      <c r="E5" s="63">
        <f t="shared" ref="E5:AM5" si="0">D5+1</f>
        <v>2</v>
      </c>
      <c r="F5" s="63">
        <f t="shared" si="0"/>
        <v>3</v>
      </c>
      <c r="G5" s="63">
        <f t="shared" si="0"/>
        <v>4</v>
      </c>
      <c r="H5" s="63">
        <f t="shared" si="0"/>
        <v>5</v>
      </c>
      <c r="I5" s="63">
        <f t="shared" si="0"/>
        <v>6</v>
      </c>
      <c r="J5" s="63">
        <f t="shared" si="0"/>
        <v>7</v>
      </c>
      <c r="K5" s="63">
        <f t="shared" si="0"/>
        <v>8</v>
      </c>
      <c r="L5" s="63">
        <f t="shared" si="0"/>
        <v>9</v>
      </c>
      <c r="M5" s="63">
        <f t="shared" si="0"/>
        <v>10</v>
      </c>
      <c r="N5" s="63">
        <f t="shared" si="0"/>
        <v>11</v>
      </c>
      <c r="O5" s="63">
        <f t="shared" si="0"/>
        <v>12</v>
      </c>
      <c r="P5" s="63">
        <f t="shared" si="0"/>
        <v>13</v>
      </c>
      <c r="Q5" s="63">
        <f t="shared" si="0"/>
        <v>14</v>
      </c>
      <c r="R5" s="63">
        <f t="shared" si="0"/>
        <v>15</v>
      </c>
      <c r="S5" s="63">
        <f t="shared" si="0"/>
        <v>16</v>
      </c>
      <c r="T5" s="63">
        <f t="shared" si="0"/>
        <v>17</v>
      </c>
      <c r="U5" s="63">
        <f t="shared" si="0"/>
        <v>18</v>
      </c>
      <c r="V5" s="63">
        <f t="shared" si="0"/>
        <v>19</v>
      </c>
      <c r="W5" s="63">
        <f t="shared" si="0"/>
        <v>20</v>
      </c>
      <c r="X5" s="63">
        <f t="shared" si="0"/>
        <v>21</v>
      </c>
      <c r="Y5" s="63">
        <f t="shared" si="0"/>
        <v>22</v>
      </c>
      <c r="Z5" s="63">
        <f t="shared" si="0"/>
        <v>23</v>
      </c>
      <c r="AA5" s="63">
        <f t="shared" si="0"/>
        <v>24</v>
      </c>
      <c r="AB5" s="63">
        <f t="shared" si="0"/>
        <v>25</v>
      </c>
      <c r="AC5" s="63">
        <f t="shared" si="0"/>
        <v>26</v>
      </c>
      <c r="AD5" s="63">
        <f t="shared" si="0"/>
        <v>27</v>
      </c>
      <c r="AE5" s="63">
        <f t="shared" si="0"/>
        <v>28</v>
      </c>
      <c r="AF5" s="63">
        <f t="shared" si="0"/>
        <v>29</v>
      </c>
      <c r="AG5" s="63">
        <f t="shared" si="0"/>
        <v>30</v>
      </c>
      <c r="AH5" s="63">
        <f t="shared" si="0"/>
        <v>31</v>
      </c>
      <c r="AI5" s="63">
        <f t="shared" si="0"/>
        <v>32</v>
      </c>
      <c r="AJ5" s="63">
        <f t="shared" si="0"/>
        <v>33</v>
      </c>
      <c r="AK5" s="63">
        <f t="shared" si="0"/>
        <v>34</v>
      </c>
      <c r="AL5" s="63">
        <f t="shared" si="0"/>
        <v>35</v>
      </c>
      <c r="AM5" s="63">
        <f t="shared" si="0"/>
        <v>36</v>
      </c>
      <c r="AO5" s="64"/>
      <c r="AP5" s="64"/>
      <c r="AQ5" s="64"/>
    </row>
    <row r="6" spans="1:16370" s="62" customFormat="1" ht="6.6" customHeight="1"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O6" s="64"/>
      <c r="AP6" s="64"/>
      <c r="AQ6" s="64"/>
    </row>
    <row r="7" spans="1:16370">
      <c r="A7" s="83" t="s">
        <v>178</v>
      </c>
      <c r="B7" s="66" t="s">
        <v>76</v>
      </c>
      <c r="C7" s="101" t="s">
        <v>77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9"/>
      <c r="AO7" s="102"/>
      <c r="AP7" s="68"/>
      <c r="AQ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</row>
    <row r="8" spans="1:16370">
      <c r="A8" s="70" t="s">
        <v>122</v>
      </c>
      <c r="B8" s="71" t="s">
        <v>78</v>
      </c>
      <c r="C8" s="72"/>
      <c r="D8" s="78">
        <f t="shared" ref="D8:E8" si="1">D32+D54+D76+D102+D118+D129</f>
        <v>-524.49509803921569</v>
      </c>
      <c r="E8" s="78">
        <f t="shared" si="1"/>
        <v>-252.67732843137262</v>
      </c>
      <c r="F8" s="78">
        <f t="shared" ref="F8:AM8" si="2">F32+F54+F76+F102+F118+F129</f>
        <v>-17.422926879085168</v>
      </c>
      <c r="G8" s="78">
        <f t="shared" si="2"/>
        <v>202.48294611247263</v>
      </c>
      <c r="H8" s="78">
        <f t="shared" si="2"/>
        <v>411.91642064667303</v>
      </c>
      <c r="I8" s="78">
        <f t="shared" si="2"/>
        <v>614.18896747368319</v>
      </c>
      <c r="J8" s="78">
        <f t="shared" si="2"/>
        <v>846.66095015274118</v>
      </c>
      <c r="K8" s="78">
        <f t="shared" si="2"/>
        <v>985.20545239027501</v>
      </c>
      <c r="L8" s="78">
        <f t="shared" si="2"/>
        <v>1145.6918104723059</v>
      </c>
      <c r="M8" s="78">
        <f t="shared" si="2"/>
        <v>1323.4226173535424</v>
      </c>
      <c r="N8" s="78">
        <f t="shared" si="2"/>
        <v>1516.3518721660255</v>
      </c>
      <c r="O8" s="78">
        <f t="shared" si="2"/>
        <v>1722.888488952048</v>
      </c>
      <c r="P8" s="78">
        <f t="shared" si="2"/>
        <v>2011.9576997893921</v>
      </c>
      <c r="Q8" s="78">
        <f t="shared" si="2"/>
        <v>2271.5373903505247</v>
      </c>
      <c r="R8" s="78">
        <f t="shared" si="2"/>
        <v>2508.3560210159458</v>
      </c>
      <c r="S8" s="78">
        <f t="shared" si="2"/>
        <v>2725.9354581263988</v>
      </c>
      <c r="T8" s="78">
        <f t="shared" si="2"/>
        <v>2926.9623753777487</v>
      </c>
      <c r="U8" s="78">
        <f t="shared" si="2"/>
        <v>3113.5384211357846</v>
      </c>
      <c r="V8" s="78">
        <f t="shared" si="2"/>
        <v>3287.3493491655154</v>
      </c>
      <c r="W8" s="78">
        <f t="shared" si="2"/>
        <v>3449.7799289269096</v>
      </c>
      <c r="X8" s="78">
        <f t="shared" si="2"/>
        <v>3601.9925292085068</v>
      </c>
      <c r="Y8" s="78">
        <f t="shared" si="2"/>
        <v>3744.9813192555216</v>
      </c>
      <c r="Z8" s="78">
        <f t="shared" si="2"/>
        <v>3879.6100638909875</v>
      </c>
      <c r="AA8" s="78">
        <f t="shared" si="2"/>
        <v>4006.6388428793084</v>
      </c>
      <c r="AB8" s="78">
        <f t="shared" si="2"/>
        <v>4126.7432595666942</v>
      </c>
      <c r="AC8" s="78">
        <f t="shared" si="2"/>
        <v>4240.5285260619848</v>
      </c>
      <c r="AD8" s="78">
        <f t="shared" si="2"/>
        <v>4348.5400261592376</v>
      </c>
      <c r="AE8" s="78">
        <f t="shared" si="2"/>
        <v>4451.2714323547698</v>
      </c>
      <c r="AF8" s="78">
        <f t="shared" si="2"/>
        <v>4549.1711026713756</v>
      </c>
      <c r="AG8" s="78">
        <f t="shared" si="2"/>
        <v>4642.6472485640734</v>
      </c>
      <c r="AH8" s="78">
        <f t="shared" si="2"/>
        <v>4732.0722082671437</v>
      </c>
      <c r="AI8" s="78">
        <f t="shared" si="2"/>
        <v>4817.7860547623659</v>
      </c>
      <c r="AJ8" s="78">
        <f t="shared" si="2"/>
        <v>4900.0996969054768</v>
      </c>
      <c r="AK8" s="78">
        <f t="shared" si="2"/>
        <v>4979.2975846736645</v>
      </c>
      <c r="AL8" s="78">
        <f t="shared" si="2"/>
        <v>5055.6400973411774</v>
      </c>
      <c r="AM8" s="78">
        <f t="shared" si="2"/>
        <v>5129.365671550624</v>
      </c>
      <c r="AN8" s="81"/>
      <c r="AO8" s="75">
        <f t="shared" ref="AO8" si="3">SUM(D8:O8)</f>
        <v>7974.2141723700934</v>
      </c>
      <c r="AP8" s="75">
        <f t="shared" ref="AP8" si="4">SUM(P8:AA8)</f>
        <v>37528.639399122541</v>
      </c>
      <c r="AQ8" s="75">
        <f t="shared" ref="AQ8" si="5">SUM(AB8:AM8)</f>
        <v>55973.162908878585</v>
      </c>
    </row>
    <row r="9" spans="1:16370">
      <c r="A9" s="70" t="s">
        <v>139</v>
      </c>
      <c r="B9" s="71" t="s">
        <v>78</v>
      </c>
      <c r="C9" s="72"/>
      <c r="D9" s="78">
        <f t="shared" ref="D9:E9" si="6">D33+D55+D77+D103+D119+D130</f>
        <v>-62.717172619047616</v>
      </c>
      <c r="E9" s="78">
        <f t="shared" si="6"/>
        <v>-52.432523809523815</v>
      </c>
      <c r="F9" s="78">
        <f t="shared" ref="F9:AM9" si="7">F33+F55+F77+F103+F119+F130</f>
        <v>-65.156033919817929</v>
      </c>
      <c r="G9" s="78">
        <f t="shared" si="7"/>
        <v>-77.338017781360236</v>
      </c>
      <c r="H9" s="78">
        <f t="shared" si="7"/>
        <v>-89.143119133826318</v>
      </c>
      <c r="I9" s="78">
        <f t="shared" si="7"/>
        <v>-100.67754103500124</v>
      </c>
      <c r="J9" s="78">
        <f t="shared" si="7"/>
        <v>-111.37861714584108</v>
      </c>
      <c r="K9" s="78">
        <f t="shared" si="7"/>
        <v>-122.37435027612617</v>
      </c>
      <c r="L9" s="78">
        <f t="shared" si="7"/>
        <v>-134.18516100972397</v>
      </c>
      <c r="M9" s="78">
        <f t="shared" si="7"/>
        <v>-146.70785697261886</v>
      </c>
      <c r="N9" s="78">
        <f t="shared" si="7"/>
        <v>-159.86458248828751</v>
      </c>
      <c r="O9" s="78">
        <f t="shared" si="7"/>
        <v>-173.59345452387475</v>
      </c>
      <c r="P9" s="78">
        <f t="shared" si="7"/>
        <v>-186.44609621110806</v>
      </c>
      <c r="Q9" s="78">
        <f t="shared" si="7"/>
        <v>-198.18827453659554</v>
      </c>
      <c r="R9" s="78">
        <f t="shared" si="7"/>
        <v>-208.94681057641924</v>
      </c>
      <c r="S9" s="78">
        <f t="shared" si="7"/>
        <v>-218.82652949611997</v>
      </c>
      <c r="T9" s="78">
        <f t="shared" si="7"/>
        <v>-227.91590270575381</v>
      </c>
      <c r="U9" s="78">
        <f t="shared" si="7"/>
        <v>-236.2909501145237</v>
      </c>
      <c r="V9" s="78">
        <f t="shared" si="7"/>
        <v>-244.01797071696637</v>
      </c>
      <c r="W9" s="78">
        <f t="shared" si="7"/>
        <v>-251.15548130991903</v>
      </c>
      <c r="X9" s="78">
        <f t="shared" si="7"/>
        <v>-257.75561743615691</v>
      </c>
      <c r="Y9" s="78">
        <f t="shared" si="7"/>
        <v>-263.86516677367359</v>
      </c>
      <c r="Z9" s="78">
        <f t="shared" si="7"/>
        <v>-269.52634920315188</v>
      </c>
      <c r="AA9" s="78">
        <f t="shared" si="7"/>
        <v>-274.77742039912107</v>
      </c>
      <c r="AB9" s="78">
        <f t="shared" si="7"/>
        <v>-279.65315080805794</v>
      </c>
      <c r="AC9" s="78">
        <f t="shared" si="7"/>
        <v>-284.18521516911562</v>
      </c>
      <c r="AD9" s="78">
        <f t="shared" si="7"/>
        <v>-288.40251654644004</v>
      </c>
      <c r="AE9" s="78">
        <f t="shared" si="7"/>
        <v>-292.3314613398905</v>
      </c>
      <c r="AF9" s="78">
        <f t="shared" si="7"/>
        <v>-295.99619669893349</v>
      </c>
      <c r="AG9" s="78">
        <f t="shared" si="7"/>
        <v>-299.41881836586498</v>
      </c>
      <c r="AH9" s="78">
        <f t="shared" si="7"/>
        <v>-302.61955467464696</v>
      </c>
      <c r="AI9" s="78">
        <f t="shared" si="7"/>
        <v>-305.61693086709369</v>
      </c>
      <c r="AJ9" s="78">
        <f t="shared" si="7"/>
        <v>-308.42791681643422</v>
      </c>
      <c r="AK9" s="78">
        <f t="shared" si="7"/>
        <v>-311.06806050750578</v>
      </c>
      <c r="AL9" s="78">
        <f t="shared" si="7"/>
        <v>-313.55160910488343</v>
      </c>
      <c r="AM9" s="78">
        <f t="shared" si="7"/>
        <v>-315.89161907285421</v>
      </c>
      <c r="AN9" s="81"/>
      <c r="AO9" s="75">
        <f t="shared" ref="AO9:AO10" si="8">SUM(D9:O9)</f>
        <v>-1295.5684307150495</v>
      </c>
      <c r="AP9" s="75">
        <f t="shared" ref="AP9:AP10" si="9">SUM(P9:AA9)</f>
        <v>-2837.7125694795091</v>
      </c>
      <c r="AQ9" s="75">
        <f t="shared" ref="AQ9:AQ10" si="10">SUM(AB9:AM9)</f>
        <v>-3597.1630499717212</v>
      </c>
    </row>
    <row r="10" spans="1:16370">
      <c r="A10" s="80" t="s">
        <v>177</v>
      </c>
      <c r="B10" s="71" t="s">
        <v>78</v>
      </c>
      <c r="D10" s="78">
        <f>D34+D56+D78+D104+D120+D131</f>
        <v>-587.21227065826326</v>
      </c>
      <c r="E10" s="78">
        <f t="shared" ref="E10" si="11">E34+E56+E78+E104+E120+E131</f>
        <v>-305.10985224089643</v>
      </c>
      <c r="F10" s="78">
        <f t="shared" ref="F10:AM10" si="12">F34+F56+F78+F104+F120+F131</f>
        <v>-82.578960798903097</v>
      </c>
      <c r="G10" s="78">
        <f t="shared" si="12"/>
        <v>125.14492833111238</v>
      </c>
      <c r="H10" s="78">
        <f t="shared" si="12"/>
        <v>322.77330151284673</v>
      </c>
      <c r="I10" s="78">
        <f t="shared" si="12"/>
        <v>513.51142643868195</v>
      </c>
      <c r="J10" s="78">
        <f t="shared" si="12"/>
        <v>735.2823330069001</v>
      </c>
      <c r="K10" s="78">
        <f t="shared" si="12"/>
        <v>862.83110211414862</v>
      </c>
      <c r="L10" s="78">
        <f t="shared" si="12"/>
        <v>1011.506649462582</v>
      </c>
      <c r="M10" s="78">
        <f t="shared" si="12"/>
        <v>1176.7147603809235</v>
      </c>
      <c r="N10" s="78">
        <f t="shared" si="12"/>
        <v>1356.4872896777379</v>
      </c>
      <c r="O10" s="78">
        <f t="shared" si="12"/>
        <v>1549.2950344281735</v>
      </c>
      <c r="P10" s="78">
        <f t="shared" si="12"/>
        <v>1825.5116035782839</v>
      </c>
      <c r="Q10" s="78">
        <f t="shared" si="12"/>
        <v>2073.3491158139291</v>
      </c>
      <c r="R10" s="78">
        <f t="shared" si="12"/>
        <v>2299.4092104395263</v>
      </c>
      <c r="S10" s="78">
        <f t="shared" si="12"/>
        <v>2507.108928630279</v>
      </c>
      <c r="T10" s="78">
        <f t="shared" si="12"/>
        <v>2699.0464726719947</v>
      </c>
      <c r="U10" s="78">
        <f t="shared" si="12"/>
        <v>2877.2474710212609</v>
      </c>
      <c r="V10" s="78">
        <f t="shared" si="12"/>
        <v>3043.331378448549</v>
      </c>
      <c r="W10" s="78">
        <f t="shared" si="12"/>
        <v>3198.6244476169904</v>
      </c>
      <c r="X10" s="78">
        <f t="shared" si="12"/>
        <v>3344.2369117723497</v>
      </c>
      <c r="Y10" s="78">
        <f t="shared" si="12"/>
        <v>3481.1161524818481</v>
      </c>
      <c r="Z10" s="78">
        <f t="shared" si="12"/>
        <v>3610.0837146878357</v>
      </c>
      <c r="AA10" s="78">
        <f t="shared" si="12"/>
        <v>3731.8614224801868</v>
      </c>
      <c r="AB10" s="78">
        <f t="shared" si="12"/>
        <v>3847.0901087586362</v>
      </c>
      <c r="AC10" s="78">
        <f t="shared" si="12"/>
        <v>3956.3433108928698</v>
      </c>
      <c r="AD10" s="78">
        <f t="shared" si="12"/>
        <v>4060.1375096127977</v>
      </c>
      <c r="AE10" s="78">
        <f t="shared" si="12"/>
        <v>4158.93997101488</v>
      </c>
      <c r="AF10" s="78">
        <f t="shared" si="12"/>
        <v>4253.1749059724425</v>
      </c>
      <c r="AG10" s="78">
        <f t="shared" si="12"/>
        <v>4343.2284301982081</v>
      </c>
      <c r="AH10" s="78">
        <f t="shared" si="12"/>
        <v>4429.452653592497</v>
      </c>
      <c r="AI10" s="78">
        <f t="shared" si="12"/>
        <v>4512.1691238952726</v>
      </c>
      <c r="AJ10" s="78">
        <f t="shared" si="12"/>
        <v>4591.6717800890438</v>
      </c>
      <c r="AK10" s="78">
        <f t="shared" si="12"/>
        <v>4668.2295241661595</v>
      </c>
      <c r="AL10" s="78">
        <f t="shared" si="12"/>
        <v>4742.0884882362943</v>
      </c>
      <c r="AM10" s="78">
        <f t="shared" si="12"/>
        <v>4813.4740524777708</v>
      </c>
      <c r="AO10" s="75">
        <f t="shared" si="8"/>
        <v>6678.6457416550438</v>
      </c>
      <c r="AP10" s="75">
        <f t="shared" si="9"/>
        <v>34690.926829643031</v>
      </c>
      <c r="AQ10" s="75">
        <f t="shared" si="10"/>
        <v>52375.999858906878</v>
      </c>
    </row>
    <row r="11" spans="1:16370">
      <c r="B11" s="71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</row>
    <row r="12" spans="1:16370" s="69" customFormat="1">
      <c r="A12" s="83" t="s">
        <v>96</v>
      </c>
      <c r="B12" s="66" t="s">
        <v>76</v>
      </c>
      <c r="C12" s="84" t="s">
        <v>77</v>
      </c>
      <c r="D12" s="67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O12" s="68"/>
      <c r="AP12" s="68"/>
      <c r="AQ12" s="68"/>
    </row>
    <row r="13" spans="1:16370" outlineLevel="1">
      <c r="A13" s="70" t="s">
        <v>123</v>
      </c>
      <c r="B13" s="85" t="s">
        <v>85</v>
      </c>
      <c r="C13" s="72"/>
      <c r="D13" s="77">
        <f>'0'!D10</f>
        <v>15</v>
      </c>
      <c r="E13" s="77">
        <f>'0'!E10</f>
        <v>16</v>
      </c>
      <c r="F13" s="77">
        <f>'0'!F10</f>
        <v>17</v>
      </c>
      <c r="G13" s="77">
        <f>'0'!G10</f>
        <v>18</v>
      </c>
      <c r="H13" s="77">
        <f>'0'!H10</f>
        <v>19</v>
      </c>
      <c r="I13" s="77">
        <f>'0'!I10</f>
        <v>20</v>
      </c>
      <c r="J13" s="77">
        <f>'0'!J10</f>
        <v>20</v>
      </c>
      <c r="K13" s="77">
        <f>'0'!K10</f>
        <v>22</v>
      </c>
      <c r="L13" s="77">
        <f>'0'!L10</f>
        <v>24</v>
      </c>
      <c r="M13" s="77">
        <f>'0'!M10</f>
        <v>26</v>
      </c>
      <c r="N13" s="77">
        <f>'0'!N10</f>
        <v>28</v>
      </c>
      <c r="O13" s="77">
        <f>'0'!O10</f>
        <v>30</v>
      </c>
      <c r="P13" s="77">
        <f>'0'!P10</f>
        <v>30</v>
      </c>
      <c r="Q13" s="77">
        <f>'0'!Q10</f>
        <v>30</v>
      </c>
      <c r="R13" s="77">
        <f>'0'!R10</f>
        <v>30</v>
      </c>
      <c r="S13" s="77">
        <f>'0'!S10</f>
        <v>30</v>
      </c>
      <c r="T13" s="77">
        <f>'0'!T10</f>
        <v>30</v>
      </c>
      <c r="U13" s="77">
        <f>'0'!U10</f>
        <v>30</v>
      </c>
      <c r="V13" s="77">
        <f>'0'!V10</f>
        <v>30</v>
      </c>
      <c r="W13" s="77">
        <f>'0'!W10</f>
        <v>30</v>
      </c>
      <c r="X13" s="77">
        <f>'0'!X10</f>
        <v>30</v>
      </c>
      <c r="Y13" s="77">
        <f>'0'!Y10</f>
        <v>30</v>
      </c>
      <c r="Z13" s="77">
        <f>'0'!Z10</f>
        <v>30</v>
      </c>
      <c r="AA13" s="77">
        <f>'0'!AA10</f>
        <v>30</v>
      </c>
      <c r="AB13" s="77">
        <f>'0'!AB10</f>
        <v>30</v>
      </c>
      <c r="AC13" s="77">
        <f>'0'!AC10</f>
        <v>30</v>
      </c>
      <c r="AD13" s="77">
        <f>'0'!AD10</f>
        <v>30</v>
      </c>
      <c r="AE13" s="77">
        <f>'0'!AE10</f>
        <v>30</v>
      </c>
      <c r="AF13" s="77">
        <f>'0'!AF10</f>
        <v>30</v>
      </c>
      <c r="AG13" s="77">
        <f>'0'!AG10</f>
        <v>30</v>
      </c>
      <c r="AH13" s="77">
        <f>'0'!AH10</f>
        <v>30</v>
      </c>
      <c r="AI13" s="77">
        <f>'0'!AI10</f>
        <v>30</v>
      </c>
      <c r="AJ13" s="77">
        <f>'0'!AJ10</f>
        <v>30</v>
      </c>
      <c r="AK13" s="77">
        <f>'0'!AK10</f>
        <v>30</v>
      </c>
      <c r="AL13" s="77">
        <f>'0'!AL10</f>
        <v>30</v>
      </c>
      <c r="AM13" s="77">
        <f>'0'!AM10</f>
        <v>30</v>
      </c>
      <c r="AN13" s="81"/>
      <c r="AO13" s="75">
        <f>O13</f>
        <v>30</v>
      </c>
      <c r="AP13" s="75">
        <f>AA13</f>
        <v>30</v>
      </c>
      <c r="AQ13" s="75">
        <f>AM13</f>
        <v>30</v>
      </c>
      <c r="AR13" s="82"/>
    </row>
    <row r="14" spans="1:16370" outlineLevel="1">
      <c r="A14" s="70" t="s">
        <v>124</v>
      </c>
      <c r="B14" s="85" t="s">
        <v>85</v>
      </c>
      <c r="C14" s="72"/>
      <c r="D14" s="86">
        <v>30</v>
      </c>
      <c r="E14" s="86">
        <v>30</v>
      </c>
      <c r="F14" s="86">
        <v>30</v>
      </c>
      <c r="G14" s="86">
        <v>30</v>
      </c>
      <c r="H14" s="86">
        <v>30</v>
      </c>
      <c r="I14" s="86">
        <v>30</v>
      </c>
      <c r="J14" s="86">
        <v>30</v>
      </c>
      <c r="K14" s="86">
        <v>30</v>
      </c>
      <c r="L14" s="86">
        <v>30</v>
      </c>
      <c r="M14" s="86">
        <v>30</v>
      </c>
      <c r="N14" s="86">
        <v>30</v>
      </c>
      <c r="O14" s="86">
        <v>30</v>
      </c>
      <c r="P14" s="86">
        <v>30</v>
      </c>
      <c r="Q14" s="86">
        <v>30</v>
      </c>
      <c r="R14" s="86">
        <v>30</v>
      </c>
      <c r="S14" s="86">
        <v>30</v>
      </c>
      <c r="T14" s="86">
        <v>30</v>
      </c>
      <c r="U14" s="86">
        <v>30</v>
      </c>
      <c r="V14" s="86">
        <v>30</v>
      </c>
      <c r="W14" s="86">
        <v>30</v>
      </c>
      <c r="X14" s="86">
        <v>30</v>
      </c>
      <c r="Y14" s="86">
        <v>30</v>
      </c>
      <c r="Z14" s="86">
        <v>30</v>
      </c>
      <c r="AA14" s="86">
        <v>30</v>
      </c>
      <c r="AB14" s="86">
        <v>30</v>
      </c>
      <c r="AC14" s="86">
        <v>30</v>
      </c>
      <c r="AD14" s="86">
        <v>30</v>
      </c>
      <c r="AE14" s="86">
        <v>30</v>
      </c>
      <c r="AF14" s="86">
        <v>30</v>
      </c>
      <c r="AG14" s="86">
        <v>30</v>
      </c>
      <c r="AH14" s="86">
        <v>30</v>
      </c>
      <c r="AI14" s="86">
        <v>30</v>
      </c>
      <c r="AJ14" s="86">
        <v>30</v>
      </c>
      <c r="AK14" s="86">
        <v>30</v>
      </c>
      <c r="AL14" s="86">
        <v>30</v>
      </c>
      <c r="AM14" s="86">
        <v>30</v>
      </c>
      <c r="AN14" s="81"/>
      <c r="AO14" s="75">
        <f>AVERAGE(D14:O14)</f>
        <v>30</v>
      </c>
      <c r="AP14" s="75">
        <f>AVERAGE(P14:AA14)</f>
        <v>30</v>
      </c>
      <c r="AQ14" s="75">
        <f>AVERAGE(AB14:AM14)</f>
        <v>30</v>
      </c>
      <c r="AR14" s="82"/>
    </row>
    <row r="15" spans="1:16370" outlineLevel="1">
      <c r="A15" s="70" t="s">
        <v>84</v>
      </c>
      <c r="B15" s="85" t="s">
        <v>85</v>
      </c>
      <c r="C15" s="72"/>
      <c r="D15" s="77">
        <f>D13*D14</f>
        <v>450</v>
      </c>
      <c r="E15" s="77">
        <f t="shared" ref="E15" si="13">E13*E14</f>
        <v>480</v>
      </c>
      <c r="F15" s="77">
        <f t="shared" ref="F15:AM15" si="14">F13*F14</f>
        <v>510</v>
      </c>
      <c r="G15" s="77">
        <f t="shared" si="14"/>
        <v>540</v>
      </c>
      <c r="H15" s="77">
        <f t="shared" si="14"/>
        <v>570</v>
      </c>
      <c r="I15" s="77">
        <f t="shared" si="14"/>
        <v>600</v>
      </c>
      <c r="J15" s="77">
        <f t="shared" si="14"/>
        <v>600</v>
      </c>
      <c r="K15" s="77">
        <f t="shared" si="14"/>
        <v>660</v>
      </c>
      <c r="L15" s="77">
        <f t="shared" si="14"/>
        <v>720</v>
      </c>
      <c r="M15" s="77">
        <f t="shared" si="14"/>
        <v>780</v>
      </c>
      <c r="N15" s="77">
        <f t="shared" si="14"/>
        <v>840</v>
      </c>
      <c r="O15" s="77">
        <f t="shared" si="14"/>
        <v>900</v>
      </c>
      <c r="P15" s="77">
        <f t="shared" si="14"/>
        <v>900</v>
      </c>
      <c r="Q15" s="77">
        <f t="shared" si="14"/>
        <v>900</v>
      </c>
      <c r="R15" s="77">
        <f t="shared" si="14"/>
        <v>900</v>
      </c>
      <c r="S15" s="77">
        <f t="shared" si="14"/>
        <v>900</v>
      </c>
      <c r="T15" s="77">
        <f t="shared" si="14"/>
        <v>900</v>
      </c>
      <c r="U15" s="77">
        <f t="shared" si="14"/>
        <v>900</v>
      </c>
      <c r="V15" s="77">
        <f t="shared" si="14"/>
        <v>900</v>
      </c>
      <c r="W15" s="77">
        <f t="shared" si="14"/>
        <v>900</v>
      </c>
      <c r="X15" s="77">
        <f t="shared" si="14"/>
        <v>900</v>
      </c>
      <c r="Y15" s="77">
        <f t="shared" si="14"/>
        <v>900</v>
      </c>
      <c r="Z15" s="77">
        <f t="shared" si="14"/>
        <v>900</v>
      </c>
      <c r="AA15" s="77">
        <f t="shared" si="14"/>
        <v>900</v>
      </c>
      <c r="AB15" s="77">
        <f t="shared" si="14"/>
        <v>900</v>
      </c>
      <c r="AC15" s="77">
        <f t="shared" si="14"/>
        <v>900</v>
      </c>
      <c r="AD15" s="77">
        <f t="shared" si="14"/>
        <v>900</v>
      </c>
      <c r="AE15" s="77">
        <f t="shared" si="14"/>
        <v>900</v>
      </c>
      <c r="AF15" s="77">
        <f t="shared" si="14"/>
        <v>900</v>
      </c>
      <c r="AG15" s="77">
        <f t="shared" si="14"/>
        <v>900</v>
      </c>
      <c r="AH15" s="77">
        <f t="shared" si="14"/>
        <v>900</v>
      </c>
      <c r="AI15" s="77">
        <f t="shared" si="14"/>
        <v>900</v>
      </c>
      <c r="AJ15" s="77">
        <f t="shared" si="14"/>
        <v>900</v>
      </c>
      <c r="AK15" s="77">
        <f t="shared" si="14"/>
        <v>900</v>
      </c>
      <c r="AL15" s="77">
        <f t="shared" si="14"/>
        <v>900</v>
      </c>
      <c r="AM15" s="77">
        <f t="shared" si="14"/>
        <v>900</v>
      </c>
      <c r="AN15" s="81"/>
      <c r="AO15" s="75">
        <f t="shared" ref="AO15" si="15">SUM(D15:O15)</f>
        <v>7650</v>
      </c>
      <c r="AP15" s="75">
        <f t="shared" ref="AP15" si="16">SUM(P15:AA15)</f>
        <v>10800</v>
      </c>
      <c r="AQ15" s="75">
        <f t="shared" ref="AQ15" si="17">SUM(AB15:AM15)</f>
        <v>10800</v>
      </c>
      <c r="AR15" s="82"/>
    </row>
    <row r="16" spans="1:16370" outlineLevel="1">
      <c r="A16" s="70" t="s">
        <v>86</v>
      </c>
      <c r="B16" s="71" t="s">
        <v>78</v>
      </c>
      <c r="C16" s="72"/>
      <c r="D16" s="86">
        <v>50</v>
      </c>
      <c r="E16" s="86">
        <v>50</v>
      </c>
      <c r="F16" s="86">
        <v>50</v>
      </c>
      <c r="G16" s="86">
        <v>50</v>
      </c>
      <c r="H16" s="86">
        <v>50</v>
      </c>
      <c r="I16" s="86">
        <v>50</v>
      </c>
      <c r="J16" s="86">
        <v>50</v>
      </c>
      <c r="K16" s="86">
        <v>50</v>
      </c>
      <c r="L16" s="86">
        <v>50</v>
      </c>
      <c r="M16" s="86">
        <v>50</v>
      </c>
      <c r="N16" s="86">
        <v>50</v>
      </c>
      <c r="O16" s="86">
        <v>50</v>
      </c>
      <c r="P16" s="86">
        <v>50</v>
      </c>
      <c r="Q16" s="86">
        <v>50</v>
      </c>
      <c r="R16" s="86">
        <v>50</v>
      </c>
      <c r="S16" s="86">
        <v>50</v>
      </c>
      <c r="T16" s="86">
        <v>50</v>
      </c>
      <c r="U16" s="86">
        <v>50</v>
      </c>
      <c r="V16" s="86">
        <v>50</v>
      </c>
      <c r="W16" s="86">
        <v>50</v>
      </c>
      <c r="X16" s="86">
        <v>50</v>
      </c>
      <c r="Y16" s="86">
        <v>50</v>
      </c>
      <c r="Z16" s="86">
        <v>50</v>
      </c>
      <c r="AA16" s="86">
        <v>50</v>
      </c>
      <c r="AB16" s="86">
        <v>50</v>
      </c>
      <c r="AC16" s="86">
        <v>50</v>
      </c>
      <c r="AD16" s="86">
        <v>50</v>
      </c>
      <c r="AE16" s="86">
        <v>50</v>
      </c>
      <c r="AF16" s="86">
        <v>50</v>
      </c>
      <c r="AG16" s="86">
        <v>50</v>
      </c>
      <c r="AH16" s="86">
        <v>50</v>
      </c>
      <c r="AI16" s="86">
        <v>50</v>
      </c>
      <c r="AJ16" s="86">
        <v>50</v>
      </c>
      <c r="AK16" s="86">
        <v>50</v>
      </c>
      <c r="AL16" s="86">
        <v>50</v>
      </c>
      <c r="AM16" s="86">
        <v>50</v>
      </c>
      <c r="AN16" s="81"/>
      <c r="AO16" s="75">
        <f>AVERAGE(D16:O16)</f>
        <v>50</v>
      </c>
      <c r="AP16" s="75">
        <f>AVERAGE(P16:AA16)</f>
        <v>50</v>
      </c>
      <c r="AQ16" s="75">
        <f>AVERAGE(AB16:AM16)</f>
        <v>50</v>
      </c>
      <c r="AR16" s="82"/>
    </row>
    <row r="17" spans="1:44" outlineLevel="1">
      <c r="A17" s="70" t="s">
        <v>87</v>
      </c>
      <c r="B17" s="71" t="s">
        <v>78</v>
      </c>
      <c r="C17" s="72"/>
      <c r="D17" s="77">
        <f>D15*D16</f>
        <v>22500</v>
      </c>
      <c r="E17" s="77">
        <f>E15*E16</f>
        <v>24000</v>
      </c>
      <c r="F17" s="77">
        <f t="shared" ref="F17:AM17" si="18">F15*F16</f>
        <v>25500</v>
      </c>
      <c r="G17" s="77">
        <f t="shared" si="18"/>
        <v>27000</v>
      </c>
      <c r="H17" s="77">
        <f t="shared" si="18"/>
        <v>28500</v>
      </c>
      <c r="I17" s="77">
        <f t="shared" si="18"/>
        <v>30000</v>
      </c>
      <c r="J17" s="77">
        <f t="shared" si="18"/>
        <v>30000</v>
      </c>
      <c r="K17" s="77">
        <f t="shared" si="18"/>
        <v>33000</v>
      </c>
      <c r="L17" s="77">
        <f t="shared" si="18"/>
        <v>36000</v>
      </c>
      <c r="M17" s="77">
        <f t="shared" si="18"/>
        <v>39000</v>
      </c>
      <c r="N17" s="77">
        <f t="shared" si="18"/>
        <v>42000</v>
      </c>
      <c r="O17" s="77">
        <f t="shared" si="18"/>
        <v>45000</v>
      </c>
      <c r="P17" s="77">
        <f t="shared" si="18"/>
        <v>45000</v>
      </c>
      <c r="Q17" s="77">
        <f t="shared" si="18"/>
        <v>45000</v>
      </c>
      <c r="R17" s="77">
        <f t="shared" si="18"/>
        <v>45000</v>
      </c>
      <c r="S17" s="77">
        <f t="shared" si="18"/>
        <v>45000</v>
      </c>
      <c r="T17" s="77">
        <f t="shared" si="18"/>
        <v>45000</v>
      </c>
      <c r="U17" s="77">
        <f t="shared" si="18"/>
        <v>45000</v>
      </c>
      <c r="V17" s="77">
        <f t="shared" si="18"/>
        <v>45000</v>
      </c>
      <c r="W17" s="77">
        <f t="shared" si="18"/>
        <v>45000</v>
      </c>
      <c r="X17" s="77">
        <f t="shared" si="18"/>
        <v>45000</v>
      </c>
      <c r="Y17" s="77">
        <f t="shared" si="18"/>
        <v>45000</v>
      </c>
      <c r="Z17" s="77">
        <f t="shared" si="18"/>
        <v>45000</v>
      </c>
      <c r="AA17" s="77">
        <f t="shared" si="18"/>
        <v>45000</v>
      </c>
      <c r="AB17" s="77">
        <f t="shared" si="18"/>
        <v>45000</v>
      </c>
      <c r="AC17" s="77">
        <f t="shared" si="18"/>
        <v>45000</v>
      </c>
      <c r="AD17" s="77">
        <f t="shared" si="18"/>
        <v>45000</v>
      </c>
      <c r="AE17" s="77">
        <f t="shared" si="18"/>
        <v>45000</v>
      </c>
      <c r="AF17" s="77">
        <f t="shared" si="18"/>
        <v>45000</v>
      </c>
      <c r="AG17" s="77">
        <f t="shared" si="18"/>
        <v>45000</v>
      </c>
      <c r="AH17" s="77">
        <f t="shared" si="18"/>
        <v>45000</v>
      </c>
      <c r="AI17" s="77">
        <f t="shared" si="18"/>
        <v>45000</v>
      </c>
      <c r="AJ17" s="77">
        <f t="shared" si="18"/>
        <v>45000</v>
      </c>
      <c r="AK17" s="77">
        <f t="shared" si="18"/>
        <v>45000</v>
      </c>
      <c r="AL17" s="77">
        <f t="shared" si="18"/>
        <v>45000</v>
      </c>
      <c r="AM17" s="77">
        <f t="shared" si="18"/>
        <v>45000</v>
      </c>
      <c r="AN17" s="81"/>
      <c r="AO17" s="75">
        <f t="shared" ref="AO17" si="19">SUM(D17:O17)</f>
        <v>382500</v>
      </c>
      <c r="AP17" s="75">
        <f t="shared" ref="AP17" si="20">SUM(P17:AA17)</f>
        <v>540000</v>
      </c>
      <c r="AQ17" s="75">
        <f t="shared" ref="AQ17" si="21">SUM(AB17:AM17)</f>
        <v>540000</v>
      </c>
      <c r="AR17" s="82"/>
    </row>
    <row r="18" spans="1:44" s="90" customFormat="1" outlineLevel="1">
      <c r="A18" s="70" t="s">
        <v>88</v>
      </c>
      <c r="B18" s="71" t="s">
        <v>89</v>
      </c>
      <c r="C18" s="87"/>
      <c r="D18" s="86">
        <v>12</v>
      </c>
      <c r="E18" s="86">
        <v>12</v>
      </c>
      <c r="F18" s="86">
        <v>12</v>
      </c>
      <c r="G18" s="86">
        <v>12</v>
      </c>
      <c r="H18" s="86">
        <v>12</v>
      </c>
      <c r="I18" s="86">
        <v>12</v>
      </c>
      <c r="J18" s="86">
        <v>12</v>
      </c>
      <c r="K18" s="86">
        <v>12</v>
      </c>
      <c r="L18" s="86">
        <v>12</v>
      </c>
      <c r="M18" s="86">
        <v>12</v>
      </c>
      <c r="N18" s="86">
        <v>12</v>
      </c>
      <c r="O18" s="86">
        <v>12</v>
      </c>
      <c r="P18" s="86">
        <v>12</v>
      </c>
      <c r="Q18" s="86">
        <v>12</v>
      </c>
      <c r="R18" s="86">
        <v>12</v>
      </c>
      <c r="S18" s="86">
        <v>12</v>
      </c>
      <c r="T18" s="86">
        <v>12</v>
      </c>
      <c r="U18" s="86">
        <v>12</v>
      </c>
      <c r="V18" s="86">
        <v>12</v>
      </c>
      <c r="W18" s="86">
        <v>12</v>
      </c>
      <c r="X18" s="86">
        <v>12</v>
      </c>
      <c r="Y18" s="86">
        <v>12</v>
      </c>
      <c r="Z18" s="86">
        <v>12</v>
      </c>
      <c r="AA18" s="86">
        <v>12</v>
      </c>
      <c r="AB18" s="86">
        <v>12</v>
      </c>
      <c r="AC18" s="86">
        <v>12</v>
      </c>
      <c r="AD18" s="86">
        <v>12</v>
      </c>
      <c r="AE18" s="86">
        <v>12</v>
      </c>
      <c r="AF18" s="86">
        <v>12</v>
      </c>
      <c r="AG18" s="86">
        <v>12</v>
      </c>
      <c r="AH18" s="86">
        <v>12</v>
      </c>
      <c r="AI18" s="86">
        <v>12</v>
      </c>
      <c r="AJ18" s="86">
        <v>12</v>
      </c>
      <c r="AK18" s="86">
        <v>12</v>
      </c>
      <c r="AL18" s="86">
        <v>12</v>
      </c>
      <c r="AM18" s="86">
        <v>12</v>
      </c>
      <c r="AN18" s="88"/>
      <c r="AO18" s="75">
        <f>AVERAGE(D18:O18)</f>
        <v>12</v>
      </c>
      <c r="AP18" s="75">
        <f>AVERAGE(P18:AA18)</f>
        <v>12</v>
      </c>
      <c r="AQ18" s="75">
        <f>AVERAGE(AB18:AM18)</f>
        <v>12</v>
      </c>
      <c r="AR18" s="89"/>
    </row>
    <row r="19" spans="1:44" outlineLevel="1">
      <c r="A19" s="91" t="s">
        <v>90</v>
      </c>
      <c r="B19" s="71" t="s">
        <v>78</v>
      </c>
      <c r="C19" s="72"/>
      <c r="D19" s="78">
        <v>0</v>
      </c>
      <c r="E19" s="81">
        <f>D20/E18</f>
        <v>1875</v>
      </c>
      <c r="F19" s="81">
        <f t="shared" ref="F19:AM19" si="22">E20/F18</f>
        <v>3718.75</v>
      </c>
      <c r="G19" s="81">
        <f t="shared" si="22"/>
        <v>5533.854166666667</v>
      </c>
      <c r="H19" s="81">
        <f t="shared" si="22"/>
        <v>7322.6996527777774</v>
      </c>
      <c r="I19" s="81">
        <f t="shared" si="22"/>
        <v>9087.4746817129617</v>
      </c>
      <c r="J19" s="81">
        <f t="shared" si="22"/>
        <v>10830.18512490355</v>
      </c>
      <c r="K19" s="81">
        <f t="shared" si="22"/>
        <v>12427.669697828254</v>
      </c>
      <c r="L19" s="81">
        <f t="shared" si="22"/>
        <v>14142.030556342566</v>
      </c>
      <c r="M19" s="81">
        <f t="shared" si="22"/>
        <v>15963.528009980686</v>
      </c>
      <c r="N19" s="81">
        <f t="shared" si="22"/>
        <v>17883.234009148964</v>
      </c>
      <c r="O19" s="81">
        <f t="shared" si="22"/>
        <v>19892.964508386551</v>
      </c>
      <c r="P19" s="81">
        <f t="shared" si="22"/>
        <v>21985.217466021004</v>
      </c>
      <c r="Q19" s="81">
        <f t="shared" si="22"/>
        <v>23903.116010519254</v>
      </c>
      <c r="R19" s="81">
        <f t="shared" si="22"/>
        <v>25661.189676309314</v>
      </c>
      <c r="S19" s="81">
        <f t="shared" si="22"/>
        <v>27272.757203283541</v>
      </c>
      <c r="T19" s="81">
        <f t="shared" si="22"/>
        <v>28750.027436343244</v>
      </c>
      <c r="U19" s="81">
        <f t="shared" si="22"/>
        <v>30104.191816647974</v>
      </c>
      <c r="V19" s="81">
        <f t="shared" si="22"/>
        <v>31345.509165260639</v>
      </c>
      <c r="W19" s="81">
        <f t="shared" si="22"/>
        <v>32483.383401488918</v>
      </c>
      <c r="X19" s="81">
        <f t="shared" si="22"/>
        <v>33526.434784698176</v>
      </c>
      <c r="Y19" s="81">
        <f t="shared" si="22"/>
        <v>34482.565219306656</v>
      </c>
      <c r="Z19" s="81">
        <f t="shared" si="22"/>
        <v>35359.018117697771</v>
      </c>
      <c r="AA19" s="81">
        <f t="shared" si="22"/>
        <v>36162.433274556286</v>
      </c>
      <c r="AB19" s="81">
        <f t="shared" si="22"/>
        <v>36898.897168343261</v>
      </c>
      <c r="AC19" s="81">
        <f t="shared" si="22"/>
        <v>37573.989070981326</v>
      </c>
      <c r="AD19" s="81">
        <f t="shared" si="22"/>
        <v>38192.823315066213</v>
      </c>
      <c r="AE19" s="81">
        <f t="shared" si="22"/>
        <v>38760.088038810696</v>
      </c>
      <c r="AF19" s="81">
        <f t="shared" si="22"/>
        <v>39280.080702243133</v>
      </c>
      <c r="AG19" s="81">
        <f t="shared" si="22"/>
        <v>39756.740643722871</v>
      </c>
      <c r="AH19" s="81">
        <f t="shared" si="22"/>
        <v>40193.678923412634</v>
      </c>
      <c r="AI19" s="81">
        <f t="shared" si="22"/>
        <v>40594.205679794912</v>
      </c>
      <c r="AJ19" s="81">
        <f t="shared" si="22"/>
        <v>40961.355206478671</v>
      </c>
      <c r="AK19" s="81">
        <f t="shared" si="22"/>
        <v>41297.908939272114</v>
      </c>
      <c r="AL19" s="81">
        <f t="shared" si="22"/>
        <v>41606.416527666101</v>
      </c>
      <c r="AM19" s="81">
        <f t="shared" si="22"/>
        <v>41889.215150360586</v>
      </c>
      <c r="AN19" s="81"/>
      <c r="AO19" s="75">
        <f t="shared" ref="AO19" si="23">SUM(D19:O19)</f>
        <v>118677.39040774797</v>
      </c>
      <c r="AP19" s="75">
        <f t="shared" ref="AP19" si="24">SUM(P19:AA19)</f>
        <v>361035.84357213281</v>
      </c>
      <c r="AQ19" s="75">
        <f t="shared" ref="AQ19" si="25">SUM(AB19:AM19)</f>
        <v>477005.39936615253</v>
      </c>
      <c r="AR19" s="82"/>
    </row>
    <row r="20" spans="1:44" s="69" customFormat="1" outlineLevel="1">
      <c r="A20" s="70" t="s">
        <v>112</v>
      </c>
      <c r="B20" s="71" t="s">
        <v>78</v>
      </c>
      <c r="C20" s="72"/>
      <c r="D20" s="73">
        <f>D17-D19</f>
        <v>22500</v>
      </c>
      <c r="E20" s="73">
        <f>D20+E17-E19</f>
        <v>44625</v>
      </c>
      <c r="F20" s="73">
        <f t="shared" ref="F20:AM20" si="26">E20+F17-F19</f>
        <v>66406.25</v>
      </c>
      <c r="G20" s="73">
        <f t="shared" si="26"/>
        <v>87872.395833333328</v>
      </c>
      <c r="H20" s="73">
        <f t="shared" si="26"/>
        <v>109049.69618055555</v>
      </c>
      <c r="I20" s="73">
        <f t="shared" si="26"/>
        <v>129962.2214988426</v>
      </c>
      <c r="J20" s="73">
        <f t="shared" si="26"/>
        <v>149132.03637393905</v>
      </c>
      <c r="K20" s="73">
        <f t="shared" si="26"/>
        <v>169704.3666761108</v>
      </c>
      <c r="L20" s="73">
        <f t="shared" si="26"/>
        <v>191562.33611976824</v>
      </c>
      <c r="M20" s="73">
        <f t="shared" si="26"/>
        <v>214598.80810978755</v>
      </c>
      <c r="N20" s="73">
        <f t="shared" si="26"/>
        <v>238715.57410063859</v>
      </c>
      <c r="O20" s="73">
        <f t="shared" si="26"/>
        <v>263822.60959225206</v>
      </c>
      <c r="P20" s="73">
        <f t="shared" si="26"/>
        <v>286837.39212623105</v>
      </c>
      <c r="Q20" s="73">
        <f t="shared" si="26"/>
        <v>307934.27611571178</v>
      </c>
      <c r="R20" s="73">
        <f t="shared" si="26"/>
        <v>327273.08643940248</v>
      </c>
      <c r="S20" s="73">
        <f t="shared" si="26"/>
        <v>345000.32923611894</v>
      </c>
      <c r="T20" s="73">
        <f t="shared" si="26"/>
        <v>361250.30179977568</v>
      </c>
      <c r="U20" s="73">
        <f t="shared" si="26"/>
        <v>376146.10998312768</v>
      </c>
      <c r="V20" s="73">
        <f t="shared" si="26"/>
        <v>389800.60081786703</v>
      </c>
      <c r="W20" s="73">
        <f t="shared" si="26"/>
        <v>402317.21741637809</v>
      </c>
      <c r="X20" s="73">
        <f t="shared" si="26"/>
        <v>413790.7826316799</v>
      </c>
      <c r="Y20" s="73">
        <f t="shared" si="26"/>
        <v>424308.21741237323</v>
      </c>
      <c r="Z20" s="73">
        <f t="shared" si="26"/>
        <v>433949.19929467543</v>
      </c>
      <c r="AA20" s="73">
        <f t="shared" si="26"/>
        <v>442786.76602011913</v>
      </c>
      <c r="AB20" s="73">
        <f t="shared" si="26"/>
        <v>450887.86885177589</v>
      </c>
      <c r="AC20" s="73">
        <f t="shared" si="26"/>
        <v>458313.87978079455</v>
      </c>
      <c r="AD20" s="73">
        <f t="shared" si="26"/>
        <v>465121.05646572832</v>
      </c>
      <c r="AE20" s="73">
        <f t="shared" si="26"/>
        <v>471360.96842691762</v>
      </c>
      <c r="AF20" s="73">
        <f t="shared" si="26"/>
        <v>477080.88772467448</v>
      </c>
      <c r="AG20" s="73">
        <f t="shared" si="26"/>
        <v>482324.1470809516</v>
      </c>
      <c r="AH20" s="73">
        <f t="shared" si="26"/>
        <v>487130.46815753897</v>
      </c>
      <c r="AI20" s="73">
        <f t="shared" si="26"/>
        <v>491536.26247774402</v>
      </c>
      <c r="AJ20" s="73">
        <f t="shared" si="26"/>
        <v>495574.90727126534</v>
      </c>
      <c r="AK20" s="73">
        <f t="shared" si="26"/>
        <v>499276.99833199318</v>
      </c>
      <c r="AL20" s="73">
        <f t="shared" si="26"/>
        <v>502670.58180432703</v>
      </c>
      <c r="AM20" s="73">
        <f t="shared" si="26"/>
        <v>505781.36665396637</v>
      </c>
      <c r="AN20" s="74"/>
      <c r="AO20" s="75">
        <f>O20</f>
        <v>263822.60959225206</v>
      </c>
      <c r="AP20" s="75">
        <f>AA20</f>
        <v>442786.76602011913</v>
      </c>
      <c r="AQ20" s="75">
        <f>AM20</f>
        <v>505781.36665396637</v>
      </c>
      <c r="AR20" s="76"/>
    </row>
    <row r="21" spans="1:44" s="69" customFormat="1" outlineLevel="1">
      <c r="A21" s="70" t="s">
        <v>120</v>
      </c>
      <c r="B21" s="71" t="s">
        <v>79</v>
      </c>
      <c r="C21" s="72"/>
      <c r="D21" s="92">
        <v>0.04</v>
      </c>
      <c r="E21" s="92">
        <v>0.04</v>
      </c>
      <c r="F21" s="92">
        <v>0.04</v>
      </c>
      <c r="G21" s="92">
        <v>0.04</v>
      </c>
      <c r="H21" s="92">
        <v>0.04</v>
      </c>
      <c r="I21" s="92">
        <v>0.04</v>
      </c>
      <c r="J21" s="92">
        <v>0.04</v>
      </c>
      <c r="K21" s="92">
        <v>0.04</v>
      </c>
      <c r="L21" s="92">
        <v>0.04</v>
      </c>
      <c r="M21" s="92">
        <v>0.04</v>
      </c>
      <c r="N21" s="92">
        <v>0.04</v>
      </c>
      <c r="O21" s="92">
        <v>0.04</v>
      </c>
      <c r="P21" s="92">
        <v>0.04</v>
      </c>
      <c r="Q21" s="92">
        <v>0.04</v>
      </c>
      <c r="R21" s="92">
        <v>0.04</v>
      </c>
      <c r="S21" s="92">
        <v>0.04</v>
      </c>
      <c r="T21" s="92">
        <v>0.04</v>
      </c>
      <c r="U21" s="92">
        <v>0.04</v>
      </c>
      <c r="V21" s="92">
        <v>0.04</v>
      </c>
      <c r="W21" s="92">
        <v>0.04</v>
      </c>
      <c r="X21" s="92">
        <v>0.04</v>
      </c>
      <c r="Y21" s="92">
        <v>0.04</v>
      </c>
      <c r="Z21" s="92">
        <v>0.04</v>
      </c>
      <c r="AA21" s="92">
        <v>0.04</v>
      </c>
      <c r="AB21" s="92">
        <v>0.04</v>
      </c>
      <c r="AC21" s="92">
        <v>0.04</v>
      </c>
      <c r="AD21" s="92">
        <v>0.04</v>
      </c>
      <c r="AE21" s="92">
        <v>0.04</v>
      </c>
      <c r="AF21" s="92">
        <v>0.04</v>
      </c>
      <c r="AG21" s="92">
        <v>0.04</v>
      </c>
      <c r="AH21" s="92">
        <v>0.04</v>
      </c>
      <c r="AI21" s="92">
        <v>0.04</v>
      </c>
      <c r="AJ21" s="92">
        <v>0.04</v>
      </c>
      <c r="AK21" s="92">
        <v>0.04</v>
      </c>
      <c r="AL21" s="92">
        <v>0.04</v>
      </c>
      <c r="AM21" s="92">
        <v>0.04</v>
      </c>
      <c r="AN21" s="74"/>
      <c r="AO21" s="96">
        <f>O21</f>
        <v>0.04</v>
      </c>
      <c r="AP21" s="96">
        <f>AA21</f>
        <v>0.04</v>
      </c>
      <c r="AQ21" s="96">
        <f>AM21</f>
        <v>0.04</v>
      </c>
      <c r="AR21" s="76"/>
    </row>
    <row r="22" spans="1:44" s="69" customFormat="1" outlineLevel="1">
      <c r="A22" s="70" t="s">
        <v>121</v>
      </c>
      <c r="B22" s="71" t="s">
        <v>78</v>
      </c>
      <c r="C22" s="72"/>
      <c r="D22" s="73">
        <f>D20*D21</f>
        <v>900</v>
      </c>
      <c r="E22" s="73">
        <f t="shared" ref="E22" si="27">E20*E21</f>
        <v>1785</v>
      </c>
      <c r="F22" s="73">
        <f t="shared" ref="F22:AM22" si="28">F20*F21</f>
        <v>2656.25</v>
      </c>
      <c r="G22" s="73">
        <f t="shared" si="28"/>
        <v>3514.895833333333</v>
      </c>
      <c r="H22" s="73">
        <f t="shared" si="28"/>
        <v>4361.9878472222217</v>
      </c>
      <c r="I22" s="73">
        <f t="shared" si="28"/>
        <v>5198.4888599537044</v>
      </c>
      <c r="J22" s="73">
        <f t="shared" si="28"/>
        <v>5965.2814549575623</v>
      </c>
      <c r="K22" s="73">
        <f t="shared" si="28"/>
        <v>6788.1746670444327</v>
      </c>
      <c r="L22" s="73">
        <f t="shared" si="28"/>
        <v>7662.4934447907299</v>
      </c>
      <c r="M22" s="73">
        <f t="shared" si="28"/>
        <v>8583.9523243915028</v>
      </c>
      <c r="N22" s="73">
        <f t="shared" si="28"/>
        <v>9548.6229640255442</v>
      </c>
      <c r="O22" s="73">
        <f t="shared" si="28"/>
        <v>10552.904383690082</v>
      </c>
      <c r="P22" s="73">
        <f t="shared" si="28"/>
        <v>11473.495685049242</v>
      </c>
      <c r="Q22" s="73">
        <f t="shared" si="28"/>
        <v>12317.371044628471</v>
      </c>
      <c r="R22" s="73">
        <f t="shared" si="28"/>
        <v>13090.9234575761</v>
      </c>
      <c r="S22" s="73">
        <f t="shared" si="28"/>
        <v>13800.013169444757</v>
      </c>
      <c r="T22" s="73">
        <f t="shared" si="28"/>
        <v>14450.012071991028</v>
      </c>
      <c r="U22" s="73">
        <f t="shared" si="28"/>
        <v>15045.844399325108</v>
      </c>
      <c r="V22" s="73">
        <f t="shared" si="28"/>
        <v>15592.024032714682</v>
      </c>
      <c r="W22" s="73">
        <f t="shared" si="28"/>
        <v>16092.688696655125</v>
      </c>
      <c r="X22" s="73">
        <f t="shared" si="28"/>
        <v>16551.631305267198</v>
      </c>
      <c r="Y22" s="73">
        <f t="shared" si="28"/>
        <v>16972.328696494929</v>
      </c>
      <c r="Z22" s="73">
        <f t="shared" si="28"/>
        <v>17357.967971787017</v>
      </c>
      <c r="AA22" s="73">
        <f t="shared" si="28"/>
        <v>17711.470640804764</v>
      </c>
      <c r="AB22" s="73">
        <f t="shared" si="28"/>
        <v>18035.514754071035</v>
      </c>
      <c r="AC22" s="73">
        <f t="shared" si="28"/>
        <v>18332.555191231782</v>
      </c>
      <c r="AD22" s="73">
        <f t="shared" si="28"/>
        <v>18604.842258629134</v>
      </c>
      <c r="AE22" s="73">
        <f t="shared" si="28"/>
        <v>18854.438737076704</v>
      </c>
      <c r="AF22" s="73">
        <f t="shared" si="28"/>
        <v>19083.235508986978</v>
      </c>
      <c r="AG22" s="73">
        <f t="shared" si="28"/>
        <v>19292.965883238063</v>
      </c>
      <c r="AH22" s="73">
        <f t="shared" si="28"/>
        <v>19485.218726301558</v>
      </c>
      <c r="AI22" s="73">
        <f t="shared" si="28"/>
        <v>19661.45049910976</v>
      </c>
      <c r="AJ22" s="73">
        <f t="shared" si="28"/>
        <v>19822.996290850613</v>
      </c>
      <c r="AK22" s="73">
        <f t="shared" si="28"/>
        <v>19971.079933279729</v>
      </c>
      <c r="AL22" s="73">
        <f t="shared" si="28"/>
        <v>20106.823272173082</v>
      </c>
      <c r="AM22" s="73">
        <f t="shared" si="28"/>
        <v>20231.254666158657</v>
      </c>
      <c r="AN22" s="74"/>
      <c r="AO22" s="75">
        <f t="shared" ref="AO22" si="29">SUM(D22:O22)</f>
        <v>67518.051779409114</v>
      </c>
      <c r="AP22" s="75">
        <f t="shared" ref="AP22" si="30">SUM(P22:AA22)</f>
        <v>180455.77117173842</v>
      </c>
      <c r="AQ22" s="75">
        <f t="shared" ref="AQ22" si="31">SUM(AB22:AM22)</f>
        <v>231482.37572110712</v>
      </c>
      <c r="AR22" s="76"/>
    </row>
    <row r="23" spans="1:44" s="69" customFormat="1" outlineLevel="1">
      <c r="A23" s="70" t="s">
        <v>99</v>
      </c>
      <c r="B23" s="71" t="s">
        <v>79</v>
      </c>
      <c r="C23" s="72"/>
      <c r="D23" s="92">
        <v>0</v>
      </c>
      <c r="E23" s="92">
        <v>0</v>
      </c>
      <c r="F23" s="92">
        <v>0</v>
      </c>
      <c r="G23" s="92">
        <v>0</v>
      </c>
      <c r="H23" s="92">
        <v>0</v>
      </c>
      <c r="I23" s="92">
        <v>0</v>
      </c>
      <c r="J23" s="92">
        <v>0</v>
      </c>
      <c r="K23" s="92">
        <v>0</v>
      </c>
      <c r="L23" s="92">
        <v>0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0</v>
      </c>
      <c r="Z23" s="92">
        <v>0</v>
      </c>
      <c r="AA23" s="92">
        <v>0</v>
      </c>
      <c r="AB23" s="92">
        <v>0</v>
      </c>
      <c r="AC23" s="92">
        <v>0</v>
      </c>
      <c r="AD23" s="92">
        <v>0</v>
      </c>
      <c r="AE23" s="92">
        <v>0</v>
      </c>
      <c r="AF23" s="92">
        <v>0</v>
      </c>
      <c r="AG23" s="92">
        <v>0</v>
      </c>
      <c r="AH23" s="92">
        <v>0</v>
      </c>
      <c r="AI23" s="92">
        <v>0</v>
      </c>
      <c r="AJ23" s="92">
        <v>0</v>
      </c>
      <c r="AK23" s="92">
        <v>0</v>
      </c>
      <c r="AL23" s="92">
        <v>0</v>
      </c>
      <c r="AM23" s="92">
        <v>0</v>
      </c>
      <c r="AN23" s="74"/>
      <c r="AO23" s="93">
        <f>AVERAGE(D23:O23)</f>
        <v>0</v>
      </c>
      <c r="AP23" s="93">
        <f>AVERAGE(P23:AA23)</f>
        <v>0</v>
      </c>
      <c r="AQ23" s="93">
        <f>AVERAGE(AB23:AM23)</f>
        <v>0</v>
      </c>
      <c r="AR23" s="76"/>
    </row>
    <row r="24" spans="1:44" outlineLevel="1">
      <c r="A24" s="70" t="s">
        <v>91</v>
      </c>
      <c r="B24" s="71" t="s">
        <v>79</v>
      </c>
      <c r="C24" s="72"/>
      <c r="D24" s="92">
        <v>0.24</v>
      </c>
      <c r="E24" s="92">
        <v>0.24</v>
      </c>
      <c r="F24" s="92">
        <v>0.24</v>
      </c>
      <c r="G24" s="92">
        <v>0.24</v>
      </c>
      <c r="H24" s="92">
        <v>0.24</v>
      </c>
      <c r="I24" s="92">
        <v>0.24</v>
      </c>
      <c r="J24" s="92">
        <v>0.24</v>
      </c>
      <c r="K24" s="92">
        <v>0.24</v>
      </c>
      <c r="L24" s="92">
        <v>0.24</v>
      </c>
      <c r="M24" s="92">
        <v>0.24</v>
      </c>
      <c r="N24" s="92">
        <v>0.24</v>
      </c>
      <c r="O24" s="92">
        <v>0.24</v>
      </c>
      <c r="P24" s="92">
        <v>0.24</v>
      </c>
      <c r="Q24" s="92">
        <v>0.24</v>
      </c>
      <c r="R24" s="92">
        <v>0.24</v>
      </c>
      <c r="S24" s="92">
        <v>0.24</v>
      </c>
      <c r="T24" s="92">
        <v>0.24</v>
      </c>
      <c r="U24" s="92">
        <v>0.24</v>
      </c>
      <c r="V24" s="92">
        <v>0.24</v>
      </c>
      <c r="W24" s="92">
        <v>0.24</v>
      </c>
      <c r="X24" s="92">
        <v>0.24</v>
      </c>
      <c r="Y24" s="92">
        <v>0.24</v>
      </c>
      <c r="Z24" s="92">
        <v>0.24</v>
      </c>
      <c r="AA24" s="92">
        <v>0.24</v>
      </c>
      <c r="AB24" s="92">
        <v>0.24</v>
      </c>
      <c r="AC24" s="92">
        <v>0.24</v>
      </c>
      <c r="AD24" s="92">
        <v>0.24</v>
      </c>
      <c r="AE24" s="92">
        <v>0.24</v>
      </c>
      <c r="AF24" s="92">
        <v>0.24</v>
      </c>
      <c r="AG24" s="92">
        <v>0.24</v>
      </c>
      <c r="AH24" s="92">
        <v>0.24</v>
      </c>
      <c r="AI24" s="92">
        <v>0.24</v>
      </c>
      <c r="AJ24" s="92">
        <v>0.24</v>
      </c>
      <c r="AK24" s="92">
        <v>0.24</v>
      </c>
      <c r="AL24" s="92">
        <v>0.24</v>
      </c>
      <c r="AM24" s="92">
        <v>0.24</v>
      </c>
      <c r="AN24" s="81"/>
      <c r="AO24" s="93">
        <f>AVERAGE(D24:O24)</f>
        <v>0.24000000000000007</v>
      </c>
      <c r="AP24" s="93">
        <f>AVERAGE(P24:AA24)</f>
        <v>0.24000000000000007</v>
      </c>
      <c r="AQ24" s="93">
        <f>AVERAGE(AB24:AM24)</f>
        <v>0.24000000000000007</v>
      </c>
      <c r="AR24" s="82"/>
    </row>
    <row r="25" spans="1:44" outlineLevel="1">
      <c r="A25" s="70" t="s">
        <v>80</v>
      </c>
      <c r="B25" s="71" t="s">
        <v>79</v>
      </c>
      <c r="C25" s="72"/>
      <c r="D25" s="92">
        <v>0.15</v>
      </c>
      <c r="E25" s="92">
        <v>0.15</v>
      </c>
      <c r="F25" s="92">
        <v>0.15</v>
      </c>
      <c r="G25" s="92">
        <v>0.15</v>
      </c>
      <c r="H25" s="92">
        <v>0.15</v>
      </c>
      <c r="I25" s="92">
        <v>0.15</v>
      </c>
      <c r="J25" s="92">
        <v>0.15</v>
      </c>
      <c r="K25" s="92">
        <v>0.15</v>
      </c>
      <c r="L25" s="92">
        <v>0.15</v>
      </c>
      <c r="M25" s="92">
        <v>0.15</v>
      </c>
      <c r="N25" s="92">
        <v>0.15</v>
      </c>
      <c r="O25" s="92">
        <v>0.15</v>
      </c>
      <c r="P25" s="92">
        <v>0.15</v>
      </c>
      <c r="Q25" s="92">
        <v>0.15</v>
      </c>
      <c r="R25" s="92">
        <v>0.15</v>
      </c>
      <c r="S25" s="92">
        <v>0.15</v>
      </c>
      <c r="T25" s="92">
        <v>0.15</v>
      </c>
      <c r="U25" s="92">
        <v>0.15</v>
      </c>
      <c r="V25" s="92">
        <v>0.15</v>
      </c>
      <c r="W25" s="92">
        <v>0.15</v>
      </c>
      <c r="X25" s="92">
        <v>0.15</v>
      </c>
      <c r="Y25" s="92">
        <v>0.15</v>
      </c>
      <c r="Z25" s="92">
        <v>0.15</v>
      </c>
      <c r="AA25" s="92">
        <v>0.15</v>
      </c>
      <c r="AB25" s="92">
        <v>0.15</v>
      </c>
      <c r="AC25" s="92">
        <v>0.15</v>
      </c>
      <c r="AD25" s="92">
        <v>0.15</v>
      </c>
      <c r="AE25" s="92">
        <v>0.15</v>
      </c>
      <c r="AF25" s="92">
        <v>0.15</v>
      </c>
      <c r="AG25" s="92">
        <v>0.15</v>
      </c>
      <c r="AH25" s="92">
        <v>0.15</v>
      </c>
      <c r="AI25" s="92">
        <v>0.15</v>
      </c>
      <c r="AJ25" s="92">
        <v>0.15</v>
      </c>
      <c r="AK25" s="92">
        <v>0.15</v>
      </c>
      <c r="AL25" s="92">
        <v>0.15</v>
      </c>
      <c r="AM25" s="92">
        <v>0.15</v>
      </c>
      <c r="AN25" s="81"/>
      <c r="AO25" s="93">
        <f t="shared" ref="AO25:AO26" si="32">AVERAGE(D25:O25)</f>
        <v>0.14999999999999997</v>
      </c>
      <c r="AP25" s="93">
        <f t="shared" ref="AP25:AP26" si="33">AVERAGE(P25:AA25)</f>
        <v>0.14999999999999997</v>
      </c>
      <c r="AQ25" s="93">
        <f t="shared" ref="AQ25:AQ26" si="34">AVERAGE(AB25:AM25)</f>
        <v>0.14999999999999997</v>
      </c>
      <c r="AR25" s="82"/>
    </row>
    <row r="26" spans="1:44" outlineLevel="1">
      <c r="A26" s="70" t="s">
        <v>81</v>
      </c>
      <c r="B26" s="72" t="s">
        <v>79</v>
      </c>
      <c r="C26" s="72"/>
      <c r="D26" s="92">
        <v>0.02</v>
      </c>
      <c r="E26" s="92">
        <v>0.02</v>
      </c>
      <c r="F26" s="92">
        <v>0.02</v>
      </c>
      <c r="G26" s="92">
        <v>0.02</v>
      </c>
      <c r="H26" s="92">
        <v>0.02</v>
      </c>
      <c r="I26" s="92">
        <v>0.02</v>
      </c>
      <c r="J26" s="92">
        <v>0.02</v>
      </c>
      <c r="K26" s="92">
        <v>0.02</v>
      </c>
      <c r="L26" s="92">
        <v>0.02</v>
      </c>
      <c r="M26" s="92">
        <v>0.02</v>
      </c>
      <c r="N26" s="92">
        <v>0.02</v>
      </c>
      <c r="O26" s="92">
        <v>0.02</v>
      </c>
      <c r="P26" s="92">
        <v>0.02</v>
      </c>
      <c r="Q26" s="92">
        <v>0.02</v>
      </c>
      <c r="R26" s="92">
        <v>0.02</v>
      </c>
      <c r="S26" s="92">
        <v>0.02</v>
      </c>
      <c r="T26" s="92">
        <v>0.02</v>
      </c>
      <c r="U26" s="92">
        <v>0.02</v>
      </c>
      <c r="V26" s="92">
        <v>0.02</v>
      </c>
      <c r="W26" s="92">
        <v>0.02</v>
      </c>
      <c r="X26" s="92">
        <v>0.02</v>
      </c>
      <c r="Y26" s="92">
        <v>0.02</v>
      </c>
      <c r="Z26" s="92">
        <v>0.02</v>
      </c>
      <c r="AA26" s="92">
        <v>0.02</v>
      </c>
      <c r="AB26" s="92">
        <v>0.02</v>
      </c>
      <c r="AC26" s="92">
        <v>0.02</v>
      </c>
      <c r="AD26" s="92">
        <v>0.02</v>
      </c>
      <c r="AE26" s="92">
        <v>0.02</v>
      </c>
      <c r="AF26" s="92">
        <v>0.02</v>
      </c>
      <c r="AG26" s="92">
        <v>0.02</v>
      </c>
      <c r="AH26" s="92">
        <v>0.02</v>
      </c>
      <c r="AI26" s="92">
        <v>0.02</v>
      </c>
      <c r="AJ26" s="92">
        <v>0.02</v>
      </c>
      <c r="AK26" s="92">
        <v>0.02</v>
      </c>
      <c r="AL26" s="92">
        <v>0.02</v>
      </c>
      <c r="AM26" s="92">
        <v>0.02</v>
      </c>
      <c r="AN26" s="81"/>
      <c r="AO26" s="93">
        <f t="shared" si="32"/>
        <v>1.9999999999999997E-2</v>
      </c>
      <c r="AP26" s="93">
        <f t="shared" si="33"/>
        <v>1.9999999999999997E-2</v>
      </c>
      <c r="AQ26" s="93">
        <f t="shared" si="34"/>
        <v>1.9999999999999997E-2</v>
      </c>
      <c r="AR26" s="82"/>
    </row>
    <row r="27" spans="1:44" outlineLevel="1">
      <c r="A27" s="70" t="s">
        <v>82</v>
      </c>
      <c r="B27" s="71" t="s">
        <v>78</v>
      </c>
      <c r="C27" s="72"/>
      <c r="D27" s="73">
        <f>-D20*D26</f>
        <v>-450</v>
      </c>
      <c r="E27" s="94">
        <f>-E20*E26</f>
        <v>-892.5</v>
      </c>
      <c r="F27" s="94">
        <f t="shared" ref="F27:AM27" si="35">-F20*F26</f>
        <v>-1328.125</v>
      </c>
      <c r="G27" s="94">
        <f t="shared" si="35"/>
        <v>-1757.4479166666665</v>
      </c>
      <c r="H27" s="94">
        <f t="shared" si="35"/>
        <v>-2180.9939236111109</v>
      </c>
      <c r="I27" s="94">
        <f t="shared" si="35"/>
        <v>-2599.2444299768522</v>
      </c>
      <c r="J27" s="94">
        <f t="shared" si="35"/>
        <v>-2982.6407274787812</v>
      </c>
      <c r="K27" s="94">
        <f t="shared" si="35"/>
        <v>-3394.0873335222163</v>
      </c>
      <c r="L27" s="94">
        <f t="shared" si="35"/>
        <v>-3831.2467223953649</v>
      </c>
      <c r="M27" s="94">
        <f t="shared" si="35"/>
        <v>-4291.9761621957514</v>
      </c>
      <c r="N27" s="94">
        <f t="shared" si="35"/>
        <v>-4774.3114820127721</v>
      </c>
      <c r="O27" s="94">
        <f t="shared" si="35"/>
        <v>-5276.4521918450409</v>
      </c>
      <c r="P27" s="94">
        <f t="shared" si="35"/>
        <v>-5736.7478425246209</v>
      </c>
      <c r="Q27" s="94">
        <f t="shared" si="35"/>
        <v>-6158.6855223142356</v>
      </c>
      <c r="R27" s="94">
        <f t="shared" si="35"/>
        <v>-6545.4617287880501</v>
      </c>
      <c r="S27" s="94">
        <f t="shared" si="35"/>
        <v>-6900.0065847223786</v>
      </c>
      <c r="T27" s="94">
        <f t="shared" si="35"/>
        <v>-7225.0060359955141</v>
      </c>
      <c r="U27" s="94">
        <f t="shared" si="35"/>
        <v>-7522.9221996625538</v>
      </c>
      <c r="V27" s="94">
        <f t="shared" si="35"/>
        <v>-7796.0120163573411</v>
      </c>
      <c r="W27" s="94">
        <f t="shared" si="35"/>
        <v>-8046.3443483275623</v>
      </c>
      <c r="X27" s="94">
        <f t="shared" si="35"/>
        <v>-8275.8156526335988</v>
      </c>
      <c r="Y27" s="94">
        <f t="shared" si="35"/>
        <v>-8486.1643482474647</v>
      </c>
      <c r="Z27" s="94">
        <f t="shared" si="35"/>
        <v>-8678.9839858935084</v>
      </c>
      <c r="AA27" s="94">
        <f t="shared" si="35"/>
        <v>-8855.7353204023821</v>
      </c>
      <c r="AB27" s="94">
        <f t="shared" si="35"/>
        <v>-9017.7573770355175</v>
      </c>
      <c r="AC27" s="94">
        <f t="shared" si="35"/>
        <v>-9166.2775956158912</v>
      </c>
      <c r="AD27" s="94">
        <f t="shared" si="35"/>
        <v>-9302.4211293145672</v>
      </c>
      <c r="AE27" s="94">
        <f t="shared" si="35"/>
        <v>-9427.2193685383518</v>
      </c>
      <c r="AF27" s="94">
        <f t="shared" si="35"/>
        <v>-9541.617754493489</v>
      </c>
      <c r="AG27" s="94">
        <f t="shared" si="35"/>
        <v>-9646.4829416190314</v>
      </c>
      <c r="AH27" s="94">
        <f t="shared" si="35"/>
        <v>-9742.6093631507792</v>
      </c>
      <c r="AI27" s="94">
        <f t="shared" si="35"/>
        <v>-9830.7252495548801</v>
      </c>
      <c r="AJ27" s="94">
        <f t="shared" si="35"/>
        <v>-9911.4981454253066</v>
      </c>
      <c r="AK27" s="94">
        <f t="shared" si="35"/>
        <v>-9985.5399666398644</v>
      </c>
      <c r="AL27" s="94">
        <f t="shared" si="35"/>
        <v>-10053.411636086541</v>
      </c>
      <c r="AM27" s="94">
        <f t="shared" si="35"/>
        <v>-10115.627333079328</v>
      </c>
      <c r="AN27" s="81"/>
      <c r="AO27" s="75">
        <f>O27</f>
        <v>-5276.4521918450409</v>
      </c>
      <c r="AP27" s="75">
        <f>AA27</f>
        <v>-8855.7353204023821</v>
      </c>
      <c r="AQ27" s="75">
        <f>AM27</f>
        <v>-10115.627333079328</v>
      </c>
      <c r="AR27" s="82"/>
    </row>
    <row r="28" spans="1:44" outlineLevel="1">
      <c r="A28" s="70" t="s">
        <v>83</v>
      </c>
      <c r="B28" s="71" t="s">
        <v>78</v>
      </c>
      <c r="C28" s="72"/>
      <c r="D28" s="73">
        <f>(C20+D20)/2*D24/12*(1-2/102)</f>
        <v>220.58823529411762</v>
      </c>
      <c r="E28" s="73">
        <f>(D20+E20)/2*E24/12*(1-2/102)</f>
        <v>658.08823529411757</v>
      </c>
      <c r="F28" s="73">
        <f t="shared" ref="F28:AM28" si="36">(E20+F20)/2*F24/12*(1-2/102)</f>
        <v>1088.5416666666665</v>
      </c>
      <c r="G28" s="73">
        <f t="shared" si="36"/>
        <v>1512.5357434640518</v>
      </c>
      <c r="H28" s="73">
        <f t="shared" si="36"/>
        <v>1930.6087452342044</v>
      </c>
      <c r="I28" s="73">
        <f t="shared" si="36"/>
        <v>2343.25409489606</v>
      </c>
      <c r="J28" s="73">
        <f t="shared" si="36"/>
        <v>2736.2182144390358</v>
      </c>
      <c r="K28" s="73">
        <f t="shared" si="36"/>
        <v>3125.8470887259791</v>
      </c>
      <c r="L28" s="73">
        <f t="shared" si="36"/>
        <v>3541.8304195674414</v>
      </c>
      <c r="M28" s="73">
        <f t="shared" si="36"/>
        <v>3981.9720022505467</v>
      </c>
      <c r="N28" s="73">
        <f t="shared" si="36"/>
        <v>4444.2586491218253</v>
      </c>
      <c r="O28" s="73">
        <f t="shared" si="36"/>
        <v>4926.8449381655946</v>
      </c>
      <c r="P28" s="73">
        <f t="shared" si="36"/>
        <v>5398.6274678282662</v>
      </c>
      <c r="Q28" s="73">
        <f t="shared" si="36"/>
        <v>5831.0947866857132</v>
      </c>
      <c r="R28" s="73">
        <f t="shared" si="36"/>
        <v>6227.5231623050422</v>
      </c>
      <c r="S28" s="73">
        <f t="shared" si="36"/>
        <v>6590.915839956092</v>
      </c>
      <c r="T28" s="73">
        <f t="shared" si="36"/>
        <v>6924.0257944695541</v>
      </c>
      <c r="U28" s="73">
        <f t="shared" si="36"/>
        <v>7229.376586106895</v>
      </c>
      <c r="V28" s="73">
        <f t="shared" si="36"/>
        <v>7509.281478441123</v>
      </c>
      <c r="W28" s="73">
        <f t="shared" si="36"/>
        <v>7765.8609630808332</v>
      </c>
      <c r="X28" s="73">
        <f t="shared" si="36"/>
        <v>8001.0588240005682</v>
      </c>
      <c r="Y28" s="73">
        <f t="shared" si="36"/>
        <v>8216.6568631769915</v>
      </c>
      <c r="Z28" s="73">
        <f t="shared" si="36"/>
        <v>8414.2883990887112</v>
      </c>
      <c r="AA28" s="73">
        <f t="shared" si="36"/>
        <v>8595.4506403411233</v>
      </c>
      <c r="AB28" s="73">
        <f t="shared" si="36"/>
        <v>8761.516028155831</v>
      </c>
      <c r="AC28" s="73">
        <f t="shared" si="36"/>
        <v>8913.7426336526496</v>
      </c>
      <c r="AD28" s="73">
        <f t="shared" si="36"/>
        <v>9053.283688691401</v>
      </c>
      <c r="AE28" s="73">
        <f t="shared" si="36"/>
        <v>9181.1963224769206</v>
      </c>
      <c r="AF28" s="73">
        <f t="shared" si="36"/>
        <v>9298.4495701136475</v>
      </c>
      <c r="AG28" s="73">
        <f t="shared" si="36"/>
        <v>9405.9317137806465</v>
      </c>
      <c r="AH28" s="73">
        <f t="shared" si="36"/>
        <v>9504.457012142062</v>
      </c>
      <c r="AI28" s="73">
        <f t="shared" si="36"/>
        <v>9594.7718689733629</v>
      </c>
      <c r="AJ28" s="73">
        <f t="shared" si="36"/>
        <v>9677.5604877353853</v>
      </c>
      <c r="AK28" s="73">
        <f t="shared" si="36"/>
        <v>9753.4500549339064</v>
      </c>
      <c r="AL28" s="73">
        <f t="shared" si="36"/>
        <v>9823.0154915325511</v>
      </c>
      <c r="AM28" s="73">
        <f t="shared" si="36"/>
        <v>9886.7838084146406</v>
      </c>
      <c r="AN28" s="81"/>
      <c r="AO28" s="75">
        <f>SUM(D28:O28)</f>
        <v>30510.588033119639</v>
      </c>
      <c r="AP28" s="75">
        <f>SUM(P28:AA28)</f>
        <v>86704.160805480918</v>
      </c>
      <c r="AQ28" s="75">
        <f>SUM(AB28:AM28)</f>
        <v>112854.15868060302</v>
      </c>
      <c r="AR28" s="82"/>
    </row>
    <row r="29" spans="1:44" outlineLevel="1">
      <c r="A29" s="70" t="s">
        <v>92</v>
      </c>
      <c r="B29" s="71" t="s">
        <v>78</v>
      </c>
      <c r="C29" s="72"/>
      <c r="D29" s="73">
        <f>-(C20+D20)/2*D25/12</f>
        <v>-140.625</v>
      </c>
      <c r="E29" s="73">
        <f>-(D20+E20)/2*E25/12</f>
        <v>-419.53125</v>
      </c>
      <c r="F29" s="73">
        <f t="shared" ref="F29:AM29" si="37">-(E20+F20)/2*F25/12</f>
        <v>-693.9453125</v>
      </c>
      <c r="G29" s="73">
        <f t="shared" si="37"/>
        <v>-964.24153645833314</v>
      </c>
      <c r="H29" s="73">
        <f t="shared" si="37"/>
        <v>-1230.7630750868054</v>
      </c>
      <c r="I29" s="73">
        <f t="shared" si="37"/>
        <v>-1493.8244854962384</v>
      </c>
      <c r="J29" s="73">
        <f t="shared" si="37"/>
        <v>-1744.3391117048852</v>
      </c>
      <c r="K29" s="73">
        <f t="shared" si="37"/>
        <v>-1992.7275190628116</v>
      </c>
      <c r="L29" s="73">
        <f t="shared" si="37"/>
        <v>-2257.9168924742439</v>
      </c>
      <c r="M29" s="73">
        <f t="shared" si="37"/>
        <v>-2538.5071514347237</v>
      </c>
      <c r="N29" s="73">
        <f t="shared" si="37"/>
        <v>-2833.2148888151637</v>
      </c>
      <c r="O29" s="73">
        <f t="shared" si="37"/>
        <v>-3140.8636480805667</v>
      </c>
      <c r="P29" s="73">
        <f t="shared" si="37"/>
        <v>-3441.6250107405194</v>
      </c>
      <c r="Q29" s="73">
        <f t="shared" si="37"/>
        <v>-3717.3229265121422</v>
      </c>
      <c r="R29" s="73">
        <f t="shared" si="37"/>
        <v>-3970.0460159694644</v>
      </c>
      <c r="S29" s="73">
        <f t="shared" si="37"/>
        <v>-4201.7088479720087</v>
      </c>
      <c r="T29" s="73">
        <f t="shared" si="37"/>
        <v>-4414.0664439743414</v>
      </c>
      <c r="U29" s="73">
        <f t="shared" si="37"/>
        <v>-4608.7275736431457</v>
      </c>
      <c r="V29" s="73">
        <f t="shared" si="37"/>
        <v>-4787.1669425062164</v>
      </c>
      <c r="W29" s="73">
        <f t="shared" si="37"/>
        <v>-4950.7363639640316</v>
      </c>
      <c r="X29" s="73">
        <f t="shared" si="37"/>
        <v>-5100.6750003003626</v>
      </c>
      <c r="Y29" s="73">
        <f t="shared" si="37"/>
        <v>-5238.1187502753319</v>
      </c>
      <c r="Z29" s="73">
        <f t="shared" si="37"/>
        <v>-5364.1088544190543</v>
      </c>
      <c r="AA29" s="73">
        <f t="shared" si="37"/>
        <v>-5479.5997832174653</v>
      </c>
      <c r="AB29" s="73">
        <f t="shared" si="37"/>
        <v>-5585.4664679493435</v>
      </c>
      <c r="AC29" s="73">
        <f t="shared" si="37"/>
        <v>-5682.5109289535649</v>
      </c>
      <c r="AD29" s="73">
        <f t="shared" si="37"/>
        <v>-5771.4683515407678</v>
      </c>
      <c r="AE29" s="73">
        <f t="shared" si="37"/>
        <v>-5853.0126555790366</v>
      </c>
      <c r="AF29" s="73">
        <f t="shared" si="37"/>
        <v>-5927.7616009474505</v>
      </c>
      <c r="AG29" s="73">
        <f t="shared" si="37"/>
        <v>-5996.2814675351628</v>
      </c>
      <c r="AH29" s="73">
        <f t="shared" si="37"/>
        <v>-6059.0913452405657</v>
      </c>
      <c r="AI29" s="73">
        <f t="shared" si="37"/>
        <v>-6116.6670664705189</v>
      </c>
      <c r="AJ29" s="73">
        <f t="shared" si="37"/>
        <v>-6169.4448109313089</v>
      </c>
      <c r="AK29" s="73">
        <f t="shared" si="37"/>
        <v>-6217.8244100203656</v>
      </c>
      <c r="AL29" s="73">
        <f t="shared" si="37"/>
        <v>-6262.1723758520011</v>
      </c>
      <c r="AM29" s="73">
        <f t="shared" si="37"/>
        <v>-6302.8246778643334</v>
      </c>
      <c r="AN29" s="81"/>
      <c r="AO29" s="75">
        <f>SUM(D29:O29)</f>
        <v>-19450.499871113774</v>
      </c>
      <c r="AP29" s="75">
        <f>SUM(P29:AA29)</f>
        <v>-55273.902513494089</v>
      </c>
      <c r="AQ29" s="75">
        <f>SUM(AB29:AM29)</f>
        <v>-71944.526158884415</v>
      </c>
      <c r="AR29" s="82"/>
    </row>
    <row r="30" spans="1:44" outlineLevel="1">
      <c r="A30" s="70" t="s">
        <v>99</v>
      </c>
      <c r="B30" s="71" t="s">
        <v>78</v>
      </c>
      <c r="C30" s="72"/>
      <c r="D30" s="73">
        <f>-D23*D17</f>
        <v>0</v>
      </c>
      <c r="E30" s="73">
        <f t="shared" ref="E30" si="38">-E23*E17</f>
        <v>0</v>
      </c>
      <c r="F30" s="73">
        <f t="shared" ref="F30:AM30" si="39">-F23*F17</f>
        <v>0</v>
      </c>
      <c r="G30" s="73">
        <f t="shared" si="39"/>
        <v>0</v>
      </c>
      <c r="H30" s="73">
        <f t="shared" si="39"/>
        <v>0</v>
      </c>
      <c r="I30" s="73">
        <f t="shared" si="39"/>
        <v>0</v>
      </c>
      <c r="J30" s="73">
        <f t="shared" si="39"/>
        <v>0</v>
      </c>
      <c r="K30" s="73">
        <f t="shared" si="39"/>
        <v>0</v>
      </c>
      <c r="L30" s="73">
        <f t="shared" si="39"/>
        <v>0</v>
      </c>
      <c r="M30" s="73">
        <f t="shared" si="39"/>
        <v>0</v>
      </c>
      <c r="N30" s="73">
        <f t="shared" si="39"/>
        <v>0</v>
      </c>
      <c r="O30" s="73">
        <f t="shared" si="39"/>
        <v>0</v>
      </c>
      <c r="P30" s="73">
        <f t="shared" si="39"/>
        <v>0</v>
      </c>
      <c r="Q30" s="73">
        <f t="shared" si="39"/>
        <v>0</v>
      </c>
      <c r="R30" s="73">
        <f t="shared" si="39"/>
        <v>0</v>
      </c>
      <c r="S30" s="73">
        <f t="shared" si="39"/>
        <v>0</v>
      </c>
      <c r="T30" s="73">
        <f t="shared" si="39"/>
        <v>0</v>
      </c>
      <c r="U30" s="73">
        <f t="shared" si="39"/>
        <v>0</v>
      </c>
      <c r="V30" s="73">
        <f t="shared" si="39"/>
        <v>0</v>
      </c>
      <c r="W30" s="73">
        <f t="shared" si="39"/>
        <v>0</v>
      </c>
      <c r="X30" s="73">
        <f t="shared" si="39"/>
        <v>0</v>
      </c>
      <c r="Y30" s="73">
        <f t="shared" si="39"/>
        <v>0</v>
      </c>
      <c r="Z30" s="73">
        <f t="shared" si="39"/>
        <v>0</v>
      </c>
      <c r="AA30" s="73">
        <f t="shared" si="39"/>
        <v>0</v>
      </c>
      <c r="AB30" s="73">
        <f t="shared" si="39"/>
        <v>0</v>
      </c>
      <c r="AC30" s="73">
        <f t="shared" si="39"/>
        <v>0</v>
      </c>
      <c r="AD30" s="73">
        <f t="shared" si="39"/>
        <v>0</v>
      </c>
      <c r="AE30" s="73">
        <f t="shared" si="39"/>
        <v>0</v>
      </c>
      <c r="AF30" s="73">
        <f t="shared" si="39"/>
        <v>0</v>
      </c>
      <c r="AG30" s="73">
        <f t="shared" si="39"/>
        <v>0</v>
      </c>
      <c r="AH30" s="73">
        <f t="shared" si="39"/>
        <v>0</v>
      </c>
      <c r="AI30" s="73">
        <f t="shared" si="39"/>
        <v>0</v>
      </c>
      <c r="AJ30" s="73">
        <f t="shared" si="39"/>
        <v>0</v>
      </c>
      <c r="AK30" s="73">
        <f t="shared" si="39"/>
        <v>0</v>
      </c>
      <c r="AL30" s="73">
        <f t="shared" si="39"/>
        <v>0</v>
      </c>
      <c r="AM30" s="73">
        <f t="shared" si="39"/>
        <v>0</v>
      </c>
      <c r="AN30" s="81"/>
      <c r="AO30" s="75">
        <f>SUM(D30:O30)</f>
        <v>0</v>
      </c>
      <c r="AP30" s="75">
        <f>SUM(P30:AA30)</f>
        <v>0</v>
      </c>
      <c r="AQ30" s="75">
        <f>SUM(AB30:AM30)</f>
        <v>0</v>
      </c>
      <c r="AR30" s="82"/>
    </row>
    <row r="31" spans="1:44" outlineLevel="1">
      <c r="A31" s="70" t="s">
        <v>93</v>
      </c>
      <c r="B31" s="71" t="s">
        <v>78</v>
      </c>
      <c r="C31" s="72"/>
      <c r="D31" s="78">
        <f t="shared" ref="D31:E31" si="40">(D27-C27)</f>
        <v>-450</v>
      </c>
      <c r="E31" s="78">
        <f t="shared" si="40"/>
        <v>-442.5</v>
      </c>
      <c r="F31" s="78">
        <f t="shared" ref="F31" si="41">(F27-E27)</f>
        <v>-435.625</v>
      </c>
      <c r="G31" s="78">
        <f t="shared" ref="G31" si="42">(G27-F27)</f>
        <v>-429.32291666666652</v>
      </c>
      <c r="H31" s="78">
        <f t="shared" ref="H31" si="43">(H27-G27)</f>
        <v>-423.54600694444434</v>
      </c>
      <c r="I31" s="78">
        <f t="shared" ref="I31" si="44">(I27-H27)</f>
        <v>-418.25050636574133</v>
      </c>
      <c r="J31" s="78">
        <f t="shared" ref="J31" si="45">(J27-I27)</f>
        <v>-383.39629750192898</v>
      </c>
      <c r="K31" s="78">
        <f t="shared" ref="K31" si="46">(K27-J27)</f>
        <v>-411.44660604343517</v>
      </c>
      <c r="L31" s="78">
        <f t="shared" ref="L31" si="47">(L27-K27)</f>
        <v>-437.1593888731486</v>
      </c>
      <c r="M31" s="78">
        <f t="shared" ref="M31" si="48">(M27-L27)</f>
        <v>-460.72943980038644</v>
      </c>
      <c r="N31" s="78">
        <f t="shared" ref="N31" si="49">(N27-M27)</f>
        <v>-482.33531981702072</v>
      </c>
      <c r="O31" s="78">
        <f t="shared" ref="O31" si="50">(O27-N27)</f>
        <v>-502.14070983226884</v>
      </c>
      <c r="P31" s="78">
        <f t="shared" ref="P31" si="51">(P27-O27)</f>
        <v>-460.29565067957992</v>
      </c>
      <c r="Q31" s="78">
        <f t="shared" ref="Q31" si="52">(Q27-P27)</f>
        <v>-421.93767978961478</v>
      </c>
      <c r="R31" s="78">
        <f t="shared" ref="R31" si="53">(R27-Q27)</f>
        <v>-386.77620647381445</v>
      </c>
      <c r="S31" s="78">
        <f t="shared" ref="S31" si="54">(S27-R27)</f>
        <v>-354.54485593432855</v>
      </c>
      <c r="T31" s="78">
        <f t="shared" ref="T31" si="55">(T27-S27)</f>
        <v>-324.99945127313549</v>
      </c>
      <c r="U31" s="78">
        <f t="shared" ref="U31" si="56">(U27-T27)</f>
        <v>-297.91616366703965</v>
      </c>
      <c r="V31" s="78">
        <f t="shared" ref="V31" si="57">(V27-U27)</f>
        <v>-273.08981669478726</v>
      </c>
      <c r="W31" s="78">
        <f t="shared" ref="W31" si="58">(W27-V27)</f>
        <v>-250.33233197022128</v>
      </c>
      <c r="X31" s="78">
        <f t="shared" ref="X31" si="59">(X27-W27)</f>
        <v>-229.47130430603647</v>
      </c>
      <c r="Y31" s="78">
        <f t="shared" ref="Y31" si="60">(Y27-X27)</f>
        <v>-210.34869561386586</v>
      </c>
      <c r="Z31" s="78">
        <f t="shared" ref="Z31" si="61">(Z27-Y27)</f>
        <v>-192.8196376460437</v>
      </c>
      <c r="AA31" s="78">
        <f t="shared" ref="AA31" si="62">(AA27-Z27)</f>
        <v>-176.7513345088737</v>
      </c>
      <c r="AB31" s="78">
        <f t="shared" ref="AB31" si="63">(AB27-AA27)</f>
        <v>-162.02205663313543</v>
      </c>
      <c r="AC31" s="78">
        <f t="shared" ref="AC31" si="64">(AC27-AB27)</f>
        <v>-148.52021858037369</v>
      </c>
      <c r="AD31" s="78">
        <f t="shared" ref="AD31" si="65">(AD27-AC27)</f>
        <v>-136.14353369867604</v>
      </c>
      <c r="AE31" s="78">
        <f t="shared" ref="AE31" si="66">(AE27-AD27)</f>
        <v>-124.79823922378455</v>
      </c>
      <c r="AF31" s="78">
        <f t="shared" ref="AF31" si="67">(AF27-AE27)</f>
        <v>-114.3983859551372</v>
      </c>
      <c r="AG31" s="78">
        <f t="shared" ref="AG31" si="68">(AG27-AF27)</f>
        <v>-104.86518712554243</v>
      </c>
      <c r="AH31" s="78">
        <f t="shared" ref="AH31" si="69">(AH27-AG27)</f>
        <v>-96.126421531747837</v>
      </c>
      <c r="AI31" s="78">
        <f t="shared" ref="AI31" si="70">(AI27-AH27)</f>
        <v>-88.11588640410082</v>
      </c>
      <c r="AJ31" s="78">
        <f t="shared" ref="AJ31" si="71">(AJ27-AI27)</f>
        <v>-80.77289587042651</v>
      </c>
      <c r="AK31" s="78">
        <f t="shared" ref="AK31" si="72">(AK27-AJ27)</f>
        <v>-74.041821214557785</v>
      </c>
      <c r="AL31" s="78">
        <f t="shared" ref="AL31" si="73">(AL27-AK27)</f>
        <v>-67.871669446676606</v>
      </c>
      <c r="AM31" s="78">
        <f t="shared" ref="AM31" si="74">(AM27-AL27)</f>
        <v>-62.215696992787343</v>
      </c>
      <c r="AN31" s="81"/>
      <c r="AO31" s="75">
        <f t="shared" ref="AO31" si="75">SUM(D31:O31)</f>
        <v>-5276.4521918450409</v>
      </c>
      <c r="AP31" s="75">
        <f t="shared" ref="AP31" si="76">SUM(P31:AA31)</f>
        <v>-3579.2831285573411</v>
      </c>
      <c r="AQ31" s="75">
        <f t="shared" ref="AQ31" si="77">SUM(AB31:AM31)</f>
        <v>-1259.8920126769463</v>
      </c>
      <c r="AR31" s="82"/>
    </row>
    <row r="32" spans="1:44" outlineLevel="1">
      <c r="A32" s="70" t="s">
        <v>122</v>
      </c>
      <c r="B32" s="71" t="s">
        <v>78</v>
      </c>
      <c r="C32" s="72"/>
      <c r="D32" s="78">
        <f t="shared" ref="D32:E32" si="78">SUM(D28:D31)</f>
        <v>-370.03676470588238</v>
      </c>
      <c r="E32" s="78">
        <f t="shared" si="78"/>
        <v>-203.94301470588243</v>
      </c>
      <c r="F32" s="78">
        <f t="shared" ref="F32:AM32" si="79">SUM(F28:F31)</f>
        <v>-41.028645833333485</v>
      </c>
      <c r="G32" s="78">
        <f t="shared" si="79"/>
        <v>118.97129033905219</v>
      </c>
      <c r="H32" s="78">
        <f t="shared" si="79"/>
        <v>276.29966320295466</v>
      </c>
      <c r="I32" s="78">
        <f t="shared" si="79"/>
        <v>431.1791030340803</v>
      </c>
      <c r="J32" s="78">
        <f t="shared" si="79"/>
        <v>608.48280523222161</v>
      </c>
      <c r="K32" s="78">
        <f t="shared" si="79"/>
        <v>721.6729636197324</v>
      </c>
      <c r="L32" s="78">
        <f t="shared" si="79"/>
        <v>846.75413822004884</v>
      </c>
      <c r="M32" s="78">
        <f t="shared" si="79"/>
        <v>982.73541101543651</v>
      </c>
      <c r="N32" s="78">
        <f t="shared" si="79"/>
        <v>1128.7084404896409</v>
      </c>
      <c r="O32" s="78">
        <f t="shared" si="79"/>
        <v>1283.8405802527591</v>
      </c>
      <c r="P32" s="78">
        <f t="shared" si="79"/>
        <v>1496.7068064081668</v>
      </c>
      <c r="Q32" s="78">
        <f t="shared" si="79"/>
        <v>1691.8341803839562</v>
      </c>
      <c r="R32" s="78">
        <f t="shared" si="79"/>
        <v>1870.7009398617633</v>
      </c>
      <c r="S32" s="78">
        <f t="shared" si="79"/>
        <v>2034.6621360497547</v>
      </c>
      <c r="T32" s="78">
        <f t="shared" si="79"/>
        <v>2184.9598992220772</v>
      </c>
      <c r="U32" s="78">
        <f t="shared" si="79"/>
        <v>2322.7328487967097</v>
      </c>
      <c r="V32" s="78">
        <f t="shared" si="79"/>
        <v>2449.0247192401193</v>
      </c>
      <c r="W32" s="78">
        <f t="shared" si="79"/>
        <v>2564.7922671465803</v>
      </c>
      <c r="X32" s="78">
        <f t="shared" si="79"/>
        <v>2670.9125193941691</v>
      </c>
      <c r="Y32" s="78">
        <f t="shared" si="79"/>
        <v>2768.1894172877937</v>
      </c>
      <c r="Z32" s="78">
        <f t="shared" si="79"/>
        <v>2857.3599070236132</v>
      </c>
      <c r="AA32" s="78">
        <f t="shared" si="79"/>
        <v>2939.0995226147843</v>
      </c>
      <c r="AB32" s="78">
        <f t="shared" si="79"/>
        <v>3014.0275035733521</v>
      </c>
      <c r="AC32" s="78">
        <f t="shared" si="79"/>
        <v>3082.711486118711</v>
      </c>
      <c r="AD32" s="78">
        <f t="shared" si="79"/>
        <v>3145.6718034519572</v>
      </c>
      <c r="AE32" s="78">
        <f t="shared" si="79"/>
        <v>3203.3854276740994</v>
      </c>
      <c r="AF32" s="78">
        <f t="shared" si="79"/>
        <v>3256.2895832110598</v>
      </c>
      <c r="AG32" s="78">
        <f t="shared" si="79"/>
        <v>3304.7850591199413</v>
      </c>
      <c r="AH32" s="78">
        <f t="shared" si="79"/>
        <v>3349.2392453697485</v>
      </c>
      <c r="AI32" s="78">
        <f t="shared" si="79"/>
        <v>3389.9889160987432</v>
      </c>
      <c r="AJ32" s="78">
        <f t="shared" si="79"/>
        <v>3427.3427809336499</v>
      </c>
      <c r="AK32" s="78">
        <f t="shared" si="79"/>
        <v>3461.583823698983</v>
      </c>
      <c r="AL32" s="78">
        <f t="shared" si="79"/>
        <v>3492.9714462338734</v>
      </c>
      <c r="AM32" s="78">
        <f t="shared" si="79"/>
        <v>3521.7434335575199</v>
      </c>
      <c r="AN32" s="81"/>
      <c r="AO32" s="75">
        <f t="shared" ref="AO32" si="80">SUM(D32:O32)</f>
        <v>5783.6359701608289</v>
      </c>
      <c r="AP32" s="75">
        <f t="shared" ref="AP32" si="81">SUM(P32:AA32)</f>
        <v>27850.975163429488</v>
      </c>
      <c r="AQ32" s="75">
        <f t="shared" ref="AQ32" si="82">SUM(AB32:AM32)</f>
        <v>39649.740509041643</v>
      </c>
      <c r="AR32" s="82"/>
    </row>
    <row r="33" spans="1:44" outlineLevel="1">
      <c r="A33" s="70" t="s">
        <v>139</v>
      </c>
      <c r="B33" s="71" t="s">
        <v>78</v>
      </c>
      <c r="C33" s="72"/>
      <c r="D33" s="78">
        <f>-'OPEX+CAPEX'!E19</f>
        <v>-11.418749999999999</v>
      </c>
      <c r="E33" s="78">
        <f>-'OPEX+CAPEX'!F19</f>
        <v>-22.647187500000001</v>
      </c>
      <c r="F33" s="78">
        <f>-'OPEX+CAPEX'!G19</f>
        <v>-33.701171875</v>
      </c>
      <c r="G33" s="78">
        <f>-'OPEX+CAPEX'!H19</f>
        <v>-44.595240885416665</v>
      </c>
      <c r="H33" s="78">
        <f>-'OPEX+CAPEX'!I19</f>
        <v>-55.342720811631935</v>
      </c>
      <c r="I33" s="78">
        <f>-'OPEX+CAPEX'!J19</f>
        <v>-65.955827410662621</v>
      </c>
      <c r="J33" s="78">
        <f>-'OPEX+CAPEX'!K19</f>
        <v>-75.684508459774065</v>
      </c>
      <c r="K33" s="78">
        <f>-'OPEX+CAPEX'!L19</f>
        <v>-86.124966088126229</v>
      </c>
      <c r="L33" s="78">
        <f>-'OPEX+CAPEX'!M19</f>
        <v>-97.217885580782379</v>
      </c>
      <c r="M33" s="78">
        <f>-'OPEX+CAPEX'!N19</f>
        <v>-108.9088951157172</v>
      </c>
      <c r="N33" s="78">
        <f>-'OPEX+CAPEX'!O19</f>
        <v>-121.14815385607409</v>
      </c>
      <c r="O33" s="78">
        <f>-'OPEX+CAPEX'!P19</f>
        <v>-133.88997436806793</v>
      </c>
      <c r="P33" s="78">
        <f>-'OPEX+CAPEX'!Q19</f>
        <v>-145.56997650406225</v>
      </c>
      <c r="Q33" s="78">
        <f>-'OPEX+CAPEX'!R19</f>
        <v>-156.27664512872371</v>
      </c>
      <c r="R33" s="78">
        <f>-'OPEX+CAPEX'!S19</f>
        <v>-166.09109136799677</v>
      </c>
      <c r="S33" s="78">
        <f>-'OPEX+CAPEX'!T19</f>
        <v>-175.08766708733037</v>
      </c>
      <c r="T33" s="78">
        <f>-'OPEX+CAPEX'!U19</f>
        <v>-183.33452816338615</v>
      </c>
      <c r="U33" s="78">
        <f>-'OPEX+CAPEX'!V19</f>
        <v>-190.8941508164373</v>
      </c>
      <c r="V33" s="78">
        <f>-'OPEX+CAPEX'!W19</f>
        <v>-197.82380491506754</v>
      </c>
      <c r="W33" s="78">
        <f>-'OPEX+CAPEX'!X19</f>
        <v>-204.17598783881189</v>
      </c>
      <c r="X33" s="78">
        <f>-'OPEX+CAPEX'!Y19</f>
        <v>-209.99882218557755</v>
      </c>
      <c r="Y33" s="78">
        <f>-'OPEX+CAPEX'!Z19</f>
        <v>-215.33642033677941</v>
      </c>
      <c r="Z33" s="78">
        <f>-'OPEX+CAPEX'!AA19</f>
        <v>-220.22921864204778</v>
      </c>
      <c r="AA33" s="78">
        <f>-'OPEX+CAPEX'!AB19</f>
        <v>-224.71428375521043</v>
      </c>
      <c r="AB33" s="78">
        <f>-'OPEX+CAPEX'!AC19</f>
        <v>-228.82559344227627</v>
      </c>
      <c r="AC33" s="78">
        <f>-'OPEX+CAPEX'!AD19</f>
        <v>-232.59429398875324</v>
      </c>
      <c r="AD33" s="78">
        <f>-'OPEX+CAPEX'!AE19</f>
        <v>-236.04893615635714</v>
      </c>
      <c r="AE33" s="78">
        <f>-'OPEX+CAPEX'!AF19</f>
        <v>-239.21569147666065</v>
      </c>
      <c r="AF33" s="78">
        <f>-'OPEX+CAPEX'!AG19</f>
        <v>-242.11855052027229</v>
      </c>
      <c r="AG33" s="78">
        <f>-'OPEX+CAPEX'!AH19</f>
        <v>-244.77950464358292</v>
      </c>
      <c r="AH33" s="78">
        <f>-'OPEX+CAPEX'!AI19</f>
        <v>-247.21871258995102</v>
      </c>
      <c r="AI33" s="78">
        <f>-'OPEX+CAPEX'!AJ19</f>
        <v>-249.4546532074551</v>
      </c>
      <c r="AJ33" s="78">
        <f>-'OPEX+CAPEX'!AK19</f>
        <v>-251.50426544016716</v>
      </c>
      <c r="AK33" s="78">
        <f>-'OPEX+CAPEX'!AL19</f>
        <v>-253.38307665348654</v>
      </c>
      <c r="AL33" s="78">
        <f>-'OPEX+CAPEX'!AM19</f>
        <v>-255.10532026569598</v>
      </c>
      <c r="AM33" s="78">
        <f>-'OPEX+CAPEX'!AN19</f>
        <v>-256.68404357688792</v>
      </c>
      <c r="AN33" s="81"/>
      <c r="AO33" s="75">
        <f t="shared" ref="AO33:AO34" si="83">SUM(D33:O33)</f>
        <v>-856.63528195125309</v>
      </c>
      <c r="AP33" s="75">
        <f t="shared" ref="AP33:AP34" si="84">SUM(P33:AA33)</f>
        <v>-2289.5325967414315</v>
      </c>
      <c r="AQ33" s="75">
        <f t="shared" ref="AQ33:AQ34" si="85">SUM(AB33:AM33)</f>
        <v>-2936.9326419615463</v>
      </c>
      <c r="AR33" s="82"/>
    </row>
    <row r="34" spans="1:44" outlineLevel="1">
      <c r="A34" s="70" t="s">
        <v>177</v>
      </c>
      <c r="B34" s="71" t="s">
        <v>78</v>
      </c>
      <c r="C34" s="72"/>
      <c r="D34" s="78">
        <f t="shared" ref="D34:E34" si="86">D32+D33</f>
        <v>-381.45551470588236</v>
      </c>
      <c r="E34" s="78">
        <f t="shared" si="86"/>
        <v>-226.59020220588243</v>
      </c>
      <c r="F34" s="78">
        <f t="shared" ref="F34:AM34" si="87">F32+F33</f>
        <v>-74.729817708333485</v>
      </c>
      <c r="G34" s="78">
        <f t="shared" si="87"/>
        <v>74.376049453635517</v>
      </c>
      <c r="H34" s="78">
        <f t="shared" si="87"/>
        <v>220.95694239132274</v>
      </c>
      <c r="I34" s="78">
        <f t="shared" si="87"/>
        <v>365.22327562341769</v>
      </c>
      <c r="J34" s="78">
        <f t="shared" si="87"/>
        <v>532.79829677244754</v>
      </c>
      <c r="K34" s="78">
        <f t="shared" si="87"/>
        <v>635.54799753160614</v>
      </c>
      <c r="L34" s="78">
        <f t="shared" si="87"/>
        <v>749.53625263926642</v>
      </c>
      <c r="M34" s="78">
        <f t="shared" si="87"/>
        <v>873.82651589971931</v>
      </c>
      <c r="N34" s="78">
        <f t="shared" si="87"/>
        <v>1007.5602866335669</v>
      </c>
      <c r="O34" s="78">
        <f t="shared" si="87"/>
        <v>1149.9506058846912</v>
      </c>
      <c r="P34" s="78">
        <f t="shared" si="87"/>
        <v>1351.1368299041046</v>
      </c>
      <c r="Q34" s="78">
        <f t="shared" si="87"/>
        <v>1535.5575352552326</v>
      </c>
      <c r="R34" s="78">
        <f t="shared" si="87"/>
        <v>1704.6098484937665</v>
      </c>
      <c r="S34" s="78">
        <f t="shared" si="87"/>
        <v>1859.5744689624244</v>
      </c>
      <c r="T34" s="78">
        <f t="shared" si="87"/>
        <v>2001.6253710586911</v>
      </c>
      <c r="U34" s="78">
        <f t="shared" si="87"/>
        <v>2131.8386979802726</v>
      </c>
      <c r="V34" s="78">
        <f t="shared" si="87"/>
        <v>2251.2009143250516</v>
      </c>
      <c r="W34" s="78">
        <f t="shared" si="87"/>
        <v>2360.6162793077683</v>
      </c>
      <c r="X34" s="78">
        <f t="shared" si="87"/>
        <v>2460.9136972085917</v>
      </c>
      <c r="Y34" s="78">
        <f t="shared" si="87"/>
        <v>2552.8529969510141</v>
      </c>
      <c r="Z34" s="78">
        <f t="shared" si="87"/>
        <v>2637.1306883815655</v>
      </c>
      <c r="AA34" s="78">
        <f t="shared" si="87"/>
        <v>2714.3852388595737</v>
      </c>
      <c r="AB34" s="78">
        <f t="shared" si="87"/>
        <v>2785.2019101310757</v>
      </c>
      <c r="AC34" s="78">
        <f t="shared" si="87"/>
        <v>2850.1171921299579</v>
      </c>
      <c r="AD34" s="78">
        <f t="shared" si="87"/>
        <v>2909.6228672955999</v>
      </c>
      <c r="AE34" s="78">
        <f t="shared" si="87"/>
        <v>2964.1697361974389</v>
      </c>
      <c r="AF34" s="78">
        <f t="shared" si="87"/>
        <v>3014.1710326907873</v>
      </c>
      <c r="AG34" s="78">
        <f t="shared" si="87"/>
        <v>3060.0055544763582</v>
      </c>
      <c r="AH34" s="78">
        <f t="shared" si="87"/>
        <v>3102.0205327797976</v>
      </c>
      <c r="AI34" s="78">
        <f t="shared" si="87"/>
        <v>3140.5342628912881</v>
      </c>
      <c r="AJ34" s="78">
        <f t="shared" si="87"/>
        <v>3175.8385154934826</v>
      </c>
      <c r="AK34" s="78">
        <f t="shared" si="87"/>
        <v>3208.2007470454964</v>
      </c>
      <c r="AL34" s="78">
        <f t="shared" si="87"/>
        <v>3237.8661259681776</v>
      </c>
      <c r="AM34" s="78">
        <f t="shared" si="87"/>
        <v>3265.0593899806317</v>
      </c>
      <c r="AN34" s="81"/>
      <c r="AO34" s="75">
        <f t="shared" si="83"/>
        <v>4927.0006882095749</v>
      </c>
      <c r="AP34" s="75">
        <f t="shared" si="84"/>
        <v>25561.442566688056</v>
      </c>
      <c r="AQ34" s="75">
        <f t="shared" si="85"/>
        <v>36712.807867080097</v>
      </c>
      <c r="AR34" s="82"/>
    </row>
    <row r="35" spans="1:44">
      <c r="A35" s="70"/>
      <c r="B35" s="79"/>
      <c r="D35" s="78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2"/>
    </row>
    <row r="36" spans="1:44" s="69" customFormat="1">
      <c r="A36" s="65" t="s">
        <v>102</v>
      </c>
      <c r="B36" s="66" t="s">
        <v>76</v>
      </c>
      <c r="C36" s="84" t="s">
        <v>77</v>
      </c>
      <c r="D36" s="67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O36" s="68"/>
      <c r="AP36" s="68"/>
      <c r="AQ36" s="68"/>
    </row>
    <row r="37" spans="1:44" hidden="1" outlineLevel="1">
      <c r="A37" s="70" t="s">
        <v>123</v>
      </c>
      <c r="B37" s="85" t="s">
        <v>85</v>
      </c>
      <c r="C37" s="72"/>
      <c r="D37" s="77">
        <f>'0'!D10</f>
        <v>15</v>
      </c>
      <c r="E37" s="77">
        <f>'0'!E10</f>
        <v>16</v>
      </c>
      <c r="F37" s="77">
        <f>'0'!F10</f>
        <v>17</v>
      </c>
      <c r="G37" s="77">
        <f>'0'!G10</f>
        <v>18</v>
      </c>
      <c r="H37" s="77">
        <f>'0'!H10</f>
        <v>19</v>
      </c>
      <c r="I37" s="77">
        <f>'0'!I10</f>
        <v>20</v>
      </c>
      <c r="J37" s="77">
        <f>'0'!J10</f>
        <v>20</v>
      </c>
      <c r="K37" s="77">
        <f>'0'!K10</f>
        <v>22</v>
      </c>
      <c r="L37" s="77">
        <f>'0'!L10</f>
        <v>24</v>
      </c>
      <c r="M37" s="77">
        <f>'0'!M10</f>
        <v>26</v>
      </c>
      <c r="N37" s="77">
        <f>'0'!N10</f>
        <v>28</v>
      </c>
      <c r="O37" s="77">
        <f>'0'!O10</f>
        <v>30</v>
      </c>
      <c r="P37" s="77">
        <f>'0'!P10</f>
        <v>30</v>
      </c>
      <c r="Q37" s="77">
        <f>'0'!Q10</f>
        <v>30</v>
      </c>
      <c r="R37" s="77">
        <f>'0'!R10</f>
        <v>30</v>
      </c>
      <c r="S37" s="77">
        <f>'0'!S10</f>
        <v>30</v>
      </c>
      <c r="T37" s="77">
        <f>'0'!T10</f>
        <v>30</v>
      </c>
      <c r="U37" s="77">
        <f>'0'!U10</f>
        <v>30</v>
      </c>
      <c r="V37" s="77">
        <f>'0'!V10</f>
        <v>30</v>
      </c>
      <c r="W37" s="77">
        <f>'0'!W10</f>
        <v>30</v>
      </c>
      <c r="X37" s="77">
        <f>'0'!X10</f>
        <v>30</v>
      </c>
      <c r="Y37" s="77">
        <f>'0'!Y10</f>
        <v>30</v>
      </c>
      <c r="Z37" s="77">
        <f>'0'!Z10</f>
        <v>30</v>
      </c>
      <c r="AA37" s="77">
        <f>'0'!AA10</f>
        <v>30</v>
      </c>
      <c r="AB37" s="77">
        <f>'0'!AB10</f>
        <v>30</v>
      </c>
      <c r="AC37" s="77">
        <f>'0'!AC10</f>
        <v>30</v>
      </c>
      <c r="AD37" s="77">
        <f>'0'!AD10</f>
        <v>30</v>
      </c>
      <c r="AE37" s="77">
        <f>'0'!AE10</f>
        <v>30</v>
      </c>
      <c r="AF37" s="77">
        <f>'0'!AF10</f>
        <v>30</v>
      </c>
      <c r="AG37" s="77">
        <f>'0'!AG10</f>
        <v>30</v>
      </c>
      <c r="AH37" s="77">
        <f>'0'!AH10</f>
        <v>30</v>
      </c>
      <c r="AI37" s="77">
        <f>'0'!AI10</f>
        <v>30</v>
      </c>
      <c r="AJ37" s="77">
        <f>'0'!AJ10</f>
        <v>30</v>
      </c>
      <c r="AK37" s="77">
        <f>'0'!AK10</f>
        <v>30</v>
      </c>
      <c r="AL37" s="77">
        <f>'0'!AL10</f>
        <v>30</v>
      </c>
      <c r="AM37" s="77">
        <f>'0'!AM10</f>
        <v>30</v>
      </c>
      <c r="AN37" s="81"/>
      <c r="AO37" s="75">
        <f>O37</f>
        <v>30</v>
      </c>
      <c r="AP37" s="75">
        <f>AA37</f>
        <v>30</v>
      </c>
      <c r="AQ37" s="75">
        <f>AM37</f>
        <v>30</v>
      </c>
      <c r="AR37" s="82"/>
    </row>
    <row r="38" spans="1:44" hidden="1" outlineLevel="1">
      <c r="A38" s="70" t="s">
        <v>124</v>
      </c>
      <c r="B38" s="85" t="s">
        <v>85</v>
      </c>
      <c r="C38" s="72"/>
      <c r="D38" s="86">
        <v>1</v>
      </c>
      <c r="E38" s="86">
        <v>1</v>
      </c>
      <c r="F38" s="86">
        <v>1</v>
      </c>
      <c r="G38" s="86">
        <v>1</v>
      </c>
      <c r="H38" s="86">
        <v>1</v>
      </c>
      <c r="I38" s="86">
        <v>1</v>
      </c>
      <c r="J38" s="86">
        <v>1</v>
      </c>
      <c r="K38" s="86">
        <v>1</v>
      </c>
      <c r="L38" s="86">
        <v>1</v>
      </c>
      <c r="M38" s="86">
        <v>1</v>
      </c>
      <c r="N38" s="86">
        <v>1</v>
      </c>
      <c r="O38" s="86">
        <v>1</v>
      </c>
      <c r="P38" s="86">
        <v>1</v>
      </c>
      <c r="Q38" s="86">
        <v>1</v>
      </c>
      <c r="R38" s="86">
        <v>1</v>
      </c>
      <c r="S38" s="86">
        <v>1</v>
      </c>
      <c r="T38" s="86">
        <v>1</v>
      </c>
      <c r="U38" s="86">
        <v>1</v>
      </c>
      <c r="V38" s="86">
        <v>1</v>
      </c>
      <c r="W38" s="86">
        <v>1</v>
      </c>
      <c r="X38" s="86">
        <v>1</v>
      </c>
      <c r="Y38" s="86">
        <v>1</v>
      </c>
      <c r="Z38" s="86">
        <v>1</v>
      </c>
      <c r="AA38" s="86">
        <v>1</v>
      </c>
      <c r="AB38" s="86">
        <v>1</v>
      </c>
      <c r="AC38" s="86">
        <v>1</v>
      </c>
      <c r="AD38" s="86">
        <v>1</v>
      </c>
      <c r="AE38" s="86">
        <v>1</v>
      </c>
      <c r="AF38" s="86">
        <v>1</v>
      </c>
      <c r="AG38" s="86">
        <v>1</v>
      </c>
      <c r="AH38" s="86">
        <v>1</v>
      </c>
      <c r="AI38" s="86">
        <v>1</v>
      </c>
      <c r="AJ38" s="86">
        <v>1</v>
      </c>
      <c r="AK38" s="86">
        <v>1</v>
      </c>
      <c r="AL38" s="86">
        <v>1</v>
      </c>
      <c r="AM38" s="86">
        <v>1</v>
      </c>
      <c r="AN38" s="81"/>
      <c r="AO38" s="75">
        <f>AVERAGE(D38:O38)</f>
        <v>1</v>
      </c>
      <c r="AP38" s="75">
        <f>AVERAGE(P38:AA38)</f>
        <v>1</v>
      </c>
      <c r="AQ38" s="75">
        <f>AVERAGE(AB38:AM38)</f>
        <v>1</v>
      </c>
      <c r="AR38" s="82"/>
    </row>
    <row r="39" spans="1:44" hidden="1" outlineLevel="1">
      <c r="A39" s="70" t="s">
        <v>84</v>
      </c>
      <c r="B39" s="85" t="s">
        <v>85</v>
      </c>
      <c r="C39" s="72"/>
      <c r="D39" s="77">
        <f>D37*D38</f>
        <v>15</v>
      </c>
      <c r="E39" s="77">
        <f t="shared" ref="E39" si="88">E37*E38</f>
        <v>16</v>
      </c>
      <c r="F39" s="77">
        <f t="shared" ref="F39:AM39" si="89">F37*F38</f>
        <v>17</v>
      </c>
      <c r="G39" s="77">
        <f t="shared" si="89"/>
        <v>18</v>
      </c>
      <c r="H39" s="77">
        <f t="shared" si="89"/>
        <v>19</v>
      </c>
      <c r="I39" s="77">
        <f t="shared" si="89"/>
        <v>20</v>
      </c>
      <c r="J39" s="77">
        <f t="shared" si="89"/>
        <v>20</v>
      </c>
      <c r="K39" s="77">
        <f t="shared" si="89"/>
        <v>22</v>
      </c>
      <c r="L39" s="77">
        <f t="shared" si="89"/>
        <v>24</v>
      </c>
      <c r="M39" s="77">
        <f t="shared" si="89"/>
        <v>26</v>
      </c>
      <c r="N39" s="77">
        <f t="shared" si="89"/>
        <v>28</v>
      </c>
      <c r="O39" s="77">
        <f t="shared" si="89"/>
        <v>30</v>
      </c>
      <c r="P39" s="77">
        <f t="shared" si="89"/>
        <v>30</v>
      </c>
      <c r="Q39" s="77">
        <f t="shared" si="89"/>
        <v>30</v>
      </c>
      <c r="R39" s="77">
        <f t="shared" si="89"/>
        <v>30</v>
      </c>
      <c r="S39" s="77">
        <f t="shared" si="89"/>
        <v>30</v>
      </c>
      <c r="T39" s="77">
        <f t="shared" si="89"/>
        <v>30</v>
      </c>
      <c r="U39" s="77">
        <f t="shared" si="89"/>
        <v>30</v>
      </c>
      <c r="V39" s="77">
        <f t="shared" si="89"/>
        <v>30</v>
      </c>
      <c r="W39" s="77">
        <f t="shared" si="89"/>
        <v>30</v>
      </c>
      <c r="X39" s="77">
        <f t="shared" si="89"/>
        <v>30</v>
      </c>
      <c r="Y39" s="77">
        <f t="shared" si="89"/>
        <v>30</v>
      </c>
      <c r="Z39" s="77">
        <f t="shared" si="89"/>
        <v>30</v>
      </c>
      <c r="AA39" s="77">
        <f t="shared" si="89"/>
        <v>30</v>
      </c>
      <c r="AB39" s="77">
        <f t="shared" si="89"/>
        <v>30</v>
      </c>
      <c r="AC39" s="77">
        <f t="shared" si="89"/>
        <v>30</v>
      </c>
      <c r="AD39" s="77">
        <f t="shared" si="89"/>
        <v>30</v>
      </c>
      <c r="AE39" s="77">
        <f t="shared" si="89"/>
        <v>30</v>
      </c>
      <c r="AF39" s="77">
        <f t="shared" si="89"/>
        <v>30</v>
      </c>
      <c r="AG39" s="77">
        <f t="shared" si="89"/>
        <v>30</v>
      </c>
      <c r="AH39" s="77">
        <f t="shared" si="89"/>
        <v>30</v>
      </c>
      <c r="AI39" s="77">
        <f t="shared" si="89"/>
        <v>30</v>
      </c>
      <c r="AJ39" s="77">
        <f t="shared" si="89"/>
        <v>30</v>
      </c>
      <c r="AK39" s="77">
        <f t="shared" si="89"/>
        <v>30</v>
      </c>
      <c r="AL39" s="77">
        <f t="shared" si="89"/>
        <v>30</v>
      </c>
      <c r="AM39" s="77">
        <f t="shared" si="89"/>
        <v>30</v>
      </c>
      <c r="AN39" s="81"/>
      <c r="AO39" s="75">
        <f t="shared" ref="AO39" si="90">SUM(D39:O39)</f>
        <v>255</v>
      </c>
      <c r="AP39" s="75">
        <f t="shared" ref="AP39" si="91">SUM(P39:AA39)</f>
        <v>360</v>
      </c>
      <c r="AQ39" s="75">
        <f t="shared" ref="AQ39" si="92">SUM(AB39:AM39)</f>
        <v>360</v>
      </c>
      <c r="AR39" s="82"/>
    </row>
    <row r="40" spans="1:44" hidden="1" outlineLevel="1">
      <c r="A40" s="70" t="s">
        <v>86</v>
      </c>
      <c r="B40" s="71" t="s">
        <v>78</v>
      </c>
      <c r="C40" s="72"/>
      <c r="D40" s="86">
        <v>100</v>
      </c>
      <c r="E40" s="86">
        <v>100</v>
      </c>
      <c r="F40" s="86">
        <v>100</v>
      </c>
      <c r="G40" s="86">
        <v>100</v>
      </c>
      <c r="H40" s="86">
        <v>100</v>
      </c>
      <c r="I40" s="86">
        <v>100</v>
      </c>
      <c r="J40" s="86">
        <v>100</v>
      </c>
      <c r="K40" s="86">
        <v>100</v>
      </c>
      <c r="L40" s="86">
        <v>100</v>
      </c>
      <c r="M40" s="86">
        <v>100</v>
      </c>
      <c r="N40" s="86">
        <v>100</v>
      </c>
      <c r="O40" s="86">
        <v>100</v>
      </c>
      <c r="P40" s="86">
        <v>100</v>
      </c>
      <c r="Q40" s="86">
        <v>100</v>
      </c>
      <c r="R40" s="86">
        <v>100</v>
      </c>
      <c r="S40" s="86">
        <v>100</v>
      </c>
      <c r="T40" s="86">
        <v>100</v>
      </c>
      <c r="U40" s="86">
        <v>100</v>
      </c>
      <c r="V40" s="86">
        <v>100</v>
      </c>
      <c r="W40" s="86">
        <v>100</v>
      </c>
      <c r="X40" s="86">
        <v>100</v>
      </c>
      <c r="Y40" s="86">
        <v>100</v>
      </c>
      <c r="Z40" s="86">
        <v>100</v>
      </c>
      <c r="AA40" s="86">
        <v>100</v>
      </c>
      <c r="AB40" s="86">
        <v>100</v>
      </c>
      <c r="AC40" s="86">
        <v>100</v>
      </c>
      <c r="AD40" s="86">
        <v>100</v>
      </c>
      <c r="AE40" s="86">
        <v>100</v>
      </c>
      <c r="AF40" s="86">
        <v>100</v>
      </c>
      <c r="AG40" s="86">
        <v>100</v>
      </c>
      <c r="AH40" s="86">
        <v>100</v>
      </c>
      <c r="AI40" s="86">
        <v>100</v>
      </c>
      <c r="AJ40" s="86">
        <v>100</v>
      </c>
      <c r="AK40" s="86">
        <v>100</v>
      </c>
      <c r="AL40" s="86">
        <v>100</v>
      </c>
      <c r="AM40" s="86">
        <v>100</v>
      </c>
      <c r="AN40" s="81"/>
      <c r="AO40" s="75">
        <f>AVERAGE(D40:O40)</f>
        <v>100</v>
      </c>
      <c r="AP40" s="75">
        <f>AVERAGE(P40:AA40)</f>
        <v>100</v>
      </c>
      <c r="AQ40" s="75">
        <f>AVERAGE(AB40:AM40)</f>
        <v>100</v>
      </c>
      <c r="AR40" s="82"/>
    </row>
    <row r="41" spans="1:44" hidden="1" outlineLevel="1">
      <c r="A41" s="70" t="s">
        <v>87</v>
      </c>
      <c r="B41" s="71" t="s">
        <v>78</v>
      </c>
      <c r="C41" s="72"/>
      <c r="D41" s="77">
        <f>D39*D40</f>
        <v>1500</v>
      </c>
      <c r="E41" s="77">
        <f>E39*E40</f>
        <v>1600</v>
      </c>
      <c r="F41" s="77">
        <f t="shared" ref="F41:AM41" si="93">F39*F40</f>
        <v>1700</v>
      </c>
      <c r="G41" s="77">
        <f t="shared" si="93"/>
        <v>1800</v>
      </c>
      <c r="H41" s="77">
        <f t="shared" si="93"/>
        <v>1900</v>
      </c>
      <c r="I41" s="77">
        <f t="shared" si="93"/>
        <v>2000</v>
      </c>
      <c r="J41" s="77">
        <f t="shared" si="93"/>
        <v>2000</v>
      </c>
      <c r="K41" s="77">
        <f t="shared" si="93"/>
        <v>2200</v>
      </c>
      <c r="L41" s="77">
        <f t="shared" si="93"/>
        <v>2400</v>
      </c>
      <c r="M41" s="77">
        <f t="shared" si="93"/>
        <v>2600</v>
      </c>
      <c r="N41" s="77">
        <f t="shared" si="93"/>
        <v>2800</v>
      </c>
      <c r="O41" s="77">
        <f t="shared" si="93"/>
        <v>3000</v>
      </c>
      <c r="P41" s="77">
        <f t="shared" si="93"/>
        <v>3000</v>
      </c>
      <c r="Q41" s="77">
        <f t="shared" si="93"/>
        <v>3000</v>
      </c>
      <c r="R41" s="77">
        <f t="shared" si="93"/>
        <v>3000</v>
      </c>
      <c r="S41" s="77">
        <f t="shared" si="93"/>
        <v>3000</v>
      </c>
      <c r="T41" s="77">
        <f t="shared" si="93"/>
        <v>3000</v>
      </c>
      <c r="U41" s="77">
        <f t="shared" si="93"/>
        <v>3000</v>
      </c>
      <c r="V41" s="77">
        <f t="shared" si="93"/>
        <v>3000</v>
      </c>
      <c r="W41" s="77">
        <f t="shared" si="93"/>
        <v>3000</v>
      </c>
      <c r="X41" s="77">
        <f t="shared" si="93"/>
        <v>3000</v>
      </c>
      <c r="Y41" s="77">
        <f t="shared" si="93"/>
        <v>3000</v>
      </c>
      <c r="Z41" s="77">
        <f t="shared" si="93"/>
        <v>3000</v>
      </c>
      <c r="AA41" s="77">
        <f t="shared" si="93"/>
        <v>3000</v>
      </c>
      <c r="AB41" s="77">
        <f t="shared" si="93"/>
        <v>3000</v>
      </c>
      <c r="AC41" s="77">
        <f t="shared" si="93"/>
        <v>3000</v>
      </c>
      <c r="AD41" s="77">
        <f t="shared" si="93"/>
        <v>3000</v>
      </c>
      <c r="AE41" s="77">
        <f t="shared" si="93"/>
        <v>3000</v>
      </c>
      <c r="AF41" s="77">
        <f t="shared" si="93"/>
        <v>3000</v>
      </c>
      <c r="AG41" s="77">
        <f t="shared" si="93"/>
        <v>3000</v>
      </c>
      <c r="AH41" s="77">
        <f t="shared" si="93"/>
        <v>3000</v>
      </c>
      <c r="AI41" s="77">
        <f t="shared" si="93"/>
        <v>3000</v>
      </c>
      <c r="AJ41" s="77">
        <f t="shared" si="93"/>
        <v>3000</v>
      </c>
      <c r="AK41" s="77">
        <f t="shared" si="93"/>
        <v>3000</v>
      </c>
      <c r="AL41" s="77">
        <f t="shared" si="93"/>
        <v>3000</v>
      </c>
      <c r="AM41" s="77">
        <f t="shared" si="93"/>
        <v>3000</v>
      </c>
      <c r="AN41" s="81"/>
      <c r="AO41" s="75">
        <f t="shared" ref="AO41" si="94">SUM(D41:O41)</f>
        <v>25500</v>
      </c>
      <c r="AP41" s="75">
        <f t="shared" ref="AP41" si="95">SUM(P41:AA41)</f>
        <v>36000</v>
      </c>
      <c r="AQ41" s="75">
        <f t="shared" ref="AQ41" si="96">SUM(AB41:AM41)</f>
        <v>36000</v>
      </c>
      <c r="AR41" s="82"/>
    </row>
    <row r="42" spans="1:44" s="90" customFormat="1" hidden="1" outlineLevel="1">
      <c r="A42" s="70" t="s">
        <v>88</v>
      </c>
      <c r="B42" s="71" t="s">
        <v>89</v>
      </c>
      <c r="C42" s="87"/>
      <c r="D42" s="86">
        <v>3</v>
      </c>
      <c r="E42" s="86">
        <v>3</v>
      </c>
      <c r="F42" s="86">
        <v>3</v>
      </c>
      <c r="G42" s="86">
        <v>3</v>
      </c>
      <c r="H42" s="86">
        <v>3</v>
      </c>
      <c r="I42" s="86">
        <v>3</v>
      </c>
      <c r="J42" s="86">
        <v>3</v>
      </c>
      <c r="K42" s="86">
        <v>3</v>
      </c>
      <c r="L42" s="86">
        <v>3</v>
      </c>
      <c r="M42" s="86">
        <v>3</v>
      </c>
      <c r="N42" s="86">
        <v>3</v>
      </c>
      <c r="O42" s="86">
        <v>3</v>
      </c>
      <c r="P42" s="86">
        <v>3</v>
      </c>
      <c r="Q42" s="86">
        <v>3</v>
      </c>
      <c r="R42" s="86">
        <v>3</v>
      </c>
      <c r="S42" s="86">
        <v>3</v>
      </c>
      <c r="T42" s="86">
        <v>3</v>
      </c>
      <c r="U42" s="86">
        <v>3</v>
      </c>
      <c r="V42" s="86">
        <v>3</v>
      </c>
      <c r="W42" s="86">
        <v>3</v>
      </c>
      <c r="X42" s="86">
        <v>3</v>
      </c>
      <c r="Y42" s="86">
        <v>3</v>
      </c>
      <c r="Z42" s="86">
        <v>3</v>
      </c>
      <c r="AA42" s="86">
        <v>3</v>
      </c>
      <c r="AB42" s="86">
        <v>3</v>
      </c>
      <c r="AC42" s="86">
        <v>3</v>
      </c>
      <c r="AD42" s="86">
        <v>3</v>
      </c>
      <c r="AE42" s="86">
        <v>3</v>
      </c>
      <c r="AF42" s="86">
        <v>3</v>
      </c>
      <c r="AG42" s="86">
        <v>3</v>
      </c>
      <c r="AH42" s="86">
        <v>3</v>
      </c>
      <c r="AI42" s="86">
        <v>3</v>
      </c>
      <c r="AJ42" s="86">
        <v>3</v>
      </c>
      <c r="AK42" s="86">
        <v>3</v>
      </c>
      <c r="AL42" s="86">
        <v>3</v>
      </c>
      <c r="AM42" s="86">
        <v>3</v>
      </c>
      <c r="AN42" s="88"/>
      <c r="AO42" s="75">
        <f>AVERAGE(D42:O42)</f>
        <v>3</v>
      </c>
      <c r="AP42" s="75">
        <f>AVERAGE(P42:AA42)</f>
        <v>3</v>
      </c>
      <c r="AQ42" s="75">
        <f>AVERAGE(AB42:AM42)</f>
        <v>3</v>
      </c>
      <c r="AR42" s="89"/>
    </row>
    <row r="43" spans="1:44" hidden="1" outlineLevel="1">
      <c r="A43" s="91" t="s">
        <v>90</v>
      </c>
      <c r="B43" s="71" t="s">
        <v>78</v>
      </c>
      <c r="C43" s="72"/>
      <c r="D43" s="78">
        <v>0</v>
      </c>
      <c r="E43" s="81">
        <f>D44/E42</f>
        <v>500</v>
      </c>
      <c r="F43" s="81">
        <f t="shared" ref="F43:AM43" si="97">E44/F42</f>
        <v>866.66666666666663</v>
      </c>
      <c r="G43" s="81">
        <f t="shared" si="97"/>
        <v>1144.4444444444446</v>
      </c>
      <c r="H43" s="81">
        <f t="shared" si="97"/>
        <v>1362.9629629629633</v>
      </c>
      <c r="I43" s="81">
        <f t="shared" si="97"/>
        <v>1541.9753086419753</v>
      </c>
      <c r="J43" s="81">
        <f t="shared" si="97"/>
        <v>1694.650205761317</v>
      </c>
      <c r="K43" s="81">
        <f t="shared" si="97"/>
        <v>1796.4334705075446</v>
      </c>
      <c r="L43" s="81">
        <f t="shared" si="97"/>
        <v>1930.95564700503</v>
      </c>
      <c r="M43" s="81">
        <f t="shared" si="97"/>
        <v>2087.30376467002</v>
      </c>
      <c r="N43" s="81">
        <f t="shared" si="97"/>
        <v>2258.2025097800138</v>
      </c>
      <c r="O43" s="81">
        <f t="shared" si="97"/>
        <v>2438.8016731866755</v>
      </c>
      <c r="P43" s="81">
        <f t="shared" si="97"/>
        <v>2625.8677821244505</v>
      </c>
      <c r="Q43" s="81">
        <f t="shared" si="97"/>
        <v>2750.5785214163002</v>
      </c>
      <c r="R43" s="81">
        <f t="shared" si="97"/>
        <v>2833.719014277533</v>
      </c>
      <c r="S43" s="81">
        <f t="shared" si="97"/>
        <v>2889.1460095183556</v>
      </c>
      <c r="T43" s="81">
        <f t="shared" si="97"/>
        <v>2926.0973396789036</v>
      </c>
      <c r="U43" s="81">
        <f t="shared" si="97"/>
        <v>2950.731559785936</v>
      </c>
      <c r="V43" s="81">
        <f t="shared" si="97"/>
        <v>2967.154373190624</v>
      </c>
      <c r="W43" s="81">
        <f t="shared" si="97"/>
        <v>2978.1029154604162</v>
      </c>
      <c r="X43" s="81">
        <f t="shared" si="97"/>
        <v>2985.4019436402773</v>
      </c>
      <c r="Y43" s="81">
        <f t="shared" si="97"/>
        <v>2990.2679624268512</v>
      </c>
      <c r="Z43" s="81">
        <f t="shared" si="97"/>
        <v>2993.5119749512342</v>
      </c>
      <c r="AA43" s="81">
        <f t="shared" si="97"/>
        <v>2995.6746499674896</v>
      </c>
      <c r="AB43" s="81">
        <f t="shared" si="97"/>
        <v>2997.1164333116594</v>
      </c>
      <c r="AC43" s="81">
        <f t="shared" si="97"/>
        <v>2998.0776222077729</v>
      </c>
      <c r="AD43" s="81">
        <f t="shared" si="97"/>
        <v>2998.718414805182</v>
      </c>
      <c r="AE43" s="81">
        <f t="shared" si="97"/>
        <v>2999.1456098701215</v>
      </c>
      <c r="AF43" s="81">
        <f t="shared" si="97"/>
        <v>2999.4304065800807</v>
      </c>
      <c r="AG43" s="81">
        <f t="shared" si="97"/>
        <v>2999.6202710533871</v>
      </c>
      <c r="AH43" s="81">
        <f t="shared" si="97"/>
        <v>2999.7468473689246</v>
      </c>
      <c r="AI43" s="81">
        <f t="shared" si="97"/>
        <v>2999.8312315792832</v>
      </c>
      <c r="AJ43" s="81">
        <f t="shared" si="97"/>
        <v>2999.8874877195226</v>
      </c>
      <c r="AK43" s="81">
        <f t="shared" si="97"/>
        <v>2999.9249918130149</v>
      </c>
      <c r="AL43" s="81">
        <f t="shared" si="97"/>
        <v>2999.9499945420098</v>
      </c>
      <c r="AM43" s="81">
        <f t="shared" si="97"/>
        <v>2999.9666630280062</v>
      </c>
      <c r="AN43" s="81"/>
      <c r="AO43" s="75">
        <f t="shared" ref="AO43" si="98">SUM(D43:O43)</f>
        <v>17622.396653626653</v>
      </c>
      <c r="AP43" s="75">
        <f t="shared" ref="AP43" si="99">SUM(P43:AA43)</f>
        <v>34886.254046438371</v>
      </c>
      <c r="AQ43" s="75">
        <f t="shared" ref="AQ43" si="100">SUM(AB43:AM43)</f>
        <v>35991.41597387896</v>
      </c>
      <c r="AR43" s="82"/>
    </row>
    <row r="44" spans="1:44" s="69" customFormat="1" hidden="1" outlineLevel="1">
      <c r="A44" s="70" t="s">
        <v>112</v>
      </c>
      <c r="B44" s="71" t="s">
        <v>78</v>
      </c>
      <c r="C44" s="72"/>
      <c r="D44" s="73">
        <f>D41-D43</f>
        <v>1500</v>
      </c>
      <c r="E44" s="73">
        <f>D44+E41-E43</f>
        <v>2600</v>
      </c>
      <c r="F44" s="73">
        <f t="shared" ref="F44:AM44" si="101">E44+F41-F43</f>
        <v>3433.3333333333335</v>
      </c>
      <c r="G44" s="73">
        <f t="shared" si="101"/>
        <v>4088.8888888888896</v>
      </c>
      <c r="H44" s="73">
        <f t="shared" si="101"/>
        <v>4625.9259259259261</v>
      </c>
      <c r="I44" s="73">
        <f t="shared" si="101"/>
        <v>5083.950617283951</v>
      </c>
      <c r="J44" s="73">
        <f t="shared" si="101"/>
        <v>5389.300411522634</v>
      </c>
      <c r="K44" s="73">
        <f t="shared" si="101"/>
        <v>5792.8669410150897</v>
      </c>
      <c r="L44" s="73">
        <f t="shared" si="101"/>
        <v>6261.9112940100604</v>
      </c>
      <c r="M44" s="73">
        <f t="shared" si="101"/>
        <v>6774.6075293400409</v>
      </c>
      <c r="N44" s="73">
        <f t="shared" si="101"/>
        <v>7316.4050195600266</v>
      </c>
      <c r="O44" s="73">
        <f t="shared" si="101"/>
        <v>7877.6033463733511</v>
      </c>
      <c r="P44" s="73">
        <f t="shared" si="101"/>
        <v>8251.7355642489001</v>
      </c>
      <c r="Q44" s="73">
        <f t="shared" si="101"/>
        <v>8501.1570428325995</v>
      </c>
      <c r="R44" s="73">
        <f t="shared" si="101"/>
        <v>8667.4380285550669</v>
      </c>
      <c r="S44" s="73">
        <f t="shared" si="101"/>
        <v>8778.2920190367113</v>
      </c>
      <c r="T44" s="73">
        <f t="shared" si="101"/>
        <v>8852.1946793578081</v>
      </c>
      <c r="U44" s="73">
        <f t="shared" si="101"/>
        <v>8901.4631195718721</v>
      </c>
      <c r="V44" s="73">
        <f t="shared" si="101"/>
        <v>8934.3087463812481</v>
      </c>
      <c r="W44" s="73">
        <f t="shared" si="101"/>
        <v>8956.2058309208314</v>
      </c>
      <c r="X44" s="73">
        <f t="shared" si="101"/>
        <v>8970.8038872805537</v>
      </c>
      <c r="Y44" s="73">
        <f t="shared" si="101"/>
        <v>8980.5359248537025</v>
      </c>
      <c r="Z44" s="73">
        <f t="shared" si="101"/>
        <v>8987.0239499024683</v>
      </c>
      <c r="AA44" s="73">
        <f t="shared" si="101"/>
        <v>8991.3492999349783</v>
      </c>
      <c r="AB44" s="73">
        <f t="shared" si="101"/>
        <v>8994.2328666233188</v>
      </c>
      <c r="AC44" s="73">
        <f t="shared" si="101"/>
        <v>8996.1552444155459</v>
      </c>
      <c r="AD44" s="73">
        <f t="shared" si="101"/>
        <v>8997.4368296103639</v>
      </c>
      <c r="AE44" s="73">
        <f t="shared" si="101"/>
        <v>8998.291219740242</v>
      </c>
      <c r="AF44" s="73">
        <f t="shared" si="101"/>
        <v>8998.8608131601613</v>
      </c>
      <c r="AG44" s="73">
        <f t="shared" si="101"/>
        <v>8999.2405421067742</v>
      </c>
      <c r="AH44" s="73">
        <f t="shared" si="101"/>
        <v>8999.4936947378501</v>
      </c>
      <c r="AI44" s="73">
        <f t="shared" si="101"/>
        <v>8999.6624631585673</v>
      </c>
      <c r="AJ44" s="73">
        <f t="shared" si="101"/>
        <v>8999.7749754390443</v>
      </c>
      <c r="AK44" s="73">
        <f t="shared" si="101"/>
        <v>8999.8499836260289</v>
      </c>
      <c r="AL44" s="73">
        <f t="shared" si="101"/>
        <v>8999.8999890840187</v>
      </c>
      <c r="AM44" s="73">
        <f t="shared" si="101"/>
        <v>8999.9333260560124</v>
      </c>
      <c r="AN44" s="74"/>
      <c r="AO44" s="75">
        <f>O44</f>
        <v>7877.6033463733511</v>
      </c>
      <c r="AP44" s="75">
        <f>AA44</f>
        <v>8991.3492999349783</v>
      </c>
      <c r="AQ44" s="75">
        <f>AM44</f>
        <v>8999.9333260560124</v>
      </c>
      <c r="AR44" s="76"/>
    </row>
    <row r="45" spans="1:44" s="69" customFormat="1" hidden="1" outlineLevel="1">
      <c r="A45" s="70" t="s">
        <v>99</v>
      </c>
      <c r="B45" s="71" t="s">
        <v>79</v>
      </c>
      <c r="C45" s="72"/>
      <c r="D45" s="92">
        <v>0.01</v>
      </c>
      <c r="E45" s="92">
        <v>0.01</v>
      </c>
      <c r="F45" s="92">
        <v>0.01</v>
      </c>
      <c r="G45" s="92">
        <v>0.01</v>
      </c>
      <c r="H45" s="92">
        <v>0.01</v>
      </c>
      <c r="I45" s="92">
        <v>0.01</v>
      </c>
      <c r="J45" s="92">
        <v>0.01</v>
      </c>
      <c r="K45" s="92">
        <v>0.01</v>
      </c>
      <c r="L45" s="92">
        <v>0.01</v>
      </c>
      <c r="M45" s="92">
        <v>0.01</v>
      </c>
      <c r="N45" s="92">
        <v>0.01</v>
      </c>
      <c r="O45" s="92">
        <v>0.01</v>
      </c>
      <c r="P45" s="92">
        <v>0.01</v>
      </c>
      <c r="Q45" s="92">
        <v>0.01</v>
      </c>
      <c r="R45" s="92">
        <v>0.01</v>
      </c>
      <c r="S45" s="92">
        <v>0.01</v>
      </c>
      <c r="T45" s="92">
        <v>0.01</v>
      </c>
      <c r="U45" s="92">
        <v>0.01</v>
      </c>
      <c r="V45" s="92">
        <v>0.01</v>
      </c>
      <c r="W45" s="92">
        <v>0.01</v>
      </c>
      <c r="X45" s="92">
        <v>0.01</v>
      </c>
      <c r="Y45" s="92">
        <v>0.01</v>
      </c>
      <c r="Z45" s="92">
        <v>0.01</v>
      </c>
      <c r="AA45" s="92">
        <v>0.01</v>
      </c>
      <c r="AB45" s="92">
        <v>0.01</v>
      </c>
      <c r="AC45" s="92">
        <v>0.01</v>
      </c>
      <c r="AD45" s="92">
        <v>0.01</v>
      </c>
      <c r="AE45" s="92">
        <v>0.01</v>
      </c>
      <c r="AF45" s="92">
        <v>0.01</v>
      </c>
      <c r="AG45" s="92">
        <v>0.01</v>
      </c>
      <c r="AH45" s="92">
        <v>0.01</v>
      </c>
      <c r="AI45" s="92">
        <v>0.01</v>
      </c>
      <c r="AJ45" s="92">
        <v>0.01</v>
      </c>
      <c r="AK45" s="92">
        <v>0.01</v>
      </c>
      <c r="AL45" s="92">
        <v>0.01</v>
      </c>
      <c r="AM45" s="92">
        <v>0.01</v>
      </c>
      <c r="AN45" s="74"/>
      <c r="AO45" s="93">
        <f>AVERAGE(D45:O45)</f>
        <v>9.9999999999999985E-3</v>
      </c>
      <c r="AP45" s="93">
        <f>AVERAGE(P45:AA45)</f>
        <v>9.9999999999999985E-3</v>
      </c>
      <c r="AQ45" s="93">
        <f>AVERAGE(AB45:AM45)</f>
        <v>9.9999999999999985E-3</v>
      </c>
      <c r="AR45" s="76"/>
    </row>
    <row r="46" spans="1:44" s="69" customFormat="1" hidden="1" outlineLevel="1">
      <c r="A46" s="70" t="s">
        <v>98</v>
      </c>
      <c r="B46" s="71" t="s">
        <v>79</v>
      </c>
      <c r="C46" s="72"/>
      <c r="D46" s="92">
        <v>0.05</v>
      </c>
      <c r="E46" s="92">
        <v>0.05</v>
      </c>
      <c r="F46" s="92">
        <v>0.05</v>
      </c>
      <c r="G46" s="92">
        <v>0.05</v>
      </c>
      <c r="H46" s="92">
        <v>0.05</v>
      </c>
      <c r="I46" s="92">
        <v>0.05</v>
      </c>
      <c r="J46" s="92">
        <v>0.05</v>
      </c>
      <c r="K46" s="92">
        <v>0.05</v>
      </c>
      <c r="L46" s="92">
        <v>0.05</v>
      </c>
      <c r="M46" s="92">
        <v>0.05</v>
      </c>
      <c r="N46" s="92">
        <v>0.05</v>
      </c>
      <c r="O46" s="92">
        <v>0.05</v>
      </c>
      <c r="P46" s="92">
        <v>0.05</v>
      </c>
      <c r="Q46" s="92">
        <v>0.05</v>
      </c>
      <c r="R46" s="92">
        <v>0.05</v>
      </c>
      <c r="S46" s="92">
        <v>0.05</v>
      </c>
      <c r="T46" s="92">
        <v>0.05</v>
      </c>
      <c r="U46" s="92">
        <v>0.05</v>
      </c>
      <c r="V46" s="92">
        <v>0.05</v>
      </c>
      <c r="W46" s="92">
        <v>0.05</v>
      </c>
      <c r="X46" s="92">
        <v>0.05</v>
      </c>
      <c r="Y46" s="92">
        <v>0.05</v>
      </c>
      <c r="Z46" s="92">
        <v>0.05</v>
      </c>
      <c r="AA46" s="92">
        <v>0.05</v>
      </c>
      <c r="AB46" s="92">
        <v>0.05</v>
      </c>
      <c r="AC46" s="92">
        <v>0.05</v>
      </c>
      <c r="AD46" s="92">
        <v>0.05</v>
      </c>
      <c r="AE46" s="92">
        <v>0.05</v>
      </c>
      <c r="AF46" s="92">
        <v>0.05</v>
      </c>
      <c r="AG46" s="92">
        <v>0.05</v>
      </c>
      <c r="AH46" s="92">
        <v>0.05</v>
      </c>
      <c r="AI46" s="92">
        <v>0.05</v>
      </c>
      <c r="AJ46" s="92">
        <v>0.05</v>
      </c>
      <c r="AK46" s="92">
        <v>0.05</v>
      </c>
      <c r="AL46" s="92">
        <v>0.05</v>
      </c>
      <c r="AM46" s="92">
        <v>0.05</v>
      </c>
      <c r="AN46" s="74"/>
      <c r="AO46" s="93">
        <f t="shared" ref="AO46" si="102">AVERAGE(D46:O46)</f>
        <v>4.9999999999999996E-2</v>
      </c>
      <c r="AP46" s="93">
        <f t="shared" ref="AP46" si="103">AVERAGE(P46:AA46)</f>
        <v>4.9999999999999996E-2</v>
      </c>
      <c r="AQ46" s="93">
        <f>AVERAGE(AB46:AM46)</f>
        <v>4.9999999999999996E-2</v>
      </c>
      <c r="AR46" s="76"/>
    </row>
    <row r="47" spans="1:44" hidden="1" outlineLevel="1">
      <c r="A47" s="70" t="s">
        <v>80</v>
      </c>
      <c r="B47" s="71" t="s">
        <v>79</v>
      </c>
      <c r="C47" s="72"/>
      <c r="D47" s="92">
        <v>0.1</v>
      </c>
      <c r="E47" s="92">
        <v>0.1</v>
      </c>
      <c r="F47" s="92">
        <v>0.1</v>
      </c>
      <c r="G47" s="92">
        <v>0.1</v>
      </c>
      <c r="H47" s="92">
        <v>0.1</v>
      </c>
      <c r="I47" s="92">
        <v>0.1</v>
      </c>
      <c r="J47" s="92">
        <v>0.1</v>
      </c>
      <c r="K47" s="92">
        <v>0.1</v>
      </c>
      <c r="L47" s="92">
        <v>0.1</v>
      </c>
      <c r="M47" s="92">
        <v>0.1</v>
      </c>
      <c r="N47" s="92">
        <v>0.1</v>
      </c>
      <c r="O47" s="92">
        <v>0.1</v>
      </c>
      <c r="P47" s="92">
        <v>0.1</v>
      </c>
      <c r="Q47" s="92">
        <v>0.1</v>
      </c>
      <c r="R47" s="92">
        <v>0.1</v>
      </c>
      <c r="S47" s="92">
        <v>0.1</v>
      </c>
      <c r="T47" s="92">
        <v>0.1</v>
      </c>
      <c r="U47" s="92">
        <v>0.1</v>
      </c>
      <c r="V47" s="92">
        <v>0.1</v>
      </c>
      <c r="W47" s="92">
        <v>0.1</v>
      </c>
      <c r="X47" s="92">
        <v>0.1</v>
      </c>
      <c r="Y47" s="92">
        <v>0.1</v>
      </c>
      <c r="Z47" s="92">
        <v>0.1</v>
      </c>
      <c r="AA47" s="92">
        <v>0.1</v>
      </c>
      <c r="AB47" s="92">
        <v>0.1</v>
      </c>
      <c r="AC47" s="92">
        <v>0.1</v>
      </c>
      <c r="AD47" s="92">
        <v>0.1</v>
      </c>
      <c r="AE47" s="92">
        <v>0.1</v>
      </c>
      <c r="AF47" s="92">
        <v>0.1</v>
      </c>
      <c r="AG47" s="92">
        <v>0.1</v>
      </c>
      <c r="AH47" s="92">
        <v>0.1</v>
      </c>
      <c r="AI47" s="92">
        <v>0.1</v>
      </c>
      <c r="AJ47" s="92">
        <v>0.1</v>
      </c>
      <c r="AK47" s="92">
        <v>0.1</v>
      </c>
      <c r="AL47" s="92">
        <v>0.1</v>
      </c>
      <c r="AM47" s="92">
        <v>0.1</v>
      </c>
      <c r="AN47" s="81"/>
      <c r="AO47" s="93">
        <f t="shared" ref="AO47:AO48" si="104">AVERAGE(D47:O47)</f>
        <v>9.9999999999999992E-2</v>
      </c>
      <c r="AP47" s="93">
        <f t="shared" ref="AP47:AP48" si="105">AVERAGE(P47:AA47)</f>
        <v>9.9999999999999992E-2</v>
      </c>
      <c r="AQ47" s="93">
        <f t="shared" ref="AQ47:AQ48" si="106">AVERAGE(AB47:AM47)</f>
        <v>9.9999999999999992E-2</v>
      </c>
      <c r="AR47" s="82"/>
    </row>
    <row r="48" spans="1:44" hidden="1" outlineLevel="1">
      <c r="A48" s="70" t="s">
        <v>81</v>
      </c>
      <c r="B48" s="72" t="s">
        <v>79</v>
      </c>
      <c r="C48" s="72"/>
      <c r="D48" s="92">
        <v>0.05</v>
      </c>
      <c r="E48" s="92">
        <v>0.05</v>
      </c>
      <c r="F48" s="92">
        <v>0.05</v>
      </c>
      <c r="G48" s="92">
        <v>0.05</v>
      </c>
      <c r="H48" s="92">
        <v>0.05</v>
      </c>
      <c r="I48" s="92">
        <v>0.05</v>
      </c>
      <c r="J48" s="92">
        <v>0.05</v>
      </c>
      <c r="K48" s="92">
        <v>0.05</v>
      </c>
      <c r="L48" s="92">
        <v>0.05</v>
      </c>
      <c r="M48" s="92">
        <v>0.05</v>
      </c>
      <c r="N48" s="92">
        <v>0.05</v>
      </c>
      <c r="O48" s="92">
        <v>0.05</v>
      </c>
      <c r="P48" s="92">
        <v>0.05</v>
      </c>
      <c r="Q48" s="92">
        <v>0.05</v>
      </c>
      <c r="R48" s="92">
        <v>0.05</v>
      </c>
      <c r="S48" s="92">
        <v>0.05</v>
      </c>
      <c r="T48" s="92">
        <v>0.05</v>
      </c>
      <c r="U48" s="92">
        <v>0.05</v>
      </c>
      <c r="V48" s="92">
        <v>0.05</v>
      </c>
      <c r="W48" s="92">
        <v>0.05</v>
      </c>
      <c r="X48" s="92">
        <v>0.05</v>
      </c>
      <c r="Y48" s="92">
        <v>0.05</v>
      </c>
      <c r="Z48" s="92">
        <v>0.05</v>
      </c>
      <c r="AA48" s="92">
        <v>0.05</v>
      </c>
      <c r="AB48" s="92">
        <v>0.05</v>
      </c>
      <c r="AC48" s="92">
        <v>0.05</v>
      </c>
      <c r="AD48" s="92">
        <v>0.05</v>
      </c>
      <c r="AE48" s="92">
        <v>0.05</v>
      </c>
      <c r="AF48" s="92">
        <v>0.05</v>
      </c>
      <c r="AG48" s="92">
        <v>0.05</v>
      </c>
      <c r="AH48" s="92">
        <v>0.05</v>
      </c>
      <c r="AI48" s="92">
        <v>0.05</v>
      </c>
      <c r="AJ48" s="92">
        <v>0.05</v>
      </c>
      <c r="AK48" s="92">
        <v>0.05</v>
      </c>
      <c r="AL48" s="92">
        <v>0.05</v>
      </c>
      <c r="AM48" s="92">
        <v>0.05</v>
      </c>
      <c r="AN48" s="81"/>
      <c r="AO48" s="93">
        <f t="shared" si="104"/>
        <v>4.9999999999999996E-2</v>
      </c>
      <c r="AP48" s="93">
        <f t="shared" si="105"/>
        <v>4.9999999999999996E-2</v>
      </c>
      <c r="AQ48" s="93">
        <f t="shared" si="106"/>
        <v>4.9999999999999996E-2</v>
      </c>
      <c r="AR48" s="82"/>
    </row>
    <row r="49" spans="1:44" hidden="1" outlineLevel="1">
      <c r="A49" s="70" t="s">
        <v>82</v>
      </c>
      <c r="B49" s="71" t="s">
        <v>78</v>
      </c>
      <c r="C49" s="72"/>
      <c r="D49" s="73">
        <f>-D44*D48</f>
        <v>-75</v>
      </c>
      <c r="E49" s="73">
        <f t="shared" ref="E49" si="107">-E44*E48</f>
        <v>-130</v>
      </c>
      <c r="F49" s="73">
        <f t="shared" ref="F49:AM49" si="108">-F44*F48</f>
        <v>-171.66666666666669</v>
      </c>
      <c r="G49" s="73">
        <f t="shared" si="108"/>
        <v>-204.44444444444449</v>
      </c>
      <c r="H49" s="73">
        <f t="shared" si="108"/>
        <v>-231.2962962962963</v>
      </c>
      <c r="I49" s="73">
        <f t="shared" si="108"/>
        <v>-254.19753086419757</v>
      </c>
      <c r="J49" s="73">
        <f t="shared" si="108"/>
        <v>-269.46502057613174</v>
      </c>
      <c r="K49" s="73">
        <f t="shared" si="108"/>
        <v>-289.64334705075447</v>
      </c>
      <c r="L49" s="73">
        <f t="shared" si="108"/>
        <v>-313.09556470050302</v>
      </c>
      <c r="M49" s="73">
        <f t="shared" si="108"/>
        <v>-338.73037646700209</v>
      </c>
      <c r="N49" s="73">
        <f t="shared" si="108"/>
        <v>-365.82025097800135</v>
      </c>
      <c r="O49" s="73">
        <f t="shared" si="108"/>
        <v>-393.88016731866759</v>
      </c>
      <c r="P49" s="73">
        <f t="shared" si="108"/>
        <v>-412.58677821244504</v>
      </c>
      <c r="Q49" s="73">
        <f t="shared" si="108"/>
        <v>-425.05785214163001</v>
      </c>
      <c r="R49" s="73">
        <f t="shared" si="108"/>
        <v>-433.37190142775336</v>
      </c>
      <c r="S49" s="73">
        <f t="shared" si="108"/>
        <v>-438.91460095183561</v>
      </c>
      <c r="T49" s="73">
        <f t="shared" si="108"/>
        <v>-442.60973396789041</v>
      </c>
      <c r="U49" s="73">
        <f t="shared" si="108"/>
        <v>-445.0731559785936</v>
      </c>
      <c r="V49" s="73">
        <f t="shared" si="108"/>
        <v>-446.7154373190624</v>
      </c>
      <c r="W49" s="73">
        <f t="shared" si="108"/>
        <v>-447.81029154604158</v>
      </c>
      <c r="X49" s="73">
        <f t="shared" si="108"/>
        <v>-448.54019436402768</v>
      </c>
      <c r="Y49" s="73">
        <f t="shared" si="108"/>
        <v>-449.02679624268512</v>
      </c>
      <c r="Z49" s="73">
        <f t="shared" si="108"/>
        <v>-449.35119749512342</v>
      </c>
      <c r="AA49" s="73">
        <f t="shared" si="108"/>
        <v>-449.56746499674892</v>
      </c>
      <c r="AB49" s="73">
        <f t="shared" si="108"/>
        <v>-449.71164333116599</v>
      </c>
      <c r="AC49" s="73">
        <f t="shared" si="108"/>
        <v>-449.80776222077731</v>
      </c>
      <c r="AD49" s="73">
        <f t="shared" si="108"/>
        <v>-449.87184148051824</v>
      </c>
      <c r="AE49" s="73">
        <f t="shared" si="108"/>
        <v>-449.91456098701212</v>
      </c>
      <c r="AF49" s="73">
        <f t="shared" si="108"/>
        <v>-449.9430406580081</v>
      </c>
      <c r="AG49" s="73">
        <f t="shared" si="108"/>
        <v>-449.96202710533873</v>
      </c>
      <c r="AH49" s="73">
        <f t="shared" si="108"/>
        <v>-449.97468473689253</v>
      </c>
      <c r="AI49" s="73">
        <f t="shared" si="108"/>
        <v>-449.98312315792839</v>
      </c>
      <c r="AJ49" s="73">
        <f t="shared" si="108"/>
        <v>-449.98874877195226</v>
      </c>
      <c r="AK49" s="73">
        <f t="shared" si="108"/>
        <v>-449.99249918130147</v>
      </c>
      <c r="AL49" s="73">
        <f t="shared" si="108"/>
        <v>-449.99499945420098</v>
      </c>
      <c r="AM49" s="73">
        <f t="shared" si="108"/>
        <v>-449.99666630280063</v>
      </c>
      <c r="AN49" s="81"/>
      <c r="AO49" s="75">
        <f>O49</f>
        <v>-393.88016731866759</v>
      </c>
      <c r="AP49" s="75">
        <f>AA49</f>
        <v>-449.56746499674892</v>
      </c>
      <c r="AQ49" s="75">
        <f>AM49</f>
        <v>-449.99666630280063</v>
      </c>
      <c r="AR49" s="82"/>
    </row>
    <row r="50" spans="1:44" hidden="1" outlineLevel="1">
      <c r="A50" s="70" t="s">
        <v>97</v>
      </c>
      <c r="B50" s="71" t="s">
        <v>78</v>
      </c>
      <c r="C50" s="72"/>
      <c r="D50" s="73">
        <f>D41*D46*(1-2/102)</f>
        <v>73.529411764705884</v>
      </c>
      <c r="E50" s="73">
        <f>E41*E46*(1-2/102)</f>
        <v>78.431372549019599</v>
      </c>
      <c r="F50" s="73">
        <f t="shared" ref="F50:AM50" si="109">F41*F46*(1-2/102)</f>
        <v>83.333333333333329</v>
      </c>
      <c r="G50" s="73">
        <f t="shared" si="109"/>
        <v>88.235294117647058</v>
      </c>
      <c r="H50" s="73">
        <f t="shared" si="109"/>
        <v>93.137254901960787</v>
      </c>
      <c r="I50" s="73">
        <f t="shared" si="109"/>
        <v>98.039215686274503</v>
      </c>
      <c r="J50" s="73">
        <f t="shared" si="109"/>
        <v>98.039215686274503</v>
      </c>
      <c r="K50" s="73">
        <f t="shared" si="109"/>
        <v>107.84313725490196</v>
      </c>
      <c r="L50" s="73">
        <f t="shared" si="109"/>
        <v>117.64705882352941</v>
      </c>
      <c r="M50" s="73">
        <f t="shared" si="109"/>
        <v>127.45098039215685</v>
      </c>
      <c r="N50" s="73">
        <f t="shared" si="109"/>
        <v>137.25490196078431</v>
      </c>
      <c r="O50" s="73">
        <f t="shared" si="109"/>
        <v>147.05882352941177</v>
      </c>
      <c r="P50" s="73">
        <f t="shared" si="109"/>
        <v>147.05882352941177</v>
      </c>
      <c r="Q50" s="73">
        <f t="shared" si="109"/>
        <v>147.05882352941177</v>
      </c>
      <c r="R50" s="73">
        <f t="shared" si="109"/>
        <v>147.05882352941177</v>
      </c>
      <c r="S50" s="73">
        <f t="shared" si="109"/>
        <v>147.05882352941177</v>
      </c>
      <c r="T50" s="73">
        <f t="shared" si="109"/>
        <v>147.05882352941177</v>
      </c>
      <c r="U50" s="73">
        <f t="shared" si="109"/>
        <v>147.05882352941177</v>
      </c>
      <c r="V50" s="73">
        <f t="shared" si="109"/>
        <v>147.05882352941177</v>
      </c>
      <c r="W50" s="73">
        <f t="shared" si="109"/>
        <v>147.05882352941177</v>
      </c>
      <c r="X50" s="73">
        <f t="shared" si="109"/>
        <v>147.05882352941177</v>
      </c>
      <c r="Y50" s="73">
        <f t="shared" si="109"/>
        <v>147.05882352941177</v>
      </c>
      <c r="Z50" s="73">
        <f t="shared" si="109"/>
        <v>147.05882352941177</v>
      </c>
      <c r="AA50" s="73">
        <f t="shared" si="109"/>
        <v>147.05882352941177</v>
      </c>
      <c r="AB50" s="73">
        <f t="shared" si="109"/>
        <v>147.05882352941177</v>
      </c>
      <c r="AC50" s="73">
        <f t="shared" si="109"/>
        <v>147.05882352941177</v>
      </c>
      <c r="AD50" s="73">
        <f t="shared" si="109"/>
        <v>147.05882352941177</v>
      </c>
      <c r="AE50" s="73">
        <f t="shared" si="109"/>
        <v>147.05882352941177</v>
      </c>
      <c r="AF50" s="73">
        <f t="shared" si="109"/>
        <v>147.05882352941177</v>
      </c>
      <c r="AG50" s="73">
        <f t="shared" si="109"/>
        <v>147.05882352941177</v>
      </c>
      <c r="AH50" s="73">
        <f t="shared" si="109"/>
        <v>147.05882352941177</v>
      </c>
      <c r="AI50" s="73">
        <f t="shared" si="109"/>
        <v>147.05882352941177</v>
      </c>
      <c r="AJ50" s="73">
        <f t="shared" si="109"/>
        <v>147.05882352941177</v>
      </c>
      <c r="AK50" s="73">
        <f t="shared" si="109"/>
        <v>147.05882352941177</v>
      </c>
      <c r="AL50" s="73">
        <f t="shared" si="109"/>
        <v>147.05882352941177</v>
      </c>
      <c r="AM50" s="73">
        <f t="shared" si="109"/>
        <v>147.05882352941177</v>
      </c>
      <c r="AN50" s="81"/>
      <c r="AO50" s="75">
        <f>SUM(D50:O50)</f>
        <v>1249.9999999999998</v>
      </c>
      <c r="AP50" s="75">
        <f>SUM(P50:AA50)</f>
        <v>1764.7058823529408</v>
      </c>
      <c r="AQ50" s="75">
        <f>SUM(AB50:AM50)</f>
        <v>1764.7058823529408</v>
      </c>
      <c r="AR50" s="82"/>
    </row>
    <row r="51" spans="1:44" hidden="1" outlineLevel="1">
      <c r="A51" s="70" t="s">
        <v>92</v>
      </c>
      <c r="B51" s="71" t="s">
        <v>78</v>
      </c>
      <c r="C51" s="72"/>
      <c r="D51" s="73">
        <f t="shared" ref="D51:E51" si="110">-(C44+D44)/2*D47/12</f>
        <v>-6.25</v>
      </c>
      <c r="E51" s="73">
        <f t="shared" si="110"/>
        <v>-17.083333333333332</v>
      </c>
      <c r="F51" s="73">
        <f t="shared" ref="F51" si="111">-(E44+F44)/2*F47/12</f>
        <v>-25.138888888888889</v>
      </c>
      <c r="G51" s="73">
        <f t="shared" ref="G51" si="112">-(F44+G44)/2*G47/12</f>
        <v>-31.342592592592595</v>
      </c>
      <c r="H51" s="73">
        <f t="shared" ref="H51" si="113">-(G44+H44)/2*H47/12</f>
        <v>-36.311728395061735</v>
      </c>
      <c r="I51" s="73">
        <f t="shared" ref="I51" si="114">-(H44+I44)/2*I47/12</f>
        <v>-40.457818930041157</v>
      </c>
      <c r="J51" s="73">
        <f t="shared" ref="J51" si="115">-(I44+J44)/2*J47/12</f>
        <v>-43.638545953360783</v>
      </c>
      <c r="K51" s="73">
        <f t="shared" ref="K51" si="116">-(J44+K44)/2*K47/12</f>
        <v>-46.592363968907186</v>
      </c>
      <c r="L51" s="73">
        <f t="shared" ref="L51" si="117">-(K44+L44)/2*L47/12</f>
        <v>-50.228242645938131</v>
      </c>
      <c r="M51" s="73">
        <f t="shared" ref="M51" si="118">-(L44+M44)/2*M47/12</f>
        <v>-54.318828430625423</v>
      </c>
      <c r="N51" s="73">
        <f t="shared" ref="N51" si="119">-(M44+N44)/2*N47/12</f>
        <v>-58.712552287083618</v>
      </c>
      <c r="O51" s="73">
        <f t="shared" ref="O51" si="120">-(N44+O44)/2*O47/12</f>
        <v>-63.308368191389071</v>
      </c>
      <c r="P51" s="73">
        <f t="shared" ref="P51" si="121">-(O44+P44)/2*P47/12</f>
        <v>-67.205578794259381</v>
      </c>
      <c r="Q51" s="73">
        <f t="shared" ref="Q51" si="122">-(P44+Q44)/2*Q47/12</f>
        <v>-69.803719196172921</v>
      </c>
      <c r="R51" s="73">
        <f t="shared" ref="R51" si="123">-(Q44+R44)/2*R47/12</f>
        <v>-71.535812797448614</v>
      </c>
      <c r="S51" s="73">
        <f t="shared" ref="S51" si="124">-(R44+S44)/2*S47/12</f>
        <v>-72.690541864965752</v>
      </c>
      <c r="T51" s="73">
        <f t="shared" ref="T51" si="125">-(S44+T44)/2*T47/12</f>
        <v>-73.460361243310487</v>
      </c>
      <c r="U51" s="73">
        <f t="shared" ref="U51" si="126">-(T44+U44)/2*U47/12</f>
        <v>-73.973574162207001</v>
      </c>
      <c r="V51" s="73">
        <f t="shared" ref="V51" si="127">-(U44+V44)/2*V47/12</f>
        <v>-74.315716108138005</v>
      </c>
      <c r="W51" s="73">
        <f t="shared" ref="W51" si="128">-(V44+W44)/2*W47/12</f>
        <v>-74.543810738758665</v>
      </c>
      <c r="X51" s="73">
        <f t="shared" ref="X51" si="129">-(W44+X44)/2*X47/12</f>
        <v>-74.695873825839115</v>
      </c>
      <c r="Y51" s="73">
        <f t="shared" ref="Y51" si="130">-(X44+Y44)/2*Y47/12</f>
        <v>-74.797249217226067</v>
      </c>
      <c r="Z51" s="73">
        <f t="shared" ref="Z51" si="131">-(Y44+Z44)/2*Z47/12</f>
        <v>-74.86483281148405</v>
      </c>
      <c r="AA51" s="73">
        <f t="shared" ref="AA51" si="132">-(Z44+AA44)/2*AA47/12</f>
        <v>-74.909888540989357</v>
      </c>
      <c r="AB51" s="73">
        <f t="shared" ref="AB51" si="133">-(AA44+AB44)/2*AB47/12</f>
        <v>-74.939925693992919</v>
      </c>
      <c r="AC51" s="73">
        <f t="shared" ref="AC51" si="134">-(AB44+AC44)/2*AC47/12</f>
        <v>-74.959950462661936</v>
      </c>
      <c r="AD51" s="73">
        <f t="shared" ref="AD51" si="135">-(AC44+AD44)/2*AD47/12</f>
        <v>-74.973300308441296</v>
      </c>
      <c r="AE51" s="73">
        <f t="shared" ref="AE51" si="136">-(AD44+AE44)/2*AE47/12</f>
        <v>-74.982200205627521</v>
      </c>
      <c r="AF51" s="73">
        <f t="shared" ref="AF51" si="137">-(AE44+AF44)/2*AF47/12</f>
        <v>-74.988133470418362</v>
      </c>
      <c r="AG51" s="73">
        <f t="shared" ref="AG51" si="138">-(AF44+AG44)/2*AG47/12</f>
        <v>-74.992088980278893</v>
      </c>
      <c r="AH51" s="73">
        <f t="shared" ref="AH51" si="139">-(AG44+AH44)/2*AH47/12</f>
        <v>-74.994725986852615</v>
      </c>
      <c r="AI51" s="73">
        <f t="shared" ref="AI51" si="140">-(AH44+AI44)/2*AI47/12</f>
        <v>-74.996483991235081</v>
      </c>
      <c r="AJ51" s="73">
        <f t="shared" ref="AJ51" si="141">-(AI44+AJ44)/2*AJ47/12</f>
        <v>-74.997655994156716</v>
      </c>
      <c r="AK51" s="73">
        <f t="shared" ref="AK51" si="142">-(AJ44+AK44)/2*AK47/12</f>
        <v>-74.998437329437806</v>
      </c>
      <c r="AL51" s="73">
        <f t="shared" ref="AL51" si="143">-(AK44+AL44)/2*AL47/12</f>
        <v>-74.998958219625209</v>
      </c>
      <c r="AM51" s="73">
        <f t="shared" ref="AM51" si="144">-(AL44+AM44)/2*AM47/12</f>
        <v>-74.999305479750134</v>
      </c>
      <c r="AN51" s="81"/>
      <c r="AO51" s="75">
        <f>SUM(D51:O51)</f>
        <v>-473.38326361722193</v>
      </c>
      <c r="AP51" s="75">
        <f>SUM(P51:AA51)</f>
        <v>-876.79695930079947</v>
      </c>
      <c r="AQ51" s="75">
        <f>SUM(AB51:AM51)</f>
        <v>-899.82116612247853</v>
      </c>
      <c r="AR51" s="82"/>
    </row>
    <row r="52" spans="1:44" hidden="1" outlineLevel="1">
      <c r="A52" s="70" t="s">
        <v>99</v>
      </c>
      <c r="B52" s="71" t="s">
        <v>78</v>
      </c>
      <c r="C52" s="72"/>
      <c r="D52" s="73">
        <f>-D45*D41</f>
        <v>-15</v>
      </c>
      <c r="E52" s="73">
        <f>-E45*E41</f>
        <v>-16</v>
      </c>
      <c r="F52" s="73">
        <f t="shared" ref="F52:AM52" si="145">-F45*F41</f>
        <v>-17</v>
      </c>
      <c r="G52" s="73">
        <f t="shared" si="145"/>
        <v>-18</v>
      </c>
      <c r="H52" s="73">
        <f t="shared" si="145"/>
        <v>-19</v>
      </c>
      <c r="I52" s="73">
        <f t="shared" si="145"/>
        <v>-20</v>
      </c>
      <c r="J52" s="73">
        <f t="shared" si="145"/>
        <v>-20</v>
      </c>
      <c r="K52" s="73">
        <f t="shared" si="145"/>
        <v>-22</v>
      </c>
      <c r="L52" s="73">
        <f t="shared" si="145"/>
        <v>-24</v>
      </c>
      <c r="M52" s="73">
        <f t="shared" si="145"/>
        <v>-26</v>
      </c>
      <c r="N52" s="73">
        <f t="shared" si="145"/>
        <v>-28</v>
      </c>
      <c r="O52" s="73">
        <f t="shared" si="145"/>
        <v>-30</v>
      </c>
      <c r="P52" s="73">
        <f t="shared" si="145"/>
        <v>-30</v>
      </c>
      <c r="Q52" s="73">
        <f t="shared" si="145"/>
        <v>-30</v>
      </c>
      <c r="R52" s="73">
        <f t="shared" si="145"/>
        <v>-30</v>
      </c>
      <c r="S52" s="73">
        <f t="shared" si="145"/>
        <v>-30</v>
      </c>
      <c r="T52" s="73">
        <f t="shared" si="145"/>
        <v>-30</v>
      </c>
      <c r="U52" s="73">
        <f t="shared" si="145"/>
        <v>-30</v>
      </c>
      <c r="V52" s="73">
        <f t="shared" si="145"/>
        <v>-30</v>
      </c>
      <c r="W52" s="73">
        <f t="shared" si="145"/>
        <v>-30</v>
      </c>
      <c r="X52" s="73">
        <f t="shared" si="145"/>
        <v>-30</v>
      </c>
      <c r="Y52" s="73">
        <f t="shared" si="145"/>
        <v>-30</v>
      </c>
      <c r="Z52" s="73">
        <f t="shared" si="145"/>
        <v>-30</v>
      </c>
      <c r="AA52" s="73">
        <f t="shared" si="145"/>
        <v>-30</v>
      </c>
      <c r="AB52" s="73">
        <f t="shared" si="145"/>
        <v>-30</v>
      </c>
      <c r="AC52" s="73">
        <f t="shared" si="145"/>
        <v>-30</v>
      </c>
      <c r="AD52" s="73">
        <f t="shared" si="145"/>
        <v>-30</v>
      </c>
      <c r="AE52" s="73">
        <f t="shared" si="145"/>
        <v>-30</v>
      </c>
      <c r="AF52" s="73">
        <f t="shared" si="145"/>
        <v>-30</v>
      </c>
      <c r="AG52" s="73">
        <f t="shared" si="145"/>
        <v>-30</v>
      </c>
      <c r="AH52" s="73">
        <f t="shared" si="145"/>
        <v>-30</v>
      </c>
      <c r="AI52" s="73">
        <f t="shared" si="145"/>
        <v>-30</v>
      </c>
      <c r="AJ52" s="73">
        <f t="shared" si="145"/>
        <v>-30</v>
      </c>
      <c r="AK52" s="73">
        <f t="shared" si="145"/>
        <v>-30</v>
      </c>
      <c r="AL52" s="73">
        <f t="shared" si="145"/>
        <v>-30</v>
      </c>
      <c r="AM52" s="73">
        <f t="shared" si="145"/>
        <v>-30</v>
      </c>
      <c r="AN52" s="81"/>
      <c r="AO52" s="75">
        <f>SUM(D52:O52)</f>
        <v>-255</v>
      </c>
      <c r="AP52" s="75">
        <f>SUM(P52:AA52)</f>
        <v>-360</v>
      </c>
      <c r="AQ52" s="75">
        <f>SUM(AB52:AM52)</f>
        <v>-360</v>
      </c>
      <c r="AR52" s="82"/>
    </row>
    <row r="53" spans="1:44" hidden="1" outlineLevel="1">
      <c r="A53" s="70" t="s">
        <v>93</v>
      </c>
      <c r="B53" s="71" t="s">
        <v>78</v>
      </c>
      <c r="C53" s="72"/>
      <c r="D53" s="78">
        <f>(D49-C49)</f>
        <v>-75</v>
      </c>
      <c r="E53" s="78">
        <f t="shared" ref="E53" si="146">(E49-D49)</f>
        <v>-55</v>
      </c>
      <c r="F53" s="78">
        <f t="shared" ref="F53" si="147">(F49-E49)</f>
        <v>-41.666666666666686</v>
      </c>
      <c r="G53" s="78">
        <f t="shared" ref="G53" si="148">(G49-F49)</f>
        <v>-32.7777777777778</v>
      </c>
      <c r="H53" s="78">
        <f t="shared" ref="H53" si="149">(H49-G49)</f>
        <v>-26.851851851851819</v>
      </c>
      <c r="I53" s="78">
        <f t="shared" ref="I53" si="150">(I49-H49)</f>
        <v>-22.90123456790127</v>
      </c>
      <c r="J53" s="78">
        <f t="shared" ref="J53" si="151">(J49-I49)</f>
        <v>-15.267489711934161</v>
      </c>
      <c r="K53" s="78">
        <f t="shared" ref="K53" si="152">(K49-J49)</f>
        <v>-20.178326474622736</v>
      </c>
      <c r="L53" s="78">
        <f t="shared" ref="L53" si="153">(L49-K49)</f>
        <v>-23.452217649748548</v>
      </c>
      <c r="M53" s="78">
        <f t="shared" ref="M53" si="154">(M49-L49)</f>
        <v>-25.63481176649907</v>
      </c>
      <c r="N53" s="78">
        <f t="shared" ref="N53" si="155">(N49-M49)</f>
        <v>-27.089874510999266</v>
      </c>
      <c r="O53" s="78">
        <f t="shared" ref="O53" si="156">(O49-N49)</f>
        <v>-28.059916340666234</v>
      </c>
      <c r="P53" s="78">
        <f t="shared" ref="P53" si="157">(P49-O49)</f>
        <v>-18.706610893777452</v>
      </c>
      <c r="Q53" s="78">
        <f t="shared" ref="Q53" si="158">(Q49-P49)</f>
        <v>-12.471073929184968</v>
      </c>
      <c r="R53" s="78">
        <f t="shared" ref="R53" si="159">(R49-Q49)</f>
        <v>-8.3140492861233497</v>
      </c>
      <c r="S53" s="78">
        <f t="shared" ref="S53" si="160">(S49-R49)</f>
        <v>-5.5426995240822521</v>
      </c>
      <c r="T53" s="78">
        <f t="shared" ref="T53" si="161">(T49-S49)</f>
        <v>-3.6951330160547968</v>
      </c>
      <c r="U53" s="78">
        <f t="shared" ref="U53" si="162">(U49-T49)</f>
        <v>-2.4634220107031979</v>
      </c>
      <c r="V53" s="78">
        <f t="shared" ref="V53" si="163">(V49-U49)</f>
        <v>-1.6422813404687986</v>
      </c>
      <c r="W53" s="78">
        <f t="shared" ref="W53" si="164">(W49-V49)</f>
        <v>-1.0948542269791801</v>
      </c>
      <c r="X53" s="78">
        <f t="shared" ref="X53" si="165">(X49-W49)</f>
        <v>-0.72990281798610113</v>
      </c>
      <c r="Y53" s="78">
        <f t="shared" ref="Y53" si="166">(Y49-X49)</f>
        <v>-0.48660187865743865</v>
      </c>
      <c r="Z53" s="78">
        <f t="shared" ref="Z53" si="167">(Z49-Y49)</f>
        <v>-0.32440125243829243</v>
      </c>
      <c r="AA53" s="78">
        <f t="shared" ref="AA53" si="168">(AA49-Z49)</f>
        <v>-0.21626750162550934</v>
      </c>
      <c r="AB53" s="78">
        <f t="shared" ref="AB53" si="169">(AB49-AA49)</f>
        <v>-0.14417833441706307</v>
      </c>
      <c r="AC53" s="78">
        <f t="shared" ref="AC53" si="170">(AC49-AB49)</f>
        <v>-9.6118889611318536E-2</v>
      </c>
      <c r="AD53" s="78">
        <f t="shared" ref="AD53" si="171">(AD49-AC49)</f>
        <v>-6.4079259740935868E-2</v>
      </c>
      <c r="AE53" s="78">
        <f t="shared" ref="AE53" si="172">(AE49-AD49)</f>
        <v>-4.2719506493881454E-2</v>
      </c>
      <c r="AF53" s="78">
        <f t="shared" ref="AF53" si="173">(AF49-AE49)</f>
        <v>-2.8479670995977813E-2</v>
      </c>
      <c r="AG53" s="78">
        <f t="shared" ref="AG53" si="174">(AG49-AF49)</f>
        <v>-1.8986447330632927E-2</v>
      </c>
      <c r="AH53" s="78">
        <f t="shared" ref="AH53" si="175">(AH49-AG49)</f>
        <v>-1.2657631553793181E-2</v>
      </c>
      <c r="AI53" s="78">
        <f t="shared" ref="AI53" si="176">(AI49-AH49)</f>
        <v>-8.4384210358621203E-3</v>
      </c>
      <c r="AJ53" s="78">
        <f t="shared" ref="AJ53" si="177">(AJ49-AI49)</f>
        <v>-5.6256140238701846E-3</v>
      </c>
      <c r="AK53" s="78">
        <f t="shared" ref="AK53" si="178">(AK49-AJ49)</f>
        <v>-3.7504093492088941E-3</v>
      </c>
      <c r="AL53" s="78">
        <f t="shared" ref="AL53" si="179">(AL49-AK49)</f>
        <v>-2.5002728995104917E-3</v>
      </c>
      <c r="AM53" s="78">
        <f t="shared" ref="AM53" si="180">(AM49-AL49)</f>
        <v>-1.6668485996547133E-3</v>
      </c>
      <c r="AN53" s="81"/>
      <c r="AO53" s="75">
        <f>SUM(D53:O53)</f>
        <v>-393.88016731866759</v>
      </c>
      <c r="AP53" s="75">
        <f>SUM(P53:AA53)</f>
        <v>-55.687297678081336</v>
      </c>
      <c r="AQ53" s="75">
        <f>SUM(AB53:AM53)</f>
        <v>-0.42920130605170925</v>
      </c>
      <c r="AR53" s="82"/>
    </row>
    <row r="54" spans="1:44" hidden="1" outlineLevel="1">
      <c r="A54" s="70" t="s">
        <v>122</v>
      </c>
      <c r="B54" s="71" t="s">
        <v>78</v>
      </c>
      <c r="C54" s="72"/>
      <c r="D54" s="78">
        <f>SUM(D50:D53)</f>
        <v>-22.720588235294116</v>
      </c>
      <c r="E54" s="78">
        <f t="shared" ref="E54:AM54" si="181">SUM(E50:E53)</f>
        <v>-9.6519607843137294</v>
      </c>
      <c r="F54" s="78">
        <f t="shared" si="181"/>
        <v>-0.47222222222224275</v>
      </c>
      <c r="G54" s="78">
        <f t="shared" si="181"/>
        <v>6.1149237472766629</v>
      </c>
      <c r="H54" s="78">
        <f t="shared" si="181"/>
        <v>10.973674655047233</v>
      </c>
      <c r="I54" s="78">
        <f t="shared" si="181"/>
        <v>14.680162188332076</v>
      </c>
      <c r="J54" s="78">
        <f t="shared" si="181"/>
        <v>19.133180020979559</v>
      </c>
      <c r="K54" s="78">
        <f t="shared" si="181"/>
        <v>19.072446811372039</v>
      </c>
      <c r="L54" s="78">
        <f t="shared" si="181"/>
        <v>19.966598527842734</v>
      </c>
      <c r="M54" s="78">
        <f t="shared" si="181"/>
        <v>21.497340195032365</v>
      </c>
      <c r="N54" s="78">
        <f t="shared" si="181"/>
        <v>23.452475162701433</v>
      </c>
      <c r="O54" s="78">
        <f t="shared" si="181"/>
        <v>25.69053899735647</v>
      </c>
      <c r="P54" s="78">
        <f t="shared" si="181"/>
        <v>31.146633841374936</v>
      </c>
      <c r="Q54" s="78">
        <f t="shared" si="181"/>
        <v>34.78403040405388</v>
      </c>
      <c r="R54" s="78">
        <f t="shared" si="181"/>
        <v>37.208961445839805</v>
      </c>
      <c r="S54" s="78">
        <f t="shared" si="181"/>
        <v>38.825582140363764</v>
      </c>
      <c r="T54" s="78">
        <f t="shared" si="181"/>
        <v>39.903329270046484</v>
      </c>
      <c r="U54" s="78">
        <f t="shared" si="181"/>
        <v>40.621827356501569</v>
      </c>
      <c r="V54" s="78">
        <f t="shared" si="181"/>
        <v>41.100826080804964</v>
      </c>
      <c r="W54" s="78">
        <f t="shared" si="181"/>
        <v>41.420158563673922</v>
      </c>
      <c r="X54" s="78">
        <f t="shared" si="181"/>
        <v>41.633046885586552</v>
      </c>
      <c r="Y54" s="78">
        <f t="shared" si="181"/>
        <v>41.774972433528262</v>
      </c>
      <c r="Z54" s="78">
        <f t="shared" si="181"/>
        <v>41.869589465489426</v>
      </c>
      <c r="AA54" s="78">
        <f t="shared" si="181"/>
        <v>41.932667486796902</v>
      </c>
      <c r="AB54" s="78">
        <f t="shared" si="181"/>
        <v>41.974719501001786</v>
      </c>
      <c r="AC54" s="78">
        <f t="shared" si="181"/>
        <v>42.002754177138513</v>
      </c>
      <c r="AD54" s="78">
        <f t="shared" si="181"/>
        <v>42.021443961229537</v>
      </c>
      <c r="AE54" s="78">
        <f t="shared" si="181"/>
        <v>42.033903817290366</v>
      </c>
      <c r="AF54" s="78">
        <f t="shared" si="181"/>
        <v>42.042210387997429</v>
      </c>
      <c r="AG54" s="78">
        <f t="shared" si="181"/>
        <v>42.047748101802242</v>
      </c>
      <c r="AH54" s="78">
        <f t="shared" si="181"/>
        <v>42.05143991100536</v>
      </c>
      <c r="AI54" s="78">
        <f t="shared" si="181"/>
        <v>42.053901117140825</v>
      </c>
      <c r="AJ54" s="78">
        <f t="shared" si="181"/>
        <v>42.055541921231182</v>
      </c>
      <c r="AK54" s="78">
        <f t="shared" si="181"/>
        <v>42.056635790624753</v>
      </c>
      <c r="AL54" s="78">
        <f t="shared" si="181"/>
        <v>42.057365036887049</v>
      </c>
      <c r="AM54" s="78">
        <f t="shared" si="181"/>
        <v>42.057851201061979</v>
      </c>
      <c r="AN54" s="81"/>
      <c r="AO54" s="75">
        <f>SUM(D54:O54)</f>
        <v>127.73656906411048</v>
      </c>
      <c r="AP54" s="75">
        <f>SUM(P54:AA54)</f>
        <v>472.22162537406041</v>
      </c>
      <c r="AQ54" s="75">
        <f>SUM(AB54:AM54)</f>
        <v>504.45551492441098</v>
      </c>
      <c r="AR54" s="82"/>
    </row>
    <row r="55" spans="1:44" hidden="1" outlineLevel="1">
      <c r="A55" s="70" t="s">
        <v>139</v>
      </c>
      <c r="B55" s="71" t="s">
        <v>78</v>
      </c>
      <c r="C55" s="72"/>
      <c r="D55" s="78">
        <f>-'OPEX+CAPEX'!E25</f>
        <v>-2.5375000000000001</v>
      </c>
      <c r="E55" s="78">
        <f>-'OPEX+CAPEX'!F25</f>
        <v>-4.1234374999999996</v>
      </c>
      <c r="F55" s="78">
        <f>-'OPEX+CAPEX'!G25</f>
        <v>-5.1247549019607836</v>
      </c>
      <c r="G55" s="78">
        <f>-'OPEX+CAPEX'!H25</f>
        <v>-5.7641975308641982</v>
      </c>
      <c r="H55" s="78">
        <f>-'OPEX+CAPEX'!I25</f>
        <v>-6.1780458089668615</v>
      </c>
      <c r="I55" s="78">
        <f>-'OPEX+CAPEX'!J25</f>
        <v>-6.4502623456790129</v>
      </c>
      <c r="J55" s="78">
        <f>-'OPEX+CAPEX'!K25</f>
        <v>-6.8376748971193413</v>
      </c>
      <c r="K55" s="78">
        <f>-'OPEX+CAPEX'!L25</f>
        <v>-6.6815453921935406</v>
      </c>
      <c r="L55" s="78">
        <f>-'OPEX+CAPEX'!M25</f>
        <v>-6.62066662856272</v>
      </c>
      <c r="M55" s="78">
        <f>-'OPEX+CAPEX'!N25</f>
        <v>-6.6117563868078291</v>
      </c>
      <c r="N55" s="78">
        <f>-'OPEX+CAPEX'!O25</f>
        <v>-6.630492048976274</v>
      </c>
      <c r="O55" s="78">
        <f>-'OPEX+CAPEX'!P25</f>
        <v>-6.6631394971407927</v>
      </c>
      <c r="P55" s="78">
        <f>-'OPEX+CAPEX'!Q25</f>
        <v>-6.979592998093862</v>
      </c>
      <c r="Q55" s="78">
        <f>-'OPEX+CAPEX'!R25</f>
        <v>-7.1905619987292404</v>
      </c>
      <c r="R55" s="78">
        <f>-'OPEX+CAPEX'!S25</f>
        <v>-7.3312079991528272</v>
      </c>
      <c r="S55" s="78">
        <f>-'OPEX+CAPEX'!T25</f>
        <v>-7.4249719994352175</v>
      </c>
      <c r="T55" s="78">
        <f>-'OPEX+CAPEX'!U25</f>
        <v>-7.4874813329568122</v>
      </c>
      <c r="U55" s="78">
        <f>-'OPEX+CAPEX'!V25</f>
        <v>-7.5291542219712086</v>
      </c>
      <c r="V55" s="78">
        <f>-'OPEX+CAPEX'!W25</f>
        <v>-7.5569361479808048</v>
      </c>
      <c r="W55" s="78">
        <f>-'OPEX+CAPEX'!X25</f>
        <v>-7.5754574319872034</v>
      </c>
      <c r="X55" s="78">
        <f>-'OPEX+CAPEX'!Y25</f>
        <v>-7.587804954658135</v>
      </c>
      <c r="Y55" s="78">
        <f>-'OPEX+CAPEX'!Z25</f>
        <v>-7.5960366364387566</v>
      </c>
      <c r="Z55" s="78">
        <f>-'OPEX+CAPEX'!AA25</f>
        <v>-7.6015244242925037</v>
      </c>
      <c r="AA55" s="78">
        <f>-'OPEX+CAPEX'!AB25</f>
        <v>-7.6051829495283352</v>
      </c>
      <c r="AB55" s="78">
        <f>-'OPEX+CAPEX'!AC25</f>
        <v>-7.607621966352224</v>
      </c>
      <c r="AC55" s="78">
        <f>-'OPEX+CAPEX'!AD25</f>
        <v>-7.609247977568149</v>
      </c>
      <c r="AD55" s="78">
        <f>-'OPEX+CAPEX'!AE25</f>
        <v>-7.6103319850454323</v>
      </c>
      <c r="AE55" s="78">
        <f>-'OPEX+CAPEX'!AF25</f>
        <v>-7.6110546566969539</v>
      </c>
      <c r="AF55" s="78">
        <f>-'OPEX+CAPEX'!AG25</f>
        <v>-7.6115364377979704</v>
      </c>
      <c r="AG55" s="78">
        <f>-'OPEX+CAPEX'!AH25</f>
        <v>-7.6118576251986463</v>
      </c>
      <c r="AH55" s="78">
        <f>-'OPEX+CAPEX'!AI25</f>
        <v>-7.612071750132432</v>
      </c>
      <c r="AI55" s="78">
        <f>-'OPEX+CAPEX'!AJ25</f>
        <v>-7.6122145000882879</v>
      </c>
      <c r="AJ55" s="78">
        <f>-'OPEX+CAPEX'!AK25</f>
        <v>-7.6123096667255252</v>
      </c>
      <c r="AK55" s="78">
        <f>-'OPEX+CAPEX'!AL25</f>
        <v>-7.6123731111503501</v>
      </c>
      <c r="AL55" s="78">
        <f>-'OPEX+CAPEX'!AM25</f>
        <v>-7.6124154074335655</v>
      </c>
      <c r="AM55" s="78">
        <f>-'OPEX+CAPEX'!AN25</f>
        <v>-7.612443604955712</v>
      </c>
      <c r="AN55" s="81"/>
      <c r="AO55" s="75">
        <f t="shared" ref="AO55:AO56" si="182">SUM(D55:O55)</f>
        <v>-70.223472938271357</v>
      </c>
      <c r="AP55" s="75">
        <f t="shared" ref="AP55:AP56" si="183">SUM(P55:AA55)</f>
        <v>-89.46591309522492</v>
      </c>
      <c r="AQ55" s="75">
        <f t="shared" ref="AQ55:AQ56" si="184">SUM(AB55:AM55)</f>
        <v>-91.335478689145233</v>
      </c>
      <c r="AR55" s="82"/>
    </row>
    <row r="56" spans="1:44" hidden="1" outlineLevel="1">
      <c r="A56" s="70" t="s">
        <v>177</v>
      </c>
      <c r="B56" s="71" t="s">
        <v>78</v>
      </c>
      <c r="C56" s="72"/>
      <c r="D56" s="78">
        <f>D54+D55</f>
        <v>-25.258088235294117</v>
      </c>
      <c r="E56" s="78">
        <f t="shared" ref="E56" si="185">E54+E55</f>
        <v>-13.775398284313729</v>
      </c>
      <c r="F56" s="78">
        <f t="shared" ref="F56:AM56" si="186">F54+F55</f>
        <v>-5.5969771241830264</v>
      </c>
      <c r="G56" s="78">
        <f t="shared" si="186"/>
        <v>0.35072621641246471</v>
      </c>
      <c r="H56" s="78">
        <f t="shared" si="186"/>
        <v>4.7956288460803718</v>
      </c>
      <c r="I56" s="78">
        <f t="shared" si="186"/>
        <v>8.2298998426530634</v>
      </c>
      <c r="J56" s="78">
        <f t="shared" si="186"/>
        <v>12.295505123860217</v>
      </c>
      <c r="K56" s="78">
        <f t="shared" si="186"/>
        <v>12.390901419178498</v>
      </c>
      <c r="L56" s="78">
        <f t="shared" si="186"/>
        <v>13.345931899280014</v>
      </c>
      <c r="M56" s="78">
        <f t="shared" si="186"/>
        <v>14.885583808224535</v>
      </c>
      <c r="N56" s="78">
        <f t="shared" si="186"/>
        <v>16.82198311372516</v>
      </c>
      <c r="O56" s="78">
        <f t="shared" si="186"/>
        <v>19.027399500215676</v>
      </c>
      <c r="P56" s="78">
        <f t="shared" si="186"/>
        <v>24.167040843281072</v>
      </c>
      <c r="Q56" s="78">
        <f t="shared" si="186"/>
        <v>27.593468405324639</v>
      </c>
      <c r="R56" s="78">
        <f t="shared" si="186"/>
        <v>29.877753446686977</v>
      </c>
      <c r="S56" s="78">
        <f t="shared" si="186"/>
        <v>31.400610140928546</v>
      </c>
      <c r="T56" s="78">
        <f t="shared" si="186"/>
        <v>32.415847937089673</v>
      </c>
      <c r="U56" s="78">
        <f t="shared" si="186"/>
        <v>33.092673134530358</v>
      </c>
      <c r="V56" s="78">
        <f t="shared" si="186"/>
        <v>33.543889932824158</v>
      </c>
      <c r="W56" s="78">
        <f t="shared" si="186"/>
        <v>33.844701131686719</v>
      </c>
      <c r="X56" s="78">
        <f t="shared" si="186"/>
        <v>34.04524193092842</v>
      </c>
      <c r="Y56" s="78">
        <f t="shared" si="186"/>
        <v>34.178935797089508</v>
      </c>
      <c r="Z56" s="78">
        <f t="shared" si="186"/>
        <v>34.26806504119692</v>
      </c>
      <c r="AA56" s="78">
        <f t="shared" si="186"/>
        <v>34.327484537268568</v>
      </c>
      <c r="AB56" s="78">
        <f t="shared" si="186"/>
        <v>34.36709753464956</v>
      </c>
      <c r="AC56" s="78">
        <f t="shared" si="186"/>
        <v>34.393506199570368</v>
      </c>
      <c r="AD56" s="78">
        <f t="shared" si="186"/>
        <v>34.411111976184102</v>
      </c>
      <c r="AE56" s="78">
        <f t="shared" si="186"/>
        <v>34.422849160593415</v>
      </c>
      <c r="AF56" s="78">
        <f t="shared" si="186"/>
        <v>34.430673950199456</v>
      </c>
      <c r="AG56" s="78">
        <f t="shared" si="186"/>
        <v>34.435890476603596</v>
      </c>
      <c r="AH56" s="78">
        <f t="shared" si="186"/>
        <v>34.439368160872931</v>
      </c>
      <c r="AI56" s="78">
        <f t="shared" si="186"/>
        <v>34.44168661705254</v>
      </c>
      <c r="AJ56" s="78">
        <f t="shared" si="186"/>
        <v>34.443232254505659</v>
      </c>
      <c r="AK56" s="78">
        <f t="shared" si="186"/>
        <v>34.444262679474406</v>
      </c>
      <c r="AL56" s="78">
        <f t="shared" si="186"/>
        <v>34.444949629453482</v>
      </c>
      <c r="AM56" s="78">
        <f t="shared" si="186"/>
        <v>34.445407596106264</v>
      </c>
      <c r="AN56" s="81"/>
      <c r="AO56" s="75">
        <f t="shared" si="182"/>
        <v>57.513096125839127</v>
      </c>
      <c r="AP56" s="75">
        <f t="shared" si="183"/>
        <v>382.75571227883552</v>
      </c>
      <c r="AQ56" s="75">
        <f t="shared" si="184"/>
        <v>413.12003623526584</v>
      </c>
      <c r="AR56" s="82"/>
    </row>
    <row r="57" spans="1:44" collapsed="1"/>
    <row r="58" spans="1:44" s="69" customFormat="1">
      <c r="A58" s="83" t="s">
        <v>103</v>
      </c>
      <c r="B58" s="66" t="s">
        <v>76</v>
      </c>
      <c r="C58" s="84" t="s">
        <v>77</v>
      </c>
      <c r="D58" s="67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O58" s="68"/>
      <c r="AP58" s="68"/>
      <c r="AQ58" s="68"/>
    </row>
    <row r="59" spans="1:44" hidden="1" outlineLevel="1">
      <c r="A59" s="70" t="s">
        <v>123</v>
      </c>
      <c r="B59" s="85" t="s">
        <v>85</v>
      </c>
      <c r="C59" s="72"/>
      <c r="D59" s="77">
        <f>'0'!D10</f>
        <v>15</v>
      </c>
      <c r="E59" s="77">
        <f>'0'!E10</f>
        <v>16</v>
      </c>
      <c r="F59" s="77">
        <f>'0'!F10</f>
        <v>17</v>
      </c>
      <c r="G59" s="77">
        <f>'0'!G10</f>
        <v>18</v>
      </c>
      <c r="H59" s="77">
        <f>'0'!H10</f>
        <v>19</v>
      </c>
      <c r="I59" s="77">
        <f>'0'!I10</f>
        <v>20</v>
      </c>
      <c r="J59" s="77">
        <f>'0'!J10</f>
        <v>20</v>
      </c>
      <c r="K59" s="77">
        <f>'0'!K10</f>
        <v>22</v>
      </c>
      <c r="L59" s="77">
        <f>'0'!L10</f>
        <v>24</v>
      </c>
      <c r="M59" s="77">
        <f>'0'!M10</f>
        <v>26</v>
      </c>
      <c r="N59" s="77">
        <f>'0'!N10</f>
        <v>28</v>
      </c>
      <c r="O59" s="77">
        <f>'0'!O10</f>
        <v>30</v>
      </c>
      <c r="P59" s="77">
        <f>'0'!P10</f>
        <v>30</v>
      </c>
      <c r="Q59" s="77">
        <f>'0'!Q10</f>
        <v>30</v>
      </c>
      <c r="R59" s="77">
        <f>'0'!R10</f>
        <v>30</v>
      </c>
      <c r="S59" s="77">
        <f>'0'!S10</f>
        <v>30</v>
      </c>
      <c r="T59" s="77">
        <f>'0'!T10</f>
        <v>30</v>
      </c>
      <c r="U59" s="77">
        <f>'0'!U10</f>
        <v>30</v>
      </c>
      <c r="V59" s="77">
        <f>'0'!V10</f>
        <v>30</v>
      </c>
      <c r="W59" s="77">
        <f>'0'!W10</f>
        <v>30</v>
      </c>
      <c r="X59" s="77">
        <f>'0'!X10</f>
        <v>30</v>
      </c>
      <c r="Y59" s="77">
        <f>'0'!Y10</f>
        <v>30</v>
      </c>
      <c r="Z59" s="77">
        <f>'0'!Z10</f>
        <v>30</v>
      </c>
      <c r="AA59" s="77">
        <f>'0'!AA10</f>
        <v>30</v>
      </c>
      <c r="AB59" s="77">
        <f>'0'!AB10</f>
        <v>30</v>
      </c>
      <c r="AC59" s="77">
        <f>'0'!AC10</f>
        <v>30</v>
      </c>
      <c r="AD59" s="77">
        <f>'0'!AD10</f>
        <v>30</v>
      </c>
      <c r="AE59" s="77">
        <f>'0'!AE10</f>
        <v>30</v>
      </c>
      <c r="AF59" s="77">
        <f>'0'!AF10</f>
        <v>30</v>
      </c>
      <c r="AG59" s="77">
        <f>'0'!AG10</f>
        <v>30</v>
      </c>
      <c r="AH59" s="77">
        <f>'0'!AH10</f>
        <v>30</v>
      </c>
      <c r="AI59" s="77">
        <f>'0'!AI10</f>
        <v>30</v>
      </c>
      <c r="AJ59" s="77">
        <f>'0'!AJ10</f>
        <v>30</v>
      </c>
      <c r="AK59" s="77">
        <f>'0'!AK10</f>
        <v>30</v>
      </c>
      <c r="AL59" s="77">
        <f>'0'!AL10</f>
        <v>30</v>
      </c>
      <c r="AM59" s="77">
        <f>'0'!AM10</f>
        <v>30</v>
      </c>
      <c r="AN59" s="81"/>
      <c r="AO59" s="75">
        <f>O59</f>
        <v>30</v>
      </c>
      <c r="AP59" s="75">
        <f>AA59</f>
        <v>30</v>
      </c>
      <c r="AQ59" s="75">
        <f>AM59</f>
        <v>30</v>
      </c>
      <c r="AR59" s="82"/>
    </row>
    <row r="60" spans="1:44" hidden="1" outlineLevel="1">
      <c r="A60" s="70" t="s">
        <v>125</v>
      </c>
      <c r="B60" s="85" t="s">
        <v>85</v>
      </c>
      <c r="C60" s="72"/>
      <c r="D60" s="86">
        <v>1</v>
      </c>
      <c r="E60" s="86">
        <v>1</v>
      </c>
      <c r="F60" s="86">
        <v>1</v>
      </c>
      <c r="G60" s="86">
        <v>1</v>
      </c>
      <c r="H60" s="86">
        <v>1</v>
      </c>
      <c r="I60" s="86">
        <v>1</v>
      </c>
      <c r="J60" s="86">
        <v>1</v>
      </c>
      <c r="K60" s="86">
        <v>1</v>
      </c>
      <c r="L60" s="86">
        <v>1</v>
      </c>
      <c r="M60" s="86">
        <v>1</v>
      </c>
      <c r="N60" s="86">
        <v>1</v>
      </c>
      <c r="O60" s="86">
        <v>1</v>
      </c>
      <c r="P60" s="86">
        <v>1</v>
      </c>
      <c r="Q60" s="86">
        <v>1</v>
      </c>
      <c r="R60" s="86">
        <v>1</v>
      </c>
      <c r="S60" s="86">
        <v>1</v>
      </c>
      <c r="T60" s="86">
        <v>1</v>
      </c>
      <c r="U60" s="86">
        <v>1</v>
      </c>
      <c r="V60" s="86">
        <v>1</v>
      </c>
      <c r="W60" s="86">
        <v>1</v>
      </c>
      <c r="X60" s="86">
        <v>1</v>
      </c>
      <c r="Y60" s="86">
        <v>1</v>
      </c>
      <c r="Z60" s="86">
        <v>1</v>
      </c>
      <c r="AA60" s="86">
        <v>1</v>
      </c>
      <c r="AB60" s="86">
        <v>1</v>
      </c>
      <c r="AC60" s="86">
        <v>1</v>
      </c>
      <c r="AD60" s="86">
        <v>1</v>
      </c>
      <c r="AE60" s="86">
        <v>1</v>
      </c>
      <c r="AF60" s="86">
        <v>1</v>
      </c>
      <c r="AG60" s="86">
        <v>1</v>
      </c>
      <c r="AH60" s="86">
        <v>1</v>
      </c>
      <c r="AI60" s="86">
        <v>1</v>
      </c>
      <c r="AJ60" s="86">
        <v>1</v>
      </c>
      <c r="AK60" s="86">
        <v>1</v>
      </c>
      <c r="AL60" s="86">
        <v>1</v>
      </c>
      <c r="AM60" s="86">
        <v>1</v>
      </c>
      <c r="AN60" s="81"/>
      <c r="AO60" s="75">
        <f>AVERAGE(D60:O60)</f>
        <v>1</v>
      </c>
      <c r="AP60" s="75">
        <f>AVERAGE(P60:AA60)</f>
        <v>1</v>
      </c>
      <c r="AQ60" s="75">
        <f>AVERAGE(AB60:AM60)</f>
        <v>1</v>
      </c>
      <c r="AR60" s="82"/>
    </row>
    <row r="61" spans="1:44" hidden="1" outlineLevel="1">
      <c r="A61" s="70" t="s">
        <v>104</v>
      </c>
      <c r="B61" s="85" t="s">
        <v>85</v>
      </c>
      <c r="C61" s="72"/>
      <c r="D61" s="77">
        <f>D59*D60</f>
        <v>15</v>
      </c>
      <c r="E61" s="77">
        <f t="shared" ref="E61" si="187">E59*E60</f>
        <v>16</v>
      </c>
      <c r="F61" s="77">
        <f t="shared" ref="F61:AM61" si="188">F59*F60</f>
        <v>17</v>
      </c>
      <c r="G61" s="77">
        <f t="shared" si="188"/>
        <v>18</v>
      </c>
      <c r="H61" s="77">
        <f t="shared" si="188"/>
        <v>19</v>
      </c>
      <c r="I61" s="77">
        <f t="shared" si="188"/>
        <v>20</v>
      </c>
      <c r="J61" s="77">
        <f t="shared" si="188"/>
        <v>20</v>
      </c>
      <c r="K61" s="77">
        <f t="shared" si="188"/>
        <v>22</v>
      </c>
      <c r="L61" s="77">
        <f t="shared" si="188"/>
        <v>24</v>
      </c>
      <c r="M61" s="77">
        <f t="shared" si="188"/>
        <v>26</v>
      </c>
      <c r="N61" s="77">
        <f t="shared" si="188"/>
        <v>28</v>
      </c>
      <c r="O61" s="77">
        <f t="shared" si="188"/>
        <v>30</v>
      </c>
      <c r="P61" s="77">
        <f t="shared" si="188"/>
        <v>30</v>
      </c>
      <c r="Q61" s="77">
        <f t="shared" si="188"/>
        <v>30</v>
      </c>
      <c r="R61" s="77">
        <f t="shared" si="188"/>
        <v>30</v>
      </c>
      <c r="S61" s="77">
        <f t="shared" si="188"/>
        <v>30</v>
      </c>
      <c r="T61" s="77">
        <f t="shared" si="188"/>
        <v>30</v>
      </c>
      <c r="U61" s="77">
        <f t="shared" si="188"/>
        <v>30</v>
      </c>
      <c r="V61" s="77">
        <f t="shared" si="188"/>
        <v>30</v>
      </c>
      <c r="W61" s="77">
        <f t="shared" si="188"/>
        <v>30</v>
      </c>
      <c r="X61" s="77">
        <f t="shared" si="188"/>
        <v>30</v>
      </c>
      <c r="Y61" s="77">
        <f t="shared" si="188"/>
        <v>30</v>
      </c>
      <c r="Z61" s="77">
        <f t="shared" si="188"/>
        <v>30</v>
      </c>
      <c r="AA61" s="77">
        <f t="shared" si="188"/>
        <v>30</v>
      </c>
      <c r="AB61" s="77">
        <f t="shared" si="188"/>
        <v>30</v>
      </c>
      <c r="AC61" s="77">
        <f t="shared" si="188"/>
        <v>30</v>
      </c>
      <c r="AD61" s="77">
        <f t="shared" si="188"/>
        <v>30</v>
      </c>
      <c r="AE61" s="77">
        <f t="shared" si="188"/>
        <v>30</v>
      </c>
      <c r="AF61" s="77">
        <f t="shared" si="188"/>
        <v>30</v>
      </c>
      <c r="AG61" s="77">
        <f t="shared" si="188"/>
        <v>30</v>
      </c>
      <c r="AH61" s="77">
        <f t="shared" si="188"/>
        <v>30</v>
      </c>
      <c r="AI61" s="77">
        <f t="shared" si="188"/>
        <v>30</v>
      </c>
      <c r="AJ61" s="77">
        <f t="shared" si="188"/>
        <v>30</v>
      </c>
      <c r="AK61" s="77">
        <f t="shared" si="188"/>
        <v>30</v>
      </c>
      <c r="AL61" s="77">
        <f t="shared" si="188"/>
        <v>30</v>
      </c>
      <c r="AM61" s="77">
        <f t="shared" si="188"/>
        <v>30</v>
      </c>
      <c r="AN61" s="81"/>
      <c r="AO61" s="75">
        <f t="shared" ref="AO61" si="189">SUM(D61:O61)</f>
        <v>255</v>
      </c>
      <c r="AP61" s="75">
        <f t="shared" ref="AP61" si="190">SUM(P61:AA61)</f>
        <v>360</v>
      </c>
      <c r="AQ61" s="75">
        <f t="shared" ref="AQ61" si="191">SUM(AB61:AM61)</f>
        <v>360</v>
      </c>
      <c r="AR61" s="82"/>
    </row>
    <row r="62" spans="1:44" hidden="1" outlineLevel="1">
      <c r="A62" s="70" t="s">
        <v>106</v>
      </c>
      <c r="B62" s="71" t="s">
        <v>78</v>
      </c>
      <c r="C62" s="72"/>
      <c r="D62" s="86">
        <v>100</v>
      </c>
      <c r="E62" s="86">
        <v>100</v>
      </c>
      <c r="F62" s="86">
        <v>100</v>
      </c>
      <c r="G62" s="86">
        <v>100</v>
      </c>
      <c r="H62" s="86">
        <v>100</v>
      </c>
      <c r="I62" s="86">
        <v>100</v>
      </c>
      <c r="J62" s="86">
        <v>100</v>
      </c>
      <c r="K62" s="86">
        <v>100</v>
      </c>
      <c r="L62" s="86">
        <v>100</v>
      </c>
      <c r="M62" s="86">
        <v>100</v>
      </c>
      <c r="N62" s="86">
        <v>100</v>
      </c>
      <c r="O62" s="86">
        <v>100</v>
      </c>
      <c r="P62" s="86">
        <v>100</v>
      </c>
      <c r="Q62" s="86">
        <v>100</v>
      </c>
      <c r="R62" s="86">
        <v>100</v>
      </c>
      <c r="S62" s="86">
        <v>100</v>
      </c>
      <c r="T62" s="86">
        <v>100</v>
      </c>
      <c r="U62" s="86">
        <v>100</v>
      </c>
      <c r="V62" s="86">
        <v>100</v>
      </c>
      <c r="W62" s="86">
        <v>100</v>
      </c>
      <c r="X62" s="86">
        <v>100</v>
      </c>
      <c r="Y62" s="86">
        <v>100</v>
      </c>
      <c r="Z62" s="86">
        <v>100</v>
      </c>
      <c r="AA62" s="86">
        <v>100</v>
      </c>
      <c r="AB62" s="86">
        <v>100</v>
      </c>
      <c r="AC62" s="86">
        <v>100</v>
      </c>
      <c r="AD62" s="86">
        <v>100</v>
      </c>
      <c r="AE62" s="86">
        <v>100</v>
      </c>
      <c r="AF62" s="86">
        <v>100</v>
      </c>
      <c r="AG62" s="86">
        <v>100</v>
      </c>
      <c r="AH62" s="86">
        <v>100</v>
      </c>
      <c r="AI62" s="86">
        <v>100</v>
      </c>
      <c r="AJ62" s="86">
        <v>100</v>
      </c>
      <c r="AK62" s="86">
        <v>100</v>
      </c>
      <c r="AL62" s="86">
        <v>100</v>
      </c>
      <c r="AM62" s="86">
        <v>100</v>
      </c>
      <c r="AN62" s="81"/>
      <c r="AO62" s="75">
        <f>AVERAGE(D62:O62)</f>
        <v>100</v>
      </c>
      <c r="AP62" s="75">
        <f>AVERAGE(P62:AA62)</f>
        <v>100</v>
      </c>
      <c r="AQ62" s="75">
        <f>AVERAGE(AB62:AM62)</f>
        <v>100</v>
      </c>
      <c r="AR62" s="82"/>
    </row>
    <row r="63" spans="1:44" hidden="1" outlineLevel="1">
      <c r="A63" s="70" t="s">
        <v>107</v>
      </c>
      <c r="B63" s="71" t="s">
        <v>78</v>
      </c>
      <c r="C63" s="72"/>
      <c r="D63" s="77">
        <f t="shared" ref="D63:E63" si="192">D61*D62</f>
        <v>1500</v>
      </c>
      <c r="E63" s="77">
        <f t="shared" si="192"/>
        <v>1600</v>
      </c>
      <c r="F63" s="77">
        <f t="shared" ref="F63:AM63" si="193">F61*F62</f>
        <v>1700</v>
      </c>
      <c r="G63" s="77">
        <f t="shared" si="193"/>
        <v>1800</v>
      </c>
      <c r="H63" s="77">
        <f t="shared" si="193"/>
        <v>1900</v>
      </c>
      <c r="I63" s="77">
        <f t="shared" si="193"/>
        <v>2000</v>
      </c>
      <c r="J63" s="77">
        <f t="shared" si="193"/>
        <v>2000</v>
      </c>
      <c r="K63" s="77">
        <f t="shared" si="193"/>
        <v>2200</v>
      </c>
      <c r="L63" s="77">
        <f t="shared" si="193"/>
        <v>2400</v>
      </c>
      <c r="M63" s="77">
        <f t="shared" si="193"/>
        <v>2600</v>
      </c>
      <c r="N63" s="77">
        <f t="shared" si="193"/>
        <v>2800</v>
      </c>
      <c r="O63" s="77">
        <f t="shared" si="193"/>
        <v>3000</v>
      </c>
      <c r="P63" s="77">
        <f t="shared" si="193"/>
        <v>3000</v>
      </c>
      <c r="Q63" s="77">
        <f t="shared" si="193"/>
        <v>3000</v>
      </c>
      <c r="R63" s="77">
        <f t="shared" si="193"/>
        <v>3000</v>
      </c>
      <c r="S63" s="77">
        <f t="shared" si="193"/>
        <v>3000</v>
      </c>
      <c r="T63" s="77">
        <f t="shared" si="193"/>
        <v>3000</v>
      </c>
      <c r="U63" s="77">
        <f t="shared" si="193"/>
        <v>3000</v>
      </c>
      <c r="V63" s="77">
        <f t="shared" si="193"/>
        <v>3000</v>
      </c>
      <c r="W63" s="77">
        <f t="shared" si="193"/>
        <v>3000</v>
      </c>
      <c r="X63" s="77">
        <f t="shared" si="193"/>
        <v>3000</v>
      </c>
      <c r="Y63" s="77">
        <f t="shared" si="193"/>
        <v>3000</v>
      </c>
      <c r="Z63" s="77">
        <f t="shared" si="193"/>
        <v>3000</v>
      </c>
      <c r="AA63" s="77">
        <f t="shared" si="193"/>
        <v>3000</v>
      </c>
      <c r="AB63" s="77">
        <f t="shared" si="193"/>
        <v>3000</v>
      </c>
      <c r="AC63" s="77">
        <f t="shared" si="193"/>
        <v>3000</v>
      </c>
      <c r="AD63" s="77">
        <f t="shared" si="193"/>
        <v>3000</v>
      </c>
      <c r="AE63" s="77">
        <f t="shared" si="193"/>
        <v>3000</v>
      </c>
      <c r="AF63" s="77">
        <f t="shared" si="193"/>
        <v>3000</v>
      </c>
      <c r="AG63" s="77">
        <f t="shared" si="193"/>
        <v>3000</v>
      </c>
      <c r="AH63" s="77">
        <f t="shared" si="193"/>
        <v>3000</v>
      </c>
      <c r="AI63" s="77">
        <f t="shared" si="193"/>
        <v>3000</v>
      </c>
      <c r="AJ63" s="77">
        <f t="shared" si="193"/>
        <v>3000</v>
      </c>
      <c r="AK63" s="77">
        <f t="shared" si="193"/>
        <v>3000</v>
      </c>
      <c r="AL63" s="77">
        <f t="shared" si="193"/>
        <v>3000</v>
      </c>
      <c r="AM63" s="77">
        <f t="shared" si="193"/>
        <v>3000</v>
      </c>
      <c r="AN63" s="81"/>
      <c r="AO63" s="75">
        <f t="shared" ref="AO63" si="194">SUM(D63:O63)</f>
        <v>25500</v>
      </c>
      <c r="AP63" s="75">
        <f t="shared" ref="AP63" si="195">SUM(P63:AA63)</f>
        <v>36000</v>
      </c>
      <c r="AQ63" s="75">
        <f t="shared" ref="AQ63" si="196">SUM(AB63:AM63)</f>
        <v>36000</v>
      </c>
      <c r="AR63" s="82"/>
    </row>
    <row r="64" spans="1:44" s="90" customFormat="1" hidden="1" outlineLevel="1">
      <c r="A64" s="70" t="s">
        <v>88</v>
      </c>
      <c r="B64" s="71" t="s">
        <v>89</v>
      </c>
      <c r="C64" s="87"/>
      <c r="D64" s="86">
        <v>3</v>
      </c>
      <c r="E64" s="86">
        <v>3</v>
      </c>
      <c r="F64" s="86">
        <v>3</v>
      </c>
      <c r="G64" s="86">
        <v>3</v>
      </c>
      <c r="H64" s="86">
        <v>3</v>
      </c>
      <c r="I64" s="86">
        <v>3</v>
      </c>
      <c r="J64" s="86">
        <v>3</v>
      </c>
      <c r="K64" s="86">
        <v>3</v>
      </c>
      <c r="L64" s="86">
        <v>3</v>
      </c>
      <c r="M64" s="86">
        <v>3</v>
      </c>
      <c r="N64" s="86">
        <v>3</v>
      </c>
      <c r="O64" s="86">
        <v>3</v>
      </c>
      <c r="P64" s="86">
        <v>3</v>
      </c>
      <c r="Q64" s="86">
        <v>3</v>
      </c>
      <c r="R64" s="86">
        <v>3</v>
      </c>
      <c r="S64" s="86">
        <v>3</v>
      </c>
      <c r="T64" s="86">
        <v>3</v>
      </c>
      <c r="U64" s="86">
        <v>3</v>
      </c>
      <c r="V64" s="86">
        <v>3</v>
      </c>
      <c r="W64" s="86">
        <v>3</v>
      </c>
      <c r="X64" s="86">
        <v>3</v>
      </c>
      <c r="Y64" s="86">
        <v>3</v>
      </c>
      <c r="Z64" s="86">
        <v>3</v>
      </c>
      <c r="AA64" s="86">
        <v>3</v>
      </c>
      <c r="AB64" s="86">
        <v>3</v>
      </c>
      <c r="AC64" s="86">
        <v>3</v>
      </c>
      <c r="AD64" s="86">
        <v>3</v>
      </c>
      <c r="AE64" s="86">
        <v>3</v>
      </c>
      <c r="AF64" s="86">
        <v>3</v>
      </c>
      <c r="AG64" s="86">
        <v>3</v>
      </c>
      <c r="AH64" s="86">
        <v>3</v>
      </c>
      <c r="AI64" s="86">
        <v>3</v>
      </c>
      <c r="AJ64" s="86">
        <v>3</v>
      </c>
      <c r="AK64" s="86">
        <v>3</v>
      </c>
      <c r="AL64" s="86">
        <v>3</v>
      </c>
      <c r="AM64" s="86">
        <v>3</v>
      </c>
      <c r="AN64" s="88"/>
      <c r="AO64" s="75">
        <f>AVERAGE(D64:O64)</f>
        <v>3</v>
      </c>
      <c r="AP64" s="75">
        <f>AVERAGE(P64:AA64)</f>
        <v>3</v>
      </c>
      <c r="AQ64" s="75">
        <f>AVERAGE(AB64:AM64)</f>
        <v>3</v>
      </c>
      <c r="AR64" s="89"/>
    </row>
    <row r="65" spans="1:44" hidden="1" outlineLevel="1">
      <c r="A65" s="91" t="s">
        <v>90</v>
      </c>
      <c r="B65" s="71" t="s">
        <v>78</v>
      </c>
      <c r="C65" s="72"/>
      <c r="D65" s="78">
        <v>0</v>
      </c>
      <c r="E65" s="81">
        <f>D66/E64</f>
        <v>500</v>
      </c>
      <c r="F65" s="81">
        <f t="shared" ref="F65:AM65" si="197">E66/F64</f>
        <v>866.66666666666663</v>
      </c>
      <c r="G65" s="81">
        <f t="shared" si="197"/>
        <v>1144.4444444444446</v>
      </c>
      <c r="H65" s="81">
        <f t="shared" si="197"/>
        <v>1362.9629629629633</v>
      </c>
      <c r="I65" s="81">
        <f t="shared" si="197"/>
        <v>1541.9753086419753</v>
      </c>
      <c r="J65" s="81">
        <f t="shared" si="197"/>
        <v>1694.650205761317</v>
      </c>
      <c r="K65" s="81">
        <f t="shared" si="197"/>
        <v>1796.4334705075446</v>
      </c>
      <c r="L65" s="81">
        <f t="shared" si="197"/>
        <v>1930.95564700503</v>
      </c>
      <c r="M65" s="81">
        <f t="shared" si="197"/>
        <v>2087.30376467002</v>
      </c>
      <c r="N65" s="81">
        <f t="shared" si="197"/>
        <v>2258.2025097800138</v>
      </c>
      <c r="O65" s="81">
        <f t="shared" si="197"/>
        <v>2438.8016731866755</v>
      </c>
      <c r="P65" s="81">
        <f t="shared" si="197"/>
        <v>2625.8677821244505</v>
      </c>
      <c r="Q65" s="81">
        <f t="shared" si="197"/>
        <v>2750.5785214163002</v>
      </c>
      <c r="R65" s="81">
        <f t="shared" si="197"/>
        <v>2833.719014277533</v>
      </c>
      <c r="S65" s="81">
        <f t="shared" si="197"/>
        <v>2889.1460095183556</v>
      </c>
      <c r="T65" s="81">
        <f t="shared" si="197"/>
        <v>2926.0973396789036</v>
      </c>
      <c r="U65" s="81">
        <f t="shared" si="197"/>
        <v>2950.731559785936</v>
      </c>
      <c r="V65" s="81">
        <f t="shared" si="197"/>
        <v>2967.154373190624</v>
      </c>
      <c r="W65" s="81">
        <f t="shared" si="197"/>
        <v>2978.1029154604162</v>
      </c>
      <c r="X65" s="81">
        <f t="shared" si="197"/>
        <v>2985.4019436402773</v>
      </c>
      <c r="Y65" s="81">
        <f t="shared" si="197"/>
        <v>2990.2679624268512</v>
      </c>
      <c r="Z65" s="81">
        <f t="shared" si="197"/>
        <v>2993.5119749512342</v>
      </c>
      <c r="AA65" s="81">
        <f t="shared" si="197"/>
        <v>2995.6746499674896</v>
      </c>
      <c r="AB65" s="81">
        <f t="shared" si="197"/>
        <v>2997.1164333116594</v>
      </c>
      <c r="AC65" s="81">
        <f t="shared" si="197"/>
        <v>2998.0776222077729</v>
      </c>
      <c r="AD65" s="81">
        <f t="shared" si="197"/>
        <v>2998.718414805182</v>
      </c>
      <c r="AE65" s="81">
        <f t="shared" si="197"/>
        <v>2999.1456098701215</v>
      </c>
      <c r="AF65" s="81">
        <f t="shared" si="197"/>
        <v>2999.4304065800807</v>
      </c>
      <c r="AG65" s="81">
        <f t="shared" si="197"/>
        <v>2999.6202710533871</v>
      </c>
      <c r="AH65" s="81">
        <f t="shared" si="197"/>
        <v>2999.7468473689246</v>
      </c>
      <c r="AI65" s="81">
        <f t="shared" si="197"/>
        <v>2999.8312315792832</v>
      </c>
      <c r="AJ65" s="81">
        <f t="shared" si="197"/>
        <v>2999.8874877195226</v>
      </c>
      <c r="AK65" s="81">
        <f t="shared" si="197"/>
        <v>2999.9249918130149</v>
      </c>
      <c r="AL65" s="81">
        <f t="shared" si="197"/>
        <v>2999.9499945420098</v>
      </c>
      <c r="AM65" s="81">
        <f t="shared" si="197"/>
        <v>2999.9666630280062</v>
      </c>
      <c r="AN65" s="81"/>
      <c r="AO65" s="75">
        <f t="shared" ref="AO65" si="198">SUM(D65:O65)</f>
        <v>17622.396653626653</v>
      </c>
      <c r="AP65" s="75">
        <f t="shared" ref="AP65" si="199">SUM(P65:AA65)</f>
        <v>34886.254046438371</v>
      </c>
      <c r="AQ65" s="75">
        <f t="shared" ref="AQ65" si="200">SUM(AB65:AM65)</f>
        <v>35991.41597387896</v>
      </c>
      <c r="AR65" s="82"/>
    </row>
    <row r="66" spans="1:44" s="69" customFormat="1" hidden="1" outlineLevel="1">
      <c r="A66" s="70" t="s">
        <v>113</v>
      </c>
      <c r="B66" s="71" t="s">
        <v>78</v>
      </c>
      <c r="C66" s="72"/>
      <c r="D66" s="73">
        <f>D63-D65</f>
        <v>1500</v>
      </c>
      <c r="E66" s="73">
        <f>D66+E63-E65</f>
        <v>2600</v>
      </c>
      <c r="F66" s="73">
        <f t="shared" ref="F66:AM66" si="201">E66+F63-F65</f>
        <v>3433.3333333333335</v>
      </c>
      <c r="G66" s="73">
        <f t="shared" si="201"/>
        <v>4088.8888888888896</v>
      </c>
      <c r="H66" s="73">
        <f t="shared" si="201"/>
        <v>4625.9259259259261</v>
      </c>
      <c r="I66" s="73">
        <f t="shared" si="201"/>
        <v>5083.950617283951</v>
      </c>
      <c r="J66" s="73">
        <f t="shared" si="201"/>
        <v>5389.300411522634</v>
      </c>
      <c r="K66" s="73">
        <f t="shared" si="201"/>
        <v>5792.8669410150897</v>
      </c>
      <c r="L66" s="73">
        <f t="shared" si="201"/>
        <v>6261.9112940100604</v>
      </c>
      <c r="M66" s="73">
        <f t="shared" si="201"/>
        <v>6774.6075293400409</v>
      </c>
      <c r="N66" s="73">
        <f t="shared" si="201"/>
        <v>7316.4050195600266</v>
      </c>
      <c r="O66" s="73">
        <f t="shared" si="201"/>
        <v>7877.6033463733511</v>
      </c>
      <c r="P66" s="73">
        <f t="shared" si="201"/>
        <v>8251.7355642489001</v>
      </c>
      <c r="Q66" s="73">
        <f t="shared" si="201"/>
        <v>8501.1570428325995</v>
      </c>
      <c r="R66" s="73">
        <f t="shared" si="201"/>
        <v>8667.4380285550669</v>
      </c>
      <c r="S66" s="73">
        <f t="shared" si="201"/>
        <v>8778.2920190367113</v>
      </c>
      <c r="T66" s="73">
        <f t="shared" si="201"/>
        <v>8852.1946793578081</v>
      </c>
      <c r="U66" s="73">
        <f t="shared" si="201"/>
        <v>8901.4631195718721</v>
      </c>
      <c r="V66" s="73">
        <f t="shared" si="201"/>
        <v>8934.3087463812481</v>
      </c>
      <c r="W66" s="73">
        <f t="shared" si="201"/>
        <v>8956.2058309208314</v>
      </c>
      <c r="X66" s="73">
        <f t="shared" si="201"/>
        <v>8970.8038872805537</v>
      </c>
      <c r="Y66" s="73">
        <f t="shared" si="201"/>
        <v>8980.5359248537025</v>
      </c>
      <c r="Z66" s="73">
        <f t="shared" si="201"/>
        <v>8987.0239499024683</v>
      </c>
      <c r="AA66" s="73">
        <f t="shared" si="201"/>
        <v>8991.3492999349783</v>
      </c>
      <c r="AB66" s="73">
        <f t="shared" si="201"/>
        <v>8994.2328666233188</v>
      </c>
      <c r="AC66" s="73">
        <f t="shared" si="201"/>
        <v>8996.1552444155459</v>
      </c>
      <c r="AD66" s="73">
        <f t="shared" si="201"/>
        <v>8997.4368296103639</v>
      </c>
      <c r="AE66" s="73">
        <f t="shared" si="201"/>
        <v>8998.291219740242</v>
      </c>
      <c r="AF66" s="73">
        <f t="shared" si="201"/>
        <v>8998.8608131601613</v>
      </c>
      <c r="AG66" s="73">
        <f t="shared" si="201"/>
        <v>8999.2405421067742</v>
      </c>
      <c r="AH66" s="73">
        <f t="shared" si="201"/>
        <v>8999.4936947378501</v>
      </c>
      <c r="AI66" s="73">
        <f t="shared" si="201"/>
        <v>8999.6624631585673</v>
      </c>
      <c r="AJ66" s="73">
        <f t="shared" si="201"/>
        <v>8999.7749754390443</v>
      </c>
      <c r="AK66" s="73">
        <f t="shared" si="201"/>
        <v>8999.8499836260289</v>
      </c>
      <c r="AL66" s="73">
        <f t="shared" si="201"/>
        <v>8999.8999890840187</v>
      </c>
      <c r="AM66" s="73">
        <f t="shared" si="201"/>
        <v>8999.9333260560124</v>
      </c>
      <c r="AN66" s="74"/>
      <c r="AO66" s="75">
        <f>O66</f>
        <v>7877.6033463733511</v>
      </c>
      <c r="AP66" s="75">
        <f>AA66</f>
        <v>8991.3492999349783</v>
      </c>
      <c r="AQ66" s="75">
        <f>AM66</f>
        <v>8999.9333260560124</v>
      </c>
      <c r="AR66" s="76"/>
    </row>
    <row r="67" spans="1:44" s="69" customFormat="1" hidden="1" outlineLevel="1">
      <c r="A67" s="70" t="s">
        <v>99</v>
      </c>
      <c r="B67" s="71" t="s">
        <v>79</v>
      </c>
      <c r="C67" s="72"/>
      <c r="D67" s="92">
        <v>0.01</v>
      </c>
      <c r="E67" s="92">
        <v>0.01</v>
      </c>
      <c r="F67" s="92">
        <v>0.01</v>
      </c>
      <c r="G67" s="92">
        <v>0.01</v>
      </c>
      <c r="H67" s="92">
        <v>0.01</v>
      </c>
      <c r="I67" s="92">
        <v>0.01</v>
      </c>
      <c r="J67" s="92">
        <v>0.01</v>
      </c>
      <c r="K67" s="92">
        <v>0.01</v>
      </c>
      <c r="L67" s="92">
        <v>0.01</v>
      </c>
      <c r="M67" s="92">
        <v>0.01</v>
      </c>
      <c r="N67" s="92">
        <v>0.01</v>
      </c>
      <c r="O67" s="92">
        <v>0.01</v>
      </c>
      <c r="P67" s="92">
        <v>0.01</v>
      </c>
      <c r="Q67" s="92">
        <v>0.01</v>
      </c>
      <c r="R67" s="92">
        <v>0.01</v>
      </c>
      <c r="S67" s="92">
        <v>0.01</v>
      </c>
      <c r="T67" s="92">
        <v>0.01</v>
      </c>
      <c r="U67" s="92">
        <v>0.01</v>
      </c>
      <c r="V67" s="92">
        <v>0.01</v>
      </c>
      <c r="W67" s="92">
        <v>0.01</v>
      </c>
      <c r="X67" s="92">
        <v>0.01</v>
      </c>
      <c r="Y67" s="92">
        <v>0.01</v>
      </c>
      <c r="Z67" s="92">
        <v>0.01</v>
      </c>
      <c r="AA67" s="92">
        <v>0.01</v>
      </c>
      <c r="AB67" s="92">
        <v>0.01</v>
      </c>
      <c r="AC67" s="92">
        <v>0.01</v>
      </c>
      <c r="AD67" s="92">
        <v>0.01</v>
      </c>
      <c r="AE67" s="92">
        <v>0.01</v>
      </c>
      <c r="AF67" s="92">
        <v>0.01</v>
      </c>
      <c r="AG67" s="92">
        <v>0.01</v>
      </c>
      <c r="AH67" s="92">
        <v>0.01</v>
      </c>
      <c r="AI67" s="92">
        <v>0.01</v>
      </c>
      <c r="AJ67" s="92">
        <v>0.01</v>
      </c>
      <c r="AK67" s="92">
        <v>0.01</v>
      </c>
      <c r="AL67" s="92">
        <v>0.01</v>
      </c>
      <c r="AM67" s="92">
        <v>0.01</v>
      </c>
      <c r="AN67" s="74"/>
      <c r="AO67" s="93">
        <f>AVERAGE(D67:O67)</f>
        <v>9.9999999999999985E-3</v>
      </c>
      <c r="AP67" s="93">
        <f>AVERAGE(P67:AA67)</f>
        <v>9.9999999999999985E-3</v>
      </c>
      <c r="AQ67" s="93">
        <f>AVERAGE(AB67:AM67)</f>
        <v>9.9999999999999985E-3</v>
      </c>
      <c r="AR67" s="76"/>
    </row>
    <row r="68" spans="1:44" hidden="1" outlineLevel="1">
      <c r="A68" s="70" t="s">
        <v>105</v>
      </c>
      <c r="B68" s="71" t="s">
        <v>79</v>
      </c>
      <c r="C68" s="72"/>
      <c r="D68" s="92">
        <v>0.1</v>
      </c>
      <c r="E68" s="92">
        <v>0.1</v>
      </c>
      <c r="F68" s="92">
        <v>0.1</v>
      </c>
      <c r="G68" s="92">
        <v>0.1</v>
      </c>
      <c r="H68" s="92">
        <v>0.1</v>
      </c>
      <c r="I68" s="92">
        <v>0.1</v>
      </c>
      <c r="J68" s="92">
        <v>0.1</v>
      </c>
      <c r="K68" s="92">
        <v>0.1</v>
      </c>
      <c r="L68" s="92">
        <v>0.1</v>
      </c>
      <c r="M68" s="92">
        <v>0.1</v>
      </c>
      <c r="N68" s="92">
        <v>0.1</v>
      </c>
      <c r="O68" s="92">
        <v>0.1</v>
      </c>
      <c r="P68" s="92">
        <v>0.1</v>
      </c>
      <c r="Q68" s="92">
        <v>0.1</v>
      </c>
      <c r="R68" s="92">
        <v>0.1</v>
      </c>
      <c r="S68" s="92">
        <v>0.1</v>
      </c>
      <c r="T68" s="92">
        <v>0.1</v>
      </c>
      <c r="U68" s="92">
        <v>0.1</v>
      </c>
      <c r="V68" s="92">
        <v>0.1</v>
      </c>
      <c r="W68" s="92">
        <v>0.1</v>
      </c>
      <c r="X68" s="92">
        <v>0.1</v>
      </c>
      <c r="Y68" s="92">
        <v>0.1</v>
      </c>
      <c r="Z68" s="92">
        <v>0.1</v>
      </c>
      <c r="AA68" s="92">
        <v>0.1</v>
      </c>
      <c r="AB68" s="92">
        <v>0.1</v>
      </c>
      <c r="AC68" s="92">
        <v>0.1</v>
      </c>
      <c r="AD68" s="92">
        <v>0.1</v>
      </c>
      <c r="AE68" s="92">
        <v>0.1</v>
      </c>
      <c r="AF68" s="92">
        <v>0.1</v>
      </c>
      <c r="AG68" s="92">
        <v>0.1</v>
      </c>
      <c r="AH68" s="92">
        <v>0.1</v>
      </c>
      <c r="AI68" s="92">
        <v>0.1</v>
      </c>
      <c r="AJ68" s="92">
        <v>0.1</v>
      </c>
      <c r="AK68" s="92">
        <v>0.1</v>
      </c>
      <c r="AL68" s="92">
        <v>0.1</v>
      </c>
      <c r="AM68" s="92">
        <v>0.1</v>
      </c>
      <c r="AN68" s="81"/>
      <c r="AO68" s="93">
        <f>AVERAGE(D68:O68)</f>
        <v>9.9999999999999992E-2</v>
      </c>
      <c r="AP68" s="93">
        <f>AVERAGE(P68:AA68)</f>
        <v>9.9999999999999992E-2</v>
      </c>
      <c r="AQ68" s="93">
        <f>AVERAGE(AB68:AM68)</f>
        <v>9.9999999999999992E-2</v>
      </c>
      <c r="AR68" s="82"/>
    </row>
    <row r="69" spans="1:44" hidden="1" outlineLevel="1">
      <c r="A69" s="70" t="s">
        <v>80</v>
      </c>
      <c r="B69" s="71" t="s">
        <v>79</v>
      </c>
      <c r="C69" s="72"/>
      <c r="D69" s="92">
        <v>0.1</v>
      </c>
      <c r="E69" s="92">
        <v>0.1</v>
      </c>
      <c r="F69" s="92">
        <v>0.1</v>
      </c>
      <c r="G69" s="92">
        <v>0.1</v>
      </c>
      <c r="H69" s="92">
        <v>0.1</v>
      </c>
      <c r="I69" s="92">
        <v>0.1</v>
      </c>
      <c r="J69" s="92">
        <v>0.1</v>
      </c>
      <c r="K69" s="92">
        <v>0.1</v>
      </c>
      <c r="L69" s="92">
        <v>0.1</v>
      </c>
      <c r="M69" s="92">
        <v>0.1</v>
      </c>
      <c r="N69" s="92">
        <v>0.1</v>
      </c>
      <c r="O69" s="92">
        <v>0.1</v>
      </c>
      <c r="P69" s="92">
        <v>0.1</v>
      </c>
      <c r="Q69" s="92">
        <v>0.1</v>
      </c>
      <c r="R69" s="92">
        <v>0.1</v>
      </c>
      <c r="S69" s="92">
        <v>0.1</v>
      </c>
      <c r="T69" s="92">
        <v>0.1</v>
      </c>
      <c r="U69" s="92">
        <v>0.1</v>
      </c>
      <c r="V69" s="92">
        <v>0.1</v>
      </c>
      <c r="W69" s="92">
        <v>0.1</v>
      </c>
      <c r="X69" s="92">
        <v>0.1</v>
      </c>
      <c r="Y69" s="92">
        <v>0.1</v>
      </c>
      <c r="Z69" s="92">
        <v>0.1</v>
      </c>
      <c r="AA69" s="92">
        <v>0.1</v>
      </c>
      <c r="AB69" s="92">
        <v>0.1</v>
      </c>
      <c r="AC69" s="92">
        <v>0.1</v>
      </c>
      <c r="AD69" s="92">
        <v>0.1</v>
      </c>
      <c r="AE69" s="92">
        <v>0.1</v>
      </c>
      <c r="AF69" s="92">
        <v>0.1</v>
      </c>
      <c r="AG69" s="92">
        <v>0.1</v>
      </c>
      <c r="AH69" s="92">
        <v>0.1</v>
      </c>
      <c r="AI69" s="92">
        <v>0.1</v>
      </c>
      <c r="AJ69" s="92">
        <v>0.1</v>
      </c>
      <c r="AK69" s="92">
        <v>0.1</v>
      </c>
      <c r="AL69" s="92">
        <v>0.1</v>
      </c>
      <c r="AM69" s="92">
        <v>0.1</v>
      </c>
      <c r="AN69" s="81"/>
      <c r="AO69" s="93">
        <f t="shared" ref="AO69:AO70" si="202">AVERAGE(D69:O69)</f>
        <v>9.9999999999999992E-2</v>
      </c>
      <c r="AP69" s="93">
        <f t="shared" ref="AP69:AP70" si="203">AVERAGE(P69:AA69)</f>
        <v>9.9999999999999992E-2</v>
      </c>
      <c r="AQ69" s="93">
        <f t="shared" ref="AQ69:AQ70" si="204">AVERAGE(AB69:AM69)</f>
        <v>9.9999999999999992E-2</v>
      </c>
      <c r="AR69" s="82"/>
    </row>
    <row r="70" spans="1:44" hidden="1" outlineLevel="1">
      <c r="A70" s="70" t="s">
        <v>81</v>
      </c>
      <c r="B70" s="72" t="s">
        <v>79</v>
      </c>
      <c r="C70" s="72"/>
      <c r="D70" s="92">
        <v>0.05</v>
      </c>
      <c r="E70" s="92">
        <v>0.05</v>
      </c>
      <c r="F70" s="92">
        <v>0.05</v>
      </c>
      <c r="G70" s="92">
        <v>0.05</v>
      </c>
      <c r="H70" s="92">
        <v>0.05</v>
      </c>
      <c r="I70" s="92">
        <v>0.05</v>
      </c>
      <c r="J70" s="92">
        <v>0.05</v>
      </c>
      <c r="K70" s="92">
        <v>0.05</v>
      </c>
      <c r="L70" s="92">
        <v>0.05</v>
      </c>
      <c r="M70" s="92">
        <v>0.05</v>
      </c>
      <c r="N70" s="92">
        <v>0.05</v>
      </c>
      <c r="O70" s="92">
        <v>0.05</v>
      </c>
      <c r="P70" s="92">
        <v>0.05</v>
      </c>
      <c r="Q70" s="92">
        <v>0.05</v>
      </c>
      <c r="R70" s="92">
        <v>0.05</v>
      </c>
      <c r="S70" s="92">
        <v>0.05</v>
      </c>
      <c r="T70" s="92">
        <v>0.05</v>
      </c>
      <c r="U70" s="92">
        <v>0.05</v>
      </c>
      <c r="V70" s="92">
        <v>0.05</v>
      </c>
      <c r="W70" s="92">
        <v>0.05</v>
      </c>
      <c r="X70" s="92">
        <v>0.05</v>
      </c>
      <c r="Y70" s="92">
        <v>0.05</v>
      </c>
      <c r="Z70" s="92">
        <v>0.05</v>
      </c>
      <c r="AA70" s="92">
        <v>0.05</v>
      </c>
      <c r="AB70" s="92">
        <v>0.05</v>
      </c>
      <c r="AC70" s="92">
        <v>0.05</v>
      </c>
      <c r="AD70" s="92">
        <v>0.05</v>
      </c>
      <c r="AE70" s="92">
        <v>0.05</v>
      </c>
      <c r="AF70" s="92">
        <v>0.05</v>
      </c>
      <c r="AG70" s="92">
        <v>0.05</v>
      </c>
      <c r="AH70" s="92">
        <v>0.05</v>
      </c>
      <c r="AI70" s="92">
        <v>0.05</v>
      </c>
      <c r="AJ70" s="92">
        <v>0.05</v>
      </c>
      <c r="AK70" s="92">
        <v>0.05</v>
      </c>
      <c r="AL70" s="92">
        <v>0.05</v>
      </c>
      <c r="AM70" s="92">
        <v>0.05</v>
      </c>
      <c r="AN70" s="81"/>
      <c r="AO70" s="93">
        <f t="shared" si="202"/>
        <v>4.9999999999999996E-2</v>
      </c>
      <c r="AP70" s="93">
        <f t="shared" si="203"/>
        <v>4.9999999999999996E-2</v>
      </c>
      <c r="AQ70" s="93">
        <f t="shared" si="204"/>
        <v>4.9999999999999996E-2</v>
      </c>
      <c r="AR70" s="82"/>
    </row>
    <row r="71" spans="1:44" hidden="1" outlineLevel="1">
      <c r="A71" s="70" t="s">
        <v>82</v>
      </c>
      <c r="B71" s="71" t="s">
        <v>78</v>
      </c>
      <c r="C71" s="72"/>
      <c r="D71" s="73">
        <f t="shared" ref="D71:E71" si="205">-D66*D70</f>
        <v>-75</v>
      </c>
      <c r="E71" s="94">
        <f t="shared" si="205"/>
        <v>-130</v>
      </c>
      <c r="F71" s="94">
        <f t="shared" ref="F71:AM71" si="206">-F66*F70</f>
        <v>-171.66666666666669</v>
      </c>
      <c r="G71" s="94">
        <f t="shared" si="206"/>
        <v>-204.44444444444449</v>
      </c>
      <c r="H71" s="94">
        <f t="shared" si="206"/>
        <v>-231.2962962962963</v>
      </c>
      <c r="I71" s="94">
        <f t="shared" si="206"/>
        <v>-254.19753086419757</v>
      </c>
      <c r="J71" s="94">
        <f t="shared" si="206"/>
        <v>-269.46502057613174</v>
      </c>
      <c r="K71" s="94">
        <f t="shared" si="206"/>
        <v>-289.64334705075447</v>
      </c>
      <c r="L71" s="94">
        <f t="shared" si="206"/>
        <v>-313.09556470050302</v>
      </c>
      <c r="M71" s="94">
        <f t="shared" si="206"/>
        <v>-338.73037646700209</v>
      </c>
      <c r="N71" s="94">
        <f t="shared" si="206"/>
        <v>-365.82025097800135</v>
      </c>
      <c r="O71" s="94">
        <f t="shared" si="206"/>
        <v>-393.88016731866759</v>
      </c>
      <c r="P71" s="94">
        <f t="shared" si="206"/>
        <v>-412.58677821244504</v>
      </c>
      <c r="Q71" s="94">
        <f t="shared" si="206"/>
        <v>-425.05785214163001</v>
      </c>
      <c r="R71" s="94">
        <f t="shared" si="206"/>
        <v>-433.37190142775336</v>
      </c>
      <c r="S71" s="94">
        <f t="shared" si="206"/>
        <v>-438.91460095183561</v>
      </c>
      <c r="T71" s="94">
        <f t="shared" si="206"/>
        <v>-442.60973396789041</v>
      </c>
      <c r="U71" s="94">
        <f t="shared" si="206"/>
        <v>-445.0731559785936</v>
      </c>
      <c r="V71" s="94">
        <f t="shared" si="206"/>
        <v>-446.7154373190624</v>
      </c>
      <c r="W71" s="94">
        <f t="shared" si="206"/>
        <v>-447.81029154604158</v>
      </c>
      <c r="X71" s="94">
        <f t="shared" si="206"/>
        <v>-448.54019436402768</v>
      </c>
      <c r="Y71" s="94">
        <f t="shared" si="206"/>
        <v>-449.02679624268512</v>
      </c>
      <c r="Z71" s="94">
        <f t="shared" si="206"/>
        <v>-449.35119749512342</v>
      </c>
      <c r="AA71" s="94">
        <f t="shared" si="206"/>
        <v>-449.56746499674892</v>
      </c>
      <c r="AB71" s="94">
        <f t="shared" si="206"/>
        <v>-449.71164333116599</v>
      </c>
      <c r="AC71" s="94">
        <f t="shared" si="206"/>
        <v>-449.80776222077731</v>
      </c>
      <c r="AD71" s="94">
        <f t="shared" si="206"/>
        <v>-449.87184148051824</v>
      </c>
      <c r="AE71" s="94">
        <f t="shared" si="206"/>
        <v>-449.91456098701212</v>
      </c>
      <c r="AF71" s="94">
        <f t="shared" si="206"/>
        <v>-449.9430406580081</v>
      </c>
      <c r="AG71" s="94">
        <f t="shared" si="206"/>
        <v>-449.96202710533873</v>
      </c>
      <c r="AH71" s="94">
        <f t="shared" si="206"/>
        <v>-449.97468473689253</v>
      </c>
      <c r="AI71" s="94">
        <f t="shared" si="206"/>
        <v>-449.98312315792839</v>
      </c>
      <c r="AJ71" s="94">
        <f t="shared" si="206"/>
        <v>-449.98874877195226</v>
      </c>
      <c r="AK71" s="94">
        <f t="shared" si="206"/>
        <v>-449.99249918130147</v>
      </c>
      <c r="AL71" s="94">
        <f t="shared" si="206"/>
        <v>-449.99499945420098</v>
      </c>
      <c r="AM71" s="94">
        <f t="shared" si="206"/>
        <v>-449.99666630280063</v>
      </c>
      <c r="AN71" s="81"/>
      <c r="AO71" s="75">
        <f>O71</f>
        <v>-393.88016731866759</v>
      </c>
      <c r="AP71" s="75">
        <f>AA71</f>
        <v>-449.56746499674892</v>
      </c>
      <c r="AQ71" s="75">
        <f>AM71</f>
        <v>-449.99666630280063</v>
      </c>
      <c r="AR71" s="82"/>
    </row>
    <row r="72" spans="1:44" hidden="1" outlineLevel="1">
      <c r="A72" s="70" t="s">
        <v>97</v>
      </c>
      <c r="B72" s="71" t="s">
        <v>78</v>
      </c>
      <c r="C72" s="72"/>
      <c r="D72" s="73">
        <f>D65*D68*(1-2/102)</f>
        <v>0</v>
      </c>
      <c r="E72" s="73">
        <f>E65*E68*(1-2/102)</f>
        <v>49.019607843137251</v>
      </c>
      <c r="F72" s="73">
        <f t="shared" ref="F72:AM72" si="207">F65*F68*(1-2/102)</f>
        <v>84.967320261437905</v>
      </c>
      <c r="G72" s="73">
        <f t="shared" si="207"/>
        <v>112.2004357298475</v>
      </c>
      <c r="H72" s="73">
        <f t="shared" si="207"/>
        <v>133.62381989832974</v>
      </c>
      <c r="I72" s="73">
        <f t="shared" si="207"/>
        <v>151.17404986686034</v>
      </c>
      <c r="J72" s="73">
        <f t="shared" si="207"/>
        <v>166.14217703542323</v>
      </c>
      <c r="K72" s="73">
        <f t="shared" si="207"/>
        <v>176.12092848113184</v>
      </c>
      <c r="L72" s="73">
        <f t="shared" si="207"/>
        <v>189.3093771573559</v>
      </c>
      <c r="M72" s="73">
        <f t="shared" si="207"/>
        <v>204.63762398725686</v>
      </c>
      <c r="N72" s="73">
        <f t="shared" si="207"/>
        <v>221.3924029196092</v>
      </c>
      <c r="O72" s="73">
        <f t="shared" si="207"/>
        <v>239.09820325359564</v>
      </c>
      <c r="P72" s="73">
        <f t="shared" si="207"/>
        <v>257.43801785533827</v>
      </c>
      <c r="Q72" s="73">
        <f t="shared" si="207"/>
        <v>269.66456092316668</v>
      </c>
      <c r="R72" s="73">
        <f t="shared" si="207"/>
        <v>277.81558963505222</v>
      </c>
      <c r="S72" s="73">
        <f t="shared" si="207"/>
        <v>283.24960877630934</v>
      </c>
      <c r="T72" s="73">
        <f t="shared" si="207"/>
        <v>286.87228820381404</v>
      </c>
      <c r="U72" s="73">
        <f t="shared" si="207"/>
        <v>289.28740782215056</v>
      </c>
      <c r="V72" s="73">
        <f t="shared" si="207"/>
        <v>290.89748756770825</v>
      </c>
      <c r="W72" s="73">
        <f t="shared" si="207"/>
        <v>291.97087406474668</v>
      </c>
      <c r="X72" s="73">
        <f t="shared" si="207"/>
        <v>292.6864650627723</v>
      </c>
      <c r="Y72" s="73">
        <f t="shared" si="207"/>
        <v>293.16352572812264</v>
      </c>
      <c r="Z72" s="73">
        <f t="shared" si="207"/>
        <v>293.48156617168962</v>
      </c>
      <c r="AA72" s="73">
        <f t="shared" si="207"/>
        <v>293.69359313406761</v>
      </c>
      <c r="AB72" s="73">
        <f t="shared" si="207"/>
        <v>293.83494444231951</v>
      </c>
      <c r="AC72" s="73">
        <f t="shared" si="207"/>
        <v>293.92917864782089</v>
      </c>
      <c r="AD72" s="73">
        <f t="shared" si="207"/>
        <v>293.99200145148842</v>
      </c>
      <c r="AE72" s="73">
        <f t="shared" si="207"/>
        <v>294.03388332060018</v>
      </c>
      <c r="AF72" s="73">
        <f t="shared" si="207"/>
        <v>294.0618045666746</v>
      </c>
      <c r="AG72" s="73">
        <f t="shared" si="207"/>
        <v>294.08041873072426</v>
      </c>
      <c r="AH72" s="73">
        <f t="shared" si="207"/>
        <v>294.09282817342398</v>
      </c>
      <c r="AI72" s="73">
        <f t="shared" si="207"/>
        <v>294.10110113522387</v>
      </c>
      <c r="AJ72" s="73">
        <f t="shared" si="207"/>
        <v>294.10661644309045</v>
      </c>
      <c r="AK72" s="73">
        <f t="shared" si="207"/>
        <v>294.11029331500146</v>
      </c>
      <c r="AL72" s="73">
        <f t="shared" si="207"/>
        <v>294.11274456294211</v>
      </c>
      <c r="AM72" s="73">
        <f t="shared" si="207"/>
        <v>294.11437872823592</v>
      </c>
      <c r="AN72" s="81"/>
      <c r="AO72" s="75">
        <f>SUM(D72:O72)</f>
        <v>1727.685946433985</v>
      </c>
      <c r="AP72" s="75">
        <f>SUM(P72:AA72)</f>
        <v>3420.2209849449382</v>
      </c>
      <c r="AQ72" s="75">
        <f>SUM(AB72:AM72)</f>
        <v>3528.5701935175452</v>
      </c>
      <c r="AR72" s="82"/>
    </row>
    <row r="73" spans="1:44" hidden="1" outlineLevel="1">
      <c r="A73" s="70" t="s">
        <v>92</v>
      </c>
      <c r="B73" s="71" t="s">
        <v>78</v>
      </c>
      <c r="C73" s="72"/>
      <c r="D73" s="73">
        <f t="shared" ref="D73:E73" si="208">-(C66+D66)/2*D69/12</f>
        <v>-6.25</v>
      </c>
      <c r="E73" s="73">
        <f t="shared" si="208"/>
        <v>-17.083333333333332</v>
      </c>
      <c r="F73" s="73">
        <f t="shared" ref="F73" si="209">-(E66+F66)/2*F69/12</f>
        <v>-25.138888888888889</v>
      </c>
      <c r="G73" s="73">
        <f t="shared" ref="G73" si="210">-(F66+G66)/2*G69/12</f>
        <v>-31.342592592592595</v>
      </c>
      <c r="H73" s="73">
        <f t="shared" ref="H73" si="211">-(G66+H66)/2*H69/12</f>
        <v>-36.311728395061735</v>
      </c>
      <c r="I73" s="73">
        <f t="shared" ref="I73" si="212">-(H66+I66)/2*I69/12</f>
        <v>-40.457818930041157</v>
      </c>
      <c r="J73" s="73">
        <f t="shared" ref="J73" si="213">-(I66+J66)/2*J69/12</f>
        <v>-43.638545953360783</v>
      </c>
      <c r="K73" s="73">
        <f t="shared" ref="K73" si="214">-(J66+K66)/2*K69/12</f>
        <v>-46.592363968907186</v>
      </c>
      <c r="L73" s="73">
        <f t="shared" ref="L73" si="215">-(K66+L66)/2*L69/12</f>
        <v>-50.228242645938131</v>
      </c>
      <c r="M73" s="73">
        <f t="shared" ref="M73" si="216">-(L66+M66)/2*M69/12</f>
        <v>-54.318828430625423</v>
      </c>
      <c r="N73" s="73">
        <f t="shared" ref="N73" si="217">-(M66+N66)/2*N69/12</f>
        <v>-58.712552287083618</v>
      </c>
      <c r="O73" s="73">
        <f t="shared" ref="O73" si="218">-(N66+O66)/2*O69/12</f>
        <v>-63.308368191389071</v>
      </c>
      <c r="P73" s="73">
        <f t="shared" ref="P73" si="219">-(O66+P66)/2*P69/12</f>
        <v>-67.205578794259381</v>
      </c>
      <c r="Q73" s="73">
        <f t="shared" ref="Q73" si="220">-(P66+Q66)/2*Q69/12</f>
        <v>-69.803719196172921</v>
      </c>
      <c r="R73" s="73">
        <f t="shared" ref="R73" si="221">-(Q66+R66)/2*R69/12</f>
        <v>-71.535812797448614</v>
      </c>
      <c r="S73" s="73">
        <f t="shared" ref="S73" si="222">-(R66+S66)/2*S69/12</f>
        <v>-72.690541864965752</v>
      </c>
      <c r="T73" s="73">
        <f t="shared" ref="T73" si="223">-(S66+T66)/2*T69/12</f>
        <v>-73.460361243310487</v>
      </c>
      <c r="U73" s="73">
        <f t="shared" ref="U73" si="224">-(T66+U66)/2*U69/12</f>
        <v>-73.973574162207001</v>
      </c>
      <c r="V73" s="73">
        <f t="shared" ref="V73" si="225">-(U66+V66)/2*V69/12</f>
        <v>-74.315716108138005</v>
      </c>
      <c r="W73" s="73">
        <f t="shared" ref="W73" si="226">-(V66+W66)/2*W69/12</f>
        <v>-74.543810738758665</v>
      </c>
      <c r="X73" s="73">
        <f t="shared" ref="X73" si="227">-(W66+X66)/2*X69/12</f>
        <v>-74.695873825839115</v>
      </c>
      <c r="Y73" s="73">
        <f t="shared" ref="Y73" si="228">-(X66+Y66)/2*Y69/12</f>
        <v>-74.797249217226067</v>
      </c>
      <c r="Z73" s="73">
        <f t="shared" ref="Z73" si="229">-(Y66+Z66)/2*Z69/12</f>
        <v>-74.86483281148405</v>
      </c>
      <c r="AA73" s="73">
        <f t="shared" ref="AA73" si="230">-(Z66+AA66)/2*AA69/12</f>
        <v>-74.909888540989357</v>
      </c>
      <c r="AB73" s="73">
        <f t="shared" ref="AB73" si="231">-(AA66+AB66)/2*AB69/12</f>
        <v>-74.939925693992919</v>
      </c>
      <c r="AC73" s="73">
        <f t="shared" ref="AC73" si="232">-(AB66+AC66)/2*AC69/12</f>
        <v>-74.959950462661936</v>
      </c>
      <c r="AD73" s="73">
        <f t="shared" ref="AD73" si="233">-(AC66+AD66)/2*AD69/12</f>
        <v>-74.973300308441296</v>
      </c>
      <c r="AE73" s="73">
        <f t="shared" ref="AE73" si="234">-(AD66+AE66)/2*AE69/12</f>
        <v>-74.982200205627521</v>
      </c>
      <c r="AF73" s="73">
        <f t="shared" ref="AF73" si="235">-(AE66+AF66)/2*AF69/12</f>
        <v>-74.988133470418362</v>
      </c>
      <c r="AG73" s="73">
        <f t="shared" ref="AG73" si="236">-(AF66+AG66)/2*AG69/12</f>
        <v>-74.992088980278893</v>
      </c>
      <c r="AH73" s="73">
        <f t="shared" ref="AH73" si="237">-(AG66+AH66)/2*AH69/12</f>
        <v>-74.994725986852615</v>
      </c>
      <c r="AI73" s="73">
        <f t="shared" ref="AI73" si="238">-(AH66+AI66)/2*AI69/12</f>
        <v>-74.996483991235081</v>
      </c>
      <c r="AJ73" s="73">
        <f t="shared" ref="AJ73" si="239">-(AI66+AJ66)/2*AJ69/12</f>
        <v>-74.997655994156716</v>
      </c>
      <c r="AK73" s="73">
        <f t="shared" ref="AK73" si="240">-(AJ66+AK66)/2*AK69/12</f>
        <v>-74.998437329437806</v>
      </c>
      <c r="AL73" s="73">
        <f t="shared" ref="AL73" si="241">-(AK66+AL66)/2*AL69/12</f>
        <v>-74.998958219625209</v>
      </c>
      <c r="AM73" s="73">
        <f t="shared" ref="AM73" si="242">-(AL66+AM66)/2*AM69/12</f>
        <v>-74.999305479750134</v>
      </c>
      <c r="AN73" s="81"/>
      <c r="AO73" s="75">
        <f>SUM(D73:O73)</f>
        <v>-473.38326361722193</v>
      </c>
      <c r="AP73" s="75">
        <f>SUM(P73:AA73)</f>
        <v>-876.79695930079947</v>
      </c>
      <c r="AQ73" s="75">
        <f>SUM(AB73:AM73)</f>
        <v>-899.82116612247853</v>
      </c>
      <c r="AR73" s="82"/>
    </row>
    <row r="74" spans="1:44" hidden="1" outlineLevel="1">
      <c r="A74" s="70" t="s">
        <v>99</v>
      </c>
      <c r="B74" s="71" t="s">
        <v>78</v>
      </c>
      <c r="C74" s="72"/>
      <c r="D74" s="73">
        <f t="shared" ref="D74:E74" si="243">-D67*D63</f>
        <v>-15</v>
      </c>
      <c r="E74" s="73">
        <f t="shared" si="243"/>
        <v>-16</v>
      </c>
      <c r="F74" s="73">
        <f t="shared" ref="F74:AM74" si="244">-F67*F63</f>
        <v>-17</v>
      </c>
      <c r="G74" s="73">
        <f t="shared" si="244"/>
        <v>-18</v>
      </c>
      <c r="H74" s="73">
        <f t="shared" si="244"/>
        <v>-19</v>
      </c>
      <c r="I74" s="73">
        <f t="shared" si="244"/>
        <v>-20</v>
      </c>
      <c r="J74" s="73">
        <f t="shared" si="244"/>
        <v>-20</v>
      </c>
      <c r="K74" s="73">
        <f t="shared" si="244"/>
        <v>-22</v>
      </c>
      <c r="L74" s="73">
        <f t="shared" si="244"/>
        <v>-24</v>
      </c>
      <c r="M74" s="73">
        <f t="shared" si="244"/>
        <v>-26</v>
      </c>
      <c r="N74" s="73">
        <f t="shared" si="244"/>
        <v>-28</v>
      </c>
      <c r="O74" s="73">
        <f t="shared" si="244"/>
        <v>-30</v>
      </c>
      <c r="P74" s="73">
        <f t="shared" si="244"/>
        <v>-30</v>
      </c>
      <c r="Q74" s="73">
        <f t="shared" si="244"/>
        <v>-30</v>
      </c>
      <c r="R74" s="73">
        <f t="shared" si="244"/>
        <v>-30</v>
      </c>
      <c r="S74" s="73">
        <f t="shared" si="244"/>
        <v>-30</v>
      </c>
      <c r="T74" s="73">
        <f t="shared" si="244"/>
        <v>-30</v>
      </c>
      <c r="U74" s="73">
        <f t="shared" si="244"/>
        <v>-30</v>
      </c>
      <c r="V74" s="73">
        <f t="shared" si="244"/>
        <v>-30</v>
      </c>
      <c r="W74" s="73">
        <f t="shared" si="244"/>
        <v>-30</v>
      </c>
      <c r="X74" s="73">
        <f t="shared" si="244"/>
        <v>-30</v>
      </c>
      <c r="Y74" s="73">
        <f t="shared" si="244"/>
        <v>-30</v>
      </c>
      <c r="Z74" s="73">
        <f t="shared" si="244"/>
        <v>-30</v>
      </c>
      <c r="AA74" s="73">
        <f t="shared" si="244"/>
        <v>-30</v>
      </c>
      <c r="AB74" s="73">
        <f t="shared" si="244"/>
        <v>-30</v>
      </c>
      <c r="AC74" s="73">
        <f t="shared" si="244"/>
        <v>-30</v>
      </c>
      <c r="AD74" s="73">
        <f t="shared" si="244"/>
        <v>-30</v>
      </c>
      <c r="AE74" s="73">
        <f t="shared" si="244"/>
        <v>-30</v>
      </c>
      <c r="AF74" s="73">
        <f t="shared" si="244"/>
        <v>-30</v>
      </c>
      <c r="AG74" s="73">
        <f t="shared" si="244"/>
        <v>-30</v>
      </c>
      <c r="AH74" s="73">
        <f t="shared" si="244"/>
        <v>-30</v>
      </c>
      <c r="AI74" s="73">
        <f t="shared" si="244"/>
        <v>-30</v>
      </c>
      <c r="AJ74" s="73">
        <f t="shared" si="244"/>
        <v>-30</v>
      </c>
      <c r="AK74" s="73">
        <f t="shared" si="244"/>
        <v>-30</v>
      </c>
      <c r="AL74" s="73">
        <f t="shared" si="244"/>
        <v>-30</v>
      </c>
      <c r="AM74" s="73">
        <f t="shared" si="244"/>
        <v>-30</v>
      </c>
      <c r="AN74" s="81"/>
      <c r="AO74" s="75">
        <f>SUM(D74:O74)</f>
        <v>-255</v>
      </c>
      <c r="AP74" s="75">
        <f>SUM(P74:AA74)</f>
        <v>-360</v>
      </c>
      <c r="AQ74" s="75">
        <f>SUM(AB74:AM74)</f>
        <v>-360</v>
      </c>
      <c r="AR74" s="82"/>
    </row>
    <row r="75" spans="1:44" hidden="1" outlineLevel="1">
      <c r="A75" s="70" t="s">
        <v>93</v>
      </c>
      <c r="B75" s="71" t="s">
        <v>78</v>
      </c>
      <c r="C75" s="72"/>
      <c r="D75" s="78">
        <f t="shared" ref="D75:E75" si="245">(D71-C71)</f>
        <v>-75</v>
      </c>
      <c r="E75" s="78">
        <f t="shared" si="245"/>
        <v>-55</v>
      </c>
      <c r="F75" s="78">
        <f t="shared" ref="F75" si="246">(F71-E71)</f>
        <v>-41.666666666666686</v>
      </c>
      <c r="G75" s="78">
        <f t="shared" ref="G75" si="247">(G71-F71)</f>
        <v>-32.7777777777778</v>
      </c>
      <c r="H75" s="78">
        <f t="shared" ref="H75" si="248">(H71-G71)</f>
        <v>-26.851851851851819</v>
      </c>
      <c r="I75" s="78">
        <f t="shared" ref="I75" si="249">(I71-H71)</f>
        <v>-22.90123456790127</v>
      </c>
      <c r="J75" s="78">
        <f t="shared" ref="J75" si="250">(J71-I71)</f>
        <v>-15.267489711934161</v>
      </c>
      <c r="K75" s="78">
        <f t="shared" ref="K75" si="251">(K71-J71)</f>
        <v>-20.178326474622736</v>
      </c>
      <c r="L75" s="78">
        <f t="shared" ref="L75" si="252">(L71-K71)</f>
        <v>-23.452217649748548</v>
      </c>
      <c r="M75" s="78">
        <f t="shared" ref="M75" si="253">(M71-L71)</f>
        <v>-25.63481176649907</v>
      </c>
      <c r="N75" s="78">
        <f t="shared" ref="N75" si="254">(N71-M71)</f>
        <v>-27.089874510999266</v>
      </c>
      <c r="O75" s="78">
        <f t="shared" ref="O75" si="255">(O71-N71)</f>
        <v>-28.059916340666234</v>
      </c>
      <c r="P75" s="78">
        <f t="shared" ref="P75" si="256">(P71-O71)</f>
        <v>-18.706610893777452</v>
      </c>
      <c r="Q75" s="78">
        <f t="shared" ref="Q75" si="257">(Q71-P71)</f>
        <v>-12.471073929184968</v>
      </c>
      <c r="R75" s="78">
        <f t="shared" ref="R75" si="258">(R71-Q71)</f>
        <v>-8.3140492861233497</v>
      </c>
      <c r="S75" s="78">
        <f t="shared" ref="S75" si="259">(S71-R71)</f>
        <v>-5.5426995240822521</v>
      </c>
      <c r="T75" s="78">
        <f t="shared" ref="T75" si="260">(T71-S71)</f>
        <v>-3.6951330160547968</v>
      </c>
      <c r="U75" s="78">
        <f t="shared" ref="U75" si="261">(U71-T71)</f>
        <v>-2.4634220107031979</v>
      </c>
      <c r="V75" s="78">
        <f t="shared" ref="V75" si="262">(V71-U71)</f>
        <v>-1.6422813404687986</v>
      </c>
      <c r="W75" s="78">
        <f t="shared" ref="W75" si="263">(W71-V71)</f>
        <v>-1.0948542269791801</v>
      </c>
      <c r="X75" s="78">
        <f t="shared" ref="X75" si="264">(X71-W71)</f>
        <v>-0.72990281798610113</v>
      </c>
      <c r="Y75" s="78">
        <f t="shared" ref="Y75" si="265">(Y71-X71)</f>
        <v>-0.48660187865743865</v>
      </c>
      <c r="Z75" s="78">
        <f t="shared" ref="Z75" si="266">(Z71-Y71)</f>
        <v>-0.32440125243829243</v>
      </c>
      <c r="AA75" s="78">
        <f t="shared" ref="AA75" si="267">(AA71-Z71)</f>
        <v>-0.21626750162550934</v>
      </c>
      <c r="AB75" s="78">
        <f t="shared" ref="AB75" si="268">(AB71-AA71)</f>
        <v>-0.14417833441706307</v>
      </c>
      <c r="AC75" s="78">
        <f t="shared" ref="AC75" si="269">(AC71-AB71)</f>
        <v>-9.6118889611318536E-2</v>
      </c>
      <c r="AD75" s="78">
        <f t="shared" ref="AD75" si="270">(AD71-AC71)</f>
        <v>-6.4079259740935868E-2</v>
      </c>
      <c r="AE75" s="78">
        <f t="shared" ref="AE75" si="271">(AE71-AD71)</f>
        <v>-4.2719506493881454E-2</v>
      </c>
      <c r="AF75" s="78">
        <f t="shared" ref="AF75" si="272">(AF71-AE71)</f>
        <v>-2.8479670995977813E-2</v>
      </c>
      <c r="AG75" s="78">
        <f t="shared" ref="AG75" si="273">(AG71-AF71)</f>
        <v>-1.8986447330632927E-2</v>
      </c>
      <c r="AH75" s="78">
        <f t="shared" ref="AH75" si="274">(AH71-AG71)</f>
        <v>-1.2657631553793181E-2</v>
      </c>
      <c r="AI75" s="78">
        <f t="shared" ref="AI75" si="275">(AI71-AH71)</f>
        <v>-8.4384210358621203E-3</v>
      </c>
      <c r="AJ75" s="78">
        <f t="shared" ref="AJ75" si="276">(AJ71-AI71)</f>
        <v>-5.6256140238701846E-3</v>
      </c>
      <c r="AK75" s="78">
        <f t="shared" ref="AK75" si="277">(AK71-AJ71)</f>
        <v>-3.7504093492088941E-3</v>
      </c>
      <c r="AL75" s="78">
        <f t="shared" ref="AL75" si="278">(AL71-AK71)</f>
        <v>-2.5002728995104917E-3</v>
      </c>
      <c r="AM75" s="78">
        <f t="shared" ref="AM75" si="279">(AM71-AL71)</f>
        <v>-1.6668485996547133E-3</v>
      </c>
      <c r="AN75" s="81"/>
      <c r="AO75" s="75">
        <f t="shared" ref="AO75" si="280">SUM(D75:O75)</f>
        <v>-393.88016731866759</v>
      </c>
      <c r="AP75" s="75">
        <f t="shared" ref="AP75" si="281">SUM(P75:AA75)</f>
        <v>-55.687297678081336</v>
      </c>
      <c r="AQ75" s="75">
        <f t="shared" ref="AQ75" si="282">SUM(AB75:AM75)</f>
        <v>-0.42920130605170925</v>
      </c>
      <c r="AR75" s="82"/>
    </row>
    <row r="76" spans="1:44" hidden="1" outlineLevel="1">
      <c r="A76" s="70" t="s">
        <v>122</v>
      </c>
      <c r="B76" s="71" t="s">
        <v>78</v>
      </c>
      <c r="C76" s="72"/>
      <c r="D76" s="78">
        <f>SUM(D72:D75)</f>
        <v>-96.25</v>
      </c>
      <c r="E76" s="78">
        <f>SUM(E72:E75)</f>
        <v>-39.063725490196077</v>
      </c>
      <c r="F76" s="78">
        <f t="shared" ref="F76:AM76" si="283">SUM(F72:F75)</f>
        <v>1.1617647058823337</v>
      </c>
      <c r="G76" s="78">
        <f t="shared" si="283"/>
        <v>30.080065359477103</v>
      </c>
      <c r="H76" s="78">
        <f t="shared" si="283"/>
        <v>51.460239651416188</v>
      </c>
      <c r="I76" s="78">
        <f t="shared" si="283"/>
        <v>67.814996368917917</v>
      </c>
      <c r="J76" s="78">
        <f t="shared" si="283"/>
        <v>87.23614137012828</v>
      </c>
      <c r="K76" s="78">
        <f t="shared" si="283"/>
        <v>87.350238037601912</v>
      </c>
      <c r="L76" s="78">
        <f t="shared" si="283"/>
        <v>91.628916861669211</v>
      </c>
      <c r="M76" s="78">
        <f t="shared" si="283"/>
        <v>98.683983790132373</v>
      </c>
      <c r="N76" s="78">
        <f t="shared" si="283"/>
        <v>107.58997612152632</v>
      </c>
      <c r="O76" s="78">
        <f t="shared" si="283"/>
        <v>117.72991872154034</v>
      </c>
      <c r="P76" s="78">
        <f t="shared" si="283"/>
        <v>141.52582816730143</v>
      </c>
      <c r="Q76" s="78">
        <f t="shared" si="283"/>
        <v>157.38976779780879</v>
      </c>
      <c r="R76" s="78">
        <f t="shared" si="283"/>
        <v>167.96572755148026</v>
      </c>
      <c r="S76" s="78">
        <f t="shared" si="283"/>
        <v>175.01636738726134</v>
      </c>
      <c r="T76" s="78">
        <f t="shared" si="283"/>
        <v>179.71679394444874</v>
      </c>
      <c r="U76" s="78">
        <f t="shared" si="283"/>
        <v>182.85041164924036</v>
      </c>
      <c r="V76" s="78">
        <f t="shared" si="283"/>
        <v>184.93949011910144</v>
      </c>
      <c r="W76" s="78">
        <f t="shared" si="283"/>
        <v>186.33220909900882</v>
      </c>
      <c r="X76" s="78">
        <f t="shared" si="283"/>
        <v>187.2606884189471</v>
      </c>
      <c r="Y76" s="78">
        <f t="shared" si="283"/>
        <v>187.87967463223913</v>
      </c>
      <c r="Z76" s="78">
        <f t="shared" si="283"/>
        <v>188.29233210776727</v>
      </c>
      <c r="AA76" s="78">
        <f t="shared" si="283"/>
        <v>188.56743709145275</v>
      </c>
      <c r="AB76" s="78">
        <f t="shared" si="283"/>
        <v>188.75084041390954</v>
      </c>
      <c r="AC76" s="78">
        <f t="shared" si="283"/>
        <v>188.87310929554764</v>
      </c>
      <c r="AD76" s="78">
        <f t="shared" si="283"/>
        <v>188.95462188330617</v>
      </c>
      <c r="AE76" s="78">
        <f t="shared" si="283"/>
        <v>189.00896360847878</v>
      </c>
      <c r="AF76" s="78">
        <f t="shared" si="283"/>
        <v>189.04519142526027</v>
      </c>
      <c r="AG76" s="78">
        <f t="shared" si="283"/>
        <v>189.06934330311475</v>
      </c>
      <c r="AH76" s="78">
        <f t="shared" si="283"/>
        <v>189.08544455501757</v>
      </c>
      <c r="AI76" s="78">
        <f t="shared" si="283"/>
        <v>189.09617872295291</v>
      </c>
      <c r="AJ76" s="78">
        <f t="shared" si="283"/>
        <v>189.10333483490984</v>
      </c>
      <c r="AK76" s="78">
        <f t="shared" si="283"/>
        <v>189.10810557621443</v>
      </c>
      <c r="AL76" s="78">
        <f t="shared" si="283"/>
        <v>189.11128607041741</v>
      </c>
      <c r="AM76" s="78">
        <f t="shared" si="283"/>
        <v>189.11340639988612</v>
      </c>
      <c r="AN76" s="81"/>
      <c r="AO76" s="75">
        <f t="shared" ref="AO76" si="284">SUM(D76:O76)</f>
        <v>605.42251549809589</v>
      </c>
      <c r="AP76" s="75">
        <f t="shared" ref="AP76" si="285">SUM(P76:AA76)</f>
        <v>2127.7367279660575</v>
      </c>
      <c r="AQ76" s="75">
        <f t="shared" ref="AQ76" si="286">SUM(AB76:AM76)</f>
        <v>2268.3198260890158</v>
      </c>
      <c r="AR76" s="82"/>
    </row>
    <row r="77" spans="1:44" hidden="1" outlineLevel="1">
      <c r="A77" s="70" t="s">
        <v>139</v>
      </c>
      <c r="B77" s="71" t="s">
        <v>78</v>
      </c>
      <c r="C77" s="72"/>
      <c r="D77" s="78">
        <f>-'OPEX+CAPEX'!E27</f>
        <v>-0.38062499999999999</v>
      </c>
      <c r="E77" s="78">
        <f>-'OPEX+CAPEX'!F27</f>
        <v>-0.65974999999999995</v>
      </c>
      <c r="F77" s="78">
        <f>-'OPEX+CAPEX'!G27</f>
        <v>-0.87120833333333336</v>
      </c>
      <c r="G77" s="78">
        <f>-'OPEX+CAPEX'!H27</f>
        <v>-1.0375555555555556</v>
      </c>
      <c r="H77" s="78">
        <f>-'OPEX+CAPEX'!I27</f>
        <v>-1.1738287037037036</v>
      </c>
      <c r="I77" s="78">
        <f>-'OPEX+CAPEX'!J27</f>
        <v>-1.2900524691358028</v>
      </c>
      <c r="J77" s="78">
        <f>-'OPEX+CAPEX'!K27</f>
        <v>-1.3675349794238685</v>
      </c>
      <c r="K77" s="78">
        <f>-'OPEX+CAPEX'!L27</f>
        <v>-1.469939986282579</v>
      </c>
      <c r="L77" s="78">
        <f>-'OPEX+CAPEX'!M27</f>
        <v>-1.5889599908550529</v>
      </c>
      <c r="M77" s="78">
        <f>-'OPEX+CAPEX'!N27</f>
        <v>-1.7190566605700353</v>
      </c>
      <c r="N77" s="78">
        <f>-'OPEX+CAPEX'!O27</f>
        <v>-1.8565377737133568</v>
      </c>
      <c r="O77" s="78">
        <f>-'OPEX+CAPEX'!P27</f>
        <v>-1.9989418491422379</v>
      </c>
      <c r="P77" s="78">
        <f>-'OPEX+CAPEX'!Q27</f>
        <v>-2.0938778994281586</v>
      </c>
      <c r="Q77" s="78">
        <f>-'OPEX+CAPEX'!R27</f>
        <v>-2.1571685996187719</v>
      </c>
      <c r="R77" s="78">
        <f>-'OPEX+CAPEX'!S27</f>
        <v>-2.1993623997458482</v>
      </c>
      <c r="S77" s="78">
        <f>-'OPEX+CAPEX'!T27</f>
        <v>-2.2274915998305653</v>
      </c>
      <c r="T77" s="78">
        <f>-'OPEX+CAPEX'!U27</f>
        <v>-2.2462443998870438</v>
      </c>
      <c r="U77" s="78">
        <f>-'OPEX+CAPEX'!V27</f>
        <v>-2.2587462665913627</v>
      </c>
      <c r="V77" s="78">
        <f>-'OPEX+CAPEX'!W27</f>
        <v>-2.2670808443942416</v>
      </c>
      <c r="W77" s="78">
        <f>-'OPEX+CAPEX'!X27</f>
        <v>-2.2726372295961608</v>
      </c>
      <c r="X77" s="78">
        <f>-'OPEX+CAPEX'!Y27</f>
        <v>-2.2763414863974405</v>
      </c>
      <c r="Y77" s="78">
        <f>-'OPEX+CAPEX'!Z27</f>
        <v>-2.2788109909316274</v>
      </c>
      <c r="Z77" s="78">
        <f>-'OPEX+CAPEX'!AA27</f>
        <v>-2.2804573272877509</v>
      </c>
      <c r="AA77" s="78">
        <f>-'OPEX+CAPEX'!AB27</f>
        <v>-2.281554884858501</v>
      </c>
      <c r="AB77" s="78">
        <f>-'OPEX+CAPEX'!AC27</f>
        <v>-2.2822865899056675</v>
      </c>
      <c r="AC77" s="78">
        <f>-'OPEX+CAPEX'!AD27</f>
        <v>-2.282774393270445</v>
      </c>
      <c r="AD77" s="78">
        <f>-'OPEX+CAPEX'!AE27</f>
        <v>-2.2830995955136295</v>
      </c>
      <c r="AE77" s="78">
        <f>-'OPEX+CAPEX'!AF27</f>
        <v>-2.2833163970090862</v>
      </c>
      <c r="AF77" s="78">
        <f>-'OPEX+CAPEX'!AG27</f>
        <v>-2.2834609313393908</v>
      </c>
      <c r="AG77" s="78">
        <f>-'OPEX+CAPEX'!AH27</f>
        <v>-2.283557287559594</v>
      </c>
      <c r="AH77" s="78">
        <f>-'OPEX+CAPEX'!AI27</f>
        <v>-2.2836215250397296</v>
      </c>
      <c r="AI77" s="78">
        <f>-'OPEX+CAPEX'!AJ27</f>
        <v>-2.2836643500264864</v>
      </c>
      <c r="AJ77" s="78">
        <f>-'OPEX+CAPEX'!AK27</f>
        <v>-2.2836929000176576</v>
      </c>
      <c r="AK77" s="78">
        <f>-'OPEX+CAPEX'!AL27</f>
        <v>-2.283711933345105</v>
      </c>
      <c r="AL77" s="78">
        <f>-'OPEX+CAPEX'!AM27</f>
        <v>-2.2837246222300696</v>
      </c>
      <c r="AM77" s="78">
        <f>-'OPEX+CAPEX'!AN27</f>
        <v>-2.2837330814867132</v>
      </c>
      <c r="AN77" s="81"/>
      <c r="AO77" s="75">
        <f t="shared" ref="AO77:AO78" si="287">SUM(D77:O77)</f>
        <v>-15.413991301715523</v>
      </c>
      <c r="AP77" s="75">
        <f t="shared" ref="AP77:AP78" si="288">SUM(P77:AA77)</f>
        <v>-26.839773928567475</v>
      </c>
      <c r="AQ77" s="75">
        <f t="shared" ref="AQ77:AQ78" si="289">SUM(AB77:AM77)</f>
        <v>-27.400643606743575</v>
      </c>
      <c r="AR77" s="82"/>
    </row>
    <row r="78" spans="1:44" hidden="1" outlineLevel="1">
      <c r="A78" s="70" t="s">
        <v>177</v>
      </c>
      <c r="B78" s="71" t="s">
        <v>78</v>
      </c>
      <c r="C78" s="72"/>
      <c r="D78" s="78">
        <f>D76+D77</f>
        <v>-96.630624999999995</v>
      </c>
      <c r="E78" s="78">
        <f t="shared" ref="E78:AM78" si="290">E76+E77</f>
        <v>-39.72347549019608</v>
      </c>
      <c r="F78" s="78">
        <f t="shared" si="290"/>
        <v>0.29055637254900035</v>
      </c>
      <c r="G78" s="78">
        <f t="shared" si="290"/>
        <v>29.042509803921547</v>
      </c>
      <c r="H78" s="78">
        <f t="shared" si="290"/>
        <v>50.286410947712483</v>
      </c>
      <c r="I78" s="78">
        <f t="shared" si="290"/>
        <v>66.524943899782116</v>
      </c>
      <c r="J78" s="78">
        <f t="shared" si="290"/>
        <v>85.868606390704414</v>
      </c>
      <c r="K78" s="78">
        <f t="shared" si="290"/>
        <v>85.880298051319329</v>
      </c>
      <c r="L78" s="78">
        <f t="shared" si="290"/>
        <v>90.039956870814152</v>
      </c>
      <c r="M78" s="78">
        <f t="shared" si="290"/>
        <v>96.964927129562341</v>
      </c>
      <c r="N78" s="78">
        <f t="shared" si="290"/>
        <v>105.73343834781296</v>
      </c>
      <c r="O78" s="78">
        <f t="shared" si="290"/>
        <v>115.7309768723981</v>
      </c>
      <c r="P78" s="78">
        <f t="shared" si="290"/>
        <v>139.43195026787328</v>
      </c>
      <c r="Q78" s="78">
        <f t="shared" si="290"/>
        <v>155.23259919819</v>
      </c>
      <c r="R78" s="78">
        <f t="shared" si="290"/>
        <v>165.76636515173442</v>
      </c>
      <c r="S78" s="78">
        <f t="shared" si="290"/>
        <v>172.78887578743078</v>
      </c>
      <c r="T78" s="78">
        <f t="shared" si="290"/>
        <v>177.47054954456169</v>
      </c>
      <c r="U78" s="78">
        <f t="shared" si="290"/>
        <v>180.59166538264898</v>
      </c>
      <c r="V78" s="78">
        <f t="shared" si="290"/>
        <v>182.67240927470721</v>
      </c>
      <c r="W78" s="78">
        <f t="shared" si="290"/>
        <v>184.05957186941265</v>
      </c>
      <c r="X78" s="78">
        <f t="shared" si="290"/>
        <v>184.98434693254967</v>
      </c>
      <c r="Y78" s="78">
        <f t="shared" si="290"/>
        <v>185.60086364130751</v>
      </c>
      <c r="Z78" s="78">
        <f t="shared" si="290"/>
        <v>186.0118747804795</v>
      </c>
      <c r="AA78" s="78">
        <f t="shared" si="290"/>
        <v>186.28588220659424</v>
      </c>
      <c r="AB78" s="78">
        <f t="shared" si="290"/>
        <v>186.46855382400386</v>
      </c>
      <c r="AC78" s="78">
        <f t="shared" si="290"/>
        <v>186.59033490227719</v>
      </c>
      <c r="AD78" s="78">
        <f t="shared" si="290"/>
        <v>186.67152228779256</v>
      </c>
      <c r="AE78" s="78">
        <f t="shared" si="290"/>
        <v>186.72564721146969</v>
      </c>
      <c r="AF78" s="78">
        <f t="shared" si="290"/>
        <v>186.76173049392088</v>
      </c>
      <c r="AG78" s="78">
        <f t="shared" si="290"/>
        <v>186.78578601555515</v>
      </c>
      <c r="AH78" s="78">
        <f t="shared" si="290"/>
        <v>186.80182302997784</v>
      </c>
      <c r="AI78" s="78">
        <f t="shared" si="290"/>
        <v>186.81251437292642</v>
      </c>
      <c r="AJ78" s="78">
        <f t="shared" si="290"/>
        <v>186.81964193489219</v>
      </c>
      <c r="AK78" s="78">
        <f t="shared" si="290"/>
        <v>186.82439364286932</v>
      </c>
      <c r="AL78" s="78">
        <f t="shared" si="290"/>
        <v>186.82756144818734</v>
      </c>
      <c r="AM78" s="78">
        <f t="shared" si="290"/>
        <v>186.82967331839941</v>
      </c>
      <c r="AN78" s="81"/>
      <c r="AO78" s="75">
        <f t="shared" si="287"/>
        <v>590.00852419638034</v>
      </c>
      <c r="AP78" s="75">
        <f t="shared" si="288"/>
        <v>2100.8969540374896</v>
      </c>
      <c r="AQ78" s="75">
        <f t="shared" si="289"/>
        <v>2240.9191824822719</v>
      </c>
      <c r="AR78" s="82"/>
    </row>
    <row r="79" spans="1:44" collapsed="1">
      <c r="A79" s="70"/>
      <c r="B79" s="79"/>
      <c r="D79" s="78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2"/>
    </row>
    <row r="80" spans="1:44" s="69" customFormat="1">
      <c r="A80" s="65" t="s">
        <v>108</v>
      </c>
      <c r="B80" s="66" t="s">
        <v>76</v>
      </c>
      <c r="C80" s="84" t="s">
        <v>77</v>
      </c>
      <c r="D80" s="67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O80" s="68"/>
      <c r="AP80" s="68"/>
      <c r="AQ80" s="68"/>
    </row>
    <row r="81" spans="1:44" hidden="1" outlineLevel="1">
      <c r="A81" s="70" t="s">
        <v>123</v>
      </c>
      <c r="B81" s="85" t="s">
        <v>85</v>
      </c>
      <c r="C81" s="72"/>
      <c r="D81" s="77">
        <f>'0'!D10</f>
        <v>15</v>
      </c>
      <c r="E81" s="77">
        <f>'0'!E10</f>
        <v>16</v>
      </c>
      <c r="F81" s="77">
        <f>'0'!F10</f>
        <v>17</v>
      </c>
      <c r="G81" s="77">
        <f>'0'!G10</f>
        <v>18</v>
      </c>
      <c r="H81" s="77">
        <f>'0'!H10</f>
        <v>19</v>
      </c>
      <c r="I81" s="77">
        <f>'0'!I10</f>
        <v>20</v>
      </c>
      <c r="J81" s="77">
        <f>'0'!J10</f>
        <v>20</v>
      </c>
      <c r="K81" s="77">
        <f>'0'!K10</f>
        <v>22</v>
      </c>
      <c r="L81" s="77">
        <f>'0'!L10</f>
        <v>24</v>
      </c>
      <c r="M81" s="77">
        <f>'0'!M10</f>
        <v>26</v>
      </c>
      <c r="N81" s="77">
        <f>'0'!N10</f>
        <v>28</v>
      </c>
      <c r="O81" s="77">
        <f>'0'!O10</f>
        <v>30</v>
      </c>
      <c r="P81" s="77">
        <f>'0'!P10</f>
        <v>30</v>
      </c>
      <c r="Q81" s="77">
        <f>'0'!Q10</f>
        <v>30</v>
      </c>
      <c r="R81" s="77">
        <f>'0'!R10</f>
        <v>30</v>
      </c>
      <c r="S81" s="77">
        <f>'0'!S10</f>
        <v>30</v>
      </c>
      <c r="T81" s="77">
        <f>'0'!T10</f>
        <v>30</v>
      </c>
      <c r="U81" s="77">
        <f>'0'!U10</f>
        <v>30</v>
      </c>
      <c r="V81" s="77">
        <f>'0'!V10</f>
        <v>30</v>
      </c>
      <c r="W81" s="77">
        <f>'0'!W10</f>
        <v>30</v>
      </c>
      <c r="X81" s="77">
        <f>'0'!X10</f>
        <v>30</v>
      </c>
      <c r="Y81" s="77">
        <f>'0'!Y10</f>
        <v>30</v>
      </c>
      <c r="Z81" s="77">
        <f>'0'!Z10</f>
        <v>30</v>
      </c>
      <c r="AA81" s="77">
        <f>'0'!AA10</f>
        <v>30</v>
      </c>
      <c r="AB81" s="77">
        <f>'0'!AB10</f>
        <v>30</v>
      </c>
      <c r="AC81" s="77">
        <f>'0'!AC10</f>
        <v>30</v>
      </c>
      <c r="AD81" s="77">
        <f>'0'!AD10</f>
        <v>30</v>
      </c>
      <c r="AE81" s="77">
        <f>'0'!AE10</f>
        <v>30</v>
      </c>
      <c r="AF81" s="77">
        <f>'0'!AF10</f>
        <v>30</v>
      </c>
      <c r="AG81" s="77">
        <f>'0'!AG10</f>
        <v>30</v>
      </c>
      <c r="AH81" s="77">
        <f>'0'!AH10</f>
        <v>30</v>
      </c>
      <c r="AI81" s="77">
        <f>'0'!AI10</f>
        <v>30</v>
      </c>
      <c r="AJ81" s="77">
        <f>'0'!AJ10</f>
        <v>30</v>
      </c>
      <c r="AK81" s="77">
        <f>'0'!AK10</f>
        <v>30</v>
      </c>
      <c r="AL81" s="77">
        <f>'0'!AL10</f>
        <v>30</v>
      </c>
      <c r="AM81" s="77">
        <f>'0'!AM10</f>
        <v>30</v>
      </c>
      <c r="AN81" s="81"/>
      <c r="AO81" s="75">
        <f>O81</f>
        <v>30</v>
      </c>
      <c r="AP81" s="75">
        <f>AA81</f>
        <v>30</v>
      </c>
      <c r="AQ81" s="75">
        <f>AM81</f>
        <v>30</v>
      </c>
      <c r="AR81" s="82"/>
    </row>
    <row r="82" spans="1:44" hidden="1" outlineLevel="1">
      <c r="A82" s="70" t="s">
        <v>126</v>
      </c>
      <c r="B82" s="85" t="s">
        <v>85</v>
      </c>
      <c r="C82" s="72"/>
      <c r="D82" s="86">
        <v>1</v>
      </c>
      <c r="E82" s="86">
        <v>1</v>
      </c>
      <c r="F82" s="86">
        <v>1</v>
      </c>
      <c r="G82" s="86">
        <v>1</v>
      </c>
      <c r="H82" s="86">
        <v>1</v>
      </c>
      <c r="I82" s="86">
        <v>1</v>
      </c>
      <c r="J82" s="86">
        <v>1</v>
      </c>
      <c r="K82" s="86">
        <v>1</v>
      </c>
      <c r="L82" s="86">
        <v>1</v>
      </c>
      <c r="M82" s="86">
        <v>1</v>
      </c>
      <c r="N82" s="86">
        <v>1</v>
      </c>
      <c r="O82" s="86">
        <v>1</v>
      </c>
      <c r="P82" s="86">
        <v>1</v>
      </c>
      <c r="Q82" s="86">
        <v>1</v>
      </c>
      <c r="R82" s="86">
        <v>1</v>
      </c>
      <c r="S82" s="86">
        <v>1</v>
      </c>
      <c r="T82" s="86">
        <v>1</v>
      </c>
      <c r="U82" s="86">
        <v>1</v>
      </c>
      <c r="V82" s="86">
        <v>1</v>
      </c>
      <c r="W82" s="86">
        <v>1</v>
      </c>
      <c r="X82" s="86">
        <v>1</v>
      </c>
      <c r="Y82" s="86">
        <v>1</v>
      </c>
      <c r="Z82" s="86">
        <v>1</v>
      </c>
      <c r="AA82" s="86">
        <v>1</v>
      </c>
      <c r="AB82" s="86">
        <v>1</v>
      </c>
      <c r="AC82" s="86">
        <v>1</v>
      </c>
      <c r="AD82" s="86">
        <v>1</v>
      </c>
      <c r="AE82" s="86">
        <v>1</v>
      </c>
      <c r="AF82" s="86">
        <v>1</v>
      </c>
      <c r="AG82" s="86">
        <v>1</v>
      </c>
      <c r="AH82" s="86">
        <v>1</v>
      </c>
      <c r="AI82" s="86">
        <v>1</v>
      </c>
      <c r="AJ82" s="86">
        <v>1</v>
      </c>
      <c r="AK82" s="86">
        <v>1</v>
      </c>
      <c r="AL82" s="86">
        <v>1</v>
      </c>
      <c r="AM82" s="86">
        <v>1</v>
      </c>
      <c r="AN82" s="81"/>
      <c r="AO82" s="75">
        <f>AVERAGE(D82:O82)</f>
        <v>1</v>
      </c>
      <c r="AP82" s="75">
        <f>AVERAGE(P82:AA82)</f>
        <v>1</v>
      </c>
      <c r="AQ82" s="75">
        <f>AVERAGE(AB82:AM82)</f>
        <v>1</v>
      </c>
      <c r="AR82" s="82"/>
    </row>
    <row r="83" spans="1:44" hidden="1" outlineLevel="1">
      <c r="A83" s="70" t="s">
        <v>109</v>
      </c>
      <c r="B83" s="85" t="s">
        <v>85</v>
      </c>
      <c r="C83" s="72"/>
      <c r="D83" s="77">
        <f>D81*D82</f>
        <v>15</v>
      </c>
      <c r="E83" s="77">
        <f t="shared" ref="E83" si="291">E81*E82</f>
        <v>16</v>
      </c>
      <c r="F83" s="77">
        <f t="shared" ref="F83:AM83" si="292">F81*F82</f>
        <v>17</v>
      </c>
      <c r="G83" s="77">
        <f t="shared" si="292"/>
        <v>18</v>
      </c>
      <c r="H83" s="77">
        <f t="shared" si="292"/>
        <v>19</v>
      </c>
      <c r="I83" s="77">
        <f t="shared" si="292"/>
        <v>20</v>
      </c>
      <c r="J83" s="77">
        <f t="shared" si="292"/>
        <v>20</v>
      </c>
      <c r="K83" s="77">
        <f t="shared" si="292"/>
        <v>22</v>
      </c>
      <c r="L83" s="77">
        <f t="shared" si="292"/>
        <v>24</v>
      </c>
      <c r="M83" s="77">
        <f t="shared" si="292"/>
        <v>26</v>
      </c>
      <c r="N83" s="77">
        <f t="shared" si="292"/>
        <v>28</v>
      </c>
      <c r="O83" s="77">
        <f t="shared" si="292"/>
        <v>30</v>
      </c>
      <c r="P83" s="77">
        <f t="shared" si="292"/>
        <v>30</v>
      </c>
      <c r="Q83" s="77">
        <f t="shared" si="292"/>
        <v>30</v>
      </c>
      <c r="R83" s="77">
        <f t="shared" si="292"/>
        <v>30</v>
      </c>
      <c r="S83" s="77">
        <f t="shared" si="292"/>
        <v>30</v>
      </c>
      <c r="T83" s="77">
        <f t="shared" si="292"/>
        <v>30</v>
      </c>
      <c r="U83" s="77">
        <f t="shared" si="292"/>
        <v>30</v>
      </c>
      <c r="V83" s="77">
        <f t="shared" si="292"/>
        <v>30</v>
      </c>
      <c r="W83" s="77">
        <f t="shared" si="292"/>
        <v>30</v>
      </c>
      <c r="X83" s="77">
        <f t="shared" si="292"/>
        <v>30</v>
      </c>
      <c r="Y83" s="77">
        <f t="shared" si="292"/>
        <v>30</v>
      </c>
      <c r="Z83" s="77">
        <f t="shared" si="292"/>
        <v>30</v>
      </c>
      <c r="AA83" s="77">
        <f t="shared" si="292"/>
        <v>30</v>
      </c>
      <c r="AB83" s="77">
        <f t="shared" si="292"/>
        <v>30</v>
      </c>
      <c r="AC83" s="77">
        <f t="shared" si="292"/>
        <v>30</v>
      </c>
      <c r="AD83" s="77">
        <f t="shared" si="292"/>
        <v>30</v>
      </c>
      <c r="AE83" s="77">
        <f t="shared" si="292"/>
        <v>30</v>
      </c>
      <c r="AF83" s="77">
        <f t="shared" si="292"/>
        <v>30</v>
      </c>
      <c r="AG83" s="77">
        <f t="shared" si="292"/>
        <v>30</v>
      </c>
      <c r="AH83" s="77">
        <f t="shared" si="292"/>
        <v>30</v>
      </c>
      <c r="AI83" s="77">
        <f t="shared" si="292"/>
        <v>30</v>
      </c>
      <c r="AJ83" s="77">
        <f t="shared" si="292"/>
        <v>30</v>
      </c>
      <c r="AK83" s="77">
        <f t="shared" si="292"/>
        <v>30</v>
      </c>
      <c r="AL83" s="77">
        <f t="shared" si="292"/>
        <v>30</v>
      </c>
      <c r="AM83" s="77">
        <f t="shared" si="292"/>
        <v>30</v>
      </c>
      <c r="AN83" s="81"/>
      <c r="AO83" s="75">
        <f t="shared" ref="AO83" si="293">SUM(D83:O83)</f>
        <v>255</v>
      </c>
      <c r="AP83" s="75">
        <f t="shared" ref="AP83" si="294">SUM(P83:AA83)</f>
        <v>360</v>
      </c>
      <c r="AQ83" s="75">
        <f t="shared" ref="AQ83" si="295">SUM(AB83:AM83)</f>
        <v>360</v>
      </c>
      <c r="AR83" s="82"/>
    </row>
    <row r="84" spans="1:44" hidden="1" outlineLevel="1">
      <c r="A84" s="70" t="s">
        <v>110</v>
      </c>
      <c r="B84" s="71" t="s">
        <v>78</v>
      </c>
      <c r="C84" s="72"/>
      <c r="D84" s="86">
        <v>100</v>
      </c>
      <c r="E84" s="86">
        <v>100</v>
      </c>
      <c r="F84" s="86">
        <v>100</v>
      </c>
      <c r="G84" s="86">
        <v>100</v>
      </c>
      <c r="H84" s="86">
        <v>100</v>
      </c>
      <c r="I84" s="86">
        <v>100</v>
      </c>
      <c r="J84" s="86">
        <v>100</v>
      </c>
      <c r="K84" s="86">
        <v>100</v>
      </c>
      <c r="L84" s="86">
        <v>100</v>
      </c>
      <c r="M84" s="86">
        <v>100</v>
      </c>
      <c r="N84" s="86">
        <v>100</v>
      </c>
      <c r="O84" s="86">
        <v>100</v>
      </c>
      <c r="P84" s="86">
        <v>100</v>
      </c>
      <c r="Q84" s="86">
        <v>100</v>
      </c>
      <c r="R84" s="86">
        <v>100</v>
      </c>
      <c r="S84" s="86">
        <v>100</v>
      </c>
      <c r="T84" s="86">
        <v>100</v>
      </c>
      <c r="U84" s="86">
        <v>100</v>
      </c>
      <c r="V84" s="86">
        <v>100</v>
      </c>
      <c r="W84" s="86">
        <v>100</v>
      </c>
      <c r="X84" s="86">
        <v>100</v>
      </c>
      <c r="Y84" s="86">
        <v>100</v>
      </c>
      <c r="Z84" s="86">
        <v>100</v>
      </c>
      <c r="AA84" s="86">
        <v>100</v>
      </c>
      <c r="AB84" s="86">
        <v>100</v>
      </c>
      <c r="AC84" s="86">
        <v>100</v>
      </c>
      <c r="AD84" s="86">
        <v>100</v>
      </c>
      <c r="AE84" s="86">
        <v>100</v>
      </c>
      <c r="AF84" s="86">
        <v>100</v>
      </c>
      <c r="AG84" s="86">
        <v>100</v>
      </c>
      <c r="AH84" s="86">
        <v>100</v>
      </c>
      <c r="AI84" s="86">
        <v>100</v>
      </c>
      <c r="AJ84" s="86">
        <v>100</v>
      </c>
      <c r="AK84" s="86">
        <v>100</v>
      </c>
      <c r="AL84" s="86">
        <v>100</v>
      </c>
      <c r="AM84" s="86">
        <v>100</v>
      </c>
      <c r="AN84" s="81"/>
      <c r="AO84" s="75">
        <f>AVERAGE(D84:O84)</f>
        <v>100</v>
      </c>
      <c r="AP84" s="75">
        <f>AVERAGE(P84:AA84)</f>
        <v>100</v>
      </c>
      <c r="AQ84" s="75">
        <f>AVERAGE(AB84:AM84)</f>
        <v>100</v>
      </c>
      <c r="AR84" s="82"/>
    </row>
    <row r="85" spans="1:44" hidden="1" outlineLevel="1">
      <c r="A85" s="70" t="s">
        <v>118</v>
      </c>
      <c r="B85" s="71" t="s">
        <v>78</v>
      </c>
      <c r="C85" s="72"/>
      <c r="D85" s="77">
        <f t="shared" ref="D85:E85" si="296">D83*D84</f>
        <v>1500</v>
      </c>
      <c r="E85" s="77">
        <f t="shared" si="296"/>
        <v>1600</v>
      </c>
      <c r="F85" s="77">
        <f t="shared" ref="F85:AM85" si="297">F83*F84</f>
        <v>1700</v>
      </c>
      <c r="G85" s="77">
        <f t="shared" si="297"/>
        <v>1800</v>
      </c>
      <c r="H85" s="77">
        <f t="shared" si="297"/>
        <v>1900</v>
      </c>
      <c r="I85" s="77">
        <f t="shared" si="297"/>
        <v>2000</v>
      </c>
      <c r="J85" s="77">
        <f t="shared" si="297"/>
        <v>2000</v>
      </c>
      <c r="K85" s="77">
        <f t="shared" si="297"/>
        <v>2200</v>
      </c>
      <c r="L85" s="77">
        <f t="shared" si="297"/>
        <v>2400</v>
      </c>
      <c r="M85" s="77">
        <f t="shared" si="297"/>
        <v>2600</v>
      </c>
      <c r="N85" s="77">
        <f t="shared" si="297"/>
        <v>2800</v>
      </c>
      <c r="O85" s="77">
        <f t="shared" si="297"/>
        <v>3000</v>
      </c>
      <c r="P85" s="77">
        <f t="shared" si="297"/>
        <v>3000</v>
      </c>
      <c r="Q85" s="77">
        <f t="shared" si="297"/>
        <v>3000</v>
      </c>
      <c r="R85" s="77">
        <f t="shared" si="297"/>
        <v>3000</v>
      </c>
      <c r="S85" s="77">
        <f t="shared" si="297"/>
        <v>3000</v>
      </c>
      <c r="T85" s="77">
        <f t="shared" si="297"/>
        <v>3000</v>
      </c>
      <c r="U85" s="77">
        <f t="shared" si="297"/>
        <v>3000</v>
      </c>
      <c r="V85" s="77">
        <f t="shared" si="297"/>
        <v>3000</v>
      </c>
      <c r="W85" s="77">
        <f t="shared" si="297"/>
        <v>3000</v>
      </c>
      <c r="X85" s="77">
        <f t="shared" si="297"/>
        <v>3000</v>
      </c>
      <c r="Y85" s="77">
        <f t="shared" si="297"/>
        <v>3000</v>
      </c>
      <c r="Z85" s="77">
        <f t="shared" si="297"/>
        <v>3000</v>
      </c>
      <c r="AA85" s="77">
        <f t="shared" si="297"/>
        <v>3000</v>
      </c>
      <c r="AB85" s="77">
        <f t="shared" si="297"/>
        <v>3000</v>
      </c>
      <c r="AC85" s="77">
        <f t="shared" si="297"/>
        <v>3000</v>
      </c>
      <c r="AD85" s="77">
        <f t="shared" si="297"/>
        <v>3000</v>
      </c>
      <c r="AE85" s="77">
        <f t="shared" si="297"/>
        <v>3000</v>
      </c>
      <c r="AF85" s="77">
        <f t="shared" si="297"/>
        <v>3000</v>
      </c>
      <c r="AG85" s="77">
        <f t="shared" si="297"/>
        <v>3000</v>
      </c>
      <c r="AH85" s="77">
        <f t="shared" si="297"/>
        <v>3000</v>
      </c>
      <c r="AI85" s="77">
        <f t="shared" si="297"/>
        <v>3000</v>
      </c>
      <c r="AJ85" s="77">
        <f t="shared" si="297"/>
        <v>3000</v>
      </c>
      <c r="AK85" s="77">
        <f t="shared" si="297"/>
        <v>3000</v>
      </c>
      <c r="AL85" s="77">
        <f t="shared" si="297"/>
        <v>3000</v>
      </c>
      <c r="AM85" s="77">
        <f t="shared" si="297"/>
        <v>3000</v>
      </c>
      <c r="AN85" s="81"/>
      <c r="AO85" s="75">
        <f t="shared" ref="AO85" si="298">SUM(D85:O85)</f>
        <v>25500</v>
      </c>
      <c r="AP85" s="75">
        <f t="shared" ref="AP85" si="299">SUM(P85:AA85)</f>
        <v>36000</v>
      </c>
      <c r="AQ85" s="75">
        <f t="shared" ref="AQ85" si="300">SUM(AB85:AM85)</f>
        <v>36000</v>
      </c>
      <c r="AR85" s="82"/>
    </row>
    <row r="86" spans="1:44" hidden="1" outlineLevel="1">
      <c r="A86" s="70" t="s">
        <v>111</v>
      </c>
      <c r="B86" s="71" t="s">
        <v>78</v>
      </c>
      <c r="C86" s="72"/>
      <c r="D86" s="77">
        <f>D85</f>
        <v>1500</v>
      </c>
      <c r="E86" s="77">
        <f>D86+E85</f>
        <v>3100</v>
      </c>
      <c r="F86" s="77">
        <f t="shared" ref="F86:AM86" si="301">E86+F85</f>
        <v>4800</v>
      </c>
      <c r="G86" s="77">
        <f t="shared" si="301"/>
        <v>6600</v>
      </c>
      <c r="H86" s="77">
        <f t="shared" si="301"/>
        <v>8500</v>
      </c>
      <c r="I86" s="77">
        <f t="shared" si="301"/>
        <v>10500</v>
      </c>
      <c r="J86" s="77">
        <f t="shared" si="301"/>
        <v>12500</v>
      </c>
      <c r="K86" s="77">
        <f t="shared" si="301"/>
        <v>14700</v>
      </c>
      <c r="L86" s="77">
        <f t="shared" si="301"/>
        <v>17100</v>
      </c>
      <c r="M86" s="77">
        <f t="shared" si="301"/>
        <v>19700</v>
      </c>
      <c r="N86" s="77">
        <f t="shared" si="301"/>
        <v>22500</v>
      </c>
      <c r="O86" s="77">
        <f t="shared" si="301"/>
        <v>25500</v>
      </c>
      <c r="P86" s="77">
        <f t="shared" si="301"/>
        <v>28500</v>
      </c>
      <c r="Q86" s="77">
        <f t="shared" si="301"/>
        <v>31500</v>
      </c>
      <c r="R86" s="77">
        <f t="shared" si="301"/>
        <v>34500</v>
      </c>
      <c r="S86" s="77">
        <f t="shared" si="301"/>
        <v>37500</v>
      </c>
      <c r="T86" s="77">
        <f t="shared" si="301"/>
        <v>40500</v>
      </c>
      <c r="U86" s="77">
        <f t="shared" si="301"/>
        <v>43500</v>
      </c>
      <c r="V86" s="77">
        <f t="shared" si="301"/>
        <v>46500</v>
      </c>
      <c r="W86" s="77">
        <f t="shared" si="301"/>
        <v>49500</v>
      </c>
      <c r="X86" s="77">
        <f t="shared" si="301"/>
        <v>52500</v>
      </c>
      <c r="Y86" s="77">
        <f t="shared" si="301"/>
        <v>55500</v>
      </c>
      <c r="Z86" s="77">
        <f t="shared" si="301"/>
        <v>58500</v>
      </c>
      <c r="AA86" s="77">
        <f t="shared" si="301"/>
        <v>61500</v>
      </c>
      <c r="AB86" s="77">
        <f t="shared" si="301"/>
        <v>64500</v>
      </c>
      <c r="AC86" s="77">
        <f t="shared" si="301"/>
        <v>67500</v>
      </c>
      <c r="AD86" s="77">
        <f t="shared" si="301"/>
        <v>70500</v>
      </c>
      <c r="AE86" s="77">
        <f t="shared" si="301"/>
        <v>73500</v>
      </c>
      <c r="AF86" s="77">
        <f t="shared" si="301"/>
        <v>76500</v>
      </c>
      <c r="AG86" s="77">
        <f t="shared" si="301"/>
        <v>79500</v>
      </c>
      <c r="AH86" s="77">
        <f t="shared" si="301"/>
        <v>82500</v>
      </c>
      <c r="AI86" s="77">
        <f t="shared" si="301"/>
        <v>85500</v>
      </c>
      <c r="AJ86" s="77">
        <f t="shared" si="301"/>
        <v>88500</v>
      </c>
      <c r="AK86" s="77">
        <f t="shared" si="301"/>
        <v>91500</v>
      </c>
      <c r="AL86" s="77">
        <f t="shared" si="301"/>
        <v>94500</v>
      </c>
      <c r="AM86" s="77">
        <f t="shared" si="301"/>
        <v>97500</v>
      </c>
      <c r="AN86" s="81"/>
      <c r="AO86" s="75">
        <f t="shared" ref="AO86" si="302">SUM(D86:O86)</f>
        <v>147000</v>
      </c>
      <c r="AP86" s="75">
        <f t="shared" ref="AP86" si="303">SUM(P86:AA86)</f>
        <v>540000</v>
      </c>
      <c r="AQ86" s="75">
        <f t="shared" ref="AQ86" si="304">SUM(AB86:AM86)</f>
        <v>972000</v>
      </c>
      <c r="AR86" s="82"/>
    </row>
    <row r="87" spans="1:44" s="69" customFormat="1" hidden="1" outlineLevel="1">
      <c r="A87" s="70" t="s">
        <v>119</v>
      </c>
      <c r="B87" s="71" t="s">
        <v>79</v>
      </c>
      <c r="C87" s="72"/>
      <c r="D87" s="92">
        <v>0.3</v>
      </c>
      <c r="E87" s="92">
        <v>0.3</v>
      </c>
      <c r="F87" s="92">
        <v>0.3</v>
      </c>
      <c r="G87" s="92">
        <v>0.3</v>
      </c>
      <c r="H87" s="92">
        <v>0.3</v>
      </c>
      <c r="I87" s="92">
        <v>0.3</v>
      </c>
      <c r="J87" s="92">
        <v>0.3</v>
      </c>
      <c r="K87" s="92">
        <v>0.3</v>
      </c>
      <c r="L87" s="92">
        <v>0.3</v>
      </c>
      <c r="M87" s="92">
        <v>0.3</v>
      </c>
      <c r="N87" s="92">
        <v>0.3</v>
      </c>
      <c r="O87" s="92">
        <v>0.3</v>
      </c>
      <c r="P87" s="92">
        <v>0.3</v>
      </c>
      <c r="Q87" s="92">
        <v>0.3</v>
      </c>
      <c r="R87" s="92">
        <v>0.3</v>
      </c>
      <c r="S87" s="92">
        <v>0.3</v>
      </c>
      <c r="T87" s="92">
        <v>0.3</v>
      </c>
      <c r="U87" s="92">
        <v>0.3</v>
      </c>
      <c r="V87" s="92">
        <v>0.3</v>
      </c>
      <c r="W87" s="92">
        <v>0.3</v>
      </c>
      <c r="X87" s="92">
        <v>0.3</v>
      </c>
      <c r="Y87" s="92">
        <v>0.3</v>
      </c>
      <c r="Z87" s="92">
        <v>0.3</v>
      </c>
      <c r="AA87" s="92">
        <v>0.3</v>
      </c>
      <c r="AB87" s="92">
        <v>0.3</v>
      </c>
      <c r="AC87" s="92">
        <v>0.3</v>
      </c>
      <c r="AD87" s="92">
        <v>0.3</v>
      </c>
      <c r="AE87" s="92">
        <v>0.3</v>
      </c>
      <c r="AF87" s="92">
        <v>0.3</v>
      </c>
      <c r="AG87" s="92">
        <v>0.3</v>
      </c>
      <c r="AH87" s="92">
        <v>0.3</v>
      </c>
      <c r="AI87" s="92">
        <v>0.3</v>
      </c>
      <c r="AJ87" s="92">
        <v>0.3</v>
      </c>
      <c r="AK87" s="92">
        <v>0.3</v>
      </c>
      <c r="AL87" s="92">
        <v>0.3</v>
      </c>
      <c r="AM87" s="92">
        <v>0.3</v>
      </c>
      <c r="AN87" s="74"/>
      <c r="AO87" s="93">
        <f>AVERAGE(D87:O87)</f>
        <v>0.29999999999999993</v>
      </c>
      <c r="AP87" s="93">
        <f>AVERAGE(P87:AA87)</f>
        <v>0.29999999999999993</v>
      </c>
      <c r="AQ87" s="93">
        <f>AVERAGE(AB87:AM87)</f>
        <v>0.29999999999999993</v>
      </c>
      <c r="AR87" s="76"/>
    </row>
    <row r="88" spans="1:44" s="69" customFormat="1" hidden="1" outlineLevel="1">
      <c r="A88" s="70" t="s">
        <v>112</v>
      </c>
      <c r="B88" s="71" t="s">
        <v>78</v>
      </c>
      <c r="C88" s="72"/>
      <c r="D88" s="73">
        <f>D86*D87</f>
        <v>450</v>
      </c>
      <c r="E88" s="73">
        <f>E86*E87</f>
        <v>930</v>
      </c>
      <c r="F88" s="73">
        <f t="shared" ref="F88:AM88" si="305">F86*F87</f>
        <v>1440</v>
      </c>
      <c r="G88" s="73">
        <f t="shared" si="305"/>
        <v>1980</v>
      </c>
      <c r="H88" s="73">
        <f t="shared" si="305"/>
        <v>2550</v>
      </c>
      <c r="I88" s="73">
        <f t="shared" si="305"/>
        <v>3150</v>
      </c>
      <c r="J88" s="73">
        <f t="shared" si="305"/>
        <v>3750</v>
      </c>
      <c r="K88" s="73">
        <f t="shared" si="305"/>
        <v>4410</v>
      </c>
      <c r="L88" s="73">
        <f t="shared" si="305"/>
        <v>5130</v>
      </c>
      <c r="M88" s="73">
        <f t="shared" si="305"/>
        <v>5910</v>
      </c>
      <c r="N88" s="73">
        <f t="shared" si="305"/>
        <v>6750</v>
      </c>
      <c r="O88" s="73">
        <f t="shared" si="305"/>
        <v>7650</v>
      </c>
      <c r="P88" s="73">
        <f t="shared" si="305"/>
        <v>8550</v>
      </c>
      <c r="Q88" s="73">
        <f t="shared" si="305"/>
        <v>9450</v>
      </c>
      <c r="R88" s="73">
        <f t="shared" si="305"/>
        <v>10350</v>
      </c>
      <c r="S88" s="73">
        <f t="shared" si="305"/>
        <v>11250</v>
      </c>
      <c r="T88" s="73">
        <f t="shared" si="305"/>
        <v>12150</v>
      </c>
      <c r="U88" s="73">
        <f t="shared" si="305"/>
        <v>13050</v>
      </c>
      <c r="V88" s="73">
        <f t="shared" si="305"/>
        <v>13950</v>
      </c>
      <c r="W88" s="73">
        <f t="shared" si="305"/>
        <v>14850</v>
      </c>
      <c r="X88" s="73">
        <f t="shared" si="305"/>
        <v>15750</v>
      </c>
      <c r="Y88" s="73">
        <f t="shared" si="305"/>
        <v>16650</v>
      </c>
      <c r="Z88" s="73">
        <f t="shared" si="305"/>
        <v>17550</v>
      </c>
      <c r="AA88" s="73">
        <f t="shared" si="305"/>
        <v>18450</v>
      </c>
      <c r="AB88" s="73">
        <f t="shared" si="305"/>
        <v>19350</v>
      </c>
      <c r="AC88" s="73">
        <f t="shared" si="305"/>
        <v>20250</v>
      </c>
      <c r="AD88" s="73">
        <f t="shared" si="305"/>
        <v>21150</v>
      </c>
      <c r="AE88" s="73">
        <f t="shared" si="305"/>
        <v>22050</v>
      </c>
      <c r="AF88" s="73">
        <f t="shared" si="305"/>
        <v>22950</v>
      </c>
      <c r="AG88" s="73">
        <f t="shared" si="305"/>
        <v>23850</v>
      </c>
      <c r="AH88" s="73">
        <f t="shared" si="305"/>
        <v>24750</v>
      </c>
      <c r="AI88" s="73">
        <f t="shared" si="305"/>
        <v>25650</v>
      </c>
      <c r="AJ88" s="73">
        <f t="shared" si="305"/>
        <v>26550</v>
      </c>
      <c r="AK88" s="73">
        <f t="shared" si="305"/>
        <v>27450</v>
      </c>
      <c r="AL88" s="73">
        <f t="shared" si="305"/>
        <v>28350</v>
      </c>
      <c r="AM88" s="73">
        <f t="shared" si="305"/>
        <v>29250</v>
      </c>
      <c r="AN88" s="74"/>
      <c r="AO88" s="75">
        <f>O88</f>
        <v>7650</v>
      </c>
      <c r="AP88" s="75">
        <f>AA88</f>
        <v>18450</v>
      </c>
      <c r="AQ88" s="75">
        <f>AM88</f>
        <v>29250</v>
      </c>
      <c r="AR88" s="76"/>
    </row>
    <row r="89" spans="1:44" s="69" customFormat="1" hidden="1" outlineLevel="1">
      <c r="A89" s="70" t="s">
        <v>120</v>
      </c>
      <c r="B89" s="71" t="s">
        <v>79</v>
      </c>
      <c r="C89" s="72"/>
      <c r="D89" s="92">
        <v>0.01</v>
      </c>
      <c r="E89" s="92">
        <v>0.01</v>
      </c>
      <c r="F89" s="92">
        <v>0.01</v>
      </c>
      <c r="G89" s="92">
        <v>0.01</v>
      </c>
      <c r="H89" s="92">
        <v>0.01</v>
      </c>
      <c r="I89" s="92">
        <v>0.01</v>
      </c>
      <c r="J89" s="92">
        <v>0.01</v>
      </c>
      <c r="K89" s="92">
        <v>0.01</v>
      </c>
      <c r="L89" s="92">
        <v>0.01</v>
      </c>
      <c r="M89" s="92">
        <v>0.01</v>
      </c>
      <c r="N89" s="92">
        <v>0.01</v>
      </c>
      <c r="O89" s="92">
        <v>0.01</v>
      </c>
      <c r="P89" s="92">
        <v>0.01</v>
      </c>
      <c r="Q89" s="92">
        <v>0.01</v>
      </c>
      <c r="R89" s="92">
        <v>0.01</v>
      </c>
      <c r="S89" s="92">
        <v>0.01</v>
      </c>
      <c r="T89" s="92">
        <v>0.01</v>
      </c>
      <c r="U89" s="92">
        <v>0.01</v>
      </c>
      <c r="V89" s="92">
        <v>0.01</v>
      </c>
      <c r="W89" s="92">
        <v>0.01</v>
      </c>
      <c r="X89" s="92">
        <v>0.01</v>
      </c>
      <c r="Y89" s="92">
        <v>0.01</v>
      </c>
      <c r="Z89" s="92">
        <v>0.01</v>
      </c>
      <c r="AA89" s="92">
        <v>0.01</v>
      </c>
      <c r="AB89" s="92">
        <v>0.01</v>
      </c>
      <c r="AC89" s="92">
        <v>0.01</v>
      </c>
      <c r="AD89" s="92">
        <v>0.01</v>
      </c>
      <c r="AE89" s="92">
        <v>0.01</v>
      </c>
      <c r="AF89" s="92">
        <v>0.01</v>
      </c>
      <c r="AG89" s="92">
        <v>0.01</v>
      </c>
      <c r="AH89" s="92">
        <v>0.01</v>
      </c>
      <c r="AI89" s="92">
        <v>0.01</v>
      </c>
      <c r="AJ89" s="92">
        <v>0.01</v>
      </c>
      <c r="AK89" s="92">
        <v>0.01</v>
      </c>
      <c r="AL89" s="92">
        <v>0.01</v>
      </c>
      <c r="AM89" s="92">
        <v>0.01</v>
      </c>
      <c r="AN89" s="74"/>
      <c r="AO89" s="75"/>
      <c r="AP89" s="75"/>
      <c r="AQ89" s="75"/>
      <c r="AR89" s="76"/>
    </row>
    <row r="90" spans="1:44" s="69" customFormat="1" hidden="1" outlineLevel="1">
      <c r="A90" s="70" t="s">
        <v>121</v>
      </c>
      <c r="B90" s="71" t="s">
        <v>78</v>
      </c>
      <c r="C90" s="72"/>
      <c r="D90" s="73">
        <f>D88*D89</f>
        <v>4.5</v>
      </c>
      <c r="E90" s="73">
        <f t="shared" ref="E90:AM90" si="306">E88*E89</f>
        <v>9.3000000000000007</v>
      </c>
      <c r="F90" s="73">
        <f t="shared" si="306"/>
        <v>14.4</v>
      </c>
      <c r="G90" s="73">
        <f t="shared" si="306"/>
        <v>19.8</v>
      </c>
      <c r="H90" s="73">
        <f t="shared" si="306"/>
        <v>25.5</v>
      </c>
      <c r="I90" s="73">
        <f t="shared" si="306"/>
        <v>31.5</v>
      </c>
      <c r="J90" s="73">
        <f t="shared" si="306"/>
        <v>37.5</v>
      </c>
      <c r="K90" s="73">
        <f t="shared" si="306"/>
        <v>44.1</v>
      </c>
      <c r="L90" s="73">
        <f t="shared" si="306"/>
        <v>51.300000000000004</v>
      </c>
      <c r="M90" s="73">
        <f t="shared" si="306"/>
        <v>59.1</v>
      </c>
      <c r="N90" s="73">
        <f t="shared" si="306"/>
        <v>67.5</v>
      </c>
      <c r="O90" s="73">
        <f t="shared" si="306"/>
        <v>76.5</v>
      </c>
      <c r="P90" s="73">
        <f t="shared" si="306"/>
        <v>85.5</v>
      </c>
      <c r="Q90" s="73">
        <f t="shared" si="306"/>
        <v>94.5</v>
      </c>
      <c r="R90" s="73">
        <f t="shared" si="306"/>
        <v>103.5</v>
      </c>
      <c r="S90" s="73">
        <f t="shared" si="306"/>
        <v>112.5</v>
      </c>
      <c r="T90" s="73">
        <f t="shared" si="306"/>
        <v>121.5</v>
      </c>
      <c r="U90" s="73">
        <f t="shared" si="306"/>
        <v>130.5</v>
      </c>
      <c r="V90" s="73">
        <f t="shared" si="306"/>
        <v>139.5</v>
      </c>
      <c r="W90" s="73">
        <f t="shared" si="306"/>
        <v>148.5</v>
      </c>
      <c r="X90" s="73">
        <f t="shared" si="306"/>
        <v>157.5</v>
      </c>
      <c r="Y90" s="73">
        <f t="shared" si="306"/>
        <v>166.5</v>
      </c>
      <c r="Z90" s="73">
        <f t="shared" si="306"/>
        <v>175.5</v>
      </c>
      <c r="AA90" s="73">
        <f t="shared" si="306"/>
        <v>184.5</v>
      </c>
      <c r="AB90" s="73">
        <f t="shared" si="306"/>
        <v>193.5</v>
      </c>
      <c r="AC90" s="73">
        <f t="shared" si="306"/>
        <v>202.5</v>
      </c>
      <c r="AD90" s="73">
        <f t="shared" si="306"/>
        <v>211.5</v>
      </c>
      <c r="AE90" s="73">
        <f t="shared" si="306"/>
        <v>220.5</v>
      </c>
      <c r="AF90" s="73">
        <f t="shared" si="306"/>
        <v>229.5</v>
      </c>
      <c r="AG90" s="73">
        <f t="shared" si="306"/>
        <v>238.5</v>
      </c>
      <c r="AH90" s="73">
        <f t="shared" si="306"/>
        <v>247.5</v>
      </c>
      <c r="AI90" s="73">
        <f t="shared" si="306"/>
        <v>256.5</v>
      </c>
      <c r="AJ90" s="73">
        <f t="shared" si="306"/>
        <v>265.5</v>
      </c>
      <c r="AK90" s="73">
        <f t="shared" si="306"/>
        <v>274.5</v>
      </c>
      <c r="AL90" s="73">
        <f t="shared" si="306"/>
        <v>283.5</v>
      </c>
      <c r="AM90" s="73">
        <f t="shared" si="306"/>
        <v>292.5</v>
      </c>
      <c r="AN90" s="74"/>
      <c r="AO90" s="75">
        <f t="shared" ref="AO90" si="307">SUM(D90:O90)</f>
        <v>441</v>
      </c>
      <c r="AP90" s="75">
        <f t="shared" ref="AP90" si="308">SUM(P90:AA90)</f>
        <v>1620</v>
      </c>
      <c r="AQ90" s="75">
        <f t="shared" ref="AQ90" si="309">SUM(AB90:AM90)</f>
        <v>2916</v>
      </c>
      <c r="AR90" s="76"/>
    </row>
    <row r="91" spans="1:44" s="69" customFormat="1" hidden="1" outlineLevel="1">
      <c r="A91" s="70" t="s">
        <v>99</v>
      </c>
      <c r="B91" s="71" t="s">
        <v>79</v>
      </c>
      <c r="C91" s="72"/>
      <c r="D91" s="92">
        <v>0.01</v>
      </c>
      <c r="E91" s="92">
        <v>0.01</v>
      </c>
      <c r="F91" s="92">
        <v>0.01</v>
      </c>
      <c r="G91" s="92">
        <v>0.01</v>
      </c>
      <c r="H91" s="92">
        <v>0.01</v>
      </c>
      <c r="I91" s="92">
        <v>0.01</v>
      </c>
      <c r="J91" s="92">
        <v>0.01</v>
      </c>
      <c r="K91" s="92">
        <v>0.01</v>
      </c>
      <c r="L91" s="92">
        <v>0.01</v>
      </c>
      <c r="M91" s="92">
        <v>0.01</v>
      </c>
      <c r="N91" s="92">
        <v>0.01</v>
      </c>
      <c r="O91" s="92">
        <v>0.01</v>
      </c>
      <c r="P91" s="92">
        <v>0.01</v>
      </c>
      <c r="Q91" s="92">
        <v>0.01</v>
      </c>
      <c r="R91" s="92">
        <v>0.01</v>
      </c>
      <c r="S91" s="92">
        <v>0.01</v>
      </c>
      <c r="T91" s="92">
        <v>0.01</v>
      </c>
      <c r="U91" s="92">
        <v>0.01</v>
      </c>
      <c r="V91" s="92">
        <v>0.01</v>
      </c>
      <c r="W91" s="92">
        <v>0.01</v>
      </c>
      <c r="X91" s="92">
        <v>0.01</v>
      </c>
      <c r="Y91" s="92">
        <v>0.01</v>
      </c>
      <c r="Z91" s="92">
        <v>0.01</v>
      </c>
      <c r="AA91" s="92">
        <v>0.01</v>
      </c>
      <c r="AB91" s="92">
        <v>0.01</v>
      </c>
      <c r="AC91" s="92">
        <v>0.01</v>
      </c>
      <c r="AD91" s="92">
        <v>0.01</v>
      </c>
      <c r="AE91" s="92">
        <v>0.01</v>
      </c>
      <c r="AF91" s="92">
        <v>0.01</v>
      </c>
      <c r="AG91" s="92">
        <v>0.01</v>
      </c>
      <c r="AH91" s="92">
        <v>0.01</v>
      </c>
      <c r="AI91" s="92">
        <v>0.01</v>
      </c>
      <c r="AJ91" s="92">
        <v>0.01</v>
      </c>
      <c r="AK91" s="92">
        <v>0.01</v>
      </c>
      <c r="AL91" s="92">
        <v>0.01</v>
      </c>
      <c r="AM91" s="92">
        <v>0.01</v>
      </c>
      <c r="AN91" s="74"/>
      <c r="AO91" s="93">
        <f>AVERAGE(D91:O91)</f>
        <v>9.9999999999999985E-3</v>
      </c>
      <c r="AP91" s="93">
        <f>AVERAGE(P91:AA91)</f>
        <v>9.9999999999999985E-3</v>
      </c>
      <c r="AQ91" s="93">
        <f>AVERAGE(AB91:AM91)</f>
        <v>9.9999999999999985E-3</v>
      </c>
      <c r="AR91" s="76"/>
    </row>
    <row r="92" spans="1:44" s="69" customFormat="1" hidden="1" outlineLevel="1">
      <c r="A92" s="70" t="s">
        <v>91</v>
      </c>
      <c r="B92" s="71" t="s">
        <v>79</v>
      </c>
      <c r="C92" s="72"/>
      <c r="D92" s="92">
        <v>0.21</v>
      </c>
      <c r="E92" s="92">
        <v>0.21</v>
      </c>
      <c r="F92" s="92">
        <v>0.21</v>
      </c>
      <c r="G92" s="92">
        <v>0.21</v>
      </c>
      <c r="H92" s="92">
        <v>0.21</v>
      </c>
      <c r="I92" s="92">
        <v>0.21</v>
      </c>
      <c r="J92" s="92">
        <v>0.21</v>
      </c>
      <c r="K92" s="92">
        <v>0.21</v>
      </c>
      <c r="L92" s="92">
        <v>0.21</v>
      </c>
      <c r="M92" s="92">
        <v>0.21</v>
      </c>
      <c r="N92" s="92">
        <v>0.21</v>
      </c>
      <c r="O92" s="92">
        <v>0.21</v>
      </c>
      <c r="P92" s="92">
        <v>0.21</v>
      </c>
      <c r="Q92" s="92">
        <v>0.21</v>
      </c>
      <c r="R92" s="92">
        <v>0.21</v>
      </c>
      <c r="S92" s="92">
        <v>0.21</v>
      </c>
      <c r="T92" s="92">
        <v>0.21</v>
      </c>
      <c r="U92" s="92">
        <v>0.21</v>
      </c>
      <c r="V92" s="92">
        <v>0.21</v>
      </c>
      <c r="W92" s="92">
        <v>0.21</v>
      </c>
      <c r="X92" s="92">
        <v>0.21</v>
      </c>
      <c r="Y92" s="92">
        <v>0.21</v>
      </c>
      <c r="Z92" s="92">
        <v>0.21</v>
      </c>
      <c r="AA92" s="92">
        <v>0.21</v>
      </c>
      <c r="AB92" s="92">
        <v>0.21</v>
      </c>
      <c r="AC92" s="92">
        <v>0.21</v>
      </c>
      <c r="AD92" s="92">
        <v>0.21</v>
      </c>
      <c r="AE92" s="92">
        <v>0.21</v>
      </c>
      <c r="AF92" s="92">
        <v>0.21</v>
      </c>
      <c r="AG92" s="92">
        <v>0.21</v>
      </c>
      <c r="AH92" s="92">
        <v>0.21</v>
      </c>
      <c r="AI92" s="92">
        <v>0.21</v>
      </c>
      <c r="AJ92" s="92">
        <v>0.21</v>
      </c>
      <c r="AK92" s="92">
        <v>0.21</v>
      </c>
      <c r="AL92" s="92">
        <v>0.21</v>
      </c>
      <c r="AM92" s="92">
        <v>0.21</v>
      </c>
      <c r="AN92" s="74"/>
      <c r="AO92" s="93">
        <f t="shared" ref="AO92:AO94" si="310">AVERAGE(D92:O92)</f>
        <v>0.21</v>
      </c>
      <c r="AP92" s="93">
        <f t="shared" ref="AP92:AP94" si="311">AVERAGE(P92:AA92)</f>
        <v>0.21</v>
      </c>
      <c r="AQ92" s="93">
        <f>AVERAGE(AB92:AM92)</f>
        <v>0.21</v>
      </c>
      <c r="AR92" s="76"/>
    </row>
    <row r="93" spans="1:44" hidden="1" outlineLevel="1">
      <c r="A93" s="70" t="s">
        <v>80</v>
      </c>
      <c r="B93" s="71" t="s">
        <v>79</v>
      </c>
      <c r="C93" s="72"/>
      <c r="D93" s="92">
        <v>0.1</v>
      </c>
      <c r="E93" s="92">
        <v>0.1</v>
      </c>
      <c r="F93" s="92">
        <v>0.1</v>
      </c>
      <c r="G93" s="92">
        <v>0.1</v>
      </c>
      <c r="H93" s="92">
        <v>0.1</v>
      </c>
      <c r="I93" s="92">
        <v>0.1</v>
      </c>
      <c r="J93" s="92">
        <v>0.1</v>
      </c>
      <c r="K93" s="92">
        <v>0.1</v>
      </c>
      <c r="L93" s="92">
        <v>0.1</v>
      </c>
      <c r="M93" s="92">
        <v>0.1</v>
      </c>
      <c r="N93" s="92">
        <v>0.1</v>
      </c>
      <c r="O93" s="92">
        <v>0.1</v>
      </c>
      <c r="P93" s="92">
        <v>0.1</v>
      </c>
      <c r="Q93" s="92">
        <v>0.1</v>
      </c>
      <c r="R93" s="92">
        <v>0.1</v>
      </c>
      <c r="S93" s="92">
        <v>0.1</v>
      </c>
      <c r="T93" s="92">
        <v>0.1</v>
      </c>
      <c r="U93" s="92">
        <v>0.1</v>
      </c>
      <c r="V93" s="92">
        <v>0.1</v>
      </c>
      <c r="W93" s="92">
        <v>0.1</v>
      </c>
      <c r="X93" s="92">
        <v>0.1</v>
      </c>
      <c r="Y93" s="92">
        <v>0.1</v>
      </c>
      <c r="Z93" s="92">
        <v>0.1</v>
      </c>
      <c r="AA93" s="92">
        <v>0.1</v>
      </c>
      <c r="AB93" s="92">
        <v>0.1</v>
      </c>
      <c r="AC93" s="92">
        <v>0.1</v>
      </c>
      <c r="AD93" s="92">
        <v>0.1</v>
      </c>
      <c r="AE93" s="92">
        <v>0.1</v>
      </c>
      <c r="AF93" s="92">
        <v>0.1</v>
      </c>
      <c r="AG93" s="92">
        <v>0.1</v>
      </c>
      <c r="AH93" s="92">
        <v>0.1</v>
      </c>
      <c r="AI93" s="92">
        <v>0.1</v>
      </c>
      <c r="AJ93" s="92">
        <v>0.1</v>
      </c>
      <c r="AK93" s="92">
        <v>0.1</v>
      </c>
      <c r="AL93" s="92">
        <v>0.1</v>
      </c>
      <c r="AM93" s="92">
        <v>0.1</v>
      </c>
      <c r="AN93" s="81"/>
      <c r="AO93" s="93">
        <f t="shared" si="310"/>
        <v>9.9999999999999992E-2</v>
      </c>
      <c r="AP93" s="93">
        <f t="shared" si="311"/>
        <v>9.9999999999999992E-2</v>
      </c>
      <c r="AQ93" s="93">
        <f t="shared" ref="AQ93:AQ94" si="312">AVERAGE(AB93:AM93)</f>
        <v>9.9999999999999992E-2</v>
      </c>
      <c r="AR93" s="82"/>
    </row>
    <row r="94" spans="1:44" hidden="1" outlineLevel="1">
      <c r="A94" s="70" t="s">
        <v>114</v>
      </c>
      <c r="B94" s="72" t="s">
        <v>79</v>
      </c>
      <c r="C94" s="72"/>
      <c r="D94" s="92">
        <v>0.05</v>
      </c>
      <c r="E94" s="92">
        <v>0.05</v>
      </c>
      <c r="F94" s="92">
        <v>0.05</v>
      </c>
      <c r="G94" s="92">
        <v>0.05</v>
      </c>
      <c r="H94" s="92">
        <v>0.05</v>
      </c>
      <c r="I94" s="92">
        <v>0.05</v>
      </c>
      <c r="J94" s="92">
        <v>0.05</v>
      </c>
      <c r="K94" s="92">
        <v>0.05</v>
      </c>
      <c r="L94" s="92">
        <v>0.05</v>
      </c>
      <c r="M94" s="92">
        <v>0.05</v>
      </c>
      <c r="N94" s="92">
        <v>0.05</v>
      </c>
      <c r="O94" s="92">
        <v>0.05</v>
      </c>
      <c r="P94" s="92">
        <v>0.05</v>
      </c>
      <c r="Q94" s="92">
        <v>0.05</v>
      </c>
      <c r="R94" s="92">
        <v>0.05</v>
      </c>
      <c r="S94" s="92">
        <v>0.05</v>
      </c>
      <c r="T94" s="92">
        <v>0.05</v>
      </c>
      <c r="U94" s="92">
        <v>0.05</v>
      </c>
      <c r="V94" s="92">
        <v>0.05</v>
      </c>
      <c r="W94" s="92">
        <v>0.05</v>
      </c>
      <c r="X94" s="92">
        <v>0.05</v>
      </c>
      <c r="Y94" s="92">
        <v>0.05</v>
      </c>
      <c r="Z94" s="92">
        <v>0.05</v>
      </c>
      <c r="AA94" s="92">
        <v>0.05</v>
      </c>
      <c r="AB94" s="92">
        <v>0.05</v>
      </c>
      <c r="AC94" s="92">
        <v>0.05</v>
      </c>
      <c r="AD94" s="92">
        <v>0.05</v>
      </c>
      <c r="AE94" s="92">
        <v>0.05</v>
      </c>
      <c r="AF94" s="92">
        <v>0.05</v>
      </c>
      <c r="AG94" s="92">
        <v>0.05</v>
      </c>
      <c r="AH94" s="92">
        <v>0.05</v>
      </c>
      <c r="AI94" s="92">
        <v>0.05</v>
      </c>
      <c r="AJ94" s="92">
        <v>0.05</v>
      </c>
      <c r="AK94" s="92">
        <v>0.05</v>
      </c>
      <c r="AL94" s="92">
        <v>0.05</v>
      </c>
      <c r="AM94" s="92">
        <v>0.05</v>
      </c>
      <c r="AN94" s="81"/>
      <c r="AO94" s="93">
        <f t="shared" si="310"/>
        <v>4.9999999999999996E-2</v>
      </c>
      <c r="AP94" s="93">
        <f t="shared" si="311"/>
        <v>4.9999999999999996E-2</v>
      </c>
      <c r="AQ94" s="93">
        <f t="shared" si="312"/>
        <v>4.9999999999999996E-2</v>
      </c>
      <c r="AR94" s="82"/>
    </row>
    <row r="95" spans="1:44" hidden="1" outlineLevel="1">
      <c r="A95" s="70" t="s">
        <v>115</v>
      </c>
      <c r="B95" s="72" t="s">
        <v>79</v>
      </c>
      <c r="C95" s="72"/>
      <c r="D95" s="92">
        <v>0.01</v>
      </c>
      <c r="E95" s="92">
        <v>0.01</v>
      </c>
      <c r="F95" s="92">
        <v>0.01</v>
      </c>
      <c r="G95" s="92">
        <v>0.01</v>
      </c>
      <c r="H95" s="92">
        <v>0.01</v>
      </c>
      <c r="I95" s="92">
        <v>0.01</v>
      </c>
      <c r="J95" s="92">
        <v>0.01</v>
      </c>
      <c r="K95" s="92">
        <v>0.01</v>
      </c>
      <c r="L95" s="92">
        <v>0.01</v>
      </c>
      <c r="M95" s="92">
        <v>0.01</v>
      </c>
      <c r="N95" s="92">
        <v>0.01</v>
      </c>
      <c r="O95" s="92">
        <v>0.01</v>
      </c>
      <c r="P95" s="92">
        <v>0.01</v>
      </c>
      <c r="Q95" s="92">
        <v>0.01</v>
      </c>
      <c r="R95" s="92">
        <v>0.01</v>
      </c>
      <c r="S95" s="92">
        <v>0.01</v>
      </c>
      <c r="T95" s="92">
        <v>0.01</v>
      </c>
      <c r="U95" s="92">
        <v>0.01</v>
      </c>
      <c r="V95" s="92">
        <v>0.01</v>
      </c>
      <c r="W95" s="92">
        <v>0.01</v>
      </c>
      <c r="X95" s="92">
        <v>0.01</v>
      </c>
      <c r="Y95" s="92">
        <v>0.01</v>
      </c>
      <c r="Z95" s="92">
        <v>0.01</v>
      </c>
      <c r="AA95" s="92">
        <v>0.01</v>
      </c>
      <c r="AB95" s="92">
        <v>0.01</v>
      </c>
      <c r="AC95" s="92">
        <v>0.01</v>
      </c>
      <c r="AD95" s="92">
        <v>0.01</v>
      </c>
      <c r="AE95" s="92">
        <v>0.01</v>
      </c>
      <c r="AF95" s="92">
        <v>0.01</v>
      </c>
      <c r="AG95" s="92">
        <v>0.01</v>
      </c>
      <c r="AH95" s="92">
        <v>0.01</v>
      </c>
      <c r="AI95" s="92">
        <v>0.01</v>
      </c>
      <c r="AJ95" s="92">
        <v>0.01</v>
      </c>
      <c r="AK95" s="92">
        <v>0.01</v>
      </c>
      <c r="AL95" s="92">
        <v>0.01</v>
      </c>
      <c r="AM95" s="92">
        <v>0.01</v>
      </c>
      <c r="AN95" s="81"/>
      <c r="AO95" s="93">
        <f t="shared" ref="AO95" si="313">AVERAGE(D95:O95)</f>
        <v>9.9999999999999985E-3</v>
      </c>
      <c r="AP95" s="93">
        <f t="shared" ref="AP95" si="314">AVERAGE(P95:AA95)</f>
        <v>9.9999999999999985E-3</v>
      </c>
      <c r="AQ95" s="93">
        <f t="shared" ref="AQ95" si="315">AVERAGE(AB95:AM95)</f>
        <v>9.9999999999999985E-3</v>
      </c>
      <c r="AR95" s="82"/>
    </row>
    <row r="96" spans="1:44" hidden="1" outlineLevel="1">
      <c r="A96" s="70" t="s">
        <v>117</v>
      </c>
      <c r="B96" s="71" t="s">
        <v>78</v>
      </c>
      <c r="C96" s="72"/>
      <c r="D96" s="73">
        <f>-D88*D94</f>
        <v>-22.5</v>
      </c>
      <c r="E96" s="73">
        <f t="shared" ref="E96:AM96" si="316">-E88*E94</f>
        <v>-46.5</v>
      </c>
      <c r="F96" s="73">
        <f t="shared" si="316"/>
        <v>-72</v>
      </c>
      <c r="G96" s="73">
        <f t="shared" si="316"/>
        <v>-99</v>
      </c>
      <c r="H96" s="73">
        <f t="shared" si="316"/>
        <v>-127.5</v>
      </c>
      <c r="I96" s="73">
        <f t="shared" si="316"/>
        <v>-157.5</v>
      </c>
      <c r="J96" s="73">
        <f t="shared" si="316"/>
        <v>-187.5</v>
      </c>
      <c r="K96" s="73">
        <f t="shared" si="316"/>
        <v>-220.5</v>
      </c>
      <c r="L96" s="73">
        <f t="shared" si="316"/>
        <v>-256.5</v>
      </c>
      <c r="M96" s="73">
        <f t="shared" si="316"/>
        <v>-295.5</v>
      </c>
      <c r="N96" s="73">
        <f t="shared" si="316"/>
        <v>-337.5</v>
      </c>
      <c r="O96" s="73">
        <f t="shared" si="316"/>
        <v>-382.5</v>
      </c>
      <c r="P96" s="73">
        <f t="shared" si="316"/>
        <v>-427.5</v>
      </c>
      <c r="Q96" s="73">
        <f t="shared" si="316"/>
        <v>-472.5</v>
      </c>
      <c r="R96" s="73">
        <f t="shared" si="316"/>
        <v>-517.5</v>
      </c>
      <c r="S96" s="73">
        <f t="shared" si="316"/>
        <v>-562.5</v>
      </c>
      <c r="T96" s="73">
        <f t="shared" si="316"/>
        <v>-607.5</v>
      </c>
      <c r="U96" s="73">
        <f t="shared" si="316"/>
        <v>-652.5</v>
      </c>
      <c r="V96" s="73">
        <f t="shared" si="316"/>
        <v>-697.5</v>
      </c>
      <c r="W96" s="73">
        <f t="shared" si="316"/>
        <v>-742.5</v>
      </c>
      <c r="X96" s="73">
        <f t="shared" si="316"/>
        <v>-787.5</v>
      </c>
      <c r="Y96" s="73">
        <f t="shared" si="316"/>
        <v>-832.5</v>
      </c>
      <c r="Z96" s="73">
        <f t="shared" si="316"/>
        <v>-877.5</v>
      </c>
      <c r="AA96" s="73">
        <f t="shared" si="316"/>
        <v>-922.5</v>
      </c>
      <c r="AB96" s="73">
        <f t="shared" si="316"/>
        <v>-967.5</v>
      </c>
      <c r="AC96" s="73">
        <f t="shared" si="316"/>
        <v>-1012.5</v>
      </c>
      <c r="AD96" s="73">
        <f t="shared" si="316"/>
        <v>-1057.5</v>
      </c>
      <c r="AE96" s="73">
        <f t="shared" si="316"/>
        <v>-1102.5</v>
      </c>
      <c r="AF96" s="73">
        <f t="shared" si="316"/>
        <v>-1147.5</v>
      </c>
      <c r="AG96" s="73">
        <f t="shared" si="316"/>
        <v>-1192.5</v>
      </c>
      <c r="AH96" s="73">
        <f t="shared" si="316"/>
        <v>-1237.5</v>
      </c>
      <c r="AI96" s="73">
        <f t="shared" si="316"/>
        <v>-1282.5</v>
      </c>
      <c r="AJ96" s="73">
        <f t="shared" si="316"/>
        <v>-1327.5</v>
      </c>
      <c r="AK96" s="73">
        <f t="shared" si="316"/>
        <v>-1372.5</v>
      </c>
      <c r="AL96" s="73">
        <f t="shared" si="316"/>
        <v>-1417.5</v>
      </c>
      <c r="AM96" s="73">
        <f t="shared" si="316"/>
        <v>-1462.5</v>
      </c>
      <c r="AN96" s="81"/>
      <c r="AO96" s="75">
        <f>O96</f>
        <v>-382.5</v>
      </c>
      <c r="AP96" s="75">
        <f>AA96</f>
        <v>-922.5</v>
      </c>
      <c r="AQ96" s="75">
        <f>AM96</f>
        <v>-1462.5</v>
      </c>
      <c r="AR96" s="82"/>
    </row>
    <row r="97" spans="1:44" hidden="1" outlineLevel="1">
      <c r="A97" s="70" t="s">
        <v>116</v>
      </c>
      <c r="B97" s="71" t="s">
        <v>78</v>
      </c>
      <c r="C97" s="72"/>
      <c r="D97" s="73">
        <f>-D95*(D86-D88)</f>
        <v>-10.5</v>
      </c>
      <c r="E97" s="73">
        <f t="shared" ref="E97" si="317">-E95*(E86-E88)</f>
        <v>-21.7</v>
      </c>
      <c r="F97" s="73">
        <f t="shared" ref="F97:AM97" si="318">-F95*(F86-F88)</f>
        <v>-33.6</v>
      </c>
      <c r="G97" s="73">
        <f t="shared" si="318"/>
        <v>-46.2</v>
      </c>
      <c r="H97" s="73">
        <f t="shared" si="318"/>
        <v>-59.5</v>
      </c>
      <c r="I97" s="73">
        <f t="shared" si="318"/>
        <v>-73.5</v>
      </c>
      <c r="J97" s="73">
        <f t="shared" si="318"/>
        <v>-87.5</v>
      </c>
      <c r="K97" s="73">
        <f t="shared" si="318"/>
        <v>-102.9</v>
      </c>
      <c r="L97" s="73">
        <f t="shared" si="318"/>
        <v>-119.7</v>
      </c>
      <c r="M97" s="73">
        <f t="shared" si="318"/>
        <v>-137.9</v>
      </c>
      <c r="N97" s="73">
        <f t="shared" si="318"/>
        <v>-157.5</v>
      </c>
      <c r="O97" s="73">
        <f t="shared" si="318"/>
        <v>-178.5</v>
      </c>
      <c r="P97" s="73">
        <f t="shared" si="318"/>
        <v>-199.5</v>
      </c>
      <c r="Q97" s="73">
        <f t="shared" si="318"/>
        <v>-220.5</v>
      </c>
      <c r="R97" s="73">
        <f t="shared" si="318"/>
        <v>-241.5</v>
      </c>
      <c r="S97" s="73">
        <f t="shared" si="318"/>
        <v>-262.5</v>
      </c>
      <c r="T97" s="73">
        <f t="shared" si="318"/>
        <v>-283.5</v>
      </c>
      <c r="U97" s="73">
        <f t="shared" si="318"/>
        <v>-304.5</v>
      </c>
      <c r="V97" s="73">
        <f t="shared" si="318"/>
        <v>-325.5</v>
      </c>
      <c r="W97" s="73">
        <f t="shared" si="318"/>
        <v>-346.5</v>
      </c>
      <c r="X97" s="73">
        <f t="shared" si="318"/>
        <v>-367.5</v>
      </c>
      <c r="Y97" s="73">
        <f t="shared" si="318"/>
        <v>-388.5</v>
      </c>
      <c r="Z97" s="73">
        <f t="shared" si="318"/>
        <v>-409.5</v>
      </c>
      <c r="AA97" s="73">
        <f t="shared" si="318"/>
        <v>-430.5</v>
      </c>
      <c r="AB97" s="73">
        <f t="shared" si="318"/>
        <v>-451.5</v>
      </c>
      <c r="AC97" s="73">
        <f t="shared" si="318"/>
        <v>-472.5</v>
      </c>
      <c r="AD97" s="73">
        <f t="shared" si="318"/>
        <v>-493.5</v>
      </c>
      <c r="AE97" s="73">
        <f t="shared" si="318"/>
        <v>-514.5</v>
      </c>
      <c r="AF97" s="73">
        <f t="shared" si="318"/>
        <v>-535.5</v>
      </c>
      <c r="AG97" s="73">
        <f t="shared" si="318"/>
        <v>-556.5</v>
      </c>
      <c r="AH97" s="73">
        <f t="shared" si="318"/>
        <v>-577.5</v>
      </c>
      <c r="AI97" s="73">
        <f t="shared" si="318"/>
        <v>-598.5</v>
      </c>
      <c r="AJ97" s="73">
        <f t="shared" si="318"/>
        <v>-619.5</v>
      </c>
      <c r="AK97" s="73">
        <f t="shared" si="318"/>
        <v>-640.5</v>
      </c>
      <c r="AL97" s="73">
        <f t="shared" si="318"/>
        <v>-661.5</v>
      </c>
      <c r="AM97" s="73">
        <f t="shared" si="318"/>
        <v>-682.5</v>
      </c>
      <c r="AN97" s="81"/>
      <c r="AO97" s="75">
        <f>O97</f>
        <v>-178.5</v>
      </c>
      <c r="AP97" s="75">
        <f>AA97</f>
        <v>-430.5</v>
      </c>
      <c r="AQ97" s="75">
        <f>AM97</f>
        <v>-682.5</v>
      </c>
      <c r="AR97" s="82"/>
    </row>
    <row r="98" spans="1:44" hidden="1" outlineLevel="1">
      <c r="A98" s="70" t="s">
        <v>83</v>
      </c>
      <c r="B98" s="71" t="s">
        <v>78</v>
      </c>
      <c r="C98" s="72"/>
      <c r="D98" s="73">
        <f>(1-2/102)*(C86+D86)/2*D92/12</f>
        <v>12.867647058823529</v>
      </c>
      <c r="E98" s="73">
        <f>(1-2/102)*(D86+E86)/2*E92/12</f>
        <v>39.46078431372549</v>
      </c>
      <c r="F98" s="73">
        <f t="shared" ref="F98:AM98" si="319">(1-2/102)*(E86+F86)/2*F92/12</f>
        <v>67.769607843137251</v>
      </c>
      <c r="G98" s="73">
        <f t="shared" si="319"/>
        <v>97.794117647058826</v>
      </c>
      <c r="H98" s="73">
        <f t="shared" si="319"/>
        <v>129.53431372549019</v>
      </c>
      <c r="I98" s="73">
        <f t="shared" si="319"/>
        <v>162.99019607843135</v>
      </c>
      <c r="J98" s="73">
        <f t="shared" si="319"/>
        <v>197.30392156862743</v>
      </c>
      <c r="K98" s="73">
        <f t="shared" si="319"/>
        <v>233.33333333333329</v>
      </c>
      <c r="L98" s="73">
        <f t="shared" si="319"/>
        <v>272.79411764705884</v>
      </c>
      <c r="M98" s="73">
        <f t="shared" si="319"/>
        <v>315.68627450980392</v>
      </c>
      <c r="N98" s="73">
        <f t="shared" si="319"/>
        <v>362.00980392156856</v>
      </c>
      <c r="O98" s="73">
        <f t="shared" si="319"/>
        <v>411.76470588235293</v>
      </c>
      <c r="P98" s="73">
        <f t="shared" si="319"/>
        <v>463.23529411764702</v>
      </c>
      <c r="Q98" s="73">
        <f t="shared" si="319"/>
        <v>514.7058823529411</v>
      </c>
      <c r="R98" s="73">
        <f t="shared" si="319"/>
        <v>566.17647058823525</v>
      </c>
      <c r="S98" s="73">
        <f t="shared" si="319"/>
        <v>617.64705882352939</v>
      </c>
      <c r="T98" s="73">
        <f t="shared" si="319"/>
        <v>669.11764705882342</v>
      </c>
      <c r="U98" s="73">
        <f t="shared" si="319"/>
        <v>720.58823529411757</v>
      </c>
      <c r="V98" s="73">
        <f t="shared" si="319"/>
        <v>772.05882352941171</v>
      </c>
      <c r="W98" s="73">
        <f t="shared" si="319"/>
        <v>823.52941176470586</v>
      </c>
      <c r="X98" s="73">
        <f t="shared" si="319"/>
        <v>875</v>
      </c>
      <c r="Y98" s="73">
        <f t="shared" si="319"/>
        <v>926.47058823529403</v>
      </c>
      <c r="Z98" s="73">
        <f t="shared" si="319"/>
        <v>977.94117647058818</v>
      </c>
      <c r="AA98" s="73">
        <f t="shared" si="319"/>
        <v>1029.4117647058822</v>
      </c>
      <c r="AB98" s="73">
        <f t="shared" si="319"/>
        <v>1080.8823529411764</v>
      </c>
      <c r="AC98" s="73">
        <f t="shared" si="319"/>
        <v>1132.3529411764705</v>
      </c>
      <c r="AD98" s="73">
        <f t="shared" si="319"/>
        <v>1183.8235294117646</v>
      </c>
      <c r="AE98" s="73">
        <f t="shared" si="319"/>
        <v>1235.2941176470588</v>
      </c>
      <c r="AF98" s="73">
        <f t="shared" si="319"/>
        <v>1286.7647058823527</v>
      </c>
      <c r="AG98" s="73">
        <f t="shared" si="319"/>
        <v>1338.2352941176468</v>
      </c>
      <c r="AH98" s="73">
        <f t="shared" si="319"/>
        <v>1389.7058823529412</v>
      </c>
      <c r="AI98" s="73">
        <f t="shared" si="319"/>
        <v>1441.1764705882351</v>
      </c>
      <c r="AJ98" s="73">
        <f t="shared" si="319"/>
        <v>1492.6470588235295</v>
      </c>
      <c r="AK98" s="73">
        <f t="shared" si="319"/>
        <v>1544.1176470588234</v>
      </c>
      <c r="AL98" s="73">
        <f t="shared" si="319"/>
        <v>1595.5882352941173</v>
      </c>
      <c r="AM98" s="73">
        <f t="shared" si="319"/>
        <v>1647.0588235294117</v>
      </c>
      <c r="AN98" s="81"/>
      <c r="AO98" s="75">
        <f>SUM(D98:O98)</f>
        <v>2303.3088235294117</v>
      </c>
      <c r="AP98" s="75">
        <f>SUM(P98:AA98)</f>
        <v>8955.8823529411748</v>
      </c>
      <c r="AQ98" s="75">
        <f>SUM(AB98:AM98)</f>
        <v>16367.647058823528</v>
      </c>
      <c r="AR98" s="82"/>
    </row>
    <row r="99" spans="1:44" hidden="1" outlineLevel="1">
      <c r="A99" s="70" t="s">
        <v>92</v>
      </c>
      <c r="B99" s="71" t="s">
        <v>78</v>
      </c>
      <c r="C99" s="72"/>
      <c r="D99" s="73">
        <f t="shared" ref="D99:E99" si="320">-(C88+D88)/2*D93/12</f>
        <v>-1.875</v>
      </c>
      <c r="E99" s="73">
        <f t="shared" si="320"/>
        <v>-5.75</v>
      </c>
      <c r="F99" s="73">
        <f t="shared" ref="F99" si="321">-(E88+F88)/2*F93/12</f>
        <v>-9.875</v>
      </c>
      <c r="G99" s="73">
        <f t="shared" ref="G99" si="322">-(F88+G88)/2*G93/12</f>
        <v>-14.25</v>
      </c>
      <c r="H99" s="73">
        <f t="shared" ref="H99" si="323">-(G88+H88)/2*H93/12</f>
        <v>-18.875</v>
      </c>
      <c r="I99" s="73">
        <f t="shared" ref="I99" si="324">-(H88+I88)/2*I93/12</f>
        <v>-23.75</v>
      </c>
      <c r="J99" s="73">
        <f t="shared" ref="J99" si="325">-(I88+J88)/2*J93/12</f>
        <v>-28.75</v>
      </c>
      <c r="K99" s="73">
        <f t="shared" ref="K99" si="326">-(J88+K88)/2*K93/12</f>
        <v>-34</v>
      </c>
      <c r="L99" s="73">
        <f t="shared" ref="L99" si="327">-(K88+L88)/2*L93/12</f>
        <v>-39.75</v>
      </c>
      <c r="M99" s="73">
        <f t="shared" ref="M99" si="328">-(L88+M88)/2*M93/12</f>
        <v>-46</v>
      </c>
      <c r="N99" s="73">
        <f t="shared" ref="N99" si="329">-(M88+N88)/2*N93/12</f>
        <v>-52.75</v>
      </c>
      <c r="O99" s="73">
        <f t="shared" ref="O99" si="330">-(N88+O88)/2*O93/12</f>
        <v>-60</v>
      </c>
      <c r="P99" s="73">
        <f t="shared" ref="P99" si="331">-(O88+P88)/2*P93/12</f>
        <v>-67.5</v>
      </c>
      <c r="Q99" s="73">
        <f t="shared" ref="Q99" si="332">-(P88+Q88)/2*Q93/12</f>
        <v>-75</v>
      </c>
      <c r="R99" s="73">
        <f t="shared" ref="R99" si="333">-(Q88+R88)/2*R93/12</f>
        <v>-82.5</v>
      </c>
      <c r="S99" s="73">
        <f t="shared" ref="S99" si="334">-(R88+S88)/2*S93/12</f>
        <v>-90</v>
      </c>
      <c r="T99" s="73">
        <f t="shared" ref="T99" si="335">-(S88+T88)/2*T93/12</f>
        <v>-97.5</v>
      </c>
      <c r="U99" s="73">
        <f t="shared" ref="U99" si="336">-(T88+U88)/2*U93/12</f>
        <v>-105</v>
      </c>
      <c r="V99" s="73">
        <f t="shared" ref="V99" si="337">-(U88+V88)/2*V93/12</f>
        <v>-112.5</v>
      </c>
      <c r="W99" s="73">
        <f t="shared" ref="W99" si="338">-(V88+W88)/2*W93/12</f>
        <v>-120</v>
      </c>
      <c r="X99" s="73">
        <f t="shared" ref="X99" si="339">-(W88+X88)/2*X93/12</f>
        <v>-127.5</v>
      </c>
      <c r="Y99" s="73">
        <f t="shared" ref="Y99" si="340">-(X88+Y88)/2*Y93/12</f>
        <v>-135</v>
      </c>
      <c r="Z99" s="73">
        <f t="shared" ref="Z99" si="341">-(Y88+Z88)/2*Z93/12</f>
        <v>-142.5</v>
      </c>
      <c r="AA99" s="73">
        <f t="shared" ref="AA99" si="342">-(Z88+AA88)/2*AA93/12</f>
        <v>-150</v>
      </c>
      <c r="AB99" s="73">
        <f t="shared" ref="AB99" si="343">-(AA88+AB88)/2*AB93/12</f>
        <v>-157.5</v>
      </c>
      <c r="AC99" s="73">
        <f t="shared" ref="AC99" si="344">-(AB88+AC88)/2*AC93/12</f>
        <v>-165</v>
      </c>
      <c r="AD99" s="73">
        <f t="shared" ref="AD99" si="345">-(AC88+AD88)/2*AD93/12</f>
        <v>-172.5</v>
      </c>
      <c r="AE99" s="73">
        <f t="shared" ref="AE99" si="346">-(AD88+AE88)/2*AE93/12</f>
        <v>-180</v>
      </c>
      <c r="AF99" s="73">
        <f t="shared" ref="AF99" si="347">-(AE88+AF88)/2*AF93/12</f>
        <v>-187.5</v>
      </c>
      <c r="AG99" s="73">
        <f t="shared" ref="AG99" si="348">-(AF88+AG88)/2*AG93/12</f>
        <v>-195</v>
      </c>
      <c r="AH99" s="73">
        <f t="shared" ref="AH99" si="349">-(AG88+AH88)/2*AH93/12</f>
        <v>-202.5</v>
      </c>
      <c r="AI99" s="73">
        <f t="shared" ref="AI99" si="350">-(AH88+AI88)/2*AI93/12</f>
        <v>-210</v>
      </c>
      <c r="AJ99" s="73">
        <f t="shared" ref="AJ99" si="351">-(AI88+AJ88)/2*AJ93/12</f>
        <v>-217.5</v>
      </c>
      <c r="AK99" s="73">
        <f t="shared" ref="AK99" si="352">-(AJ88+AK88)/2*AK93/12</f>
        <v>-225</v>
      </c>
      <c r="AL99" s="73">
        <f t="shared" ref="AL99" si="353">-(AK88+AL88)/2*AL93/12</f>
        <v>-232.5</v>
      </c>
      <c r="AM99" s="73">
        <f t="shared" ref="AM99" si="354">-(AL88+AM88)/2*AM93/12</f>
        <v>-240</v>
      </c>
      <c r="AN99" s="81"/>
      <c r="AO99" s="75">
        <f>SUM(D99:O99)</f>
        <v>-335.625</v>
      </c>
      <c r="AP99" s="75">
        <f>SUM(P99:AA99)</f>
        <v>-1305</v>
      </c>
      <c r="AQ99" s="75">
        <f>SUM(AB99:AM99)</f>
        <v>-2385</v>
      </c>
      <c r="AR99" s="82"/>
    </row>
    <row r="100" spans="1:44" hidden="1" outlineLevel="1">
      <c r="A100" s="70" t="s">
        <v>99</v>
      </c>
      <c r="B100" s="71" t="s">
        <v>78</v>
      </c>
      <c r="C100" s="72"/>
      <c r="D100" s="73">
        <f>-D91*D85</f>
        <v>-15</v>
      </c>
      <c r="E100" s="73">
        <f>-E91*E85</f>
        <v>-16</v>
      </c>
      <c r="F100" s="73">
        <f t="shared" ref="F100:AM100" si="355">-F91*F85</f>
        <v>-17</v>
      </c>
      <c r="G100" s="73">
        <f t="shared" si="355"/>
        <v>-18</v>
      </c>
      <c r="H100" s="73">
        <f t="shared" si="355"/>
        <v>-19</v>
      </c>
      <c r="I100" s="73">
        <f t="shared" si="355"/>
        <v>-20</v>
      </c>
      <c r="J100" s="73">
        <f t="shared" si="355"/>
        <v>-20</v>
      </c>
      <c r="K100" s="73">
        <f t="shared" si="355"/>
        <v>-22</v>
      </c>
      <c r="L100" s="73">
        <f t="shared" si="355"/>
        <v>-24</v>
      </c>
      <c r="M100" s="73">
        <f t="shared" si="355"/>
        <v>-26</v>
      </c>
      <c r="N100" s="73">
        <f t="shared" si="355"/>
        <v>-28</v>
      </c>
      <c r="O100" s="73">
        <f t="shared" si="355"/>
        <v>-30</v>
      </c>
      <c r="P100" s="73">
        <f t="shared" si="355"/>
        <v>-30</v>
      </c>
      <c r="Q100" s="73">
        <f t="shared" si="355"/>
        <v>-30</v>
      </c>
      <c r="R100" s="73">
        <f t="shared" si="355"/>
        <v>-30</v>
      </c>
      <c r="S100" s="73">
        <f t="shared" si="355"/>
        <v>-30</v>
      </c>
      <c r="T100" s="73">
        <f t="shared" si="355"/>
        <v>-30</v>
      </c>
      <c r="U100" s="73">
        <f t="shared" si="355"/>
        <v>-30</v>
      </c>
      <c r="V100" s="73">
        <f t="shared" si="355"/>
        <v>-30</v>
      </c>
      <c r="W100" s="73">
        <f t="shared" si="355"/>
        <v>-30</v>
      </c>
      <c r="X100" s="73">
        <f t="shared" si="355"/>
        <v>-30</v>
      </c>
      <c r="Y100" s="73">
        <f t="shared" si="355"/>
        <v>-30</v>
      </c>
      <c r="Z100" s="73">
        <f t="shared" si="355"/>
        <v>-30</v>
      </c>
      <c r="AA100" s="73">
        <f t="shared" si="355"/>
        <v>-30</v>
      </c>
      <c r="AB100" s="73">
        <f t="shared" si="355"/>
        <v>-30</v>
      </c>
      <c r="AC100" s="73">
        <f t="shared" si="355"/>
        <v>-30</v>
      </c>
      <c r="AD100" s="73">
        <f t="shared" si="355"/>
        <v>-30</v>
      </c>
      <c r="AE100" s="73">
        <f t="shared" si="355"/>
        <v>-30</v>
      </c>
      <c r="AF100" s="73">
        <f t="shared" si="355"/>
        <v>-30</v>
      </c>
      <c r="AG100" s="73">
        <f t="shared" si="355"/>
        <v>-30</v>
      </c>
      <c r="AH100" s="73">
        <f t="shared" si="355"/>
        <v>-30</v>
      </c>
      <c r="AI100" s="73">
        <f t="shared" si="355"/>
        <v>-30</v>
      </c>
      <c r="AJ100" s="73">
        <f t="shared" si="355"/>
        <v>-30</v>
      </c>
      <c r="AK100" s="73">
        <f t="shared" si="355"/>
        <v>-30</v>
      </c>
      <c r="AL100" s="73">
        <f t="shared" si="355"/>
        <v>-30</v>
      </c>
      <c r="AM100" s="73">
        <f t="shared" si="355"/>
        <v>-30</v>
      </c>
      <c r="AN100" s="81"/>
      <c r="AO100" s="75">
        <f>SUM(D100:O100)</f>
        <v>-255</v>
      </c>
      <c r="AP100" s="75">
        <f>SUM(P100:AA100)</f>
        <v>-360</v>
      </c>
      <c r="AQ100" s="75">
        <f>SUM(AB100:AM100)</f>
        <v>-360</v>
      </c>
      <c r="AR100" s="82"/>
    </row>
    <row r="101" spans="1:44" hidden="1" outlineLevel="1">
      <c r="A101" s="70" t="s">
        <v>93</v>
      </c>
      <c r="B101" s="71" t="s">
        <v>78</v>
      </c>
      <c r="C101" s="72"/>
      <c r="D101" s="78">
        <f>(D96-C96)+(D97-C97)</f>
        <v>-33</v>
      </c>
      <c r="E101" s="78">
        <f t="shared" ref="E101" si="356">(E96-D96)+(E97-D97)</f>
        <v>-35.200000000000003</v>
      </c>
      <c r="F101" s="78">
        <f t="shared" ref="F101" si="357">(F96-E96)+(F97-E97)</f>
        <v>-37.400000000000006</v>
      </c>
      <c r="G101" s="78">
        <f t="shared" ref="G101" si="358">(G96-F96)+(G97-F97)</f>
        <v>-39.6</v>
      </c>
      <c r="H101" s="78">
        <f t="shared" ref="H101" si="359">(H96-G96)+(H97-G97)</f>
        <v>-41.8</v>
      </c>
      <c r="I101" s="78">
        <f t="shared" ref="I101" si="360">(I96-H96)+(I97-H97)</f>
        <v>-44</v>
      </c>
      <c r="J101" s="78">
        <f t="shared" ref="J101" si="361">(J96-I96)+(J97-I97)</f>
        <v>-44</v>
      </c>
      <c r="K101" s="78">
        <f t="shared" ref="K101" si="362">(K96-J96)+(K97-J97)</f>
        <v>-48.400000000000006</v>
      </c>
      <c r="L101" s="78">
        <f t="shared" ref="L101" si="363">(L96-K96)+(L97-K97)</f>
        <v>-52.8</v>
      </c>
      <c r="M101" s="78">
        <f t="shared" ref="M101" si="364">(M96-L96)+(M97-L97)</f>
        <v>-57.2</v>
      </c>
      <c r="N101" s="78">
        <f t="shared" ref="N101" si="365">(N96-M96)+(N97-M97)</f>
        <v>-61.599999999999994</v>
      </c>
      <c r="O101" s="78">
        <f t="shared" ref="O101" si="366">(O96-N96)+(O97-N97)</f>
        <v>-66</v>
      </c>
      <c r="P101" s="78">
        <f t="shared" ref="P101" si="367">(P96-O96)+(P97-O97)</f>
        <v>-66</v>
      </c>
      <c r="Q101" s="78">
        <f t="shared" ref="Q101" si="368">(Q96-P96)+(Q97-P97)</f>
        <v>-66</v>
      </c>
      <c r="R101" s="78">
        <f t="shared" ref="R101" si="369">(R96-Q96)+(R97-Q97)</f>
        <v>-66</v>
      </c>
      <c r="S101" s="78">
        <f t="shared" ref="S101" si="370">(S96-R96)+(S97-R97)</f>
        <v>-66</v>
      </c>
      <c r="T101" s="78">
        <f t="shared" ref="T101" si="371">(T96-S96)+(T97-S97)</f>
        <v>-66</v>
      </c>
      <c r="U101" s="78">
        <f t="shared" ref="U101" si="372">(U96-T96)+(U97-T97)</f>
        <v>-66</v>
      </c>
      <c r="V101" s="78">
        <f t="shared" ref="V101" si="373">(V96-U96)+(V97-U97)</f>
        <v>-66</v>
      </c>
      <c r="W101" s="78">
        <f t="shared" ref="W101" si="374">(W96-V96)+(W97-V97)</f>
        <v>-66</v>
      </c>
      <c r="X101" s="78">
        <f t="shared" ref="X101" si="375">(X96-W96)+(X97-W97)</f>
        <v>-66</v>
      </c>
      <c r="Y101" s="78">
        <f t="shared" ref="Y101" si="376">(Y96-X96)+(Y97-X97)</f>
        <v>-66</v>
      </c>
      <c r="Z101" s="78">
        <f t="shared" ref="Z101" si="377">(Z96-Y96)+(Z97-Y97)</f>
        <v>-66</v>
      </c>
      <c r="AA101" s="78">
        <f t="shared" ref="AA101" si="378">(AA96-Z96)+(AA97-Z97)</f>
        <v>-66</v>
      </c>
      <c r="AB101" s="78">
        <f t="shared" ref="AB101" si="379">(AB96-AA96)+(AB97-AA97)</f>
        <v>-66</v>
      </c>
      <c r="AC101" s="78">
        <f t="shared" ref="AC101" si="380">(AC96-AB96)+(AC97-AB97)</f>
        <v>-66</v>
      </c>
      <c r="AD101" s="78">
        <f t="shared" ref="AD101" si="381">(AD96-AC96)+(AD97-AC97)</f>
        <v>-66</v>
      </c>
      <c r="AE101" s="78">
        <f t="shared" ref="AE101" si="382">(AE96-AD96)+(AE97-AD97)</f>
        <v>-66</v>
      </c>
      <c r="AF101" s="78">
        <f t="shared" ref="AF101" si="383">(AF96-AE96)+(AF97-AE97)</f>
        <v>-66</v>
      </c>
      <c r="AG101" s="78">
        <f t="shared" ref="AG101" si="384">(AG96-AF96)+(AG97-AF97)</f>
        <v>-66</v>
      </c>
      <c r="AH101" s="78">
        <f t="shared" ref="AH101" si="385">(AH96-AG96)+(AH97-AG97)</f>
        <v>-66</v>
      </c>
      <c r="AI101" s="78">
        <f t="shared" ref="AI101" si="386">(AI96-AH96)+(AI97-AH97)</f>
        <v>-66</v>
      </c>
      <c r="AJ101" s="78">
        <f t="shared" ref="AJ101" si="387">(AJ96-AI96)+(AJ97-AI97)</f>
        <v>-66</v>
      </c>
      <c r="AK101" s="78">
        <f t="shared" ref="AK101" si="388">(AK96-AJ96)+(AK97-AJ97)</f>
        <v>-66</v>
      </c>
      <c r="AL101" s="78">
        <f t="shared" ref="AL101" si="389">(AL96-AK96)+(AL97-AK97)</f>
        <v>-66</v>
      </c>
      <c r="AM101" s="78">
        <f t="shared" ref="AM101" si="390">(AM96-AL96)+(AM97-AL97)</f>
        <v>-66</v>
      </c>
      <c r="AN101" s="81"/>
      <c r="AO101" s="75">
        <f>SUM(D101:O101)</f>
        <v>-561</v>
      </c>
      <c r="AP101" s="75">
        <f>SUM(P101:AA101)</f>
        <v>-792</v>
      </c>
      <c r="AQ101" s="75">
        <f>SUM(AB101:AM101)</f>
        <v>-792</v>
      </c>
      <c r="AR101" s="82"/>
    </row>
    <row r="102" spans="1:44" hidden="1" outlineLevel="1">
      <c r="A102" s="70" t="s">
        <v>122</v>
      </c>
      <c r="B102" s="71" t="s">
        <v>78</v>
      </c>
      <c r="C102" s="72"/>
      <c r="D102" s="78">
        <f>SUM(D98:D101)</f>
        <v>-37.007352941176471</v>
      </c>
      <c r="E102" s="78">
        <f>SUM(E98:E101)</f>
        <v>-17.489215686274513</v>
      </c>
      <c r="F102" s="78">
        <f t="shared" ref="F102:AM102" si="391">SUM(F98:F101)</f>
        <v>3.4946078431372456</v>
      </c>
      <c r="G102" s="78">
        <f t="shared" si="391"/>
        <v>25.944117647058825</v>
      </c>
      <c r="H102" s="78">
        <f t="shared" si="391"/>
        <v>49.859313725490196</v>
      </c>
      <c r="I102" s="78">
        <f t="shared" si="391"/>
        <v>75.240196078431353</v>
      </c>
      <c r="J102" s="78">
        <f t="shared" si="391"/>
        <v>104.55392156862743</v>
      </c>
      <c r="K102" s="78">
        <f t="shared" si="391"/>
        <v>128.93333333333328</v>
      </c>
      <c r="L102" s="78">
        <f t="shared" si="391"/>
        <v>156.24411764705883</v>
      </c>
      <c r="M102" s="78">
        <f t="shared" si="391"/>
        <v>186.48627450980393</v>
      </c>
      <c r="N102" s="78">
        <f t="shared" si="391"/>
        <v>219.65980392156857</v>
      </c>
      <c r="O102" s="78">
        <f t="shared" si="391"/>
        <v>255.76470588235293</v>
      </c>
      <c r="P102" s="78">
        <f t="shared" si="391"/>
        <v>299.73529411764702</v>
      </c>
      <c r="Q102" s="78">
        <f t="shared" si="391"/>
        <v>343.7058823529411</v>
      </c>
      <c r="R102" s="78">
        <f t="shared" si="391"/>
        <v>387.67647058823525</v>
      </c>
      <c r="S102" s="78">
        <f t="shared" si="391"/>
        <v>431.64705882352939</v>
      </c>
      <c r="T102" s="78">
        <f t="shared" si="391"/>
        <v>475.61764705882342</v>
      </c>
      <c r="U102" s="78">
        <f t="shared" si="391"/>
        <v>519.58823529411757</v>
      </c>
      <c r="V102" s="78">
        <f t="shared" si="391"/>
        <v>563.55882352941171</v>
      </c>
      <c r="W102" s="78">
        <f t="shared" si="391"/>
        <v>607.52941176470586</v>
      </c>
      <c r="X102" s="78">
        <f t="shared" si="391"/>
        <v>651.5</v>
      </c>
      <c r="Y102" s="78">
        <f t="shared" si="391"/>
        <v>695.47058823529403</v>
      </c>
      <c r="Z102" s="78">
        <f t="shared" si="391"/>
        <v>739.44117647058818</v>
      </c>
      <c r="AA102" s="78">
        <f t="shared" si="391"/>
        <v>783.41176470588221</v>
      </c>
      <c r="AB102" s="78">
        <f t="shared" si="391"/>
        <v>827.38235294117635</v>
      </c>
      <c r="AC102" s="78">
        <f t="shared" si="391"/>
        <v>871.35294117647049</v>
      </c>
      <c r="AD102" s="78">
        <f t="shared" si="391"/>
        <v>915.32352941176464</v>
      </c>
      <c r="AE102" s="78">
        <f t="shared" si="391"/>
        <v>959.29411764705878</v>
      </c>
      <c r="AF102" s="78">
        <f t="shared" si="391"/>
        <v>1003.2647058823527</v>
      </c>
      <c r="AG102" s="78">
        <f t="shared" si="391"/>
        <v>1047.2352941176468</v>
      </c>
      <c r="AH102" s="78">
        <f t="shared" si="391"/>
        <v>1091.2058823529412</v>
      </c>
      <c r="AI102" s="78">
        <f t="shared" si="391"/>
        <v>1135.1764705882351</v>
      </c>
      <c r="AJ102" s="78">
        <f t="shared" si="391"/>
        <v>1179.1470588235295</v>
      </c>
      <c r="AK102" s="78">
        <f t="shared" si="391"/>
        <v>1223.1176470588234</v>
      </c>
      <c r="AL102" s="78">
        <f t="shared" si="391"/>
        <v>1267.0882352941173</v>
      </c>
      <c r="AM102" s="78">
        <f t="shared" si="391"/>
        <v>1311.0588235294117</v>
      </c>
      <c r="AN102" s="81"/>
      <c r="AO102" s="75">
        <f>SUM(D102:O102)</f>
        <v>1151.6838235294117</v>
      </c>
      <c r="AP102" s="75">
        <f>SUM(P102:AA102)</f>
        <v>6498.8823529411748</v>
      </c>
      <c r="AQ102" s="75">
        <f>SUM(AB102:AM102)</f>
        <v>12830.647058823528</v>
      </c>
      <c r="AR102" s="82"/>
    </row>
    <row r="103" spans="1:44" hidden="1" outlineLevel="1">
      <c r="A103" s="70" t="s">
        <v>139</v>
      </c>
      <c r="B103" s="71" t="s">
        <v>78</v>
      </c>
      <c r="C103" s="72"/>
      <c r="D103" s="78">
        <f>-'OPEX+CAPEX'!E29</f>
        <v>-0.38062499999999999</v>
      </c>
      <c r="E103" s="78">
        <f>-'OPEX+CAPEX'!F29</f>
        <v>-0.78662500000000002</v>
      </c>
      <c r="F103" s="78">
        <f>-'OPEX+CAPEX'!G29</f>
        <v>-1.218</v>
      </c>
      <c r="G103" s="78">
        <f>-'OPEX+CAPEX'!H29</f>
        <v>-1.67475</v>
      </c>
      <c r="H103" s="78">
        <f>-'OPEX+CAPEX'!I29</f>
        <v>-2.1568749999999999</v>
      </c>
      <c r="I103" s="78">
        <f>-'OPEX+CAPEX'!J29</f>
        <v>-2.6643750000000002</v>
      </c>
      <c r="J103" s="78">
        <f>-'OPEX+CAPEX'!K29</f>
        <v>-3.171875</v>
      </c>
      <c r="K103" s="78">
        <f>-'OPEX+CAPEX'!L29</f>
        <v>-3.7301250000000001</v>
      </c>
      <c r="L103" s="78">
        <f>-'OPEX+CAPEX'!M29</f>
        <v>-4.3391250000000001</v>
      </c>
      <c r="M103" s="78">
        <f>-'OPEX+CAPEX'!N29</f>
        <v>-4.998875</v>
      </c>
      <c r="N103" s="78">
        <f>-'OPEX+CAPEX'!O29</f>
        <v>-5.7093749999999996</v>
      </c>
      <c r="O103" s="78">
        <f>-'OPEX+CAPEX'!P29</f>
        <v>-6.4706250000000001</v>
      </c>
      <c r="P103" s="78">
        <f>-'OPEX+CAPEX'!Q29</f>
        <v>-7.2318749999999996</v>
      </c>
      <c r="Q103" s="78">
        <f>-'OPEX+CAPEX'!R29</f>
        <v>-7.993125</v>
      </c>
      <c r="R103" s="78">
        <f>-'OPEX+CAPEX'!S29</f>
        <v>-8.7543749999999996</v>
      </c>
      <c r="S103" s="78">
        <f>-'OPEX+CAPEX'!T29</f>
        <v>-9.515625</v>
      </c>
      <c r="T103" s="78">
        <f>-'OPEX+CAPEX'!U29</f>
        <v>-10.276875</v>
      </c>
      <c r="U103" s="78">
        <f>-'OPEX+CAPEX'!V29</f>
        <v>-11.038125000000001</v>
      </c>
      <c r="V103" s="78">
        <f>-'OPEX+CAPEX'!W29</f>
        <v>-11.799375</v>
      </c>
      <c r="W103" s="78">
        <f>-'OPEX+CAPEX'!X29</f>
        <v>-12.560625</v>
      </c>
      <c r="X103" s="78">
        <f>-'OPEX+CAPEX'!Y29</f>
        <v>-13.321875</v>
      </c>
      <c r="Y103" s="78">
        <f>-'OPEX+CAPEX'!Z29</f>
        <v>-14.083125000000001</v>
      </c>
      <c r="Z103" s="78">
        <f>-'OPEX+CAPEX'!AA29</f>
        <v>-14.844374999999999</v>
      </c>
      <c r="AA103" s="78">
        <f>-'OPEX+CAPEX'!AB29</f>
        <v>-15.605625</v>
      </c>
      <c r="AB103" s="78">
        <f>-'OPEX+CAPEX'!AC29</f>
        <v>-16.366875</v>
      </c>
      <c r="AC103" s="78">
        <f>-'OPEX+CAPEX'!AD29</f>
        <v>-17.128125000000001</v>
      </c>
      <c r="AD103" s="78">
        <f>-'OPEX+CAPEX'!AE29</f>
        <v>-17.889375000000001</v>
      </c>
      <c r="AE103" s="78">
        <f>-'OPEX+CAPEX'!AF29</f>
        <v>-18.650625000000002</v>
      </c>
      <c r="AF103" s="78">
        <f>-'OPEX+CAPEX'!AG29</f>
        <v>-19.411874999999998</v>
      </c>
      <c r="AG103" s="78">
        <f>-'OPEX+CAPEX'!AH29</f>
        <v>-20.173124999999999</v>
      </c>
      <c r="AH103" s="78">
        <f>-'OPEX+CAPEX'!AI29</f>
        <v>-20.934374999999999</v>
      </c>
      <c r="AI103" s="78">
        <f>-'OPEX+CAPEX'!AJ29</f>
        <v>-21.695625</v>
      </c>
      <c r="AJ103" s="78">
        <f>-'OPEX+CAPEX'!AK29</f>
        <v>-22.456875</v>
      </c>
      <c r="AK103" s="78">
        <f>-'OPEX+CAPEX'!AL29</f>
        <v>-23.218125000000001</v>
      </c>
      <c r="AL103" s="78">
        <f>-'OPEX+CAPEX'!AM29</f>
        <v>-23.979375000000001</v>
      </c>
      <c r="AM103" s="78">
        <f>-'OPEX+CAPEX'!AN29</f>
        <v>-24.740625000000001</v>
      </c>
      <c r="AN103" s="81"/>
      <c r="AO103" s="75">
        <f t="shared" ref="AO103:AO104" si="392">SUM(D103:O103)</f>
        <v>-37.301249999999996</v>
      </c>
      <c r="AP103" s="75">
        <f t="shared" ref="AP103:AP104" si="393">SUM(P103:AA103)</f>
        <v>-137.02500000000001</v>
      </c>
      <c r="AQ103" s="75">
        <f t="shared" ref="AQ103:AQ104" si="394">SUM(AB103:AM103)</f>
        <v>-246.64500000000001</v>
      </c>
      <c r="AR103" s="82"/>
    </row>
    <row r="104" spans="1:44" hidden="1" outlineLevel="1">
      <c r="A104" s="70" t="s">
        <v>177</v>
      </c>
      <c r="B104" s="71" t="s">
        <v>78</v>
      </c>
      <c r="C104" s="72"/>
      <c r="D104" s="78">
        <f>D102+D103</f>
        <v>-37.387977941176473</v>
      </c>
      <c r="E104" s="78">
        <f t="shared" ref="E104:AM104" si="395">E102+E103</f>
        <v>-18.275840686274513</v>
      </c>
      <c r="F104" s="78">
        <f t="shared" si="395"/>
        <v>2.2766078431372456</v>
      </c>
      <c r="G104" s="78">
        <f t="shared" si="395"/>
        <v>24.269367647058825</v>
      </c>
      <c r="H104" s="78">
        <f t="shared" si="395"/>
        <v>47.702438725490197</v>
      </c>
      <c r="I104" s="78">
        <f t="shared" si="395"/>
        <v>72.575821078431346</v>
      </c>
      <c r="J104" s="78">
        <f t="shared" si="395"/>
        <v>101.38204656862743</v>
      </c>
      <c r="K104" s="78">
        <f t="shared" si="395"/>
        <v>125.20320833333328</v>
      </c>
      <c r="L104" s="78">
        <f t="shared" si="395"/>
        <v>151.90499264705883</v>
      </c>
      <c r="M104" s="78">
        <f t="shared" si="395"/>
        <v>181.48739950980394</v>
      </c>
      <c r="N104" s="78">
        <f t="shared" si="395"/>
        <v>213.95042892156857</v>
      </c>
      <c r="O104" s="78">
        <f t="shared" si="395"/>
        <v>249.29408088235292</v>
      </c>
      <c r="P104" s="78">
        <f t="shared" si="395"/>
        <v>292.50341911764701</v>
      </c>
      <c r="Q104" s="78">
        <f t="shared" si="395"/>
        <v>335.71275735294108</v>
      </c>
      <c r="R104" s="78">
        <f t="shared" si="395"/>
        <v>378.92209558823527</v>
      </c>
      <c r="S104" s="78">
        <f t="shared" si="395"/>
        <v>422.13143382352939</v>
      </c>
      <c r="T104" s="78">
        <f t="shared" si="395"/>
        <v>465.3407720588234</v>
      </c>
      <c r="U104" s="78">
        <f t="shared" si="395"/>
        <v>508.55011029411759</v>
      </c>
      <c r="V104" s="78">
        <f t="shared" si="395"/>
        <v>551.75944852941166</v>
      </c>
      <c r="W104" s="78">
        <f t="shared" si="395"/>
        <v>594.9687867647059</v>
      </c>
      <c r="X104" s="78">
        <f t="shared" si="395"/>
        <v>638.17812500000002</v>
      </c>
      <c r="Y104" s="78">
        <f t="shared" si="395"/>
        <v>681.38746323529404</v>
      </c>
      <c r="Z104" s="78">
        <f t="shared" si="395"/>
        <v>724.59680147058816</v>
      </c>
      <c r="AA104" s="78">
        <f t="shared" si="395"/>
        <v>767.80613970588217</v>
      </c>
      <c r="AB104" s="78">
        <f t="shared" si="395"/>
        <v>811.0154779411763</v>
      </c>
      <c r="AC104" s="78">
        <f t="shared" si="395"/>
        <v>854.22481617647054</v>
      </c>
      <c r="AD104" s="78">
        <f t="shared" si="395"/>
        <v>897.43415441176467</v>
      </c>
      <c r="AE104" s="78">
        <f t="shared" si="395"/>
        <v>940.64349264705879</v>
      </c>
      <c r="AF104" s="78">
        <f t="shared" si="395"/>
        <v>983.85283088235269</v>
      </c>
      <c r="AG104" s="78">
        <f t="shared" si="395"/>
        <v>1027.0621691176468</v>
      </c>
      <c r="AH104" s="78">
        <f t="shared" si="395"/>
        <v>1070.2715073529412</v>
      </c>
      <c r="AI104" s="78">
        <f t="shared" si="395"/>
        <v>1113.4808455882351</v>
      </c>
      <c r="AJ104" s="78">
        <f t="shared" si="395"/>
        <v>1156.6901838235294</v>
      </c>
      <c r="AK104" s="78">
        <f t="shared" si="395"/>
        <v>1199.8995220588233</v>
      </c>
      <c r="AL104" s="78">
        <f t="shared" si="395"/>
        <v>1243.1088602941174</v>
      </c>
      <c r="AM104" s="78">
        <f t="shared" si="395"/>
        <v>1286.3181985294118</v>
      </c>
      <c r="AN104" s="81"/>
      <c r="AO104" s="75">
        <f t="shared" si="392"/>
        <v>1114.3825735294117</v>
      </c>
      <c r="AP104" s="75">
        <f t="shared" si="393"/>
        <v>6361.857352941176</v>
      </c>
      <c r="AQ104" s="75">
        <f t="shared" si="394"/>
        <v>12584.002058823529</v>
      </c>
      <c r="AR104" s="82"/>
    </row>
    <row r="105" spans="1:44" collapsed="1"/>
    <row r="106" spans="1:44" s="69" customFormat="1">
      <c r="A106" s="65" t="s">
        <v>140</v>
      </c>
      <c r="B106" s="66" t="s">
        <v>76</v>
      </c>
      <c r="C106" s="84" t="s">
        <v>77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O106" s="68"/>
      <c r="AP106" s="68"/>
      <c r="AQ106" s="68"/>
    </row>
    <row r="107" spans="1:44" hidden="1" outlineLevel="1">
      <c r="A107" s="70" t="s">
        <v>123</v>
      </c>
      <c r="B107" s="85" t="s">
        <v>85</v>
      </c>
      <c r="C107" s="72"/>
      <c r="D107" s="77">
        <f>'0'!D10</f>
        <v>15</v>
      </c>
      <c r="E107" s="77">
        <f>'0'!E10</f>
        <v>16</v>
      </c>
      <c r="F107" s="77">
        <f>'0'!F10</f>
        <v>17</v>
      </c>
      <c r="G107" s="77">
        <f>'0'!G10</f>
        <v>18</v>
      </c>
      <c r="H107" s="77">
        <f>'0'!H10</f>
        <v>19</v>
      </c>
      <c r="I107" s="77">
        <f>'0'!I10</f>
        <v>20</v>
      </c>
      <c r="J107" s="77">
        <f>'0'!J10</f>
        <v>20</v>
      </c>
      <c r="K107" s="77">
        <f>'0'!K10</f>
        <v>22</v>
      </c>
      <c r="L107" s="77">
        <f>'0'!L10</f>
        <v>24</v>
      </c>
      <c r="M107" s="77">
        <f>'0'!M10</f>
        <v>26</v>
      </c>
      <c r="N107" s="77">
        <f>'0'!N10</f>
        <v>28</v>
      </c>
      <c r="O107" s="77">
        <f>'0'!O10</f>
        <v>30</v>
      </c>
      <c r="P107" s="77">
        <f>'0'!P10</f>
        <v>30</v>
      </c>
      <c r="Q107" s="77">
        <f>'0'!Q10</f>
        <v>30</v>
      </c>
      <c r="R107" s="77">
        <f>'0'!R10</f>
        <v>30</v>
      </c>
      <c r="S107" s="77">
        <f>'0'!S10</f>
        <v>30</v>
      </c>
      <c r="T107" s="77">
        <f>'0'!T10</f>
        <v>30</v>
      </c>
      <c r="U107" s="77">
        <f>'0'!U10</f>
        <v>30</v>
      </c>
      <c r="V107" s="77">
        <f>'0'!V10</f>
        <v>30</v>
      </c>
      <c r="W107" s="77">
        <f>'0'!W10</f>
        <v>30</v>
      </c>
      <c r="X107" s="77">
        <f>'0'!X10</f>
        <v>30</v>
      </c>
      <c r="Y107" s="77">
        <f>'0'!Y10</f>
        <v>30</v>
      </c>
      <c r="Z107" s="77">
        <f>'0'!Z10</f>
        <v>30</v>
      </c>
      <c r="AA107" s="77">
        <f>'0'!AA10</f>
        <v>30</v>
      </c>
      <c r="AB107" s="77">
        <f>'0'!AB10</f>
        <v>30</v>
      </c>
      <c r="AC107" s="77">
        <f>'0'!AC10</f>
        <v>30</v>
      </c>
      <c r="AD107" s="77">
        <f>'0'!AD10</f>
        <v>30</v>
      </c>
      <c r="AE107" s="77">
        <f>'0'!AE10</f>
        <v>30</v>
      </c>
      <c r="AF107" s="77">
        <f>'0'!AF10</f>
        <v>30</v>
      </c>
      <c r="AG107" s="77">
        <f>'0'!AG10</f>
        <v>30</v>
      </c>
      <c r="AH107" s="77">
        <f>'0'!AH10</f>
        <v>30</v>
      </c>
      <c r="AI107" s="77">
        <f>'0'!AI10</f>
        <v>30</v>
      </c>
      <c r="AJ107" s="77">
        <f>'0'!AJ10</f>
        <v>30</v>
      </c>
      <c r="AK107" s="77">
        <f>'0'!AK10</f>
        <v>30</v>
      </c>
      <c r="AL107" s="77">
        <f>'0'!AL10</f>
        <v>30</v>
      </c>
      <c r="AM107" s="77">
        <f>'0'!AM10</f>
        <v>30</v>
      </c>
      <c r="AN107" s="81"/>
      <c r="AO107" s="75">
        <f>O107</f>
        <v>30</v>
      </c>
      <c r="AP107" s="75">
        <f>AA107</f>
        <v>30</v>
      </c>
      <c r="AQ107" s="75">
        <f>AM107</f>
        <v>30</v>
      </c>
      <c r="AR107" s="82"/>
    </row>
    <row r="108" spans="1:44" hidden="1" outlineLevel="1">
      <c r="A108" s="70" t="s">
        <v>127</v>
      </c>
      <c r="B108" s="85" t="s">
        <v>85</v>
      </c>
      <c r="C108" s="72"/>
      <c r="D108" s="86">
        <v>1</v>
      </c>
      <c r="E108" s="86">
        <v>1</v>
      </c>
      <c r="F108" s="86">
        <v>1</v>
      </c>
      <c r="G108" s="86">
        <v>1</v>
      </c>
      <c r="H108" s="86">
        <v>1</v>
      </c>
      <c r="I108" s="86">
        <v>1</v>
      </c>
      <c r="J108" s="86">
        <v>1</v>
      </c>
      <c r="K108" s="86">
        <v>1</v>
      </c>
      <c r="L108" s="86">
        <v>1</v>
      </c>
      <c r="M108" s="86">
        <v>1</v>
      </c>
      <c r="N108" s="86">
        <v>1</v>
      </c>
      <c r="O108" s="86">
        <v>1</v>
      </c>
      <c r="P108" s="86">
        <v>1</v>
      </c>
      <c r="Q108" s="86">
        <v>1</v>
      </c>
      <c r="R108" s="86">
        <v>1</v>
      </c>
      <c r="S108" s="86">
        <v>1</v>
      </c>
      <c r="T108" s="86">
        <v>1</v>
      </c>
      <c r="U108" s="86">
        <v>1</v>
      </c>
      <c r="V108" s="86">
        <v>1</v>
      </c>
      <c r="W108" s="86">
        <v>1</v>
      </c>
      <c r="X108" s="86">
        <v>1</v>
      </c>
      <c r="Y108" s="86">
        <v>1</v>
      </c>
      <c r="Z108" s="86">
        <v>1</v>
      </c>
      <c r="AA108" s="86">
        <v>1</v>
      </c>
      <c r="AB108" s="86">
        <v>1</v>
      </c>
      <c r="AC108" s="86">
        <v>1</v>
      </c>
      <c r="AD108" s="86">
        <v>1</v>
      </c>
      <c r="AE108" s="86">
        <v>1</v>
      </c>
      <c r="AF108" s="86">
        <v>1</v>
      </c>
      <c r="AG108" s="86">
        <v>1</v>
      </c>
      <c r="AH108" s="86">
        <v>1</v>
      </c>
      <c r="AI108" s="86">
        <v>1</v>
      </c>
      <c r="AJ108" s="86">
        <v>1</v>
      </c>
      <c r="AK108" s="86">
        <v>1</v>
      </c>
      <c r="AL108" s="86">
        <v>1</v>
      </c>
      <c r="AM108" s="86">
        <v>1</v>
      </c>
      <c r="AN108" s="81"/>
      <c r="AO108" s="75">
        <f>AVERAGE(D108:O108)</f>
        <v>1</v>
      </c>
      <c r="AP108" s="75">
        <f>AVERAGE(P108:AA108)</f>
        <v>1</v>
      </c>
      <c r="AQ108" s="75">
        <f>AVERAGE(AB108:AM108)</f>
        <v>1</v>
      </c>
      <c r="AR108" s="82"/>
    </row>
    <row r="109" spans="1:44" hidden="1" outlineLevel="1">
      <c r="A109" s="70" t="s">
        <v>144</v>
      </c>
      <c r="B109" s="85" t="s">
        <v>85</v>
      </c>
      <c r="C109" s="72"/>
      <c r="D109" s="77">
        <f>D107*D108</f>
        <v>15</v>
      </c>
      <c r="E109" s="77">
        <f t="shared" ref="E109" si="396">E107*E108</f>
        <v>16</v>
      </c>
      <c r="F109" s="77">
        <f t="shared" ref="F109:AM109" si="397">F107*F108</f>
        <v>17</v>
      </c>
      <c r="G109" s="77">
        <f t="shared" si="397"/>
        <v>18</v>
      </c>
      <c r="H109" s="77">
        <f t="shared" si="397"/>
        <v>19</v>
      </c>
      <c r="I109" s="77">
        <f t="shared" si="397"/>
        <v>20</v>
      </c>
      <c r="J109" s="77">
        <f t="shared" si="397"/>
        <v>20</v>
      </c>
      <c r="K109" s="77">
        <f t="shared" si="397"/>
        <v>22</v>
      </c>
      <c r="L109" s="77">
        <f t="shared" si="397"/>
        <v>24</v>
      </c>
      <c r="M109" s="77">
        <f t="shared" si="397"/>
        <v>26</v>
      </c>
      <c r="N109" s="77">
        <f t="shared" si="397"/>
        <v>28</v>
      </c>
      <c r="O109" s="77">
        <f t="shared" si="397"/>
        <v>30</v>
      </c>
      <c r="P109" s="77">
        <f t="shared" si="397"/>
        <v>30</v>
      </c>
      <c r="Q109" s="77">
        <f t="shared" si="397"/>
        <v>30</v>
      </c>
      <c r="R109" s="77">
        <f t="shared" si="397"/>
        <v>30</v>
      </c>
      <c r="S109" s="77">
        <f t="shared" si="397"/>
        <v>30</v>
      </c>
      <c r="T109" s="77">
        <f t="shared" si="397"/>
        <v>30</v>
      </c>
      <c r="U109" s="77">
        <f t="shared" si="397"/>
        <v>30</v>
      </c>
      <c r="V109" s="77">
        <f t="shared" si="397"/>
        <v>30</v>
      </c>
      <c r="W109" s="77">
        <f t="shared" si="397"/>
        <v>30</v>
      </c>
      <c r="X109" s="77">
        <f t="shared" si="397"/>
        <v>30</v>
      </c>
      <c r="Y109" s="77">
        <f t="shared" si="397"/>
        <v>30</v>
      </c>
      <c r="Z109" s="77">
        <f t="shared" si="397"/>
        <v>30</v>
      </c>
      <c r="AA109" s="77">
        <f t="shared" si="397"/>
        <v>30</v>
      </c>
      <c r="AB109" s="77">
        <f t="shared" si="397"/>
        <v>30</v>
      </c>
      <c r="AC109" s="77">
        <f t="shared" si="397"/>
        <v>30</v>
      </c>
      <c r="AD109" s="77">
        <f t="shared" si="397"/>
        <v>30</v>
      </c>
      <c r="AE109" s="77">
        <f t="shared" si="397"/>
        <v>30</v>
      </c>
      <c r="AF109" s="77">
        <f t="shared" si="397"/>
        <v>30</v>
      </c>
      <c r="AG109" s="77">
        <f t="shared" si="397"/>
        <v>30</v>
      </c>
      <c r="AH109" s="77">
        <f t="shared" si="397"/>
        <v>30</v>
      </c>
      <c r="AI109" s="77">
        <f t="shared" si="397"/>
        <v>30</v>
      </c>
      <c r="AJ109" s="77">
        <f t="shared" si="397"/>
        <v>30</v>
      </c>
      <c r="AK109" s="77">
        <f t="shared" si="397"/>
        <v>30</v>
      </c>
      <c r="AL109" s="77">
        <f t="shared" si="397"/>
        <v>30</v>
      </c>
      <c r="AM109" s="77">
        <f t="shared" si="397"/>
        <v>30</v>
      </c>
      <c r="AN109" s="81"/>
      <c r="AO109" s="75">
        <f t="shared" ref="AO109" si="398">SUM(D109:O109)</f>
        <v>255</v>
      </c>
      <c r="AP109" s="75">
        <f t="shared" ref="AP109" si="399">SUM(P109:AA109)</f>
        <v>360</v>
      </c>
      <c r="AQ109" s="75">
        <f t="shared" ref="AQ109" si="400">SUM(AB109:AM109)</f>
        <v>360</v>
      </c>
      <c r="AR109" s="82"/>
    </row>
    <row r="110" spans="1:44" hidden="1" outlineLevel="1">
      <c r="A110" s="70" t="s">
        <v>141</v>
      </c>
      <c r="B110" s="71" t="s">
        <v>78</v>
      </c>
      <c r="C110" s="72"/>
      <c r="D110" s="86">
        <v>100</v>
      </c>
      <c r="E110" s="86">
        <v>100</v>
      </c>
      <c r="F110" s="86">
        <v>100</v>
      </c>
      <c r="G110" s="86">
        <v>100</v>
      </c>
      <c r="H110" s="86">
        <v>100</v>
      </c>
      <c r="I110" s="86">
        <v>100</v>
      </c>
      <c r="J110" s="86">
        <v>100</v>
      </c>
      <c r="K110" s="86">
        <v>100</v>
      </c>
      <c r="L110" s="86">
        <v>100</v>
      </c>
      <c r="M110" s="86">
        <v>100</v>
      </c>
      <c r="N110" s="86">
        <v>100</v>
      </c>
      <c r="O110" s="86">
        <v>100</v>
      </c>
      <c r="P110" s="86">
        <v>100</v>
      </c>
      <c r="Q110" s="86">
        <v>100</v>
      </c>
      <c r="R110" s="86">
        <v>100</v>
      </c>
      <c r="S110" s="86">
        <v>100</v>
      </c>
      <c r="T110" s="86">
        <v>100</v>
      </c>
      <c r="U110" s="86">
        <v>100</v>
      </c>
      <c r="V110" s="86">
        <v>100</v>
      </c>
      <c r="W110" s="86">
        <v>100</v>
      </c>
      <c r="X110" s="86">
        <v>100</v>
      </c>
      <c r="Y110" s="86">
        <v>100</v>
      </c>
      <c r="Z110" s="86">
        <v>100</v>
      </c>
      <c r="AA110" s="86">
        <v>100</v>
      </c>
      <c r="AB110" s="86">
        <v>100</v>
      </c>
      <c r="AC110" s="86">
        <v>100</v>
      </c>
      <c r="AD110" s="86">
        <v>100</v>
      </c>
      <c r="AE110" s="86">
        <v>100</v>
      </c>
      <c r="AF110" s="86">
        <v>100</v>
      </c>
      <c r="AG110" s="86">
        <v>100</v>
      </c>
      <c r="AH110" s="86">
        <v>100</v>
      </c>
      <c r="AI110" s="86">
        <v>100</v>
      </c>
      <c r="AJ110" s="86">
        <v>100</v>
      </c>
      <c r="AK110" s="86">
        <v>100</v>
      </c>
      <c r="AL110" s="86">
        <v>100</v>
      </c>
      <c r="AM110" s="86">
        <v>100</v>
      </c>
      <c r="AN110" s="81"/>
      <c r="AO110" s="75">
        <f>AVERAGE(D110:O110)</f>
        <v>100</v>
      </c>
      <c r="AP110" s="75">
        <f>AVERAGE(P110:AA110)</f>
        <v>100</v>
      </c>
      <c r="AQ110" s="75">
        <f>AVERAGE(AB110:AM110)</f>
        <v>100</v>
      </c>
      <c r="AR110" s="82"/>
    </row>
    <row r="111" spans="1:44" hidden="1" outlineLevel="1">
      <c r="A111" s="70" t="s">
        <v>142</v>
      </c>
      <c r="B111" s="71" t="s">
        <v>78</v>
      </c>
      <c r="C111" s="72"/>
      <c r="D111" s="77">
        <f>D109*D110</f>
        <v>1500</v>
      </c>
      <c r="E111" s="77">
        <f>E109*E110</f>
        <v>1600</v>
      </c>
      <c r="F111" s="77">
        <f t="shared" ref="F111:AM111" si="401">F109*F110</f>
        <v>1700</v>
      </c>
      <c r="G111" s="77">
        <f t="shared" si="401"/>
        <v>1800</v>
      </c>
      <c r="H111" s="77">
        <f t="shared" si="401"/>
        <v>1900</v>
      </c>
      <c r="I111" s="77">
        <f t="shared" si="401"/>
        <v>2000</v>
      </c>
      <c r="J111" s="77">
        <f t="shared" si="401"/>
        <v>2000</v>
      </c>
      <c r="K111" s="77">
        <f t="shared" si="401"/>
        <v>2200</v>
      </c>
      <c r="L111" s="77">
        <f t="shared" si="401"/>
        <v>2400</v>
      </c>
      <c r="M111" s="77">
        <f t="shared" si="401"/>
        <v>2600</v>
      </c>
      <c r="N111" s="77">
        <f t="shared" si="401"/>
        <v>2800</v>
      </c>
      <c r="O111" s="77">
        <f t="shared" si="401"/>
        <v>3000</v>
      </c>
      <c r="P111" s="77">
        <f t="shared" si="401"/>
        <v>3000</v>
      </c>
      <c r="Q111" s="77">
        <f t="shared" si="401"/>
        <v>3000</v>
      </c>
      <c r="R111" s="77">
        <f t="shared" si="401"/>
        <v>3000</v>
      </c>
      <c r="S111" s="77">
        <f t="shared" si="401"/>
        <v>3000</v>
      </c>
      <c r="T111" s="77">
        <f t="shared" si="401"/>
        <v>3000</v>
      </c>
      <c r="U111" s="77">
        <f t="shared" si="401"/>
        <v>3000</v>
      </c>
      <c r="V111" s="77">
        <f t="shared" si="401"/>
        <v>3000</v>
      </c>
      <c r="W111" s="77">
        <f t="shared" si="401"/>
        <v>3000</v>
      </c>
      <c r="X111" s="77">
        <f t="shared" si="401"/>
        <v>3000</v>
      </c>
      <c r="Y111" s="77">
        <f t="shared" si="401"/>
        <v>3000</v>
      </c>
      <c r="Z111" s="77">
        <f t="shared" si="401"/>
        <v>3000</v>
      </c>
      <c r="AA111" s="77">
        <f t="shared" si="401"/>
        <v>3000</v>
      </c>
      <c r="AB111" s="77">
        <f t="shared" si="401"/>
        <v>3000</v>
      </c>
      <c r="AC111" s="77">
        <f t="shared" si="401"/>
        <v>3000</v>
      </c>
      <c r="AD111" s="77">
        <f t="shared" si="401"/>
        <v>3000</v>
      </c>
      <c r="AE111" s="77">
        <f t="shared" si="401"/>
        <v>3000</v>
      </c>
      <c r="AF111" s="77">
        <f t="shared" si="401"/>
        <v>3000</v>
      </c>
      <c r="AG111" s="77">
        <f t="shared" si="401"/>
        <v>3000</v>
      </c>
      <c r="AH111" s="77">
        <f t="shared" si="401"/>
        <v>3000</v>
      </c>
      <c r="AI111" s="77">
        <f t="shared" si="401"/>
        <v>3000</v>
      </c>
      <c r="AJ111" s="77">
        <f t="shared" si="401"/>
        <v>3000</v>
      </c>
      <c r="AK111" s="77">
        <f t="shared" si="401"/>
        <v>3000</v>
      </c>
      <c r="AL111" s="77">
        <f t="shared" si="401"/>
        <v>3000</v>
      </c>
      <c r="AM111" s="77">
        <f t="shared" si="401"/>
        <v>3000</v>
      </c>
      <c r="AN111" s="81"/>
      <c r="AO111" s="75">
        <f t="shared" ref="AO111" si="402">SUM(D111:O111)</f>
        <v>25500</v>
      </c>
      <c r="AP111" s="75">
        <f t="shared" ref="AP111" si="403">SUM(P111:AA111)</f>
        <v>36000</v>
      </c>
      <c r="AQ111" s="75">
        <f t="shared" ref="AQ111" si="404">SUM(AB111:AM111)</f>
        <v>36000</v>
      </c>
      <c r="AR111" s="82"/>
    </row>
    <row r="112" spans="1:44" hidden="1" outlineLevel="1">
      <c r="A112" s="70" t="s">
        <v>115</v>
      </c>
      <c r="B112" s="72" t="s">
        <v>79</v>
      </c>
      <c r="C112" s="72"/>
      <c r="D112" s="92">
        <v>0.01</v>
      </c>
      <c r="E112" s="92">
        <v>0.01</v>
      </c>
      <c r="F112" s="92">
        <v>0.01</v>
      </c>
      <c r="G112" s="92">
        <v>0.01</v>
      </c>
      <c r="H112" s="92">
        <v>0.01</v>
      </c>
      <c r="I112" s="92">
        <v>0.01</v>
      </c>
      <c r="J112" s="92">
        <v>0.01</v>
      </c>
      <c r="K112" s="92">
        <v>0.01</v>
      </c>
      <c r="L112" s="92">
        <v>0.01</v>
      </c>
      <c r="M112" s="92">
        <v>0.01</v>
      </c>
      <c r="N112" s="92">
        <v>0.01</v>
      </c>
      <c r="O112" s="92">
        <v>0.01</v>
      </c>
      <c r="P112" s="92">
        <v>0.01</v>
      </c>
      <c r="Q112" s="92">
        <v>0.01</v>
      </c>
      <c r="R112" s="92">
        <v>0.01</v>
      </c>
      <c r="S112" s="92">
        <v>0.01</v>
      </c>
      <c r="T112" s="92">
        <v>0.01</v>
      </c>
      <c r="U112" s="92">
        <v>0.01</v>
      </c>
      <c r="V112" s="92">
        <v>0.01</v>
      </c>
      <c r="W112" s="92">
        <v>0.01</v>
      </c>
      <c r="X112" s="92">
        <v>0.01</v>
      </c>
      <c r="Y112" s="92">
        <v>0.01</v>
      </c>
      <c r="Z112" s="92">
        <v>0.01</v>
      </c>
      <c r="AA112" s="92">
        <v>0.01</v>
      </c>
      <c r="AB112" s="92">
        <v>0.01</v>
      </c>
      <c r="AC112" s="92">
        <v>0.01</v>
      </c>
      <c r="AD112" s="92">
        <v>0.01</v>
      </c>
      <c r="AE112" s="92">
        <v>0.01</v>
      </c>
      <c r="AF112" s="92">
        <v>0.01</v>
      </c>
      <c r="AG112" s="92">
        <v>0.01</v>
      </c>
      <c r="AH112" s="92">
        <v>0.01</v>
      </c>
      <c r="AI112" s="92">
        <v>0.01</v>
      </c>
      <c r="AJ112" s="92">
        <v>0.01</v>
      </c>
      <c r="AK112" s="92">
        <v>0.01</v>
      </c>
      <c r="AL112" s="92">
        <v>0.01</v>
      </c>
      <c r="AM112" s="92">
        <v>0.01</v>
      </c>
      <c r="AN112" s="81"/>
      <c r="AO112" s="93">
        <f t="shared" ref="AO112" si="405">AVERAGE(D112:O112)</f>
        <v>9.9999999999999985E-3</v>
      </c>
      <c r="AP112" s="93">
        <f t="shared" ref="AP112" si="406">AVERAGE(P112:AA112)</f>
        <v>9.9999999999999985E-3</v>
      </c>
      <c r="AQ112" s="93">
        <f t="shared" ref="AQ112" si="407">AVERAGE(AB112:AM112)</f>
        <v>9.9999999999999985E-3</v>
      </c>
      <c r="AR112" s="82"/>
    </row>
    <row r="113" spans="1:44" s="69" customFormat="1" hidden="1" outlineLevel="1">
      <c r="A113" s="70" t="s">
        <v>100</v>
      </c>
      <c r="B113" s="71" t="s">
        <v>79</v>
      </c>
      <c r="C113" s="72"/>
      <c r="D113" s="92">
        <v>0.01</v>
      </c>
      <c r="E113" s="92">
        <v>0.01</v>
      </c>
      <c r="F113" s="92">
        <v>0.01</v>
      </c>
      <c r="G113" s="92">
        <v>0.01</v>
      </c>
      <c r="H113" s="92">
        <v>0.01</v>
      </c>
      <c r="I113" s="92">
        <v>0.01</v>
      </c>
      <c r="J113" s="92">
        <v>0.01</v>
      </c>
      <c r="K113" s="92">
        <v>0.01</v>
      </c>
      <c r="L113" s="92">
        <v>0.01</v>
      </c>
      <c r="M113" s="92">
        <v>0.01</v>
      </c>
      <c r="N113" s="92">
        <v>0.01</v>
      </c>
      <c r="O113" s="92">
        <v>0.01</v>
      </c>
      <c r="P113" s="92">
        <v>0.01</v>
      </c>
      <c r="Q113" s="92">
        <v>0.01</v>
      </c>
      <c r="R113" s="92">
        <v>0.01</v>
      </c>
      <c r="S113" s="92">
        <v>0.01</v>
      </c>
      <c r="T113" s="92">
        <v>0.01</v>
      </c>
      <c r="U113" s="92">
        <v>0.01</v>
      </c>
      <c r="V113" s="92">
        <v>0.01</v>
      </c>
      <c r="W113" s="92">
        <v>0.01</v>
      </c>
      <c r="X113" s="92">
        <v>0.01</v>
      </c>
      <c r="Y113" s="92">
        <v>0.01</v>
      </c>
      <c r="Z113" s="92">
        <v>0.01</v>
      </c>
      <c r="AA113" s="92">
        <v>0.01</v>
      </c>
      <c r="AB113" s="92">
        <v>0.01</v>
      </c>
      <c r="AC113" s="92">
        <v>0.01</v>
      </c>
      <c r="AD113" s="92">
        <v>0.01</v>
      </c>
      <c r="AE113" s="92">
        <v>0.01</v>
      </c>
      <c r="AF113" s="92">
        <v>0.01</v>
      </c>
      <c r="AG113" s="92">
        <v>0.01</v>
      </c>
      <c r="AH113" s="92">
        <v>0.01</v>
      </c>
      <c r="AI113" s="92">
        <v>0.01</v>
      </c>
      <c r="AJ113" s="92">
        <v>0.01</v>
      </c>
      <c r="AK113" s="92">
        <v>0.01</v>
      </c>
      <c r="AL113" s="92">
        <v>0.01</v>
      </c>
      <c r="AM113" s="92">
        <v>0.01</v>
      </c>
      <c r="AN113" s="74"/>
      <c r="AO113" s="93">
        <f>AVERAGE(D113:O113)</f>
        <v>9.9999999999999985E-3</v>
      </c>
      <c r="AP113" s="93">
        <f>AVERAGE(P113:AA113)</f>
        <v>9.9999999999999985E-3</v>
      </c>
      <c r="AQ113" s="93">
        <f>AVERAGE(AB113:AM113)</f>
        <v>9.9999999999999985E-3</v>
      </c>
      <c r="AR113" s="76"/>
    </row>
    <row r="114" spans="1:44" s="69" customFormat="1" hidden="1" outlineLevel="1">
      <c r="A114" s="70" t="s">
        <v>99</v>
      </c>
      <c r="B114" s="71" t="s">
        <v>79</v>
      </c>
      <c r="C114" s="72"/>
      <c r="D114" s="92">
        <v>0.01</v>
      </c>
      <c r="E114" s="92">
        <v>0.01</v>
      </c>
      <c r="F114" s="92">
        <v>0.01</v>
      </c>
      <c r="G114" s="92">
        <v>0.01</v>
      </c>
      <c r="H114" s="92">
        <v>0.01</v>
      </c>
      <c r="I114" s="92">
        <v>0.01</v>
      </c>
      <c r="J114" s="92">
        <v>0.01</v>
      </c>
      <c r="K114" s="92">
        <v>0.01</v>
      </c>
      <c r="L114" s="92">
        <v>0.01</v>
      </c>
      <c r="M114" s="92">
        <v>0.01</v>
      </c>
      <c r="N114" s="92">
        <v>0.01</v>
      </c>
      <c r="O114" s="92">
        <v>0.01</v>
      </c>
      <c r="P114" s="92">
        <v>0.01</v>
      </c>
      <c r="Q114" s="92">
        <v>0.01</v>
      </c>
      <c r="R114" s="92">
        <v>0.01</v>
      </c>
      <c r="S114" s="92">
        <v>0.01</v>
      </c>
      <c r="T114" s="92">
        <v>0.01</v>
      </c>
      <c r="U114" s="92">
        <v>0.01</v>
      </c>
      <c r="V114" s="92">
        <v>0.01</v>
      </c>
      <c r="W114" s="92">
        <v>0.01</v>
      </c>
      <c r="X114" s="92">
        <v>0.01</v>
      </c>
      <c r="Y114" s="92">
        <v>0.01</v>
      </c>
      <c r="Z114" s="92">
        <v>0.01</v>
      </c>
      <c r="AA114" s="92">
        <v>0.01</v>
      </c>
      <c r="AB114" s="92">
        <v>0.01</v>
      </c>
      <c r="AC114" s="92">
        <v>0.01</v>
      </c>
      <c r="AD114" s="92">
        <v>0.01</v>
      </c>
      <c r="AE114" s="92">
        <v>0.01</v>
      </c>
      <c r="AF114" s="92">
        <v>0.01</v>
      </c>
      <c r="AG114" s="92">
        <v>0.01</v>
      </c>
      <c r="AH114" s="92">
        <v>0.01</v>
      </c>
      <c r="AI114" s="92">
        <v>0.01</v>
      </c>
      <c r="AJ114" s="92">
        <v>0.01</v>
      </c>
      <c r="AK114" s="92">
        <v>0.01</v>
      </c>
      <c r="AL114" s="92">
        <v>0.01</v>
      </c>
      <c r="AM114" s="92">
        <v>0.01</v>
      </c>
      <c r="AN114" s="74"/>
      <c r="AO114" s="93">
        <f>AVERAGE(D114:O114)</f>
        <v>9.9999999999999985E-3</v>
      </c>
      <c r="AP114" s="93">
        <f>AVERAGE(P114:AA114)</f>
        <v>9.9999999999999985E-3</v>
      </c>
      <c r="AQ114" s="93">
        <f>AVERAGE(AB114:AM114)</f>
        <v>9.9999999999999985E-3</v>
      </c>
      <c r="AR114" s="76"/>
    </row>
    <row r="115" spans="1:44" hidden="1" outlineLevel="1">
      <c r="A115" s="70" t="s">
        <v>93</v>
      </c>
      <c r="B115" s="71" t="s">
        <v>78</v>
      </c>
      <c r="C115" s="72"/>
      <c r="D115" s="78">
        <f>-D111*D112</f>
        <v>-15</v>
      </c>
      <c r="E115" s="78">
        <f>-E111*E112+D111*D112</f>
        <v>-1</v>
      </c>
      <c r="F115" s="78">
        <f t="shared" ref="F115:AM115" si="408">-F111*F112+E111*E112</f>
        <v>-1</v>
      </c>
      <c r="G115" s="78">
        <f t="shared" si="408"/>
        <v>-1</v>
      </c>
      <c r="H115" s="78">
        <f t="shared" si="408"/>
        <v>-1</v>
      </c>
      <c r="I115" s="78">
        <f t="shared" si="408"/>
        <v>-1</v>
      </c>
      <c r="J115" s="78">
        <f t="shared" si="408"/>
        <v>0</v>
      </c>
      <c r="K115" s="78">
        <f t="shared" si="408"/>
        <v>-2</v>
      </c>
      <c r="L115" s="78">
        <f t="shared" si="408"/>
        <v>-2</v>
      </c>
      <c r="M115" s="78">
        <f t="shared" si="408"/>
        <v>-2</v>
      </c>
      <c r="N115" s="78">
        <f t="shared" si="408"/>
        <v>-2</v>
      </c>
      <c r="O115" s="78">
        <f t="shared" si="408"/>
        <v>-2</v>
      </c>
      <c r="P115" s="78">
        <f t="shared" si="408"/>
        <v>0</v>
      </c>
      <c r="Q115" s="78">
        <f t="shared" si="408"/>
        <v>0</v>
      </c>
      <c r="R115" s="78">
        <f t="shared" si="408"/>
        <v>0</v>
      </c>
      <c r="S115" s="78">
        <f t="shared" si="408"/>
        <v>0</v>
      </c>
      <c r="T115" s="78">
        <f t="shared" si="408"/>
        <v>0</v>
      </c>
      <c r="U115" s="78">
        <f t="shared" si="408"/>
        <v>0</v>
      </c>
      <c r="V115" s="78">
        <f t="shared" si="408"/>
        <v>0</v>
      </c>
      <c r="W115" s="78">
        <f t="shared" si="408"/>
        <v>0</v>
      </c>
      <c r="X115" s="78">
        <f t="shared" si="408"/>
        <v>0</v>
      </c>
      <c r="Y115" s="78">
        <f t="shared" si="408"/>
        <v>0</v>
      </c>
      <c r="Z115" s="78">
        <f t="shared" si="408"/>
        <v>0</v>
      </c>
      <c r="AA115" s="78">
        <f t="shared" si="408"/>
        <v>0</v>
      </c>
      <c r="AB115" s="78">
        <f t="shared" si="408"/>
        <v>0</v>
      </c>
      <c r="AC115" s="78">
        <f t="shared" si="408"/>
        <v>0</v>
      </c>
      <c r="AD115" s="78">
        <f t="shared" si="408"/>
        <v>0</v>
      </c>
      <c r="AE115" s="78">
        <f t="shared" si="408"/>
        <v>0</v>
      </c>
      <c r="AF115" s="78">
        <f t="shared" si="408"/>
        <v>0</v>
      </c>
      <c r="AG115" s="78">
        <f t="shared" si="408"/>
        <v>0</v>
      </c>
      <c r="AH115" s="78">
        <f t="shared" si="408"/>
        <v>0</v>
      </c>
      <c r="AI115" s="78">
        <f t="shared" si="408"/>
        <v>0</v>
      </c>
      <c r="AJ115" s="78">
        <f t="shared" si="408"/>
        <v>0</v>
      </c>
      <c r="AK115" s="78">
        <f t="shared" si="408"/>
        <v>0</v>
      </c>
      <c r="AL115" s="78">
        <f t="shared" si="408"/>
        <v>0</v>
      </c>
      <c r="AM115" s="78">
        <f t="shared" si="408"/>
        <v>0</v>
      </c>
      <c r="AN115" s="81"/>
      <c r="AO115" s="75">
        <f>SUM(D115:O115)</f>
        <v>-30</v>
      </c>
      <c r="AP115" s="75">
        <f>SUM(P115:AA115)</f>
        <v>0</v>
      </c>
      <c r="AQ115" s="75">
        <f>SUM(AB115:AM115)</f>
        <v>0</v>
      </c>
      <c r="AR115" s="82"/>
    </row>
    <row r="116" spans="1:44" hidden="1" outlineLevel="1">
      <c r="A116" s="70" t="s">
        <v>97</v>
      </c>
      <c r="B116" s="71" t="s">
        <v>78</v>
      </c>
      <c r="C116" s="72"/>
      <c r="D116" s="73">
        <f>D113*D111*(1-2/102)</f>
        <v>14.705882352941176</v>
      </c>
      <c r="E116" s="73">
        <f>E113*E111*(1-2/102)</f>
        <v>15.686274509803921</v>
      </c>
      <c r="F116" s="73">
        <f t="shared" ref="F116:AM116" si="409">F113*F111*(1-2/102)</f>
        <v>16.666666666666664</v>
      </c>
      <c r="G116" s="73">
        <f t="shared" si="409"/>
        <v>17.647058823529409</v>
      </c>
      <c r="H116" s="73">
        <f t="shared" si="409"/>
        <v>18.627450980392155</v>
      </c>
      <c r="I116" s="73">
        <f t="shared" si="409"/>
        <v>19.6078431372549</v>
      </c>
      <c r="J116" s="73">
        <f t="shared" si="409"/>
        <v>19.6078431372549</v>
      </c>
      <c r="K116" s="73">
        <f t="shared" si="409"/>
        <v>21.56862745098039</v>
      </c>
      <c r="L116" s="73">
        <f t="shared" si="409"/>
        <v>23.52941176470588</v>
      </c>
      <c r="M116" s="73">
        <f t="shared" si="409"/>
        <v>25.490196078431371</v>
      </c>
      <c r="N116" s="73">
        <f t="shared" si="409"/>
        <v>27.450980392156861</v>
      </c>
      <c r="O116" s="73">
        <f t="shared" si="409"/>
        <v>29.411764705882351</v>
      </c>
      <c r="P116" s="73">
        <f t="shared" si="409"/>
        <v>29.411764705882351</v>
      </c>
      <c r="Q116" s="73">
        <f t="shared" si="409"/>
        <v>29.411764705882351</v>
      </c>
      <c r="R116" s="73">
        <f t="shared" si="409"/>
        <v>29.411764705882351</v>
      </c>
      <c r="S116" s="73">
        <f t="shared" si="409"/>
        <v>29.411764705882351</v>
      </c>
      <c r="T116" s="73">
        <f t="shared" si="409"/>
        <v>29.411764705882351</v>
      </c>
      <c r="U116" s="73">
        <f t="shared" si="409"/>
        <v>29.411764705882351</v>
      </c>
      <c r="V116" s="73">
        <f t="shared" si="409"/>
        <v>29.411764705882351</v>
      </c>
      <c r="W116" s="73">
        <f t="shared" si="409"/>
        <v>29.411764705882351</v>
      </c>
      <c r="X116" s="73">
        <f t="shared" si="409"/>
        <v>29.411764705882351</v>
      </c>
      <c r="Y116" s="73">
        <f t="shared" si="409"/>
        <v>29.411764705882351</v>
      </c>
      <c r="Z116" s="73">
        <f t="shared" si="409"/>
        <v>29.411764705882351</v>
      </c>
      <c r="AA116" s="73">
        <f t="shared" si="409"/>
        <v>29.411764705882351</v>
      </c>
      <c r="AB116" s="73">
        <f t="shared" si="409"/>
        <v>29.411764705882351</v>
      </c>
      <c r="AC116" s="73">
        <f t="shared" si="409"/>
        <v>29.411764705882351</v>
      </c>
      <c r="AD116" s="73">
        <f t="shared" si="409"/>
        <v>29.411764705882351</v>
      </c>
      <c r="AE116" s="73">
        <f t="shared" si="409"/>
        <v>29.411764705882351</v>
      </c>
      <c r="AF116" s="73">
        <f t="shared" si="409"/>
        <v>29.411764705882351</v>
      </c>
      <c r="AG116" s="73">
        <f t="shared" si="409"/>
        <v>29.411764705882351</v>
      </c>
      <c r="AH116" s="73">
        <f t="shared" si="409"/>
        <v>29.411764705882351</v>
      </c>
      <c r="AI116" s="73">
        <f t="shared" si="409"/>
        <v>29.411764705882351</v>
      </c>
      <c r="AJ116" s="73">
        <f t="shared" si="409"/>
        <v>29.411764705882351</v>
      </c>
      <c r="AK116" s="73">
        <f t="shared" si="409"/>
        <v>29.411764705882351</v>
      </c>
      <c r="AL116" s="73">
        <f t="shared" si="409"/>
        <v>29.411764705882351</v>
      </c>
      <c r="AM116" s="73">
        <f t="shared" si="409"/>
        <v>29.411764705882351</v>
      </c>
      <c r="AN116" s="81"/>
      <c r="AO116" s="75">
        <f>SUM(D116:O116)</f>
        <v>250</v>
      </c>
      <c r="AP116" s="75">
        <f>SUM(P116:AA116)</f>
        <v>352.94117647058829</v>
      </c>
      <c r="AQ116" s="75">
        <f>SUM(AB116:AM116)</f>
        <v>352.94117647058829</v>
      </c>
      <c r="AR116" s="82"/>
    </row>
    <row r="117" spans="1:44" hidden="1" outlineLevel="1">
      <c r="A117" s="70" t="s">
        <v>143</v>
      </c>
      <c r="B117" s="71" t="s">
        <v>78</v>
      </c>
      <c r="D117" s="99">
        <f>-D116*D114</f>
        <v>-0.14705882352941177</v>
      </c>
      <c r="E117" s="99">
        <f t="shared" ref="E117" si="410">-E116*E114</f>
        <v>-0.15686274509803921</v>
      </c>
      <c r="F117" s="99">
        <f t="shared" ref="F117:AM117" si="411">-F116*F114</f>
        <v>-0.16666666666666666</v>
      </c>
      <c r="G117" s="99">
        <f t="shared" si="411"/>
        <v>-0.1764705882352941</v>
      </c>
      <c r="H117" s="99">
        <f t="shared" si="411"/>
        <v>-0.18627450980392155</v>
      </c>
      <c r="I117" s="99">
        <f t="shared" si="411"/>
        <v>-0.19607843137254899</v>
      </c>
      <c r="J117" s="99">
        <f t="shared" si="411"/>
        <v>-0.19607843137254899</v>
      </c>
      <c r="K117" s="99">
        <f t="shared" si="411"/>
        <v>-0.2156862745098039</v>
      </c>
      <c r="L117" s="99">
        <f t="shared" si="411"/>
        <v>-0.23529411764705882</v>
      </c>
      <c r="M117" s="99">
        <f t="shared" si="411"/>
        <v>-0.25490196078431371</v>
      </c>
      <c r="N117" s="99">
        <f t="shared" si="411"/>
        <v>-0.2745098039215686</v>
      </c>
      <c r="O117" s="99">
        <f t="shared" si="411"/>
        <v>-0.29411764705882354</v>
      </c>
      <c r="P117" s="99">
        <f t="shared" si="411"/>
        <v>-0.29411764705882354</v>
      </c>
      <c r="Q117" s="99">
        <f t="shared" si="411"/>
        <v>-0.29411764705882354</v>
      </c>
      <c r="R117" s="99">
        <f t="shared" si="411"/>
        <v>-0.29411764705882354</v>
      </c>
      <c r="S117" s="99">
        <f t="shared" si="411"/>
        <v>-0.29411764705882354</v>
      </c>
      <c r="T117" s="99">
        <f t="shared" si="411"/>
        <v>-0.29411764705882354</v>
      </c>
      <c r="U117" s="99">
        <f t="shared" si="411"/>
        <v>-0.29411764705882354</v>
      </c>
      <c r="V117" s="99">
        <f t="shared" si="411"/>
        <v>-0.29411764705882354</v>
      </c>
      <c r="W117" s="99">
        <f t="shared" si="411"/>
        <v>-0.29411764705882354</v>
      </c>
      <c r="X117" s="99">
        <f t="shared" si="411"/>
        <v>-0.29411764705882354</v>
      </c>
      <c r="Y117" s="99">
        <f t="shared" si="411"/>
        <v>-0.29411764705882354</v>
      </c>
      <c r="Z117" s="99">
        <f t="shared" si="411"/>
        <v>-0.29411764705882354</v>
      </c>
      <c r="AA117" s="99">
        <f t="shared" si="411"/>
        <v>-0.29411764705882354</v>
      </c>
      <c r="AB117" s="99">
        <f t="shared" si="411"/>
        <v>-0.29411764705882354</v>
      </c>
      <c r="AC117" s="99">
        <f t="shared" si="411"/>
        <v>-0.29411764705882354</v>
      </c>
      <c r="AD117" s="99">
        <f t="shared" si="411"/>
        <v>-0.29411764705882354</v>
      </c>
      <c r="AE117" s="99">
        <f t="shared" si="411"/>
        <v>-0.29411764705882354</v>
      </c>
      <c r="AF117" s="99">
        <f t="shared" si="411"/>
        <v>-0.29411764705882354</v>
      </c>
      <c r="AG117" s="99">
        <f t="shared" si="411"/>
        <v>-0.29411764705882354</v>
      </c>
      <c r="AH117" s="99">
        <f t="shared" si="411"/>
        <v>-0.29411764705882354</v>
      </c>
      <c r="AI117" s="99">
        <f t="shared" si="411"/>
        <v>-0.29411764705882354</v>
      </c>
      <c r="AJ117" s="99">
        <f t="shared" si="411"/>
        <v>-0.29411764705882354</v>
      </c>
      <c r="AK117" s="99">
        <f t="shared" si="411"/>
        <v>-0.29411764705882354</v>
      </c>
      <c r="AL117" s="99">
        <f t="shared" si="411"/>
        <v>-0.29411764705882354</v>
      </c>
      <c r="AM117" s="99">
        <f t="shared" si="411"/>
        <v>-0.29411764705882354</v>
      </c>
      <c r="AO117" s="75">
        <f t="shared" ref="AO117:AO118" si="412">SUM(D117:O117)</f>
        <v>-2.4999999999999996</v>
      </c>
      <c r="AP117" s="75">
        <f t="shared" ref="AP117:AP118" si="413">SUM(P117:AA117)</f>
        <v>-3.5294117647058818</v>
      </c>
      <c r="AQ117" s="75">
        <f t="shared" ref="AQ117:AQ118" si="414">SUM(AB117:AM117)</f>
        <v>-3.5294117647058818</v>
      </c>
    </row>
    <row r="118" spans="1:44" hidden="1" outlineLevel="1">
      <c r="A118" s="70" t="s">
        <v>122</v>
      </c>
      <c r="B118" s="71" t="s">
        <v>78</v>
      </c>
      <c r="D118" s="100">
        <f>SUM(D115:D117)</f>
        <v>-0.44117647058823606</v>
      </c>
      <c r="E118" s="100">
        <f t="shared" ref="E118" si="415">SUM(E115:E117)</f>
        <v>14.529411764705882</v>
      </c>
      <c r="F118" s="100">
        <f t="shared" ref="F118" si="416">SUM(F115:F117)</f>
        <v>15.499999999999998</v>
      </c>
      <c r="G118" s="100">
        <f t="shared" ref="G118" si="417">SUM(G115:G117)</f>
        <v>16.470588235294116</v>
      </c>
      <c r="H118" s="100">
        <f t="shared" ref="H118" si="418">SUM(H115:H117)</f>
        <v>17.441176470588232</v>
      </c>
      <c r="I118" s="100">
        <f t="shared" ref="I118" si="419">SUM(I115:I117)</f>
        <v>18.411764705882351</v>
      </c>
      <c r="J118" s="100">
        <f t="shared" ref="J118" si="420">SUM(J115:J117)</f>
        <v>19.411764705882351</v>
      </c>
      <c r="K118" s="100">
        <f t="shared" ref="K118" si="421">SUM(K115:K117)</f>
        <v>19.352941176470587</v>
      </c>
      <c r="L118" s="100">
        <f t="shared" ref="L118" si="422">SUM(L115:L117)</f>
        <v>21.294117647058822</v>
      </c>
      <c r="M118" s="100">
        <f t="shared" ref="M118" si="423">SUM(M115:M117)</f>
        <v>23.235294117647058</v>
      </c>
      <c r="N118" s="100">
        <f t="shared" ref="N118" si="424">SUM(N115:N117)</f>
        <v>25.176470588235293</v>
      </c>
      <c r="O118" s="100">
        <f t="shared" ref="O118" si="425">SUM(O115:O117)</f>
        <v>27.117647058823529</v>
      </c>
      <c r="P118" s="100">
        <f t="shared" ref="P118" si="426">SUM(P115:P117)</f>
        <v>29.117647058823529</v>
      </c>
      <c r="Q118" s="100">
        <f t="shared" ref="Q118" si="427">SUM(Q115:Q117)</f>
        <v>29.117647058823529</v>
      </c>
      <c r="R118" s="100">
        <f t="shared" ref="R118" si="428">SUM(R115:R117)</f>
        <v>29.117647058823529</v>
      </c>
      <c r="S118" s="100">
        <f t="shared" ref="S118" si="429">SUM(S115:S117)</f>
        <v>29.117647058823529</v>
      </c>
      <c r="T118" s="100">
        <f t="shared" ref="T118" si="430">SUM(T115:T117)</f>
        <v>29.117647058823529</v>
      </c>
      <c r="U118" s="100">
        <f t="shared" ref="U118" si="431">SUM(U115:U117)</f>
        <v>29.117647058823529</v>
      </c>
      <c r="V118" s="100">
        <f t="shared" ref="V118" si="432">SUM(V115:V117)</f>
        <v>29.117647058823529</v>
      </c>
      <c r="W118" s="100">
        <f t="shared" ref="W118" si="433">SUM(W115:W117)</f>
        <v>29.117647058823529</v>
      </c>
      <c r="X118" s="100">
        <f t="shared" ref="X118" si="434">SUM(X115:X117)</f>
        <v>29.117647058823529</v>
      </c>
      <c r="Y118" s="100">
        <f t="shared" ref="Y118" si="435">SUM(Y115:Y117)</f>
        <v>29.117647058823529</v>
      </c>
      <c r="Z118" s="100">
        <f t="shared" ref="Z118" si="436">SUM(Z115:Z117)</f>
        <v>29.117647058823529</v>
      </c>
      <c r="AA118" s="100">
        <f t="shared" ref="AA118" si="437">SUM(AA115:AA117)</f>
        <v>29.117647058823529</v>
      </c>
      <c r="AB118" s="100">
        <f t="shared" ref="AB118" si="438">SUM(AB115:AB117)</f>
        <v>29.117647058823529</v>
      </c>
      <c r="AC118" s="100">
        <f t="shared" ref="AC118" si="439">SUM(AC115:AC117)</f>
        <v>29.117647058823529</v>
      </c>
      <c r="AD118" s="100">
        <f t="shared" ref="AD118" si="440">SUM(AD115:AD117)</f>
        <v>29.117647058823529</v>
      </c>
      <c r="AE118" s="100">
        <f t="shared" ref="AE118" si="441">SUM(AE115:AE117)</f>
        <v>29.117647058823529</v>
      </c>
      <c r="AF118" s="100">
        <f t="shared" ref="AF118" si="442">SUM(AF115:AF117)</f>
        <v>29.117647058823529</v>
      </c>
      <c r="AG118" s="100">
        <f t="shared" ref="AG118" si="443">SUM(AG115:AG117)</f>
        <v>29.117647058823529</v>
      </c>
      <c r="AH118" s="100">
        <f t="shared" ref="AH118" si="444">SUM(AH115:AH117)</f>
        <v>29.117647058823529</v>
      </c>
      <c r="AI118" s="100">
        <f t="shared" ref="AI118" si="445">SUM(AI115:AI117)</f>
        <v>29.117647058823529</v>
      </c>
      <c r="AJ118" s="100">
        <f t="shared" ref="AJ118" si="446">SUM(AJ115:AJ117)</f>
        <v>29.117647058823529</v>
      </c>
      <c r="AK118" s="100">
        <f t="shared" ref="AK118" si="447">SUM(AK115:AK117)</f>
        <v>29.117647058823529</v>
      </c>
      <c r="AL118" s="100">
        <f t="shared" ref="AL118" si="448">SUM(AL115:AL117)</f>
        <v>29.117647058823529</v>
      </c>
      <c r="AM118" s="100">
        <f t="shared" ref="AM118" si="449">SUM(AM115:AM117)</f>
        <v>29.117647058823529</v>
      </c>
      <c r="AO118" s="75">
        <f t="shared" si="412"/>
        <v>217.5</v>
      </c>
      <c r="AP118" s="75">
        <f t="shared" si="413"/>
        <v>349.41176470588238</v>
      </c>
      <c r="AQ118" s="75">
        <f t="shared" si="414"/>
        <v>349.41176470588238</v>
      </c>
    </row>
    <row r="119" spans="1:44" hidden="1" outlineLevel="1">
      <c r="A119" s="70" t="s">
        <v>139</v>
      </c>
      <c r="B119" s="71" t="s">
        <v>78</v>
      </c>
      <c r="C119" s="72"/>
      <c r="D119" s="78">
        <f>-'OPEX+CAPEX'!E31</f>
        <v>-0.38062499999999999</v>
      </c>
      <c r="E119" s="78">
        <f>-'OPEX+CAPEX'!F31</f>
        <v>-0.40600000000000003</v>
      </c>
      <c r="F119" s="78">
        <f>-'OPEX+CAPEX'!G31</f>
        <v>-0.43137500000000001</v>
      </c>
      <c r="G119" s="78">
        <f>-'OPEX+CAPEX'!H31</f>
        <v>-0.45674999999999999</v>
      </c>
      <c r="H119" s="78">
        <f>-'OPEX+CAPEX'!I31</f>
        <v>-0.48212500000000003</v>
      </c>
      <c r="I119" s="78">
        <f>-'OPEX+CAPEX'!J31</f>
        <v>-0.50749999999999995</v>
      </c>
      <c r="J119" s="78">
        <f>-'OPEX+CAPEX'!K31</f>
        <v>-0.50749999999999995</v>
      </c>
      <c r="K119" s="78">
        <f>-'OPEX+CAPEX'!L31</f>
        <v>-0.55825000000000002</v>
      </c>
      <c r="L119" s="78">
        <f>-'OPEX+CAPEX'!M31</f>
        <v>-0.60899999999999999</v>
      </c>
      <c r="M119" s="78">
        <f>-'OPEX+CAPEX'!N31</f>
        <v>-0.65974999999999995</v>
      </c>
      <c r="N119" s="78">
        <f>-'OPEX+CAPEX'!O31</f>
        <v>-0.71050000000000002</v>
      </c>
      <c r="O119" s="78">
        <f>-'OPEX+CAPEX'!P31</f>
        <v>-0.76124999999999998</v>
      </c>
      <c r="P119" s="78">
        <f>-'OPEX+CAPEX'!Q31</f>
        <v>-0.76124999999999998</v>
      </c>
      <c r="Q119" s="78">
        <f>-'OPEX+CAPEX'!R31</f>
        <v>-0.76124999999999998</v>
      </c>
      <c r="R119" s="78">
        <f>-'OPEX+CAPEX'!S31</f>
        <v>-0.76124999999999998</v>
      </c>
      <c r="S119" s="78">
        <f>-'OPEX+CAPEX'!T31</f>
        <v>-0.76124999999999998</v>
      </c>
      <c r="T119" s="78">
        <f>-'OPEX+CAPEX'!U31</f>
        <v>-0.76124999999999998</v>
      </c>
      <c r="U119" s="78">
        <f>-'OPEX+CAPEX'!V31</f>
        <v>-0.76124999999999998</v>
      </c>
      <c r="V119" s="78">
        <f>-'OPEX+CAPEX'!W31</f>
        <v>-0.76124999999999998</v>
      </c>
      <c r="W119" s="78">
        <f>-'OPEX+CAPEX'!X31</f>
        <v>-0.76124999999999998</v>
      </c>
      <c r="X119" s="78">
        <f>-'OPEX+CAPEX'!Y31</f>
        <v>-0.76124999999999998</v>
      </c>
      <c r="Y119" s="78">
        <f>-'OPEX+CAPEX'!Z31</f>
        <v>-0.76124999999999998</v>
      </c>
      <c r="Z119" s="78">
        <f>-'OPEX+CAPEX'!AA31</f>
        <v>-0.76124999999999998</v>
      </c>
      <c r="AA119" s="78">
        <f>-'OPEX+CAPEX'!AB31</f>
        <v>-0.76124999999999998</v>
      </c>
      <c r="AB119" s="78">
        <f>-'OPEX+CAPEX'!AC31</f>
        <v>-0.76124999999999998</v>
      </c>
      <c r="AC119" s="78">
        <f>-'OPEX+CAPEX'!AD31</f>
        <v>-0.76124999999999998</v>
      </c>
      <c r="AD119" s="78">
        <f>-'OPEX+CAPEX'!AE31</f>
        <v>-0.76124999999999998</v>
      </c>
      <c r="AE119" s="78">
        <f>-'OPEX+CAPEX'!AF31</f>
        <v>-0.76124999999999998</v>
      </c>
      <c r="AF119" s="78">
        <f>-'OPEX+CAPEX'!AG31</f>
        <v>-0.76124999999999998</v>
      </c>
      <c r="AG119" s="78">
        <f>-'OPEX+CAPEX'!AH31</f>
        <v>-0.76124999999999998</v>
      </c>
      <c r="AH119" s="78">
        <f>-'OPEX+CAPEX'!AI31</f>
        <v>-0.76124999999999998</v>
      </c>
      <c r="AI119" s="78">
        <f>-'OPEX+CAPEX'!AJ31</f>
        <v>-0.76124999999999998</v>
      </c>
      <c r="AJ119" s="78">
        <f>-'OPEX+CAPEX'!AK31</f>
        <v>-0.76124999999999998</v>
      </c>
      <c r="AK119" s="78">
        <f>-'OPEX+CAPEX'!AL31</f>
        <v>-0.76124999999999998</v>
      </c>
      <c r="AL119" s="78">
        <f>-'OPEX+CAPEX'!AM31</f>
        <v>-0.76124999999999998</v>
      </c>
      <c r="AM119" s="78">
        <f>-'OPEX+CAPEX'!AN31</f>
        <v>-0.76124999999999998</v>
      </c>
      <c r="AN119" s="81"/>
      <c r="AO119" s="75">
        <f t="shared" ref="AO119:AO120" si="450">SUM(D119:O119)</f>
        <v>-6.4706249999999983</v>
      </c>
      <c r="AP119" s="75">
        <f t="shared" ref="AP119:AP120" si="451">SUM(P119:AA119)</f>
        <v>-9.1350000000000016</v>
      </c>
      <c r="AQ119" s="75">
        <f t="shared" ref="AQ119" si="452">SUM(AB119:AM119)</f>
        <v>-9.1350000000000016</v>
      </c>
      <c r="AR119" s="82"/>
    </row>
    <row r="120" spans="1:44" hidden="1" outlineLevel="1">
      <c r="A120" s="70" t="s">
        <v>177</v>
      </c>
      <c r="B120" s="71" t="s">
        <v>78</v>
      </c>
      <c r="C120" s="72"/>
      <c r="D120" s="78">
        <f>D118+D119</f>
        <v>-0.82180147058823605</v>
      </c>
      <c r="E120" s="78">
        <f t="shared" ref="E120" si="453">E118+E119</f>
        <v>14.123411764705882</v>
      </c>
      <c r="F120" s="78">
        <f t="shared" ref="F120" si="454">F118+F119</f>
        <v>15.068624999999999</v>
      </c>
      <c r="G120" s="78">
        <f t="shared" ref="G120" si="455">G118+G119</f>
        <v>16.013838235294116</v>
      </c>
      <c r="H120" s="78">
        <f t="shared" ref="H120" si="456">H118+H119</f>
        <v>16.959051470588232</v>
      </c>
      <c r="I120" s="78">
        <f t="shared" ref="I120" si="457">I118+I119</f>
        <v>17.904264705882351</v>
      </c>
      <c r="J120" s="78">
        <f t="shared" ref="J120" si="458">J118+J119</f>
        <v>18.904264705882351</v>
      </c>
      <c r="K120" s="78">
        <f t="shared" ref="K120" si="459">K118+K119</f>
        <v>18.794691176470586</v>
      </c>
      <c r="L120" s="78">
        <f t="shared" ref="L120" si="460">L118+L119</f>
        <v>20.685117647058824</v>
      </c>
      <c r="M120" s="78">
        <f t="shared" ref="M120" si="461">M118+M119</f>
        <v>22.575544117647059</v>
      </c>
      <c r="N120" s="78">
        <f t="shared" ref="N120" si="462">N118+N119</f>
        <v>24.465970588235294</v>
      </c>
      <c r="O120" s="78">
        <f t="shared" ref="O120" si="463">O118+O119</f>
        <v>26.356397058823529</v>
      </c>
      <c r="P120" s="78">
        <f t="shared" ref="P120" si="464">P118+P119</f>
        <v>28.356397058823529</v>
      </c>
      <c r="Q120" s="78">
        <f t="shared" ref="Q120" si="465">Q118+Q119</f>
        <v>28.356397058823529</v>
      </c>
      <c r="R120" s="78">
        <f t="shared" ref="R120" si="466">R118+R119</f>
        <v>28.356397058823529</v>
      </c>
      <c r="S120" s="78">
        <f t="shared" ref="S120" si="467">S118+S119</f>
        <v>28.356397058823529</v>
      </c>
      <c r="T120" s="78">
        <f t="shared" ref="T120" si="468">T118+T119</f>
        <v>28.356397058823529</v>
      </c>
      <c r="U120" s="78">
        <f t="shared" ref="U120" si="469">U118+U119</f>
        <v>28.356397058823529</v>
      </c>
      <c r="V120" s="78">
        <f t="shared" ref="V120" si="470">V118+V119</f>
        <v>28.356397058823529</v>
      </c>
      <c r="W120" s="78">
        <f t="shared" ref="W120" si="471">W118+W119</f>
        <v>28.356397058823529</v>
      </c>
      <c r="X120" s="78">
        <f t="shared" ref="X120" si="472">X118+X119</f>
        <v>28.356397058823529</v>
      </c>
      <c r="Y120" s="78">
        <f t="shared" ref="Y120" si="473">Y118+Y119</f>
        <v>28.356397058823529</v>
      </c>
      <c r="Z120" s="78">
        <f t="shared" ref="Z120" si="474">Z118+Z119</f>
        <v>28.356397058823529</v>
      </c>
      <c r="AA120" s="78">
        <f t="shared" ref="AA120" si="475">AA118+AA119</f>
        <v>28.356397058823529</v>
      </c>
      <c r="AB120" s="78">
        <f t="shared" ref="AB120" si="476">AB118+AB119</f>
        <v>28.356397058823529</v>
      </c>
      <c r="AC120" s="78">
        <f t="shared" ref="AC120" si="477">AC118+AC119</f>
        <v>28.356397058823529</v>
      </c>
      <c r="AD120" s="78">
        <f t="shared" ref="AD120" si="478">AD118+AD119</f>
        <v>28.356397058823529</v>
      </c>
      <c r="AE120" s="78">
        <f t="shared" ref="AE120" si="479">AE118+AE119</f>
        <v>28.356397058823529</v>
      </c>
      <c r="AF120" s="78">
        <f t="shared" ref="AF120" si="480">AF118+AF119</f>
        <v>28.356397058823529</v>
      </c>
      <c r="AG120" s="78">
        <f t="shared" ref="AG120" si="481">AG118+AG119</f>
        <v>28.356397058823529</v>
      </c>
      <c r="AH120" s="78">
        <f t="shared" ref="AH120" si="482">AH118+AH119</f>
        <v>28.356397058823529</v>
      </c>
      <c r="AI120" s="78">
        <f t="shared" ref="AI120" si="483">AI118+AI119</f>
        <v>28.356397058823529</v>
      </c>
      <c r="AJ120" s="78">
        <f t="shared" ref="AJ120" si="484">AJ118+AJ119</f>
        <v>28.356397058823529</v>
      </c>
      <c r="AK120" s="78">
        <f t="shared" ref="AK120" si="485">AK118+AK119</f>
        <v>28.356397058823529</v>
      </c>
      <c r="AL120" s="78">
        <f t="shared" ref="AL120" si="486">AL118+AL119</f>
        <v>28.356397058823529</v>
      </c>
      <c r="AM120" s="78">
        <f t="shared" ref="AM120" si="487">AM118+AM119</f>
        <v>28.356397058823529</v>
      </c>
      <c r="AN120" s="81"/>
      <c r="AO120" s="75">
        <f t="shared" si="450"/>
        <v>211.02937500000002</v>
      </c>
      <c r="AP120" s="75">
        <f t="shared" si="451"/>
        <v>340.27676470588227</v>
      </c>
      <c r="AQ120" s="75">
        <f>SUM(AB120:AM120)</f>
        <v>340.27676470588227</v>
      </c>
      <c r="AR120" s="82"/>
    </row>
    <row r="121" spans="1:44" collapsed="1"/>
    <row r="122" spans="1:44" s="69" customFormat="1">
      <c r="A122" s="65" t="s">
        <v>101</v>
      </c>
      <c r="B122" s="66" t="s">
        <v>76</v>
      </c>
      <c r="C122" s="84" t="s">
        <v>77</v>
      </c>
      <c r="D122" s="67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O122" s="68"/>
      <c r="AP122" s="68"/>
      <c r="AQ122" s="68"/>
    </row>
    <row r="123" spans="1:44" hidden="1" outlineLevel="1">
      <c r="A123" s="70" t="s">
        <v>123</v>
      </c>
      <c r="B123" s="85" t="s">
        <v>85</v>
      </c>
      <c r="C123" s="72"/>
      <c r="D123" s="77">
        <f>'0'!D11</f>
        <v>2</v>
      </c>
      <c r="E123" s="77">
        <f>'0'!E11</f>
        <v>3</v>
      </c>
      <c r="F123" s="77">
        <f>'0'!F11</f>
        <v>4</v>
      </c>
      <c r="G123" s="77">
        <f>'0'!G11</f>
        <v>5</v>
      </c>
      <c r="H123" s="77">
        <f>'0'!H11</f>
        <v>6</v>
      </c>
      <c r="I123" s="77">
        <f>'0'!I11</f>
        <v>7</v>
      </c>
      <c r="J123" s="77">
        <f>'0'!J11</f>
        <v>8</v>
      </c>
      <c r="K123" s="77">
        <f>'0'!K11</f>
        <v>9</v>
      </c>
      <c r="L123" s="77">
        <f>'0'!L11</f>
        <v>10</v>
      </c>
      <c r="M123" s="77">
        <f>'0'!M11</f>
        <v>11</v>
      </c>
      <c r="N123" s="77">
        <f>'0'!N11</f>
        <v>12</v>
      </c>
      <c r="O123" s="77">
        <f>'0'!O11</f>
        <v>13</v>
      </c>
      <c r="P123" s="77">
        <f>'0'!P11</f>
        <v>14</v>
      </c>
      <c r="Q123" s="77">
        <f>'0'!Q11</f>
        <v>15</v>
      </c>
      <c r="R123" s="77">
        <f>'0'!R11</f>
        <v>16</v>
      </c>
      <c r="S123" s="77">
        <f>'0'!S11</f>
        <v>17</v>
      </c>
      <c r="T123" s="77">
        <f>'0'!T11</f>
        <v>18</v>
      </c>
      <c r="U123" s="77">
        <f>'0'!U11</f>
        <v>19</v>
      </c>
      <c r="V123" s="77">
        <f>'0'!V11</f>
        <v>20</v>
      </c>
      <c r="W123" s="77">
        <f>'0'!W11</f>
        <v>21</v>
      </c>
      <c r="X123" s="77">
        <f>'0'!X11</f>
        <v>22</v>
      </c>
      <c r="Y123" s="77">
        <f>'0'!Y11</f>
        <v>23</v>
      </c>
      <c r="Z123" s="77">
        <f>'0'!Z11</f>
        <v>24</v>
      </c>
      <c r="AA123" s="77">
        <f>'0'!AA11</f>
        <v>25</v>
      </c>
      <c r="AB123" s="77">
        <f>'0'!AB11</f>
        <v>26</v>
      </c>
      <c r="AC123" s="77">
        <f>'0'!AC11</f>
        <v>27</v>
      </c>
      <c r="AD123" s="77">
        <f>'0'!AD11</f>
        <v>28</v>
      </c>
      <c r="AE123" s="77">
        <f>'0'!AE11</f>
        <v>29</v>
      </c>
      <c r="AF123" s="77">
        <f>'0'!AF11</f>
        <v>30</v>
      </c>
      <c r="AG123" s="77">
        <f>'0'!AG11</f>
        <v>31</v>
      </c>
      <c r="AH123" s="77">
        <f>'0'!AH11</f>
        <v>32</v>
      </c>
      <c r="AI123" s="77">
        <f>'0'!AI11</f>
        <v>33</v>
      </c>
      <c r="AJ123" s="77">
        <f>'0'!AJ11</f>
        <v>34</v>
      </c>
      <c r="AK123" s="77">
        <f>'0'!AK11</f>
        <v>35</v>
      </c>
      <c r="AL123" s="77">
        <f>'0'!AL11</f>
        <v>36</v>
      </c>
      <c r="AM123" s="77">
        <f>'0'!AM11</f>
        <v>37</v>
      </c>
      <c r="AN123" s="81"/>
      <c r="AO123" s="75">
        <f>O123</f>
        <v>13</v>
      </c>
      <c r="AP123" s="75">
        <f>AA123</f>
        <v>25</v>
      </c>
      <c r="AQ123" s="75">
        <f>AM123</f>
        <v>37</v>
      </c>
      <c r="AR123" s="82"/>
    </row>
    <row r="124" spans="1:44" hidden="1" outlineLevel="1">
      <c r="A124" s="70" t="s">
        <v>127</v>
      </c>
      <c r="B124" s="85" t="s">
        <v>85</v>
      </c>
      <c r="C124" s="72"/>
      <c r="D124" s="86">
        <v>1</v>
      </c>
      <c r="E124" s="86">
        <v>1</v>
      </c>
      <c r="F124" s="86">
        <v>1</v>
      </c>
      <c r="G124" s="86">
        <v>1</v>
      </c>
      <c r="H124" s="86">
        <v>1</v>
      </c>
      <c r="I124" s="86">
        <v>1</v>
      </c>
      <c r="J124" s="86">
        <v>1</v>
      </c>
      <c r="K124" s="86">
        <v>1</v>
      </c>
      <c r="L124" s="86">
        <v>1</v>
      </c>
      <c r="M124" s="86">
        <v>1</v>
      </c>
      <c r="N124" s="86">
        <v>1</v>
      </c>
      <c r="O124" s="86">
        <v>1</v>
      </c>
      <c r="P124" s="86">
        <v>1</v>
      </c>
      <c r="Q124" s="86">
        <v>1</v>
      </c>
      <c r="R124" s="86">
        <v>1</v>
      </c>
      <c r="S124" s="86">
        <v>1</v>
      </c>
      <c r="T124" s="86">
        <v>1</v>
      </c>
      <c r="U124" s="86">
        <v>1</v>
      </c>
      <c r="V124" s="86">
        <v>1</v>
      </c>
      <c r="W124" s="86">
        <v>1</v>
      </c>
      <c r="X124" s="86">
        <v>1</v>
      </c>
      <c r="Y124" s="86">
        <v>1</v>
      </c>
      <c r="Z124" s="86">
        <v>1</v>
      </c>
      <c r="AA124" s="86">
        <v>1</v>
      </c>
      <c r="AB124" s="86">
        <v>1</v>
      </c>
      <c r="AC124" s="86">
        <v>1</v>
      </c>
      <c r="AD124" s="86">
        <v>1</v>
      </c>
      <c r="AE124" s="86">
        <v>1</v>
      </c>
      <c r="AF124" s="86">
        <v>1</v>
      </c>
      <c r="AG124" s="86">
        <v>1</v>
      </c>
      <c r="AH124" s="86">
        <v>1</v>
      </c>
      <c r="AI124" s="86">
        <v>1</v>
      </c>
      <c r="AJ124" s="86">
        <v>1</v>
      </c>
      <c r="AK124" s="86">
        <v>1</v>
      </c>
      <c r="AL124" s="86">
        <v>1</v>
      </c>
      <c r="AM124" s="86">
        <v>1</v>
      </c>
      <c r="AN124" s="81"/>
      <c r="AO124" s="75">
        <f>AVERAGE(D124:O124)</f>
        <v>1</v>
      </c>
      <c r="AP124" s="75">
        <f>AVERAGE(P124:AA124)</f>
        <v>1</v>
      </c>
      <c r="AQ124" s="75">
        <f>AVERAGE(AB124:AM124)</f>
        <v>1</v>
      </c>
      <c r="AR124" s="82"/>
    </row>
    <row r="125" spans="1:44" hidden="1" outlineLevel="1">
      <c r="A125" s="70" t="s">
        <v>128</v>
      </c>
      <c r="B125" s="85" t="s">
        <v>85</v>
      </c>
      <c r="C125" s="72"/>
      <c r="D125" s="77">
        <f>D123*D124</f>
        <v>2</v>
      </c>
      <c r="E125" s="77">
        <f t="shared" ref="E125" si="488">E123*E124</f>
        <v>3</v>
      </c>
      <c r="F125" s="77">
        <f t="shared" ref="F125:AM125" si="489">F123*F124</f>
        <v>4</v>
      </c>
      <c r="G125" s="77">
        <f t="shared" si="489"/>
        <v>5</v>
      </c>
      <c r="H125" s="77">
        <f t="shared" si="489"/>
        <v>6</v>
      </c>
      <c r="I125" s="77">
        <f t="shared" si="489"/>
        <v>7</v>
      </c>
      <c r="J125" s="77">
        <f t="shared" si="489"/>
        <v>8</v>
      </c>
      <c r="K125" s="77">
        <f t="shared" si="489"/>
        <v>9</v>
      </c>
      <c r="L125" s="77">
        <f t="shared" si="489"/>
        <v>10</v>
      </c>
      <c r="M125" s="77">
        <f t="shared" si="489"/>
        <v>11</v>
      </c>
      <c r="N125" s="77">
        <f t="shared" si="489"/>
        <v>12</v>
      </c>
      <c r="O125" s="77">
        <f t="shared" si="489"/>
        <v>13</v>
      </c>
      <c r="P125" s="77">
        <f t="shared" si="489"/>
        <v>14</v>
      </c>
      <c r="Q125" s="77">
        <f t="shared" si="489"/>
        <v>15</v>
      </c>
      <c r="R125" s="77">
        <f t="shared" si="489"/>
        <v>16</v>
      </c>
      <c r="S125" s="77">
        <f t="shared" si="489"/>
        <v>17</v>
      </c>
      <c r="T125" s="77">
        <f t="shared" si="489"/>
        <v>18</v>
      </c>
      <c r="U125" s="77">
        <f t="shared" si="489"/>
        <v>19</v>
      </c>
      <c r="V125" s="77">
        <f t="shared" si="489"/>
        <v>20</v>
      </c>
      <c r="W125" s="77">
        <f t="shared" si="489"/>
        <v>21</v>
      </c>
      <c r="X125" s="77">
        <f t="shared" si="489"/>
        <v>22</v>
      </c>
      <c r="Y125" s="77">
        <f t="shared" si="489"/>
        <v>23</v>
      </c>
      <c r="Z125" s="77">
        <f t="shared" si="489"/>
        <v>24</v>
      </c>
      <c r="AA125" s="77">
        <f t="shared" si="489"/>
        <v>25</v>
      </c>
      <c r="AB125" s="77">
        <f t="shared" si="489"/>
        <v>26</v>
      </c>
      <c r="AC125" s="77">
        <f t="shared" si="489"/>
        <v>27</v>
      </c>
      <c r="AD125" s="77">
        <f t="shared" si="489"/>
        <v>28</v>
      </c>
      <c r="AE125" s="77">
        <f t="shared" si="489"/>
        <v>29</v>
      </c>
      <c r="AF125" s="77">
        <f t="shared" si="489"/>
        <v>30</v>
      </c>
      <c r="AG125" s="77">
        <f t="shared" si="489"/>
        <v>31</v>
      </c>
      <c r="AH125" s="77">
        <f t="shared" si="489"/>
        <v>32</v>
      </c>
      <c r="AI125" s="77">
        <f t="shared" si="489"/>
        <v>33</v>
      </c>
      <c r="AJ125" s="77">
        <f t="shared" si="489"/>
        <v>34</v>
      </c>
      <c r="AK125" s="77">
        <f t="shared" si="489"/>
        <v>35</v>
      </c>
      <c r="AL125" s="77">
        <f t="shared" si="489"/>
        <v>36</v>
      </c>
      <c r="AM125" s="77">
        <f t="shared" si="489"/>
        <v>37</v>
      </c>
      <c r="AN125" s="81"/>
      <c r="AO125" s="75">
        <f t="shared" ref="AO125" si="490">SUM(D125:O125)</f>
        <v>90</v>
      </c>
      <c r="AP125" s="75">
        <f t="shared" ref="AP125" si="491">SUM(P125:AA125)</f>
        <v>234</v>
      </c>
      <c r="AQ125" s="75">
        <f t="shared" ref="AQ125" si="492">SUM(AB125:AM125)</f>
        <v>378</v>
      </c>
      <c r="AR125" s="82"/>
    </row>
    <row r="126" spans="1:44" hidden="1" outlineLevel="1">
      <c r="A126" s="70" t="s">
        <v>129</v>
      </c>
      <c r="B126" s="71" t="s">
        <v>78</v>
      </c>
      <c r="C126" s="72"/>
      <c r="D126" s="86">
        <v>100</v>
      </c>
      <c r="E126" s="86">
        <v>100</v>
      </c>
      <c r="F126" s="86">
        <v>100</v>
      </c>
      <c r="G126" s="86">
        <v>100</v>
      </c>
      <c r="H126" s="86">
        <v>100</v>
      </c>
      <c r="I126" s="86">
        <v>100</v>
      </c>
      <c r="J126" s="86">
        <v>100</v>
      </c>
      <c r="K126" s="86">
        <v>100</v>
      </c>
      <c r="L126" s="86">
        <v>100</v>
      </c>
      <c r="M126" s="86">
        <v>100</v>
      </c>
      <c r="N126" s="86">
        <v>100</v>
      </c>
      <c r="O126" s="86">
        <v>100</v>
      </c>
      <c r="P126" s="86">
        <v>100</v>
      </c>
      <c r="Q126" s="86">
        <v>100</v>
      </c>
      <c r="R126" s="86">
        <v>100</v>
      </c>
      <c r="S126" s="86">
        <v>100</v>
      </c>
      <c r="T126" s="86">
        <v>100</v>
      </c>
      <c r="U126" s="86">
        <v>100</v>
      </c>
      <c r="V126" s="86">
        <v>100</v>
      </c>
      <c r="W126" s="86">
        <v>100</v>
      </c>
      <c r="X126" s="86">
        <v>100</v>
      </c>
      <c r="Y126" s="86">
        <v>100</v>
      </c>
      <c r="Z126" s="86">
        <v>100</v>
      </c>
      <c r="AA126" s="86">
        <v>100</v>
      </c>
      <c r="AB126" s="86">
        <v>100</v>
      </c>
      <c r="AC126" s="86">
        <v>100</v>
      </c>
      <c r="AD126" s="86">
        <v>100</v>
      </c>
      <c r="AE126" s="86">
        <v>100</v>
      </c>
      <c r="AF126" s="86">
        <v>100</v>
      </c>
      <c r="AG126" s="86">
        <v>100</v>
      </c>
      <c r="AH126" s="86">
        <v>100</v>
      </c>
      <c r="AI126" s="86">
        <v>100</v>
      </c>
      <c r="AJ126" s="86">
        <v>100</v>
      </c>
      <c r="AK126" s="86">
        <v>100</v>
      </c>
      <c r="AL126" s="86">
        <v>100</v>
      </c>
      <c r="AM126" s="86">
        <v>100</v>
      </c>
      <c r="AN126" s="81"/>
      <c r="AO126" s="75">
        <f>AVERAGE(D126:O126)</f>
        <v>100</v>
      </c>
      <c r="AP126" s="75">
        <f>AVERAGE(P126:AA126)</f>
        <v>100</v>
      </c>
      <c r="AQ126" s="75">
        <f>AVERAGE(AB126:AM126)</f>
        <v>100</v>
      </c>
      <c r="AR126" s="82"/>
    </row>
    <row r="127" spans="1:44" hidden="1" outlineLevel="1">
      <c r="A127" s="70" t="s">
        <v>87</v>
      </c>
      <c r="B127" s="71" t="s">
        <v>78</v>
      </c>
      <c r="C127" s="72"/>
      <c r="D127" s="77">
        <f>D125*D126</f>
        <v>200</v>
      </c>
      <c r="E127" s="77">
        <f>E125*E126</f>
        <v>300</v>
      </c>
      <c r="F127" s="77">
        <f t="shared" ref="F127:AM127" si="493">F125*F126</f>
        <v>400</v>
      </c>
      <c r="G127" s="77">
        <f t="shared" si="493"/>
        <v>500</v>
      </c>
      <c r="H127" s="77">
        <f t="shared" si="493"/>
        <v>600</v>
      </c>
      <c r="I127" s="77">
        <f t="shared" si="493"/>
        <v>700</v>
      </c>
      <c r="J127" s="77">
        <f t="shared" si="493"/>
        <v>800</v>
      </c>
      <c r="K127" s="77">
        <f t="shared" si="493"/>
        <v>900</v>
      </c>
      <c r="L127" s="77">
        <f t="shared" si="493"/>
        <v>1000</v>
      </c>
      <c r="M127" s="77">
        <f t="shared" si="493"/>
        <v>1100</v>
      </c>
      <c r="N127" s="77">
        <f t="shared" si="493"/>
        <v>1200</v>
      </c>
      <c r="O127" s="77">
        <f t="shared" si="493"/>
        <v>1300</v>
      </c>
      <c r="P127" s="77">
        <f t="shared" si="493"/>
        <v>1400</v>
      </c>
      <c r="Q127" s="77">
        <f t="shared" si="493"/>
        <v>1500</v>
      </c>
      <c r="R127" s="77">
        <f t="shared" si="493"/>
        <v>1600</v>
      </c>
      <c r="S127" s="77">
        <f t="shared" si="493"/>
        <v>1700</v>
      </c>
      <c r="T127" s="77">
        <f t="shared" si="493"/>
        <v>1800</v>
      </c>
      <c r="U127" s="77">
        <f t="shared" si="493"/>
        <v>1900</v>
      </c>
      <c r="V127" s="77">
        <f t="shared" si="493"/>
        <v>2000</v>
      </c>
      <c r="W127" s="77">
        <f t="shared" si="493"/>
        <v>2100</v>
      </c>
      <c r="X127" s="77">
        <f t="shared" si="493"/>
        <v>2200</v>
      </c>
      <c r="Y127" s="77">
        <f t="shared" si="493"/>
        <v>2300</v>
      </c>
      <c r="Z127" s="77">
        <f t="shared" si="493"/>
        <v>2400</v>
      </c>
      <c r="AA127" s="77">
        <f t="shared" si="493"/>
        <v>2500</v>
      </c>
      <c r="AB127" s="77">
        <f t="shared" si="493"/>
        <v>2600</v>
      </c>
      <c r="AC127" s="77">
        <f t="shared" si="493"/>
        <v>2700</v>
      </c>
      <c r="AD127" s="77">
        <f t="shared" si="493"/>
        <v>2800</v>
      </c>
      <c r="AE127" s="77">
        <f t="shared" si="493"/>
        <v>2900</v>
      </c>
      <c r="AF127" s="77">
        <f t="shared" si="493"/>
        <v>3000</v>
      </c>
      <c r="AG127" s="77">
        <f t="shared" si="493"/>
        <v>3100</v>
      </c>
      <c r="AH127" s="77">
        <f t="shared" si="493"/>
        <v>3200</v>
      </c>
      <c r="AI127" s="77">
        <f t="shared" si="493"/>
        <v>3300</v>
      </c>
      <c r="AJ127" s="77">
        <f t="shared" si="493"/>
        <v>3400</v>
      </c>
      <c r="AK127" s="77">
        <f t="shared" si="493"/>
        <v>3500</v>
      </c>
      <c r="AL127" s="77">
        <f t="shared" si="493"/>
        <v>3600</v>
      </c>
      <c r="AM127" s="77">
        <f t="shared" si="493"/>
        <v>3700</v>
      </c>
      <c r="AN127" s="81"/>
      <c r="AO127" s="75">
        <f t="shared" ref="AO127" si="494">SUM(D127:O127)</f>
        <v>9000</v>
      </c>
      <c r="AP127" s="75">
        <f t="shared" ref="AP127" si="495">SUM(P127:AA127)</f>
        <v>23400</v>
      </c>
      <c r="AQ127" s="75">
        <f t="shared" ref="AQ127" si="496">SUM(AB127:AM127)</f>
        <v>37800</v>
      </c>
      <c r="AR127" s="82"/>
    </row>
    <row r="128" spans="1:44" s="69" customFormat="1" hidden="1" outlineLevel="1">
      <c r="A128" s="70" t="s">
        <v>100</v>
      </c>
      <c r="B128" s="71" t="s">
        <v>79</v>
      </c>
      <c r="C128" s="72"/>
      <c r="D128" s="92">
        <v>0.01</v>
      </c>
      <c r="E128" s="92">
        <v>0.01</v>
      </c>
      <c r="F128" s="92">
        <v>0.01</v>
      </c>
      <c r="G128" s="92">
        <v>0.01</v>
      </c>
      <c r="H128" s="92">
        <v>0.01</v>
      </c>
      <c r="I128" s="92">
        <v>0.01</v>
      </c>
      <c r="J128" s="92">
        <v>0.01</v>
      </c>
      <c r="K128" s="92">
        <v>0.01</v>
      </c>
      <c r="L128" s="92">
        <v>0.01</v>
      </c>
      <c r="M128" s="92">
        <v>0.01</v>
      </c>
      <c r="N128" s="92">
        <v>0.01</v>
      </c>
      <c r="O128" s="92">
        <v>0.01</v>
      </c>
      <c r="P128" s="92">
        <v>0.01</v>
      </c>
      <c r="Q128" s="92">
        <v>0.01</v>
      </c>
      <c r="R128" s="92">
        <v>0.01</v>
      </c>
      <c r="S128" s="92">
        <v>0.01</v>
      </c>
      <c r="T128" s="92">
        <v>0.01</v>
      </c>
      <c r="U128" s="92">
        <v>0.01</v>
      </c>
      <c r="V128" s="92">
        <v>0.01</v>
      </c>
      <c r="W128" s="92">
        <v>0.01</v>
      </c>
      <c r="X128" s="92">
        <v>0.01</v>
      </c>
      <c r="Y128" s="92">
        <v>0.01</v>
      </c>
      <c r="Z128" s="92">
        <v>0.01</v>
      </c>
      <c r="AA128" s="92">
        <v>0.01</v>
      </c>
      <c r="AB128" s="92">
        <v>0.01</v>
      </c>
      <c r="AC128" s="92">
        <v>0.01</v>
      </c>
      <c r="AD128" s="92">
        <v>0.01</v>
      </c>
      <c r="AE128" s="92">
        <v>0.01</v>
      </c>
      <c r="AF128" s="92">
        <v>0.01</v>
      </c>
      <c r="AG128" s="92">
        <v>0.01</v>
      </c>
      <c r="AH128" s="92">
        <v>0.01</v>
      </c>
      <c r="AI128" s="92">
        <v>0.01</v>
      </c>
      <c r="AJ128" s="92">
        <v>0.01</v>
      </c>
      <c r="AK128" s="92">
        <v>0.01</v>
      </c>
      <c r="AL128" s="92">
        <v>0.01</v>
      </c>
      <c r="AM128" s="92">
        <v>0.01</v>
      </c>
      <c r="AN128" s="74"/>
      <c r="AO128" s="93">
        <f>AVERAGE(D128:O128)</f>
        <v>9.9999999999999985E-3</v>
      </c>
      <c r="AP128" s="93">
        <f>AVERAGE(P128:AA128)</f>
        <v>9.9999999999999985E-3</v>
      </c>
      <c r="AQ128" s="93">
        <f>AVERAGE(AB128:AM128)</f>
        <v>9.9999999999999985E-3</v>
      </c>
      <c r="AR128" s="76"/>
    </row>
    <row r="129" spans="1:44" hidden="1" outlineLevel="1">
      <c r="A129" s="70" t="s">
        <v>122</v>
      </c>
      <c r="B129" s="71" t="s">
        <v>78</v>
      </c>
      <c r="C129" s="72"/>
      <c r="D129" s="73">
        <f>D128*D127*(1-2/102)</f>
        <v>1.9607843137254901</v>
      </c>
      <c r="E129" s="73">
        <f t="shared" ref="E129" si="497">E128*E127*(1-2/102)</f>
        <v>2.9411764705882351</v>
      </c>
      <c r="F129" s="73">
        <f t="shared" ref="F129:AM129" si="498">F128*F127*(1-2/102)</f>
        <v>3.9215686274509802</v>
      </c>
      <c r="G129" s="73">
        <f t="shared" si="498"/>
        <v>4.901960784313725</v>
      </c>
      <c r="H129" s="73">
        <f t="shared" si="498"/>
        <v>5.8823529411764701</v>
      </c>
      <c r="I129" s="73">
        <f t="shared" si="498"/>
        <v>6.8627450980392153</v>
      </c>
      <c r="J129" s="73">
        <f t="shared" si="498"/>
        <v>7.8431372549019605</v>
      </c>
      <c r="K129" s="73">
        <f t="shared" si="498"/>
        <v>8.8235294117647047</v>
      </c>
      <c r="L129" s="73">
        <f t="shared" si="498"/>
        <v>9.8039215686274499</v>
      </c>
      <c r="M129" s="73">
        <f t="shared" si="498"/>
        <v>10.784313725490195</v>
      </c>
      <c r="N129" s="73">
        <f t="shared" si="498"/>
        <v>11.76470588235294</v>
      </c>
      <c r="O129" s="73">
        <f t="shared" si="498"/>
        <v>12.745098039215685</v>
      </c>
      <c r="P129" s="73">
        <f t="shared" si="498"/>
        <v>13.725490196078431</v>
      </c>
      <c r="Q129" s="73">
        <f t="shared" si="498"/>
        <v>14.705882352941176</v>
      </c>
      <c r="R129" s="73">
        <f t="shared" si="498"/>
        <v>15.686274509803921</v>
      </c>
      <c r="S129" s="73">
        <f t="shared" si="498"/>
        <v>16.666666666666664</v>
      </c>
      <c r="T129" s="73">
        <f t="shared" si="498"/>
        <v>17.647058823529409</v>
      </c>
      <c r="U129" s="73">
        <f t="shared" si="498"/>
        <v>18.627450980392155</v>
      </c>
      <c r="V129" s="73">
        <f t="shared" si="498"/>
        <v>19.6078431372549</v>
      </c>
      <c r="W129" s="73">
        <f t="shared" si="498"/>
        <v>20.588235294117645</v>
      </c>
      <c r="X129" s="73">
        <f t="shared" si="498"/>
        <v>21.56862745098039</v>
      </c>
      <c r="Y129" s="73">
        <f t="shared" si="498"/>
        <v>22.549019607843135</v>
      </c>
      <c r="Z129" s="73">
        <f t="shared" si="498"/>
        <v>23.52941176470588</v>
      </c>
      <c r="AA129" s="73">
        <f t="shared" si="498"/>
        <v>24.509803921568626</v>
      </c>
      <c r="AB129" s="73">
        <f t="shared" si="498"/>
        <v>25.490196078431371</v>
      </c>
      <c r="AC129" s="73">
        <f t="shared" si="498"/>
        <v>26.470588235294116</v>
      </c>
      <c r="AD129" s="73">
        <f t="shared" si="498"/>
        <v>27.450980392156861</v>
      </c>
      <c r="AE129" s="73">
        <f t="shared" si="498"/>
        <v>28.431372549019606</v>
      </c>
      <c r="AF129" s="73">
        <f t="shared" si="498"/>
        <v>29.411764705882351</v>
      </c>
      <c r="AG129" s="73">
        <f t="shared" si="498"/>
        <v>30.392156862745097</v>
      </c>
      <c r="AH129" s="73">
        <f t="shared" si="498"/>
        <v>31.372549019607842</v>
      </c>
      <c r="AI129" s="73">
        <f t="shared" si="498"/>
        <v>32.352941176470587</v>
      </c>
      <c r="AJ129" s="73">
        <f t="shared" si="498"/>
        <v>33.333333333333329</v>
      </c>
      <c r="AK129" s="73">
        <f t="shared" si="498"/>
        <v>34.313725490196077</v>
      </c>
      <c r="AL129" s="73">
        <f t="shared" si="498"/>
        <v>35.294117647058819</v>
      </c>
      <c r="AM129" s="73">
        <f t="shared" si="498"/>
        <v>36.274509803921568</v>
      </c>
      <c r="AN129" s="81"/>
      <c r="AO129" s="75">
        <f>SUM(D129:O129)</f>
        <v>88.235294117647058</v>
      </c>
      <c r="AP129" s="75">
        <f>SUM(P129:AA129)</f>
        <v>229.41176470588235</v>
      </c>
      <c r="AQ129" s="75">
        <f>SUM(AB129:AM129)</f>
        <v>370.58823529411762</v>
      </c>
      <c r="AR129" s="82"/>
    </row>
    <row r="130" spans="1:44" hidden="1" outlineLevel="1">
      <c r="A130" s="70" t="s">
        <v>139</v>
      </c>
      <c r="B130" s="71" t="s">
        <v>78</v>
      </c>
      <c r="C130" s="72"/>
      <c r="D130" s="78">
        <f>-'OPEX+CAPEX'!E33</f>
        <v>-47.61904761904762</v>
      </c>
      <c r="E130" s="78">
        <f>-'OPEX+CAPEX'!F33</f>
        <v>-23.80952380952381</v>
      </c>
      <c r="F130" s="78">
        <f>-'OPEX+CAPEX'!G33</f>
        <v>-23.80952380952381</v>
      </c>
      <c r="G130" s="78">
        <f>-'OPEX+CAPEX'!H33</f>
        <v>-23.80952380952381</v>
      </c>
      <c r="H130" s="78">
        <f>-'OPEX+CAPEX'!I33</f>
        <v>-23.80952380952381</v>
      </c>
      <c r="I130" s="78">
        <f>-'OPEX+CAPEX'!J33</f>
        <v>-23.80952380952381</v>
      </c>
      <c r="J130" s="78">
        <f>-'OPEX+CAPEX'!K33</f>
        <v>-23.80952380952381</v>
      </c>
      <c r="K130" s="78">
        <f>-'OPEX+CAPEX'!L33</f>
        <v>-23.80952380952381</v>
      </c>
      <c r="L130" s="78">
        <f>-'OPEX+CAPEX'!M33</f>
        <v>-23.80952380952381</v>
      </c>
      <c r="M130" s="78">
        <f>-'OPEX+CAPEX'!N33</f>
        <v>-23.80952380952381</v>
      </c>
      <c r="N130" s="78">
        <f>-'OPEX+CAPEX'!O33</f>
        <v>-23.80952380952381</v>
      </c>
      <c r="O130" s="78">
        <f>-'OPEX+CAPEX'!P33</f>
        <v>-23.80952380952381</v>
      </c>
      <c r="P130" s="78">
        <f>-'OPEX+CAPEX'!Q33</f>
        <v>-23.80952380952381</v>
      </c>
      <c r="Q130" s="78">
        <f>-'OPEX+CAPEX'!R33</f>
        <v>-23.80952380952381</v>
      </c>
      <c r="R130" s="78">
        <f>-'OPEX+CAPEX'!S33</f>
        <v>-23.80952380952381</v>
      </c>
      <c r="S130" s="78">
        <f>-'OPEX+CAPEX'!T33</f>
        <v>-23.80952380952381</v>
      </c>
      <c r="T130" s="78">
        <f>-'OPEX+CAPEX'!U33</f>
        <v>-23.80952380952381</v>
      </c>
      <c r="U130" s="78">
        <f>-'OPEX+CAPEX'!V33</f>
        <v>-23.80952380952381</v>
      </c>
      <c r="V130" s="78">
        <f>-'OPEX+CAPEX'!W33</f>
        <v>-23.80952380952381</v>
      </c>
      <c r="W130" s="78">
        <f>-'OPEX+CAPEX'!X33</f>
        <v>-23.80952380952381</v>
      </c>
      <c r="X130" s="78">
        <f>-'OPEX+CAPEX'!Y33</f>
        <v>-23.80952380952381</v>
      </c>
      <c r="Y130" s="78">
        <f>-'OPEX+CAPEX'!Z33</f>
        <v>-23.80952380952381</v>
      </c>
      <c r="Z130" s="78">
        <f>-'OPEX+CAPEX'!AA33</f>
        <v>-23.80952380952381</v>
      </c>
      <c r="AA130" s="78">
        <f>-'OPEX+CAPEX'!AB33</f>
        <v>-23.80952380952381</v>
      </c>
      <c r="AB130" s="78">
        <f>-'OPEX+CAPEX'!AC33</f>
        <v>-23.80952380952381</v>
      </c>
      <c r="AC130" s="78">
        <f>-'OPEX+CAPEX'!AD33</f>
        <v>-23.80952380952381</v>
      </c>
      <c r="AD130" s="78">
        <f>-'OPEX+CAPEX'!AE33</f>
        <v>-23.80952380952381</v>
      </c>
      <c r="AE130" s="78">
        <f>-'OPEX+CAPEX'!AF33</f>
        <v>-23.80952380952381</v>
      </c>
      <c r="AF130" s="78">
        <f>-'OPEX+CAPEX'!AG33</f>
        <v>-23.80952380952381</v>
      </c>
      <c r="AG130" s="78">
        <f>-'OPEX+CAPEX'!AH33</f>
        <v>-23.80952380952381</v>
      </c>
      <c r="AH130" s="78">
        <f>-'OPEX+CAPEX'!AI33</f>
        <v>-23.80952380952381</v>
      </c>
      <c r="AI130" s="78">
        <f>-'OPEX+CAPEX'!AJ33</f>
        <v>-23.80952380952381</v>
      </c>
      <c r="AJ130" s="78">
        <f>-'OPEX+CAPEX'!AK33</f>
        <v>-23.80952380952381</v>
      </c>
      <c r="AK130" s="78">
        <f>-'OPEX+CAPEX'!AL33</f>
        <v>-23.80952380952381</v>
      </c>
      <c r="AL130" s="78">
        <f>-'OPEX+CAPEX'!AM33</f>
        <v>-23.80952380952381</v>
      </c>
      <c r="AM130" s="78">
        <f>-'OPEX+CAPEX'!AN33</f>
        <v>-23.80952380952381</v>
      </c>
      <c r="AN130" s="81"/>
      <c r="AO130" s="75">
        <f t="shared" ref="AO130:AO131" si="499">SUM(D130:O130)</f>
        <v>-309.52380952380946</v>
      </c>
      <c r="AP130" s="75">
        <f t="shared" ref="AP130:AP131" si="500">SUM(P130:AA130)</f>
        <v>-285.71428571428567</v>
      </c>
      <c r="AQ130" s="75">
        <f t="shared" ref="AQ130:AQ131" si="501">SUM(AB130:AM130)</f>
        <v>-285.71428571428567</v>
      </c>
      <c r="AR130" s="82"/>
    </row>
    <row r="131" spans="1:44" hidden="1" outlineLevel="1">
      <c r="A131" s="70" t="s">
        <v>177</v>
      </c>
      <c r="B131" s="71" t="s">
        <v>78</v>
      </c>
      <c r="C131" s="72"/>
      <c r="D131" s="78">
        <f>D129+D130</f>
        <v>-45.65826330532213</v>
      </c>
      <c r="E131" s="78">
        <f t="shared" ref="E131:AM131" si="502">E129+E130</f>
        <v>-20.868347338935575</v>
      </c>
      <c r="F131" s="78">
        <f t="shared" si="502"/>
        <v>-19.88795518207283</v>
      </c>
      <c r="G131" s="78">
        <f t="shared" si="502"/>
        <v>-18.907563025210084</v>
      </c>
      <c r="H131" s="78">
        <f t="shared" si="502"/>
        <v>-17.927170868347339</v>
      </c>
      <c r="I131" s="78">
        <f t="shared" si="502"/>
        <v>-16.946778711484594</v>
      </c>
      <c r="J131" s="78">
        <f t="shared" si="502"/>
        <v>-15.966386554621849</v>
      </c>
      <c r="K131" s="78">
        <f t="shared" si="502"/>
        <v>-14.985994397759105</v>
      </c>
      <c r="L131" s="78">
        <f t="shared" si="502"/>
        <v>-14.00560224089636</v>
      </c>
      <c r="M131" s="78">
        <f t="shared" si="502"/>
        <v>-13.025210084033615</v>
      </c>
      <c r="N131" s="78">
        <f t="shared" si="502"/>
        <v>-12.04481792717087</v>
      </c>
      <c r="O131" s="78">
        <f t="shared" si="502"/>
        <v>-11.064425770308125</v>
      </c>
      <c r="P131" s="78">
        <f t="shared" si="502"/>
        <v>-10.08403361344538</v>
      </c>
      <c r="Q131" s="78">
        <f t="shared" si="502"/>
        <v>-9.1036414565826345</v>
      </c>
      <c r="R131" s="78">
        <f t="shared" si="502"/>
        <v>-8.1232492997198893</v>
      </c>
      <c r="S131" s="78">
        <f t="shared" si="502"/>
        <v>-7.1428571428571459</v>
      </c>
      <c r="T131" s="78">
        <f t="shared" si="502"/>
        <v>-6.1624649859944007</v>
      </c>
      <c r="U131" s="78">
        <f t="shared" si="502"/>
        <v>-5.1820728291316556</v>
      </c>
      <c r="V131" s="78">
        <f t="shared" si="502"/>
        <v>-4.2016806722689104</v>
      </c>
      <c r="W131" s="78">
        <f t="shared" si="502"/>
        <v>-3.2212885154061652</v>
      </c>
      <c r="X131" s="78">
        <f t="shared" si="502"/>
        <v>-2.2408963585434201</v>
      </c>
      <c r="Y131" s="78">
        <f t="shared" si="502"/>
        <v>-1.2605042016806749</v>
      </c>
      <c r="Z131" s="78">
        <f t="shared" si="502"/>
        <v>-0.28011204481792973</v>
      </c>
      <c r="AA131" s="78">
        <f t="shared" si="502"/>
        <v>0.70028011204481544</v>
      </c>
      <c r="AB131" s="78">
        <f t="shared" si="502"/>
        <v>1.6806722689075606</v>
      </c>
      <c r="AC131" s="78">
        <f t="shared" si="502"/>
        <v>2.6610644257703058</v>
      </c>
      <c r="AD131" s="78">
        <f t="shared" si="502"/>
        <v>3.6414565826330509</v>
      </c>
      <c r="AE131" s="78">
        <f t="shared" si="502"/>
        <v>4.6218487394957961</v>
      </c>
      <c r="AF131" s="78">
        <f t="shared" si="502"/>
        <v>5.6022408963585413</v>
      </c>
      <c r="AG131" s="78">
        <f t="shared" si="502"/>
        <v>6.5826330532212864</v>
      </c>
      <c r="AH131" s="78">
        <f t="shared" si="502"/>
        <v>7.5630252100840316</v>
      </c>
      <c r="AI131" s="78">
        <f t="shared" si="502"/>
        <v>8.5434173669467768</v>
      </c>
      <c r="AJ131" s="78">
        <f t="shared" si="502"/>
        <v>9.5238095238095184</v>
      </c>
      <c r="AK131" s="78">
        <f t="shared" si="502"/>
        <v>10.504201680672267</v>
      </c>
      <c r="AL131" s="78">
        <f t="shared" si="502"/>
        <v>11.484593837535009</v>
      </c>
      <c r="AM131" s="78">
        <f t="shared" si="502"/>
        <v>12.464985994397757</v>
      </c>
      <c r="AN131" s="81"/>
      <c r="AO131" s="75">
        <f t="shared" si="499"/>
        <v>-221.28851540616247</v>
      </c>
      <c r="AP131" s="75">
        <f t="shared" si="500"/>
        <v>-56.302521008403382</v>
      </c>
      <c r="AQ131" s="75">
        <f t="shared" si="501"/>
        <v>84.873949579831901</v>
      </c>
      <c r="AR131" s="82"/>
    </row>
    <row r="132" spans="1:44" collapsed="1"/>
    <row r="135" spans="1:44">
      <c r="A135" s="97" t="s">
        <v>138</v>
      </c>
      <c r="B135" s="9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7E67-2229-4950-8B12-A69B88143E19}">
  <sheetPr>
    <tabColor theme="0"/>
  </sheetPr>
  <dimension ref="A1:XEP85"/>
  <sheetViews>
    <sheetView zoomScaleNormal="100" workbookViewId="0">
      <pane xSplit="3" ySplit="4" topLeftCell="D14" activePane="bottomRight" state="frozen"/>
      <selection activeCell="A34" sqref="A34"/>
      <selection pane="topRight" activeCell="A34" sqref="A34"/>
      <selection pane="bottomLeft" activeCell="A34" sqref="A34"/>
      <selection pane="bottomRight" activeCell="A18" sqref="A18:A61"/>
    </sheetView>
  </sheetViews>
  <sheetFormatPr defaultColWidth="8.88671875" defaultRowHeight="13.2" outlineLevelRow="1" outlineLevelCol="1"/>
  <cols>
    <col min="1" max="1" width="40.5546875" style="80" customWidth="1"/>
    <col min="2" max="2" width="9.88671875" style="80" bestFit="1" customWidth="1"/>
    <col min="3" max="3" width="17.5546875" style="80" customWidth="1"/>
    <col min="4" max="4" width="11.109375" style="70" customWidth="1" outlineLevel="1"/>
    <col min="5" max="18" width="9.88671875" style="80" customWidth="1" outlineLevel="1"/>
    <col min="19" max="39" width="10.88671875" style="80" customWidth="1" outlineLevel="1"/>
    <col min="40" max="40" width="5.44140625" style="80" customWidth="1"/>
    <col min="41" max="42" width="10.88671875" style="80" bestFit="1" customWidth="1"/>
    <col min="43" max="43" width="12" style="80" bestFit="1" customWidth="1"/>
    <col min="44" max="16384" width="8.88671875" style="80"/>
  </cols>
  <sheetData>
    <row r="1" spans="1:16370" s="4" customFormat="1" ht="15.6">
      <c r="A1" s="1" t="s">
        <v>132</v>
      </c>
      <c r="B1" s="2"/>
      <c r="C1" s="2"/>
      <c r="D1" s="54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16370" s="56" customFormat="1" ht="17.25" customHeight="1">
      <c r="A2" s="55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 spans="1:16370" s="56" customFormat="1" ht="15" customHeight="1">
      <c r="D3" s="59">
        <v>46023</v>
      </c>
      <c r="E3" s="59">
        <v>46054</v>
      </c>
      <c r="F3" s="59">
        <v>46082</v>
      </c>
      <c r="G3" s="59">
        <v>46113</v>
      </c>
      <c r="H3" s="59">
        <v>46143</v>
      </c>
      <c r="I3" s="59">
        <v>46174</v>
      </c>
      <c r="J3" s="59">
        <v>46204</v>
      </c>
      <c r="K3" s="59">
        <v>46235</v>
      </c>
      <c r="L3" s="59">
        <v>46266</v>
      </c>
      <c r="M3" s="59">
        <v>46296</v>
      </c>
      <c r="N3" s="59">
        <v>46327</v>
      </c>
      <c r="O3" s="59">
        <v>46357</v>
      </c>
      <c r="P3" s="59">
        <v>46388</v>
      </c>
      <c r="Q3" s="59">
        <v>46419</v>
      </c>
      <c r="R3" s="59">
        <v>46447</v>
      </c>
      <c r="S3" s="59">
        <v>46478</v>
      </c>
      <c r="T3" s="59">
        <v>46508</v>
      </c>
      <c r="U3" s="59">
        <v>46539</v>
      </c>
      <c r="V3" s="59">
        <v>46569</v>
      </c>
      <c r="W3" s="59">
        <v>46600</v>
      </c>
      <c r="X3" s="59">
        <v>46631</v>
      </c>
      <c r="Y3" s="59">
        <v>46661</v>
      </c>
      <c r="Z3" s="59">
        <v>46692</v>
      </c>
      <c r="AA3" s="59">
        <v>46722</v>
      </c>
      <c r="AB3" s="59">
        <v>46753</v>
      </c>
      <c r="AC3" s="59">
        <v>46784</v>
      </c>
      <c r="AD3" s="59">
        <v>46813</v>
      </c>
      <c r="AE3" s="59">
        <v>46844</v>
      </c>
      <c r="AF3" s="59">
        <v>46874</v>
      </c>
      <c r="AG3" s="59">
        <v>46905</v>
      </c>
      <c r="AH3" s="59">
        <v>46935</v>
      </c>
      <c r="AI3" s="59">
        <v>46966</v>
      </c>
      <c r="AJ3" s="59">
        <v>46997</v>
      </c>
      <c r="AK3" s="59">
        <v>47027</v>
      </c>
      <c r="AL3" s="59">
        <v>47058</v>
      </c>
      <c r="AM3" s="59">
        <v>47088</v>
      </c>
      <c r="AO3" s="57">
        <f>YEAR(O3)</f>
        <v>2026</v>
      </c>
      <c r="AP3" s="57">
        <f>YEAR(AA3)</f>
        <v>2027</v>
      </c>
      <c r="AQ3" s="57">
        <f>YEAR(AM3)</f>
        <v>2028</v>
      </c>
    </row>
    <row r="4" spans="1:16370" s="61" customFormat="1">
      <c r="A4" s="56"/>
      <c r="B4" s="56"/>
      <c r="C4" s="56"/>
      <c r="D4" s="60" t="s">
        <v>1</v>
      </c>
      <c r="E4" s="60" t="s">
        <v>2</v>
      </c>
      <c r="F4" s="60" t="s">
        <v>3</v>
      </c>
      <c r="G4" s="60" t="s">
        <v>4</v>
      </c>
      <c r="H4" s="60" t="s">
        <v>5</v>
      </c>
      <c r="I4" s="60" t="s">
        <v>6</v>
      </c>
      <c r="J4" s="60" t="s">
        <v>7</v>
      </c>
      <c r="K4" s="60" t="s">
        <v>8</v>
      </c>
      <c r="L4" s="60" t="s">
        <v>9</v>
      </c>
      <c r="M4" s="60" t="s">
        <v>10</v>
      </c>
      <c r="N4" s="60" t="s">
        <v>11</v>
      </c>
      <c r="O4" s="60" t="s">
        <v>12</v>
      </c>
      <c r="P4" s="60" t="s">
        <v>13</v>
      </c>
      <c r="Q4" s="60" t="s">
        <v>14</v>
      </c>
      <c r="R4" s="60" t="s">
        <v>15</v>
      </c>
      <c r="S4" s="60" t="s">
        <v>16</v>
      </c>
      <c r="T4" s="60" t="s">
        <v>17</v>
      </c>
      <c r="U4" s="60" t="s">
        <v>18</v>
      </c>
      <c r="V4" s="60" t="s">
        <v>19</v>
      </c>
      <c r="W4" s="60" t="s">
        <v>20</v>
      </c>
      <c r="X4" s="60" t="s">
        <v>21</v>
      </c>
      <c r="Y4" s="60" t="s">
        <v>22</v>
      </c>
      <c r="Z4" s="60" t="s">
        <v>23</v>
      </c>
      <c r="AA4" s="60" t="s">
        <v>24</v>
      </c>
      <c r="AB4" s="60" t="s">
        <v>25</v>
      </c>
      <c r="AC4" s="60" t="s">
        <v>26</v>
      </c>
      <c r="AD4" s="60" t="s">
        <v>27</v>
      </c>
      <c r="AE4" s="60" t="s">
        <v>28</v>
      </c>
      <c r="AF4" s="60" t="s">
        <v>29</v>
      </c>
      <c r="AG4" s="60" t="s">
        <v>30</v>
      </c>
      <c r="AH4" s="60" t="s">
        <v>31</v>
      </c>
      <c r="AI4" s="60" t="s">
        <v>32</v>
      </c>
      <c r="AJ4" s="60" t="s">
        <v>33</v>
      </c>
      <c r="AK4" s="60" t="s">
        <v>34</v>
      </c>
      <c r="AL4" s="60" t="s">
        <v>35</v>
      </c>
      <c r="AM4" s="60" t="s">
        <v>36</v>
      </c>
      <c r="AO4" s="60" t="s">
        <v>37</v>
      </c>
      <c r="AP4" s="60" t="s">
        <v>38</v>
      </c>
      <c r="AQ4" s="60" t="s">
        <v>39</v>
      </c>
    </row>
    <row r="5" spans="1:16370" s="62" customFormat="1">
      <c r="D5" s="95">
        <v>1</v>
      </c>
      <c r="E5" s="63">
        <f t="shared" ref="E5:AM5" si="0">D5+1</f>
        <v>2</v>
      </c>
      <c r="F5" s="63">
        <f t="shared" si="0"/>
        <v>3</v>
      </c>
      <c r="G5" s="63">
        <f t="shared" si="0"/>
        <v>4</v>
      </c>
      <c r="H5" s="63">
        <f t="shared" si="0"/>
        <v>5</v>
      </c>
      <c r="I5" s="63">
        <f t="shared" si="0"/>
        <v>6</v>
      </c>
      <c r="J5" s="63">
        <f t="shared" si="0"/>
        <v>7</v>
      </c>
      <c r="K5" s="63">
        <f t="shared" si="0"/>
        <v>8</v>
      </c>
      <c r="L5" s="63">
        <f t="shared" si="0"/>
        <v>9</v>
      </c>
      <c r="M5" s="63">
        <f t="shared" si="0"/>
        <v>10</v>
      </c>
      <c r="N5" s="63">
        <f t="shared" si="0"/>
        <v>11</v>
      </c>
      <c r="O5" s="63">
        <f t="shared" si="0"/>
        <v>12</v>
      </c>
      <c r="P5" s="63">
        <f t="shared" si="0"/>
        <v>13</v>
      </c>
      <c r="Q5" s="63">
        <f t="shared" si="0"/>
        <v>14</v>
      </c>
      <c r="R5" s="63">
        <f t="shared" si="0"/>
        <v>15</v>
      </c>
      <c r="S5" s="63">
        <f t="shared" si="0"/>
        <v>16</v>
      </c>
      <c r="T5" s="63">
        <f t="shared" si="0"/>
        <v>17</v>
      </c>
      <c r="U5" s="63">
        <f t="shared" si="0"/>
        <v>18</v>
      </c>
      <c r="V5" s="63">
        <f t="shared" si="0"/>
        <v>19</v>
      </c>
      <c r="W5" s="63">
        <f t="shared" si="0"/>
        <v>20</v>
      </c>
      <c r="X5" s="63">
        <f t="shared" si="0"/>
        <v>21</v>
      </c>
      <c r="Y5" s="63">
        <f t="shared" si="0"/>
        <v>22</v>
      </c>
      <c r="Z5" s="63">
        <f t="shared" si="0"/>
        <v>23</v>
      </c>
      <c r="AA5" s="63">
        <f t="shared" si="0"/>
        <v>24</v>
      </c>
      <c r="AB5" s="63">
        <f t="shared" si="0"/>
        <v>25</v>
      </c>
      <c r="AC5" s="63">
        <f t="shared" si="0"/>
        <v>26</v>
      </c>
      <c r="AD5" s="63">
        <f t="shared" si="0"/>
        <v>27</v>
      </c>
      <c r="AE5" s="63">
        <f t="shared" si="0"/>
        <v>28</v>
      </c>
      <c r="AF5" s="63">
        <f t="shared" si="0"/>
        <v>29</v>
      </c>
      <c r="AG5" s="63">
        <f t="shared" si="0"/>
        <v>30</v>
      </c>
      <c r="AH5" s="63">
        <f t="shared" si="0"/>
        <v>31</v>
      </c>
      <c r="AI5" s="63">
        <f t="shared" si="0"/>
        <v>32</v>
      </c>
      <c r="AJ5" s="63">
        <f t="shared" si="0"/>
        <v>33</v>
      </c>
      <c r="AK5" s="63">
        <f t="shared" si="0"/>
        <v>34</v>
      </c>
      <c r="AL5" s="63">
        <f t="shared" si="0"/>
        <v>35</v>
      </c>
      <c r="AM5" s="63">
        <f t="shared" si="0"/>
        <v>36</v>
      </c>
      <c r="AO5" s="64"/>
      <c r="AP5" s="64"/>
      <c r="AQ5" s="64"/>
    </row>
    <row r="6" spans="1:16370" s="62" customFormat="1" ht="6.6" customHeight="1"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O6" s="64"/>
      <c r="AP6" s="64"/>
      <c r="AQ6" s="64"/>
    </row>
    <row r="7" spans="1:16370">
      <c r="A7" s="83" t="s">
        <v>178</v>
      </c>
      <c r="B7" s="66" t="s">
        <v>76</v>
      </c>
      <c r="C7" s="101" t="s">
        <v>77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9"/>
      <c r="AO7" s="102"/>
      <c r="AP7" s="68"/>
      <c r="AQ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</row>
    <row r="8" spans="1:16370" s="69" customFormat="1">
      <c r="A8" s="70" t="s">
        <v>326</v>
      </c>
      <c r="B8" s="71" t="s">
        <v>85</v>
      </c>
      <c r="C8" s="72"/>
      <c r="D8" s="73">
        <f>D27/D22+D45/D40+D70/D65</f>
        <v>1350</v>
      </c>
      <c r="E8" s="73">
        <f t="shared" ref="E8:AM8" si="1">E27/E22+E45/E40+E70/E65</f>
        <v>2681.4375</v>
      </c>
      <c r="F8" s="73">
        <f t="shared" si="1"/>
        <v>3999.7427343750001</v>
      </c>
      <c r="G8" s="73">
        <f t="shared" si="1"/>
        <v>5305.9176155273444</v>
      </c>
      <c r="H8" s="73">
        <f t="shared" si="1"/>
        <v>6600.8993235872804</v>
      </c>
      <c r="I8" s="73">
        <f t="shared" si="1"/>
        <v>7885.5525960274244</v>
      </c>
      <c r="J8" s="73">
        <f t="shared" si="1"/>
        <v>9070.6753644573491</v>
      </c>
      <c r="K8" s="73">
        <f t="shared" si="1"/>
        <v>10344.241415637318</v>
      </c>
      <c r="L8" s="73">
        <f t="shared" si="1"/>
        <v>11698.848138276151</v>
      </c>
      <c r="M8" s="73">
        <f t="shared" si="1"/>
        <v>13128.236471285387</v>
      </c>
      <c r="N8" s="73">
        <f t="shared" si="1"/>
        <v>14626.629095456159</v>
      </c>
      <c r="O8" s="73">
        <f t="shared" si="1"/>
        <v>16188.695028737809</v>
      </c>
      <c r="P8" s="73">
        <f t="shared" si="1"/>
        <v>17629.515138371891</v>
      </c>
      <c r="Q8" s="73">
        <f t="shared" si="1"/>
        <v>18959.025323161637</v>
      </c>
      <c r="R8" s="73">
        <f t="shared" si="1"/>
        <v>20185.82312257764</v>
      </c>
      <c r="S8" s="73">
        <f t="shared" si="1"/>
        <v>21317.843670329577</v>
      </c>
      <c r="T8" s="73">
        <f t="shared" si="1"/>
        <v>22362.409059281425</v>
      </c>
      <c r="U8" s="73">
        <f t="shared" si="1"/>
        <v>23326.275708136003</v>
      </c>
      <c r="V8" s="73">
        <f t="shared" si="1"/>
        <v>24215.678063029638</v>
      </c>
      <c r="W8" s="73">
        <f t="shared" si="1"/>
        <v>25036.368922943067</v>
      </c>
      <c r="X8" s="73">
        <f t="shared" si="1"/>
        <v>25793.656649740235</v>
      </c>
      <c r="Y8" s="73">
        <f t="shared" si="1"/>
        <v>26492.439503515543</v>
      </c>
      <c r="Z8" s="73">
        <f t="shared" si="1"/>
        <v>27137.237325336246</v>
      </c>
      <c r="AA8" s="73">
        <f t="shared" si="1"/>
        <v>27732.22077230904</v>
      </c>
      <c r="AB8" s="73">
        <f t="shared" si="1"/>
        <v>28281.238294068084</v>
      </c>
      <c r="AC8" s="73">
        <f t="shared" si="1"/>
        <v>28787.841025172678</v>
      </c>
      <c r="AD8" s="73">
        <f t="shared" si="1"/>
        <v>29255.305754422741</v>
      </c>
      <c r="AE8" s="73">
        <f t="shared" si="1"/>
        <v>29686.656119661333</v>
      </c>
      <c r="AF8" s="73">
        <f t="shared" si="1"/>
        <v>30084.682165155631</v>
      </c>
      <c r="AG8" s="73">
        <f t="shared" si="1"/>
        <v>30451.958388056712</v>
      </c>
      <c r="AH8" s="73">
        <f t="shared" si="1"/>
        <v>30790.860390665519</v>
      </c>
      <c r="AI8" s="73">
        <f t="shared" si="1"/>
        <v>31103.580246214668</v>
      </c>
      <c r="AJ8" s="73">
        <f t="shared" si="1"/>
        <v>31392.140677554344</v>
      </c>
      <c r="AK8" s="73">
        <f t="shared" si="1"/>
        <v>31658.408140452473</v>
      </c>
      <c r="AL8" s="73">
        <f t="shared" si="1"/>
        <v>31904.104896133955</v>
      </c>
      <c r="AM8" s="73">
        <f t="shared" si="1"/>
        <v>32130.820151146174</v>
      </c>
      <c r="AN8" s="74"/>
      <c r="AO8" s="75">
        <f>O8</f>
        <v>16188.695028737809</v>
      </c>
      <c r="AP8" s="75">
        <f>AA8</f>
        <v>27732.22077230904</v>
      </c>
      <c r="AQ8" s="75">
        <f>AM8</f>
        <v>32130.820151146174</v>
      </c>
    </row>
    <row r="9" spans="1:16370" s="69" customFormat="1">
      <c r="A9" s="70" t="s">
        <v>152</v>
      </c>
      <c r="B9" s="71" t="s">
        <v>78</v>
      </c>
      <c r="C9" s="72"/>
      <c r="D9" s="73">
        <f>D27+D55+D80</f>
        <v>64350</v>
      </c>
      <c r="E9" s="73">
        <f t="shared" ref="E9:AM9" si="2">E27+E55+E80</f>
        <v>127815.1875</v>
      </c>
      <c r="F9" s="73">
        <f t="shared" si="2"/>
        <v>190654.40367187498</v>
      </c>
      <c r="G9" s="73">
        <f t="shared" si="2"/>
        <v>252915.40634013675</v>
      </c>
      <c r="H9" s="73">
        <f t="shared" si="2"/>
        <v>314642.8677576604</v>
      </c>
      <c r="I9" s="73">
        <f t="shared" si="2"/>
        <v>374563.74831130262</v>
      </c>
      <c r="J9" s="73">
        <f t="shared" si="2"/>
        <v>430857.07981172408</v>
      </c>
      <c r="K9" s="73">
        <f t="shared" si="2"/>
        <v>491351.46724277257</v>
      </c>
      <c r="L9" s="73">
        <f t="shared" si="2"/>
        <v>555695.28656811721</v>
      </c>
      <c r="M9" s="73">
        <f t="shared" si="2"/>
        <v>623591.23238605587</v>
      </c>
      <c r="N9" s="73">
        <f t="shared" si="2"/>
        <v>694764.88203416753</v>
      </c>
      <c r="O9" s="73">
        <f t="shared" si="2"/>
        <v>768963.01386504597</v>
      </c>
      <c r="P9" s="73">
        <f t="shared" si="2"/>
        <v>837401.96907266486</v>
      </c>
      <c r="Q9" s="73">
        <f t="shared" si="2"/>
        <v>900553.70285017765</v>
      </c>
      <c r="R9" s="73">
        <f t="shared" si="2"/>
        <v>948733.68676114909</v>
      </c>
      <c r="S9" s="73">
        <f t="shared" si="2"/>
        <v>1001938.65250549</v>
      </c>
      <c r="T9" s="73">
        <f t="shared" si="2"/>
        <v>1051033.2257862268</v>
      </c>
      <c r="U9" s="73">
        <f t="shared" si="2"/>
        <v>1096334.9582823922</v>
      </c>
      <c r="V9" s="73">
        <f t="shared" si="2"/>
        <v>1138136.8689623931</v>
      </c>
      <c r="W9" s="73">
        <f t="shared" si="2"/>
        <v>1176709.3393783243</v>
      </c>
      <c r="X9" s="73">
        <f t="shared" si="2"/>
        <v>1212301.862537791</v>
      </c>
      <c r="Y9" s="73">
        <f t="shared" si="2"/>
        <v>1245144.6566652304</v>
      </c>
      <c r="Z9" s="73">
        <f t="shared" si="2"/>
        <v>1275450.1542908032</v>
      </c>
      <c r="AA9" s="73">
        <f t="shared" si="2"/>
        <v>1303414.3762985249</v>
      </c>
      <c r="AB9" s="73">
        <f t="shared" si="2"/>
        <v>1329218.1998211998</v>
      </c>
      <c r="AC9" s="73">
        <f t="shared" si="2"/>
        <v>1353028.5281831159</v>
      </c>
      <c r="AD9" s="73">
        <f t="shared" si="2"/>
        <v>1374999.3704578686</v>
      </c>
      <c r="AE9" s="73">
        <f t="shared" si="2"/>
        <v>1395272.8376240826</v>
      </c>
      <c r="AF9" s="73">
        <f t="shared" si="2"/>
        <v>1413980.0617623145</v>
      </c>
      <c r="AG9" s="73">
        <f t="shared" si="2"/>
        <v>1431242.0442386654</v>
      </c>
      <c r="AH9" s="73">
        <f t="shared" si="2"/>
        <v>1447170.4383612792</v>
      </c>
      <c r="AI9" s="73">
        <f t="shared" si="2"/>
        <v>1461868.2715720893</v>
      </c>
      <c r="AJ9" s="73">
        <f t="shared" si="2"/>
        <v>1475430.6118450542</v>
      </c>
      <c r="AK9" s="73">
        <f t="shared" si="2"/>
        <v>1487945.1826012661</v>
      </c>
      <c r="AL9" s="73">
        <f t="shared" si="2"/>
        <v>1499492.9301182958</v>
      </c>
      <c r="AM9" s="73">
        <f t="shared" si="2"/>
        <v>1510148.5471038702</v>
      </c>
      <c r="AN9" s="74"/>
      <c r="AO9" s="75">
        <f>O9</f>
        <v>768963.01386504597</v>
      </c>
      <c r="AP9" s="75">
        <f>AA9</f>
        <v>1303414.3762985249</v>
      </c>
      <c r="AQ9" s="75">
        <f>AM9</f>
        <v>1510148.5471038702</v>
      </c>
    </row>
    <row r="10" spans="1:16370">
      <c r="A10" s="70" t="s">
        <v>145</v>
      </c>
      <c r="B10" s="71" t="s">
        <v>78</v>
      </c>
      <c r="C10" s="72"/>
      <c r="D10" s="73">
        <f>D31+D56+D81</f>
        <v>-375.37500000000006</v>
      </c>
      <c r="E10" s="73">
        <f t="shared" ref="E10:AM10" si="3">E31+E56+E81</f>
        <v>-1120.96359375</v>
      </c>
      <c r="F10" s="73">
        <f t="shared" si="3"/>
        <v>-1857.7392818359376</v>
      </c>
      <c r="G10" s="73">
        <f t="shared" si="3"/>
        <v>-2587.4905584034022</v>
      </c>
      <c r="H10" s="73">
        <f t="shared" si="3"/>
        <v>-3310.7565989038167</v>
      </c>
      <c r="I10" s="73">
        <f t="shared" si="3"/>
        <v>-4013.9543860599083</v>
      </c>
      <c r="J10" s="73">
        <f t="shared" si="3"/>
        <v>-4698.2881640509895</v>
      </c>
      <c r="K10" s="73">
        <f t="shared" si="3"/>
        <v>-5379.5498578178976</v>
      </c>
      <c r="L10" s="73">
        <f t="shared" si="3"/>
        <v>-6107.7727305635244</v>
      </c>
      <c r="M10" s="73">
        <f t="shared" si="3"/>
        <v>-6879.1713605660107</v>
      </c>
      <c r="N10" s="73">
        <f t="shared" si="3"/>
        <v>-7690.4106674513041</v>
      </c>
      <c r="O10" s="73">
        <f t="shared" si="3"/>
        <v>-8538.4127260787463</v>
      </c>
      <c r="P10" s="73">
        <f t="shared" si="3"/>
        <v>-9370.4624004699817</v>
      </c>
      <c r="Q10" s="73">
        <f t="shared" si="3"/>
        <v>-10138.074752883251</v>
      </c>
      <c r="R10" s="73">
        <f t="shared" si="3"/>
        <v>-10732.212615540186</v>
      </c>
      <c r="S10" s="73">
        <f t="shared" si="3"/>
        <v>-11378.921979055394</v>
      </c>
      <c r="T10" s="73">
        <f t="shared" si="3"/>
        <v>-11975.669290035017</v>
      </c>
      <c r="U10" s="73">
        <f t="shared" si="3"/>
        <v>-12526.314407066946</v>
      </c>
      <c r="V10" s="73">
        <f t="shared" si="3"/>
        <v>-13034.418992261248</v>
      </c>
      <c r="W10" s="73">
        <f t="shared" si="3"/>
        <v>-13503.269548654185</v>
      </c>
      <c r="X10" s="73">
        <f t="shared" si="3"/>
        <v>-13935.898677844008</v>
      </c>
      <c r="Y10" s="73">
        <f t="shared" si="3"/>
        <v>-14335.104695350961</v>
      </c>
      <c r="Z10" s="73">
        <f t="shared" si="3"/>
        <v>-14703.469730576864</v>
      </c>
      <c r="AA10" s="73">
        <f t="shared" si="3"/>
        <v>-15043.376428437748</v>
      </c>
      <c r="AB10" s="73">
        <f t="shared" si="3"/>
        <v>-15357.023360698397</v>
      </c>
      <c r="AC10" s="73">
        <f t="shared" si="3"/>
        <v>-15646.439246691843</v>
      </c>
      <c r="AD10" s="73">
        <f t="shared" si="3"/>
        <v>-15913.496075405747</v>
      </c>
      <c r="AE10" s="73">
        <f t="shared" si="3"/>
        <v>-16159.921213811383</v>
      </c>
      <c r="AF10" s="73">
        <f t="shared" si="3"/>
        <v>-16387.308579753982</v>
      </c>
      <c r="AG10" s="73">
        <f t="shared" si="3"/>
        <v>-16597.128951672385</v>
      </c>
      <c r="AH10" s="73">
        <f t="shared" si="3"/>
        <v>-16790.73948183301</v>
      </c>
      <c r="AI10" s="73">
        <f t="shared" si="3"/>
        <v>-16969.392474611319</v>
      </c>
      <c r="AJ10" s="73">
        <f t="shared" si="3"/>
        <v>-17134.243486600004</v>
      </c>
      <c r="AK10" s="73">
        <f t="shared" si="3"/>
        <v>-17286.358800936872</v>
      </c>
      <c r="AL10" s="73">
        <f t="shared" si="3"/>
        <v>-17426.72232419745</v>
      </c>
      <c r="AM10" s="73">
        <f t="shared" si="3"/>
        <v>-17556.241950462638</v>
      </c>
      <c r="AN10" s="81"/>
      <c r="AO10" s="75">
        <f>SUM(D10:O10)</f>
        <v>-52559.884925481529</v>
      </c>
      <c r="AP10" s="75">
        <f>SUM(P10:AA10)</f>
        <v>-150677.19351817577</v>
      </c>
      <c r="AQ10" s="75">
        <f>SUM(AB10:AM10)</f>
        <v>-199225.015946675</v>
      </c>
    </row>
    <row r="11" spans="1:16370">
      <c r="A11" s="70" t="s">
        <v>146</v>
      </c>
      <c r="B11" s="71" t="s">
        <v>78</v>
      </c>
      <c r="C11" s="72"/>
      <c r="D11" s="73">
        <f>D32+D57+D82</f>
        <v>429</v>
      </c>
      <c r="E11" s="73">
        <f t="shared" ref="E11:AM11" si="4">E32+E57+E82</f>
        <v>1281.1012499999999</v>
      </c>
      <c r="F11" s="73">
        <f t="shared" si="4"/>
        <v>2123.1306078124999</v>
      </c>
      <c r="G11" s="73">
        <f t="shared" si="4"/>
        <v>2957.1320667467453</v>
      </c>
      <c r="H11" s="73">
        <f t="shared" si="4"/>
        <v>3783.7218273186477</v>
      </c>
      <c r="I11" s="73">
        <f t="shared" si="4"/>
        <v>4587.3764412113233</v>
      </c>
      <c r="J11" s="73">
        <f t="shared" si="4"/>
        <v>5369.4721874868446</v>
      </c>
      <c r="K11" s="73">
        <f t="shared" si="4"/>
        <v>6148.0569803633107</v>
      </c>
      <c r="L11" s="73">
        <f t="shared" si="4"/>
        <v>6980.3116920725988</v>
      </c>
      <c r="M11" s="73">
        <f t="shared" si="4"/>
        <v>7861.9101263611537</v>
      </c>
      <c r="N11" s="73">
        <f t="shared" si="4"/>
        <v>8789.0407628014909</v>
      </c>
      <c r="O11" s="73">
        <f t="shared" si="4"/>
        <v>9758.1859726614239</v>
      </c>
      <c r="P11" s="73">
        <f t="shared" si="4"/>
        <v>10709.099886251406</v>
      </c>
      <c r="Q11" s="73">
        <f t="shared" si="4"/>
        <v>11586.371146152285</v>
      </c>
      <c r="R11" s="73">
        <f t="shared" si="4"/>
        <v>12265.385846331639</v>
      </c>
      <c r="S11" s="73">
        <f t="shared" si="4"/>
        <v>13004.482261777594</v>
      </c>
      <c r="T11" s="73">
        <f t="shared" si="4"/>
        <v>13686.479188611447</v>
      </c>
      <c r="U11" s="73">
        <f t="shared" si="4"/>
        <v>14315.787893790795</v>
      </c>
      <c r="V11" s="73">
        <f t="shared" si="4"/>
        <v>14896.478848298568</v>
      </c>
      <c r="W11" s="73">
        <f t="shared" si="4"/>
        <v>15432.308055604784</v>
      </c>
      <c r="X11" s="73">
        <f t="shared" si="4"/>
        <v>15926.741346107436</v>
      </c>
      <c r="Y11" s="73">
        <f t="shared" si="4"/>
        <v>16382.976794686812</v>
      </c>
      <c r="Z11" s="73">
        <f t="shared" si="4"/>
        <v>16803.965406373558</v>
      </c>
      <c r="AA11" s="73">
        <f t="shared" si="4"/>
        <v>17192.430203928856</v>
      </c>
      <c r="AB11" s="73">
        <f t="shared" si="4"/>
        <v>17550.883840798164</v>
      </c>
      <c r="AC11" s="73">
        <f t="shared" si="4"/>
        <v>17881.644853362108</v>
      </c>
      <c r="AD11" s="73">
        <f t="shared" si="4"/>
        <v>18186.852657606567</v>
      </c>
      <c r="AE11" s="73">
        <f t="shared" si="4"/>
        <v>18468.481387213011</v>
      </c>
      <c r="AF11" s="73">
        <f t="shared" si="4"/>
        <v>18728.352662575981</v>
      </c>
      <c r="AG11" s="73">
        <f t="shared" si="4"/>
        <v>18968.147373339867</v>
      </c>
      <c r="AH11" s="73">
        <f t="shared" si="4"/>
        <v>19189.416550666298</v>
      </c>
      <c r="AI11" s="73">
        <f t="shared" si="4"/>
        <v>19393.591399555793</v>
      </c>
      <c r="AJ11" s="73">
        <f t="shared" si="4"/>
        <v>19581.992556114288</v>
      </c>
      <c r="AK11" s="73">
        <f t="shared" si="4"/>
        <v>19755.838629642138</v>
      </c>
      <c r="AL11" s="73">
        <f t="shared" si="4"/>
        <v>19916.254084797081</v>
      </c>
      <c r="AM11" s="73">
        <f t="shared" si="4"/>
        <v>20064.276514814443</v>
      </c>
      <c r="AN11" s="81"/>
      <c r="AO11" s="75">
        <f>SUM(D11:O11)</f>
        <v>60068.439914836039</v>
      </c>
      <c r="AP11" s="75">
        <f>SUM(P11:AA11)</f>
        <v>172202.50687791518</v>
      </c>
      <c r="AQ11" s="75">
        <f>SUM(AB11:AM11)</f>
        <v>227685.73251048574</v>
      </c>
    </row>
    <row r="12" spans="1:16370" s="69" customFormat="1">
      <c r="A12" s="70" t="s">
        <v>99</v>
      </c>
      <c r="B12" s="71" t="s">
        <v>78</v>
      </c>
      <c r="C12" s="72"/>
      <c r="D12" s="73">
        <f>D33+D58+D83</f>
        <v>-643.5</v>
      </c>
      <c r="E12" s="73">
        <f t="shared" ref="E12:AM12" si="5">E33+E58+E83</f>
        <v>-686.4</v>
      </c>
      <c r="F12" s="73">
        <f t="shared" si="5"/>
        <v>-729.3</v>
      </c>
      <c r="G12" s="73">
        <f t="shared" si="5"/>
        <v>-772.2</v>
      </c>
      <c r="H12" s="73">
        <f t="shared" si="5"/>
        <v>-815.1</v>
      </c>
      <c r="I12" s="73">
        <f t="shared" si="5"/>
        <v>-855</v>
      </c>
      <c r="J12" s="73">
        <f t="shared" si="5"/>
        <v>-855</v>
      </c>
      <c r="K12" s="73">
        <f t="shared" si="5"/>
        <v>-940.5</v>
      </c>
      <c r="L12" s="73">
        <f t="shared" si="5"/>
        <v>-1026</v>
      </c>
      <c r="M12" s="73">
        <f t="shared" si="5"/>
        <v>-1111.5</v>
      </c>
      <c r="N12" s="73">
        <f t="shared" si="5"/>
        <v>-1197</v>
      </c>
      <c r="O12" s="73">
        <f t="shared" si="5"/>
        <v>-1282.5</v>
      </c>
      <c r="P12" s="73">
        <f t="shared" si="5"/>
        <v>-1282.5</v>
      </c>
      <c r="Q12" s="73">
        <f t="shared" si="5"/>
        <v>-1282.5</v>
      </c>
      <c r="R12" s="73">
        <f t="shared" si="5"/>
        <v>-1269</v>
      </c>
      <c r="S12" s="73">
        <f t="shared" si="5"/>
        <v>-1269</v>
      </c>
      <c r="T12" s="73">
        <f t="shared" si="5"/>
        <v>-1269</v>
      </c>
      <c r="U12" s="73">
        <f t="shared" si="5"/>
        <v>-1269</v>
      </c>
      <c r="V12" s="73">
        <f t="shared" si="5"/>
        <v>-1269</v>
      </c>
      <c r="W12" s="73">
        <f t="shared" si="5"/>
        <v>-1269</v>
      </c>
      <c r="X12" s="73">
        <f t="shared" si="5"/>
        <v>-1269</v>
      </c>
      <c r="Y12" s="73">
        <f t="shared" si="5"/>
        <v>-1269</v>
      </c>
      <c r="Z12" s="73">
        <f t="shared" si="5"/>
        <v>-1269</v>
      </c>
      <c r="AA12" s="73">
        <f t="shared" si="5"/>
        <v>-1269</v>
      </c>
      <c r="AB12" s="73">
        <f t="shared" si="5"/>
        <v>-1269</v>
      </c>
      <c r="AC12" s="73">
        <f t="shared" si="5"/>
        <v>-1269</v>
      </c>
      <c r="AD12" s="73">
        <f t="shared" si="5"/>
        <v>-1269</v>
      </c>
      <c r="AE12" s="73">
        <f t="shared" si="5"/>
        <v>-1269</v>
      </c>
      <c r="AF12" s="73">
        <f t="shared" si="5"/>
        <v>-1269</v>
      </c>
      <c r="AG12" s="73">
        <f t="shared" si="5"/>
        <v>-1269</v>
      </c>
      <c r="AH12" s="73">
        <f t="shared" si="5"/>
        <v>-1269</v>
      </c>
      <c r="AI12" s="73">
        <f t="shared" si="5"/>
        <v>-1269</v>
      </c>
      <c r="AJ12" s="73">
        <f t="shared" si="5"/>
        <v>-1269</v>
      </c>
      <c r="AK12" s="73">
        <f t="shared" si="5"/>
        <v>-1269</v>
      </c>
      <c r="AL12" s="73">
        <f t="shared" si="5"/>
        <v>-1269</v>
      </c>
      <c r="AM12" s="73">
        <f t="shared" si="5"/>
        <v>-1269</v>
      </c>
      <c r="AN12" s="74"/>
      <c r="AO12" s="75">
        <f t="shared" ref="AO12:AO13" si="6">SUM(D12:O12)</f>
        <v>-10914</v>
      </c>
      <c r="AP12" s="75">
        <f t="shared" ref="AP12:AP13" si="7">SUM(P12:AA12)</f>
        <v>-15255</v>
      </c>
      <c r="AQ12" s="75">
        <f t="shared" ref="AQ12:AQ13" si="8">SUM(AB12:AM12)</f>
        <v>-15228</v>
      </c>
    </row>
    <row r="13" spans="1:16370" s="69" customFormat="1">
      <c r="A13" s="70" t="s">
        <v>320</v>
      </c>
      <c r="B13" s="71" t="s">
        <v>78</v>
      </c>
      <c r="C13" s="72"/>
      <c r="D13" s="73"/>
      <c r="E13" s="73">
        <f>-0.2%*D9/12</f>
        <v>-10.725</v>
      </c>
      <c r="F13" s="73">
        <f>-0.2%*(D9+E9)/2/12</f>
        <v>-16.013765625000001</v>
      </c>
      <c r="G13" s="73">
        <f t="shared" ref="G13:AM13" si="9">-0.2%*(E9+F9)/2/12</f>
        <v>-26.539132597656252</v>
      </c>
      <c r="H13" s="73">
        <f t="shared" si="9"/>
        <v>-36.964150834334312</v>
      </c>
      <c r="I13" s="73">
        <f t="shared" si="9"/>
        <v>-47.296522841483096</v>
      </c>
      <c r="J13" s="73">
        <f t="shared" si="9"/>
        <v>-57.433884672413576</v>
      </c>
      <c r="K13" s="73">
        <f t="shared" si="9"/>
        <v>-67.118402343585572</v>
      </c>
      <c r="L13" s="73">
        <f t="shared" si="9"/>
        <v>-76.850712254541392</v>
      </c>
      <c r="M13" s="73">
        <f t="shared" si="9"/>
        <v>-87.253896150907494</v>
      </c>
      <c r="N13" s="73">
        <f t="shared" si="9"/>
        <v>-98.273876579514436</v>
      </c>
      <c r="O13" s="73">
        <f t="shared" si="9"/>
        <v>-109.86300953501863</v>
      </c>
      <c r="P13" s="73">
        <f t="shared" si="9"/>
        <v>-121.97732465826778</v>
      </c>
      <c r="Q13" s="73">
        <f t="shared" si="9"/>
        <v>-133.86374857814258</v>
      </c>
      <c r="R13" s="73">
        <f t="shared" si="9"/>
        <v>-144.82963932690356</v>
      </c>
      <c r="S13" s="73">
        <f t="shared" si="9"/>
        <v>-154.10728246761056</v>
      </c>
      <c r="T13" s="73">
        <f t="shared" si="9"/>
        <v>-162.55602827221995</v>
      </c>
      <c r="U13" s="73">
        <f t="shared" si="9"/>
        <v>-171.08098985764306</v>
      </c>
      <c r="V13" s="73">
        <f t="shared" si="9"/>
        <v>-178.94734867238495</v>
      </c>
      <c r="W13" s="73">
        <f t="shared" si="9"/>
        <v>-186.20598560373216</v>
      </c>
      <c r="X13" s="73">
        <f t="shared" si="9"/>
        <v>-192.90385069505979</v>
      </c>
      <c r="Y13" s="73">
        <f t="shared" si="9"/>
        <v>-199.08426682634297</v>
      </c>
      <c r="Z13" s="73">
        <f t="shared" si="9"/>
        <v>-204.7872099335851</v>
      </c>
      <c r="AA13" s="73">
        <f t="shared" si="9"/>
        <v>-210.04956757966951</v>
      </c>
      <c r="AB13" s="73">
        <f t="shared" si="9"/>
        <v>-214.90537754911068</v>
      </c>
      <c r="AC13" s="73">
        <f t="shared" si="9"/>
        <v>-219.38604800997703</v>
      </c>
      <c r="AD13" s="73">
        <f t="shared" si="9"/>
        <v>-223.52056066702633</v>
      </c>
      <c r="AE13" s="73">
        <f t="shared" si="9"/>
        <v>-227.33565822008208</v>
      </c>
      <c r="AF13" s="73">
        <f t="shared" si="9"/>
        <v>-230.85601734016259</v>
      </c>
      <c r="AG13" s="73">
        <f t="shared" si="9"/>
        <v>-234.10440828219976</v>
      </c>
      <c r="AH13" s="73">
        <f t="shared" si="9"/>
        <v>-237.10184216674836</v>
      </c>
      <c r="AI13" s="73">
        <f t="shared" si="9"/>
        <v>-239.86770688332874</v>
      </c>
      <c r="AJ13" s="73">
        <f t="shared" si="9"/>
        <v>-242.41989249444737</v>
      </c>
      <c r="AK13" s="73">
        <f t="shared" si="9"/>
        <v>-244.77490695142865</v>
      </c>
      <c r="AL13" s="73">
        <f t="shared" si="9"/>
        <v>-246.94798287052672</v>
      </c>
      <c r="AM13" s="73">
        <f t="shared" si="9"/>
        <v>-248.95317605996351</v>
      </c>
      <c r="AN13" s="74"/>
      <c r="AO13" s="75">
        <f t="shared" si="6"/>
        <v>-634.33235343445472</v>
      </c>
      <c r="AP13" s="75">
        <f t="shared" si="7"/>
        <v>-2060.3932424715622</v>
      </c>
      <c r="AQ13" s="75">
        <f t="shared" si="8"/>
        <v>-2810.1735774950021</v>
      </c>
    </row>
    <row r="14" spans="1:16370">
      <c r="A14" s="70" t="s">
        <v>122</v>
      </c>
      <c r="B14" s="71" t="s">
        <v>78</v>
      </c>
      <c r="C14" s="72"/>
      <c r="D14" s="73">
        <f>D34+D59+D84+D13</f>
        <v>-589.875</v>
      </c>
      <c r="E14" s="73">
        <f>E34+E59+E84+E13</f>
        <v>-536.98734375000004</v>
      </c>
      <c r="F14" s="73">
        <f t="shared" ref="F14:AM14" si="10">F34+F59+F84+F13</f>
        <v>-479.9224396484376</v>
      </c>
      <c r="G14" s="73">
        <f t="shared" si="10"/>
        <v>-429.09762425431319</v>
      </c>
      <c r="H14" s="73">
        <f t="shared" si="10"/>
        <v>-379.09892241950348</v>
      </c>
      <c r="I14" s="73">
        <f t="shared" si="10"/>
        <v>-328.87446769006772</v>
      </c>
      <c r="J14" s="73">
        <f t="shared" si="10"/>
        <v>-241.24986123655839</v>
      </c>
      <c r="K14" s="73">
        <f t="shared" si="10"/>
        <v>-239.11127979817218</v>
      </c>
      <c r="L14" s="73">
        <f t="shared" si="10"/>
        <v>-230.31175074546684</v>
      </c>
      <c r="M14" s="73">
        <f t="shared" si="10"/>
        <v>-216.0151303557638</v>
      </c>
      <c r="N14" s="73">
        <f t="shared" si="10"/>
        <v>-196.64378122932828</v>
      </c>
      <c r="O14" s="73">
        <f t="shared" si="10"/>
        <v>-172.58976295234137</v>
      </c>
      <c r="P14" s="73">
        <f t="shared" si="10"/>
        <v>-65.839838876841867</v>
      </c>
      <c r="Q14" s="73">
        <f t="shared" si="10"/>
        <v>31.932644690892403</v>
      </c>
      <c r="R14" s="73">
        <f t="shared" si="10"/>
        <v>119.34359146455128</v>
      </c>
      <c r="S14" s="73">
        <f t="shared" si="10"/>
        <v>202.45300025458977</v>
      </c>
      <c r="T14" s="73">
        <f t="shared" si="10"/>
        <v>279.25387030420973</v>
      </c>
      <c r="U14" s="73">
        <f t="shared" si="10"/>
        <v>349.39249686620565</v>
      </c>
      <c r="V14" s="73">
        <f t="shared" si="10"/>
        <v>414.11250736493537</v>
      </c>
      <c r="W14" s="73">
        <f t="shared" si="10"/>
        <v>473.83252134686666</v>
      </c>
      <c r="X14" s="73">
        <f t="shared" si="10"/>
        <v>528.9388175683689</v>
      </c>
      <c r="Y14" s="73">
        <f t="shared" si="10"/>
        <v>579.78783250950596</v>
      </c>
      <c r="Z14" s="73">
        <f t="shared" si="10"/>
        <v>626.70846586310915</v>
      </c>
      <c r="AA14" s="73">
        <f t="shared" si="10"/>
        <v>670.00420791143745</v>
      </c>
      <c r="AB14" s="73">
        <f t="shared" si="10"/>
        <v>709.95510255065756</v>
      </c>
      <c r="AC14" s="73">
        <f t="shared" si="10"/>
        <v>746.81955866028659</v>
      </c>
      <c r="AD14" s="73">
        <f t="shared" si="10"/>
        <v>780.83602153379434</v>
      </c>
      <c r="AE14" s="73">
        <f t="shared" si="10"/>
        <v>812.22451518154287</v>
      </c>
      <c r="AF14" s="73">
        <f t="shared" si="10"/>
        <v>841.18806548183363</v>
      </c>
      <c r="AG14" s="73">
        <f t="shared" si="10"/>
        <v>867.91401338528067</v>
      </c>
      <c r="AH14" s="73">
        <f t="shared" si="10"/>
        <v>892.57522666653813</v>
      </c>
      <c r="AI14" s="73">
        <f t="shared" si="10"/>
        <v>915.33121806114445</v>
      </c>
      <c r="AJ14" s="73">
        <f t="shared" si="10"/>
        <v>936.32917701983615</v>
      </c>
      <c r="AK14" s="73">
        <f t="shared" si="10"/>
        <v>955.70492175383743</v>
      </c>
      <c r="AL14" s="73">
        <f t="shared" si="10"/>
        <v>973.58377772910774</v>
      </c>
      <c r="AM14" s="73">
        <f t="shared" si="10"/>
        <v>990.08138829184247</v>
      </c>
      <c r="AN14" s="81"/>
      <c r="AO14" s="75">
        <f>SUM(D14:O14)</f>
        <v>-4039.7773640799533</v>
      </c>
      <c r="AP14" s="75">
        <f>SUM(P14:AA14)</f>
        <v>4209.9201172678304</v>
      </c>
      <c r="AQ14" s="75">
        <f>SUM(AB14:AM14)</f>
        <v>10422.542986315701</v>
      </c>
    </row>
    <row r="15" spans="1:16370">
      <c r="A15" s="70" t="s">
        <v>139</v>
      </c>
      <c r="B15" s="71" t="s">
        <v>78</v>
      </c>
      <c r="C15" s="72"/>
      <c r="D15" s="78">
        <f>-('OPEX+CAPEX'!E38+'OPEX+CAPEX'!E45+'OPEX+CAPEX'!E46)</f>
        <v>-103.93214285714285</v>
      </c>
      <c r="E15" s="78">
        <f>-('OPEX+CAPEX'!F38+'OPEX+CAPEX'!F45+'OPEX+CAPEX'!F46)</f>
        <v>-107.81021875</v>
      </c>
      <c r="F15" s="78">
        <f>-('OPEX+CAPEX'!G38+'OPEX+CAPEX'!G45+'OPEX+CAPEX'!G46)</f>
        <v>-111.65004431361608</v>
      </c>
      <c r="G15" s="78">
        <f>-('OPEX+CAPEX'!H38+'OPEX+CAPEX'!H45+'OPEX+CAPEX'!H46)</f>
        <v>-115.45453781665503</v>
      </c>
      <c r="H15" s="78">
        <f>-('OPEX+CAPEX'!I38+'OPEX+CAPEX'!I45+'OPEX+CAPEX'!I46)</f>
        <v>-144.01809564886136</v>
      </c>
      <c r="I15" s="78">
        <f>-('OPEX+CAPEX'!J38+'OPEX+CAPEX'!J45+'OPEX+CAPEX'!J46)</f>
        <v>-147.7599031963656</v>
      </c>
      <c r="J15" s="78">
        <f>-('OPEX+CAPEX'!K38+'OPEX+CAPEX'!K45+'OPEX+CAPEX'!K46)</f>
        <v>-151.21180840282418</v>
      </c>
      <c r="K15" s="78">
        <f>-('OPEX+CAPEX'!L38+'OPEX+CAPEX'!L45+'OPEX+CAPEX'!L46)</f>
        <v>-154.92132221856266</v>
      </c>
      <c r="L15" s="78">
        <f>-('OPEX+CAPEX'!M38+'OPEX+CAPEX'!M45+'OPEX+CAPEX'!M46)</f>
        <v>-158.86688306942338</v>
      </c>
      <c r="M15" s="78">
        <f>-('OPEX+CAPEX'!N38+'OPEX+CAPEX'!N45+'OPEX+CAPEX'!N46)</f>
        <v>-163.030260198109</v>
      </c>
      <c r="N15" s="78">
        <f>-('OPEX+CAPEX'!O38+'OPEX+CAPEX'!O45+'OPEX+CAPEX'!O46)</f>
        <v>-167.39462601613025</v>
      </c>
      <c r="O15" s="78">
        <f>-('OPEX+CAPEX'!P38+'OPEX+CAPEX'!P45+'OPEX+CAPEX'!P46)</f>
        <v>-171.94445298052995</v>
      </c>
      <c r="P15" s="78">
        <f>-('OPEX+CAPEX'!Q38+'OPEX+CAPEX'!Q45+'OPEX+CAPEX'!Q46)</f>
        <v>-176.14112742684512</v>
      </c>
      <c r="Q15" s="78">
        <f>-('OPEX+CAPEX'!R38+'OPEX+CAPEX'!R45+'OPEX+CAPEX'!R46)</f>
        <v>-180.01358963174857</v>
      </c>
      <c r="R15" s="78">
        <f>-('OPEX+CAPEX'!S38+'OPEX+CAPEX'!S45+'OPEX+CAPEX'!S46)</f>
        <v>-197.75354830147612</v>
      </c>
      <c r="S15" s="78">
        <f>-('OPEX+CAPEX'!T38+'OPEX+CAPEX'!T45+'OPEX+CAPEX'!T46)</f>
        <v>-201.05078275405518</v>
      </c>
      <c r="T15" s="78">
        <f>-('OPEX+CAPEX'!U38+'OPEX+CAPEX'!U45+'OPEX+CAPEX'!U46)</f>
        <v>-204.09328670441494</v>
      </c>
      <c r="U15" s="78">
        <f>-('OPEX+CAPEX'!V38+'OPEX+CAPEX'!V45+'OPEX+CAPEX'!V46)</f>
        <v>-206.90073956258658</v>
      </c>
      <c r="V15" s="78">
        <f>-('OPEX+CAPEX'!W38+'OPEX+CAPEX'!W45+'OPEX+CAPEX'!W46)</f>
        <v>-209.4913003899355</v>
      </c>
      <c r="W15" s="78">
        <f>-('OPEX+CAPEX'!X38+'OPEX+CAPEX'!X45+'OPEX+CAPEX'!X46)</f>
        <v>-211.88172535492146</v>
      </c>
      <c r="X15" s="78">
        <f>-('OPEX+CAPEX'!Y38+'OPEX+CAPEX'!Y45+'OPEX+CAPEX'!Y46)</f>
        <v>-214.08747611471955</v>
      </c>
      <c r="Y15" s="78">
        <f>-('OPEX+CAPEX'!Z38+'OPEX+CAPEX'!Z45+'OPEX+CAPEX'!Z46)</f>
        <v>-216.12281982373176</v>
      </c>
      <c r="Z15" s="78">
        <f>-('OPEX+CAPEX'!AA38+'OPEX+CAPEX'!AA45+'OPEX+CAPEX'!AA46)</f>
        <v>-218.00092141586029</v>
      </c>
      <c r="AA15" s="78">
        <f>-('OPEX+CAPEX'!AB38+'OPEX+CAPEX'!AB45+'OPEX+CAPEX'!AB46)</f>
        <v>-219.7339287574398</v>
      </c>
      <c r="AB15" s="78">
        <f>-('OPEX+CAPEX'!AC38+'OPEX+CAPEX'!AC45+'OPEX+CAPEX'!AC46)</f>
        <v>-221.33305122161099</v>
      </c>
      <c r="AC15" s="78">
        <f>-('OPEX+CAPEX'!AD38+'OPEX+CAPEX'!AD45+'OPEX+CAPEX'!AD46)</f>
        <v>-222.80863219236804</v>
      </c>
      <c r="AD15" s="78">
        <f>-('OPEX+CAPEX'!AE38+'OPEX+CAPEX'!AE45+'OPEX+CAPEX'!AE46)</f>
        <v>-224.17021596724715</v>
      </c>
      <c r="AE15" s="78">
        <f>-('OPEX+CAPEX'!AF38+'OPEX+CAPEX'!AF45+'OPEX+CAPEX'!AF46)</f>
        <v>-225.42660949139449</v>
      </c>
      <c r="AF15" s="78">
        <f>-('OPEX+CAPEX'!AG38+'OPEX+CAPEX'!AG45+'OPEX+CAPEX'!AG46)</f>
        <v>-226.58593932231835</v>
      </c>
      <c r="AG15" s="78">
        <f>-('OPEX+CAPEX'!AH38+'OPEX+CAPEX'!AH45+'OPEX+CAPEX'!AH46)</f>
        <v>-227.6557041937842</v>
      </c>
      <c r="AH15" s="78">
        <f>-('OPEX+CAPEX'!AI38+'OPEX+CAPEX'!AI45+'OPEX+CAPEX'!AI46)</f>
        <v>-228.64282351884322</v>
      </c>
      <c r="AI15" s="78">
        <f>-('OPEX+CAPEX'!AJ38+'OPEX+CAPEX'!AJ45+'OPEX+CAPEX'!AJ46)</f>
        <v>-229.55368214572047</v>
      </c>
      <c r="AJ15" s="78">
        <f>-('OPEX+CAPEX'!AK38+'OPEX+CAPEX'!AK45+'OPEX+CAPEX'!AK46)</f>
        <v>-230.39417165605113</v>
      </c>
      <c r="AK15" s="78">
        <f>-('OPEX+CAPEX'!AL38+'OPEX+CAPEX'!AL45+'OPEX+CAPEX'!AL46)</f>
        <v>-231.16972847258774</v>
      </c>
      <c r="AL15" s="78">
        <f>-('OPEX+CAPEX'!AM38+'OPEX+CAPEX'!AM45+'OPEX+CAPEX'!AM46)</f>
        <v>-231.88536902286634</v>
      </c>
      <c r="AM15" s="78">
        <f>-('OPEX+CAPEX'!AN38+'OPEX+CAPEX'!AN45+'OPEX+CAPEX'!AN46)</f>
        <v>-232.54572218627493</v>
      </c>
      <c r="AN15" s="81"/>
      <c r="AO15" s="75">
        <f t="shared" ref="AO15:AO16" si="11">SUM(D15:O15)</f>
        <v>-1697.9942954682206</v>
      </c>
      <c r="AP15" s="75">
        <f t="shared" ref="AP15:AP16" si="12">SUM(P15:AA15)</f>
        <v>-2455.2712462377349</v>
      </c>
      <c r="AQ15" s="75">
        <f t="shared" ref="AQ15:AQ16" si="13">SUM(AB15:AM15)</f>
        <v>-2732.1716493910667</v>
      </c>
    </row>
    <row r="16" spans="1:16370">
      <c r="A16" s="80" t="s">
        <v>177</v>
      </c>
      <c r="B16" s="71" t="s">
        <v>78</v>
      </c>
      <c r="D16" s="100">
        <f t="shared" ref="D16:AM16" si="14">D14+D15</f>
        <v>-693.80714285714282</v>
      </c>
      <c r="E16" s="100">
        <f>E14+E15</f>
        <v>-644.79756250000003</v>
      </c>
      <c r="F16" s="100">
        <f t="shared" si="14"/>
        <v>-591.57248396205364</v>
      </c>
      <c r="G16" s="100">
        <f t="shared" si="14"/>
        <v>-544.55216207096828</v>
      </c>
      <c r="H16" s="100">
        <f t="shared" si="14"/>
        <v>-523.11701806836481</v>
      </c>
      <c r="I16" s="100">
        <f t="shared" si="14"/>
        <v>-476.63437088643332</v>
      </c>
      <c r="J16" s="100">
        <f t="shared" si="14"/>
        <v>-392.46166963938254</v>
      </c>
      <c r="K16" s="100">
        <f t="shared" si="14"/>
        <v>-394.03260201673481</v>
      </c>
      <c r="L16" s="100">
        <f t="shared" si="14"/>
        <v>-389.17863381489019</v>
      </c>
      <c r="M16" s="100">
        <f t="shared" si="14"/>
        <v>-379.04539055387283</v>
      </c>
      <c r="N16" s="100">
        <f t="shared" si="14"/>
        <v>-364.03840724545853</v>
      </c>
      <c r="O16" s="100">
        <f t="shared" si="14"/>
        <v>-344.53421593287135</v>
      </c>
      <c r="P16" s="100">
        <f t="shared" si="14"/>
        <v>-241.98096630368698</v>
      </c>
      <c r="Q16" s="100">
        <f t="shared" si="14"/>
        <v>-148.08094494085617</v>
      </c>
      <c r="R16" s="100">
        <f t="shared" si="14"/>
        <v>-78.409956836924835</v>
      </c>
      <c r="S16" s="100">
        <f t="shared" si="14"/>
        <v>1.40221750053459</v>
      </c>
      <c r="T16" s="100">
        <f t="shared" si="14"/>
        <v>75.160583599794791</v>
      </c>
      <c r="U16" s="100">
        <f t="shared" si="14"/>
        <v>142.49175730361907</v>
      </c>
      <c r="V16" s="100">
        <f t="shared" si="14"/>
        <v>204.62120697499986</v>
      </c>
      <c r="W16" s="100">
        <f t="shared" si="14"/>
        <v>261.9507959919452</v>
      </c>
      <c r="X16" s="100">
        <f t="shared" si="14"/>
        <v>314.85134145364935</v>
      </c>
      <c r="Y16" s="100">
        <f t="shared" si="14"/>
        <v>363.66501268577417</v>
      </c>
      <c r="Z16" s="100">
        <f t="shared" si="14"/>
        <v>408.70754444724889</v>
      </c>
      <c r="AA16" s="100">
        <f t="shared" si="14"/>
        <v>450.27027915399765</v>
      </c>
      <c r="AB16" s="100">
        <f t="shared" si="14"/>
        <v>488.6220513290466</v>
      </c>
      <c r="AC16" s="100">
        <f t="shared" si="14"/>
        <v>524.01092646791858</v>
      </c>
      <c r="AD16" s="100">
        <f t="shared" si="14"/>
        <v>556.66580556654719</v>
      </c>
      <c r="AE16" s="100">
        <f t="shared" si="14"/>
        <v>586.79790569014835</v>
      </c>
      <c r="AF16" s="100">
        <f t="shared" si="14"/>
        <v>614.60212615951525</v>
      </c>
      <c r="AG16" s="100">
        <f t="shared" si="14"/>
        <v>640.25830919149644</v>
      </c>
      <c r="AH16" s="100">
        <f t="shared" si="14"/>
        <v>663.93240314769491</v>
      </c>
      <c r="AI16" s="100">
        <f t="shared" si="14"/>
        <v>685.77753591542398</v>
      </c>
      <c r="AJ16" s="100">
        <f t="shared" si="14"/>
        <v>705.93500536378497</v>
      </c>
      <c r="AK16" s="100">
        <f t="shared" si="14"/>
        <v>724.53519328124969</v>
      </c>
      <c r="AL16" s="100">
        <f t="shared" si="14"/>
        <v>741.69840870624137</v>
      </c>
      <c r="AM16" s="100">
        <f t="shared" si="14"/>
        <v>757.53566610556754</v>
      </c>
      <c r="AO16" s="75">
        <f t="shared" si="11"/>
        <v>-5737.7716595481734</v>
      </c>
      <c r="AP16" s="75">
        <f t="shared" si="12"/>
        <v>1754.6488710300955</v>
      </c>
      <c r="AQ16" s="75">
        <f t="shared" si="13"/>
        <v>7690.3713369246352</v>
      </c>
    </row>
    <row r="17" spans="1:16370">
      <c r="B17" s="71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</row>
    <row r="18" spans="1:16370">
      <c r="A18" s="83" t="s">
        <v>154</v>
      </c>
      <c r="B18" s="66" t="s">
        <v>76</v>
      </c>
      <c r="C18" s="101" t="s">
        <v>77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9"/>
      <c r="AO18" s="102"/>
      <c r="AP18" s="68"/>
      <c r="AQ18" s="68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69"/>
      <c r="DA18" s="69"/>
      <c r="DB18" s="69"/>
      <c r="DC18" s="69"/>
      <c r="DD18" s="69"/>
      <c r="DE18" s="69"/>
      <c r="DF18" s="69"/>
      <c r="DG18" s="69"/>
      <c r="DH18" s="69"/>
      <c r="DI18" s="69"/>
      <c r="DJ18" s="69"/>
      <c r="DK18" s="69"/>
      <c r="DL18" s="69"/>
      <c r="DM18" s="69"/>
      <c r="DN18" s="69"/>
      <c r="DO18" s="69"/>
      <c r="DP18" s="69"/>
      <c r="DQ18" s="69"/>
      <c r="DR18" s="69"/>
      <c r="DS18" s="69"/>
      <c r="DT18" s="69"/>
      <c r="DU18" s="69"/>
      <c r="DV18" s="69"/>
      <c r="DW18" s="69"/>
      <c r="DX18" s="69"/>
      <c r="DY18" s="69"/>
      <c r="DZ18" s="69"/>
      <c r="EA18" s="69"/>
      <c r="EB18" s="69"/>
      <c r="EC18" s="69"/>
      <c r="ED18" s="69"/>
      <c r="EE18" s="69"/>
      <c r="EF18" s="69"/>
      <c r="EG18" s="69"/>
      <c r="EH18" s="69"/>
      <c r="EI18" s="69"/>
      <c r="EJ18" s="69"/>
      <c r="EK18" s="69"/>
      <c r="EL18" s="69"/>
      <c r="EM18" s="69"/>
      <c r="EN18" s="69"/>
      <c r="EO18" s="69"/>
      <c r="EP18" s="69"/>
      <c r="EQ18" s="69"/>
      <c r="ER18" s="69"/>
      <c r="ES18" s="69"/>
      <c r="ET18" s="69"/>
      <c r="EU18" s="69"/>
      <c r="EV18" s="69"/>
      <c r="EW18" s="69"/>
      <c r="EX18" s="69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  <c r="FK18" s="69"/>
      <c r="FL18" s="69"/>
      <c r="FM18" s="69"/>
      <c r="FN18" s="69"/>
      <c r="FO18" s="69"/>
      <c r="FP18" s="69"/>
      <c r="FQ18" s="69"/>
      <c r="FR18" s="69"/>
      <c r="FS18" s="69"/>
      <c r="FT18" s="69"/>
      <c r="FU18" s="69"/>
      <c r="FV18" s="69"/>
      <c r="FW18" s="69"/>
      <c r="FX18" s="69"/>
      <c r="FY18" s="69"/>
      <c r="FZ18" s="69"/>
      <c r="GA18" s="69"/>
      <c r="GB18" s="69"/>
      <c r="GC18" s="69"/>
      <c r="GD18" s="69"/>
      <c r="GE18" s="69"/>
      <c r="GF18" s="69"/>
      <c r="GG18" s="69"/>
      <c r="GH18" s="69"/>
      <c r="GI18" s="69"/>
      <c r="GJ18" s="69"/>
      <c r="GK18" s="69"/>
      <c r="GL18" s="69"/>
      <c r="GM18" s="69"/>
      <c r="GN18" s="69"/>
      <c r="GO18" s="69"/>
      <c r="GP18" s="69"/>
      <c r="GQ18" s="69"/>
      <c r="GR18" s="69"/>
      <c r="GS18" s="69"/>
      <c r="GT18" s="69"/>
      <c r="GU18" s="69"/>
      <c r="GV18" s="69"/>
      <c r="GW18" s="69"/>
      <c r="GX18" s="69"/>
      <c r="GY18" s="69"/>
      <c r="GZ18" s="69"/>
      <c r="HA18" s="69"/>
      <c r="HB18" s="69"/>
      <c r="HC18" s="69"/>
      <c r="HD18" s="69"/>
      <c r="HE18" s="69"/>
      <c r="HF18" s="69"/>
      <c r="HG18" s="69"/>
      <c r="HH18" s="69"/>
      <c r="HI18" s="69"/>
      <c r="HJ18" s="69"/>
      <c r="HK18" s="69"/>
      <c r="HL18" s="69"/>
      <c r="HM18" s="69"/>
      <c r="HN18" s="69"/>
      <c r="HO18" s="69"/>
      <c r="HP18" s="69"/>
      <c r="HQ18" s="69"/>
      <c r="HR18" s="69"/>
      <c r="HS18" s="69"/>
      <c r="HT18" s="69"/>
      <c r="HU18" s="69"/>
      <c r="HV18" s="69"/>
      <c r="HW18" s="69"/>
      <c r="HX18" s="69"/>
      <c r="HY18" s="69"/>
      <c r="HZ18" s="69"/>
      <c r="IA18" s="69"/>
      <c r="IB18" s="69"/>
      <c r="IC18" s="69"/>
      <c r="ID18" s="69"/>
      <c r="IE18" s="69"/>
      <c r="IF18" s="69"/>
      <c r="IG18" s="69"/>
      <c r="IH18" s="69"/>
      <c r="II18" s="69"/>
      <c r="IJ18" s="69"/>
      <c r="IK18" s="69"/>
      <c r="IL18" s="69"/>
      <c r="IM18" s="69"/>
      <c r="IN18" s="69"/>
      <c r="IO18" s="69"/>
      <c r="IP18" s="69"/>
      <c r="IQ18" s="69"/>
      <c r="IR18" s="69"/>
      <c r="IS18" s="69"/>
      <c r="IT18" s="69"/>
      <c r="IU18" s="69"/>
      <c r="IV18" s="69"/>
      <c r="IW18" s="69"/>
      <c r="IX18" s="69"/>
      <c r="IY18" s="69"/>
      <c r="IZ18" s="69"/>
      <c r="JA18" s="69"/>
      <c r="JB18" s="69"/>
      <c r="JC18" s="69"/>
      <c r="JD18" s="69"/>
      <c r="JE18" s="69"/>
      <c r="JF18" s="69"/>
      <c r="JG18" s="69"/>
      <c r="JH18" s="69"/>
      <c r="JI18" s="69"/>
      <c r="JJ18" s="69"/>
      <c r="JK18" s="69"/>
      <c r="JL18" s="69"/>
      <c r="JM18" s="69"/>
      <c r="JN18" s="69"/>
      <c r="JO18" s="69"/>
      <c r="JP18" s="69"/>
      <c r="JQ18" s="69"/>
      <c r="JR18" s="69"/>
      <c r="JS18" s="69"/>
      <c r="JT18" s="69"/>
      <c r="JU18" s="69"/>
      <c r="JV18" s="69"/>
      <c r="JW18" s="69"/>
      <c r="JX18" s="69"/>
      <c r="JY18" s="69"/>
      <c r="JZ18" s="69"/>
      <c r="KA18" s="69"/>
      <c r="KB18" s="69"/>
      <c r="KC18" s="69"/>
      <c r="KD18" s="69"/>
      <c r="KE18" s="69"/>
      <c r="KF18" s="69"/>
      <c r="KG18" s="69"/>
      <c r="KH18" s="69"/>
      <c r="KI18" s="69"/>
      <c r="KJ18" s="69"/>
      <c r="KK18" s="69"/>
      <c r="KL18" s="69"/>
      <c r="KM18" s="69"/>
      <c r="KN18" s="69"/>
      <c r="KO18" s="69"/>
      <c r="KP18" s="69"/>
      <c r="KQ18" s="69"/>
      <c r="KR18" s="69"/>
      <c r="KS18" s="69"/>
      <c r="KT18" s="69"/>
      <c r="KU18" s="69"/>
      <c r="KV18" s="69"/>
      <c r="KW18" s="69"/>
      <c r="KX18" s="69"/>
      <c r="KY18" s="69"/>
      <c r="KZ18" s="69"/>
      <c r="LA18" s="69"/>
      <c r="LB18" s="69"/>
      <c r="LC18" s="69"/>
      <c r="LD18" s="69"/>
      <c r="LE18" s="69"/>
      <c r="LF18" s="69"/>
      <c r="LG18" s="69"/>
      <c r="LH18" s="69"/>
      <c r="LI18" s="69"/>
      <c r="LJ18" s="69"/>
      <c r="LK18" s="69"/>
      <c r="LL18" s="69"/>
      <c r="LM18" s="69"/>
      <c r="LN18" s="69"/>
      <c r="LO18" s="69"/>
      <c r="LP18" s="69"/>
      <c r="LQ18" s="69"/>
      <c r="LR18" s="69"/>
      <c r="LS18" s="69"/>
      <c r="LT18" s="69"/>
      <c r="LU18" s="69"/>
      <c r="LV18" s="69"/>
      <c r="LW18" s="69"/>
      <c r="LX18" s="69"/>
      <c r="LY18" s="69"/>
      <c r="LZ18" s="69"/>
      <c r="MA18" s="69"/>
      <c r="MB18" s="69"/>
      <c r="MC18" s="69"/>
      <c r="MD18" s="69"/>
      <c r="ME18" s="69"/>
      <c r="MF18" s="69"/>
      <c r="MG18" s="69"/>
      <c r="MH18" s="69"/>
      <c r="MI18" s="69"/>
      <c r="MJ18" s="69"/>
      <c r="MK18" s="69"/>
      <c r="ML18" s="69"/>
      <c r="MM18" s="69"/>
      <c r="MN18" s="69"/>
      <c r="MO18" s="69"/>
      <c r="MP18" s="69"/>
      <c r="MQ18" s="69"/>
      <c r="MR18" s="69"/>
      <c r="MS18" s="69"/>
      <c r="MT18" s="69"/>
      <c r="MU18" s="69"/>
      <c r="MV18" s="69"/>
      <c r="MW18" s="69"/>
      <c r="MX18" s="69"/>
      <c r="MY18" s="69"/>
      <c r="MZ18" s="69"/>
      <c r="NA18" s="69"/>
      <c r="NB18" s="69"/>
      <c r="NC18" s="69"/>
      <c r="ND18" s="69"/>
      <c r="NE18" s="69"/>
      <c r="NF18" s="69"/>
      <c r="NG18" s="69"/>
      <c r="NH18" s="69"/>
      <c r="NI18" s="69"/>
      <c r="NJ18" s="69"/>
      <c r="NK18" s="69"/>
      <c r="NL18" s="69"/>
      <c r="NM18" s="69"/>
      <c r="NN18" s="69"/>
      <c r="NO18" s="69"/>
      <c r="NP18" s="69"/>
      <c r="NQ18" s="69"/>
      <c r="NR18" s="69"/>
      <c r="NS18" s="69"/>
      <c r="NT18" s="69"/>
      <c r="NU18" s="69"/>
      <c r="NV18" s="69"/>
      <c r="NW18" s="69"/>
      <c r="NX18" s="69"/>
      <c r="NY18" s="69"/>
      <c r="NZ18" s="69"/>
      <c r="OA18" s="69"/>
      <c r="OB18" s="69"/>
      <c r="OC18" s="69"/>
      <c r="OD18" s="69"/>
      <c r="OE18" s="69"/>
      <c r="OF18" s="69"/>
      <c r="OG18" s="69"/>
      <c r="OH18" s="69"/>
      <c r="OI18" s="69"/>
      <c r="OJ18" s="69"/>
      <c r="OK18" s="69"/>
      <c r="OL18" s="69"/>
      <c r="OM18" s="69"/>
      <c r="ON18" s="69"/>
      <c r="OO18" s="69"/>
      <c r="OP18" s="69"/>
      <c r="OQ18" s="69"/>
      <c r="OR18" s="69"/>
      <c r="OS18" s="69"/>
      <c r="OT18" s="69"/>
      <c r="OU18" s="69"/>
      <c r="OV18" s="69"/>
      <c r="OW18" s="69"/>
      <c r="OX18" s="69"/>
      <c r="OY18" s="69"/>
      <c r="OZ18" s="69"/>
      <c r="PA18" s="69"/>
      <c r="PB18" s="69"/>
      <c r="PC18" s="69"/>
      <c r="PD18" s="69"/>
      <c r="PE18" s="69"/>
      <c r="PF18" s="69"/>
      <c r="PG18" s="69"/>
      <c r="PH18" s="69"/>
      <c r="PI18" s="69"/>
      <c r="PJ18" s="69"/>
      <c r="PK18" s="69"/>
      <c r="PL18" s="69"/>
      <c r="PM18" s="69"/>
      <c r="PN18" s="69"/>
      <c r="PO18" s="69"/>
      <c r="PP18" s="69"/>
      <c r="PQ18" s="69"/>
      <c r="PR18" s="69"/>
      <c r="PS18" s="69"/>
      <c r="PT18" s="69"/>
      <c r="PU18" s="69"/>
      <c r="PV18" s="69"/>
      <c r="PW18" s="69"/>
      <c r="PX18" s="69"/>
      <c r="PY18" s="69"/>
      <c r="PZ18" s="69"/>
      <c r="QA18" s="69"/>
      <c r="QB18" s="69"/>
      <c r="QC18" s="69"/>
      <c r="QD18" s="69"/>
      <c r="QE18" s="69"/>
      <c r="QF18" s="69"/>
      <c r="QG18" s="69"/>
      <c r="QH18" s="69"/>
      <c r="QI18" s="69"/>
      <c r="QJ18" s="69"/>
      <c r="QK18" s="69"/>
      <c r="QL18" s="69"/>
      <c r="QM18" s="69"/>
      <c r="QN18" s="69"/>
      <c r="QO18" s="69"/>
      <c r="QP18" s="69"/>
      <c r="QQ18" s="69"/>
      <c r="QR18" s="69"/>
      <c r="QS18" s="69"/>
      <c r="QT18" s="69"/>
      <c r="QU18" s="69"/>
      <c r="QV18" s="69"/>
      <c r="QW18" s="69"/>
      <c r="QX18" s="69"/>
      <c r="QY18" s="69"/>
      <c r="QZ18" s="69"/>
      <c r="RA18" s="69"/>
      <c r="RB18" s="69"/>
      <c r="RC18" s="69"/>
      <c r="RD18" s="69"/>
      <c r="RE18" s="69"/>
      <c r="RF18" s="69"/>
      <c r="RG18" s="69"/>
      <c r="RH18" s="69"/>
      <c r="RI18" s="69"/>
      <c r="RJ18" s="69"/>
      <c r="RK18" s="69"/>
      <c r="RL18" s="69"/>
      <c r="RM18" s="69"/>
      <c r="RN18" s="69"/>
      <c r="RO18" s="69"/>
      <c r="RP18" s="69"/>
      <c r="RQ18" s="69"/>
      <c r="RR18" s="69"/>
      <c r="RS18" s="69"/>
      <c r="RT18" s="69"/>
      <c r="RU18" s="69"/>
      <c r="RV18" s="69"/>
      <c r="RW18" s="69"/>
      <c r="RX18" s="69"/>
      <c r="RY18" s="69"/>
      <c r="RZ18" s="69"/>
      <c r="SA18" s="69"/>
      <c r="SB18" s="69"/>
      <c r="SC18" s="69"/>
      <c r="SD18" s="69"/>
      <c r="SE18" s="69"/>
      <c r="SF18" s="69"/>
      <c r="SG18" s="69"/>
      <c r="SH18" s="69"/>
      <c r="SI18" s="69"/>
      <c r="SJ18" s="69"/>
      <c r="SK18" s="69"/>
      <c r="SL18" s="69"/>
      <c r="SM18" s="69"/>
      <c r="SN18" s="69"/>
      <c r="SO18" s="69"/>
      <c r="SP18" s="69"/>
      <c r="SQ18" s="69"/>
      <c r="SR18" s="69"/>
      <c r="SS18" s="69"/>
      <c r="ST18" s="69"/>
      <c r="SU18" s="69"/>
      <c r="SV18" s="69"/>
      <c r="SW18" s="69"/>
      <c r="SX18" s="69"/>
      <c r="SY18" s="69"/>
      <c r="SZ18" s="69"/>
      <c r="TA18" s="69"/>
      <c r="TB18" s="69"/>
      <c r="TC18" s="69"/>
      <c r="TD18" s="69"/>
      <c r="TE18" s="69"/>
      <c r="TF18" s="69"/>
      <c r="TG18" s="69"/>
      <c r="TH18" s="69"/>
      <c r="TI18" s="69"/>
      <c r="TJ18" s="69"/>
      <c r="TK18" s="69"/>
      <c r="TL18" s="69"/>
      <c r="TM18" s="69"/>
      <c r="TN18" s="69"/>
      <c r="TO18" s="69"/>
      <c r="TP18" s="69"/>
      <c r="TQ18" s="69"/>
      <c r="TR18" s="69"/>
      <c r="TS18" s="69"/>
      <c r="TT18" s="69"/>
      <c r="TU18" s="69"/>
      <c r="TV18" s="69"/>
      <c r="TW18" s="69"/>
      <c r="TX18" s="69"/>
      <c r="TY18" s="69"/>
      <c r="TZ18" s="69"/>
      <c r="UA18" s="69"/>
      <c r="UB18" s="69"/>
      <c r="UC18" s="69"/>
      <c r="UD18" s="69"/>
      <c r="UE18" s="69"/>
      <c r="UF18" s="69"/>
      <c r="UG18" s="69"/>
      <c r="UH18" s="69"/>
      <c r="UI18" s="69"/>
      <c r="UJ18" s="69"/>
      <c r="UK18" s="69"/>
      <c r="UL18" s="69"/>
      <c r="UM18" s="69"/>
      <c r="UN18" s="69"/>
      <c r="UO18" s="69"/>
      <c r="UP18" s="69"/>
      <c r="UQ18" s="69"/>
      <c r="UR18" s="69"/>
      <c r="US18" s="69"/>
      <c r="UT18" s="69"/>
      <c r="UU18" s="69"/>
      <c r="UV18" s="69"/>
      <c r="UW18" s="69"/>
      <c r="UX18" s="69"/>
      <c r="UY18" s="69"/>
      <c r="UZ18" s="69"/>
      <c r="VA18" s="69"/>
      <c r="VB18" s="69"/>
      <c r="VC18" s="69"/>
      <c r="VD18" s="69"/>
      <c r="VE18" s="69"/>
      <c r="VF18" s="69"/>
      <c r="VG18" s="69"/>
      <c r="VH18" s="69"/>
      <c r="VI18" s="69"/>
      <c r="VJ18" s="69"/>
      <c r="VK18" s="69"/>
      <c r="VL18" s="69"/>
      <c r="VM18" s="69"/>
      <c r="VN18" s="69"/>
      <c r="VO18" s="69"/>
      <c r="VP18" s="69"/>
      <c r="VQ18" s="69"/>
      <c r="VR18" s="69"/>
      <c r="VS18" s="69"/>
      <c r="VT18" s="69"/>
      <c r="VU18" s="69"/>
      <c r="VV18" s="69"/>
      <c r="VW18" s="69"/>
      <c r="VX18" s="69"/>
      <c r="VY18" s="69"/>
      <c r="VZ18" s="69"/>
      <c r="WA18" s="69"/>
      <c r="WB18" s="69"/>
      <c r="WC18" s="69"/>
      <c r="WD18" s="69"/>
      <c r="WE18" s="69"/>
      <c r="WF18" s="69"/>
      <c r="WG18" s="69"/>
      <c r="WH18" s="69"/>
      <c r="WI18" s="69"/>
      <c r="WJ18" s="69"/>
      <c r="WK18" s="69"/>
      <c r="WL18" s="69"/>
      <c r="WM18" s="69"/>
      <c r="WN18" s="69"/>
      <c r="WO18" s="69"/>
      <c r="WP18" s="69"/>
      <c r="WQ18" s="69"/>
      <c r="WR18" s="69"/>
      <c r="WS18" s="69"/>
      <c r="WT18" s="69"/>
      <c r="WU18" s="69"/>
      <c r="WV18" s="69"/>
      <c r="WW18" s="69"/>
      <c r="WX18" s="69"/>
      <c r="WY18" s="69"/>
      <c r="WZ18" s="69"/>
      <c r="XA18" s="69"/>
      <c r="XB18" s="69"/>
      <c r="XC18" s="69"/>
      <c r="XD18" s="69"/>
      <c r="XE18" s="69"/>
      <c r="XF18" s="69"/>
      <c r="XG18" s="69"/>
      <c r="XH18" s="69"/>
      <c r="XI18" s="69"/>
      <c r="XJ18" s="69"/>
      <c r="XK18" s="69"/>
      <c r="XL18" s="69"/>
      <c r="XM18" s="69"/>
      <c r="XN18" s="69"/>
      <c r="XO18" s="69"/>
      <c r="XP18" s="69"/>
      <c r="XQ18" s="69"/>
      <c r="XR18" s="69"/>
      <c r="XS18" s="69"/>
      <c r="XT18" s="69"/>
      <c r="XU18" s="69"/>
      <c r="XV18" s="69"/>
      <c r="XW18" s="69"/>
      <c r="XX18" s="69"/>
      <c r="XY18" s="69"/>
      <c r="XZ18" s="69"/>
      <c r="YA18" s="69"/>
      <c r="YB18" s="69"/>
      <c r="YC18" s="69"/>
      <c r="YD18" s="69"/>
      <c r="YE18" s="69"/>
      <c r="YF18" s="69"/>
      <c r="YG18" s="69"/>
      <c r="YH18" s="69"/>
      <c r="YI18" s="69"/>
      <c r="YJ18" s="69"/>
      <c r="YK18" s="69"/>
      <c r="YL18" s="69"/>
      <c r="YM18" s="69"/>
      <c r="YN18" s="69"/>
      <c r="YO18" s="69"/>
      <c r="YP18" s="69"/>
      <c r="YQ18" s="69"/>
      <c r="YR18" s="69"/>
      <c r="YS18" s="69"/>
      <c r="YT18" s="69"/>
      <c r="YU18" s="69"/>
      <c r="YV18" s="69"/>
      <c r="YW18" s="69"/>
      <c r="YX18" s="69"/>
      <c r="YY18" s="69"/>
      <c r="YZ18" s="69"/>
      <c r="ZA18" s="69"/>
      <c r="ZB18" s="69"/>
      <c r="ZC18" s="69"/>
      <c r="ZD18" s="69"/>
      <c r="ZE18" s="69"/>
      <c r="ZF18" s="69"/>
      <c r="ZG18" s="69"/>
      <c r="ZH18" s="69"/>
      <c r="ZI18" s="69"/>
      <c r="ZJ18" s="69"/>
      <c r="ZK18" s="69"/>
      <c r="ZL18" s="69"/>
      <c r="ZM18" s="69"/>
      <c r="ZN18" s="69"/>
      <c r="ZO18" s="69"/>
      <c r="ZP18" s="69"/>
      <c r="ZQ18" s="69"/>
      <c r="ZR18" s="69"/>
      <c r="ZS18" s="69"/>
      <c r="ZT18" s="69"/>
      <c r="ZU18" s="69"/>
      <c r="ZV18" s="69"/>
      <c r="ZW18" s="69"/>
      <c r="ZX18" s="69"/>
      <c r="ZY18" s="69"/>
      <c r="ZZ18" s="69"/>
      <c r="AAA18" s="69"/>
      <c r="AAB18" s="69"/>
      <c r="AAC18" s="69"/>
      <c r="AAD18" s="69"/>
      <c r="AAE18" s="69"/>
      <c r="AAF18" s="69"/>
      <c r="AAG18" s="69"/>
      <c r="AAH18" s="69"/>
      <c r="AAI18" s="69"/>
      <c r="AAJ18" s="69"/>
      <c r="AAK18" s="69"/>
      <c r="AAL18" s="69"/>
      <c r="AAM18" s="69"/>
      <c r="AAN18" s="69"/>
      <c r="AAO18" s="69"/>
      <c r="AAP18" s="69"/>
      <c r="AAQ18" s="69"/>
      <c r="AAR18" s="69"/>
      <c r="AAS18" s="69"/>
      <c r="AAT18" s="69"/>
      <c r="AAU18" s="69"/>
      <c r="AAV18" s="69"/>
      <c r="AAW18" s="69"/>
      <c r="AAX18" s="69"/>
      <c r="AAY18" s="69"/>
      <c r="AAZ18" s="69"/>
      <c r="ABA18" s="69"/>
      <c r="ABB18" s="69"/>
      <c r="ABC18" s="69"/>
      <c r="ABD18" s="69"/>
      <c r="ABE18" s="69"/>
      <c r="ABF18" s="69"/>
      <c r="ABG18" s="69"/>
      <c r="ABH18" s="69"/>
      <c r="ABI18" s="69"/>
      <c r="ABJ18" s="69"/>
      <c r="ABK18" s="69"/>
      <c r="ABL18" s="69"/>
      <c r="ABM18" s="69"/>
      <c r="ABN18" s="69"/>
      <c r="ABO18" s="69"/>
      <c r="ABP18" s="69"/>
      <c r="ABQ18" s="69"/>
      <c r="ABR18" s="69"/>
      <c r="ABS18" s="69"/>
      <c r="ABT18" s="69"/>
      <c r="ABU18" s="69"/>
      <c r="ABV18" s="69"/>
      <c r="ABW18" s="69"/>
      <c r="ABX18" s="69"/>
      <c r="ABY18" s="69"/>
      <c r="ABZ18" s="69"/>
      <c r="ACA18" s="69"/>
      <c r="ACB18" s="69"/>
      <c r="ACC18" s="69"/>
      <c r="ACD18" s="69"/>
      <c r="ACE18" s="69"/>
      <c r="ACF18" s="69"/>
      <c r="ACG18" s="69"/>
      <c r="ACH18" s="69"/>
      <c r="ACI18" s="69"/>
      <c r="ACJ18" s="69"/>
      <c r="ACK18" s="69"/>
      <c r="ACL18" s="69"/>
      <c r="ACM18" s="69"/>
      <c r="ACN18" s="69"/>
      <c r="ACO18" s="69"/>
      <c r="ACP18" s="69"/>
      <c r="ACQ18" s="69"/>
      <c r="ACR18" s="69"/>
      <c r="ACS18" s="69"/>
      <c r="ACT18" s="69"/>
      <c r="ACU18" s="69"/>
      <c r="ACV18" s="69"/>
      <c r="ACW18" s="69"/>
      <c r="ACX18" s="69"/>
      <c r="ACY18" s="69"/>
      <c r="ACZ18" s="69"/>
      <c r="ADA18" s="69"/>
      <c r="ADB18" s="69"/>
      <c r="ADC18" s="69"/>
      <c r="ADD18" s="69"/>
      <c r="ADE18" s="69"/>
      <c r="ADF18" s="69"/>
      <c r="ADG18" s="69"/>
      <c r="ADH18" s="69"/>
      <c r="ADI18" s="69"/>
      <c r="ADJ18" s="69"/>
      <c r="ADK18" s="69"/>
      <c r="ADL18" s="69"/>
      <c r="ADM18" s="69"/>
      <c r="ADN18" s="69"/>
      <c r="ADO18" s="69"/>
      <c r="ADP18" s="69"/>
      <c r="ADQ18" s="69"/>
      <c r="ADR18" s="69"/>
      <c r="ADS18" s="69"/>
      <c r="ADT18" s="69"/>
      <c r="ADU18" s="69"/>
      <c r="ADV18" s="69"/>
      <c r="ADW18" s="69"/>
      <c r="ADX18" s="69"/>
      <c r="ADY18" s="69"/>
      <c r="ADZ18" s="69"/>
      <c r="AEA18" s="69"/>
      <c r="AEB18" s="69"/>
      <c r="AEC18" s="69"/>
      <c r="AED18" s="69"/>
      <c r="AEE18" s="69"/>
      <c r="AEF18" s="69"/>
      <c r="AEG18" s="69"/>
      <c r="AEH18" s="69"/>
      <c r="AEI18" s="69"/>
      <c r="AEJ18" s="69"/>
      <c r="AEK18" s="69"/>
      <c r="AEL18" s="69"/>
      <c r="AEM18" s="69"/>
      <c r="AEN18" s="69"/>
      <c r="AEO18" s="69"/>
      <c r="AEP18" s="69"/>
      <c r="AEQ18" s="69"/>
      <c r="AER18" s="69"/>
      <c r="AES18" s="69"/>
      <c r="AET18" s="69"/>
      <c r="AEU18" s="69"/>
      <c r="AEV18" s="69"/>
      <c r="AEW18" s="69"/>
      <c r="AEX18" s="69"/>
      <c r="AEY18" s="69"/>
      <c r="AEZ18" s="69"/>
      <c r="AFA18" s="69"/>
      <c r="AFB18" s="69"/>
      <c r="AFC18" s="69"/>
      <c r="AFD18" s="69"/>
      <c r="AFE18" s="69"/>
      <c r="AFF18" s="69"/>
      <c r="AFG18" s="69"/>
      <c r="AFH18" s="69"/>
      <c r="AFI18" s="69"/>
      <c r="AFJ18" s="69"/>
      <c r="AFK18" s="69"/>
      <c r="AFL18" s="69"/>
      <c r="AFM18" s="69"/>
      <c r="AFN18" s="69"/>
      <c r="AFO18" s="69"/>
      <c r="AFP18" s="69"/>
      <c r="AFQ18" s="69"/>
      <c r="AFR18" s="69"/>
      <c r="AFS18" s="69"/>
      <c r="AFT18" s="69"/>
      <c r="AFU18" s="69"/>
      <c r="AFV18" s="69"/>
      <c r="AFW18" s="69"/>
      <c r="AFX18" s="69"/>
      <c r="AFY18" s="69"/>
      <c r="AFZ18" s="69"/>
      <c r="AGA18" s="69"/>
      <c r="AGB18" s="69"/>
      <c r="AGC18" s="69"/>
      <c r="AGD18" s="69"/>
      <c r="AGE18" s="69"/>
      <c r="AGF18" s="69"/>
      <c r="AGG18" s="69"/>
      <c r="AGH18" s="69"/>
      <c r="AGI18" s="69"/>
      <c r="AGJ18" s="69"/>
      <c r="AGK18" s="69"/>
      <c r="AGL18" s="69"/>
      <c r="AGM18" s="69"/>
      <c r="AGN18" s="69"/>
      <c r="AGO18" s="69"/>
      <c r="AGP18" s="69"/>
      <c r="AGQ18" s="69"/>
      <c r="AGR18" s="69"/>
      <c r="AGS18" s="69"/>
      <c r="AGT18" s="69"/>
      <c r="AGU18" s="69"/>
      <c r="AGV18" s="69"/>
      <c r="AGW18" s="69"/>
      <c r="AGX18" s="69"/>
      <c r="AGY18" s="69"/>
      <c r="AGZ18" s="69"/>
      <c r="AHA18" s="69"/>
      <c r="AHB18" s="69"/>
      <c r="AHC18" s="69"/>
      <c r="AHD18" s="69"/>
      <c r="AHE18" s="69"/>
      <c r="AHF18" s="69"/>
      <c r="AHG18" s="69"/>
      <c r="AHH18" s="69"/>
      <c r="AHI18" s="69"/>
      <c r="AHJ18" s="69"/>
      <c r="AHK18" s="69"/>
      <c r="AHL18" s="69"/>
      <c r="AHM18" s="69"/>
      <c r="AHN18" s="69"/>
      <c r="AHO18" s="69"/>
      <c r="AHP18" s="69"/>
      <c r="AHQ18" s="69"/>
      <c r="AHR18" s="69"/>
      <c r="AHS18" s="69"/>
      <c r="AHT18" s="69"/>
      <c r="AHU18" s="69"/>
      <c r="AHV18" s="69"/>
      <c r="AHW18" s="69"/>
      <c r="AHX18" s="69"/>
      <c r="AHY18" s="69"/>
      <c r="AHZ18" s="69"/>
      <c r="AIA18" s="69"/>
      <c r="AIB18" s="69"/>
      <c r="AIC18" s="69"/>
      <c r="AID18" s="69"/>
      <c r="AIE18" s="69"/>
      <c r="AIF18" s="69"/>
      <c r="AIG18" s="69"/>
      <c r="AIH18" s="69"/>
      <c r="AII18" s="69"/>
      <c r="AIJ18" s="69"/>
      <c r="AIK18" s="69"/>
      <c r="AIL18" s="69"/>
      <c r="AIM18" s="69"/>
      <c r="AIN18" s="69"/>
      <c r="AIO18" s="69"/>
      <c r="AIP18" s="69"/>
      <c r="AIQ18" s="69"/>
      <c r="AIR18" s="69"/>
      <c r="AIS18" s="69"/>
      <c r="AIT18" s="69"/>
      <c r="AIU18" s="69"/>
      <c r="AIV18" s="69"/>
      <c r="AIW18" s="69"/>
      <c r="AIX18" s="69"/>
      <c r="AIY18" s="69"/>
      <c r="AIZ18" s="69"/>
      <c r="AJA18" s="69"/>
      <c r="AJB18" s="69"/>
      <c r="AJC18" s="69"/>
      <c r="AJD18" s="69"/>
      <c r="AJE18" s="69"/>
      <c r="AJF18" s="69"/>
      <c r="AJG18" s="69"/>
      <c r="AJH18" s="69"/>
      <c r="AJI18" s="69"/>
      <c r="AJJ18" s="69"/>
      <c r="AJK18" s="69"/>
      <c r="AJL18" s="69"/>
      <c r="AJM18" s="69"/>
      <c r="AJN18" s="69"/>
      <c r="AJO18" s="69"/>
      <c r="AJP18" s="69"/>
      <c r="AJQ18" s="69"/>
      <c r="AJR18" s="69"/>
      <c r="AJS18" s="69"/>
      <c r="AJT18" s="69"/>
      <c r="AJU18" s="69"/>
      <c r="AJV18" s="69"/>
      <c r="AJW18" s="69"/>
      <c r="AJX18" s="69"/>
      <c r="AJY18" s="69"/>
      <c r="AJZ18" s="69"/>
      <c r="AKA18" s="69"/>
      <c r="AKB18" s="69"/>
      <c r="AKC18" s="69"/>
      <c r="AKD18" s="69"/>
      <c r="AKE18" s="69"/>
      <c r="AKF18" s="69"/>
      <c r="AKG18" s="69"/>
      <c r="AKH18" s="69"/>
      <c r="AKI18" s="69"/>
      <c r="AKJ18" s="69"/>
      <c r="AKK18" s="69"/>
      <c r="AKL18" s="69"/>
      <c r="AKM18" s="69"/>
      <c r="AKN18" s="69"/>
      <c r="AKO18" s="69"/>
      <c r="AKP18" s="69"/>
      <c r="AKQ18" s="69"/>
      <c r="AKR18" s="69"/>
      <c r="AKS18" s="69"/>
      <c r="AKT18" s="69"/>
      <c r="AKU18" s="69"/>
      <c r="AKV18" s="69"/>
      <c r="AKW18" s="69"/>
      <c r="AKX18" s="69"/>
      <c r="AKY18" s="69"/>
      <c r="AKZ18" s="69"/>
      <c r="ALA18" s="69"/>
      <c r="ALB18" s="69"/>
      <c r="ALC18" s="69"/>
      <c r="ALD18" s="69"/>
      <c r="ALE18" s="69"/>
      <c r="ALF18" s="69"/>
      <c r="ALG18" s="69"/>
      <c r="ALH18" s="69"/>
      <c r="ALI18" s="69"/>
      <c r="ALJ18" s="69"/>
      <c r="ALK18" s="69"/>
      <c r="ALL18" s="69"/>
      <c r="ALM18" s="69"/>
      <c r="ALN18" s="69"/>
      <c r="ALO18" s="69"/>
      <c r="ALP18" s="69"/>
      <c r="ALQ18" s="69"/>
      <c r="ALR18" s="69"/>
      <c r="ALS18" s="69"/>
      <c r="ALT18" s="69"/>
      <c r="ALU18" s="69"/>
      <c r="ALV18" s="69"/>
      <c r="ALW18" s="69"/>
      <c r="ALX18" s="69"/>
      <c r="ALY18" s="69"/>
      <c r="ALZ18" s="69"/>
      <c r="AMA18" s="69"/>
      <c r="AMB18" s="69"/>
      <c r="AMC18" s="69"/>
      <c r="AMD18" s="69"/>
      <c r="AME18" s="69"/>
      <c r="AMF18" s="69"/>
      <c r="AMG18" s="69"/>
      <c r="AMH18" s="69"/>
      <c r="AMI18" s="69"/>
      <c r="AMJ18" s="69"/>
      <c r="AMK18" s="69"/>
      <c r="AML18" s="69"/>
      <c r="AMM18" s="69"/>
      <c r="AMN18" s="69"/>
      <c r="AMO18" s="69"/>
      <c r="AMP18" s="69"/>
      <c r="AMQ18" s="69"/>
      <c r="AMR18" s="69"/>
      <c r="AMS18" s="69"/>
      <c r="AMT18" s="69"/>
      <c r="AMU18" s="69"/>
      <c r="AMV18" s="69"/>
      <c r="AMW18" s="69"/>
      <c r="AMX18" s="69"/>
      <c r="AMY18" s="69"/>
      <c r="AMZ18" s="69"/>
      <c r="ANA18" s="69"/>
      <c r="ANB18" s="69"/>
      <c r="ANC18" s="69"/>
      <c r="AND18" s="69"/>
      <c r="ANE18" s="69"/>
      <c r="ANF18" s="69"/>
      <c r="ANG18" s="69"/>
      <c r="ANH18" s="69"/>
      <c r="ANI18" s="69"/>
      <c r="ANJ18" s="69"/>
      <c r="ANK18" s="69"/>
      <c r="ANL18" s="69"/>
      <c r="ANM18" s="69"/>
      <c r="ANN18" s="69"/>
      <c r="ANO18" s="69"/>
      <c r="ANP18" s="69"/>
      <c r="ANQ18" s="69"/>
      <c r="ANR18" s="69"/>
      <c r="ANS18" s="69"/>
      <c r="ANT18" s="69"/>
      <c r="ANU18" s="69"/>
      <c r="ANV18" s="69"/>
      <c r="ANW18" s="69"/>
      <c r="ANX18" s="69"/>
      <c r="ANY18" s="69"/>
      <c r="ANZ18" s="69"/>
      <c r="AOA18" s="69"/>
      <c r="AOB18" s="69"/>
      <c r="AOC18" s="69"/>
      <c r="AOD18" s="69"/>
      <c r="AOE18" s="69"/>
      <c r="AOF18" s="69"/>
      <c r="AOG18" s="69"/>
      <c r="AOH18" s="69"/>
      <c r="AOI18" s="69"/>
      <c r="AOJ18" s="69"/>
      <c r="AOK18" s="69"/>
      <c r="AOL18" s="69"/>
      <c r="AOM18" s="69"/>
      <c r="AON18" s="69"/>
      <c r="AOO18" s="69"/>
      <c r="AOP18" s="69"/>
      <c r="AOQ18" s="69"/>
      <c r="AOR18" s="69"/>
      <c r="AOS18" s="69"/>
      <c r="AOT18" s="69"/>
      <c r="AOU18" s="69"/>
      <c r="AOV18" s="69"/>
      <c r="AOW18" s="69"/>
      <c r="AOX18" s="69"/>
      <c r="AOY18" s="69"/>
      <c r="AOZ18" s="69"/>
      <c r="APA18" s="69"/>
      <c r="APB18" s="69"/>
      <c r="APC18" s="69"/>
      <c r="APD18" s="69"/>
      <c r="APE18" s="69"/>
      <c r="APF18" s="69"/>
      <c r="APG18" s="69"/>
      <c r="APH18" s="69"/>
      <c r="API18" s="69"/>
      <c r="APJ18" s="69"/>
      <c r="APK18" s="69"/>
      <c r="APL18" s="69"/>
      <c r="APM18" s="69"/>
      <c r="APN18" s="69"/>
      <c r="APO18" s="69"/>
      <c r="APP18" s="69"/>
      <c r="APQ18" s="69"/>
      <c r="APR18" s="69"/>
      <c r="APS18" s="69"/>
      <c r="APT18" s="69"/>
      <c r="APU18" s="69"/>
      <c r="APV18" s="69"/>
      <c r="APW18" s="69"/>
      <c r="APX18" s="69"/>
      <c r="APY18" s="69"/>
      <c r="APZ18" s="69"/>
      <c r="AQA18" s="69"/>
      <c r="AQB18" s="69"/>
      <c r="AQC18" s="69"/>
      <c r="AQD18" s="69"/>
      <c r="AQE18" s="69"/>
      <c r="AQF18" s="69"/>
      <c r="AQG18" s="69"/>
      <c r="AQH18" s="69"/>
      <c r="AQI18" s="69"/>
      <c r="AQJ18" s="69"/>
      <c r="AQK18" s="69"/>
      <c r="AQL18" s="69"/>
      <c r="AQM18" s="69"/>
      <c r="AQN18" s="69"/>
      <c r="AQO18" s="69"/>
      <c r="AQP18" s="69"/>
      <c r="AQQ18" s="69"/>
      <c r="AQR18" s="69"/>
      <c r="AQS18" s="69"/>
      <c r="AQT18" s="69"/>
      <c r="AQU18" s="69"/>
      <c r="AQV18" s="69"/>
      <c r="AQW18" s="69"/>
      <c r="AQX18" s="69"/>
      <c r="AQY18" s="69"/>
      <c r="AQZ18" s="69"/>
      <c r="ARA18" s="69"/>
      <c r="ARB18" s="69"/>
      <c r="ARC18" s="69"/>
      <c r="ARD18" s="69"/>
      <c r="ARE18" s="69"/>
      <c r="ARF18" s="69"/>
      <c r="ARG18" s="69"/>
      <c r="ARH18" s="69"/>
      <c r="ARI18" s="69"/>
      <c r="ARJ18" s="69"/>
      <c r="ARK18" s="69"/>
      <c r="ARL18" s="69"/>
      <c r="ARM18" s="69"/>
      <c r="ARN18" s="69"/>
      <c r="ARO18" s="69"/>
      <c r="ARP18" s="69"/>
      <c r="ARQ18" s="69"/>
      <c r="ARR18" s="69"/>
      <c r="ARS18" s="69"/>
      <c r="ART18" s="69"/>
      <c r="ARU18" s="69"/>
      <c r="ARV18" s="69"/>
      <c r="ARW18" s="69"/>
      <c r="ARX18" s="69"/>
      <c r="ARY18" s="69"/>
      <c r="ARZ18" s="69"/>
      <c r="ASA18" s="69"/>
      <c r="ASB18" s="69"/>
      <c r="ASC18" s="69"/>
      <c r="ASD18" s="69"/>
      <c r="ASE18" s="69"/>
      <c r="ASF18" s="69"/>
      <c r="ASG18" s="69"/>
      <c r="ASH18" s="69"/>
      <c r="ASI18" s="69"/>
      <c r="ASJ18" s="69"/>
      <c r="ASK18" s="69"/>
      <c r="ASL18" s="69"/>
      <c r="ASM18" s="69"/>
      <c r="ASN18" s="69"/>
      <c r="ASO18" s="69"/>
      <c r="ASP18" s="69"/>
      <c r="ASQ18" s="69"/>
      <c r="ASR18" s="69"/>
      <c r="ASS18" s="69"/>
      <c r="AST18" s="69"/>
      <c r="ASU18" s="69"/>
      <c r="ASV18" s="69"/>
      <c r="ASW18" s="69"/>
      <c r="ASX18" s="69"/>
      <c r="ASY18" s="69"/>
      <c r="ASZ18" s="69"/>
      <c r="ATA18" s="69"/>
      <c r="ATB18" s="69"/>
      <c r="ATC18" s="69"/>
      <c r="ATD18" s="69"/>
      <c r="ATE18" s="69"/>
      <c r="ATF18" s="69"/>
      <c r="ATG18" s="69"/>
      <c r="ATH18" s="69"/>
      <c r="ATI18" s="69"/>
      <c r="ATJ18" s="69"/>
      <c r="ATK18" s="69"/>
      <c r="ATL18" s="69"/>
      <c r="ATM18" s="69"/>
      <c r="ATN18" s="69"/>
      <c r="ATO18" s="69"/>
      <c r="ATP18" s="69"/>
      <c r="ATQ18" s="69"/>
      <c r="ATR18" s="69"/>
      <c r="ATS18" s="69"/>
      <c r="ATT18" s="69"/>
      <c r="ATU18" s="69"/>
      <c r="ATV18" s="69"/>
      <c r="ATW18" s="69"/>
      <c r="ATX18" s="69"/>
      <c r="ATY18" s="69"/>
      <c r="ATZ18" s="69"/>
      <c r="AUA18" s="69"/>
      <c r="AUB18" s="69"/>
      <c r="AUC18" s="69"/>
      <c r="AUD18" s="69"/>
      <c r="AUE18" s="69"/>
      <c r="AUF18" s="69"/>
      <c r="AUG18" s="69"/>
      <c r="AUH18" s="69"/>
      <c r="AUI18" s="69"/>
      <c r="AUJ18" s="69"/>
      <c r="AUK18" s="69"/>
      <c r="AUL18" s="69"/>
      <c r="AUM18" s="69"/>
      <c r="AUN18" s="69"/>
      <c r="AUO18" s="69"/>
      <c r="AUP18" s="69"/>
      <c r="AUQ18" s="69"/>
      <c r="AUR18" s="69"/>
      <c r="AUS18" s="69"/>
      <c r="AUT18" s="69"/>
      <c r="AUU18" s="69"/>
      <c r="AUV18" s="69"/>
      <c r="AUW18" s="69"/>
      <c r="AUX18" s="69"/>
      <c r="AUY18" s="69"/>
      <c r="AUZ18" s="69"/>
      <c r="AVA18" s="69"/>
      <c r="AVB18" s="69"/>
      <c r="AVC18" s="69"/>
      <c r="AVD18" s="69"/>
      <c r="AVE18" s="69"/>
      <c r="AVF18" s="69"/>
      <c r="AVG18" s="69"/>
      <c r="AVH18" s="69"/>
      <c r="AVI18" s="69"/>
      <c r="AVJ18" s="69"/>
      <c r="AVK18" s="69"/>
      <c r="AVL18" s="69"/>
      <c r="AVM18" s="69"/>
      <c r="AVN18" s="69"/>
      <c r="AVO18" s="69"/>
      <c r="AVP18" s="69"/>
      <c r="AVQ18" s="69"/>
      <c r="AVR18" s="69"/>
      <c r="AVS18" s="69"/>
      <c r="AVT18" s="69"/>
      <c r="AVU18" s="69"/>
      <c r="AVV18" s="69"/>
      <c r="AVW18" s="69"/>
      <c r="AVX18" s="69"/>
      <c r="AVY18" s="69"/>
      <c r="AVZ18" s="69"/>
      <c r="AWA18" s="69"/>
      <c r="AWB18" s="69"/>
      <c r="AWC18" s="69"/>
      <c r="AWD18" s="69"/>
      <c r="AWE18" s="69"/>
      <c r="AWF18" s="69"/>
      <c r="AWG18" s="69"/>
      <c r="AWH18" s="69"/>
      <c r="AWI18" s="69"/>
      <c r="AWJ18" s="69"/>
      <c r="AWK18" s="69"/>
      <c r="AWL18" s="69"/>
      <c r="AWM18" s="69"/>
      <c r="AWN18" s="69"/>
      <c r="AWO18" s="69"/>
      <c r="AWP18" s="69"/>
      <c r="AWQ18" s="69"/>
      <c r="AWR18" s="69"/>
      <c r="AWS18" s="69"/>
      <c r="AWT18" s="69"/>
      <c r="AWU18" s="69"/>
      <c r="AWV18" s="69"/>
      <c r="AWW18" s="69"/>
      <c r="AWX18" s="69"/>
      <c r="AWY18" s="69"/>
      <c r="AWZ18" s="69"/>
      <c r="AXA18" s="69"/>
      <c r="AXB18" s="69"/>
      <c r="AXC18" s="69"/>
      <c r="AXD18" s="69"/>
      <c r="AXE18" s="69"/>
      <c r="AXF18" s="69"/>
      <c r="AXG18" s="69"/>
      <c r="AXH18" s="69"/>
      <c r="AXI18" s="69"/>
      <c r="AXJ18" s="69"/>
      <c r="AXK18" s="69"/>
      <c r="AXL18" s="69"/>
      <c r="AXM18" s="69"/>
      <c r="AXN18" s="69"/>
      <c r="AXO18" s="69"/>
      <c r="AXP18" s="69"/>
      <c r="AXQ18" s="69"/>
      <c r="AXR18" s="69"/>
      <c r="AXS18" s="69"/>
      <c r="AXT18" s="69"/>
      <c r="AXU18" s="69"/>
      <c r="AXV18" s="69"/>
      <c r="AXW18" s="69"/>
      <c r="AXX18" s="69"/>
      <c r="AXY18" s="69"/>
      <c r="AXZ18" s="69"/>
      <c r="AYA18" s="69"/>
      <c r="AYB18" s="69"/>
      <c r="AYC18" s="69"/>
      <c r="AYD18" s="69"/>
      <c r="AYE18" s="69"/>
      <c r="AYF18" s="69"/>
      <c r="AYG18" s="69"/>
      <c r="AYH18" s="69"/>
      <c r="AYI18" s="69"/>
      <c r="AYJ18" s="69"/>
      <c r="AYK18" s="69"/>
      <c r="AYL18" s="69"/>
      <c r="AYM18" s="69"/>
      <c r="AYN18" s="69"/>
      <c r="AYO18" s="69"/>
      <c r="AYP18" s="69"/>
      <c r="AYQ18" s="69"/>
      <c r="AYR18" s="69"/>
      <c r="AYS18" s="69"/>
      <c r="AYT18" s="69"/>
      <c r="AYU18" s="69"/>
      <c r="AYV18" s="69"/>
      <c r="AYW18" s="69"/>
      <c r="AYX18" s="69"/>
      <c r="AYY18" s="69"/>
      <c r="AYZ18" s="69"/>
      <c r="AZA18" s="69"/>
      <c r="AZB18" s="69"/>
      <c r="AZC18" s="69"/>
      <c r="AZD18" s="69"/>
      <c r="AZE18" s="69"/>
      <c r="AZF18" s="69"/>
      <c r="AZG18" s="69"/>
      <c r="AZH18" s="69"/>
      <c r="AZI18" s="69"/>
      <c r="AZJ18" s="69"/>
      <c r="AZK18" s="69"/>
      <c r="AZL18" s="69"/>
      <c r="AZM18" s="69"/>
      <c r="AZN18" s="69"/>
      <c r="AZO18" s="69"/>
      <c r="AZP18" s="69"/>
      <c r="AZQ18" s="69"/>
      <c r="AZR18" s="69"/>
      <c r="AZS18" s="69"/>
      <c r="AZT18" s="69"/>
      <c r="AZU18" s="69"/>
      <c r="AZV18" s="69"/>
      <c r="AZW18" s="69"/>
      <c r="AZX18" s="69"/>
      <c r="AZY18" s="69"/>
      <c r="AZZ18" s="69"/>
      <c r="BAA18" s="69"/>
      <c r="BAB18" s="69"/>
      <c r="BAC18" s="69"/>
      <c r="BAD18" s="69"/>
      <c r="BAE18" s="69"/>
      <c r="BAF18" s="69"/>
      <c r="BAG18" s="69"/>
      <c r="BAH18" s="69"/>
      <c r="BAI18" s="69"/>
      <c r="BAJ18" s="69"/>
      <c r="BAK18" s="69"/>
      <c r="BAL18" s="69"/>
      <c r="BAM18" s="69"/>
      <c r="BAN18" s="69"/>
      <c r="BAO18" s="69"/>
      <c r="BAP18" s="69"/>
      <c r="BAQ18" s="69"/>
      <c r="BAR18" s="69"/>
      <c r="BAS18" s="69"/>
      <c r="BAT18" s="69"/>
      <c r="BAU18" s="69"/>
      <c r="BAV18" s="69"/>
      <c r="BAW18" s="69"/>
      <c r="BAX18" s="69"/>
      <c r="BAY18" s="69"/>
      <c r="BAZ18" s="69"/>
      <c r="BBA18" s="69"/>
      <c r="BBB18" s="69"/>
      <c r="BBC18" s="69"/>
      <c r="BBD18" s="69"/>
      <c r="BBE18" s="69"/>
      <c r="BBF18" s="69"/>
      <c r="BBG18" s="69"/>
      <c r="BBH18" s="69"/>
      <c r="BBI18" s="69"/>
      <c r="BBJ18" s="69"/>
      <c r="BBK18" s="69"/>
      <c r="BBL18" s="69"/>
      <c r="BBM18" s="69"/>
      <c r="BBN18" s="69"/>
      <c r="BBO18" s="69"/>
      <c r="BBP18" s="69"/>
      <c r="BBQ18" s="69"/>
      <c r="BBR18" s="69"/>
      <c r="BBS18" s="69"/>
      <c r="BBT18" s="69"/>
      <c r="BBU18" s="69"/>
      <c r="BBV18" s="69"/>
      <c r="BBW18" s="69"/>
      <c r="BBX18" s="69"/>
      <c r="BBY18" s="69"/>
      <c r="BBZ18" s="69"/>
      <c r="BCA18" s="69"/>
      <c r="BCB18" s="69"/>
      <c r="BCC18" s="69"/>
      <c r="BCD18" s="69"/>
      <c r="BCE18" s="69"/>
      <c r="BCF18" s="69"/>
      <c r="BCG18" s="69"/>
      <c r="BCH18" s="69"/>
      <c r="BCI18" s="69"/>
      <c r="BCJ18" s="69"/>
      <c r="BCK18" s="69"/>
      <c r="BCL18" s="69"/>
      <c r="BCM18" s="69"/>
      <c r="BCN18" s="69"/>
      <c r="BCO18" s="69"/>
      <c r="BCP18" s="69"/>
      <c r="BCQ18" s="69"/>
      <c r="BCR18" s="69"/>
      <c r="BCS18" s="69"/>
      <c r="BCT18" s="69"/>
      <c r="BCU18" s="69"/>
      <c r="BCV18" s="69"/>
      <c r="BCW18" s="69"/>
      <c r="BCX18" s="69"/>
      <c r="BCY18" s="69"/>
      <c r="BCZ18" s="69"/>
      <c r="BDA18" s="69"/>
      <c r="BDB18" s="69"/>
      <c r="BDC18" s="69"/>
      <c r="BDD18" s="69"/>
      <c r="BDE18" s="69"/>
      <c r="BDF18" s="69"/>
      <c r="BDG18" s="69"/>
      <c r="BDH18" s="69"/>
      <c r="BDI18" s="69"/>
      <c r="BDJ18" s="69"/>
      <c r="BDK18" s="69"/>
      <c r="BDL18" s="69"/>
      <c r="BDM18" s="69"/>
      <c r="BDN18" s="69"/>
      <c r="BDO18" s="69"/>
      <c r="BDP18" s="69"/>
      <c r="BDQ18" s="69"/>
      <c r="BDR18" s="69"/>
      <c r="BDS18" s="69"/>
      <c r="BDT18" s="69"/>
      <c r="BDU18" s="69"/>
      <c r="BDV18" s="69"/>
      <c r="BDW18" s="69"/>
      <c r="BDX18" s="69"/>
      <c r="BDY18" s="69"/>
      <c r="BDZ18" s="69"/>
      <c r="BEA18" s="69"/>
      <c r="BEB18" s="69"/>
      <c r="BEC18" s="69"/>
      <c r="BED18" s="69"/>
      <c r="BEE18" s="69"/>
      <c r="BEF18" s="69"/>
      <c r="BEG18" s="69"/>
      <c r="BEH18" s="69"/>
      <c r="BEI18" s="69"/>
      <c r="BEJ18" s="69"/>
      <c r="BEK18" s="69"/>
      <c r="BEL18" s="69"/>
      <c r="BEM18" s="69"/>
      <c r="BEN18" s="69"/>
      <c r="BEO18" s="69"/>
      <c r="BEP18" s="69"/>
      <c r="BEQ18" s="69"/>
      <c r="BER18" s="69"/>
      <c r="BES18" s="69"/>
      <c r="BET18" s="69"/>
      <c r="BEU18" s="69"/>
      <c r="BEV18" s="69"/>
      <c r="BEW18" s="69"/>
      <c r="BEX18" s="69"/>
      <c r="BEY18" s="69"/>
      <c r="BEZ18" s="69"/>
      <c r="BFA18" s="69"/>
      <c r="BFB18" s="69"/>
      <c r="BFC18" s="69"/>
      <c r="BFD18" s="69"/>
      <c r="BFE18" s="69"/>
      <c r="BFF18" s="69"/>
      <c r="BFG18" s="69"/>
      <c r="BFH18" s="69"/>
      <c r="BFI18" s="69"/>
      <c r="BFJ18" s="69"/>
      <c r="BFK18" s="69"/>
      <c r="BFL18" s="69"/>
      <c r="BFM18" s="69"/>
      <c r="BFN18" s="69"/>
      <c r="BFO18" s="69"/>
      <c r="BFP18" s="69"/>
      <c r="BFQ18" s="69"/>
      <c r="BFR18" s="69"/>
      <c r="BFS18" s="69"/>
      <c r="BFT18" s="69"/>
      <c r="BFU18" s="69"/>
      <c r="BFV18" s="69"/>
      <c r="BFW18" s="69"/>
      <c r="BFX18" s="69"/>
      <c r="BFY18" s="69"/>
      <c r="BFZ18" s="69"/>
      <c r="BGA18" s="69"/>
      <c r="BGB18" s="69"/>
      <c r="BGC18" s="69"/>
      <c r="BGD18" s="69"/>
      <c r="BGE18" s="69"/>
      <c r="BGF18" s="69"/>
      <c r="BGG18" s="69"/>
      <c r="BGH18" s="69"/>
      <c r="BGI18" s="69"/>
      <c r="BGJ18" s="69"/>
      <c r="BGK18" s="69"/>
      <c r="BGL18" s="69"/>
      <c r="BGM18" s="69"/>
      <c r="BGN18" s="69"/>
      <c r="BGO18" s="69"/>
      <c r="BGP18" s="69"/>
      <c r="BGQ18" s="69"/>
      <c r="BGR18" s="69"/>
      <c r="BGS18" s="69"/>
      <c r="BGT18" s="69"/>
      <c r="BGU18" s="69"/>
      <c r="BGV18" s="69"/>
      <c r="BGW18" s="69"/>
      <c r="BGX18" s="69"/>
      <c r="BGY18" s="69"/>
      <c r="BGZ18" s="69"/>
      <c r="BHA18" s="69"/>
      <c r="BHB18" s="69"/>
      <c r="BHC18" s="69"/>
      <c r="BHD18" s="69"/>
      <c r="BHE18" s="69"/>
      <c r="BHF18" s="69"/>
      <c r="BHG18" s="69"/>
      <c r="BHH18" s="69"/>
      <c r="BHI18" s="69"/>
      <c r="BHJ18" s="69"/>
      <c r="BHK18" s="69"/>
      <c r="BHL18" s="69"/>
      <c r="BHM18" s="69"/>
      <c r="BHN18" s="69"/>
      <c r="BHO18" s="69"/>
      <c r="BHP18" s="69"/>
      <c r="BHQ18" s="69"/>
      <c r="BHR18" s="69"/>
      <c r="BHS18" s="69"/>
      <c r="BHT18" s="69"/>
      <c r="BHU18" s="69"/>
      <c r="BHV18" s="69"/>
      <c r="BHW18" s="69"/>
      <c r="BHX18" s="69"/>
      <c r="BHY18" s="69"/>
      <c r="BHZ18" s="69"/>
      <c r="BIA18" s="69"/>
      <c r="BIB18" s="69"/>
      <c r="BIC18" s="69"/>
      <c r="BID18" s="69"/>
      <c r="BIE18" s="69"/>
      <c r="BIF18" s="69"/>
      <c r="BIG18" s="69"/>
      <c r="BIH18" s="69"/>
      <c r="BII18" s="69"/>
      <c r="BIJ18" s="69"/>
      <c r="BIK18" s="69"/>
      <c r="BIL18" s="69"/>
      <c r="BIM18" s="69"/>
      <c r="BIN18" s="69"/>
      <c r="BIO18" s="69"/>
      <c r="BIP18" s="69"/>
      <c r="BIQ18" s="69"/>
      <c r="BIR18" s="69"/>
      <c r="BIS18" s="69"/>
      <c r="BIT18" s="69"/>
      <c r="BIU18" s="69"/>
      <c r="BIV18" s="69"/>
      <c r="BIW18" s="69"/>
      <c r="BIX18" s="69"/>
      <c r="BIY18" s="69"/>
      <c r="BIZ18" s="69"/>
      <c r="BJA18" s="69"/>
      <c r="BJB18" s="69"/>
      <c r="BJC18" s="69"/>
      <c r="BJD18" s="69"/>
      <c r="BJE18" s="69"/>
      <c r="BJF18" s="69"/>
      <c r="BJG18" s="69"/>
      <c r="BJH18" s="69"/>
      <c r="BJI18" s="69"/>
      <c r="BJJ18" s="69"/>
      <c r="BJK18" s="69"/>
      <c r="BJL18" s="69"/>
      <c r="BJM18" s="69"/>
      <c r="BJN18" s="69"/>
      <c r="BJO18" s="69"/>
      <c r="BJP18" s="69"/>
      <c r="BJQ18" s="69"/>
      <c r="BJR18" s="69"/>
      <c r="BJS18" s="69"/>
      <c r="BJT18" s="69"/>
      <c r="BJU18" s="69"/>
      <c r="BJV18" s="69"/>
      <c r="BJW18" s="69"/>
      <c r="BJX18" s="69"/>
      <c r="BJY18" s="69"/>
      <c r="BJZ18" s="69"/>
      <c r="BKA18" s="69"/>
      <c r="BKB18" s="69"/>
      <c r="BKC18" s="69"/>
      <c r="BKD18" s="69"/>
      <c r="BKE18" s="69"/>
      <c r="BKF18" s="69"/>
      <c r="BKG18" s="69"/>
      <c r="BKH18" s="69"/>
      <c r="BKI18" s="69"/>
      <c r="BKJ18" s="69"/>
      <c r="BKK18" s="69"/>
      <c r="BKL18" s="69"/>
      <c r="BKM18" s="69"/>
      <c r="BKN18" s="69"/>
      <c r="BKO18" s="69"/>
      <c r="BKP18" s="69"/>
      <c r="BKQ18" s="69"/>
      <c r="BKR18" s="69"/>
      <c r="BKS18" s="69"/>
      <c r="BKT18" s="69"/>
      <c r="BKU18" s="69"/>
      <c r="BKV18" s="69"/>
      <c r="BKW18" s="69"/>
      <c r="BKX18" s="69"/>
      <c r="BKY18" s="69"/>
      <c r="BKZ18" s="69"/>
      <c r="BLA18" s="69"/>
      <c r="BLB18" s="69"/>
      <c r="BLC18" s="69"/>
      <c r="BLD18" s="69"/>
      <c r="BLE18" s="69"/>
      <c r="BLF18" s="69"/>
      <c r="BLG18" s="69"/>
      <c r="BLH18" s="69"/>
      <c r="BLI18" s="69"/>
      <c r="BLJ18" s="69"/>
      <c r="BLK18" s="69"/>
      <c r="BLL18" s="69"/>
      <c r="BLM18" s="69"/>
      <c r="BLN18" s="69"/>
      <c r="BLO18" s="69"/>
      <c r="BLP18" s="69"/>
      <c r="BLQ18" s="69"/>
      <c r="BLR18" s="69"/>
      <c r="BLS18" s="69"/>
      <c r="BLT18" s="69"/>
      <c r="BLU18" s="69"/>
      <c r="BLV18" s="69"/>
      <c r="BLW18" s="69"/>
      <c r="BLX18" s="69"/>
      <c r="BLY18" s="69"/>
      <c r="BLZ18" s="69"/>
      <c r="BMA18" s="69"/>
      <c r="BMB18" s="69"/>
      <c r="BMC18" s="69"/>
      <c r="BMD18" s="69"/>
      <c r="BME18" s="69"/>
      <c r="BMF18" s="69"/>
      <c r="BMG18" s="69"/>
      <c r="BMH18" s="69"/>
      <c r="BMI18" s="69"/>
      <c r="BMJ18" s="69"/>
      <c r="BMK18" s="69"/>
      <c r="BML18" s="69"/>
      <c r="BMM18" s="69"/>
      <c r="BMN18" s="69"/>
      <c r="BMO18" s="69"/>
      <c r="BMP18" s="69"/>
      <c r="BMQ18" s="69"/>
      <c r="BMR18" s="69"/>
      <c r="BMS18" s="69"/>
      <c r="BMT18" s="69"/>
      <c r="BMU18" s="69"/>
      <c r="BMV18" s="69"/>
      <c r="BMW18" s="69"/>
      <c r="BMX18" s="69"/>
      <c r="BMY18" s="69"/>
      <c r="BMZ18" s="69"/>
      <c r="BNA18" s="69"/>
      <c r="BNB18" s="69"/>
      <c r="BNC18" s="69"/>
      <c r="BND18" s="69"/>
      <c r="BNE18" s="69"/>
      <c r="BNF18" s="69"/>
      <c r="BNG18" s="69"/>
      <c r="BNH18" s="69"/>
      <c r="BNI18" s="69"/>
      <c r="BNJ18" s="69"/>
      <c r="BNK18" s="69"/>
      <c r="BNL18" s="69"/>
      <c r="BNM18" s="69"/>
      <c r="BNN18" s="69"/>
      <c r="BNO18" s="69"/>
      <c r="BNP18" s="69"/>
      <c r="BNQ18" s="69"/>
      <c r="BNR18" s="69"/>
      <c r="BNS18" s="69"/>
      <c r="BNT18" s="69"/>
      <c r="BNU18" s="69"/>
      <c r="BNV18" s="69"/>
      <c r="BNW18" s="69"/>
      <c r="BNX18" s="69"/>
      <c r="BNY18" s="69"/>
      <c r="BNZ18" s="69"/>
      <c r="BOA18" s="69"/>
      <c r="BOB18" s="69"/>
      <c r="BOC18" s="69"/>
      <c r="BOD18" s="69"/>
      <c r="BOE18" s="69"/>
      <c r="BOF18" s="69"/>
      <c r="BOG18" s="69"/>
      <c r="BOH18" s="69"/>
      <c r="BOI18" s="69"/>
      <c r="BOJ18" s="69"/>
      <c r="BOK18" s="69"/>
      <c r="BOL18" s="69"/>
      <c r="BOM18" s="69"/>
      <c r="BON18" s="69"/>
      <c r="BOO18" s="69"/>
      <c r="BOP18" s="69"/>
      <c r="BOQ18" s="69"/>
      <c r="BOR18" s="69"/>
      <c r="BOS18" s="69"/>
      <c r="BOT18" s="69"/>
      <c r="BOU18" s="69"/>
      <c r="BOV18" s="69"/>
      <c r="BOW18" s="69"/>
      <c r="BOX18" s="69"/>
      <c r="BOY18" s="69"/>
      <c r="BOZ18" s="69"/>
      <c r="BPA18" s="69"/>
      <c r="BPB18" s="69"/>
      <c r="BPC18" s="69"/>
      <c r="BPD18" s="69"/>
      <c r="BPE18" s="69"/>
      <c r="BPF18" s="69"/>
      <c r="BPG18" s="69"/>
      <c r="BPH18" s="69"/>
      <c r="BPI18" s="69"/>
      <c r="BPJ18" s="69"/>
      <c r="BPK18" s="69"/>
      <c r="BPL18" s="69"/>
      <c r="BPM18" s="69"/>
      <c r="BPN18" s="69"/>
      <c r="BPO18" s="69"/>
      <c r="BPP18" s="69"/>
      <c r="BPQ18" s="69"/>
      <c r="BPR18" s="69"/>
      <c r="BPS18" s="69"/>
      <c r="BPT18" s="69"/>
      <c r="BPU18" s="69"/>
      <c r="BPV18" s="69"/>
      <c r="BPW18" s="69"/>
      <c r="BPX18" s="69"/>
      <c r="BPY18" s="69"/>
      <c r="BPZ18" s="69"/>
      <c r="BQA18" s="69"/>
      <c r="BQB18" s="69"/>
      <c r="BQC18" s="69"/>
      <c r="BQD18" s="69"/>
      <c r="BQE18" s="69"/>
      <c r="BQF18" s="69"/>
      <c r="BQG18" s="69"/>
      <c r="BQH18" s="69"/>
      <c r="BQI18" s="69"/>
      <c r="BQJ18" s="69"/>
      <c r="BQK18" s="69"/>
      <c r="BQL18" s="69"/>
      <c r="BQM18" s="69"/>
      <c r="BQN18" s="69"/>
      <c r="BQO18" s="69"/>
      <c r="BQP18" s="69"/>
      <c r="BQQ18" s="69"/>
      <c r="BQR18" s="69"/>
      <c r="BQS18" s="69"/>
      <c r="BQT18" s="69"/>
      <c r="BQU18" s="69"/>
      <c r="BQV18" s="69"/>
      <c r="BQW18" s="69"/>
      <c r="BQX18" s="69"/>
      <c r="BQY18" s="69"/>
      <c r="BQZ18" s="69"/>
      <c r="BRA18" s="69"/>
      <c r="BRB18" s="69"/>
      <c r="BRC18" s="69"/>
      <c r="BRD18" s="69"/>
      <c r="BRE18" s="69"/>
      <c r="BRF18" s="69"/>
      <c r="BRG18" s="69"/>
      <c r="BRH18" s="69"/>
      <c r="BRI18" s="69"/>
      <c r="BRJ18" s="69"/>
      <c r="BRK18" s="69"/>
      <c r="BRL18" s="69"/>
      <c r="BRM18" s="69"/>
      <c r="BRN18" s="69"/>
      <c r="BRO18" s="69"/>
      <c r="BRP18" s="69"/>
      <c r="BRQ18" s="69"/>
      <c r="BRR18" s="69"/>
      <c r="BRS18" s="69"/>
      <c r="BRT18" s="69"/>
      <c r="BRU18" s="69"/>
      <c r="BRV18" s="69"/>
      <c r="BRW18" s="69"/>
      <c r="BRX18" s="69"/>
      <c r="BRY18" s="69"/>
      <c r="BRZ18" s="69"/>
      <c r="BSA18" s="69"/>
      <c r="BSB18" s="69"/>
      <c r="BSC18" s="69"/>
      <c r="BSD18" s="69"/>
      <c r="BSE18" s="69"/>
      <c r="BSF18" s="69"/>
      <c r="BSG18" s="69"/>
      <c r="BSH18" s="69"/>
      <c r="BSI18" s="69"/>
      <c r="BSJ18" s="69"/>
      <c r="BSK18" s="69"/>
      <c r="BSL18" s="69"/>
      <c r="BSM18" s="69"/>
      <c r="BSN18" s="69"/>
      <c r="BSO18" s="69"/>
      <c r="BSP18" s="69"/>
      <c r="BSQ18" s="69"/>
      <c r="BSR18" s="69"/>
      <c r="BSS18" s="69"/>
      <c r="BST18" s="69"/>
      <c r="BSU18" s="69"/>
      <c r="BSV18" s="69"/>
      <c r="BSW18" s="69"/>
      <c r="BSX18" s="69"/>
      <c r="BSY18" s="69"/>
      <c r="BSZ18" s="69"/>
      <c r="BTA18" s="69"/>
      <c r="BTB18" s="69"/>
      <c r="BTC18" s="69"/>
      <c r="BTD18" s="69"/>
      <c r="BTE18" s="69"/>
      <c r="BTF18" s="69"/>
      <c r="BTG18" s="69"/>
      <c r="BTH18" s="69"/>
      <c r="BTI18" s="69"/>
      <c r="BTJ18" s="69"/>
      <c r="BTK18" s="69"/>
      <c r="BTL18" s="69"/>
      <c r="BTM18" s="69"/>
      <c r="BTN18" s="69"/>
      <c r="BTO18" s="69"/>
      <c r="BTP18" s="69"/>
      <c r="BTQ18" s="69"/>
      <c r="BTR18" s="69"/>
      <c r="BTS18" s="69"/>
      <c r="BTT18" s="69"/>
      <c r="BTU18" s="69"/>
      <c r="BTV18" s="69"/>
      <c r="BTW18" s="69"/>
      <c r="BTX18" s="69"/>
      <c r="BTY18" s="69"/>
      <c r="BTZ18" s="69"/>
      <c r="BUA18" s="69"/>
      <c r="BUB18" s="69"/>
      <c r="BUC18" s="69"/>
      <c r="BUD18" s="69"/>
      <c r="BUE18" s="69"/>
      <c r="BUF18" s="69"/>
      <c r="BUG18" s="69"/>
      <c r="BUH18" s="69"/>
      <c r="BUI18" s="69"/>
      <c r="BUJ18" s="69"/>
      <c r="BUK18" s="69"/>
      <c r="BUL18" s="69"/>
      <c r="BUM18" s="69"/>
      <c r="BUN18" s="69"/>
      <c r="BUO18" s="69"/>
      <c r="BUP18" s="69"/>
      <c r="BUQ18" s="69"/>
      <c r="BUR18" s="69"/>
      <c r="BUS18" s="69"/>
      <c r="BUT18" s="69"/>
      <c r="BUU18" s="69"/>
      <c r="BUV18" s="69"/>
      <c r="BUW18" s="69"/>
      <c r="BUX18" s="69"/>
      <c r="BUY18" s="69"/>
      <c r="BUZ18" s="69"/>
      <c r="BVA18" s="69"/>
      <c r="BVB18" s="69"/>
      <c r="BVC18" s="69"/>
      <c r="BVD18" s="69"/>
      <c r="BVE18" s="69"/>
      <c r="BVF18" s="69"/>
      <c r="BVG18" s="69"/>
      <c r="BVH18" s="69"/>
      <c r="BVI18" s="69"/>
      <c r="BVJ18" s="69"/>
      <c r="BVK18" s="69"/>
      <c r="BVL18" s="69"/>
      <c r="BVM18" s="69"/>
      <c r="BVN18" s="69"/>
      <c r="BVO18" s="69"/>
      <c r="BVP18" s="69"/>
      <c r="BVQ18" s="69"/>
      <c r="BVR18" s="69"/>
      <c r="BVS18" s="69"/>
      <c r="BVT18" s="69"/>
      <c r="BVU18" s="69"/>
      <c r="BVV18" s="69"/>
      <c r="BVW18" s="69"/>
      <c r="BVX18" s="69"/>
      <c r="BVY18" s="69"/>
      <c r="BVZ18" s="69"/>
      <c r="BWA18" s="69"/>
      <c r="BWB18" s="69"/>
      <c r="BWC18" s="69"/>
      <c r="BWD18" s="69"/>
      <c r="BWE18" s="69"/>
      <c r="BWF18" s="69"/>
      <c r="BWG18" s="69"/>
      <c r="BWH18" s="69"/>
      <c r="BWI18" s="69"/>
      <c r="BWJ18" s="69"/>
      <c r="BWK18" s="69"/>
      <c r="BWL18" s="69"/>
      <c r="BWM18" s="69"/>
      <c r="BWN18" s="69"/>
      <c r="BWO18" s="69"/>
      <c r="BWP18" s="69"/>
      <c r="BWQ18" s="69"/>
      <c r="BWR18" s="69"/>
      <c r="BWS18" s="69"/>
      <c r="BWT18" s="69"/>
      <c r="BWU18" s="69"/>
      <c r="BWV18" s="69"/>
      <c r="BWW18" s="69"/>
      <c r="BWX18" s="69"/>
      <c r="BWY18" s="69"/>
      <c r="BWZ18" s="69"/>
      <c r="BXA18" s="69"/>
      <c r="BXB18" s="69"/>
      <c r="BXC18" s="69"/>
      <c r="BXD18" s="69"/>
      <c r="BXE18" s="69"/>
      <c r="BXF18" s="69"/>
      <c r="BXG18" s="69"/>
      <c r="BXH18" s="69"/>
      <c r="BXI18" s="69"/>
      <c r="BXJ18" s="69"/>
      <c r="BXK18" s="69"/>
      <c r="BXL18" s="69"/>
      <c r="BXM18" s="69"/>
      <c r="BXN18" s="69"/>
      <c r="BXO18" s="69"/>
      <c r="BXP18" s="69"/>
      <c r="BXQ18" s="69"/>
      <c r="BXR18" s="69"/>
      <c r="BXS18" s="69"/>
      <c r="BXT18" s="69"/>
      <c r="BXU18" s="69"/>
      <c r="BXV18" s="69"/>
      <c r="BXW18" s="69"/>
      <c r="BXX18" s="69"/>
      <c r="BXY18" s="69"/>
      <c r="BXZ18" s="69"/>
      <c r="BYA18" s="69"/>
      <c r="BYB18" s="69"/>
      <c r="BYC18" s="69"/>
      <c r="BYD18" s="69"/>
      <c r="BYE18" s="69"/>
      <c r="BYF18" s="69"/>
      <c r="BYG18" s="69"/>
      <c r="BYH18" s="69"/>
      <c r="BYI18" s="69"/>
      <c r="BYJ18" s="69"/>
      <c r="BYK18" s="69"/>
      <c r="BYL18" s="69"/>
      <c r="BYM18" s="69"/>
      <c r="BYN18" s="69"/>
      <c r="BYO18" s="69"/>
      <c r="BYP18" s="69"/>
      <c r="BYQ18" s="69"/>
      <c r="BYR18" s="69"/>
      <c r="BYS18" s="69"/>
      <c r="BYT18" s="69"/>
      <c r="BYU18" s="69"/>
      <c r="BYV18" s="69"/>
      <c r="BYW18" s="69"/>
      <c r="BYX18" s="69"/>
      <c r="BYY18" s="69"/>
      <c r="BYZ18" s="69"/>
      <c r="BZA18" s="69"/>
      <c r="BZB18" s="69"/>
      <c r="BZC18" s="69"/>
      <c r="BZD18" s="69"/>
      <c r="BZE18" s="69"/>
      <c r="BZF18" s="69"/>
      <c r="BZG18" s="69"/>
      <c r="BZH18" s="69"/>
      <c r="BZI18" s="69"/>
      <c r="BZJ18" s="69"/>
      <c r="BZK18" s="69"/>
      <c r="BZL18" s="69"/>
      <c r="BZM18" s="69"/>
      <c r="BZN18" s="69"/>
      <c r="BZO18" s="69"/>
      <c r="BZP18" s="69"/>
      <c r="BZQ18" s="69"/>
      <c r="BZR18" s="69"/>
      <c r="BZS18" s="69"/>
      <c r="BZT18" s="69"/>
      <c r="BZU18" s="69"/>
      <c r="BZV18" s="69"/>
      <c r="BZW18" s="69"/>
      <c r="BZX18" s="69"/>
      <c r="BZY18" s="69"/>
      <c r="BZZ18" s="69"/>
      <c r="CAA18" s="69"/>
      <c r="CAB18" s="69"/>
      <c r="CAC18" s="69"/>
      <c r="CAD18" s="69"/>
      <c r="CAE18" s="69"/>
      <c r="CAF18" s="69"/>
      <c r="CAG18" s="69"/>
      <c r="CAH18" s="69"/>
      <c r="CAI18" s="69"/>
      <c r="CAJ18" s="69"/>
      <c r="CAK18" s="69"/>
      <c r="CAL18" s="69"/>
      <c r="CAM18" s="69"/>
      <c r="CAN18" s="69"/>
      <c r="CAO18" s="69"/>
      <c r="CAP18" s="69"/>
      <c r="CAQ18" s="69"/>
      <c r="CAR18" s="69"/>
      <c r="CAS18" s="69"/>
      <c r="CAT18" s="69"/>
      <c r="CAU18" s="69"/>
      <c r="CAV18" s="69"/>
      <c r="CAW18" s="69"/>
      <c r="CAX18" s="69"/>
      <c r="CAY18" s="69"/>
      <c r="CAZ18" s="69"/>
      <c r="CBA18" s="69"/>
      <c r="CBB18" s="69"/>
      <c r="CBC18" s="69"/>
      <c r="CBD18" s="69"/>
      <c r="CBE18" s="69"/>
      <c r="CBF18" s="69"/>
      <c r="CBG18" s="69"/>
      <c r="CBH18" s="69"/>
      <c r="CBI18" s="69"/>
      <c r="CBJ18" s="69"/>
      <c r="CBK18" s="69"/>
      <c r="CBL18" s="69"/>
      <c r="CBM18" s="69"/>
      <c r="CBN18" s="69"/>
      <c r="CBO18" s="69"/>
      <c r="CBP18" s="69"/>
      <c r="CBQ18" s="69"/>
      <c r="CBR18" s="69"/>
      <c r="CBS18" s="69"/>
      <c r="CBT18" s="69"/>
      <c r="CBU18" s="69"/>
      <c r="CBV18" s="69"/>
      <c r="CBW18" s="69"/>
      <c r="CBX18" s="69"/>
      <c r="CBY18" s="69"/>
      <c r="CBZ18" s="69"/>
      <c r="CCA18" s="69"/>
      <c r="CCB18" s="69"/>
      <c r="CCC18" s="69"/>
      <c r="CCD18" s="69"/>
      <c r="CCE18" s="69"/>
      <c r="CCF18" s="69"/>
      <c r="CCG18" s="69"/>
      <c r="CCH18" s="69"/>
      <c r="CCI18" s="69"/>
      <c r="CCJ18" s="69"/>
      <c r="CCK18" s="69"/>
      <c r="CCL18" s="69"/>
      <c r="CCM18" s="69"/>
      <c r="CCN18" s="69"/>
      <c r="CCO18" s="69"/>
      <c r="CCP18" s="69"/>
      <c r="CCQ18" s="69"/>
      <c r="CCR18" s="69"/>
      <c r="CCS18" s="69"/>
      <c r="CCT18" s="69"/>
      <c r="CCU18" s="69"/>
      <c r="CCV18" s="69"/>
      <c r="CCW18" s="69"/>
      <c r="CCX18" s="69"/>
      <c r="CCY18" s="69"/>
      <c r="CCZ18" s="69"/>
      <c r="CDA18" s="69"/>
      <c r="CDB18" s="69"/>
      <c r="CDC18" s="69"/>
      <c r="CDD18" s="69"/>
      <c r="CDE18" s="69"/>
      <c r="CDF18" s="69"/>
      <c r="CDG18" s="69"/>
      <c r="CDH18" s="69"/>
      <c r="CDI18" s="69"/>
      <c r="CDJ18" s="69"/>
      <c r="CDK18" s="69"/>
      <c r="CDL18" s="69"/>
      <c r="CDM18" s="69"/>
      <c r="CDN18" s="69"/>
      <c r="CDO18" s="69"/>
      <c r="CDP18" s="69"/>
      <c r="CDQ18" s="69"/>
      <c r="CDR18" s="69"/>
      <c r="CDS18" s="69"/>
      <c r="CDT18" s="69"/>
      <c r="CDU18" s="69"/>
      <c r="CDV18" s="69"/>
      <c r="CDW18" s="69"/>
      <c r="CDX18" s="69"/>
      <c r="CDY18" s="69"/>
      <c r="CDZ18" s="69"/>
      <c r="CEA18" s="69"/>
      <c r="CEB18" s="69"/>
      <c r="CEC18" s="69"/>
      <c r="CED18" s="69"/>
      <c r="CEE18" s="69"/>
      <c r="CEF18" s="69"/>
      <c r="CEG18" s="69"/>
      <c r="CEH18" s="69"/>
      <c r="CEI18" s="69"/>
      <c r="CEJ18" s="69"/>
      <c r="CEK18" s="69"/>
      <c r="CEL18" s="69"/>
      <c r="CEM18" s="69"/>
      <c r="CEN18" s="69"/>
      <c r="CEO18" s="69"/>
      <c r="CEP18" s="69"/>
      <c r="CEQ18" s="69"/>
      <c r="CER18" s="69"/>
      <c r="CES18" s="69"/>
      <c r="CET18" s="69"/>
      <c r="CEU18" s="69"/>
      <c r="CEV18" s="69"/>
      <c r="CEW18" s="69"/>
      <c r="CEX18" s="69"/>
      <c r="CEY18" s="69"/>
      <c r="CEZ18" s="69"/>
      <c r="CFA18" s="69"/>
      <c r="CFB18" s="69"/>
      <c r="CFC18" s="69"/>
      <c r="CFD18" s="69"/>
      <c r="CFE18" s="69"/>
      <c r="CFF18" s="69"/>
      <c r="CFG18" s="69"/>
      <c r="CFH18" s="69"/>
      <c r="CFI18" s="69"/>
      <c r="CFJ18" s="69"/>
      <c r="CFK18" s="69"/>
      <c r="CFL18" s="69"/>
      <c r="CFM18" s="69"/>
      <c r="CFN18" s="69"/>
      <c r="CFO18" s="69"/>
      <c r="CFP18" s="69"/>
      <c r="CFQ18" s="69"/>
      <c r="CFR18" s="69"/>
      <c r="CFS18" s="69"/>
      <c r="CFT18" s="69"/>
      <c r="CFU18" s="69"/>
      <c r="CFV18" s="69"/>
      <c r="CFW18" s="69"/>
      <c r="CFX18" s="69"/>
      <c r="CFY18" s="69"/>
      <c r="CFZ18" s="69"/>
      <c r="CGA18" s="69"/>
      <c r="CGB18" s="69"/>
      <c r="CGC18" s="69"/>
      <c r="CGD18" s="69"/>
      <c r="CGE18" s="69"/>
      <c r="CGF18" s="69"/>
      <c r="CGG18" s="69"/>
      <c r="CGH18" s="69"/>
      <c r="CGI18" s="69"/>
      <c r="CGJ18" s="69"/>
      <c r="CGK18" s="69"/>
      <c r="CGL18" s="69"/>
      <c r="CGM18" s="69"/>
      <c r="CGN18" s="69"/>
      <c r="CGO18" s="69"/>
      <c r="CGP18" s="69"/>
      <c r="CGQ18" s="69"/>
      <c r="CGR18" s="69"/>
      <c r="CGS18" s="69"/>
      <c r="CGT18" s="69"/>
      <c r="CGU18" s="69"/>
      <c r="CGV18" s="69"/>
      <c r="CGW18" s="69"/>
      <c r="CGX18" s="69"/>
      <c r="CGY18" s="69"/>
      <c r="CGZ18" s="69"/>
      <c r="CHA18" s="69"/>
      <c r="CHB18" s="69"/>
      <c r="CHC18" s="69"/>
      <c r="CHD18" s="69"/>
      <c r="CHE18" s="69"/>
      <c r="CHF18" s="69"/>
      <c r="CHG18" s="69"/>
      <c r="CHH18" s="69"/>
      <c r="CHI18" s="69"/>
      <c r="CHJ18" s="69"/>
      <c r="CHK18" s="69"/>
      <c r="CHL18" s="69"/>
      <c r="CHM18" s="69"/>
      <c r="CHN18" s="69"/>
      <c r="CHO18" s="69"/>
      <c r="CHP18" s="69"/>
      <c r="CHQ18" s="69"/>
      <c r="CHR18" s="69"/>
      <c r="CHS18" s="69"/>
      <c r="CHT18" s="69"/>
      <c r="CHU18" s="69"/>
      <c r="CHV18" s="69"/>
      <c r="CHW18" s="69"/>
      <c r="CHX18" s="69"/>
      <c r="CHY18" s="69"/>
      <c r="CHZ18" s="69"/>
      <c r="CIA18" s="69"/>
      <c r="CIB18" s="69"/>
      <c r="CIC18" s="69"/>
      <c r="CID18" s="69"/>
      <c r="CIE18" s="69"/>
      <c r="CIF18" s="69"/>
      <c r="CIG18" s="69"/>
      <c r="CIH18" s="69"/>
      <c r="CII18" s="69"/>
      <c r="CIJ18" s="69"/>
      <c r="CIK18" s="69"/>
      <c r="CIL18" s="69"/>
      <c r="CIM18" s="69"/>
      <c r="CIN18" s="69"/>
      <c r="CIO18" s="69"/>
      <c r="CIP18" s="69"/>
      <c r="CIQ18" s="69"/>
      <c r="CIR18" s="69"/>
      <c r="CIS18" s="69"/>
      <c r="CIT18" s="69"/>
      <c r="CIU18" s="69"/>
      <c r="CIV18" s="69"/>
      <c r="CIW18" s="69"/>
      <c r="CIX18" s="69"/>
      <c r="CIY18" s="69"/>
      <c r="CIZ18" s="69"/>
      <c r="CJA18" s="69"/>
      <c r="CJB18" s="69"/>
      <c r="CJC18" s="69"/>
      <c r="CJD18" s="69"/>
      <c r="CJE18" s="69"/>
      <c r="CJF18" s="69"/>
      <c r="CJG18" s="69"/>
      <c r="CJH18" s="69"/>
      <c r="CJI18" s="69"/>
      <c r="CJJ18" s="69"/>
      <c r="CJK18" s="69"/>
      <c r="CJL18" s="69"/>
      <c r="CJM18" s="69"/>
      <c r="CJN18" s="69"/>
      <c r="CJO18" s="69"/>
      <c r="CJP18" s="69"/>
      <c r="CJQ18" s="69"/>
      <c r="CJR18" s="69"/>
      <c r="CJS18" s="69"/>
      <c r="CJT18" s="69"/>
      <c r="CJU18" s="69"/>
      <c r="CJV18" s="69"/>
      <c r="CJW18" s="69"/>
      <c r="CJX18" s="69"/>
      <c r="CJY18" s="69"/>
      <c r="CJZ18" s="69"/>
      <c r="CKA18" s="69"/>
      <c r="CKB18" s="69"/>
      <c r="CKC18" s="69"/>
      <c r="CKD18" s="69"/>
      <c r="CKE18" s="69"/>
      <c r="CKF18" s="69"/>
      <c r="CKG18" s="69"/>
      <c r="CKH18" s="69"/>
      <c r="CKI18" s="69"/>
      <c r="CKJ18" s="69"/>
      <c r="CKK18" s="69"/>
      <c r="CKL18" s="69"/>
      <c r="CKM18" s="69"/>
      <c r="CKN18" s="69"/>
      <c r="CKO18" s="69"/>
      <c r="CKP18" s="69"/>
      <c r="CKQ18" s="69"/>
      <c r="CKR18" s="69"/>
      <c r="CKS18" s="69"/>
      <c r="CKT18" s="69"/>
      <c r="CKU18" s="69"/>
      <c r="CKV18" s="69"/>
      <c r="CKW18" s="69"/>
      <c r="CKX18" s="69"/>
      <c r="CKY18" s="69"/>
      <c r="CKZ18" s="69"/>
      <c r="CLA18" s="69"/>
      <c r="CLB18" s="69"/>
      <c r="CLC18" s="69"/>
      <c r="CLD18" s="69"/>
      <c r="CLE18" s="69"/>
      <c r="CLF18" s="69"/>
      <c r="CLG18" s="69"/>
      <c r="CLH18" s="69"/>
      <c r="CLI18" s="69"/>
      <c r="CLJ18" s="69"/>
      <c r="CLK18" s="69"/>
      <c r="CLL18" s="69"/>
      <c r="CLM18" s="69"/>
      <c r="CLN18" s="69"/>
      <c r="CLO18" s="69"/>
      <c r="CLP18" s="69"/>
      <c r="CLQ18" s="69"/>
      <c r="CLR18" s="69"/>
      <c r="CLS18" s="69"/>
      <c r="CLT18" s="69"/>
      <c r="CLU18" s="69"/>
      <c r="CLV18" s="69"/>
      <c r="CLW18" s="69"/>
      <c r="CLX18" s="69"/>
      <c r="CLY18" s="69"/>
      <c r="CLZ18" s="69"/>
      <c r="CMA18" s="69"/>
      <c r="CMB18" s="69"/>
      <c r="CMC18" s="69"/>
      <c r="CMD18" s="69"/>
      <c r="CME18" s="69"/>
      <c r="CMF18" s="69"/>
      <c r="CMG18" s="69"/>
      <c r="CMH18" s="69"/>
      <c r="CMI18" s="69"/>
      <c r="CMJ18" s="69"/>
      <c r="CMK18" s="69"/>
      <c r="CML18" s="69"/>
      <c r="CMM18" s="69"/>
      <c r="CMN18" s="69"/>
      <c r="CMO18" s="69"/>
      <c r="CMP18" s="69"/>
      <c r="CMQ18" s="69"/>
      <c r="CMR18" s="69"/>
      <c r="CMS18" s="69"/>
      <c r="CMT18" s="69"/>
      <c r="CMU18" s="69"/>
      <c r="CMV18" s="69"/>
      <c r="CMW18" s="69"/>
      <c r="CMX18" s="69"/>
      <c r="CMY18" s="69"/>
      <c r="CMZ18" s="69"/>
      <c r="CNA18" s="69"/>
      <c r="CNB18" s="69"/>
      <c r="CNC18" s="69"/>
      <c r="CND18" s="69"/>
      <c r="CNE18" s="69"/>
      <c r="CNF18" s="69"/>
      <c r="CNG18" s="69"/>
      <c r="CNH18" s="69"/>
      <c r="CNI18" s="69"/>
      <c r="CNJ18" s="69"/>
      <c r="CNK18" s="69"/>
      <c r="CNL18" s="69"/>
      <c r="CNM18" s="69"/>
      <c r="CNN18" s="69"/>
      <c r="CNO18" s="69"/>
      <c r="CNP18" s="69"/>
      <c r="CNQ18" s="69"/>
      <c r="CNR18" s="69"/>
      <c r="CNS18" s="69"/>
      <c r="CNT18" s="69"/>
      <c r="CNU18" s="69"/>
      <c r="CNV18" s="69"/>
      <c r="CNW18" s="69"/>
      <c r="CNX18" s="69"/>
      <c r="CNY18" s="69"/>
      <c r="CNZ18" s="69"/>
      <c r="COA18" s="69"/>
      <c r="COB18" s="69"/>
      <c r="COC18" s="69"/>
      <c r="COD18" s="69"/>
      <c r="COE18" s="69"/>
      <c r="COF18" s="69"/>
      <c r="COG18" s="69"/>
      <c r="COH18" s="69"/>
      <c r="COI18" s="69"/>
      <c r="COJ18" s="69"/>
      <c r="COK18" s="69"/>
      <c r="COL18" s="69"/>
      <c r="COM18" s="69"/>
      <c r="CON18" s="69"/>
      <c r="COO18" s="69"/>
      <c r="COP18" s="69"/>
      <c r="COQ18" s="69"/>
      <c r="COR18" s="69"/>
      <c r="COS18" s="69"/>
      <c r="COT18" s="69"/>
      <c r="COU18" s="69"/>
      <c r="COV18" s="69"/>
      <c r="COW18" s="69"/>
      <c r="COX18" s="69"/>
      <c r="COY18" s="69"/>
      <c r="COZ18" s="69"/>
      <c r="CPA18" s="69"/>
      <c r="CPB18" s="69"/>
      <c r="CPC18" s="69"/>
      <c r="CPD18" s="69"/>
      <c r="CPE18" s="69"/>
      <c r="CPF18" s="69"/>
      <c r="CPG18" s="69"/>
      <c r="CPH18" s="69"/>
      <c r="CPI18" s="69"/>
      <c r="CPJ18" s="69"/>
      <c r="CPK18" s="69"/>
      <c r="CPL18" s="69"/>
      <c r="CPM18" s="69"/>
      <c r="CPN18" s="69"/>
      <c r="CPO18" s="69"/>
      <c r="CPP18" s="69"/>
      <c r="CPQ18" s="69"/>
      <c r="CPR18" s="69"/>
      <c r="CPS18" s="69"/>
      <c r="CPT18" s="69"/>
      <c r="CPU18" s="69"/>
      <c r="CPV18" s="69"/>
      <c r="CPW18" s="69"/>
      <c r="CPX18" s="69"/>
      <c r="CPY18" s="69"/>
      <c r="CPZ18" s="69"/>
      <c r="CQA18" s="69"/>
      <c r="CQB18" s="69"/>
      <c r="CQC18" s="69"/>
      <c r="CQD18" s="69"/>
      <c r="CQE18" s="69"/>
      <c r="CQF18" s="69"/>
      <c r="CQG18" s="69"/>
      <c r="CQH18" s="69"/>
      <c r="CQI18" s="69"/>
      <c r="CQJ18" s="69"/>
      <c r="CQK18" s="69"/>
      <c r="CQL18" s="69"/>
      <c r="CQM18" s="69"/>
      <c r="CQN18" s="69"/>
      <c r="CQO18" s="69"/>
      <c r="CQP18" s="69"/>
      <c r="CQQ18" s="69"/>
      <c r="CQR18" s="69"/>
      <c r="CQS18" s="69"/>
      <c r="CQT18" s="69"/>
      <c r="CQU18" s="69"/>
      <c r="CQV18" s="69"/>
      <c r="CQW18" s="69"/>
      <c r="CQX18" s="69"/>
      <c r="CQY18" s="69"/>
      <c r="CQZ18" s="69"/>
      <c r="CRA18" s="69"/>
      <c r="CRB18" s="69"/>
      <c r="CRC18" s="69"/>
      <c r="CRD18" s="69"/>
      <c r="CRE18" s="69"/>
      <c r="CRF18" s="69"/>
      <c r="CRG18" s="69"/>
      <c r="CRH18" s="69"/>
      <c r="CRI18" s="69"/>
      <c r="CRJ18" s="69"/>
      <c r="CRK18" s="69"/>
      <c r="CRL18" s="69"/>
      <c r="CRM18" s="69"/>
      <c r="CRN18" s="69"/>
      <c r="CRO18" s="69"/>
      <c r="CRP18" s="69"/>
      <c r="CRQ18" s="69"/>
      <c r="CRR18" s="69"/>
      <c r="CRS18" s="69"/>
      <c r="CRT18" s="69"/>
      <c r="CRU18" s="69"/>
      <c r="CRV18" s="69"/>
      <c r="CRW18" s="69"/>
      <c r="CRX18" s="69"/>
      <c r="CRY18" s="69"/>
      <c r="CRZ18" s="69"/>
      <c r="CSA18" s="69"/>
      <c r="CSB18" s="69"/>
      <c r="CSC18" s="69"/>
      <c r="CSD18" s="69"/>
      <c r="CSE18" s="69"/>
      <c r="CSF18" s="69"/>
      <c r="CSG18" s="69"/>
      <c r="CSH18" s="69"/>
      <c r="CSI18" s="69"/>
      <c r="CSJ18" s="69"/>
      <c r="CSK18" s="69"/>
      <c r="CSL18" s="69"/>
      <c r="CSM18" s="69"/>
      <c r="CSN18" s="69"/>
      <c r="CSO18" s="69"/>
      <c r="CSP18" s="69"/>
      <c r="CSQ18" s="69"/>
      <c r="CSR18" s="69"/>
      <c r="CSS18" s="69"/>
      <c r="CST18" s="69"/>
      <c r="CSU18" s="69"/>
      <c r="CSV18" s="69"/>
      <c r="CSW18" s="69"/>
      <c r="CSX18" s="69"/>
      <c r="CSY18" s="69"/>
      <c r="CSZ18" s="69"/>
      <c r="CTA18" s="69"/>
      <c r="CTB18" s="69"/>
      <c r="CTC18" s="69"/>
      <c r="CTD18" s="69"/>
      <c r="CTE18" s="69"/>
      <c r="CTF18" s="69"/>
      <c r="CTG18" s="69"/>
      <c r="CTH18" s="69"/>
      <c r="CTI18" s="69"/>
      <c r="CTJ18" s="69"/>
      <c r="CTK18" s="69"/>
      <c r="CTL18" s="69"/>
      <c r="CTM18" s="69"/>
      <c r="CTN18" s="69"/>
      <c r="CTO18" s="69"/>
      <c r="CTP18" s="69"/>
      <c r="CTQ18" s="69"/>
      <c r="CTR18" s="69"/>
      <c r="CTS18" s="69"/>
      <c r="CTT18" s="69"/>
      <c r="CTU18" s="69"/>
      <c r="CTV18" s="69"/>
      <c r="CTW18" s="69"/>
      <c r="CTX18" s="69"/>
      <c r="CTY18" s="69"/>
      <c r="CTZ18" s="69"/>
      <c r="CUA18" s="69"/>
      <c r="CUB18" s="69"/>
      <c r="CUC18" s="69"/>
      <c r="CUD18" s="69"/>
      <c r="CUE18" s="69"/>
      <c r="CUF18" s="69"/>
      <c r="CUG18" s="69"/>
      <c r="CUH18" s="69"/>
      <c r="CUI18" s="69"/>
      <c r="CUJ18" s="69"/>
      <c r="CUK18" s="69"/>
      <c r="CUL18" s="69"/>
      <c r="CUM18" s="69"/>
      <c r="CUN18" s="69"/>
      <c r="CUO18" s="69"/>
      <c r="CUP18" s="69"/>
      <c r="CUQ18" s="69"/>
      <c r="CUR18" s="69"/>
      <c r="CUS18" s="69"/>
      <c r="CUT18" s="69"/>
      <c r="CUU18" s="69"/>
      <c r="CUV18" s="69"/>
      <c r="CUW18" s="69"/>
      <c r="CUX18" s="69"/>
      <c r="CUY18" s="69"/>
      <c r="CUZ18" s="69"/>
      <c r="CVA18" s="69"/>
      <c r="CVB18" s="69"/>
      <c r="CVC18" s="69"/>
      <c r="CVD18" s="69"/>
      <c r="CVE18" s="69"/>
      <c r="CVF18" s="69"/>
      <c r="CVG18" s="69"/>
      <c r="CVH18" s="69"/>
      <c r="CVI18" s="69"/>
      <c r="CVJ18" s="69"/>
      <c r="CVK18" s="69"/>
      <c r="CVL18" s="69"/>
      <c r="CVM18" s="69"/>
      <c r="CVN18" s="69"/>
      <c r="CVO18" s="69"/>
      <c r="CVP18" s="69"/>
      <c r="CVQ18" s="69"/>
      <c r="CVR18" s="69"/>
      <c r="CVS18" s="69"/>
      <c r="CVT18" s="69"/>
      <c r="CVU18" s="69"/>
      <c r="CVV18" s="69"/>
      <c r="CVW18" s="69"/>
      <c r="CVX18" s="69"/>
      <c r="CVY18" s="69"/>
      <c r="CVZ18" s="69"/>
      <c r="CWA18" s="69"/>
      <c r="CWB18" s="69"/>
      <c r="CWC18" s="69"/>
      <c r="CWD18" s="69"/>
      <c r="CWE18" s="69"/>
      <c r="CWF18" s="69"/>
      <c r="CWG18" s="69"/>
      <c r="CWH18" s="69"/>
      <c r="CWI18" s="69"/>
      <c r="CWJ18" s="69"/>
      <c r="CWK18" s="69"/>
      <c r="CWL18" s="69"/>
      <c r="CWM18" s="69"/>
      <c r="CWN18" s="69"/>
      <c r="CWO18" s="69"/>
      <c r="CWP18" s="69"/>
      <c r="CWQ18" s="69"/>
      <c r="CWR18" s="69"/>
      <c r="CWS18" s="69"/>
      <c r="CWT18" s="69"/>
      <c r="CWU18" s="69"/>
      <c r="CWV18" s="69"/>
      <c r="CWW18" s="69"/>
      <c r="CWX18" s="69"/>
      <c r="CWY18" s="69"/>
      <c r="CWZ18" s="69"/>
      <c r="CXA18" s="69"/>
      <c r="CXB18" s="69"/>
      <c r="CXC18" s="69"/>
      <c r="CXD18" s="69"/>
      <c r="CXE18" s="69"/>
      <c r="CXF18" s="69"/>
      <c r="CXG18" s="69"/>
      <c r="CXH18" s="69"/>
      <c r="CXI18" s="69"/>
      <c r="CXJ18" s="69"/>
      <c r="CXK18" s="69"/>
      <c r="CXL18" s="69"/>
      <c r="CXM18" s="69"/>
      <c r="CXN18" s="69"/>
      <c r="CXO18" s="69"/>
      <c r="CXP18" s="69"/>
      <c r="CXQ18" s="69"/>
      <c r="CXR18" s="69"/>
      <c r="CXS18" s="69"/>
      <c r="CXT18" s="69"/>
      <c r="CXU18" s="69"/>
      <c r="CXV18" s="69"/>
      <c r="CXW18" s="69"/>
      <c r="CXX18" s="69"/>
      <c r="CXY18" s="69"/>
      <c r="CXZ18" s="69"/>
      <c r="CYA18" s="69"/>
      <c r="CYB18" s="69"/>
      <c r="CYC18" s="69"/>
      <c r="CYD18" s="69"/>
      <c r="CYE18" s="69"/>
      <c r="CYF18" s="69"/>
      <c r="CYG18" s="69"/>
      <c r="CYH18" s="69"/>
      <c r="CYI18" s="69"/>
      <c r="CYJ18" s="69"/>
      <c r="CYK18" s="69"/>
      <c r="CYL18" s="69"/>
      <c r="CYM18" s="69"/>
      <c r="CYN18" s="69"/>
      <c r="CYO18" s="69"/>
      <c r="CYP18" s="69"/>
      <c r="CYQ18" s="69"/>
      <c r="CYR18" s="69"/>
      <c r="CYS18" s="69"/>
      <c r="CYT18" s="69"/>
      <c r="CYU18" s="69"/>
      <c r="CYV18" s="69"/>
      <c r="CYW18" s="69"/>
      <c r="CYX18" s="69"/>
      <c r="CYY18" s="69"/>
      <c r="CYZ18" s="69"/>
      <c r="CZA18" s="69"/>
      <c r="CZB18" s="69"/>
      <c r="CZC18" s="69"/>
      <c r="CZD18" s="69"/>
      <c r="CZE18" s="69"/>
      <c r="CZF18" s="69"/>
      <c r="CZG18" s="69"/>
      <c r="CZH18" s="69"/>
      <c r="CZI18" s="69"/>
      <c r="CZJ18" s="69"/>
      <c r="CZK18" s="69"/>
      <c r="CZL18" s="69"/>
      <c r="CZM18" s="69"/>
      <c r="CZN18" s="69"/>
      <c r="CZO18" s="69"/>
      <c r="CZP18" s="69"/>
      <c r="CZQ18" s="69"/>
      <c r="CZR18" s="69"/>
      <c r="CZS18" s="69"/>
      <c r="CZT18" s="69"/>
      <c r="CZU18" s="69"/>
      <c r="CZV18" s="69"/>
      <c r="CZW18" s="69"/>
      <c r="CZX18" s="69"/>
      <c r="CZY18" s="69"/>
      <c r="CZZ18" s="69"/>
      <c r="DAA18" s="69"/>
      <c r="DAB18" s="69"/>
      <c r="DAC18" s="69"/>
      <c r="DAD18" s="69"/>
      <c r="DAE18" s="69"/>
      <c r="DAF18" s="69"/>
      <c r="DAG18" s="69"/>
      <c r="DAH18" s="69"/>
      <c r="DAI18" s="69"/>
      <c r="DAJ18" s="69"/>
      <c r="DAK18" s="69"/>
      <c r="DAL18" s="69"/>
      <c r="DAM18" s="69"/>
      <c r="DAN18" s="69"/>
      <c r="DAO18" s="69"/>
      <c r="DAP18" s="69"/>
      <c r="DAQ18" s="69"/>
      <c r="DAR18" s="69"/>
      <c r="DAS18" s="69"/>
      <c r="DAT18" s="69"/>
      <c r="DAU18" s="69"/>
      <c r="DAV18" s="69"/>
      <c r="DAW18" s="69"/>
      <c r="DAX18" s="69"/>
      <c r="DAY18" s="69"/>
      <c r="DAZ18" s="69"/>
      <c r="DBA18" s="69"/>
      <c r="DBB18" s="69"/>
      <c r="DBC18" s="69"/>
      <c r="DBD18" s="69"/>
      <c r="DBE18" s="69"/>
      <c r="DBF18" s="69"/>
      <c r="DBG18" s="69"/>
      <c r="DBH18" s="69"/>
      <c r="DBI18" s="69"/>
      <c r="DBJ18" s="69"/>
      <c r="DBK18" s="69"/>
      <c r="DBL18" s="69"/>
      <c r="DBM18" s="69"/>
      <c r="DBN18" s="69"/>
      <c r="DBO18" s="69"/>
      <c r="DBP18" s="69"/>
      <c r="DBQ18" s="69"/>
      <c r="DBR18" s="69"/>
      <c r="DBS18" s="69"/>
      <c r="DBT18" s="69"/>
      <c r="DBU18" s="69"/>
      <c r="DBV18" s="69"/>
      <c r="DBW18" s="69"/>
      <c r="DBX18" s="69"/>
      <c r="DBY18" s="69"/>
      <c r="DBZ18" s="69"/>
      <c r="DCA18" s="69"/>
      <c r="DCB18" s="69"/>
      <c r="DCC18" s="69"/>
      <c r="DCD18" s="69"/>
      <c r="DCE18" s="69"/>
      <c r="DCF18" s="69"/>
      <c r="DCG18" s="69"/>
      <c r="DCH18" s="69"/>
      <c r="DCI18" s="69"/>
      <c r="DCJ18" s="69"/>
      <c r="DCK18" s="69"/>
      <c r="DCL18" s="69"/>
      <c r="DCM18" s="69"/>
      <c r="DCN18" s="69"/>
      <c r="DCO18" s="69"/>
      <c r="DCP18" s="69"/>
      <c r="DCQ18" s="69"/>
      <c r="DCR18" s="69"/>
      <c r="DCS18" s="69"/>
      <c r="DCT18" s="69"/>
      <c r="DCU18" s="69"/>
      <c r="DCV18" s="69"/>
      <c r="DCW18" s="69"/>
      <c r="DCX18" s="69"/>
      <c r="DCY18" s="69"/>
      <c r="DCZ18" s="69"/>
      <c r="DDA18" s="69"/>
      <c r="DDB18" s="69"/>
      <c r="DDC18" s="69"/>
      <c r="DDD18" s="69"/>
      <c r="DDE18" s="69"/>
      <c r="DDF18" s="69"/>
      <c r="DDG18" s="69"/>
      <c r="DDH18" s="69"/>
      <c r="DDI18" s="69"/>
      <c r="DDJ18" s="69"/>
      <c r="DDK18" s="69"/>
      <c r="DDL18" s="69"/>
      <c r="DDM18" s="69"/>
      <c r="DDN18" s="69"/>
      <c r="DDO18" s="69"/>
      <c r="DDP18" s="69"/>
      <c r="DDQ18" s="69"/>
      <c r="DDR18" s="69"/>
      <c r="DDS18" s="69"/>
      <c r="DDT18" s="69"/>
      <c r="DDU18" s="69"/>
      <c r="DDV18" s="69"/>
      <c r="DDW18" s="69"/>
      <c r="DDX18" s="69"/>
      <c r="DDY18" s="69"/>
      <c r="DDZ18" s="69"/>
      <c r="DEA18" s="69"/>
      <c r="DEB18" s="69"/>
      <c r="DEC18" s="69"/>
      <c r="DED18" s="69"/>
      <c r="DEE18" s="69"/>
      <c r="DEF18" s="69"/>
      <c r="DEG18" s="69"/>
      <c r="DEH18" s="69"/>
      <c r="DEI18" s="69"/>
      <c r="DEJ18" s="69"/>
      <c r="DEK18" s="69"/>
      <c r="DEL18" s="69"/>
      <c r="DEM18" s="69"/>
      <c r="DEN18" s="69"/>
      <c r="DEO18" s="69"/>
      <c r="DEP18" s="69"/>
      <c r="DEQ18" s="69"/>
      <c r="DER18" s="69"/>
      <c r="DES18" s="69"/>
      <c r="DET18" s="69"/>
      <c r="DEU18" s="69"/>
      <c r="DEV18" s="69"/>
      <c r="DEW18" s="69"/>
      <c r="DEX18" s="69"/>
      <c r="DEY18" s="69"/>
      <c r="DEZ18" s="69"/>
      <c r="DFA18" s="69"/>
      <c r="DFB18" s="69"/>
      <c r="DFC18" s="69"/>
      <c r="DFD18" s="69"/>
      <c r="DFE18" s="69"/>
      <c r="DFF18" s="69"/>
      <c r="DFG18" s="69"/>
      <c r="DFH18" s="69"/>
      <c r="DFI18" s="69"/>
      <c r="DFJ18" s="69"/>
      <c r="DFK18" s="69"/>
      <c r="DFL18" s="69"/>
      <c r="DFM18" s="69"/>
      <c r="DFN18" s="69"/>
      <c r="DFO18" s="69"/>
      <c r="DFP18" s="69"/>
      <c r="DFQ18" s="69"/>
      <c r="DFR18" s="69"/>
      <c r="DFS18" s="69"/>
      <c r="DFT18" s="69"/>
      <c r="DFU18" s="69"/>
      <c r="DFV18" s="69"/>
      <c r="DFW18" s="69"/>
      <c r="DFX18" s="69"/>
      <c r="DFY18" s="69"/>
      <c r="DFZ18" s="69"/>
      <c r="DGA18" s="69"/>
      <c r="DGB18" s="69"/>
      <c r="DGC18" s="69"/>
      <c r="DGD18" s="69"/>
      <c r="DGE18" s="69"/>
      <c r="DGF18" s="69"/>
      <c r="DGG18" s="69"/>
      <c r="DGH18" s="69"/>
      <c r="DGI18" s="69"/>
      <c r="DGJ18" s="69"/>
      <c r="DGK18" s="69"/>
      <c r="DGL18" s="69"/>
      <c r="DGM18" s="69"/>
      <c r="DGN18" s="69"/>
      <c r="DGO18" s="69"/>
      <c r="DGP18" s="69"/>
      <c r="DGQ18" s="69"/>
      <c r="DGR18" s="69"/>
      <c r="DGS18" s="69"/>
      <c r="DGT18" s="69"/>
      <c r="DGU18" s="69"/>
      <c r="DGV18" s="69"/>
      <c r="DGW18" s="69"/>
      <c r="DGX18" s="69"/>
      <c r="DGY18" s="69"/>
      <c r="DGZ18" s="69"/>
      <c r="DHA18" s="69"/>
      <c r="DHB18" s="69"/>
      <c r="DHC18" s="69"/>
      <c r="DHD18" s="69"/>
      <c r="DHE18" s="69"/>
      <c r="DHF18" s="69"/>
      <c r="DHG18" s="69"/>
      <c r="DHH18" s="69"/>
      <c r="DHI18" s="69"/>
      <c r="DHJ18" s="69"/>
      <c r="DHK18" s="69"/>
      <c r="DHL18" s="69"/>
      <c r="DHM18" s="69"/>
      <c r="DHN18" s="69"/>
      <c r="DHO18" s="69"/>
      <c r="DHP18" s="69"/>
      <c r="DHQ18" s="69"/>
      <c r="DHR18" s="69"/>
      <c r="DHS18" s="69"/>
      <c r="DHT18" s="69"/>
      <c r="DHU18" s="69"/>
      <c r="DHV18" s="69"/>
      <c r="DHW18" s="69"/>
      <c r="DHX18" s="69"/>
      <c r="DHY18" s="69"/>
      <c r="DHZ18" s="69"/>
      <c r="DIA18" s="69"/>
      <c r="DIB18" s="69"/>
      <c r="DIC18" s="69"/>
      <c r="DID18" s="69"/>
      <c r="DIE18" s="69"/>
      <c r="DIF18" s="69"/>
      <c r="DIG18" s="69"/>
      <c r="DIH18" s="69"/>
      <c r="DII18" s="69"/>
      <c r="DIJ18" s="69"/>
      <c r="DIK18" s="69"/>
      <c r="DIL18" s="69"/>
      <c r="DIM18" s="69"/>
      <c r="DIN18" s="69"/>
      <c r="DIO18" s="69"/>
      <c r="DIP18" s="69"/>
      <c r="DIQ18" s="69"/>
      <c r="DIR18" s="69"/>
      <c r="DIS18" s="69"/>
      <c r="DIT18" s="69"/>
      <c r="DIU18" s="69"/>
      <c r="DIV18" s="69"/>
      <c r="DIW18" s="69"/>
      <c r="DIX18" s="69"/>
      <c r="DIY18" s="69"/>
      <c r="DIZ18" s="69"/>
      <c r="DJA18" s="69"/>
      <c r="DJB18" s="69"/>
      <c r="DJC18" s="69"/>
      <c r="DJD18" s="69"/>
      <c r="DJE18" s="69"/>
      <c r="DJF18" s="69"/>
      <c r="DJG18" s="69"/>
      <c r="DJH18" s="69"/>
      <c r="DJI18" s="69"/>
      <c r="DJJ18" s="69"/>
      <c r="DJK18" s="69"/>
      <c r="DJL18" s="69"/>
      <c r="DJM18" s="69"/>
      <c r="DJN18" s="69"/>
      <c r="DJO18" s="69"/>
      <c r="DJP18" s="69"/>
      <c r="DJQ18" s="69"/>
      <c r="DJR18" s="69"/>
      <c r="DJS18" s="69"/>
      <c r="DJT18" s="69"/>
      <c r="DJU18" s="69"/>
      <c r="DJV18" s="69"/>
      <c r="DJW18" s="69"/>
      <c r="DJX18" s="69"/>
      <c r="DJY18" s="69"/>
      <c r="DJZ18" s="69"/>
      <c r="DKA18" s="69"/>
      <c r="DKB18" s="69"/>
      <c r="DKC18" s="69"/>
      <c r="DKD18" s="69"/>
      <c r="DKE18" s="69"/>
      <c r="DKF18" s="69"/>
      <c r="DKG18" s="69"/>
      <c r="DKH18" s="69"/>
      <c r="DKI18" s="69"/>
      <c r="DKJ18" s="69"/>
      <c r="DKK18" s="69"/>
      <c r="DKL18" s="69"/>
      <c r="DKM18" s="69"/>
      <c r="DKN18" s="69"/>
      <c r="DKO18" s="69"/>
      <c r="DKP18" s="69"/>
      <c r="DKQ18" s="69"/>
      <c r="DKR18" s="69"/>
      <c r="DKS18" s="69"/>
      <c r="DKT18" s="69"/>
      <c r="DKU18" s="69"/>
      <c r="DKV18" s="69"/>
      <c r="DKW18" s="69"/>
      <c r="DKX18" s="69"/>
      <c r="DKY18" s="69"/>
      <c r="DKZ18" s="69"/>
      <c r="DLA18" s="69"/>
      <c r="DLB18" s="69"/>
      <c r="DLC18" s="69"/>
      <c r="DLD18" s="69"/>
      <c r="DLE18" s="69"/>
      <c r="DLF18" s="69"/>
      <c r="DLG18" s="69"/>
      <c r="DLH18" s="69"/>
      <c r="DLI18" s="69"/>
      <c r="DLJ18" s="69"/>
      <c r="DLK18" s="69"/>
      <c r="DLL18" s="69"/>
      <c r="DLM18" s="69"/>
      <c r="DLN18" s="69"/>
      <c r="DLO18" s="69"/>
      <c r="DLP18" s="69"/>
      <c r="DLQ18" s="69"/>
      <c r="DLR18" s="69"/>
      <c r="DLS18" s="69"/>
      <c r="DLT18" s="69"/>
      <c r="DLU18" s="69"/>
      <c r="DLV18" s="69"/>
      <c r="DLW18" s="69"/>
      <c r="DLX18" s="69"/>
      <c r="DLY18" s="69"/>
      <c r="DLZ18" s="69"/>
      <c r="DMA18" s="69"/>
      <c r="DMB18" s="69"/>
      <c r="DMC18" s="69"/>
      <c r="DMD18" s="69"/>
      <c r="DME18" s="69"/>
      <c r="DMF18" s="69"/>
      <c r="DMG18" s="69"/>
      <c r="DMH18" s="69"/>
      <c r="DMI18" s="69"/>
      <c r="DMJ18" s="69"/>
      <c r="DMK18" s="69"/>
      <c r="DML18" s="69"/>
      <c r="DMM18" s="69"/>
      <c r="DMN18" s="69"/>
      <c r="DMO18" s="69"/>
      <c r="DMP18" s="69"/>
      <c r="DMQ18" s="69"/>
      <c r="DMR18" s="69"/>
      <c r="DMS18" s="69"/>
      <c r="DMT18" s="69"/>
      <c r="DMU18" s="69"/>
      <c r="DMV18" s="69"/>
      <c r="DMW18" s="69"/>
      <c r="DMX18" s="69"/>
      <c r="DMY18" s="69"/>
      <c r="DMZ18" s="69"/>
      <c r="DNA18" s="69"/>
      <c r="DNB18" s="69"/>
      <c r="DNC18" s="69"/>
      <c r="DND18" s="69"/>
      <c r="DNE18" s="69"/>
      <c r="DNF18" s="69"/>
      <c r="DNG18" s="69"/>
      <c r="DNH18" s="69"/>
      <c r="DNI18" s="69"/>
      <c r="DNJ18" s="69"/>
      <c r="DNK18" s="69"/>
      <c r="DNL18" s="69"/>
      <c r="DNM18" s="69"/>
      <c r="DNN18" s="69"/>
      <c r="DNO18" s="69"/>
      <c r="DNP18" s="69"/>
      <c r="DNQ18" s="69"/>
      <c r="DNR18" s="69"/>
      <c r="DNS18" s="69"/>
      <c r="DNT18" s="69"/>
      <c r="DNU18" s="69"/>
      <c r="DNV18" s="69"/>
      <c r="DNW18" s="69"/>
      <c r="DNX18" s="69"/>
      <c r="DNY18" s="69"/>
      <c r="DNZ18" s="69"/>
      <c r="DOA18" s="69"/>
      <c r="DOB18" s="69"/>
      <c r="DOC18" s="69"/>
      <c r="DOD18" s="69"/>
      <c r="DOE18" s="69"/>
      <c r="DOF18" s="69"/>
      <c r="DOG18" s="69"/>
      <c r="DOH18" s="69"/>
      <c r="DOI18" s="69"/>
      <c r="DOJ18" s="69"/>
      <c r="DOK18" s="69"/>
      <c r="DOL18" s="69"/>
      <c r="DOM18" s="69"/>
      <c r="DON18" s="69"/>
      <c r="DOO18" s="69"/>
      <c r="DOP18" s="69"/>
      <c r="DOQ18" s="69"/>
      <c r="DOR18" s="69"/>
      <c r="DOS18" s="69"/>
      <c r="DOT18" s="69"/>
      <c r="DOU18" s="69"/>
      <c r="DOV18" s="69"/>
      <c r="DOW18" s="69"/>
      <c r="DOX18" s="69"/>
      <c r="DOY18" s="69"/>
      <c r="DOZ18" s="69"/>
      <c r="DPA18" s="69"/>
      <c r="DPB18" s="69"/>
      <c r="DPC18" s="69"/>
      <c r="DPD18" s="69"/>
      <c r="DPE18" s="69"/>
      <c r="DPF18" s="69"/>
      <c r="DPG18" s="69"/>
      <c r="DPH18" s="69"/>
      <c r="DPI18" s="69"/>
      <c r="DPJ18" s="69"/>
      <c r="DPK18" s="69"/>
      <c r="DPL18" s="69"/>
      <c r="DPM18" s="69"/>
      <c r="DPN18" s="69"/>
      <c r="DPO18" s="69"/>
      <c r="DPP18" s="69"/>
      <c r="DPQ18" s="69"/>
      <c r="DPR18" s="69"/>
      <c r="DPS18" s="69"/>
      <c r="DPT18" s="69"/>
      <c r="DPU18" s="69"/>
      <c r="DPV18" s="69"/>
      <c r="DPW18" s="69"/>
      <c r="DPX18" s="69"/>
      <c r="DPY18" s="69"/>
      <c r="DPZ18" s="69"/>
      <c r="DQA18" s="69"/>
      <c r="DQB18" s="69"/>
      <c r="DQC18" s="69"/>
      <c r="DQD18" s="69"/>
      <c r="DQE18" s="69"/>
      <c r="DQF18" s="69"/>
      <c r="DQG18" s="69"/>
      <c r="DQH18" s="69"/>
      <c r="DQI18" s="69"/>
      <c r="DQJ18" s="69"/>
      <c r="DQK18" s="69"/>
      <c r="DQL18" s="69"/>
      <c r="DQM18" s="69"/>
      <c r="DQN18" s="69"/>
      <c r="DQO18" s="69"/>
      <c r="DQP18" s="69"/>
      <c r="DQQ18" s="69"/>
      <c r="DQR18" s="69"/>
      <c r="DQS18" s="69"/>
      <c r="DQT18" s="69"/>
      <c r="DQU18" s="69"/>
      <c r="DQV18" s="69"/>
      <c r="DQW18" s="69"/>
      <c r="DQX18" s="69"/>
      <c r="DQY18" s="69"/>
      <c r="DQZ18" s="69"/>
      <c r="DRA18" s="69"/>
      <c r="DRB18" s="69"/>
      <c r="DRC18" s="69"/>
      <c r="DRD18" s="69"/>
      <c r="DRE18" s="69"/>
      <c r="DRF18" s="69"/>
      <c r="DRG18" s="69"/>
      <c r="DRH18" s="69"/>
      <c r="DRI18" s="69"/>
      <c r="DRJ18" s="69"/>
      <c r="DRK18" s="69"/>
      <c r="DRL18" s="69"/>
      <c r="DRM18" s="69"/>
      <c r="DRN18" s="69"/>
      <c r="DRO18" s="69"/>
      <c r="DRP18" s="69"/>
      <c r="DRQ18" s="69"/>
      <c r="DRR18" s="69"/>
      <c r="DRS18" s="69"/>
      <c r="DRT18" s="69"/>
      <c r="DRU18" s="69"/>
      <c r="DRV18" s="69"/>
      <c r="DRW18" s="69"/>
      <c r="DRX18" s="69"/>
      <c r="DRY18" s="69"/>
      <c r="DRZ18" s="69"/>
      <c r="DSA18" s="69"/>
      <c r="DSB18" s="69"/>
      <c r="DSC18" s="69"/>
      <c r="DSD18" s="69"/>
      <c r="DSE18" s="69"/>
      <c r="DSF18" s="69"/>
      <c r="DSG18" s="69"/>
      <c r="DSH18" s="69"/>
      <c r="DSI18" s="69"/>
      <c r="DSJ18" s="69"/>
      <c r="DSK18" s="69"/>
      <c r="DSL18" s="69"/>
      <c r="DSM18" s="69"/>
      <c r="DSN18" s="69"/>
      <c r="DSO18" s="69"/>
      <c r="DSP18" s="69"/>
      <c r="DSQ18" s="69"/>
      <c r="DSR18" s="69"/>
      <c r="DSS18" s="69"/>
      <c r="DST18" s="69"/>
      <c r="DSU18" s="69"/>
      <c r="DSV18" s="69"/>
      <c r="DSW18" s="69"/>
      <c r="DSX18" s="69"/>
      <c r="DSY18" s="69"/>
      <c r="DSZ18" s="69"/>
      <c r="DTA18" s="69"/>
      <c r="DTB18" s="69"/>
      <c r="DTC18" s="69"/>
      <c r="DTD18" s="69"/>
      <c r="DTE18" s="69"/>
      <c r="DTF18" s="69"/>
      <c r="DTG18" s="69"/>
      <c r="DTH18" s="69"/>
      <c r="DTI18" s="69"/>
      <c r="DTJ18" s="69"/>
      <c r="DTK18" s="69"/>
      <c r="DTL18" s="69"/>
      <c r="DTM18" s="69"/>
      <c r="DTN18" s="69"/>
      <c r="DTO18" s="69"/>
      <c r="DTP18" s="69"/>
      <c r="DTQ18" s="69"/>
      <c r="DTR18" s="69"/>
      <c r="DTS18" s="69"/>
      <c r="DTT18" s="69"/>
      <c r="DTU18" s="69"/>
      <c r="DTV18" s="69"/>
      <c r="DTW18" s="69"/>
      <c r="DTX18" s="69"/>
      <c r="DTY18" s="69"/>
      <c r="DTZ18" s="69"/>
      <c r="DUA18" s="69"/>
      <c r="DUB18" s="69"/>
      <c r="DUC18" s="69"/>
      <c r="DUD18" s="69"/>
      <c r="DUE18" s="69"/>
      <c r="DUF18" s="69"/>
      <c r="DUG18" s="69"/>
      <c r="DUH18" s="69"/>
      <c r="DUI18" s="69"/>
      <c r="DUJ18" s="69"/>
      <c r="DUK18" s="69"/>
      <c r="DUL18" s="69"/>
      <c r="DUM18" s="69"/>
      <c r="DUN18" s="69"/>
      <c r="DUO18" s="69"/>
      <c r="DUP18" s="69"/>
      <c r="DUQ18" s="69"/>
      <c r="DUR18" s="69"/>
      <c r="DUS18" s="69"/>
      <c r="DUT18" s="69"/>
      <c r="DUU18" s="69"/>
      <c r="DUV18" s="69"/>
      <c r="DUW18" s="69"/>
      <c r="DUX18" s="69"/>
      <c r="DUY18" s="69"/>
      <c r="DUZ18" s="69"/>
      <c r="DVA18" s="69"/>
      <c r="DVB18" s="69"/>
      <c r="DVC18" s="69"/>
      <c r="DVD18" s="69"/>
      <c r="DVE18" s="69"/>
      <c r="DVF18" s="69"/>
      <c r="DVG18" s="69"/>
      <c r="DVH18" s="69"/>
      <c r="DVI18" s="69"/>
      <c r="DVJ18" s="69"/>
      <c r="DVK18" s="69"/>
      <c r="DVL18" s="69"/>
      <c r="DVM18" s="69"/>
      <c r="DVN18" s="69"/>
      <c r="DVO18" s="69"/>
      <c r="DVP18" s="69"/>
      <c r="DVQ18" s="69"/>
      <c r="DVR18" s="69"/>
      <c r="DVS18" s="69"/>
      <c r="DVT18" s="69"/>
      <c r="DVU18" s="69"/>
      <c r="DVV18" s="69"/>
      <c r="DVW18" s="69"/>
      <c r="DVX18" s="69"/>
      <c r="DVY18" s="69"/>
      <c r="DVZ18" s="69"/>
      <c r="DWA18" s="69"/>
      <c r="DWB18" s="69"/>
      <c r="DWC18" s="69"/>
      <c r="DWD18" s="69"/>
      <c r="DWE18" s="69"/>
      <c r="DWF18" s="69"/>
      <c r="DWG18" s="69"/>
      <c r="DWH18" s="69"/>
      <c r="DWI18" s="69"/>
      <c r="DWJ18" s="69"/>
      <c r="DWK18" s="69"/>
      <c r="DWL18" s="69"/>
      <c r="DWM18" s="69"/>
      <c r="DWN18" s="69"/>
      <c r="DWO18" s="69"/>
      <c r="DWP18" s="69"/>
      <c r="DWQ18" s="69"/>
      <c r="DWR18" s="69"/>
      <c r="DWS18" s="69"/>
      <c r="DWT18" s="69"/>
      <c r="DWU18" s="69"/>
      <c r="DWV18" s="69"/>
      <c r="DWW18" s="69"/>
      <c r="DWX18" s="69"/>
      <c r="DWY18" s="69"/>
      <c r="DWZ18" s="69"/>
      <c r="DXA18" s="69"/>
      <c r="DXB18" s="69"/>
      <c r="DXC18" s="69"/>
      <c r="DXD18" s="69"/>
      <c r="DXE18" s="69"/>
      <c r="DXF18" s="69"/>
      <c r="DXG18" s="69"/>
      <c r="DXH18" s="69"/>
      <c r="DXI18" s="69"/>
      <c r="DXJ18" s="69"/>
      <c r="DXK18" s="69"/>
      <c r="DXL18" s="69"/>
      <c r="DXM18" s="69"/>
      <c r="DXN18" s="69"/>
      <c r="DXO18" s="69"/>
      <c r="DXP18" s="69"/>
      <c r="DXQ18" s="69"/>
      <c r="DXR18" s="69"/>
      <c r="DXS18" s="69"/>
      <c r="DXT18" s="69"/>
      <c r="DXU18" s="69"/>
      <c r="DXV18" s="69"/>
      <c r="DXW18" s="69"/>
      <c r="DXX18" s="69"/>
      <c r="DXY18" s="69"/>
      <c r="DXZ18" s="69"/>
      <c r="DYA18" s="69"/>
      <c r="DYB18" s="69"/>
      <c r="DYC18" s="69"/>
      <c r="DYD18" s="69"/>
      <c r="DYE18" s="69"/>
      <c r="DYF18" s="69"/>
      <c r="DYG18" s="69"/>
      <c r="DYH18" s="69"/>
      <c r="DYI18" s="69"/>
      <c r="DYJ18" s="69"/>
      <c r="DYK18" s="69"/>
      <c r="DYL18" s="69"/>
      <c r="DYM18" s="69"/>
      <c r="DYN18" s="69"/>
      <c r="DYO18" s="69"/>
      <c r="DYP18" s="69"/>
      <c r="DYQ18" s="69"/>
      <c r="DYR18" s="69"/>
      <c r="DYS18" s="69"/>
      <c r="DYT18" s="69"/>
      <c r="DYU18" s="69"/>
      <c r="DYV18" s="69"/>
      <c r="DYW18" s="69"/>
      <c r="DYX18" s="69"/>
      <c r="DYY18" s="69"/>
      <c r="DYZ18" s="69"/>
      <c r="DZA18" s="69"/>
      <c r="DZB18" s="69"/>
      <c r="DZC18" s="69"/>
      <c r="DZD18" s="69"/>
      <c r="DZE18" s="69"/>
      <c r="DZF18" s="69"/>
      <c r="DZG18" s="69"/>
      <c r="DZH18" s="69"/>
      <c r="DZI18" s="69"/>
      <c r="DZJ18" s="69"/>
      <c r="DZK18" s="69"/>
      <c r="DZL18" s="69"/>
      <c r="DZM18" s="69"/>
      <c r="DZN18" s="69"/>
      <c r="DZO18" s="69"/>
      <c r="DZP18" s="69"/>
      <c r="DZQ18" s="69"/>
      <c r="DZR18" s="69"/>
      <c r="DZS18" s="69"/>
      <c r="DZT18" s="69"/>
      <c r="DZU18" s="69"/>
      <c r="DZV18" s="69"/>
      <c r="DZW18" s="69"/>
      <c r="DZX18" s="69"/>
      <c r="DZY18" s="69"/>
      <c r="DZZ18" s="69"/>
      <c r="EAA18" s="69"/>
      <c r="EAB18" s="69"/>
      <c r="EAC18" s="69"/>
      <c r="EAD18" s="69"/>
      <c r="EAE18" s="69"/>
      <c r="EAF18" s="69"/>
      <c r="EAG18" s="69"/>
      <c r="EAH18" s="69"/>
      <c r="EAI18" s="69"/>
      <c r="EAJ18" s="69"/>
      <c r="EAK18" s="69"/>
      <c r="EAL18" s="69"/>
      <c r="EAM18" s="69"/>
      <c r="EAN18" s="69"/>
      <c r="EAO18" s="69"/>
      <c r="EAP18" s="69"/>
      <c r="EAQ18" s="69"/>
      <c r="EAR18" s="69"/>
      <c r="EAS18" s="69"/>
      <c r="EAT18" s="69"/>
      <c r="EAU18" s="69"/>
      <c r="EAV18" s="69"/>
      <c r="EAW18" s="69"/>
      <c r="EAX18" s="69"/>
      <c r="EAY18" s="69"/>
      <c r="EAZ18" s="69"/>
      <c r="EBA18" s="69"/>
      <c r="EBB18" s="69"/>
      <c r="EBC18" s="69"/>
      <c r="EBD18" s="69"/>
      <c r="EBE18" s="69"/>
      <c r="EBF18" s="69"/>
      <c r="EBG18" s="69"/>
      <c r="EBH18" s="69"/>
      <c r="EBI18" s="69"/>
      <c r="EBJ18" s="69"/>
      <c r="EBK18" s="69"/>
      <c r="EBL18" s="69"/>
      <c r="EBM18" s="69"/>
      <c r="EBN18" s="69"/>
      <c r="EBO18" s="69"/>
      <c r="EBP18" s="69"/>
      <c r="EBQ18" s="69"/>
      <c r="EBR18" s="69"/>
      <c r="EBS18" s="69"/>
      <c r="EBT18" s="69"/>
      <c r="EBU18" s="69"/>
      <c r="EBV18" s="69"/>
      <c r="EBW18" s="69"/>
      <c r="EBX18" s="69"/>
      <c r="EBY18" s="69"/>
      <c r="EBZ18" s="69"/>
      <c r="ECA18" s="69"/>
      <c r="ECB18" s="69"/>
      <c r="ECC18" s="69"/>
      <c r="ECD18" s="69"/>
      <c r="ECE18" s="69"/>
      <c r="ECF18" s="69"/>
      <c r="ECG18" s="69"/>
      <c r="ECH18" s="69"/>
      <c r="ECI18" s="69"/>
      <c r="ECJ18" s="69"/>
      <c r="ECK18" s="69"/>
      <c r="ECL18" s="69"/>
      <c r="ECM18" s="69"/>
      <c r="ECN18" s="69"/>
      <c r="ECO18" s="69"/>
      <c r="ECP18" s="69"/>
      <c r="ECQ18" s="69"/>
      <c r="ECR18" s="69"/>
      <c r="ECS18" s="69"/>
      <c r="ECT18" s="69"/>
      <c r="ECU18" s="69"/>
      <c r="ECV18" s="69"/>
      <c r="ECW18" s="69"/>
      <c r="ECX18" s="69"/>
      <c r="ECY18" s="69"/>
      <c r="ECZ18" s="69"/>
      <c r="EDA18" s="69"/>
      <c r="EDB18" s="69"/>
      <c r="EDC18" s="69"/>
      <c r="EDD18" s="69"/>
      <c r="EDE18" s="69"/>
      <c r="EDF18" s="69"/>
      <c r="EDG18" s="69"/>
      <c r="EDH18" s="69"/>
      <c r="EDI18" s="69"/>
      <c r="EDJ18" s="69"/>
      <c r="EDK18" s="69"/>
      <c r="EDL18" s="69"/>
      <c r="EDM18" s="69"/>
      <c r="EDN18" s="69"/>
      <c r="EDO18" s="69"/>
      <c r="EDP18" s="69"/>
      <c r="EDQ18" s="69"/>
      <c r="EDR18" s="69"/>
      <c r="EDS18" s="69"/>
      <c r="EDT18" s="69"/>
      <c r="EDU18" s="69"/>
      <c r="EDV18" s="69"/>
      <c r="EDW18" s="69"/>
      <c r="EDX18" s="69"/>
      <c r="EDY18" s="69"/>
      <c r="EDZ18" s="69"/>
      <c r="EEA18" s="69"/>
      <c r="EEB18" s="69"/>
      <c r="EEC18" s="69"/>
      <c r="EED18" s="69"/>
      <c r="EEE18" s="69"/>
      <c r="EEF18" s="69"/>
      <c r="EEG18" s="69"/>
      <c r="EEH18" s="69"/>
      <c r="EEI18" s="69"/>
      <c r="EEJ18" s="69"/>
      <c r="EEK18" s="69"/>
      <c r="EEL18" s="69"/>
      <c r="EEM18" s="69"/>
      <c r="EEN18" s="69"/>
      <c r="EEO18" s="69"/>
      <c r="EEP18" s="69"/>
      <c r="EEQ18" s="69"/>
      <c r="EER18" s="69"/>
      <c r="EES18" s="69"/>
      <c r="EET18" s="69"/>
      <c r="EEU18" s="69"/>
      <c r="EEV18" s="69"/>
      <c r="EEW18" s="69"/>
      <c r="EEX18" s="69"/>
      <c r="EEY18" s="69"/>
      <c r="EEZ18" s="69"/>
      <c r="EFA18" s="69"/>
      <c r="EFB18" s="69"/>
      <c r="EFC18" s="69"/>
      <c r="EFD18" s="69"/>
      <c r="EFE18" s="69"/>
      <c r="EFF18" s="69"/>
      <c r="EFG18" s="69"/>
      <c r="EFH18" s="69"/>
      <c r="EFI18" s="69"/>
      <c r="EFJ18" s="69"/>
      <c r="EFK18" s="69"/>
      <c r="EFL18" s="69"/>
      <c r="EFM18" s="69"/>
      <c r="EFN18" s="69"/>
      <c r="EFO18" s="69"/>
      <c r="EFP18" s="69"/>
      <c r="EFQ18" s="69"/>
      <c r="EFR18" s="69"/>
      <c r="EFS18" s="69"/>
      <c r="EFT18" s="69"/>
      <c r="EFU18" s="69"/>
      <c r="EFV18" s="69"/>
      <c r="EFW18" s="69"/>
      <c r="EFX18" s="69"/>
      <c r="EFY18" s="69"/>
      <c r="EFZ18" s="69"/>
      <c r="EGA18" s="69"/>
      <c r="EGB18" s="69"/>
      <c r="EGC18" s="69"/>
      <c r="EGD18" s="69"/>
      <c r="EGE18" s="69"/>
      <c r="EGF18" s="69"/>
      <c r="EGG18" s="69"/>
      <c r="EGH18" s="69"/>
      <c r="EGI18" s="69"/>
      <c r="EGJ18" s="69"/>
      <c r="EGK18" s="69"/>
      <c r="EGL18" s="69"/>
      <c r="EGM18" s="69"/>
      <c r="EGN18" s="69"/>
      <c r="EGO18" s="69"/>
      <c r="EGP18" s="69"/>
      <c r="EGQ18" s="69"/>
      <c r="EGR18" s="69"/>
      <c r="EGS18" s="69"/>
      <c r="EGT18" s="69"/>
      <c r="EGU18" s="69"/>
      <c r="EGV18" s="69"/>
      <c r="EGW18" s="69"/>
      <c r="EGX18" s="69"/>
      <c r="EGY18" s="69"/>
      <c r="EGZ18" s="69"/>
      <c r="EHA18" s="69"/>
      <c r="EHB18" s="69"/>
      <c r="EHC18" s="69"/>
      <c r="EHD18" s="69"/>
      <c r="EHE18" s="69"/>
      <c r="EHF18" s="69"/>
      <c r="EHG18" s="69"/>
      <c r="EHH18" s="69"/>
      <c r="EHI18" s="69"/>
      <c r="EHJ18" s="69"/>
      <c r="EHK18" s="69"/>
      <c r="EHL18" s="69"/>
      <c r="EHM18" s="69"/>
      <c r="EHN18" s="69"/>
      <c r="EHO18" s="69"/>
      <c r="EHP18" s="69"/>
      <c r="EHQ18" s="69"/>
      <c r="EHR18" s="69"/>
      <c r="EHS18" s="69"/>
      <c r="EHT18" s="69"/>
      <c r="EHU18" s="69"/>
      <c r="EHV18" s="69"/>
      <c r="EHW18" s="69"/>
      <c r="EHX18" s="69"/>
      <c r="EHY18" s="69"/>
      <c r="EHZ18" s="69"/>
      <c r="EIA18" s="69"/>
      <c r="EIB18" s="69"/>
      <c r="EIC18" s="69"/>
      <c r="EID18" s="69"/>
      <c r="EIE18" s="69"/>
      <c r="EIF18" s="69"/>
      <c r="EIG18" s="69"/>
      <c r="EIH18" s="69"/>
      <c r="EII18" s="69"/>
      <c r="EIJ18" s="69"/>
      <c r="EIK18" s="69"/>
      <c r="EIL18" s="69"/>
      <c r="EIM18" s="69"/>
      <c r="EIN18" s="69"/>
      <c r="EIO18" s="69"/>
      <c r="EIP18" s="69"/>
      <c r="EIQ18" s="69"/>
      <c r="EIR18" s="69"/>
      <c r="EIS18" s="69"/>
      <c r="EIT18" s="69"/>
      <c r="EIU18" s="69"/>
      <c r="EIV18" s="69"/>
      <c r="EIW18" s="69"/>
      <c r="EIX18" s="69"/>
      <c r="EIY18" s="69"/>
      <c r="EIZ18" s="69"/>
      <c r="EJA18" s="69"/>
      <c r="EJB18" s="69"/>
      <c r="EJC18" s="69"/>
      <c r="EJD18" s="69"/>
      <c r="EJE18" s="69"/>
      <c r="EJF18" s="69"/>
      <c r="EJG18" s="69"/>
      <c r="EJH18" s="69"/>
      <c r="EJI18" s="69"/>
      <c r="EJJ18" s="69"/>
      <c r="EJK18" s="69"/>
      <c r="EJL18" s="69"/>
      <c r="EJM18" s="69"/>
      <c r="EJN18" s="69"/>
      <c r="EJO18" s="69"/>
      <c r="EJP18" s="69"/>
      <c r="EJQ18" s="69"/>
      <c r="EJR18" s="69"/>
      <c r="EJS18" s="69"/>
      <c r="EJT18" s="69"/>
      <c r="EJU18" s="69"/>
      <c r="EJV18" s="69"/>
      <c r="EJW18" s="69"/>
      <c r="EJX18" s="69"/>
      <c r="EJY18" s="69"/>
      <c r="EJZ18" s="69"/>
      <c r="EKA18" s="69"/>
      <c r="EKB18" s="69"/>
      <c r="EKC18" s="69"/>
      <c r="EKD18" s="69"/>
      <c r="EKE18" s="69"/>
      <c r="EKF18" s="69"/>
      <c r="EKG18" s="69"/>
      <c r="EKH18" s="69"/>
      <c r="EKI18" s="69"/>
      <c r="EKJ18" s="69"/>
      <c r="EKK18" s="69"/>
      <c r="EKL18" s="69"/>
      <c r="EKM18" s="69"/>
      <c r="EKN18" s="69"/>
      <c r="EKO18" s="69"/>
      <c r="EKP18" s="69"/>
      <c r="EKQ18" s="69"/>
      <c r="EKR18" s="69"/>
      <c r="EKS18" s="69"/>
      <c r="EKT18" s="69"/>
      <c r="EKU18" s="69"/>
      <c r="EKV18" s="69"/>
      <c r="EKW18" s="69"/>
      <c r="EKX18" s="69"/>
      <c r="EKY18" s="69"/>
      <c r="EKZ18" s="69"/>
      <c r="ELA18" s="69"/>
      <c r="ELB18" s="69"/>
      <c r="ELC18" s="69"/>
      <c r="ELD18" s="69"/>
      <c r="ELE18" s="69"/>
      <c r="ELF18" s="69"/>
      <c r="ELG18" s="69"/>
      <c r="ELH18" s="69"/>
      <c r="ELI18" s="69"/>
      <c r="ELJ18" s="69"/>
      <c r="ELK18" s="69"/>
      <c r="ELL18" s="69"/>
      <c r="ELM18" s="69"/>
      <c r="ELN18" s="69"/>
      <c r="ELO18" s="69"/>
      <c r="ELP18" s="69"/>
      <c r="ELQ18" s="69"/>
      <c r="ELR18" s="69"/>
      <c r="ELS18" s="69"/>
      <c r="ELT18" s="69"/>
      <c r="ELU18" s="69"/>
      <c r="ELV18" s="69"/>
      <c r="ELW18" s="69"/>
      <c r="ELX18" s="69"/>
      <c r="ELY18" s="69"/>
      <c r="ELZ18" s="69"/>
      <c r="EMA18" s="69"/>
      <c r="EMB18" s="69"/>
      <c r="EMC18" s="69"/>
      <c r="EMD18" s="69"/>
      <c r="EME18" s="69"/>
      <c r="EMF18" s="69"/>
      <c r="EMG18" s="69"/>
      <c r="EMH18" s="69"/>
      <c r="EMI18" s="69"/>
      <c r="EMJ18" s="69"/>
      <c r="EMK18" s="69"/>
      <c r="EML18" s="69"/>
      <c r="EMM18" s="69"/>
      <c r="EMN18" s="69"/>
      <c r="EMO18" s="69"/>
      <c r="EMP18" s="69"/>
      <c r="EMQ18" s="69"/>
      <c r="EMR18" s="69"/>
      <c r="EMS18" s="69"/>
      <c r="EMT18" s="69"/>
      <c r="EMU18" s="69"/>
      <c r="EMV18" s="69"/>
      <c r="EMW18" s="69"/>
      <c r="EMX18" s="69"/>
      <c r="EMY18" s="69"/>
      <c r="EMZ18" s="69"/>
      <c r="ENA18" s="69"/>
      <c r="ENB18" s="69"/>
      <c r="ENC18" s="69"/>
      <c r="END18" s="69"/>
      <c r="ENE18" s="69"/>
      <c r="ENF18" s="69"/>
      <c r="ENG18" s="69"/>
      <c r="ENH18" s="69"/>
      <c r="ENI18" s="69"/>
      <c r="ENJ18" s="69"/>
      <c r="ENK18" s="69"/>
      <c r="ENL18" s="69"/>
      <c r="ENM18" s="69"/>
      <c r="ENN18" s="69"/>
      <c r="ENO18" s="69"/>
      <c r="ENP18" s="69"/>
      <c r="ENQ18" s="69"/>
      <c r="ENR18" s="69"/>
      <c r="ENS18" s="69"/>
      <c r="ENT18" s="69"/>
      <c r="ENU18" s="69"/>
      <c r="ENV18" s="69"/>
      <c r="ENW18" s="69"/>
      <c r="ENX18" s="69"/>
      <c r="ENY18" s="69"/>
      <c r="ENZ18" s="69"/>
      <c r="EOA18" s="69"/>
      <c r="EOB18" s="69"/>
      <c r="EOC18" s="69"/>
      <c r="EOD18" s="69"/>
      <c r="EOE18" s="69"/>
      <c r="EOF18" s="69"/>
      <c r="EOG18" s="69"/>
      <c r="EOH18" s="69"/>
      <c r="EOI18" s="69"/>
      <c r="EOJ18" s="69"/>
      <c r="EOK18" s="69"/>
      <c r="EOL18" s="69"/>
      <c r="EOM18" s="69"/>
      <c r="EON18" s="69"/>
      <c r="EOO18" s="69"/>
      <c r="EOP18" s="69"/>
      <c r="EOQ18" s="69"/>
      <c r="EOR18" s="69"/>
      <c r="EOS18" s="69"/>
      <c r="EOT18" s="69"/>
      <c r="EOU18" s="69"/>
      <c r="EOV18" s="69"/>
      <c r="EOW18" s="69"/>
      <c r="EOX18" s="69"/>
      <c r="EOY18" s="69"/>
      <c r="EOZ18" s="69"/>
      <c r="EPA18" s="69"/>
      <c r="EPB18" s="69"/>
      <c r="EPC18" s="69"/>
      <c r="EPD18" s="69"/>
      <c r="EPE18" s="69"/>
      <c r="EPF18" s="69"/>
      <c r="EPG18" s="69"/>
      <c r="EPH18" s="69"/>
      <c r="EPI18" s="69"/>
      <c r="EPJ18" s="69"/>
      <c r="EPK18" s="69"/>
      <c r="EPL18" s="69"/>
      <c r="EPM18" s="69"/>
      <c r="EPN18" s="69"/>
      <c r="EPO18" s="69"/>
      <c r="EPP18" s="69"/>
      <c r="EPQ18" s="69"/>
      <c r="EPR18" s="69"/>
      <c r="EPS18" s="69"/>
      <c r="EPT18" s="69"/>
      <c r="EPU18" s="69"/>
      <c r="EPV18" s="69"/>
      <c r="EPW18" s="69"/>
      <c r="EPX18" s="69"/>
      <c r="EPY18" s="69"/>
      <c r="EPZ18" s="69"/>
      <c r="EQA18" s="69"/>
      <c r="EQB18" s="69"/>
      <c r="EQC18" s="69"/>
      <c r="EQD18" s="69"/>
      <c r="EQE18" s="69"/>
      <c r="EQF18" s="69"/>
      <c r="EQG18" s="69"/>
      <c r="EQH18" s="69"/>
      <c r="EQI18" s="69"/>
      <c r="EQJ18" s="69"/>
      <c r="EQK18" s="69"/>
      <c r="EQL18" s="69"/>
      <c r="EQM18" s="69"/>
      <c r="EQN18" s="69"/>
      <c r="EQO18" s="69"/>
      <c r="EQP18" s="69"/>
      <c r="EQQ18" s="69"/>
      <c r="EQR18" s="69"/>
      <c r="EQS18" s="69"/>
      <c r="EQT18" s="69"/>
      <c r="EQU18" s="69"/>
      <c r="EQV18" s="69"/>
      <c r="EQW18" s="69"/>
      <c r="EQX18" s="69"/>
      <c r="EQY18" s="69"/>
      <c r="EQZ18" s="69"/>
      <c r="ERA18" s="69"/>
      <c r="ERB18" s="69"/>
      <c r="ERC18" s="69"/>
      <c r="ERD18" s="69"/>
      <c r="ERE18" s="69"/>
      <c r="ERF18" s="69"/>
      <c r="ERG18" s="69"/>
      <c r="ERH18" s="69"/>
      <c r="ERI18" s="69"/>
      <c r="ERJ18" s="69"/>
      <c r="ERK18" s="69"/>
      <c r="ERL18" s="69"/>
      <c r="ERM18" s="69"/>
      <c r="ERN18" s="69"/>
      <c r="ERO18" s="69"/>
      <c r="ERP18" s="69"/>
      <c r="ERQ18" s="69"/>
      <c r="ERR18" s="69"/>
      <c r="ERS18" s="69"/>
      <c r="ERT18" s="69"/>
      <c r="ERU18" s="69"/>
      <c r="ERV18" s="69"/>
      <c r="ERW18" s="69"/>
      <c r="ERX18" s="69"/>
      <c r="ERY18" s="69"/>
      <c r="ERZ18" s="69"/>
      <c r="ESA18" s="69"/>
      <c r="ESB18" s="69"/>
      <c r="ESC18" s="69"/>
      <c r="ESD18" s="69"/>
      <c r="ESE18" s="69"/>
      <c r="ESF18" s="69"/>
      <c r="ESG18" s="69"/>
      <c r="ESH18" s="69"/>
      <c r="ESI18" s="69"/>
      <c r="ESJ18" s="69"/>
      <c r="ESK18" s="69"/>
      <c r="ESL18" s="69"/>
      <c r="ESM18" s="69"/>
      <c r="ESN18" s="69"/>
      <c r="ESO18" s="69"/>
      <c r="ESP18" s="69"/>
      <c r="ESQ18" s="69"/>
      <c r="ESR18" s="69"/>
      <c r="ESS18" s="69"/>
      <c r="EST18" s="69"/>
      <c r="ESU18" s="69"/>
      <c r="ESV18" s="69"/>
      <c r="ESW18" s="69"/>
      <c r="ESX18" s="69"/>
      <c r="ESY18" s="69"/>
      <c r="ESZ18" s="69"/>
      <c r="ETA18" s="69"/>
      <c r="ETB18" s="69"/>
      <c r="ETC18" s="69"/>
      <c r="ETD18" s="69"/>
      <c r="ETE18" s="69"/>
      <c r="ETF18" s="69"/>
      <c r="ETG18" s="69"/>
      <c r="ETH18" s="69"/>
      <c r="ETI18" s="69"/>
      <c r="ETJ18" s="69"/>
      <c r="ETK18" s="69"/>
      <c r="ETL18" s="69"/>
      <c r="ETM18" s="69"/>
      <c r="ETN18" s="69"/>
      <c r="ETO18" s="69"/>
      <c r="ETP18" s="69"/>
      <c r="ETQ18" s="69"/>
      <c r="ETR18" s="69"/>
      <c r="ETS18" s="69"/>
      <c r="ETT18" s="69"/>
      <c r="ETU18" s="69"/>
      <c r="ETV18" s="69"/>
      <c r="ETW18" s="69"/>
      <c r="ETX18" s="69"/>
      <c r="ETY18" s="69"/>
      <c r="ETZ18" s="69"/>
      <c r="EUA18" s="69"/>
      <c r="EUB18" s="69"/>
      <c r="EUC18" s="69"/>
      <c r="EUD18" s="69"/>
      <c r="EUE18" s="69"/>
      <c r="EUF18" s="69"/>
      <c r="EUG18" s="69"/>
      <c r="EUH18" s="69"/>
      <c r="EUI18" s="69"/>
      <c r="EUJ18" s="69"/>
      <c r="EUK18" s="69"/>
      <c r="EUL18" s="69"/>
      <c r="EUM18" s="69"/>
      <c r="EUN18" s="69"/>
      <c r="EUO18" s="69"/>
      <c r="EUP18" s="69"/>
      <c r="EUQ18" s="69"/>
      <c r="EUR18" s="69"/>
      <c r="EUS18" s="69"/>
      <c r="EUT18" s="69"/>
      <c r="EUU18" s="69"/>
      <c r="EUV18" s="69"/>
      <c r="EUW18" s="69"/>
      <c r="EUX18" s="69"/>
      <c r="EUY18" s="69"/>
      <c r="EUZ18" s="69"/>
      <c r="EVA18" s="69"/>
      <c r="EVB18" s="69"/>
      <c r="EVC18" s="69"/>
      <c r="EVD18" s="69"/>
      <c r="EVE18" s="69"/>
      <c r="EVF18" s="69"/>
      <c r="EVG18" s="69"/>
      <c r="EVH18" s="69"/>
      <c r="EVI18" s="69"/>
      <c r="EVJ18" s="69"/>
      <c r="EVK18" s="69"/>
      <c r="EVL18" s="69"/>
      <c r="EVM18" s="69"/>
      <c r="EVN18" s="69"/>
      <c r="EVO18" s="69"/>
      <c r="EVP18" s="69"/>
      <c r="EVQ18" s="69"/>
      <c r="EVR18" s="69"/>
      <c r="EVS18" s="69"/>
      <c r="EVT18" s="69"/>
      <c r="EVU18" s="69"/>
      <c r="EVV18" s="69"/>
      <c r="EVW18" s="69"/>
      <c r="EVX18" s="69"/>
      <c r="EVY18" s="69"/>
      <c r="EVZ18" s="69"/>
      <c r="EWA18" s="69"/>
      <c r="EWB18" s="69"/>
      <c r="EWC18" s="69"/>
      <c r="EWD18" s="69"/>
      <c r="EWE18" s="69"/>
      <c r="EWF18" s="69"/>
      <c r="EWG18" s="69"/>
      <c r="EWH18" s="69"/>
      <c r="EWI18" s="69"/>
      <c r="EWJ18" s="69"/>
      <c r="EWK18" s="69"/>
      <c r="EWL18" s="69"/>
      <c r="EWM18" s="69"/>
      <c r="EWN18" s="69"/>
      <c r="EWO18" s="69"/>
      <c r="EWP18" s="69"/>
      <c r="EWQ18" s="69"/>
      <c r="EWR18" s="69"/>
      <c r="EWS18" s="69"/>
      <c r="EWT18" s="69"/>
      <c r="EWU18" s="69"/>
      <c r="EWV18" s="69"/>
      <c r="EWW18" s="69"/>
      <c r="EWX18" s="69"/>
      <c r="EWY18" s="69"/>
      <c r="EWZ18" s="69"/>
      <c r="EXA18" s="69"/>
      <c r="EXB18" s="69"/>
      <c r="EXC18" s="69"/>
      <c r="EXD18" s="69"/>
      <c r="EXE18" s="69"/>
      <c r="EXF18" s="69"/>
      <c r="EXG18" s="69"/>
      <c r="EXH18" s="69"/>
      <c r="EXI18" s="69"/>
      <c r="EXJ18" s="69"/>
      <c r="EXK18" s="69"/>
      <c r="EXL18" s="69"/>
      <c r="EXM18" s="69"/>
      <c r="EXN18" s="69"/>
      <c r="EXO18" s="69"/>
      <c r="EXP18" s="69"/>
      <c r="EXQ18" s="69"/>
      <c r="EXR18" s="69"/>
      <c r="EXS18" s="69"/>
      <c r="EXT18" s="69"/>
      <c r="EXU18" s="69"/>
      <c r="EXV18" s="69"/>
      <c r="EXW18" s="69"/>
      <c r="EXX18" s="69"/>
      <c r="EXY18" s="69"/>
      <c r="EXZ18" s="69"/>
      <c r="EYA18" s="69"/>
      <c r="EYB18" s="69"/>
      <c r="EYC18" s="69"/>
      <c r="EYD18" s="69"/>
      <c r="EYE18" s="69"/>
      <c r="EYF18" s="69"/>
      <c r="EYG18" s="69"/>
      <c r="EYH18" s="69"/>
      <c r="EYI18" s="69"/>
      <c r="EYJ18" s="69"/>
      <c r="EYK18" s="69"/>
      <c r="EYL18" s="69"/>
      <c r="EYM18" s="69"/>
      <c r="EYN18" s="69"/>
      <c r="EYO18" s="69"/>
      <c r="EYP18" s="69"/>
      <c r="EYQ18" s="69"/>
      <c r="EYR18" s="69"/>
      <c r="EYS18" s="69"/>
      <c r="EYT18" s="69"/>
      <c r="EYU18" s="69"/>
      <c r="EYV18" s="69"/>
      <c r="EYW18" s="69"/>
      <c r="EYX18" s="69"/>
      <c r="EYY18" s="69"/>
      <c r="EYZ18" s="69"/>
      <c r="EZA18" s="69"/>
      <c r="EZB18" s="69"/>
      <c r="EZC18" s="69"/>
      <c r="EZD18" s="69"/>
      <c r="EZE18" s="69"/>
      <c r="EZF18" s="69"/>
      <c r="EZG18" s="69"/>
      <c r="EZH18" s="69"/>
      <c r="EZI18" s="69"/>
      <c r="EZJ18" s="69"/>
      <c r="EZK18" s="69"/>
      <c r="EZL18" s="69"/>
      <c r="EZM18" s="69"/>
      <c r="EZN18" s="69"/>
      <c r="EZO18" s="69"/>
      <c r="EZP18" s="69"/>
      <c r="EZQ18" s="69"/>
      <c r="EZR18" s="69"/>
      <c r="EZS18" s="69"/>
      <c r="EZT18" s="69"/>
      <c r="EZU18" s="69"/>
      <c r="EZV18" s="69"/>
      <c r="EZW18" s="69"/>
      <c r="EZX18" s="69"/>
      <c r="EZY18" s="69"/>
      <c r="EZZ18" s="69"/>
      <c r="FAA18" s="69"/>
      <c r="FAB18" s="69"/>
      <c r="FAC18" s="69"/>
      <c r="FAD18" s="69"/>
      <c r="FAE18" s="69"/>
      <c r="FAF18" s="69"/>
      <c r="FAG18" s="69"/>
      <c r="FAH18" s="69"/>
      <c r="FAI18" s="69"/>
      <c r="FAJ18" s="69"/>
      <c r="FAK18" s="69"/>
      <c r="FAL18" s="69"/>
      <c r="FAM18" s="69"/>
      <c r="FAN18" s="69"/>
      <c r="FAO18" s="69"/>
      <c r="FAP18" s="69"/>
      <c r="FAQ18" s="69"/>
      <c r="FAR18" s="69"/>
      <c r="FAS18" s="69"/>
      <c r="FAT18" s="69"/>
      <c r="FAU18" s="69"/>
      <c r="FAV18" s="69"/>
      <c r="FAW18" s="69"/>
      <c r="FAX18" s="69"/>
      <c r="FAY18" s="69"/>
      <c r="FAZ18" s="69"/>
      <c r="FBA18" s="69"/>
      <c r="FBB18" s="69"/>
      <c r="FBC18" s="69"/>
      <c r="FBD18" s="69"/>
      <c r="FBE18" s="69"/>
      <c r="FBF18" s="69"/>
      <c r="FBG18" s="69"/>
      <c r="FBH18" s="69"/>
      <c r="FBI18" s="69"/>
      <c r="FBJ18" s="69"/>
      <c r="FBK18" s="69"/>
      <c r="FBL18" s="69"/>
      <c r="FBM18" s="69"/>
      <c r="FBN18" s="69"/>
      <c r="FBO18" s="69"/>
      <c r="FBP18" s="69"/>
      <c r="FBQ18" s="69"/>
      <c r="FBR18" s="69"/>
      <c r="FBS18" s="69"/>
      <c r="FBT18" s="69"/>
      <c r="FBU18" s="69"/>
      <c r="FBV18" s="69"/>
      <c r="FBW18" s="69"/>
      <c r="FBX18" s="69"/>
      <c r="FBY18" s="69"/>
      <c r="FBZ18" s="69"/>
      <c r="FCA18" s="69"/>
      <c r="FCB18" s="69"/>
      <c r="FCC18" s="69"/>
      <c r="FCD18" s="69"/>
      <c r="FCE18" s="69"/>
      <c r="FCF18" s="69"/>
      <c r="FCG18" s="69"/>
      <c r="FCH18" s="69"/>
      <c r="FCI18" s="69"/>
      <c r="FCJ18" s="69"/>
      <c r="FCK18" s="69"/>
      <c r="FCL18" s="69"/>
      <c r="FCM18" s="69"/>
      <c r="FCN18" s="69"/>
      <c r="FCO18" s="69"/>
      <c r="FCP18" s="69"/>
      <c r="FCQ18" s="69"/>
      <c r="FCR18" s="69"/>
      <c r="FCS18" s="69"/>
      <c r="FCT18" s="69"/>
      <c r="FCU18" s="69"/>
      <c r="FCV18" s="69"/>
      <c r="FCW18" s="69"/>
      <c r="FCX18" s="69"/>
      <c r="FCY18" s="69"/>
      <c r="FCZ18" s="69"/>
      <c r="FDA18" s="69"/>
      <c r="FDB18" s="69"/>
      <c r="FDC18" s="69"/>
      <c r="FDD18" s="69"/>
      <c r="FDE18" s="69"/>
      <c r="FDF18" s="69"/>
      <c r="FDG18" s="69"/>
      <c r="FDH18" s="69"/>
      <c r="FDI18" s="69"/>
      <c r="FDJ18" s="69"/>
      <c r="FDK18" s="69"/>
      <c r="FDL18" s="69"/>
      <c r="FDM18" s="69"/>
      <c r="FDN18" s="69"/>
      <c r="FDO18" s="69"/>
      <c r="FDP18" s="69"/>
      <c r="FDQ18" s="69"/>
      <c r="FDR18" s="69"/>
      <c r="FDS18" s="69"/>
      <c r="FDT18" s="69"/>
      <c r="FDU18" s="69"/>
      <c r="FDV18" s="69"/>
      <c r="FDW18" s="69"/>
      <c r="FDX18" s="69"/>
      <c r="FDY18" s="69"/>
      <c r="FDZ18" s="69"/>
      <c r="FEA18" s="69"/>
      <c r="FEB18" s="69"/>
      <c r="FEC18" s="69"/>
      <c r="FED18" s="69"/>
      <c r="FEE18" s="69"/>
      <c r="FEF18" s="69"/>
      <c r="FEG18" s="69"/>
      <c r="FEH18" s="69"/>
      <c r="FEI18" s="69"/>
      <c r="FEJ18" s="69"/>
      <c r="FEK18" s="69"/>
      <c r="FEL18" s="69"/>
      <c r="FEM18" s="69"/>
      <c r="FEN18" s="69"/>
      <c r="FEO18" s="69"/>
      <c r="FEP18" s="69"/>
      <c r="FEQ18" s="69"/>
      <c r="FER18" s="69"/>
      <c r="FES18" s="69"/>
      <c r="FET18" s="69"/>
      <c r="FEU18" s="69"/>
      <c r="FEV18" s="69"/>
      <c r="FEW18" s="69"/>
      <c r="FEX18" s="69"/>
      <c r="FEY18" s="69"/>
      <c r="FEZ18" s="69"/>
      <c r="FFA18" s="69"/>
      <c r="FFB18" s="69"/>
      <c r="FFC18" s="69"/>
      <c r="FFD18" s="69"/>
      <c r="FFE18" s="69"/>
      <c r="FFF18" s="69"/>
      <c r="FFG18" s="69"/>
      <c r="FFH18" s="69"/>
      <c r="FFI18" s="69"/>
      <c r="FFJ18" s="69"/>
      <c r="FFK18" s="69"/>
      <c r="FFL18" s="69"/>
      <c r="FFM18" s="69"/>
      <c r="FFN18" s="69"/>
      <c r="FFO18" s="69"/>
      <c r="FFP18" s="69"/>
      <c r="FFQ18" s="69"/>
      <c r="FFR18" s="69"/>
      <c r="FFS18" s="69"/>
      <c r="FFT18" s="69"/>
      <c r="FFU18" s="69"/>
      <c r="FFV18" s="69"/>
      <c r="FFW18" s="69"/>
      <c r="FFX18" s="69"/>
      <c r="FFY18" s="69"/>
      <c r="FFZ18" s="69"/>
      <c r="FGA18" s="69"/>
      <c r="FGB18" s="69"/>
      <c r="FGC18" s="69"/>
      <c r="FGD18" s="69"/>
      <c r="FGE18" s="69"/>
      <c r="FGF18" s="69"/>
      <c r="FGG18" s="69"/>
      <c r="FGH18" s="69"/>
      <c r="FGI18" s="69"/>
      <c r="FGJ18" s="69"/>
      <c r="FGK18" s="69"/>
      <c r="FGL18" s="69"/>
      <c r="FGM18" s="69"/>
      <c r="FGN18" s="69"/>
      <c r="FGO18" s="69"/>
      <c r="FGP18" s="69"/>
      <c r="FGQ18" s="69"/>
      <c r="FGR18" s="69"/>
      <c r="FGS18" s="69"/>
      <c r="FGT18" s="69"/>
      <c r="FGU18" s="69"/>
      <c r="FGV18" s="69"/>
      <c r="FGW18" s="69"/>
      <c r="FGX18" s="69"/>
      <c r="FGY18" s="69"/>
      <c r="FGZ18" s="69"/>
      <c r="FHA18" s="69"/>
      <c r="FHB18" s="69"/>
      <c r="FHC18" s="69"/>
      <c r="FHD18" s="69"/>
      <c r="FHE18" s="69"/>
      <c r="FHF18" s="69"/>
      <c r="FHG18" s="69"/>
      <c r="FHH18" s="69"/>
      <c r="FHI18" s="69"/>
      <c r="FHJ18" s="69"/>
      <c r="FHK18" s="69"/>
      <c r="FHL18" s="69"/>
      <c r="FHM18" s="69"/>
      <c r="FHN18" s="69"/>
      <c r="FHO18" s="69"/>
      <c r="FHP18" s="69"/>
      <c r="FHQ18" s="69"/>
      <c r="FHR18" s="69"/>
      <c r="FHS18" s="69"/>
      <c r="FHT18" s="69"/>
      <c r="FHU18" s="69"/>
      <c r="FHV18" s="69"/>
      <c r="FHW18" s="69"/>
      <c r="FHX18" s="69"/>
      <c r="FHY18" s="69"/>
      <c r="FHZ18" s="69"/>
      <c r="FIA18" s="69"/>
      <c r="FIB18" s="69"/>
      <c r="FIC18" s="69"/>
      <c r="FID18" s="69"/>
      <c r="FIE18" s="69"/>
      <c r="FIF18" s="69"/>
      <c r="FIG18" s="69"/>
      <c r="FIH18" s="69"/>
      <c r="FII18" s="69"/>
      <c r="FIJ18" s="69"/>
      <c r="FIK18" s="69"/>
      <c r="FIL18" s="69"/>
      <c r="FIM18" s="69"/>
      <c r="FIN18" s="69"/>
      <c r="FIO18" s="69"/>
      <c r="FIP18" s="69"/>
      <c r="FIQ18" s="69"/>
      <c r="FIR18" s="69"/>
      <c r="FIS18" s="69"/>
      <c r="FIT18" s="69"/>
      <c r="FIU18" s="69"/>
      <c r="FIV18" s="69"/>
      <c r="FIW18" s="69"/>
      <c r="FIX18" s="69"/>
      <c r="FIY18" s="69"/>
      <c r="FIZ18" s="69"/>
      <c r="FJA18" s="69"/>
      <c r="FJB18" s="69"/>
      <c r="FJC18" s="69"/>
      <c r="FJD18" s="69"/>
      <c r="FJE18" s="69"/>
      <c r="FJF18" s="69"/>
      <c r="FJG18" s="69"/>
      <c r="FJH18" s="69"/>
      <c r="FJI18" s="69"/>
      <c r="FJJ18" s="69"/>
      <c r="FJK18" s="69"/>
      <c r="FJL18" s="69"/>
      <c r="FJM18" s="69"/>
      <c r="FJN18" s="69"/>
      <c r="FJO18" s="69"/>
      <c r="FJP18" s="69"/>
      <c r="FJQ18" s="69"/>
      <c r="FJR18" s="69"/>
      <c r="FJS18" s="69"/>
      <c r="FJT18" s="69"/>
      <c r="FJU18" s="69"/>
      <c r="FJV18" s="69"/>
      <c r="FJW18" s="69"/>
      <c r="FJX18" s="69"/>
      <c r="FJY18" s="69"/>
      <c r="FJZ18" s="69"/>
      <c r="FKA18" s="69"/>
      <c r="FKB18" s="69"/>
      <c r="FKC18" s="69"/>
      <c r="FKD18" s="69"/>
      <c r="FKE18" s="69"/>
      <c r="FKF18" s="69"/>
      <c r="FKG18" s="69"/>
      <c r="FKH18" s="69"/>
      <c r="FKI18" s="69"/>
      <c r="FKJ18" s="69"/>
      <c r="FKK18" s="69"/>
      <c r="FKL18" s="69"/>
      <c r="FKM18" s="69"/>
      <c r="FKN18" s="69"/>
      <c r="FKO18" s="69"/>
      <c r="FKP18" s="69"/>
      <c r="FKQ18" s="69"/>
      <c r="FKR18" s="69"/>
      <c r="FKS18" s="69"/>
      <c r="FKT18" s="69"/>
      <c r="FKU18" s="69"/>
      <c r="FKV18" s="69"/>
      <c r="FKW18" s="69"/>
      <c r="FKX18" s="69"/>
      <c r="FKY18" s="69"/>
      <c r="FKZ18" s="69"/>
      <c r="FLA18" s="69"/>
      <c r="FLB18" s="69"/>
      <c r="FLC18" s="69"/>
      <c r="FLD18" s="69"/>
      <c r="FLE18" s="69"/>
      <c r="FLF18" s="69"/>
      <c r="FLG18" s="69"/>
      <c r="FLH18" s="69"/>
      <c r="FLI18" s="69"/>
      <c r="FLJ18" s="69"/>
      <c r="FLK18" s="69"/>
      <c r="FLL18" s="69"/>
      <c r="FLM18" s="69"/>
      <c r="FLN18" s="69"/>
      <c r="FLO18" s="69"/>
      <c r="FLP18" s="69"/>
      <c r="FLQ18" s="69"/>
      <c r="FLR18" s="69"/>
      <c r="FLS18" s="69"/>
      <c r="FLT18" s="69"/>
      <c r="FLU18" s="69"/>
      <c r="FLV18" s="69"/>
      <c r="FLW18" s="69"/>
      <c r="FLX18" s="69"/>
      <c r="FLY18" s="69"/>
      <c r="FLZ18" s="69"/>
      <c r="FMA18" s="69"/>
      <c r="FMB18" s="69"/>
      <c r="FMC18" s="69"/>
      <c r="FMD18" s="69"/>
      <c r="FME18" s="69"/>
      <c r="FMF18" s="69"/>
      <c r="FMG18" s="69"/>
      <c r="FMH18" s="69"/>
      <c r="FMI18" s="69"/>
      <c r="FMJ18" s="69"/>
      <c r="FMK18" s="69"/>
      <c r="FML18" s="69"/>
      <c r="FMM18" s="69"/>
      <c r="FMN18" s="69"/>
      <c r="FMO18" s="69"/>
      <c r="FMP18" s="69"/>
      <c r="FMQ18" s="69"/>
      <c r="FMR18" s="69"/>
      <c r="FMS18" s="69"/>
      <c r="FMT18" s="69"/>
      <c r="FMU18" s="69"/>
      <c r="FMV18" s="69"/>
      <c r="FMW18" s="69"/>
      <c r="FMX18" s="69"/>
      <c r="FMY18" s="69"/>
      <c r="FMZ18" s="69"/>
      <c r="FNA18" s="69"/>
      <c r="FNB18" s="69"/>
      <c r="FNC18" s="69"/>
      <c r="FND18" s="69"/>
      <c r="FNE18" s="69"/>
      <c r="FNF18" s="69"/>
      <c r="FNG18" s="69"/>
      <c r="FNH18" s="69"/>
      <c r="FNI18" s="69"/>
      <c r="FNJ18" s="69"/>
      <c r="FNK18" s="69"/>
      <c r="FNL18" s="69"/>
      <c r="FNM18" s="69"/>
      <c r="FNN18" s="69"/>
      <c r="FNO18" s="69"/>
      <c r="FNP18" s="69"/>
      <c r="FNQ18" s="69"/>
      <c r="FNR18" s="69"/>
      <c r="FNS18" s="69"/>
      <c r="FNT18" s="69"/>
      <c r="FNU18" s="69"/>
      <c r="FNV18" s="69"/>
      <c r="FNW18" s="69"/>
      <c r="FNX18" s="69"/>
      <c r="FNY18" s="69"/>
      <c r="FNZ18" s="69"/>
      <c r="FOA18" s="69"/>
      <c r="FOB18" s="69"/>
      <c r="FOC18" s="69"/>
      <c r="FOD18" s="69"/>
      <c r="FOE18" s="69"/>
      <c r="FOF18" s="69"/>
      <c r="FOG18" s="69"/>
      <c r="FOH18" s="69"/>
      <c r="FOI18" s="69"/>
      <c r="FOJ18" s="69"/>
      <c r="FOK18" s="69"/>
      <c r="FOL18" s="69"/>
      <c r="FOM18" s="69"/>
      <c r="FON18" s="69"/>
      <c r="FOO18" s="69"/>
      <c r="FOP18" s="69"/>
      <c r="FOQ18" s="69"/>
      <c r="FOR18" s="69"/>
      <c r="FOS18" s="69"/>
      <c r="FOT18" s="69"/>
      <c r="FOU18" s="69"/>
      <c r="FOV18" s="69"/>
      <c r="FOW18" s="69"/>
      <c r="FOX18" s="69"/>
      <c r="FOY18" s="69"/>
      <c r="FOZ18" s="69"/>
      <c r="FPA18" s="69"/>
      <c r="FPB18" s="69"/>
      <c r="FPC18" s="69"/>
      <c r="FPD18" s="69"/>
      <c r="FPE18" s="69"/>
      <c r="FPF18" s="69"/>
      <c r="FPG18" s="69"/>
      <c r="FPH18" s="69"/>
      <c r="FPI18" s="69"/>
      <c r="FPJ18" s="69"/>
      <c r="FPK18" s="69"/>
      <c r="FPL18" s="69"/>
      <c r="FPM18" s="69"/>
      <c r="FPN18" s="69"/>
      <c r="FPO18" s="69"/>
      <c r="FPP18" s="69"/>
      <c r="FPQ18" s="69"/>
      <c r="FPR18" s="69"/>
      <c r="FPS18" s="69"/>
      <c r="FPT18" s="69"/>
      <c r="FPU18" s="69"/>
      <c r="FPV18" s="69"/>
      <c r="FPW18" s="69"/>
      <c r="FPX18" s="69"/>
      <c r="FPY18" s="69"/>
      <c r="FPZ18" s="69"/>
      <c r="FQA18" s="69"/>
      <c r="FQB18" s="69"/>
      <c r="FQC18" s="69"/>
      <c r="FQD18" s="69"/>
      <c r="FQE18" s="69"/>
      <c r="FQF18" s="69"/>
      <c r="FQG18" s="69"/>
      <c r="FQH18" s="69"/>
      <c r="FQI18" s="69"/>
      <c r="FQJ18" s="69"/>
      <c r="FQK18" s="69"/>
      <c r="FQL18" s="69"/>
      <c r="FQM18" s="69"/>
      <c r="FQN18" s="69"/>
      <c r="FQO18" s="69"/>
      <c r="FQP18" s="69"/>
      <c r="FQQ18" s="69"/>
      <c r="FQR18" s="69"/>
      <c r="FQS18" s="69"/>
      <c r="FQT18" s="69"/>
      <c r="FQU18" s="69"/>
      <c r="FQV18" s="69"/>
      <c r="FQW18" s="69"/>
      <c r="FQX18" s="69"/>
      <c r="FQY18" s="69"/>
      <c r="FQZ18" s="69"/>
      <c r="FRA18" s="69"/>
      <c r="FRB18" s="69"/>
      <c r="FRC18" s="69"/>
      <c r="FRD18" s="69"/>
      <c r="FRE18" s="69"/>
      <c r="FRF18" s="69"/>
      <c r="FRG18" s="69"/>
      <c r="FRH18" s="69"/>
      <c r="FRI18" s="69"/>
      <c r="FRJ18" s="69"/>
      <c r="FRK18" s="69"/>
      <c r="FRL18" s="69"/>
      <c r="FRM18" s="69"/>
      <c r="FRN18" s="69"/>
      <c r="FRO18" s="69"/>
      <c r="FRP18" s="69"/>
      <c r="FRQ18" s="69"/>
      <c r="FRR18" s="69"/>
      <c r="FRS18" s="69"/>
      <c r="FRT18" s="69"/>
      <c r="FRU18" s="69"/>
      <c r="FRV18" s="69"/>
      <c r="FRW18" s="69"/>
      <c r="FRX18" s="69"/>
      <c r="FRY18" s="69"/>
      <c r="FRZ18" s="69"/>
      <c r="FSA18" s="69"/>
      <c r="FSB18" s="69"/>
      <c r="FSC18" s="69"/>
      <c r="FSD18" s="69"/>
      <c r="FSE18" s="69"/>
      <c r="FSF18" s="69"/>
      <c r="FSG18" s="69"/>
      <c r="FSH18" s="69"/>
      <c r="FSI18" s="69"/>
      <c r="FSJ18" s="69"/>
      <c r="FSK18" s="69"/>
      <c r="FSL18" s="69"/>
      <c r="FSM18" s="69"/>
      <c r="FSN18" s="69"/>
      <c r="FSO18" s="69"/>
      <c r="FSP18" s="69"/>
      <c r="FSQ18" s="69"/>
      <c r="FSR18" s="69"/>
      <c r="FSS18" s="69"/>
      <c r="FST18" s="69"/>
      <c r="FSU18" s="69"/>
      <c r="FSV18" s="69"/>
      <c r="FSW18" s="69"/>
      <c r="FSX18" s="69"/>
      <c r="FSY18" s="69"/>
      <c r="FSZ18" s="69"/>
      <c r="FTA18" s="69"/>
      <c r="FTB18" s="69"/>
      <c r="FTC18" s="69"/>
      <c r="FTD18" s="69"/>
      <c r="FTE18" s="69"/>
      <c r="FTF18" s="69"/>
      <c r="FTG18" s="69"/>
      <c r="FTH18" s="69"/>
      <c r="FTI18" s="69"/>
      <c r="FTJ18" s="69"/>
      <c r="FTK18" s="69"/>
      <c r="FTL18" s="69"/>
      <c r="FTM18" s="69"/>
      <c r="FTN18" s="69"/>
      <c r="FTO18" s="69"/>
      <c r="FTP18" s="69"/>
      <c r="FTQ18" s="69"/>
      <c r="FTR18" s="69"/>
      <c r="FTS18" s="69"/>
      <c r="FTT18" s="69"/>
      <c r="FTU18" s="69"/>
      <c r="FTV18" s="69"/>
      <c r="FTW18" s="69"/>
      <c r="FTX18" s="69"/>
      <c r="FTY18" s="69"/>
      <c r="FTZ18" s="69"/>
      <c r="FUA18" s="69"/>
      <c r="FUB18" s="69"/>
      <c r="FUC18" s="69"/>
      <c r="FUD18" s="69"/>
      <c r="FUE18" s="69"/>
      <c r="FUF18" s="69"/>
      <c r="FUG18" s="69"/>
      <c r="FUH18" s="69"/>
      <c r="FUI18" s="69"/>
      <c r="FUJ18" s="69"/>
      <c r="FUK18" s="69"/>
      <c r="FUL18" s="69"/>
      <c r="FUM18" s="69"/>
      <c r="FUN18" s="69"/>
      <c r="FUO18" s="69"/>
      <c r="FUP18" s="69"/>
      <c r="FUQ18" s="69"/>
      <c r="FUR18" s="69"/>
      <c r="FUS18" s="69"/>
      <c r="FUT18" s="69"/>
      <c r="FUU18" s="69"/>
      <c r="FUV18" s="69"/>
      <c r="FUW18" s="69"/>
      <c r="FUX18" s="69"/>
      <c r="FUY18" s="69"/>
      <c r="FUZ18" s="69"/>
      <c r="FVA18" s="69"/>
      <c r="FVB18" s="69"/>
      <c r="FVC18" s="69"/>
      <c r="FVD18" s="69"/>
      <c r="FVE18" s="69"/>
      <c r="FVF18" s="69"/>
      <c r="FVG18" s="69"/>
      <c r="FVH18" s="69"/>
      <c r="FVI18" s="69"/>
      <c r="FVJ18" s="69"/>
      <c r="FVK18" s="69"/>
      <c r="FVL18" s="69"/>
      <c r="FVM18" s="69"/>
      <c r="FVN18" s="69"/>
      <c r="FVO18" s="69"/>
      <c r="FVP18" s="69"/>
      <c r="FVQ18" s="69"/>
      <c r="FVR18" s="69"/>
      <c r="FVS18" s="69"/>
      <c r="FVT18" s="69"/>
      <c r="FVU18" s="69"/>
      <c r="FVV18" s="69"/>
      <c r="FVW18" s="69"/>
      <c r="FVX18" s="69"/>
      <c r="FVY18" s="69"/>
      <c r="FVZ18" s="69"/>
      <c r="FWA18" s="69"/>
      <c r="FWB18" s="69"/>
      <c r="FWC18" s="69"/>
      <c r="FWD18" s="69"/>
      <c r="FWE18" s="69"/>
      <c r="FWF18" s="69"/>
      <c r="FWG18" s="69"/>
      <c r="FWH18" s="69"/>
      <c r="FWI18" s="69"/>
      <c r="FWJ18" s="69"/>
      <c r="FWK18" s="69"/>
      <c r="FWL18" s="69"/>
      <c r="FWM18" s="69"/>
      <c r="FWN18" s="69"/>
      <c r="FWO18" s="69"/>
      <c r="FWP18" s="69"/>
      <c r="FWQ18" s="69"/>
      <c r="FWR18" s="69"/>
      <c r="FWS18" s="69"/>
      <c r="FWT18" s="69"/>
      <c r="FWU18" s="69"/>
      <c r="FWV18" s="69"/>
      <c r="FWW18" s="69"/>
      <c r="FWX18" s="69"/>
      <c r="FWY18" s="69"/>
      <c r="FWZ18" s="69"/>
      <c r="FXA18" s="69"/>
      <c r="FXB18" s="69"/>
      <c r="FXC18" s="69"/>
      <c r="FXD18" s="69"/>
      <c r="FXE18" s="69"/>
      <c r="FXF18" s="69"/>
      <c r="FXG18" s="69"/>
      <c r="FXH18" s="69"/>
      <c r="FXI18" s="69"/>
      <c r="FXJ18" s="69"/>
      <c r="FXK18" s="69"/>
      <c r="FXL18" s="69"/>
      <c r="FXM18" s="69"/>
      <c r="FXN18" s="69"/>
      <c r="FXO18" s="69"/>
      <c r="FXP18" s="69"/>
      <c r="FXQ18" s="69"/>
      <c r="FXR18" s="69"/>
      <c r="FXS18" s="69"/>
      <c r="FXT18" s="69"/>
      <c r="FXU18" s="69"/>
      <c r="FXV18" s="69"/>
      <c r="FXW18" s="69"/>
      <c r="FXX18" s="69"/>
      <c r="FXY18" s="69"/>
      <c r="FXZ18" s="69"/>
      <c r="FYA18" s="69"/>
      <c r="FYB18" s="69"/>
      <c r="FYC18" s="69"/>
      <c r="FYD18" s="69"/>
      <c r="FYE18" s="69"/>
      <c r="FYF18" s="69"/>
      <c r="FYG18" s="69"/>
      <c r="FYH18" s="69"/>
      <c r="FYI18" s="69"/>
      <c r="FYJ18" s="69"/>
      <c r="FYK18" s="69"/>
      <c r="FYL18" s="69"/>
      <c r="FYM18" s="69"/>
      <c r="FYN18" s="69"/>
      <c r="FYO18" s="69"/>
      <c r="FYP18" s="69"/>
      <c r="FYQ18" s="69"/>
      <c r="FYR18" s="69"/>
      <c r="FYS18" s="69"/>
      <c r="FYT18" s="69"/>
      <c r="FYU18" s="69"/>
      <c r="FYV18" s="69"/>
      <c r="FYW18" s="69"/>
      <c r="FYX18" s="69"/>
      <c r="FYY18" s="69"/>
      <c r="FYZ18" s="69"/>
      <c r="FZA18" s="69"/>
      <c r="FZB18" s="69"/>
      <c r="FZC18" s="69"/>
      <c r="FZD18" s="69"/>
      <c r="FZE18" s="69"/>
      <c r="FZF18" s="69"/>
      <c r="FZG18" s="69"/>
      <c r="FZH18" s="69"/>
      <c r="FZI18" s="69"/>
      <c r="FZJ18" s="69"/>
      <c r="FZK18" s="69"/>
      <c r="FZL18" s="69"/>
      <c r="FZM18" s="69"/>
      <c r="FZN18" s="69"/>
      <c r="FZO18" s="69"/>
      <c r="FZP18" s="69"/>
      <c r="FZQ18" s="69"/>
      <c r="FZR18" s="69"/>
      <c r="FZS18" s="69"/>
      <c r="FZT18" s="69"/>
      <c r="FZU18" s="69"/>
      <c r="FZV18" s="69"/>
      <c r="FZW18" s="69"/>
      <c r="FZX18" s="69"/>
      <c r="FZY18" s="69"/>
      <c r="FZZ18" s="69"/>
      <c r="GAA18" s="69"/>
      <c r="GAB18" s="69"/>
      <c r="GAC18" s="69"/>
      <c r="GAD18" s="69"/>
      <c r="GAE18" s="69"/>
      <c r="GAF18" s="69"/>
      <c r="GAG18" s="69"/>
      <c r="GAH18" s="69"/>
      <c r="GAI18" s="69"/>
      <c r="GAJ18" s="69"/>
      <c r="GAK18" s="69"/>
      <c r="GAL18" s="69"/>
      <c r="GAM18" s="69"/>
      <c r="GAN18" s="69"/>
      <c r="GAO18" s="69"/>
      <c r="GAP18" s="69"/>
      <c r="GAQ18" s="69"/>
      <c r="GAR18" s="69"/>
      <c r="GAS18" s="69"/>
      <c r="GAT18" s="69"/>
      <c r="GAU18" s="69"/>
      <c r="GAV18" s="69"/>
      <c r="GAW18" s="69"/>
      <c r="GAX18" s="69"/>
      <c r="GAY18" s="69"/>
      <c r="GAZ18" s="69"/>
      <c r="GBA18" s="69"/>
      <c r="GBB18" s="69"/>
      <c r="GBC18" s="69"/>
      <c r="GBD18" s="69"/>
      <c r="GBE18" s="69"/>
      <c r="GBF18" s="69"/>
      <c r="GBG18" s="69"/>
      <c r="GBH18" s="69"/>
      <c r="GBI18" s="69"/>
      <c r="GBJ18" s="69"/>
      <c r="GBK18" s="69"/>
      <c r="GBL18" s="69"/>
      <c r="GBM18" s="69"/>
      <c r="GBN18" s="69"/>
      <c r="GBO18" s="69"/>
      <c r="GBP18" s="69"/>
      <c r="GBQ18" s="69"/>
      <c r="GBR18" s="69"/>
      <c r="GBS18" s="69"/>
      <c r="GBT18" s="69"/>
      <c r="GBU18" s="69"/>
      <c r="GBV18" s="69"/>
      <c r="GBW18" s="69"/>
      <c r="GBX18" s="69"/>
      <c r="GBY18" s="69"/>
      <c r="GBZ18" s="69"/>
      <c r="GCA18" s="69"/>
      <c r="GCB18" s="69"/>
      <c r="GCC18" s="69"/>
      <c r="GCD18" s="69"/>
      <c r="GCE18" s="69"/>
      <c r="GCF18" s="69"/>
      <c r="GCG18" s="69"/>
      <c r="GCH18" s="69"/>
      <c r="GCI18" s="69"/>
      <c r="GCJ18" s="69"/>
      <c r="GCK18" s="69"/>
      <c r="GCL18" s="69"/>
      <c r="GCM18" s="69"/>
      <c r="GCN18" s="69"/>
      <c r="GCO18" s="69"/>
      <c r="GCP18" s="69"/>
      <c r="GCQ18" s="69"/>
      <c r="GCR18" s="69"/>
      <c r="GCS18" s="69"/>
      <c r="GCT18" s="69"/>
      <c r="GCU18" s="69"/>
      <c r="GCV18" s="69"/>
      <c r="GCW18" s="69"/>
      <c r="GCX18" s="69"/>
      <c r="GCY18" s="69"/>
      <c r="GCZ18" s="69"/>
      <c r="GDA18" s="69"/>
      <c r="GDB18" s="69"/>
      <c r="GDC18" s="69"/>
      <c r="GDD18" s="69"/>
      <c r="GDE18" s="69"/>
      <c r="GDF18" s="69"/>
      <c r="GDG18" s="69"/>
      <c r="GDH18" s="69"/>
      <c r="GDI18" s="69"/>
      <c r="GDJ18" s="69"/>
      <c r="GDK18" s="69"/>
      <c r="GDL18" s="69"/>
      <c r="GDM18" s="69"/>
      <c r="GDN18" s="69"/>
      <c r="GDO18" s="69"/>
      <c r="GDP18" s="69"/>
      <c r="GDQ18" s="69"/>
      <c r="GDR18" s="69"/>
      <c r="GDS18" s="69"/>
      <c r="GDT18" s="69"/>
      <c r="GDU18" s="69"/>
      <c r="GDV18" s="69"/>
      <c r="GDW18" s="69"/>
      <c r="GDX18" s="69"/>
      <c r="GDY18" s="69"/>
      <c r="GDZ18" s="69"/>
      <c r="GEA18" s="69"/>
      <c r="GEB18" s="69"/>
      <c r="GEC18" s="69"/>
      <c r="GED18" s="69"/>
      <c r="GEE18" s="69"/>
      <c r="GEF18" s="69"/>
      <c r="GEG18" s="69"/>
      <c r="GEH18" s="69"/>
      <c r="GEI18" s="69"/>
      <c r="GEJ18" s="69"/>
      <c r="GEK18" s="69"/>
      <c r="GEL18" s="69"/>
      <c r="GEM18" s="69"/>
      <c r="GEN18" s="69"/>
      <c r="GEO18" s="69"/>
      <c r="GEP18" s="69"/>
      <c r="GEQ18" s="69"/>
      <c r="GER18" s="69"/>
      <c r="GES18" s="69"/>
      <c r="GET18" s="69"/>
      <c r="GEU18" s="69"/>
      <c r="GEV18" s="69"/>
      <c r="GEW18" s="69"/>
      <c r="GEX18" s="69"/>
      <c r="GEY18" s="69"/>
      <c r="GEZ18" s="69"/>
      <c r="GFA18" s="69"/>
      <c r="GFB18" s="69"/>
      <c r="GFC18" s="69"/>
      <c r="GFD18" s="69"/>
      <c r="GFE18" s="69"/>
      <c r="GFF18" s="69"/>
      <c r="GFG18" s="69"/>
      <c r="GFH18" s="69"/>
      <c r="GFI18" s="69"/>
      <c r="GFJ18" s="69"/>
      <c r="GFK18" s="69"/>
      <c r="GFL18" s="69"/>
      <c r="GFM18" s="69"/>
      <c r="GFN18" s="69"/>
      <c r="GFO18" s="69"/>
      <c r="GFP18" s="69"/>
      <c r="GFQ18" s="69"/>
      <c r="GFR18" s="69"/>
      <c r="GFS18" s="69"/>
      <c r="GFT18" s="69"/>
      <c r="GFU18" s="69"/>
      <c r="GFV18" s="69"/>
      <c r="GFW18" s="69"/>
      <c r="GFX18" s="69"/>
      <c r="GFY18" s="69"/>
      <c r="GFZ18" s="69"/>
      <c r="GGA18" s="69"/>
      <c r="GGB18" s="69"/>
      <c r="GGC18" s="69"/>
      <c r="GGD18" s="69"/>
      <c r="GGE18" s="69"/>
      <c r="GGF18" s="69"/>
      <c r="GGG18" s="69"/>
      <c r="GGH18" s="69"/>
      <c r="GGI18" s="69"/>
      <c r="GGJ18" s="69"/>
      <c r="GGK18" s="69"/>
      <c r="GGL18" s="69"/>
      <c r="GGM18" s="69"/>
      <c r="GGN18" s="69"/>
      <c r="GGO18" s="69"/>
      <c r="GGP18" s="69"/>
      <c r="GGQ18" s="69"/>
      <c r="GGR18" s="69"/>
      <c r="GGS18" s="69"/>
      <c r="GGT18" s="69"/>
      <c r="GGU18" s="69"/>
      <c r="GGV18" s="69"/>
      <c r="GGW18" s="69"/>
      <c r="GGX18" s="69"/>
      <c r="GGY18" s="69"/>
      <c r="GGZ18" s="69"/>
      <c r="GHA18" s="69"/>
      <c r="GHB18" s="69"/>
      <c r="GHC18" s="69"/>
      <c r="GHD18" s="69"/>
      <c r="GHE18" s="69"/>
      <c r="GHF18" s="69"/>
      <c r="GHG18" s="69"/>
      <c r="GHH18" s="69"/>
      <c r="GHI18" s="69"/>
      <c r="GHJ18" s="69"/>
      <c r="GHK18" s="69"/>
      <c r="GHL18" s="69"/>
      <c r="GHM18" s="69"/>
      <c r="GHN18" s="69"/>
      <c r="GHO18" s="69"/>
      <c r="GHP18" s="69"/>
      <c r="GHQ18" s="69"/>
      <c r="GHR18" s="69"/>
      <c r="GHS18" s="69"/>
      <c r="GHT18" s="69"/>
      <c r="GHU18" s="69"/>
      <c r="GHV18" s="69"/>
      <c r="GHW18" s="69"/>
      <c r="GHX18" s="69"/>
      <c r="GHY18" s="69"/>
      <c r="GHZ18" s="69"/>
      <c r="GIA18" s="69"/>
      <c r="GIB18" s="69"/>
      <c r="GIC18" s="69"/>
      <c r="GID18" s="69"/>
      <c r="GIE18" s="69"/>
      <c r="GIF18" s="69"/>
      <c r="GIG18" s="69"/>
      <c r="GIH18" s="69"/>
      <c r="GII18" s="69"/>
      <c r="GIJ18" s="69"/>
      <c r="GIK18" s="69"/>
      <c r="GIL18" s="69"/>
      <c r="GIM18" s="69"/>
      <c r="GIN18" s="69"/>
      <c r="GIO18" s="69"/>
      <c r="GIP18" s="69"/>
      <c r="GIQ18" s="69"/>
      <c r="GIR18" s="69"/>
      <c r="GIS18" s="69"/>
      <c r="GIT18" s="69"/>
      <c r="GIU18" s="69"/>
      <c r="GIV18" s="69"/>
      <c r="GIW18" s="69"/>
      <c r="GIX18" s="69"/>
      <c r="GIY18" s="69"/>
      <c r="GIZ18" s="69"/>
      <c r="GJA18" s="69"/>
      <c r="GJB18" s="69"/>
      <c r="GJC18" s="69"/>
      <c r="GJD18" s="69"/>
      <c r="GJE18" s="69"/>
      <c r="GJF18" s="69"/>
      <c r="GJG18" s="69"/>
      <c r="GJH18" s="69"/>
      <c r="GJI18" s="69"/>
      <c r="GJJ18" s="69"/>
      <c r="GJK18" s="69"/>
      <c r="GJL18" s="69"/>
      <c r="GJM18" s="69"/>
      <c r="GJN18" s="69"/>
      <c r="GJO18" s="69"/>
      <c r="GJP18" s="69"/>
      <c r="GJQ18" s="69"/>
      <c r="GJR18" s="69"/>
      <c r="GJS18" s="69"/>
      <c r="GJT18" s="69"/>
      <c r="GJU18" s="69"/>
      <c r="GJV18" s="69"/>
      <c r="GJW18" s="69"/>
      <c r="GJX18" s="69"/>
      <c r="GJY18" s="69"/>
      <c r="GJZ18" s="69"/>
      <c r="GKA18" s="69"/>
      <c r="GKB18" s="69"/>
      <c r="GKC18" s="69"/>
      <c r="GKD18" s="69"/>
      <c r="GKE18" s="69"/>
      <c r="GKF18" s="69"/>
      <c r="GKG18" s="69"/>
      <c r="GKH18" s="69"/>
      <c r="GKI18" s="69"/>
      <c r="GKJ18" s="69"/>
      <c r="GKK18" s="69"/>
      <c r="GKL18" s="69"/>
      <c r="GKM18" s="69"/>
      <c r="GKN18" s="69"/>
      <c r="GKO18" s="69"/>
      <c r="GKP18" s="69"/>
      <c r="GKQ18" s="69"/>
      <c r="GKR18" s="69"/>
      <c r="GKS18" s="69"/>
      <c r="GKT18" s="69"/>
      <c r="GKU18" s="69"/>
      <c r="GKV18" s="69"/>
      <c r="GKW18" s="69"/>
      <c r="GKX18" s="69"/>
      <c r="GKY18" s="69"/>
      <c r="GKZ18" s="69"/>
      <c r="GLA18" s="69"/>
      <c r="GLB18" s="69"/>
      <c r="GLC18" s="69"/>
      <c r="GLD18" s="69"/>
      <c r="GLE18" s="69"/>
      <c r="GLF18" s="69"/>
      <c r="GLG18" s="69"/>
      <c r="GLH18" s="69"/>
      <c r="GLI18" s="69"/>
      <c r="GLJ18" s="69"/>
      <c r="GLK18" s="69"/>
      <c r="GLL18" s="69"/>
      <c r="GLM18" s="69"/>
      <c r="GLN18" s="69"/>
      <c r="GLO18" s="69"/>
      <c r="GLP18" s="69"/>
      <c r="GLQ18" s="69"/>
      <c r="GLR18" s="69"/>
      <c r="GLS18" s="69"/>
      <c r="GLT18" s="69"/>
      <c r="GLU18" s="69"/>
      <c r="GLV18" s="69"/>
      <c r="GLW18" s="69"/>
      <c r="GLX18" s="69"/>
      <c r="GLY18" s="69"/>
      <c r="GLZ18" s="69"/>
      <c r="GMA18" s="69"/>
      <c r="GMB18" s="69"/>
      <c r="GMC18" s="69"/>
      <c r="GMD18" s="69"/>
      <c r="GME18" s="69"/>
      <c r="GMF18" s="69"/>
      <c r="GMG18" s="69"/>
      <c r="GMH18" s="69"/>
      <c r="GMI18" s="69"/>
      <c r="GMJ18" s="69"/>
      <c r="GMK18" s="69"/>
      <c r="GML18" s="69"/>
      <c r="GMM18" s="69"/>
      <c r="GMN18" s="69"/>
      <c r="GMO18" s="69"/>
      <c r="GMP18" s="69"/>
      <c r="GMQ18" s="69"/>
      <c r="GMR18" s="69"/>
      <c r="GMS18" s="69"/>
      <c r="GMT18" s="69"/>
      <c r="GMU18" s="69"/>
      <c r="GMV18" s="69"/>
      <c r="GMW18" s="69"/>
      <c r="GMX18" s="69"/>
      <c r="GMY18" s="69"/>
      <c r="GMZ18" s="69"/>
      <c r="GNA18" s="69"/>
      <c r="GNB18" s="69"/>
      <c r="GNC18" s="69"/>
      <c r="GND18" s="69"/>
      <c r="GNE18" s="69"/>
      <c r="GNF18" s="69"/>
      <c r="GNG18" s="69"/>
      <c r="GNH18" s="69"/>
      <c r="GNI18" s="69"/>
      <c r="GNJ18" s="69"/>
      <c r="GNK18" s="69"/>
      <c r="GNL18" s="69"/>
      <c r="GNM18" s="69"/>
      <c r="GNN18" s="69"/>
      <c r="GNO18" s="69"/>
      <c r="GNP18" s="69"/>
      <c r="GNQ18" s="69"/>
      <c r="GNR18" s="69"/>
      <c r="GNS18" s="69"/>
      <c r="GNT18" s="69"/>
      <c r="GNU18" s="69"/>
      <c r="GNV18" s="69"/>
      <c r="GNW18" s="69"/>
      <c r="GNX18" s="69"/>
      <c r="GNY18" s="69"/>
      <c r="GNZ18" s="69"/>
      <c r="GOA18" s="69"/>
      <c r="GOB18" s="69"/>
      <c r="GOC18" s="69"/>
      <c r="GOD18" s="69"/>
      <c r="GOE18" s="69"/>
      <c r="GOF18" s="69"/>
      <c r="GOG18" s="69"/>
      <c r="GOH18" s="69"/>
      <c r="GOI18" s="69"/>
      <c r="GOJ18" s="69"/>
      <c r="GOK18" s="69"/>
      <c r="GOL18" s="69"/>
      <c r="GOM18" s="69"/>
      <c r="GON18" s="69"/>
      <c r="GOO18" s="69"/>
      <c r="GOP18" s="69"/>
      <c r="GOQ18" s="69"/>
      <c r="GOR18" s="69"/>
      <c r="GOS18" s="69"/>
      <c r="GOT18" s="69"/>
      <c r="GOU18" s="69"/>
      <c r="GOV18" s="69"/>
      <c r="GOW18" s="69"/>
      <c r="GOX18" s="69"/>
      <c r="GOY18" s="69"/>
      <c r="GOZ18" s="69"/>
      <c r="GPA18" s="69"/>
      <c r="GPB18" s="69"/>
      <c r="GPC18" s="69"/>
      <c r="GPD18" s="69"/>
      <c r="GPE18" s="69"/>
      <c r="GPF18" s="69"/>
      <c r="GPG18" s="69"/>
      <c r="GPH18" s="69"/>
      <c r="GPI18" s="69"/>
      <c r="GPJ18" s="69"/>
      <c r="GPK18" s="69"/>
      <c r="GPL18" s="69"/>
      <c r="GPM18" s="69"/>
      <c r="GPN18" s="69"/>
      <c r="GPO18" s="69"/>
      <c r="GPP18" s="69"/>
      <c r="GPQ18" s="69"/>
      <c r="GPR18" s="69"/>
      <c r="GPS18" s="69"/>
      <c r="GPT18" s="69"/>
      <c r="GPU18" s="69"/>
      <c r="GPV18" s="69"/>
      <c r="GPW18" s="69"/>
      <c r="GPX18" s="69"/>
      <c r="GPY18" s="69"/>
      <c r="GPZ18" s="69"/>
      <c r="GQA18" s="69"/>
      <c r="GQB18" s="69"/>
      <c r="GQC18" s="69"/>
      <c r="GQD18" s="69"/>
      <c r="GQE18" s="69"/>
      <c r="GQF18" s="69"/>
      <c r="GQG18" s="69"/>
      <c r="GQH18" s="69"/>
      <c r="GQI18" s="69"/>
      <c r="GQJ18" s="69"/>
      <c r="GQK18" s="69"/>
      <c r="GQL18" s="69"/>
      <c r="GQM18" s="69"/>
      <c r="GQN18" s="69"/>
      <c r="GQO18" s="69"/>
      <c r="GQP18" s="69"/>
      <c r="GQQ18" s="69"/>
      <c r="GQR18" s="69"/>
      <c r="GQS18" s="69"/>
      <c r="GQT18" s="69"/>
      <c r="GQU18" s="69"/>
      <c r="GQV18" s="69"/>
      <c r="GQW18" s="69"/>
      <c r="GQX18" s="69"/>
      <c r="GQY18" s="69"/>
      <c r="GQZ18" s="69"/>
      <c r="GRA18" s="69"/>
      <c r="GRB18" s="69"/>
      <c r="GRC18" s="69"/>
      <c r="GRD18" s="69"/>
      <c r="GRE18" s="69"/>
      <c r="GRF18" s="69"/>
      <c r="GRG18" s="69"/>
      <c r="GRH18" s="69"/>
      <c r="GRI18" s="69"/>
      <c r="GRJ18" s="69"/>
      <c r="GRK18" s="69"/>
      <c r="GRL18" s="69"/>
      <c r="GRM18" s="69"/>
      <c r="GRN18" s="69"/>
      <c r="GRO18" s="69"/>
      <c r="GRP18" s="69"/>
      <c r="GRQ18" s="69"/>
      <c r="GRR18" s="69"/>
      <c r="GRS18" s="69"/>
      <c r="GRT18" s="69"/>
      <c r="GRU18" s="69"/>
      <c r="GRV18" s="69"/>
      <c r="GRW18" s="69"/>
      <c r="GRX18" s="69"/>
      <c r="GRY18" s="69"/>
      <c r="GRZ18" s="69"/>
      <c r="GSA18" s="69"/>
      <c r="GSB18" s="69"/>
      <c r="GSC18" s="69"/>
      <c r="GSD18" s="69"/>
      <c r="GSE18" s="69"/>
      <c r="GSF18" s="69"/>
      <c r="GSG18" s="69"/>
      <c r="GSH18" s="69"/>
      <c r="GSI18" s="69"/>
      <c r="GSJ18" s="69"/>
      <c r="GSK18" s="69"/>
      <c r="GSL18" s="69"/>
      <c r="GSM18" s="69"/>
      <c r="GSN18" s="69"/>
      <c r="GSO18" s="69"/>
      <c r="GSP18" s="69"/>
      <c r="GSQ18" s="69"/>
      <c r="GSR18" s="69"/>
      <c r="GSS18" s="69"/>
      <c r="GST18" s="69"/>
      <c r="GSU18" s="69"/>
      <c r="GSV18" s="69"/>
      <c r="GSW18" s="69"/>
      <c r="GSX18" s="69"/>
      <c r="GSY18" s="69"/>
      <c r="GSZ18" s="69"/>
      <c r="GTA18" s="69"/>
      <c r="GTB18" s="69"/>
      <c r="GTC18" s="69"/>
      <c r="GTD18" s="69"/>
      <c r="GTE18" s="69"/>
      <c r="GTF18" s="69"/>
      <c r="GTG18" s="69"/>
      <c r="GTH18" s="69"/>
      <c r="GTI18" s="69"/>
      <c r="GTJ18" s="69"/>
      <c r="GTK18" s="69"/>
      <c r="GTL18" s="69"/>
      <c r="GTM18" s="69"/>
      <c r="GTN18" s="69"/>
      <c r="GTO18" s="69"/>
      <c r="GTP18" s="69"/>
      <c r="GTQ18" s="69"/>
      <c r="GTR18" s="69"/>
      <c r="GTS18" s="69"/>
      <c r="GTT18" s="69"/>
      <c r="GTU18" s="69"/>
      <c r="GTV18" s="69"/>
      <c r="GTW18" s="69"/>
      <c r="GTX18" s="69"/>
      <c r="GTY18" s="69"/>
      <c r="GTZ18" s="69"/>
      <c r="GUA18" s="69"/>
      <c r="GUB18" s="69"/>
      <c r="GUC18" s="69"/>
      <c r="GUD18" s="69"/>
      <c r="GUE18" s="69"/>
      <c r="GUF18" s="69"/>
      <c r="GUG18" s="69"/>
      <c r="GUH18" s="69"/>
      <c r="GUI18" s="69"/>
      <c r="GUJ18" s="69"/>
      <c r="GUK18" s="69"/>
      <c r="GUL18" s="69"/>
      <c r="GUM18" s="69"/>
      <c r="GUN18" s="69"/>
      <c r="GUO18" s="69"/>
      <c r="GUP18" s="69"/>
      <c r="GUQ18" s="69"/>
      <c r="GUR18" s="69"/>
      <c r="GUS18" s="69"/>
      <c r="GUT18" s="69"/>
      <c r="GUU18" s="69"/>
      <c r="GUV18" s="69"/>
      <c r="GUW18" s="69"/>
      <c r="GUX18" s="69"/>
      <c r="GUY18" s="69"/>
      <c r="GUZ18" s="69"/>
      <c r="GVA18" s="69"/>
      <c r="GVB18" s="69"/>
      <c r="GVC18" s="69"/>
      <c r="GVD18" s="69"/>
      <c r="GVE18" s="69"/>
      <c r="GVF18" s="69"/>
      <c r="GVG18" s="69"/>
      <c r="GVH18" s="69"/>
      <c r="GVI18" s="69"/>
      <c r="GVJ18" s="69"/>
      <c r="GVK18" s="69"/>
      <c r="GVL18" s="69"/>
      <c r="GVM18" s="69"/>
      <c r="GVN18" s="69"/>
      <c r="GVO18" s="69"/>
      <c r="GVP18" s="69"/>
      <c r="GVQ18" s="69"/>
      <c r="GVR18" s="69"/>
      <c r="GVS18" s="69"/>
      <c r="GVT18" s="69"/>
      <c r="GVU18" s="69"/>
      <c r="GVV18" s="69"/>
      <c r="GVW18" s="69"/>
      <c r="GVX18" s="69"/>
      <c r="GVY18" s="69"/>
      <c r="GVZ18" s="69"/>
      <c r="GWA18" s="69"/>
      <c r="GWB18" s="69"/>
      <c r="GWC18" s="69"/>
      <c r="GWD18" s="69"/>
      <c r="GWE18" s="69"/>
      <c r="GWF18" s="69"/>
      <c r="GWG18" s="69"/>
      <c r="GWH18" s="69"/>
      <c r="GWI18" s="69"/>
      <c r="GWJ18" s="69"/>
      <c r="GWK18" s="69"/>
      <c r="GWL18" s="69"/>
      <c r="GWM18" s="69"/>
      <c r="GWN18" s="69"/>
      <c r="GWO18" s="69"/>
      <c r="GWP18" s="69"/>
      <c r="GWQ18" s="69"/>
      <c r="GWR18" s="69"/>
      <c r="GWS18" s="69"/>
      <c r="GWT18" s="69"/>
      <c r="GWU18" s="69"/>
      <c r="GWV18" s="69"/>
      <c r="GWW18" s="69"/>
      <c r="GWX18" s="69"/>
      <c r="GWY18" s="69"/>
      <c r="GWZ18" s="69"/>
      <c r="GXA18" s="69"/>
      <c r="GXB18" s="69"/>
      <c r="GXC18" s="69"/>
      <c r="GXD18" s="69"/>
      <c r="GXE18" s="69"/>
      <c r="GXF18" s="69"/>
      <c r="GXG18" s="69"/>
      <c r="GXH18" s="69"/>
      <c r="GXI18" s="69"/>
      <c r="GXJ18" s="69"/>
      <c r="GXK18" s="69"/>
      <c r="GXL18" s="69"/>
      <c r="GXM18" s="69"/>
      <c r="GXN18" s="69"/>
      <c r="GXO18" s="69"/>
      <c r="GXP18" s="69"/>
      <c r="GXQ18" s="69"/>
      <c r="GXR18" s="69"/>
      <c r="GXS18" s="69"/>
      <c r="GXT18" s="69"/>
      <c r="GXU18" s="69"/>
      <c r="GXV18" s="69"/>
      <c r="GXW18" s="69"/>
      <c r="GXX18" s="69"/>
      <c r="GXY18" s="69"/>
      <c r="GXZ18" s="69"/>
      <c r="GYA18" s="69"/>
      <c r="GYB18" s="69"/>
      <c r="GYC18" s="69"/>
      <c r="GYD18" s="69"/>
      <c r="GYE18" s="69"/>
      <c r="GYF18" s="69"/>
      <c r="GYG18" s="69"/>
      <c r="GYH18" s="69"/>
      <c r="GYI18" s="69"/>
      <c r="GYJ18" s="69"/>
      <c r="GYK18" s="69"/>
      <c r="GYL18" s="69"/>
      <c r="GYM18" s="69"/>
      <c r="GYN18" s="69"/>
      <c r="GYO18" s="69"/>
      <c r="GYP18" s="69"/>
      <c r="GYQ18" s="69"/>
      <c r="GYR18" s="69"/>
      <c r="GYS18" s="69"/>
      <c r="GYT18" s="69"/>
      <c r="GYU18" s="69"/>
      <c r="GYV18" s="69"/>
      <c r="GYW18" s="69"/>
      <c r="GYX18" s="69"/>
      <c r="GYY18" s="69"/>
      <c r="GYZ18" s="69"/>
      <c r="GZA18" s="69"/>
      <c r="GZB18" s="69"/>
      <c r="GZC18" s="69"/>
      <c r="GZD18" s="69"/>
      <c r="GZE18" s="69"/>
      <c r="GZF18" s="69"/>
      <c r="GZG18" s="69"/>
      <c r="GZH18" s="69"/>
      <c r="GZI18" s="69"/>
      <c r="GZJ18" s="69"/>
      <c r="GZK18" s="69"/>
      <c r="GZL18" s="69"/>
      <c r="GZM18" s="69"/>
      <c r="GZN18" s="69"/>
      <c r="GZO18" s="69"/>
      <c r="GZP18" s="69"/>
      <c r="GZQ18" s="69"/>
      <c r="GZR18" s="69"/>
      <c r="GZS18" s="69"/>
      <c r="GZT18" s="69"/>
      <c r="GZU18" s="69"/>
      <c r="GZV18" s="69"/>
      <c r="GZW18" s="69"/>
      <c r="GZX18" s="69"/>
      <c r="GZY18" s="69"/>
      <c r="GZZ18" s="69"/>
      <c r="HAA18" s="69"/>
      <c r="HAB18" s="69"/>
      <c r="HAC18" s="69"/>
      <c r="HAD18" s="69"/>
      <c r="HAE18" s="69"/>
      <c r="HAF18" s="69"/>
      <c r="HAG18" s="69"/>
      <c r="HAH18" s="69"/>
      <c r="HAI18" s="69"/>
      <c r="HAJ18" s="69"/>
      <c r="HAK18" s="69"/>
      <c r="HAL18" s="69"/>
      <c r="HAM18" s="69"/>
      <c r="HAN18" s="69"/>
      <c r="HAO18" s="69"/>
      <c r="HAP18" s="69"/>
      <c r="HAQ18" s="69"/>
      <c r="HAR18" s="69"/>
      <c r="HAS18" s="69"/>
      <c r="HAT18" s="69"/>
      <c r="HAU18" s="69"/>
      <c r="HAV18" s="69"/>
      <c r="HAW18" s="69"/>
      <c r="HAX18" s="69"/>
      <c r="HAY18" s="69"/>
      <c r="HAZ18" s="69"/>
      <c r="HBA18" s="69"/>
      <c r="HBB18" s="69"/>
      <c r="HBC18" s="69"/>
      <c r="HBD18" s="69"/>
      <c r="HBE18" s="69"/>
      <c r="HBF18" s="69"/>
      <c r="HBG18" s="69"/>
      <c r="HBH18" s="69"/>
      <c r="HBI18" s="69"/>
      <c r="HBJ18" s="69"/>
      <c r="HBK18" s="69"/>
      <c r="HBL18" s="69"/>
      <c r="HBM18" s="69"/>
      <c r="HBN18" s="69"/>
      <c r="HBO18" s="69"/>
      <c r="HBP18" s="69"/>
      <c r="HBQ18" s="69"/>
      <c r="HBR18" s="69"/>
      <c r="HBS18" s="69"/>
      <c r="HBT18" s="69"/>
      <c r="HBU18" s="69"/>
      <c r="HBV18" s="69"/>
      <c r="HBW18" s="69"/>
      <c r="HBX18" s="69"/>
      <c r="HBY18" s="69"/>
      <c r="HBZ18" s="69"/>
      <c r="HCA18" s="69"/>
      <c r="HCB18" s="69"/>
      <c r="HCC18" s="69"/>
      <c r="HCD18" s="69"/>
      <c r="HCE18" s="69"/>
      <c r="HCF18" s="69"/>
      <c r="HCG18" s="69"/>
      <c r="HCH18" s="69"/>
      <c r="HCI18" s="69"/>
      <c r="HCJ18" s="69"/>
      <c r="HCK18" s="69"/>
      <c r="HCL18" s="69"/>
      <c r="HCM18" s="69"/>
      <c r="HCN18" s="69"/>
      <c r="HCO18" s="69"/>
      <c r="HCP18" s="69"/>
      <c r="HCQ18" s="69"/>
      <c r="HCR18" s="69"/>
      <c r="HCS18" s="69"/>
      <c r="HCT18" s="69"/>
      <c r="HCU18" s="69"/>
      <c r="HCV18" s="69"/>
      <c r="HCW18" s="69"/>
      <c r="HCX18" s="69"/>
      <c r="HCY18" s="69"/>
      <c r="HCZ18" s="69"/>
      <c r="HDA18" s="69"/>
      <c r="HDB18" s="69"/>
      <c r="HDC18" s="69"/>
      <c r="HDD18" s="69"/>
      <c r="HDE18" s="69"/>
      <c r="HDF18" s="69"/>
      <c r="HDG18" s="69"/>
      <c r="HDH18" s="69"/>
      <c r="HDI18" s="69"/>
      <c r="HDJ18" s="69"/>
      <c r="HDK18" s="69"/>
      <c r="HDL18" s="69"/>
      <c r="HDM18" s="69"/>
      <c r="HDN18" s="69"/>
      <c r="HDO18" s="69"/>
      <c r="HDP18" s="69"/>
      <c r="HDQ18" s="69"/>
      <c r="HDR18" s="69"/>
      <c r="HDS18" s="69"/>
      <c r="HDT18" s="69"/>
      <c r="HDU18" s="69"/>
      <c r="HDV18" s="69"/>
      <c r="HDW18" s="69"/>
      <c r="HDX18" s="69"/>
      <c r="HDY18" s="69"/>
      <c r="HDZ18" s="69"/>
      <c r="HEA18" s="69"/>
      <c r="HEB18" s="69"/>
      <c r="HEC18" s="69"/>
      <c r="HED18" s="69"/>
      <c r="HEE18" s="69"/>
      <c r="HEF18" s="69"/>
      <c r="HEG18" s="69"/>
      <c r="HEH18" s="69"/>
      <c r="HEI18" s="69"/>
      <c r="HEJ18" s="69"/>
      <c r="HEK18" s="69"/>
      <c r="HEL18" s="69"/>
      <c r="HEM18" s="69"/>
      <c r="HEN18" s="69"/>
      <c r="HEO18" s="69"/>
      <c r="HEP18" s="69"/>
      <c r="HEQ18" s="69"/>
      <c r="HER18" s="69"/>
      <c r="HES18" s="69"/>
      <c r="HET18" s="69"/>
      <c r="HEU18" s="69"/>
      <c r="HEV18" s="69"/>
      <c r="HEW18" s="69"/>
      <c r="HEX18" s="69"/>
      <c r="HEY18" s="69"/>
      <c r="HEZ18" s="69"/>
      <c r="HFA18" s="69"/>
      <c r="HFB18" s="69"/>
      <c r="HFC18" s="69"/>
      <c r="HFD18" s="69"/>
      <c r="HFE18" s="69"/>
      <c r="HFF18" s="69"/>
      <c r="HFG18" s="69"/>
      <c r="HFH18" s="69"/>
      <c r="HFI18" s="69"/>
      <c r="HFJ18" s="69"/>
      <c r="HFK18" s="69"/>
      <c r="HFL18" s="69"/>
      <c r="HFM18" s="69"/>
      <c r="HFN18" s="69"/>
      <c r="HFO18" s="69"/>
      <c r="HFP18" s="69"/>
      <c r="HFQ18" s="69"/>
      <c r="HFR18" s="69"/>
      <c r="HFS18" s="69"/>
      <c r="HFT18" s="69"/>
      <c r="HFU18" s="69"/>
      <c r="HFV18" s="69"/>
      <c r="HFW18" s="69"/>
      <c r="HFX18" s="69"/>
      <c r="HFY18" s="69"/>
      <c r="HFZ18" s="69"/>
      <c r="HGA18" s="69"/>
      <c r="HGB18" s="69"/>
      <c r="HGC18" s="69"/>
      <c r="HGD18" s="69"/>
      <c r="HGE18" s="69"/>
      <c r="HGF18" s="69"/>
      <c r="HGG18" s="69"/>
      <c r="HGH18" s="69"/>
      <c r="HGI18" s="69"/>
      <c r="HGJ18" s="69"/>
      <c r="HGK18" s="69"/>
      <c r="HGL18" s="69"/>
      <c r="HGM18" s="69"/>
      <c r="HGN18" s="69"/>
      <c r="HGO18" s="69"/>
      <c r="HGP18" s="69"/>
      <c r="HGQ18" s="69"/>
      <c r="HGR18" s="69"/>
      <c r="HGS18" s="69"/>
      <c r="HGT18" s="69"/>
      <c r="HGU18" s="69"/>
      <c r="HGV18" s="69"/>
      <c r="HGW18" s="69"/>
      <c r="HGX18" s="69"/>
      <c r="HGY18" s="69"/>
      <c r="HGZ18" s="69"/>
      <c r="HHA18" s="69"/>
      <c r="HHB18" s="69"/>
      <c r="HHC18" s="69"/>
      <c r="HHD18" s="69"/>
      <c r="HHE18" s="69"/>
      <c r="HHF18" s="69"/>
      <c r="HHG18" s="69"/>
      <c r="HHH18" s="69"/>
      <c r="HHI18" s="69"/>
      <c r="HHJ18" s="69"/>
      <c r="HHK18" s="69"/>
      <c r="HHL18" s="69"/>
      <c r="HHM18" s="69"/>
      <c r="HHN18" s="69"/>
      <c r="HHO18" s="69"/>
      <c r="HHP18" s="69"/>
      <c r="HHQ18" s="69"/>
      <c r="HHR18" s="69"/>
      <c r="HHS18" s="69"/>
      <c r="HHT18" s="69"/>
      <c r="HHU18" s="69"/>
      <c r="HHV18" s="69"/>
      <c r="HHW18" s="69"/>
      <c r="HHX18" s="69"/>
      <c r="HHY18" s="69"/>
      <c r="HHZ18" s="69"/>
      <c r="HIA18" s="69"/>
      <c r="HIB18" s="69"/>
      <c r="HIC18" s="69"/>
      <c r="HID18" s="69"/>
      <c r="HIE18" s="69"/>
      <c r="HIF18" s="69"/>
      <c r="HIG18" s="69"/>
      <c r="HIH18" s="69"/>
      <c r="HII18" s="69"/>
      <c r="HIJ18" s="69"/>
      <c r="HIK18" s="69"/>
      <c r="HIL18" s="69"/>
      <c r="HIM18" s="69"/>
      <c r="HIN18" s="69"/>
      <c r="HIO18" s="69"/>
      <c r="HIP18" s="69"/>
      <c r="HIQ18" s="69"/>
      <c r="HIR18" s="69"/>
      <c r="HIS18" s="69"/>
      <c r="HIT18" s="69"/>
      <c r="HIU18" s="69"/>
      <c r="HIV18" s="69"/>
      <c r="HIW18" s="69"/>
      <c r="HIX18" s="69"/>
      <c r="HIY18" s="69"/>
      <c r="HIZ18" s="69"/>
      <c r="HJA18" s="69"/>
      <c r="HJB18" s="69"/>
      <c r="HJC18" s="69"/>
      <c r="HJD18" s="69"/>
      <c r="HJE18" s="69"/>
      <c r="HJF18" s="69"/>
      <c r="HJG18" s="69"/>
      <c r="HJH18" s="69"/>
      <c r="HJI18" s="69"/>
      <c r="HJJ18" s="69"/>
      <c r="HJK18" s="69"/>
      <c r="HJL18" s="69"/>
      <c r="HJM18" s="69"/>
      <c r="HJN18" s="69"/>
      <c r="HJO18" s="69"/>
      <c r="HJP18" s="69"/>
      <c r="HJQ18" s="69"/>
      <c r="HJR18" s="69"/>
      <c r="HJS18" s="69"/>
      <c r="HJT18" s="69"/>
      <c r="HJU18" s="69"/>
      <c r="HJV18" s="69"/>
      <c r="HJW18" s="69"/>
      <c r="HJX18" s="69"/>
      <c r="HJY18" s="69"/>
      <c r="HJZ18" s="69"/>
      <c r="HKA18" s="69"/>
      <c r="HKB18" s="69"/>
      <c r="HKC18" s="69"/>
      <c r="HKD18" s="69"/>
      <c r="HKE18" s="69"/>
      <c r="HKF18" s="69"/>
      <c r="HKG18" s="69"/>
      <c r="HKH18" s="69"/>
      <c r="HKI18" s="69"/>
      <c r="HKJ18" s="69"/>
      <c r="HKK18" s="69"/>
      <c r="HKL18" s="69"/>
      <c r="HKM18" s="69"/>
      <c r="HKN18" s="69"/>
      <c r="HKO18" s="69"/>
      <c r="HKP18" s="69"/>
      <c r="HKQ18" s="69"/>
      <c r="HKR18" s="69"/>
      <c r="HKS18" s="69"/>
      <c r="HKT18" s="69"/>
      <c r="HKU18" s="69"/>
      <c r="HKV18" s="69"/>
      <c r="HKW18" s="69"/>
      <c r="HKX18" s="69"/>
      <c r="HKY18" s="69"/>
      <c r="HKZ18" s="69"/>
      <c r="HLA18" s="69"/>
      <c r="HLB18" s="69"/>
      <c r="HLC18" s="69"/>
      <c r="HLD18" s="69"/>
      <c r="HLE18" s="69"/>
      <c r="HLF18" s="69"/>
      <c r="HLG18" s="69"/>
      <c r="HLH18" s="69"/>
      <c r="HLI18" s="69"/>
      <c r="HLJ18" s="69"/>
      <c r="HLK18" s="69"/>
      <c r="HLL18" s="69"/>
      <c r="HLM18" s="69"/>
      <c r="HLN18" s="69"/>
      <c r="HLO18" s="69"/>
      <c r="HLP18" s="69"/>
      <c r="HLQ18" s="69"/>
      <c r="HLR18" s="69"/>
      <c r="HLS18" s="69"/>
      <c r="HLT18" s="69"/>
      <c r="HLU18" s="69"/>
      <c r="HLV18" s="69"/>
      <c r="HLW18" s="69"/>
      <c r="HLX18" s="69"/>
      <c r="HLY18" s="69"/>
      <c r="HLZ18" s="69"/>
      <c r="HMA18" s="69"/>
      <c r="HMB18" s="69"/>
      <c r="HMC18" s="69"/>
      <c r="HMD18" s="69"/>
      <c r="HME18" s="69"/>
      <c r="HMF18" s="69"/>
      <c r="HMG18" s="69"/>
      <c r="HMH18" s="69"/>
      <c r="HMI18" s="69"/>
      <c r="HMJ18" s="69"/>
      <c r="HMK18" s="69"/>
      <c r="HML18" s="69"/>
      <c r="HMM18" s="69"/>
      <c r="HMN18" s="69"/>
      <c r="HMO18" s="69"/>
      <c r="HMP18" s="69"/>
      <c r="HMQ18" s="69"/>
      <c r="HMR18" s="69"/>
      <c r="HMS18" s="69"/>
      <c r="HMT18" s="69"/>
      <c r="HMU18" s="69"/>
      <c r="HMV18" s="69"/>
      <c r="HMW18" s="69"/>
      <c r="HMX18" s="69"/>
      <c r="HMY18" s="69"/>
      <c r="HMZ18" s="69"/>
      <c r="HNA18" s="69"/>
      <c r="HNB18" s="69"/>
      <c r="HNC18" s="69"/>
      <c r="HND18" s="69"/>
      <c r="HNE18" s="69"/>
      <c r="HNF18" s="69"/>
      <c r="HNG18" s="69"/>
      <c r="HNH18" s="69"/>
      <c r="HNI18" s="69"/>
      <c r="HNJ18" s="69"/>
      <c r="HNK18" s="69"/>
      <c r="HNL18" s="69"/>
      <c r="HNM18" s="69"/>
      <c r="HNN18" s="69"/>
      <c r="HNO18" s="69"/>
      <c r="HNP18" s="69"/>
      <c r="HNQ18" s="69"/>
      <c r="HNR18" s="69"/>
      <c r="HNS18" s="69"/>
      <c r="HNT18" s="69"/>
      <c r="HNU18" s="69"/>
      <c r="HNV18" s="69"/>
      <c r="HNW18" s="69"/>
      <c r="HNX18" s="69"/>
      <c r="HNY18" s="69"/>
      <c r="HNZ18" s="69"/>
      <c r="HOA18" s="69"/>
      <c r="HOB18" s="69"/>
      <c r="HOC18" s="69"/>
      <c r="HOD18" s="69"/>
      <c r="HOE18" s="69"/>
      <c r="HOF18" s="69"/>
      <c r="HOG18" s="69"/>
      <c r="HOH18" s="69"/>
      <c r="HOI18" s="69"/>
      <c r="HOJ18" s="69"/>
      <c r="HOK18" s="69"/>
      <c r="HOL18" s="69"/>
      <c r="HOM18" s="69"/>
      <c r="HON18" s="69"/>
      <c r="HOO18" s="69"/>
      <c r="HOP18" s="69"/>
      <c r="HOQ18" s="69"/>
      <c r="HOR18" s="69"/>
      <c r="HOS18" s="69"/>
      <c r="HOT18" s="69"/>
      <c r="HOU18" s="69"/>
      <c r="HOV18" s="69"/>
      <c r="HOW18" s="69"/>
      <c r="HOX18" s="69"/>
      <c r="HOY18" s="69"/>
      <c r="HOZ18" s="69"/>
      <c r="HPA18" s="69"/>
      <c r="HPB18" s="69"/>
      <c r="HPC18" s="69"/>
      <c r="HPD18" s="69"/>
      <c r="HPE18" s="69"/>
      <c r="HPF18" s="69"/>
      <c r="HPG18" s="69"/>
      <c r="HPH18" s="69"/>
      <c r="HPI18" s="69"/>
      <c r="HPJ18" s="69"/>
      <c r="HPK18" s="69"/>
      <c r="HPL18" s="69"/>
      <c r="HPM18" s="69"/>
      <c r="HPN18" s="69"/>
      <c r="HPO18" s="69"/>
      <c r="HPP18" s="69"/>
      <c r="HPQ18" s="69"/>
      <c r="HPR18" s="69"/>
      <c r="HPS18" s="69"/>
      <c r="HPT18" s="69"/>
      <c r="HPU18" s="69"/>
      <c r="HPV18" s="69"/>
      <c r="HPW18" s="69"/>
      <c r="HPX18" s="69"/>
      <c r="HPY18" s="69"/>
      <c r="HPZ18" s="69"/>
      <c r="HQA18" s="69"/>
      <c r="HQB18" s="69"/>
      <c r="HQC18" s="69"/>
      <c r="HQD18" s="69"/>
      <c r="HQE18" s="69"/>
      <c r="HQF18" s="69"/>
      <c r="HQG18" s="69"/>
      <c r="HQH18" s="69"/>
      <c r="HQI18" s="69"/>
      <c r="HQJ18" s="69"/>
      <c r="HQK18" s="69"/>
      <c r="HQL18" s="69"/>
      <c r="HQM18" s="69"/>
      <c r="HQN18" s="69"/>
      <c r="HQO18" s="69"/>
      <c r="HQP18" s="69"/>
      <c r="HQQ18" s="69"/>
      <c r="HQR18" s="69"/>
      <c r="HQS18" s="69"/>
      <c r="HQT18" s="69"/>
      <c r="HQU18" s="69"/>
      <c r="HQV18" s="69"/>
      <c r="HQW18" s="69"/>
      <c r="HQX18" s="69"/>
      <c r="HQY18" s="69"/>
      <c r="HQZ18" s="69"/>
      <c r="HRA18" s="69"/>
      <c r="HRB18" s="69"/>
      <c r="HRC18" s="69"/>
      <c r="HRD18" s="69"/>
      <c r="HRE18" s="69"/>
      <c r="HRF18" s="69"/>
      <c r="HRG18" s="69"/>
      <c r="HRH18" s="69"/>
      <c r="HRI18" s="69"/>
      <c r="HRJ18" s="69"/>
      <c r="HRK18" s="69"/>
      <c r="HRL18" s="69"/>
      <c r="HRM18" s="69"/>
      <c r="HRN18" s="69"/>
      <c r="HRO18" s="69"/>
      <c r="HRP18" s="69"/>
      <c r="HRQ18" s="69"/>
      <c r="HRR18" s="69"/>
      <c r="HRS18" s="69"/>
      <c r="HRT18" s="69"/>
      <c r="HRU18" s="69"/>
      <c r="HRV18" s="69"/>
      <c r="HRW18" s="69"/>
      <c r="HRX18" s="69"/>
      <c r="HRY18" s="69"/>
      <c r="HRZ18" s="69"/>
      <c r="HSA18" s="69"/>
      <c r="HSB18" s="69"/>
      <c r="HSC18" s="69"/>
      <c r="HSD18" s="69"/>
      <c r="HSE18" s="69"/>
      <c r="HSF18" s="69"/>
      <c r="HSG18" s="69"/>
      <c r="HSH18" s="69"/>
      <c r="HSI18" s="69"/>
      <c r="HSJ18" s="69"/>
      <c r="HSK18" s="69"/>
      <c r="HSL18" s="69"/>
      <c r="HSM18" s="69"/>
      <c r="HSN18" s="69"/>
      <c r="HSO18" s="69"/>
      <c r="HSP18" s="69"/>
      <c r="HSQ18" s="69"/>
      <c r="HSR18" s="69"/>
      <c r="HSS18" s="69"/>
      <c r="HST18" s="69"/>
      <c r="HSU18" s="69"/>
      <c r="HSV18" s="69"/>
      <c r="HSW18" s="69"/>
      <c r="HSX18" s="69"/>
      <c r="HSY18" s="69"/>
      <c r="HSZ18" s="69"/>
      <c r="HTA18" s="69"/>
      <c r="HTB18" s="69"/>
      <c r="HTC18" s="69"/>
      <c r="HTD18" s="69"/>
      <c r="HTE18" s="69"/>
      <c r="HTF18" s="69"/>
      <c r="HTG18" s="69"/>
      <c r="HTH18" s="69"/>
      <c r="HTI18" s="69"/>
      <c r="HTJ18" s="69"/>
      <c r="HTK18" s="69"/>
      <c r="HTL18" s="69"/>
      <c r="HTM18" s="69"/>
      <c r="HTN18" s="69"/>
      <c r="HTO18" s="69"/>
      <c r="HTP18" s="69"/>
      <c r="HTQ18" s="69"/>
      <c r="HTR18" s="69"/>
      <c r="HTS18" s="69"/>
      <c r="HTT18" s="69"/>
      <c r="HTU18" s="69"/>
      <c r="HTV18" s="69"/>
      <c r="HTW18" s="69"/>
      <c r="HTX18" s="69"/>
      <c r="HTY18" s="69"/>
      <c r="HTZ18" s="69"/>
      <c r="HUA18" s="69"/>
      <c r="HUB18" s="69"/>
      <c r="HUC18" s="69"/>
      <c r="HUD18" s="69"/>
      <c r="HUE18" s="69"/>
      <c r="HUF18" s="69"/>
      <c r="HUG18" s="69"/>
      <c r="HUH18" s="69"/>
      <c r="HUI18" s="69"/>
      <c r="HUJ18" s="69"/>
      <c r="HUK18" s="69"/>
      <c r="HUL18" s="69"/>
      <c r="HUM18" s="69"/>
      <c r="HUN18" s="69"/>
      <c r="HUO18" s="69"/>
      <c r="HUP18" s="69"/>
      <c r="HUQ18" s="69"/>
      <c r="HUR18" s="69"/>
      <c r="HUS18" s="69"/>
      <c r="HUT18" s="69"/>
      <c r="HUU18" s="69"/>
      <c r="HUV18" s="69"/>
      <c r="HUW18" s="69"/>
      <c r="HUX18" s="69"/>
      <c r="HUY18" s="69"/>
      <c r="HUZ18" s="69"/>
      <c r="HVA18" s="69"/>
      <c r="HVB18" s="69"/>
      <c r="HVC18" s="69"/>
      <c r="HVD18" s="69"/>
      <c r="HVE18" s="69"/>
      <c r="HVF18" s="69"/>
      <c r="HVG18" s="69"/>
      <c r="HVH18" s="69"/>
      <c r="HVI18" s="69"/>
      <c r="HVJ18" s="69"/>
      <c r="HVK18" s="69"/>
      <c r="HVL18" s="69"/>
      <c r="HVM18" s="69"/>
      <c r="HVN18" s="69"/>
      <c r="HVO18" s="69"/>
      <c r="HVP18" s="69"/>
      <c r="HVQ18" s="69"/>
      <c r="HVR18" s="69"/>
      <c r="HVS18" s="69"/>
      <c r="HVT18" s="69"/>
      <c r="HVU18" s="69"/>
      <c r="HVV18" s="69"/>
      <c r="HVW18" s="69"/>
      <c r="HVX18" s="69"/>
      <c r="HVY18" s="69"/>
      <c r="HVZ18" s="69"/>
      <c r="HWA18" s="69"/>
      <c r="HWB18" s="69"/>
      <c r="HWC18" s="69"/>
      <c r="HWD18" s="69"/>
      <c r="HWE18" s="69"/>
      <c r="HWF18" s="69"/>
      <c r="HWG18" s="69"/>
      <c r="HWH18" s="69"/>
      <c r="HWI18" s="69"/>
      <c r="HWJ18" s="69"/>
      <c r="HWK18" s="69"/>
      <c r="HWL18" s="69"/>
      <c r="HWM18" s="69"/>
      <c r="HWN18" s="69"/>
      <c r="HWO18" s="69"/>
      <c r="HWP18" s="69"/>
      <c r="HWQ18" s="69"/>
      <c r="HWR18" s="69"/>
      <c r="HWS18" s="69"/>
      <c r="HWT18" s="69"/>
      <c r="HWU18" s="69"/>
      <c r="HWV18" s="69"/>
      <c r="HWW18" s="69"/>
      <c r="HWX18" s="69"/>
      <c r="HWY18" s="69"/>
      <c r="HWZ18" s="69"/>
      <c r="HXA18" s="69"/>
      <c r="HXB18" s="69"/>
      <c r="HXC18" s="69"/>
      <c r="HXD18" s="69"/>
      <c r="HXE18" s="69"/>
      <c r="HXF18" s="69"/>
      <c r="HXG18" s="69"/>
      <c r="HXH18" s="69"/>
      <c r="HXI18" s="69"/>
      <c r="HXJ18" s="69"/>
      <c r="HXK18" s="69"/>
      <c r="HXL18" s="69"/>
      <c r="HXM18" s="69"/>
      <c r="HXN18" s="69"/>
      <c r="HXO18" s="69"/>
      <c r="HXP18" s="69"/>
      <c r="HXQ18" s="69"/>
      <c r="HXR18" s="69"/>
      <c r="HXS18" s="69"/>
      <c r="HXT18" s="69"/>
      <c r="HXU18" s="69"/>
      <c r="HXV18" s="69"/>
      <c r="HXW18" s="69"/>
      <c r="HXX18" s="69"/>
      <c r="HXY18" s="69"/>
      <c r="HXZ18" s="69"/>
      <c r="HYA18" s="69"/>
      <c r="HYB18" s="69"/>
      <c r="HYC18" s="69"/>
      <c r="HYD18" s="69"/>
      <c r="HYE18" s="69"/>
      <c r="HYF18" s="69"/>
      <c r="HYG18" s="69"/>
      <c r="HYH18" s="69"/>
      <c r="HYI18" s="69"/>
      <c r="HYJ18" s="69"/>
      <c r="HYK18" s="69"/>
      <c r="HYL18" s="69"/>
      <c r="HYM18" s="69"/>
      <c r="HYN18" s="69"/>
      <c r="HYO18" s="69"/>
      <c r="HYP18" s="69"/>
      <c r="HYQ18" s="69"/>
      <c r="HYR18" s="69"/>
      <c r="HYS18" s="69"/>
      <c r="HYT18" s="69"/>
      <c r="HYU18" s="69"/>
      <c r="HYV18" s="69"/>
      <c r="HYW18" s="69"/>
      <c r="HYX18" s="69"/>
      <c r="HYY18" s="69"/>
      <c r="HYZ18" s="69"/>
      <c r="HZA18" s="69"/>
      <c r="HZB18" s="69"/>
      <c r="HZC18" s="69"/>
      <c r="HZD18" s="69"/>
      <c r="HZE18" s="69"/>
      <c r="HZF18" s="69"/>
      <c r="HZG18" s="69"/>
      <c r="HZH18" s="69"/>
      <c r="HZI18" s="69"/>
      <c r="HZJ18" s="69"/>
      <c r="HZK18" s="69"/>
      <c r="HZL18" s="69"/>
      <c r="HZM18" s="69"/>
      <c r="HZN18" s="69"/>
      <c r="HZO18" s="69"/>
      <c r="HZP18" s="69"/>
      <c r="HZQ18" s="69"/>
      <c r="HZR18" s="69"/>
      <c r="HZS18" s="69"/>
      <c r="HZT18" s="69"/>
      <c r="HZU18" s="69"/>
      <c r="HZV18" s="69"/>
      <c r="HZW18" s="69"/>
      <c r="HZX18" s="69"/>
      <c r="HZY18" s="69"/>
      <c r="HZZ18" s="69"/>
      <c r="IAA18" s="69"/>
      <c r="IAB18" s="69"/>
      <c r="IAC18" s="69"/>
      <c r="IAD18" s="69"/>
      <c r="IAE18" s="69"/>
      <c r="IAF18" s="69"/>
      <c r="IAG18" s="69"/>
      <c r="IAH18" s="69"/>
      <c r="IAI18" s="69"/>
      <c r="IAJ18" s="69"/>
      <c r="IAK18" s="69"/>
      <c r="IAL18" s="69"/>
      <c r="IAM18" s="69"/>
      <c r="IAN18" s="69"/>
      <c r="IAO18" s="69"/>
      <c r="IAP18" s="69"/>
      <c r="IAQ18" s="69"/>
      <c r="IAR18" s="69"/>
      <c r="IAS18" s="69"/>
      <c r="IAT18" s="69"/>
      <c r="IAU18" s="69"/>
      <c r="IAV18" s="69"/>
      <c r="IAW18" s="69"/>
      <c r="IAX18" s="69"/>
      <c r="IAY18" s="69"/>
      <c r="IAZ18" s="69"/>
      <c r="IBA18" s="69"/>
      <c r="IBB18" s="69"/>
      <c r="IBC18" s="69"/>
      <c r="IBD18" s="69"/>
      <c r="IBE18" s="69"/>
      <c r="IBF18" s="69"/>
      <c r="IBG18" s="69"/>
      <c r="IBH18" s="69"/>
      <c r="IBI18" s="69"/>
      <c r="IBJ18" s="69"/>
      <c r="IBK18" s="69"/>
      <c r="IBL18" s="69"/>
      <c r="IBM18" s="69"/>
      <c r="IBN18" s="69"/>
      <c r="IBO18" s="69"/>
      <c r="IBP18" s="69"/>
      <c r="IBQ18" s="69"/>
      <c r="IBR18" s="69"/>
      <c r="IBS18" s="69"/>
      <c r="IBT18" s="69"/>
      <c r="IBU18" s="69"/>
      <c r="IBV18" s="69"/>
      <c r="IBW18" s="69"/>
      <c r="IBX18" s="69"/>
      <c r="IBY18" s="69"/>
      <c r="IBZ18" s="69"/>
      <c r="ICA18" s="69"/>
      <c r="ICB18" s="69"/>
      <c r="ICC18" s="69"/>
      <c r="ICD18" s="69"/>
      <c r="ICE18" s="69"/>
      <c r="ICF18" s="69"/>
      <c r="ICG18" s="69"/>
      <c r="ICH18" s="69"/>
      <c r="ICI18" s="69"/>
      <c r="ICJ18" s="69"/>
      <c r="ICK18" s="69"/>
      <c r="ICL18" s="69"/>
      <c r="ICM18" s="69"/>
      <c r="ICN18" s="69"/>
      <c r="ICO18" s="69"/>
      <c r="ICP18" s="69"/>
      <c r="ICQ18" s="69"/>
      <c r="ICR18" s="69"/>
      <c r="ICS18" s="69"/>
      <c r="ICT18" s="69"/>
      <c r="ICU18" s="69"/>
      <c r="ICV18" s="69"/>
      <c r="ICW18" s="69"/>
      <c r="ICX18" s="69"/>
      <c r="ICY18" s="69"/>
      <c r="ICZ18" s="69"/>
      <c r="IDA18" s="69"/>
      <c r="IDB18" s="69"/>
      <c r="IDC18" s="69"/>
      <c r="IDD18" s="69"/>
      <c r="IDE18" s="69"/>
      <c r="IDF18" s="69"/>
      <c r="IDG18" s="69"/>
      <c r="IDH18" s="69"/>
      <c r="IDI18" s="69"/>
      <c r="IDJ18" s="69"/>
      <c r="IDK18" s="69"/>
      <c r="IDL18" s="69"/>
      <c r="IDM18" s="69"/>
      <c r="IDN18" s="69"/>
      <c r="IDO18" s="69"/>
      <c r="IDP18" s="69"/>
      <c r="IDQ18" s="69"/>
      <c r="IDR18" s="69"/>
      <c r="IDS18" s="69"/>
      <c r="IDT18" s="69"/>
      <c r="IDU18" s="69"/>
      <c r="IDV18" s="69"/>
      <c r="IDW18" s="69"/>
      <c r="IDX18" s="69"/>
      <c r="IDY18" s="69"/>
      <c r="IDZ18" s="69"/>
      <c r="IEA18" s="69"/>
      <c r="IEB18" s="69"/>
      <c r="IEC18" s="69"/>
      <c r="IED18" s="69"/>
      <c r="IEE18" s="69"/>
      <c r="IEF18" s="69"/>
      <c r="IEG18" s="69"/>
      <c r="IEH18" s="69"/>
      <c r="IEI18" s="69"/>
      <c r="IEJ18" s="69"/>
      <c r="IEK18" s="69"/>
      <c r="IEL18" s="69"/>
      <c r="IEM18" s="69"/>
      <c r="IEN18" s="69"/>
      <c r="IEO18" s="69"/>
      <c r="IEP18" s="69"/>
      <c r="IEQ18" s="69"/>
      <c r="IER18" s="69"/>
      <c r="IES18" s="69"/>
      <c r="IET18" s="69"/>
      <c r="IEU18" s="69"/>
      <c r="IEV18" s="69"/>
      <c r="IEW18" s="69"/>
      <c r="IEX18" s="69"/>
      <c r="IEY18" s="69"/>
      <c r="IEZ18" s="69"/>
      <c r="IFA18" s="69"/>
      <c r="IFB18" s="69"/>
      <c r="IFC18" s="69"/>
      <c r="IFD18" s="69"/>
      <c r="IFE18" s="69"/>
      <c r="IFF18" s="69"/>
      <c r="IFG18" s="69"/>
      <c r="IFH18" s="69"/>
      <c r="IFI18" s="69"/>
      <c r="IFJ18" s="69"/>
      <c r="IFK18" s="69"/>
      <c r="IFL18" s="69"/>
      <c r="IFM18" s="69"/>
      <c r="IFN18" s="69"/>
      <c r="IFO18" s="69"/>
      <c r="IFP18" s="69"/>
      <c r="IFQ18" s="69"/>
      <c r="IFR18" s="69"/>
      <c r="IFS18" s="69"/>
      <c r="IFT18" s="69"/>
      <c r="IFU18" s="69"/>
      <c r="IFV18" s="69"/>
      <c r="IFW18" s="69"/>
      <c r="IFX18" s="69"/>
      <c r="IFY18" s="69"/>
      <c r="IFZ18" s="69"/>
      <c r="IGA18" s="69"/>
      <c r="IGB18" s="69"/>
      <c r="IGC18" s="69"/>
      <c r="IGD18" s="69"/>
      <c r="IGE18" s="69"/>
      <c r="IGF18" s="69"/>
      <c r="IGG18" s="69"/>
      <c r="IGH18" s="69"/>
      <c r="IGI18" s="69"/>
      <c r="IGJ18" s="69"/>
      <c r="IGK18" s="69"/>
      <c r="IGL18" s="69"/>
      <c r="IGM18" s="69"/>
      <c r="IGN18" s="69"/>
      <c r="IGO18" s="69"/>
      <c r="IGP18" s="69"/>
      <c r="IGQ18" s="69"/>
      <c r="IGR18" s="69"/>
      <c r="IGS18" s="69"/>
      <c r="IGT18" s="69"/>
      <c r="IGU18" s="69"/>
      <c r="IGV18" s="69"/>
      <c r="IGW18" s="69"/>
      <c r="IGX18" s="69"/>
      <c r="IGY18" s="69"/>
      <c r="IGZ18" s="69"/>
      <c r="IHA18" s="69"/>
      <c r="IHB18" s="69"/>
      <c r="IHC18" s="69"/>
      <c r="IHD18" s="69"/>
      <c r="IHE18" s="69"/>
      <c r="IHF18" s="69"/>
      <c r="IHG18" s="69"/>
      <c r="IHH18" s="69"/>
      <c r="IHI18" s="69"/>
      <c r="IHJ18" s="69"/>
      <c r="IHK18" s="69"/>
      <c r="IHL18" s="69"/>
      <c r="IHM18" s="69"/>
      <c r="IHN18" s="69"/>
      <c r="IHO18" s="69"/>
      <c r="IHP18" s="69"/>
      <c r="IHQ18" s="69"/>
      <c r="IHR18" s="69"/>
      <c r="IHS18" s="69"/>
      <c r="IHT18" s="69"/>
      <c r="IHU18" s="69"/>
      <c r="IHV18" s="69"/>
      <c r="IHW18" s="69"/>
      <c r="IHX18" s="69"/>
      <c r="IHY18" s="69"/>
      <c r="IHZ18" s="69"/>
      <c r="IIA18" s="69"/>
      <c r="IIB18" s="69"/>
      <c r="IIC18" s="69"/>
      <c r="IID18" s="69"/>
      <c r="IIE18" s="69"/>
      <c r="IIF18" s="69"/>
      <c r="IIG18" s="69"/>
      <c r="IIH18" s="69"/>
      <c r="III18" s="69"/>
      <c r="IIJ18" s="69"/>
      <c r="IIK18" s="69"/>
      <c r="IIL18" s="69"/>
      <c r="IIM18" s="69"/>
      <c r="IIN18" s="69"/>
      <c r="IIO18" s="69"/>
      <c r="IIP18" s="69"/>
      <c r="IIQ18" s="69"/>
      <c r="IIR18" s="69"/>
      <c r="IIS18" s="69"/>
      <c r="IIT18" s="69"/>
      <c r="IIU18" s="69"/>
      <c r="IIV18" s="69"/>
      <c r="IIW18" s="69"/>
      <c r="IIX18" s="69"/>
      <c r="IIY18" s="69"/>
      <c r="IIZ18" s="69"/>
      <c r="IJA18" s="69"/>
      <c r="IJB18" s="69"/>
      <c r="IJC18" s="69"/>
      <c r="IJD18" s="69"/>
      <c r="IJE18" s="69"/>
      <c r="IJF18" s="69"/>
      <c r="IJG18" s="69"/>
      <c r="IJH18" s="69"/>
      <c r="IJI18" s="69"/>
      <c r="IJJ18" s="69"/>
      <c r="IJK18" s="69"/>
      <c r="IJL18" s="69"/>
      <c r="IJM18" s="69"/>
      <c r="IJN18" s="69"/>
      <c r="IJO18" s="69"/>
      <c r="IJP18" s="69"/>
      <c r="IJQ18" s="69"/>
      <c r="IJR18" s="69"/>
      <c r="IJS18" s="69"/>
      <c r="IJT18" s="69"/>
      <c r="IJU18" s="69"/>
      <c r="IJV18" s="69"/>
      <c r="IJW18" s="69"/>
      <c r="IJX18" s="69"/>
      <c r="IJY18" s="69"/>
      <c r="IJZ18" s="69"/>
      <c r="IKA18" s="69"/>
      <c r="IKB18" s="69"/>
      <c r="IKC18" s="69"/>
      <c r="IKD18" s="69"/>
      <c r="IKE18" s="69"/>
      <c r="IKF18" s="69"/>
      <c r="IKG18" s="69"/>
      <c r="IKH18" s="69"/>
      <c r="IKI18" s="69"/>
      <c r="IKJ18" s="69"/>
      <c r="IKK18" s="69"/>
      <c r="IKL18" s="69"/>
      <c r="IKM18" s="69"/>
      <c r="IKN18" s="69"/>
      <c r="IKO18" s="69"/>
      <c r="IKP18" s="69"/>
      <c r="IKQ18" s="69"/>
      <c r="IKR18" s="69"/>
      <c r="IKS18" s="69"/>
      <c r="IKT18" s="69"/>
      <c r="IKU18" s="69"/>
      <c r="IKV18" s="69"/>
      <c r="IKW18" s="69"/>
      <c r="IKX18" s="69"/>
      <c r="IKY18" s="69"/>
      <c r="IKZ18" s="69"/>
      <c r="ILA18" s="69"/>
      <c r="ILB18" s="69"/>
      <c r="ILC18" s="69"/>
      <c r="ILD18" s="69"/>
      <c r="ILE18" s="69"/>
      <c r="ILF18" s="69"/>
      <c r="ILG18" s="69"/>
      <c r="ILH18" s="69"/>
      <c r="ILI18" s="69"/>
      <c r="ILJ18" s="69"/>
      <c r="ILK18" s="69"/>
      <c r="ILL18" s="69"/>
      <c r="ILM18" s="69"/>
      <c r="ILN18" s="69"/>
      <c r="ILO18" s="69"/>
      <c r="ILP18" s="69"/>
      <c r="ILQ18" s="69"/>
      <c r="ILR18" s="69"/>
      <c r="ILS18" s="69"/>
      <c r="ILT18" s="69"/>
      <c r="ILU18" s="69"/>
      <c r="ILV18" s="69"/>
      <c r="ILW18" s="69"/>
      <c r="ILX18" s="69"/>
      <c r="ILY18" s="69"/>
      <c r="ILZ18" s="69"/>
      <c r="IMA18" s="69"/>
      <c r="IMB18" s="69"/>
      <c r="IMC18" s="69"/>
      <c r="IMD18" s="69"/>
      <c r="IME18" s="69"/>
      <c r="IMF18" s="69"/>
      <c r="IMG18" s="69"/>
      <c r="IMH18" s="69"/>
      <c r="IMI18" s="69"/>
      <c r="IMJ18" s="69"/>
      <c r="IMK18" s="69"/>
      <c r="IML18" s="69"/>
      <c r="IMM18" s="69"/>
      <c r="IMN18" s="69"/>
      <c r="IMO18" s="69"/>
      <c r="IMP18" s="69"/>
      <c r="IMQ18" s="69"/>
      <c r="IMR18" s="69"/>
      <c r="IMS18" s="69"/>
      <c r="IMT18" s="69"/>
      <c r="IMU18" s="69"/>
      <c r="IMV18" s="69"/>
      <c r="IMW18" s="69"/>
      <c r="IMX18" s="69"/>
      <c r="IMY18" s="69"/>
      <c r="IMZ18" s="69"/>
      <c r="INA18" s="69"/>
      <c r="INB18" s="69"/>
      <c r="INC18" s="69"/>
      <c r="IND18" s="69"/>
      <c r="INE18" s="69"/>
      <c r="INF18" s="69"/>
      <c r="ING18" s="69"/>
      <c r="INH18" s="69"/>
      <c r="INI18" s="69"/>
      <c r="INJ18" s="69"/>
      <c r="INK18" s="69"/>
      <c r="INL18" s="69"/>
      <c r="INM18" s="69"/>
      <c r="INN18" s="69"/>
      <c r="INO18" s="69"/>
      <c r="INP18" s="69"/>
      <c r="INQ18" s="69"/>
      <c r="INR18" s="69"/>
      <c r="INS18" s="69"/>
      <c r="INT18" s="69"/>
      <c r="INU18" s="69"/>
      <c r="INV18" s="69"/>
      <c r="INW18" s="69"/>
      <c r="INX18" s="69"/>
      <c r="INY18" s="69"/>
      <c r="INZ18" s="69"/>
      <c r="IOA18" s="69"/>
      <c r="IOB18" s="69"/>
      <c r="IOC18" s="69"/>
      <c r="IOD18" s="69"/>
      <c r="IOE18" s="69"/>
      <c r="IOF18" s="69"/>
      <c r="IOG18" s="69"/>
      <c r="IOH18" s="69"/>
      <c r="IOI18" s="69"/>
      <c r="IOJ18" s="69"/>
      <c r="IOK18" s="69"/>
      <c r="IOL18" s="69"/>
      <c r="IOM18" s="69"/>
      <c r="ION18" s="69"/>
      <c r="IOO18" s="69"/>
      <c r="IOP18" s="69"/>
      <c r="IOQ18" s="69"/>
      <c r="IOR18" s="69"/>
      <c r="IOS18" s="69"/>
      <c r="IOT18" s="69"/>
      <c r="IOU18" s="69"/>
      <c r="IOV18" s="69"/>
      <c r="IOW18" s="69"/>
      <c r="IOX18" s="69"/>
      <c r="IOY18" s="69"/>
      <c r="IOZ18" s="69"/>
      <c r="IPA18" s="69"/>
      <c r="IPB18" s="69"/>
      <c r="IPC18" s="69"/>
      <c r="IPD18" s="69"/>
      <c r="IPE18" s="69"/>
      <c r="IPF18" s="69"/>
      <c r="IPG18" s="69"/>
      <c r="IPH18" s="69"/>
      <c r="IPI18" s="69"/>
      <c r="IPJ18" s="69"/>
      <c r="IPK18" s="69"/>
      <c r="IPL18" s="69"/>
      <c r="IPM18" s="69"/>
      <c r="IPN18" s="69"/>
      <c r="IPO18" s="69"/>
      <c r="IPP18" s="69"/>
      <c r="IPQ18" s="69"/>
      <c r="IPR18" s="69"/>
      <c r="IPS18" s="69"/>
      <c r="IPT18" s="69"/>
      <c r="IPU18" s="69"/>
      <c r="IPV18" s="69"/>
      <c r="IPW18" s="69"/>
      <c r="IPX18" s="69"/>
      <c r="IPY18" s="69"/>
      <c r="IPZ18" s="69"/>
      <c r="IQA18" s="69"/>
      <c r="IQB18" s="69"/>
      <c r="IQC18" s="69"/>
      <c r="IQD18" s="69"/>
      <c r="IQE18" s="69"/>
      <c r="IQF18" s="69"/>
      <c r="IQG18" s="69"/>
      <c r="IQH18" s="69"/>
      <c r="IQI18" s="69"/>
      <c r="IQJ18" s="69"/>
      <c r="IQK18" s="69"/>
      <c r="IQL18" s="69"/>
      <c r="IQM18" s="69"/>
      <c r="IQN18" s="69"/>
      <c r="IQO18" s="69"/>
      <c r="IQP18" s="69"/>
      <c r="IQQ18" s="69"/>
      <c r="IQR18" s="69"/>
      <c r="IQS18" s="69"/>
      <c r="IQT18" s="69"/>
      <c r="IQU18" s="69"/>
      <c r="IQV18" s="69"/>
      <c r="IQW18" s="69"/>
      <c r="IQX18" s="69"/>
      <c r="IQY18" s="69"/>
      <c r="IQZ18" s="69"/>
      <c r="IRA18" s="69"/>
      <c r="IRB18" s="69"/>
      <c r="IRC18" s="69"/>
      <c r="IRD18" s="69"/>
      <c r="IRE18" s="69"/>
      <c r="IRF18" s="69"/>
      <c r="IRG18" s="69"/>
      <c r="IRH18" s="69"/>
      <c r="IRI18" s="69"/>
      <c r="IRJ18" s="69"/>
      <c r="IRK18" s="69"/>
      <c r="IRL18" s="69"/>
      <c r="IRM18" s="69"/>
      <c r="IRN18" s="69"/>
      <c r="IRO18" s="69"/>
      <c r="IRP18" s="69"/>
      <c r="IRQ18" s="69"/>
      <c r="IRR18" s="69"/>
      <c r="IRS18" s="69"/>
      <c r="IRT18" s="69"/>
      <c r="IRU18" s="69"/>
      <c r="IRV18" s="69"/>
      <c r="IRW18" s="69"/>
      <c r="IRX18" s="69"/>
      <c r="IRY18" s="69"/>
      <c r="IRZ18" s="69"/>
      <c r="ISA18" s="69"/>
      <c r="ISB18" s="69"/>
      <c r="ISC18" s="69"/>
      <c r="ISD18" s="69"/>
      <c r="ISE18" s="69"/>
      <c r="ISF18" s="69"/>
      <c r="ISG18" s="69"/>
      <c r="ISH18" s="69"/>
      <c r="ISI18" s="69"/>
      <c r="ISJ18" s="69"/>
      <c r="ISK18" s="69"/>
      <c r="ISL18" s="69"/>
      <c r="ISM18" s="69"/>
      <c r="ISN18" s="69"/>
      <c r="ISO18" s="69"/>
      <c r="ISP18" s="69"/>
      <c r="ISQ18" s="69"/>
      <c r="ISR18" s="69"/>
      <c r="ISS18" s="69"/>
      <c r="IST18" s="69"/>
      <c r="ISU18" s="69"/>
      <c r="ISV18" s="69"/>
      <c r="ISW18" s="69"/>
      <c r="ISX18" s="69"/>
      <c r="ISY18" s="69"/>
      <c r="ISZ18" s="69"/>
      <c r="ITA18" s="69"/>
      <c r="ITB18" s="69"/>
      <c r="ITC18" s="69"/>
      <c r="ITD18" s="69"/>
      <c r="ITE18" s="69"/>
      <c r="ITF18" s="69"/>
      <c r="ITG18" s="69"/>
      <c r="ITH18" s="69"/>
      <c r="ITI18" s="69"/>
      <c r="ITJ18" s="69"/>
      <c r="ITK18" s="69"/>
      <c r="ITL18" s="69"/>
      <c r="ITM18" s="69"/>
      <c r="ITN18" s="69"/>
      <c r="ITO18" s="69"/>
      <c r="ITP18" s="69"/>
      <c r="ITQ18" s="69"/>
      <c r="ITR18" s="69"/>
      <c r="ITS18" s="69"/>
      <c r="ITT18" s="69"/>
      <c r="ITU18" s="69"/>
      <c r="ITV18" s="69"/>
      <c r="ITW18" s="69"/>
      <c r="ITX18" s="69"/>
      <c r="ITY18" s="69"/>
      <c r="ITZ18" s="69"/>
      <c r="IUA18" s="69"/>
      <c r="IUB18" s="69"/>
      <c r="IUC18" s="69"/>
      <c r="IUD18" s="69"/>
      <c r="IUE18" s="69"/>
      <c r="IUF18" s="69"/>
      <c r="IUG18" s="69"/>
      <c r="IUH18" s="69"/>
      <c r="IUI18" s="69"/>
      <c r="IUJ18" s="69"/>
      <c r="IUK18" s="69"/>
      <c r="IUL18" s="69"/>
      <c r="IUM18" s="69"/>
      <c r="IUN18" s="69"/>
      <c r="IUO18" s="69"/>
      <c r="IUP18" s="69"/>
      <c r="IUQ18" s="69"/>
      <c r="IUR18" s="69"/>
      <c r="IUS18" s="69"/>
      <c r="IUT18" s="69"/>
      <c r="IUU18" s="69"/>
      <c r="IUV18" s="69"/>
      <c r="IUW18" s="69"/>
      <c r="IUX18" s="69"/>
      <c r="IUY18" s="69"/>
      <c r="IUZ18" s="69"/>
      <c r="IVA18" s="69"/>
      <c r="IVB18" s="69"/>
      <c r="IVC18" s="69"/>
      <c r="IVD18" s="69"/>
      <c r="IVE18" s="69"/>
      <c r="IVF18" s="69"/>
      <c r="IVG18" s="69"/>
      <c r="IVH18" s="69"/>
      <c r="IVI18" s="69"/>
      <c r="IVJ18" s="69"/>
      <c r="IVK18" s="69"/>
      <c r="IVL18" s="69"/>
      <c r="IVM18" s="69"/>
      <c r="IVN18" s="69"/>
      <c r="IVO18" s="69"/>
      <c r="IVP18" s="69"/>
      <c r="IVQ18" s="69"/>
      <c r="IVR18" s="69"/>
      <c r="IVS18" s="69"/>
      <c r="IVT18" s="69"/>
      <c r="IVU18" s="69"/>
      <c r="IVV18" s="69"/>
      <c r="IVW18" s="69"/>
      <c r="IVX18" s="69"/>
      <c r="IVY18" s="69"/>
      <c r="IVZ18" s="69"/>
      <c r="IWA18" s="69"/>
      <c r="IWB18" s="69"/>
      <c r="IWC18" s="69"/>
      <c r="IWD18" s="69"/>
      <c r="IWE18" s="69"/>
      <c r="IWF18" s="69"/>
      <c r="IWG18" s="69"/>
      <c r="IWH18" s="69"/>
      <c r="IWI18" s="69"/>
      <c r="IWJ18" s="69"/>
      <c r="IWK18" s="69"/>
      <c r="IWL18" s="69"/>
      <c r="IWM18" s="69"/>
      <c r="IWN18" s="69"/>
      <c r="IWO18" s="69"/>
      <c r="IWP18" s="69"/>
      <c r="IWQ18" s="69"/>
      <c r="IWR18" s="69"/>
      <c r="IWS18" s="69"/>
      <c r="IWT18" s="69"/>
      <c r="IWU18" s="69"/>
      <c r="IWV18" s="69"/>
      <c r="IWW18" s="69"/>
      <c r="IWX18" s="69"/>
      <c r="IWY18" s="69"/>
      <c r="IWZ18" s="69"/>
      <c r="IXA18" s="69"/>
      <c r="IXB18" s="69"/>
      <c r="IXC18" s="69"/>
      <c r="IXD18" s="69"/>
      <c r="IXE18" s="69"/>
      <c r="IXF18" s="69"/>
      <c r="IXG18" s="69"/>
      <c r="IXH18" s="69"/>
      <c r="IXI18" s="69"/>
      <c r="IXJ18" s="69"/>
      <c r="IXK18" s="69"/>
      <c r="IXL18" s="69"/>
      <c r="IXM18" s="69"/>
      <c r="IXN18" s="69"/>
      <c r="IXO18" s="69"/>
      <c r="IXP18" s="69"/>
      <c r="IXQ18" s="69"/>
      <c r="IXR18" s="69"/>
      <c r="IXS18" s="69"/>
      <c r="IXT18" s="69"/>
      <c r="IXU18" s="69"/>
      <c r="IXV18" s="69"/>
      <c r="IXW18" s="69"/>
      <c r="IXX18" s="69"/>
      <c r="IXY18" s="69"/>
      <c r="IXZ18" s="69"/>
      <c r="IYA18" s="69"/>
      <c r="IYB18" s="69"/>
      <c r="IYC18" s="69"/>
      <c r="IYD18" s="69"/>
      <c r="IYE18" s="69"/>
      <c r="IYF18" s="69"/>
      <c r="IYG18" s="69"/>
      <c r="IYH18" s="69"/>
      <c r="IYI18" s="69"/>
      <c r="IYJ18" s="69"/>
      <c r="IYK18" s="69"/>
      <c r="IYL18" s="69"/>
      <c r="IYM18" s="69"/>
      <c r="IYN18" s="69"/>
      <c r="IYO18" s="69"/>
      <c r="IYP18" s="69"/>
      <c r="IYQ18" s="69"/>
      <c r="IYR18" s="69"/>
      <c r="IYS18" s="69"/>
      <c r="IYT18" s="69"/>
      <c r="IYU18" s="69"/>
      <c r="IYV18" s="69"/>
      <c r="IYW18" s="69"/>
      <c r="IYX18" s="69"/>
      <c r="IYY18" s="69"/>
      <c r="IYZ18" s="69"/>
      <c r="IZA18" s="69"/>
      <c r="IZB18" s="69"/>
      <c r="IZC18" s="69"/>
      <c r="IZD18" s="69"/>
      <c r="IZE18" s="69"/>
      <c r="IZF18" s="69"/>
      <c r="IZG18" s="69"/>
      <c r="IZH18" s="69"/>
      <c r="IZI18" s="69"/>
      <c r="IZJ18" s="69"/>
      <c r="IZK18" s="69"/>
      <c r="IZL18" s="69"/>
      <c r="IZM18" s="69"/>
      <c r="IZN18" s="69"/>
      <c r="IZO18" s="69"/>
      <c r="IZP18" s="69"/>
      <c r="IZQ18" s="69"/>
      <c r="IZR18" s="69"/>
      <c r="IZS18" s="69"/>
      <c r="IZT18" s="69"/>
      <c r="IZU18" s="69"/>
      <c r="IZV18" s="69"/>
      <c r="IZW18" s="69"/>
      <c r="IZX18" s="69"/>
      <c r="IZY18" s="69"/>
      <c r="IZZ18" s="69"/>
      <c r="JAA18" s="69"/>
      <c r="JAB18" s="69"/>
      <c r="JAC18" s="69"/>
      <c r="JAD18" s="69"/>
      <c r="JAE18" s="69"/>
      <c r="JAF18" s="69"/>
      <c r="JAG18" s="69"/>
      <c r="JAH18" s="69"/>
      <c r="JAI18" s="69"/>
      <c r="JAJ18" s="69"/>
      <c r="JAK18" s="69"/>
      <c r="JAL18" s="69"/>
      <c r="JAM18" s="69"/>
      <c r="JAN18" s="69"/>
      <c r="JAO18" s="69"/>
      <c r="JAP18" s="69"/>
      <c r="JAQ18" s="69"/>
      <c r="JAR18" s="69"/>
      <c r="JAS18" s="69"/>
      <c r="JAT18" s="69"/>
      <c r="JAU18" s="69"/>
      <c r="JAV18" s="69"/>
      <c r="JAW18" s="69"/>
      <c r="JAX18" s="69"/>
      <c r="JAY18" s="69"/>
      <c r="JAZ18" s="69"/>
      <c r="JBA18" s="69"/>
      <c r="JBB18" s="69"/>
      <c r="JBC18" s="69"/>
      <c r="JBD18" s="69"/>
      <c r="JBE18" s="69"/>
      <c r="JBF18" s="69"/>
      <c r="JBG18" s="69"/>
      <c r="JBH18" s="69"/>
      <c r="JBI18" s="69"/>
      <c r="JBJ18" s="69"/>
      <c r="JBK18" s="69"/>
      <c r="JBL18" s="69"/>
      <c r="JBM18" s="69"/>
      <c r="JBN18" s="69"/>
      <c r="JBO18" s="69"/>
      <c r="JBP18" s="69"/>
      <c r="JBQ18" s="69"/>
      <c r="JBR18" s="69"/>
      <c r="JBS18" s="69"/>
      <c r="JBT18" s="69"/>
      <c r="JBU18" s="69"/>
      <c r="JBV18" s="69"/>
      <c r="JBW18" s="69"/>
      <c r="JBX18" s="69"/>
      <c r="JBY18" s="69"/>
      <c r="JBZ18" s="69"/>
      <c r="JCA18" s="69"/>
      <c r="JCB18" s="69"/>
      <c r="JCC18" s="69"/>
      <c r="JCD18" s="69"/>
      <c r="JCE18" s="69"/>
      <c r="JCF18" s="69"/>
      <c r="JCG18" s="69"/>
      <c r="JCH18" s="69"/>
      <c r="JCI18" s="69"/>
      <c r="JCJ18" s="69"/>
      <c r="JCK18" s="69"/>
      <c r="JCL18" s="69"/>
      <c r="JCM18" s="69"/>
      <c r="JCN18" s="69"/>
      <c r="JCO18" s="69"/>
      <c r="JCP18" s="69"/>
      <c r="JCQ18" s="69"/>
      <c r="JCR18" s="69"/>
      <c r="JCS18" s="69"/>
      <c r="JCT18" s="69"/>
      <c r="JCU18" s="69"/>
      <c r="JCV18" s="69"/>
      <c r="JCW18" s="69"/>
      <c r="JCX18" s="69"/>
      <c r="JCY18" s="69"/>
      <c r="JCZ18" s="69"/>
      <c r="JDA18" s="69"/>
      <c r="JDB18" s="69"/>
      <c r="JDC18" s="69"/>
      <c r="JDD18" s="69"/>
      <c r="JDE18" s="69"/>
      <c r="JDF18" s="69"/>
      <c r="JDG18" s="69"/>
      <c r="JDH18" s="69"/>
      <c r="JDI18" s="69"/>
      <c r="JDJ18" s="69"/>
      <c r="JDK18" s="69"/>
      <c r="JDL18" s="69"/>
      <c r="JDM18" s="69"/>
      <c r="JDN18" s="69"/>
      <c r="JDO18" s="69"/>
      <c r="JDP18" s="69"/>
      <c r="JDQ18" s="69"/>
      <c r="JDR18" s="69"/>
      <c r="JDS18" s="69"/>
      <c r="JDT18" s="69"/>
      <c r="JDU18" s="69"/>
      <c r="JDV18" s="69"/>
      <c r="JDW18" s="69"/>
      <c r="JDX18" s="69"/>
      <c r="JDY18" s="69"/>
      <c r="JDZ18" s="69"/>
      <c r="JEA18" s="69"/>
      <c r="JEB18" s="69"/>
      <c r="JEC18" s="69"/>
      <c r="JED18" s="69"/>
      <c r="JEE18" s="69"/>
      <c r="JEF18" s="69"/>
      <c r="JEG18" s="69"/>
      <c r="JEH18" s="69"/>
      <c r="JEI18" s="69"/>
      <c r="JEJ18" s="69"/>
      <c r="JEK18" s="69"/>
      <c r="JEL18" s="69"/>
      <c r="JEM18" s="69"/>
      <c r="JEN18" s="69"/>
      <c r="JEO18" s="69"/>
      <c r="JEP18" s="69"/>
      <c r="JEQ18" s="69"/>
      <c r="JER18" s="69"/>
      <c r="JES18" s="69"/>
      <c r="JET18" s="69"/>
      <c r="JEU18" s="69"/>
      <c r="JEV18" s="69"/>
      <c r="JEW18" s="69"/>
      <c r="JEX18" s="69"/>
      <c r="JEY18" s="69"/>
      <c r="JEZ18" s="69"/>
      <c r="JFA18" s="69"/>
      <c r="JFB18" s="69"/>
      <c r="JFC18" s="69"/>
      <c r="JFD18" s="69"/>
      <c r="JFE18" s="69"/>
      <c r="JFF18" s="69"/>
      <c r="JFG18" s="69"/>
      <c r="JFH18" s="69"/>
      <c r="JFI18" s="69"/>
      <c r="JFJ18" s="69"/>
      <c r="JFK18" s="69"/>
      <c r="JFL18" s="69"/>
      <c r="JFM18" s="69"/>
      <c r="JFN18" s="69"/>
      <c r="JFO18" s="69"/>
      <c r="JFP18" s="69"/>
      <c r="JFQ18" s="69"/>
      <c r="JFR18" s="69"/>
      <c r="JFS18" s="69"/>
      <c r="JFT18" s="69"/>
      <c r="JFU18" s="69"/>
      <c r="JFV18" s="69"/>
      <c r="JFW18" s="69"/>
      <c r="JFX18" s="69"/>
      <c r="JFY18" s="69"/>
      <c r="JFZ18" s="69"/>
      <c r="JGA18" s="69"/>
      <c r="JGB18" s="69"/>
      <c r="JGC18" s="69"/>
      <c r="JGD18" s="69"/>
      <c r="JGE18" s="69"/>
      <c r="JGF18" s="69"/>
      <c r="JGG18" s="69"/>
      <c r="JGH18" s="69"/>
      <c r="JGI18" s="69"/>
      <c r="JGJ18" s="69"/>
      <c r="JGK18" s="69"/>
      <c r="JGL18" s="69"/>
      <c r="JGM18" s="69"/>
      <c r="JGN18" s="69"/>
      <c r="JGO18" s="69"/>
      <c r="JGP18" s="69"/>
      <c r="JGQ18" s="69"/>
      <c r="JGR18" s="69"/>
      <c r="JGS18" s="69"/>
      <c r="JGT18" s="69"/>
      <c r="JGU18" s="69"/>
      <c r="JGV18" s="69"/>
      <c r="JGW18" s="69"/>
      <c r="JGX18" s="69"/>
      <c r="JGY18" s="69"/>
      <c r="JGZ18" s="69"/>
      <c r="JHA18" s="69"/>
      <c r="JHB18" s="69"/>
      <c r="JHC18" s="69"/>
      <c r="JHD18" s="69"/>
      <c r="JHE18" s="69"/>
      <c r="JHF18" s="69"/>
      <c r="JHG18" s="69"/>
      <c r="JHH18" s="69"/>
      <c r="JHI18" s="69"/>
      <c r="JHJ18" s="69"/>
      <c r="JHK18" s="69"/>
      <c r="JHL18" s="69"/>
      <c r="JHM18" s="69"/>
      <c r="JHN18" s="69"/>
      <c r="JHO18" s="69"/>
      <c r="JHP18" s="69"/>
      <c r="JHQ18" s="69"/>
      <c r="JHR18" s="69"/>
      <c r="JHS18" s="69"/>
      <c r="JHT18" s="69"/>
      <c r="JHU18" s="69"/>
      <c r="JHV18" s="69"/>
      <c r="JHW18" s="69"/>
      <c r="JHX18" s="69"/>
      <c r="JHY18" s="69"/>
      <c r="JHZ18" s="69"/>
      <c r="JIA18" s="69"/>
      <c r="JIB18" s="69"/>
      <c r="JIC18" s="69"/>
      <c r="JID18" s="69"/>
      <c r="JIE18" s="69"/>
      <c r="JIF18" s="69"/>
      <c r="JIG18" s="69"/>
      <c r="JIH18" s="69"/>
      <c r="JII18" s="69"/>
      <c r="JIJ18" s="69"/>
      <c r="JIK18" s="69"/>
      <c r="JIL18" s="69"/>
      <c r="JIM18" s="69"/>
      <c r="JIN18" s="69"/>
      <c r="JIO18" s="69"/>
      <c r="JIP18" s="69"/>
      <c r="JIQ18" s="69"/>
      <c r="JIR18" s="69"/>
      <c r="JIS18" s="69"/>
      <c r="JIT18" s="69"/>
      <c r="JIU18" s="69"/>
      <c r="JIV18" s="69"/>
      <c r="JIW18" s="69"/>
      <c r="JIX18" s="69"/>
      <c r="JIY18" s="69"/>
      <c r="JIZ18" s="69"/>
      <c r="JJA18" s="69"/>
      <c r="JJB18" s="69"/>
      <c r="JJC18" s="69"/>
      <c r="JJD18" s="69"/>
      <c r="JJE18" s="69"/>
      <c r="JJF18" s="69"/>
      <c r="JJG18" s="69"/>
      <c r="JJH18" s="69"/>
      <c r="JJI18" s="69"/>
      <c r="JJJ18" s="69"/>
      <c r="JJK18" s="69"/>
      <c r="JJL18" s="69"/>
      <c r="JJM18" s="69"/>
      <c r="JJN18" s="69"/>
      <c r="JJO18" s="69"/>
      <c r="JJP18" s="69"/>
      <c r="JJQ18" s="69"/>
      <c r="JJR18" s="69"/>
      <c r="JJS18" s="69"/>
      <c r="JJT18" s="69"/>
      <c r="JJU18" s="69"/>
      <c r="JJV18" s="69"/>
      <c r="JJW18" s="69"/>
      <c r="JJX18" s="69"/>
      <c r="JJY18" s="69"/>
      <c r="JJZ18" s="69"/>
      <c r="JKA18" s="69"/>
      <c r="JKB18" s="69"/>
      <c r="JKC18" s="69"/>
      <c r="JKD18" s="69"/>
      <c r="JKE18" s="69"/>
      <c r="JKF18" s="69"/>
      <c r="JKG18" s="69"/>
      <c r="JKH18" s="69"/>
      <c r="JKI18" s="69"/>
      <c r="JKJ18" s="69"/>
      <c r="JKK18" s="69"/>
      <c r="JKL18" s="69"/>
      <c r="JKM18" s="69"/>
      <c r="JKN18" s="69"/>
      <c r="JKO18" s="69"/>
      <c r="JKP18" s="69"/>
      <c r="JKQ18" s="69"/>
      <c r="JKR18" s="69"/>
      <c r="JKS18" s="69"/>
      <c r="JKT18" s="69"/>
      <c r="JKU18" s="69"/>
      <c r="JKV18" s="69"/>
      <c r="JKW18" s="69"/>
      <c r="JKX18" s="69"/>
      <c r="JKY18" s="69"/>
      <c r="JKZ18" s="69"/>
      <c r="JLA18" s="69"/>
      <c r="JLB18" s="69"/>
      <c r="JLC18" s="69"/>
      <c r="JLD18" s="69"/>
      <c r="JLE18" s="69"/>
      <c r="JLF18" s="69"/>
      <c r="JLG18" s="69"/>
      <c r="JLH18" s="69"/>
      <c r="JLI18" s="69"/>
      <c r="JLJ18" s="69"/>
      <c r="JLK18" s="69"/>
      <c r="JLL18" s="69"/>
      <c r="JLM18" s="69"/>
      <c r="JLN18" s="69"/>
      <c r="JLO18" s="69"/>
      <c r="JLP18" s="69"/>
      <c r="JLQ18" s="69"/>
      <c r="JLR18" s="69"/>
      <c r="JLS18" s="69"/>
      <c r="JLT18" s="69"/>
      <c r="JLU18" s="69"/>
      <c r="JLV18" s="69"/>
      <c r="JLW18" s="69"/>
      <c r="JLX18" s="69"/>
      <c r="JLY18" s="69"/>
      <c r="JLZ18" s="69"/>
      <c r="JMA18" s="69"/>
      <c r="JMB18" s="69"/>
      <c r="JMC18" s="69"/>
      <c r="JMD18" s="69"/>
      <c r="JME18" s="69"/>
      <c r="JMF18" s="69"/>
      <c r="JMG18" s="69"/>
      <c r="JMH18" s="69"/>
      <c r="JMI18" s="69"/>
      <c r="JMJ18" s="69"/>
      <c r="JMK18" s="69"/>
      <c r="JML18" s="69"/>
      <c r="JMM18" s="69"/>
      <c r="JMN18" s="69"/>
      <c r="JMO18" s="69"/>
      <c r="JMP18" s="69"/>
      <c r="JMQ18" s="69"/>
      <c r="JMR18" s="69"/>
      <c r="JMS18" s="69"/>
      <c r="JMT18" s="69"/>
      <c r="JMU18" s="69"/>
      <c r="JMV18" s="69"/>
      <c r="JMW18" s="69"/>
      <c r="JMX18" s="69"/>
      <c r="JMY18" s="69"/>
      <c r="JMZ18" s="69"/>
      <c r="JNA18" s="69"/>
      <c r="JNB18" s="69"/>
      <c r="JNC18" s="69"/>
      <c r="JND18" s="69"/>
      <c r="JNE18" s="69"/>
      <c r="JNF18" s="69"/>
      <c r="JNG18" s="69"/>
      <c r="JNH18" s="69"/>
      <c r="JNI18" s="69"/>
      <c r="JNJ18" s="69"/>
      <c r="JNK18" s="69"/>
      <c r="JNL18" s="69"/>
      <c r="JNM18" s="69"/>
      <c r="JNN18" s="69"/>
      <c r="JNO18" s="69"/>
      <c r="JNP18" s="69"/>
      <c r="JNQ18" s="69"/>
      <c r="JNR18" s="69"/>
      <c r="JNS18" s="69"/>
      <c r="JNT18" s="69"/>
      <c r="JNU18" s="69"/>
      <c r="JNV18" s="69"/>
      <c r="JNW18" s="69"/>
      <c r="JNX18" s="69"/>
      <c r="JNY18" s="69"/>
      <c r="JNZ18" s="69"/>
      <c r="JOA18" s="69"/>
      <c r="JOB18" s="69"/>
      <c r="JOC18" s="69"/>
      <c r="JOD18" s="69"/>
      <c r="JOE18" s="69"/>
      <c r="JOF18" s="69"/>
      <c r="JOG18" s="69"/>
      <c r="JOH18" s="69"/>
      <c r="JOI18" s="69"/>
      <c r="JOJ18" s="69"/>
      <c r="JOK18" s="69"/>
      <c r="JOL18" s="69"/>
      <c r="JOM18" s="69"/>
      <c r="JON18" s="69"/>
      <c r="JOO18" s="69"/>
      <c r="JOP18" s="69"/>
      <c r="JOQ18" s="69"/>
      <c r="JOR18" s="69"/>
      <c r="JOS18" s="69"/>
      <c r="JOT18" s="69"/>
      <c r="JOU18" s="69"/>
      <c r="JOV18" s="69"/>
      <c r="JOW18" s="69"/>
      <c r="JOX18" s="69"/>
      <c r="JOY18" s="69"/>
      <c r="JOZ18" s="69"/>
      <c r="JPA18" s="69"/>
      <c r="JPB18" s="69"/>
      <c r="JPC18" s="69"/>
      <c r="JPD18" s="69"/>
      <c r="JPE18" s="69"/>
      <c r="JPF18" s="69"/>
      <c r="JPG18" s="69"/>
      <c r="JPH18" s="69"/>
      <c r="JPI18" s="69"/>
      <c r="JPJ18" s="69"/>
      <c r="JPK18" s="69"/>
      <c r="JPL18" s="69"/>
      <c r="JPM18" s="69"/>
      <c r="JPN18" s="69"/>
      <c r="JPO18" s="69"/>
      <c r="JPP18" s="69"/>
      <c r="JPQ18" s="69"/>
      <c r="JPR18" s="69"/>
      <c r="JPS18" s="69"/>
      <c r="JPT18" s="69"/>
      <c r="JPU18" s="69"/>
      <c r="JPV18" s="69"/>
      <c r="JPW18" s="69"/>
      <c r="JPX18" s="69"/>
      <c r="JPY18" s="69"/>
      <c r="JPZ18" s="69"/>
      <c r="JQA18" s="69"/>
      <c r="JQB18" s="69"/>
      <c r="JQC18" s="69"/>
      <c r="JQD18" s="69"/>
      <c r="JQE18" s="69"/>
      <c r="JQF18" s="69"/>
      <c r="JQG18" s="69"/>
      <c r="JQH18" s="69"/>
      <c r="JQI18" s="69"/>
      <c r="JQJ18" s="69"/>
      <c r="JQK18" s="69"/>
      <c r="JQL18" s="69"/>
      <c r="JQM18" s="69"/>
      <c r="JQN18" s="69"/>
      <c r="JQO18" s="69"/>
      <c r="JQP18" s="69"/>
      <c r="JQQ18" s="69"/>
      <c r="JQR18" s="69"/>
      <c r="JQS18" s="69"/>
      <c r="JQT18" s="69"/>
      <c r="JQU18" s="69"/>
      <c r="JQV18" s="69"/>
      <c r="JQW18" s="69"/>
      <c r="JQX18" s="69"/>
      <c r="JQY18" s="69"/>
      <c r="JQZ18" s="69"/>
      <c r="JRA18" s="69"/>
      <c r="JRB18" s="69"/>
      <c r="JRC18" s="69"/>
      <c r="JRD18" s="69"/>
      <c r="JRE18" s="69"/>
      <c r="JRF18" s="69"/>
      <c r="JRG18" s="69"/>
      <c r="JRH18" s="69"/>
      <c r="JRI18" s="69"/>
      <c r="JRJ18" s="69"/>
      <c r="JRK18" s="69"/>
      <c r="JRL18" s="69"/>
      <c r="JRM18" s="69"/>
      <c r="JRN18" s="69"/>
      <c r="JRO18" s="69"/>
      <c r="JRP18" s="69"/>
      <c r="JRQ18" s="69"/>
      <c r="JRR18" s="69"/>
      <c r="JRS18" s="69"/>
      <c r="JRT18" s="69"/>
      <c r="JRU18" s="69"/>
      <c r="JRV18" s="69"/>
      <c r="JRW18" s="69"/>
      <c r="JRX18" s="69"/>
      <c r="JRY18" s="69"/>
      <c r="JRZ18" s="69"/>
      <c r="JSA18" s="69"/>
      <c r="JSB18" s="69"/>
      <c r="JSC18" s="69"/>
      <c r="JSD18" s="69"/>
      <c r="JSE18" s="69"/>
      <c r="JSF18" s="69"/>
      <c r="JSG18" s="69"/>
      <c r="JSH18" s="69"/>
      <c r="JSI18" s="69"/>
      <c r="JSJ18" s="69"/>
      <c r="JSK18" s="69"/>
      <c r="JSL18" s="69"/>
      <c r="JSM18" s="69"/>
      <c r="JSN18" s="69"/>
      <c r="JSO18" s="69"/>
      <c r="JSP18" s="69"/>
      <c r="JSQ18" s="69"/>
      <c r="JSR18" s="69"/>
      <c r="JSS18" s="69"/>
      <c r="JST18" s="69"/>
      <c r="JSU18" s="69"/>
      <c r="JSV18" s="69"/>
      <c r="JSW18" s="69"/>
      <c r="JSX18" s="69"/>
      <c r="JSY18" s="69"/>
      <c r="JSZ18" s="69"/>
      <c r="JTA18" s="69"/>
      <c r="JTB18" s="69"/>
      <c r="JTC18" s="69"/>
      <c r="JTD18" s="69"/>
      <c r="JTE18" s="69"/>
      <c r="JTF18" s="69"/>
      <c r="JTG18" s="69"/>
      <c r="JTH18" s="69"/>
      <c r="JTI18" s="69"/>
      <c r="JTJ18" s="69"/>
      <c r="JTK18" s="69"/>
      <c r="JTL18" s="69"/>
      <c r="JTM18" s="69"/>
      <c r="JTN18" s="69"/>
      <c r="JTO18" s="69"/>
      <c r="JTP18" s="69"/>
      <c r="JTQ18" s="69"/>
      <c r="JTR18" s="69"/>
      <c r="JTS18" s="69"/>
      <c r="JTT18" s="69"/>
      <c r="JTU18" s="69"/>
      <c r="JTV18" s="69"/>
      <c r="JTW18" s="69"/>
      <c r="JTX18" s="69"/>
      <c r="JTY18" s="69"/>
      <c r="JTZ18" s="69"/>
      <c r="JUA18" s="69"/>
      <c r="JUB18" s="69"/>
      <c r="JUC18" s="69"/>
      <c r="JUD18" s="69"/>
      <c r="JUE18" s="69"/>
      <c r="JUF18" s="69"/>
      <c r="JUG18" s="69"/>
      <c r="JUH18" s="69"/>
      <c r="JUI18" s="69"/>
      <c r="JUJ18" s="69"/>
      <c r="JUK18" s="69"/>
      <c r="JUL18" s="69"/>
      <c r="JUM18" s="69"/>
      <c r="JUN18" s="69"/>
      <c r="JUO18" s="69"/>
      <c r="JUP18" s="69"/>
      <c r="JUQ18" s="69"/>
      <c r="JUR18" s="69"/>
      <c r="JUS18" s="69"/>
      <c r="JUT18" s="69"/>
      <c r="JUU18" s="69"/>
      <c r="JUV18" s="69"/>
      <c r="JUW18" s="69"/>
      <c r="JUX18" s="69"/>
      <c r="JUY18" s="69"/>
      <c r="JUZ18" s="69"/>
      <c r="JVA18" s="69"/>
      <c r="JVB18" s="69"/>
      <c r="JVC18" s="69"/>
      <c r="JVD18" s="69"/>
      <c r="JVE18" s="69"/>
      <c r="JVF18" s="69"/>
      <c r="JVG18" s="69"/>
      <c r="JVH18" s="69"/>
      <c r="JVI18" s="69"/>
      <c r="JVJ18" s="69"/>
      <c r="JVK18" s="69"/>
      <c r="JVL18" s="69"/>
      <c r="JVM18" s="69"/>
      <c r="JVN18" s="69"/>
      <c r="JVO18" s="69"/>
      <c r="JVP18" s="69"/>
      <c r="JVQ18" s="69"/>
      <c r="JVR18" s="69"/>
      <c r="JVS18" s="69"/>
      <c r="JVT18" s="69"/>
      <c r="JVU18" s="69"/>
      <c r="JVV18" s="69"/>
      <c r="JVW18" s="69"/>
      <c r="JVX18" s="69"/>
      <c r="JVY18" s="69"/>
      <c r="JVZ18" s="69"/>
      <c r="JWA18" s="69"/>
      <c r="JWB18" s="69"/>
      <c r="JWC18" s="69"/>
      <c r="JWD18" s="69"/>
      <c r="JWE18" s="69"/>
      <c r="JWF18" s="69"/>
      <c r="JWG18" s="69"/>
      <c r="JWH18" s="69"/>
      <c r="JWI18" s="69"/>
      <c r="JWJ18" s="69"/>
      <c r="JWK18" s="69"/>
      <c r="JWL18" s="69"/>
      <c r="JWM18" s="69"/>
      <c r="JWN18" s="69"/>
      <c r="JWO18" s="69"/>
      <c r="JWP18" s="69"/>
      <c r="JWQ18" s="69"/>
      <c r="JWR18" s="69"/>
      <c r="JWS18" s="69"/>
      <c r="JWT18" s="69"/>
      <c r="JWU18" s="69"/>
      <c r="JWV18" s="69"/>
      <c r="JWW18" s="69"/>
      <c r="JWX18" s="69"/>
      <c r="JWY18" s="69"/>
      <c r="JWZ18" s="69"/>
      <c r="JXA18" s="69"/>
      <c r="JXB18" s="69"/>
      <c r="JXC18" s="69"/>
      <c r="JXD18" s="69"/>
      <c r="JXE18" s="69"/>
      <c r="JXF18" s="69"/>
      <c r="JXG18" s="69"/>
      <c r="JXH18" s="69"/>
      <c r="JXI18" s="69"/>
      <c r="JXJ18" s="69"/>
      <c r="JXK18" s="69"/>
      <c r="JXL18" s="69"/>
      <c r="JXM18" s="69"/>
      <c r="JXN18" s="69"/>
      <c r="JXO18" s="69"/>
      <c r="JXP18" s="69"/>
      <c r="JXQ18" s="69"/>
      <c r="JXR18" s="69"/>
      <c r="JXS18" s="69"/>
      <c r="JXT18" s="69"/>
      <c r="JXU18" s="69"/>
      <c r="JXV18" s="69"/>
      <c r="JXW18" s="69"/>
      <c r="JXX18" s="69"/>
      <c r="JXY18" s="69"/>
      <c r="JXZ18" s="69"/>
      <c r="JYA18" s="69"/>
      <c r="JYB18" s="69"/>
      <c r="JYC18" s="69"/>
      <c r="JYD18" s="69"/>
      <c r="JYE18" s="69"/>
      <c r="JYF18" s="69"/>
      <c r="JYG18" s="69"/>
      <c r="JYH18" s="69"/>
      <c r="JYI18" s="69"/>
      <c r="JYJ18" s="69"/>
      <c r="JYK18" s="69"/>
      <c r="JYL18" s="69"/>
      <c r="JYM18" s="69"/>
      <c r="JYN18" s="69"/>
      <c r="JYO18" s="69"/>
      <c r="JYP18" s="69"/>
      <c r="JYQ18" s="69"/>
      <c r="JYR18" s="69"/>
      <c r="JYS18" s="69"/>
      <c r="JYT18" s="69"/>
      <c r="JYU18" s="69"/>
      <c r="JYV18" s="69"/>
      <c r="JYW18" s="69"/>
      <c r="JYX18" s="69"/>
      <c r="JYY18" s="69"/>
      <c r="JYZ18" s="69"/>
      <c r="JZA18" s="69"/>
      <c r="JZB18" s="69"/>
      <c r="JZC18" s="69"/>
      <c r="JZD18" s="69"/>
      <c r="JZE18" s="69"/>
      <c r="JZF18" s="69"/>
      <c r="JZG18" s="69"/>
      <c r="JZH18" s="69"/>
      <c r="JZI18" s="69"/>
      <c r="JZJ18" s="69"/>
      <c r="JZK18" s="69"/>
      <c r="JZL18" s="69"/>
      <c r="JZM18" s="69"/>
      <c r="JZN18" s="69"/>
      <c r="JZO18" s="69"/>
      <c r="JZP18" s="69"/>
      <c r="JZQ18" s="69"/>
      <c r="JZR18" s="69"/>
      <c r="JZS18" s="69"/>
      <c r="JZT18" s="69"/>
      <c r="JZU18" s="69"/>
      <c r="JZV18" s="69"/>
      <c r="JZW18" s="69"/>
      <c r="JZX18" s="69"/>
      <c r="JZY18" s="69"/>
      <c r="JZZ18" s="69"/>
      <c r="KAA18" s="69"/>
      <c r="KAB18" s="69"/>
      <c r="KAC18" s="69"/>
      <c r="KAD18" s="69"/>
      <c r="KAE18" s="69"/>
      <c r="KAF18" s="69"/>
      <c r="KAG18" s="69"/>
      <c r="KAH18" s="69"/>
      <c r="KAI18" s="69"/>
      <c r="KAJ18" s="69"/>
      <c r="KAK18" s="69"/>
      <c r="KAL18" s="69"/>
      <c r="KAM18" s="69"/>
      <c r="KAN18" s="69"/>
      <c r="KAO18" s="69"/>
      <c r="KAP18" s="69"/>
      <c r="KAQ18" s="69"/>
      <c r="KAR18" s="69"/>
      <c r="KAS18" s="69"/>
      <c r="KAT18" s="69"/>
      <c r="KAU18" s="69"/>
      <c r="KAV18" s="69"/>
      <c r="KAW18" s="69"/>
      <c r="KAX18" s="69"/>
      <c r="KAY18" s="69"/>
      <c r="KAZ18" s="69"/>
      <c r="KBA18" s="69"/>
      <c r="KBB18" s="69"/>
      <c r="KBC18" s="69"/>
      <c r="KBD18" s="69"/>
      <c r="KBE18" s="69"/>
      <c r="KBF18" s="69"/>
      <c r="KBG18" s="69"/>
      <c r="KBH18" s="69"/>
      <c r="KBI18" s="69"/>
      <c r="KBJ18" s="69"/>
      <c r="KBK18" s="69"/>
      <c r="KBL18" s="69"/>
      <c r="KBM18" s="69"/>
      <c r="KBN18" s="69"/>
      <c r="KBO18" s="69"/>
      <c r="KBP18" s="69"/>
      <c r="KBQ18" s="69"/>
      <c r="KBR18" s="69"/>
      <c r="KBS18" s="69"/>
      <c r="KBT18" s="69"/>
      <c r="KBU18" s="69"/>
      <c r="KBV18" s="69"/>
      <c r="KBW18" s="69"/>
      <c r="KBX18" s="69"/>
      <c r="KBY18" s="69"/>
      <c r="KBZ18" s="69"/>
      <c r="KCA18" s="69"/>
      <c r="KCB18" s="69"/>
      <c r="KCC18" s="69"/>
      <c r="KCD18" s="69"/>
      <c r="KCE18" s="69"/>
      <c r="KCF18" s="69"/>
      <c r="KCG18" s="69"/>
      <c r="KCH18" s="69"/>
      <c r="KCI18" s="69"/>
      <c r="KCJ18" s="69"/>
      <c r="KCK18" s="69"/>
      <c r="KCL18" s="69"/>
      <c r="KCM18" s="69"/>
      <c r="KCN18" s="69"/>
      <c r="KCO18" s="69"/>
      <c r="KCP18" s="69"/>
      <c r="KCQ18" s="69"/>
      <c r="KCR18" s="69"/>
      <c r="KCS18" s="69"/>
      <c r="KCT18" s="69"/>
      <c r="KCU18" s="69"/>
      <c r="KCV18" s="69"/>
      <c r="KCW18" s="69"/>
      <c r="KCX18" s="69"/>
      <c r="KCY18" s="69"/>
      <c r="KCZ18" s="69"/>
      <c r="KDA18" s="69"/>
      <c r="KDB18" s="69"/>
      <c r="KDC18" s="69"/>
      <c r="KDD18" s="69"/>
      <c r="KDE18" s="69"/>
      <c r="KDF18" s="69"/>
      <c r="KDG18" s="69"/>
      <c r="KDH18" s="69"/>
      <c r="KDI18" s="69"/>
      <c r="KDJ18" s="69"/>
      <c r="KDK18" s="69"/>
      <c r="KDL18" s="69"/>
      <c r="KDM18" s="69"/>
      <c r="KDN18" s="69"/>
      <c r="KDO18" s="69"/>
      <c r="KDP18" s="69"/>
      <c r="KDQ18" s="69"/>
      <c r="KDR18" s="69"/>
      <c r="KDS18" s="69"/>
      <c r="KDT18" s="69"/>
      <c r="KDU18" s="69"/>
      <c r="KDV18" s="69"/>
      <c r="KDW18" s="69"/>
      <c r="KDX18" s="69"/>
      <c r="KDY18" s="69"/>
      <c r="KDZ18" s="69"/>
      <c r="KEA18" s="69"/>
      <c r="KEB18" s="69"/>
      <c r="KEC18" s="69"/>
      <c r="KED18" s="69"/>
      <c r="KEE18" s="69"/>
      <c r="KEF18" s="69"/>
      <c r="KEG18" s="69"/>
      <c r="KEH18" s="69"/>
      <c r="KEI18" s="69"/>
      <c r="KEJ18" s="69"/>
      <c r="KEK18" s="69"/>
      <c r="KEL18" s="69"/>
      <c r="KEM18" s="69"/>
      <c r="KEN18" s="69"/>
      <c r="KEO18" s="69"/>
      <c r="KEP18" s="69"/>
      <c r="KEQ18" s="69"/>
      <c r="KER18" s="69"/>
      <c r="KES18" s="69"/>
      <c r="KET18" s="69"/>
      <c r="KEU18" s="69"/>
      <c r="KEV18" s="69"/>
      <c r="KEW18" s="69"/>
      <c r="KEX18" s="69"/>
      <c r="KEY18" s="69"/>
      <c r="KEZ18" s="69"/>
      <c r="KFA18" s="69"/>
      <c r="KFB18" s="69"/>
      <c r="KFC18" s="69"/>
      <c r="KFD18" s="69"/>
      <c r="KFE18" s="69"/>
      <c r="KFF18" s="69"/>
      <c r="KFG18" s="69"/>
      <c r="KFH18" s="69"/>
      <c r="KFI18" s="69"/>
      <c r="KFJ18" s="69"/>
      <c r="KFK18" s="69"/>
      <c r="KFL18" s="69"/>
      <c r="KFM18" s="69"/>
      <c r="KFN18" s="69"/>
      <c r="KFO18" s="69"/>
      <c r="KFP18" s="69"/>
      <c r="KFQ18" s="69"/>
      <c r="KFR18" s="69"/>
      <c r="KFS18" s="69"/>
      <c r="KFT18" s="69"/>
      <c r="KFU18" s="69"/>
      <c r="KFV18" s="69"/>
      <c r="KFW18" s="69"/>
      <c r="KFX18" s="69"/>
      <c r="KFY18" s="69"/>
      <c r="KFZ18" s="69"/>
      <c r="KGA18" s="69"/>
      <c r="KGB18" s="69"/>
      <c r="KGC18" s="69"/>
      <c r="KGD18" s="69"/>
      <c r="KGE18" s="69"/>
      <c r="KGF18" s="69"/>
      <c r="KGG18" s="69"/>
      <c r="KGH18" s="69"/>
      <c r="KGI18" s="69"/>
      <c r="KGJ18" s="69"/>
      <c r="KGK18" s="69"/>
      <c r="KGL18" s="69"/>
      <c r="KGM18" s="69"/>
      <c r="KGN18" s="69"/>
      <c r="KGO18" s="69"/>
      <c r="KGP18" s="69"/>
      <c r="KGQ18" s="69"/>
      <c r="KGR18" s="69"/>
      <c r="KGS18" s="69"/>
      <c r="KGT18" s="69"/>
      <c r="KGU18" s="69"/>
      <c r="KGV18" s="69"/>
      <c r="KGW18" s="69"/>
      <c r="KGX18" s="69"/>
      <c r="KGY18" s="69"/>
      <c r="KGZ18" s="69"/>
      <c r="KHA18" s="69"/>
      <c r="KHB18" s="69"/>
      <c r="KHC18" s="69"/>
      <c r="KHD18" s="69"/>
      <c r="KHE18" s="69"/>
      <c r="KHF18" s="69"/>
      <c r="KHG18" s="69"/>
      <c r="KHH18" s="69"/>
      <c r="KHI18" s="69"/>
      <c r="KHJ18" s="69"/>
      <c r="KHK18" s="69"/>
      <c r="KHL18" s="69"/>
      <c r="KHM18" s="69"/>
      <c r="KHN18" s="69"/>
      <c r="KHO18" s="69"/>
      <c r="KHP18" s="69"/>
      <c r="KHQ18" s="69"/>
      <c r="KHR18" s="69"/>
      <c r="KHS18" s="69"/>
      <c r="KHT18" s="69"/>
      <c r="KHU18" s="69"/>
      <c r="KHV18" s="69"/>
      <c r="KHW18" s="69"/>
      <c r="KHX18" s="69"/>
      <c r="KHY18" s="69"/>
      <c r="KHZ18" s="69"/>
      <c r="KIA18" s="69"/>
      <c r="KIB18" s="69"/>
      <c r="KIC18" s="69"/>
      <c r="KID18" s="69"/>
      <c r="KIE18" s="69"/>
      <c r="KIF18" s="69"/>
      <c r="KIG18" s="69"/>
      <c r="KIH18" s="69"/>
      <c r="KII18" s="69"/>
      <c r="KIJ18" s="69"/>
      <c r="KIK18" s="69"/>
      <c r="KIL18" s="69"/>
      <c r="KIM18" s="69"/>
      <c r="KIN18" s="69"/>
      <c r="KIO18" s="69"/>
      <c r="KIP18" s="69"/>
      <c r="KIQ18" s="69"/>
      <c r="KIR18" s="69"/>
      <c r="KIS18" s="69"/>
      <c r="KIT18" s="69"/>
      <c r="KIU18" s="69"/>
      <c r="KIV18" s="69"/>
      <c r="KIW18" s="69"/>
      <c r="KIX18" s="69"/>
      <c r="KIY18" s="69"/>
      <c r="KIZ18" s="69"/>
      <c r="KJA18" s="69"/>
      <c r="KJB18" s="69"/>
      <c r="KJC18" s="69"/>
      <c r="KJD18" s="69"/>
      <c r="KJE18" s="69"/>
      <c r="KJF18" s="69"/>
      <c r="KJG18" s="69"/>
      <c r="KJH18" s="69"/>
      <c r="KJI18" s="69"/>
      <c r="KJJ18" s="69"/>
      <c r="KJK18" s="69"/>
      <c r="KJL18" s="69"/>
      <c r="KJM18" s="69"/>
      <c r="KJN18" s="69"/>
      <c r="KJO18" s="69"/>
      <c r="KJP18" s="69"/>
      <c r="KJQ18" s="69"/>
      <c r="KJR18" s="69"/>
      <c r="KJS18" s="69"/>
      <c r="KJT18" s="69"/>
      <c r="KJU18" s="69"/>
      <c r="KJV18" s="69"/>
      <c r="KJW18" s="69"/>
      <c r="KJX18" s="69"/>
      <c r="KJY18" s="69"/>
      <c r="KJZ18" s="69"/>
      <c r="KKA18" s="69"/>
      <c r="KKB18" s="69"/>
      <c r="KKC18" s="69"/>
      <c r="KKD18" s="69"/>
      <c r="KKE18" s="69"/>
      <c r="KKF18" s="69"/>
      <c r="KKG18" s="69"/>
      <c r="KKH18" s="69"/>
      <c r="KKI18" s="69"/>
      <c r="KKJ18" s="69"/>
      <c r="KKK18" s="69"/>
      <c r="KKL18" s="69"/>
      <c r="KKM18" s="69"/>
      <c r="KKN18" s="69"/>
      <c r="KKO18" s="69"/>
      <c r="KKP18" s="69"/>
      <c r="KKQ18" s="69"/>
      <c r="KKR18" s="69"/>
      <c r="KKS18" s="69"/>
      <c r="KKT18" s="69"/>
      <c r="KKU18" s="69"/>
      <c r="KKV18" s="69"/>
      <c r="KKW18" s="69"/>
      <c r="KKX18" s="69"/>
      <c r="KKY18" s="69"/>
      <c r="KKZ18" s="69"/>
      <c r="KLA18" s="69"/>
      <c r="KLB18" s="69"/>
      <c r="KLC18" s="69"/>
      <c r="KLD18" s="69"/>
      <c r="KLE18" s="69"/>
      <c r="KLF18" s="69"/>
      <c r="KLG18" s="69"/>
      <c r="KLH18" s="69"/>
      <c r="KLI18" s="69"/>
      <c r="KLJ18" s="69"/>
      <c r="KLK18" s="69"/>
      <c r="KLL18" s="69"/>
      <c r="KLM18" s="69"/>
      <c r="KLN18" s="69"/>
      <c r="KLO18" s="69"/>
      <c r="KLP18" s="69"/>
      <c r="KLQ18" s="69"/>
      <c r="KLR18" s="69"/>
      <c r="KLS18" s="69"/>
      <c r="KLT18" s="69"/>
      <c r="KLU18" s="69"/>
      <c r="KLV18" s="69"/>
      <c r="KLW18" s="69"/>
      <c r="KLX18" s="69"/>
      <c r="KLY18" s="69"/>
      <c r="KLZ18" s="69"/>
      <c r="KMA18" s="69"/>
      <c r="KMB18" s="69"/>
      <c r="KMC18" s="69"/>
      <c r="KMD18" s="69"/>
      <c r="KME18" s="69"/>
      <c r="KMF18" s="69"/>
      <c r="KMG18" s="69"/>
      <c r="KMH18" s="69"/>
      <c r="KMI18" s="69"/>
      <c r="KMJ18" s="69"/>
      <c r="KMK18" s="69"/>
      <c r="KML18" s="69"/>
      <c r="KMM18" s="69"/>
      <c r="KMN18" s="69"/>
      <c r="KMO18" s="69"/>
      <c r="KMP18" s="69"/>
      <c r="KMQ18" s="69"/>
      <c r="KMR18" s="69"/>
      <c r="KMS18" s="69"/>
      <c r="KMT18" s="69"/>
      <c r="KMU18" s="69"/>
      <c r="KMV18" s="69"/>
      <c r="KMW18" s="69"/>
      <c r="KMX18" s="69"/>
      <c r="KMY18" s="69"/>
      <c r="KMZ18" s="69"/>
      <c r="KNA18" s="69"/>
      <c r="KNB18" s="69"/>
      <c r="KNC18" s="69"/>
      <c r="KND18" s="69"/>
      <c r="KNE18" s="69"/>
      <c r="KNF18" s="69"/>
      <c r="KNG18" s="69"/>
      <c r="KNH18" s="69"/>
      <c r="KNI18" s="69"/>
      <c r="KNJ18" s="69"/>
      <c r="KNK18" s="69"/>
      <c r="KNL18" s="69"/>
      <c r="KNM18" s="69"/>
      <c r="KNN18" s="69"/>
      <c r="KNO18" s="69"/>
      <c r="KNP18" s="69"/>
      <c r="KNQ18" s="69"/>
      <c r="KNR18" s="69"/>
      <c r="KNS18" s="69"/>
      <c r="KNT18" s="69"/>
      <c r="KNU18" s="69"/>
      <c r="KNV18" s="69"/>
      <c r="KNW18" s="69"/>
      <c r="KNX18" s="69"/>
      <c r="KNY18" s="69"/>
      <c r="KNZ18" s="69"/>
      <c r="KOA18" s="69"/>
      <c r="KOB18" s="69"/>
      <c r="KOC18" s="69"/>
      <c r="KOD18" s="69"/>
      <c r="KOE18" s="69"/>
      <c r="KOF18" s="69"/>
      <c r="KOG18" s="69"/>
      <c r="KOH18" s="69"/>
      <c r="KOI18" s="69"/>
      <c r="KOJ18" s="69"/>
      <c r="KOK18" s="69"/>
      <c r="KOL18" s="69"/>
      <c r="KOM18" s="69"/>
      <c r="KON18" s="69"/>
      <c r="KOO18" s="69"/>
      <c r="KOP18" s="69"/>
      <c r="KOQ18" s="69"/>
      <c r="KOR18" s="69"/>
      <c r="KOS18" s="69"/>
      <c r="KOT18" s="69"/>
      <c r="KOU18" s="69"/>
      <c r="KOV18" s="69"/>
      <c r="KOW18" s="69"/>
      <c r="KOX18" s="69"/>
      <c r="KOY18" s="69"/>
      <c r="KOZ18" s="69"/>
      <c r="KPA18" s="69"/>
      <c r="KPB18" s="69"/>
      <c r="KPC18" s="69"/>
      <c r="KPD18" s="69"/>
      <c r="KPE18" s="69"/>
      <c r="KPF18" s="69"/>
      <c r="KPG18" s="69"/>
      <c r="KPH18" s="69"/>
      <c r="KPI18" s="69"/>
      <c r="KPJ18" s="69"/>
      <c r="KPK18" s="69"/>
      <c r="KPL18" s="69"/>
      <c r="KPM18" s="69"/>
      <c r="KPN18" s="69"/>
      <c r="KPO18" s="69"/>
      <c r="KPP18" s="69"/>
      <c r="KPQ18" s="69"/>
      <c r="KPR18" s="69"/>
      <c r="KPS18" s="69"/>
      <c r="KPT18" s="69"/>
      <c r="KPU18" s="69"/>
      <c r="KPV18" s="69"/>
      <c r="KPW18" s="69"/>
      <c r="KPX18" s="69"/>
      <c r="KPY18" s="69"/>
      <c r="KPZ18" s="69"/>
      <c r="KQA18" s="69"/>
      <c r="KQB18" s="69"/>
      <c r="KQC18" s="69"/>
      <c r="KQD18" s="69"/>
      <c r="KQE18" s="69"/>
      <c r="KQF18" s="69"/>
      <c r="KQG18" s="69"/>
      <c r="KQH18" s="69"/>
      <c r="KQI18" s="69"/>
      <c r="KQJ18" s="69"/>
      <c r="KQK18" s="69"/>
      <c r="KQL18" s="69"/>
      <c r="KQM18" s="69"/>
      <c r="KQN18" s="69"/>
      <c r="KQO18" s="69"/>
      <c r="KQP18" s="69"/>
      <c r="KQQ18" s="69"/>
      <c r="KQR18" s="69"/>
      <c r="KQS18" s="69"/>
      <c r="KQT18" s="69"/>
      <c r="KQU18" s="69"/>
      <c r="KQV18" s="69"/>
      <c r="KQW18" s="69"/>
      <c r="KQX18" s="69"/>
      <c r="KQY18" s="69"/>
      <c r="KQZ18" s="69"/>
      <c r="KRA18" s="69"/>
      <c r="KRB18" s="69"/>
      <c r="KRC18" s="69"/>
      <c r="KRD18" s="69"/>
      <c r="KRE18" s="69"/>
      <c r="KRF18" s="69"/>
      <c r="KRG18" s="69"/>
      <c r="KRH18" s="69"/>
      <c r="KRI18" s="69"/>
      <c r="KRJ18" s="69"/>
      <c r="KRK18" s="69"/>
      <c r="KRL18" s="69"/>
      <c r="KRM18" s="69"/>
      <c r="KRN18" s="69"/>
      <c r="KRO18" s="69"/>
      <c r="KRP18" s="69"/>
      <c r="KRQ18" s="69"/>
      <c r="KRR18" s="69"/>
      <c r="KRS18" s="69"/>
      <c r="KRT18" s="69"/>
      <c r="KRU18" s="69"/>
      <c r="KRV18" s="69"/>
      <c r="KRW18" s="69"/>
      <c r="KRX18" s="69"/>
      <c r="KRY18" s="69"/>
      <c r="KRZ18" s="69"/>
      <c r="KSA18" s="69"/>
      <c r="KSB18" s="69"/>
      <c r="KSC18" s="69"/>
      <c r="KSD18" s="69"/>
      <c r="KSE18" s="69"/>
      <c r="KSF18" s="69"/>
      <c r="KSG18" s="69"/>
      <c r="KSH18" s="69"/>
      <c r="KSI18" s="69"/>
      <c r="KSJ18" s="69"/>
      <c r="KSK18" s="69"/>
      <c r="KSL18" s="69"/>
      <c r="KSM18" s="69"/>
      <c r="KSN18" s="69"/>
      <c r="KSO18" s="69"/>
      <c r="KSP18" s="69"/>
      <c r="KSQ18" s="69"/>
      <c r="KSR18" s="69"/>
      <c r="KSS18" s="69"/>
      <c r="KST18" s="69"/>
      <c r="KSU18" s="69"/>
      <c r="KSV18" s="69"/>
      <c r="KSW18" s="69"/>
      <c r="KSX18" s="69"/>
      <c r="KSY18" s="69"/>
      <c r="KSZ18" s="69"/>
      <c r="KTA18" s="69"/>
      <c r="KTB18" s="69"/>
      <c r="KTC18" s="69"/>
      <c r="KTD18" s="69"/>
      <c r="KTE18" s="69"/>
      <c r="KTF18" s="69"/>
      <c r="KTG18" s="69"/>
      <c r="KTH18" s="69"/>
      <c r="KTI18" s="69"/>
      <c r="KTJ18" s="69"/>
      <c r="KTK18" s="69"/>
      <c r="KTL18" s="69"/>
      <c r="KTM18" s="69"/>
      <c r="KTN18" s="69"/>
      <c r="KTO18" s="69"/>
      <c r="KTP18" s="69"/>
      <c r="KTQ18" s="69"/>
      <c r="KTR18" s="69"/>
      <c r="KTS18" s="69"/>
      <c r="KTT18" s="69"/>
      <c r="KTU18" s="69"/>
      <c r="KTV18" s="69"/>
      <c r="KTW18" s="69"/>
      <c r="KTX18" s="69"/>
      <c r="KTY18" s="69"/>
      <c r="KTZ18" s="69"/>
      <c r="KUA18" s="69"/>
      <c r="KUB18" s="69"/>
      <c r="KUC18" s="69"/>
      <c r="KUD18" s="69"/>
      <c r="KUE18" s="69"/>
      <c r="KUF18" s="69"/>
      <c r="KUG18" s="69"/>
      <c r="KUH18" s="69"/>
      <c r="KUI18" s="69"/>
      <c r="KUJ18" s="69"/>
      <c r="KUK18" s="69"/>
      <c r="KUL18" s="69"/>
      <c r="KUM18" s="69"/>
      <c r="KUN18" s="69"/>
      <c r="KUO18" s="69"/>
      <c r="KUP18" s="69"/>
      <c r="KUQ18" s="69"/>
      <c r="KUR18" s="69"/>
      <c r="KUS18" s="69"/>
      <c r="KUT18" s="69"/>
      <c r="KUU18" s="69"/>
      <c r="KUV18" s="69"/>
      <c r="KUW18" s="69"/>
      <c r="KUX18" s="69"/>
      <c r="KUY18" s="69"/>
      <c r="KUZ18" s="69"/>
      <c r="KVA18" s="69"/>
      <c r="KVB18" s="69"/>
      <c r="KVC18" s="69"/>
      <c r="KVD18" s="69"/>
      <c r="KVE18" s="69"/>
      <c r="KVF18" s="69"/>
      <c r="KVG18" s="69"/>
      <c r="KVH18" s="69"/>
      <c r="KVI18" s="69"/>
      <c r="KVJ18" s="69"/>
      <c r="KVK18" s="69"/>
      <c r="KVL18" s="69"/>
      <c r="KVM18" s="69"/>
      <c r="KVN18" s="69"/>
      <c r="KVO18" s="69"/>
      <c r="KVP18" s="69"/>
      <c r="KVQ18" s="69"/>
      <c r="KVR18" s="69"/>
      <c r="KVS18" s="69"/>
      <c r="KVT18" s="69"/>
      <c r="KVU18" s="69"/>
      <c r="KVV18" s="69"/>
      <c r="KVW18" s="69"/>
      <c r="KVX18" s="69"/>
      <c r="KVY18" s="69"/>
      <c r="KVZ18" s="69"/>
      <c r="KWA18" s="69"/>
      <c r="KWB18" s="69"/>
      <c r="KWC18" s="69"/>
      <c r="KWD18" s="69"/>
      <c r="KWE18" s="69"/>
      <c r="KWF18" s="69"/>
      <c r="KWG18" s="69"/>
      <c r="KWH18" s="69"/>
      <c r="KWI18" s="69"/>
      <c r="KWJ18" s="69"/>
      <c r="KWK18" s="69"/>
      <c r="KWL18" s="69"/>
      <c r="KWM18" s="69"/>
      <c r="KWN18" s="69"/>
      <c r="KWO18" s="69"/>
      <c r="KWP18" s="69"/>
      <c r="KWQ18" s="69"/>
      <c r="KWR18" s="69"/>
      <c r="KWS18" s="69"/>
      <c r="KWT18" s="69"/>
      <c r="KWU18" s="69"/>
      <c r="KWV18" s="69"/>
      <c r="KWW18" s="69"/>
      <c r="KWX18" s="69"/>
      <c r="KWY18" s="69"/>
      <c r="KWZ18" s="69"/>
      <c r="KXA18" s="69"/>
      <c r="KXB18" s="69"/>
      <c r="KXC18" s="69"/>
      <c r="KXD18" s="69"/>
      <c r="KXE18" s="69"/>
      <c r="KXF18" s="69"/>
      <c r="KXG18" s="69"/>
      <c r="KXH18" s="69"/>
      <c r="KXI18" s="69"/>
      <c r="KXJ18" s="69"/>
      <c r="KXK18" s="69"/>
      <c r="KXL18" s="69"/>
      <c r="KXM18" s="69"/>
      <c r="KXN18" s="69"/>
      <c r="KXO18" s="69"/>
      <c r="KXP18" s="69"/>
      <c r="KXQ18" s="69"/>
      <c r="KXR18" s="69"/>
      <c r="KXS18" s="69"/>
      <c r="KXT18" s="69"/>
      <c r="KXU18" s="69"/>
      <c r="KXV18" s="69"/>
      <c r="KXW18" s="69"/>
      <c r="KXX18" s="69"/>
      <c r="KXY18" s="69"/>
      <c r="KXZ18" s="69"/>
      <c r="KYA18" s="69"/>
      <c r="KYB18" s="69"/>
      <c r="KYC18" s="69"/>
      <c r="KYD18" s="69"/>
      <c r="KYE18" s="69"/>
      <c r="KYF18" s="69"/>
      <c r="KYG18" s="69"/>
      <c r="KYH18" s="69"/>
      <c r="KYI18" s="69"/>
      <c r="KYJ18" s="69"/>
      <c r="KYK18" s="69"/>
      <c r="KYL18" s="69"/>
      <c r="KYM18" s="69"/>
      <c r="KYN18" s="69"/>
      <c r="KYO18" s="69"/>
      <c r="KYP18" s="69"/>
      <c r="KYQ18" s="69"/>
      <c r="KYR18" s="69"/>
      <c r="KYS18" s="69"/>
      <c r="KYT18" s="69"/>
      <c r="KYU18" s="69"/>
      <c r="KYV18" s="69"/>
      <c r="KYW18" s="69"/>
      <c r="KYX18" s="69"/>
      <c r="KYY18" s="69"/>
      <c r="KYZ18" s="69"/>
      <c r="KZA18" s="69"/>
      <c r="KZB18" s="69"/>
      <c r="KZC18" s="69"/>
      <c r="KZD18" s="69"/>
      <c r="KZE18" s="69"/>
      <c r="KZF18" s="69"/>
      <c r="KZG18" s="69"/>
      <c r="KZH18" s="69"/>
      <c r="KZI18" s="69"/>
      <c r="KZJ18" s="69"/>
      <c r="KZK18" s="69"/>
      <c r="KZL18" s="69"/>
      <c r="KZM18" s="69"/>
      <c r="KZN18" s="69"/>
      <c r="KZO18" s="69"/>
      <c r="KZP18" s="69"/>
      <c r="KZQ18" s="69"/>
      <c r="KZR18" s="69"/>
      <c r="KZS18" s="69"/>
      <c r="KZT18" s="69"/>
      <c r="KZU18" s="69"/>
      <c r="KZV18" s="69"/>
      <c r="KZW18" s="69"/>
      <c r="KZX18" s="69"/>
      <c r="KZY18" s="69"/>
      <c r="KZZ18" s="69"/>
      <c r="LAA18" s="69"/>
      <c r="LAB18" s="69"/>
      <c r="LAC18" s="69"/>
      <c r="LAD18" s="69"/>
      <c r="LAE18" s="69"/>
      <c r="LAF18" s="69"/>
      <c r="LAG18" s="69"/>
      <c r="LAH18" s="69"/>
      <c r="LAI18" s="69"/>
      <c r="LAJ18" s="69"/>
      <c r="LAK18" s="69"/>
      <c r="LAL18" s="69"/>
      <c r="LAM18" s="69"/>
      <c r="LAN18" s="69"/>
      <c r="LAO18" s="69"/>
      <c r="LAP18" s="69"/>
      <c r="LAQ18" s="69"/>
      <c r="LAR18" s="69"/>
      <c r="LAS18" s="69"/>
      <c r="LAT18" s="69"/>
      <c r="LAU18" s="69"/>
      <c r="LAV18" s="69"/>
      <c r="LAW18" s="69"/>
      <c r="LAX18" s="69"/>
      <c r="LAY18" s="69"/>
      <c r="LAZ18" s="69"/>
      <c r="LBA18" s="69"/>
      <c r="LBB18" s="69"/>
      <c r="LBC18" s="69"/>
      <c r="LBD18" s="69"/>
      <c r="LBE18" s="69"/>
      <c r="LBF18" s="69"/>
      <c r="LBG18" s="69"/>
      <c r="LBH18" s="69"/>
      <c r="LBI18" s="69"/>
      <c r="LBJ18" s="69"/>
      <c r="LBK18" s="69"/>
      <c r="LBL18" s="69"/>
      <c r="LBM18" s="69"/>
      <c r="LBN18" s="69"/>
      <c r="LBO18" s="69"/>
      <c r="LBP18" s="69"/>
      <c r="LBQ18" s="69"/>
      <c r="LBR18" s="69"/>
      <c r="LBS18" s="69"/>
      <c r="LBT18" s="69"/>
      <c r="LBU18" s="69"/>
      <c r="LBV18" s="69"/>
      <c r="LBW18" s="69"/>
      <c r="LBX18" s="69"/>
      <c r="LBY18" s="69"/>
      <c r="LBZ18" s="69"/>
      <c r="LCA18" s="69"/>
      <c r="LCB18" s="69"/>
      <c r="LCC18" s="69"/>
      <c r="LCD18" s="69"/>
      <c r="LCE18" s="69"/>
      <c r="LCF18" s="69"/>
      <c r="LCG18" s="69"/>
      <c r="LCH18" s="69"/>
      <c r="LCI18" s="69"/>
      <c r="LCJ18" s="69"/>
      <c r="LCK18" s="69"/>
      <c r="LCL18" s="69"/>
      <c r="LCM18" s="69"/>
      <c r="LCN18" s="69"/>
      <c r="LCO18" s="69"/>
      <c r="LCP18" s="69"/>
      <c r="LCQ18" s="69"/>
      <c r="LCR18" s="69"/>
      <c r="LCS18" s="69"/>
      <c r="LCT18" s="69"/>
      <c r="LCU18" s="69"/>
      <c r="LCV18" s="69"/>
      <c r="LCW18" s="69"/>
      <c r="LCX18" s="69"/>
      <c r="LCY18" s="69"/>
      <c r="LCZ18" s="69"/>
      <c r="LDA18" s="69"/>
      <c r="LDB18" s="69"/>
      <c r="LDC18" s="69"/>
      <c r="LDD18" s="69"/>
      <c r="LDE18" s="69"/>
      <c r="LDF18" s="69"/>
      <c r="LDG18" s="69"/>
      <c r="LDH18" s="69"/>
      <c r="LDI18" s="69"/>
      <c r="LDJ18" s="69"/>
      <c r="LDK18" s="69"/>
      <c r="LDL18" s="69"/>
      <c r="LDM18" s="69"/>
      <c r="LDN18" s="69"/>
      <c r="LDO18" s="69"/>
      <c r="LDP18" s="69"/>
      <c r="LDQ18" s="69"/>
      <c r="LDR18" s="69"/>
      <c r="LDS18" s="69"/>
      <c r="LDT18" s="69"/>
      <c r="LDU18" s="69"/>
      <c r="LDV18" s="69"/>
      <c r="LDW18" s="69"/>
      <c r="LDX18" s="69"/>
      <c r="LDY18" s="69"/>
      <c r="LDZ18" s="69"/>
      <c r="LEA18" s="69"/>
      <c r="LEB18" s="69"/>
      <c r="LEC18" s="69"/>
      <c r="LED18" s="69"/>
      <c r="LEE18" s="69"/>
      <c r="LEF18" s="69"/>
      <c r="LEG18" s="69"/>
      <c r="LEH18" s="69"/>
      <c r="LEI18" s="69"/>
      <c r="LEJ18" s="69"/>
      <c r="LEK18" s="69"/>
      <c r="LEL18" s="69"/>
      <c r="LEM18" s="69"/>
      <c r="LEN18" s="69"/>
      <c r="LEO18" s="69"/>
      <c r="LEP18" s="69"/>
      <c r="LEQ18" s="69"/>
      <c r="LER18" s="69"/>
      <c r="LES18" s="69"/>
      <c r="LET18" s="69"/>
      <c r="LEU18" s="69"/>
      <c r="LEV18" s="69"/>
      <c r="LEW18" s="69"/>
      <c r="LEX18" s="69"/>
      <c r="LEY18" s="69"/>
      <c r="LEZ18" s="69"/>
      <c r="LFA18" s="69"/>
      <c r="LFB18" s="69"/>
      <c r="LFC18" s="69"/>
      <c r="LFD18" s="69"/>
      <c r="LFE18" s="69"/>
      <c r="LFF18" s="69"/>
      <c r="LFG18" s="69"/>
      <c r="LFH18" s="69"/>
      <c r="LFI18" s="69"/>
      <c r="LFJ18" s="69"/>
      <c r="LFK18" s="69"/>
      <c r="LFL18" s="69"/>
      <c r="LFM18" s="69"/>
      <c r="LFN18" s="69"/>
      <c r="LFO18" s="69"/>
      <c r="LFP18" s="69"/>
      <c r="LFQ18" s="69"/>
      <c r="LFR18" s="69"/>
      <c r="LFS18" s="69"/>
      <c r="LFT18" s="69"/>
      <c r="LFU18" s="69"/>
      <c r="LFV18" s="69"/>
      <c r="LFW18" s="69"/>
      <c r="LFX18" s="69"/>
      <c r="LFY18" s="69"/>
      <c r="LFZ18" s="69"/>
      <c r="LGA18" s="69"/>
      <c r="LGB18" s="69"/>
      <c r="LGC18" s="69"/>
      <c r="LGD18" s="69"/>
      <c r="LGE18" s="69"/>
      <c r="LGF18" s="69"/>
      <c r="LGG18" s="69"/>
      <c r="LGH18" s="69"/>
      <c r="LGI18" s="69"/>
      <c r="LGJ18" s="69"/>
      <c r="LGK18" s="69"/>
      <c r="LGL18" s="69"/>
      <c r="LGM18" s="69"/>
      <c r="LGN18" s="69"/>
      <c r="LGO18" s="69"/>
      <c r="LGP18" s="69"/>
      <c r="LGQ18" s="69"/>
      <c r="LGR18" s="69"/>
      <c r="LGS18" s="69"/>
      <c r="LGT18" s="69"/>
      <c r="LGU18" s="69"/>
      <c r="LGV18" s="69"/>
      <c r="LGW18" s="69"/>
      <c r="LGX18" s="69"/>
      <c r="LGY18" s="69"/>
      <c r="LGZ18" s="69"/>
      <c r="LHA18" s="69"/>
      <c r="LHB18" s="69"/>
      <c r="LHC18" s="69"/>
      <c r="LHD18" s="69"/>
      <c r="LHE18" s="69"/>
      <c r="LHF18" s="69"/>
      <c r="LHG18" s="69"/>
      <c r="LHH18" s="69"/>
      <c r="LHI18" s="69"/>
      <c r="LHJ18" s="69"/>
      <c r="LHK18" s="69"/>
      <c r="LHL18" s="69"/>
      <c r="LHM18" s="69"/>
      <c r="LHN18" s="69"/>
      <c r="LHO18" s="69"/>
      <c r="LHP18" s="69"/>
      <c r="LHQ18" s="69"/>
      <c r="LHR18" s="69"/>
      <c r="LHS18" s="69"/>
      <c r="LHT18" s="69"/>
      <c r="LHU18" s="69"/>
      <c r="LHV18" s="69"/>
      <c r="LHW18" s="69"/>
      <c r="LHX18" s="69"/>
      <c r="LHY18" s="69"/>
      <c r="LHZ18" s="69"/>
      <c r="LIA18" s="69"/>
      <c r="LIB18" s="69"/>
      <c r="LIC18" s="69"/>
      <c r="LID18" s="69"/>
      <c r="LIE18" s="69"/>
      <c r="LIF18" s="69"/>
      <c r="LIG18" s="69"/>
      <c r="LIH18" s="69"/>
      <c r="LII18" s="69"/>
      <c r="LIJ18" s="69"/>
      <c r="LIK18" s="69"/>
      <c r="LIL18" s="69"/>
      <c r="LIM18" s="69"/>
      <c r="LIN18" s="69"/>
      <c r="LIO18" s="69"/>
      <c r="LIP18" s="69"/>
      <c r="LIQ18" s="69"/>
      <c r="LIR18" s="69"/>
      <c r="LIS18" s="69"/>
      <c r="LIT18" s="69"/>
      <c r="LIU18" s="69"/>
      <c r="LIV18" s="69"/>
      <c r="LIW18" s="69"/>
      <c r="LIX18" s="69"/>
      <c r="LIY18" s="69"/>
      <c r="LIZ18" s="69"/>
      <c r="LJA18" s="69"/>
      <c r="LJB18" s="69"/>
      <c r="LJC18" s="69"/>
      <c r="LJD18" s="69"/>
      <c r="LJE18" s="69"/>
      <c r="LJF18" s="69"/>
      <c r="LJG18" s="69"/>
      <c r="LJH18" s="69"/>
      <c r="LJI18" s="69"/>
      <c r="LJJ18" s="69"/>
      <c r="LJK18" s="69"/>
      <c r="LJL18" s="69"/>
      <c r="LJM18" s="69"/>
      <c r="LJN18" s="69"/>
      <c r="LJO18" s="69"/>
      <c r="LJP18" s="69"/>
      <c r="LJQ18" s="69"/>
      <c r="LJR18" s="69"/>
      <c r="LJS18" s="69"/>
      <c r="LJT18" s="69"/>
      <c r="LJU18" s="69"/>
      <c r="LJV18" s="69"/>
      <c r="LJW18" s="69"/>
      <c r="LJX18" s="69"/>
      <c r="LJY18" s="69"/>
      <c r="LJZ18" s="69"/>
      <c r="LKA18" s="69"/>
      <c r="LKB18" s="69"/>
      <c r="LKC18" s="69"/>
      <c r="LKD18" s="69"/>
      <c r="LKE18" s="69"/>
      <c r="LKF18" s="69"/>
      <c r="LKG18" s="69"/>
      <c r="LKH18" s="69"/>
      <c r="LKI18" s="69"/>
      <c r="LKJ18" s="69"/>
      <c r="LKK18" s="69"/>
      <c r="LKL18" s="69"/>
      <c r="LKM18" s="69"/>
      <c r="LKN18" s="69"/>
      <c r="LKO18" s="69"/>
      <c r="LKP18" s="69"/>
      <c r="LKQ18" s="69"/>
      <c r="LKR18" s="69"/>
      <c r="LKS18" s="69"/>
      <c r="LKT18" s="69"/>
      <c r="LKU18" s="69"/>
      <c r="LKV18" s="69"/>
      <c r="LKW18" s="69"/>
      <c r="LKX18" s="69"/>
      <c r="LKY18" s="69"/>
      <c r="LKZ18" s="69"/>
      <c r="LLA18" s="69"/>
      <c r="LLB18" s="69"/>
      <c r="LLC18" s="69"/>
      <c r="LLD18" s="69"/>
      <c r="LLE18" s="69"/>
      <c r="LLF18" s="69"/>
      <c r="LLG18" s="69"/>
      <c r="LLH18" s="69"/>
      <c r="LLI18" s="69"/>
      <c r="LLJ18" s="69"/>
      <c r="LLK18" s="69"/>
      <c r="LLL18" s="69"/>
      <c r="LLM18" s="69"/>
      <c r="LLN18" s="69"/>
      <c r="LLO18" s="69"/>
      <c r="LLP18" s="69"/>
      <c r="LLQ18" s="69"/>
      <c r="LLR18" s="69"/>
      <c r="LLS18" s="69"/>
      <c r="LLT18" s="69"/>
      <c r="LLU18" s="69"/>
      <c r="LLV18" s="69"/>
      <c r="LLW18" s="69"/>
      <c r="LLX18" s="69"/>
      <c r="LLY18" s="69"/>
      <c r="LLZ18" s="69"/>
      <c r="LMA18" s="69"/>
      <c r="LMB18" s="69"/>
      <c r="LMC18" s="69"/>
      <c r="LMD18" s="69"/>
      <c r="LME18" s="69"/>
      <c r="LMF18" s="69"/>
      <c r="LMG18" s="69"/>
      <c r="LMH18" s="69"/>
      <c r="LMI18" s="69"/>
      <c r="LMJ18" s="69"/>
      <c r="LMK18" s="69"/>
      <c r="LML18" s="69"/>
      <c r="LMM18" s="69"/>
      <c r="LMN18" s="69"/>
      <c r="LMO18" s="69"/>
      <c r="LMP18" s="69"/>
      <c r="LMQ18" s="69"/>
      <c r="LMR18" s="69"/>
      <c r="LMS18" s="69"/>
      <c r="LMT18" s="69"/>
      <c r="LMU18" s="69"/>
      <c r="LMV18" s="69"/>
      <c r="LMW18" s="69"/>
      <c r="LMX18" s="69"/>
      <c r="LMY18" s="69"/>
      <c r="LMZ18" s="69"/>
      <c r="LNA18" s="69"/>
      <c r="LNB18" s="69"/>
      <c r="LNC18" s="69"/>
      <c r="LND18" s="69"/>
      <c r="LNE18" s="69"/>
      <c r="LNF18" s="69"/>
      <c r="LNG18" s="69"/>
      <c r="LNH18" s="69"/>
      <c r="LNI18" s="69"/>
      <c r="LNJ18" s="69"/>
      <c r="LNK18" s="69"/>
      <c r="LNL18" s="69"/>
      <c r="LNM18" s="69"/>
      <c r="LNN18" s="69"/>
      <c r="LNO18" s="69"/>
      <c r="LNP18" s="69"/>
      <c r="LNQ18" s="69"/>
      <c r="LNR18" s="69"/>
      <c r="LNS18" s="69"/>
      <c r="LNT18" s="69"/>
      <c r="LNU18" s="69"/>
      <c r="LNV18" s="69"/>
      <c r="LNW18" s="69"/>
      <c r="LNX18" s="69"/>
      <c r="LNY18" s="69"/>
      <c r="LNZ18" s="69"/>
      <c r="LOA18" s="69"/>
      <c r="LOB18" s="69"/>
      <c r="LOC18" s="69"/>
      <c r="LOD18" s="69"/>
      <c r="LOE18" s="69"/>
      <c r="LOF18" s="69"/>
      <c r="LOG18" s="69"/>
      <c r="LOH18" s="69"/>
      <c r="LOI18" s="69"/>
      <c r="LOJ18" s="69"/>
      <c r="LOK18" s="69"/>
      <c r="LOL18" s="69"/>
      <c r="LOM18" s="69"/>
      <c r="LON18" s="69"/>
      <c r="LOO18" s="69"/>
      <c r="LOP18" s="69"/>
      <c r="LOQ18" s="69"/>
      <c r="LOR18" s="69"/>
      <c r="LOS18" s="69"/>
      <c r="LOT18" s="69"/>
      <c r="LOU18" s="69"/>
      <c r="LOV18" s="69"/>
      <c r="LOW18" s="69"/>
      <c r="LOX18" s="69"/>
      <c r="LOY18" s="69"/>
      <c r="LOZ18" s="69"/>
      <c r="LPA18" s="69"/>
      <c r="LPB18" s="69"/>
      <c r="LPC18" s="69"/>
      <c r="LPD18" s="69"/>
      <c r="LPE18" s="69"/>
      <c r="LPF18" s="69"/>
      <c r="LPG18" s="69"/>
      <c r="LPH18" s="69"/>
      <c r="LPI18" s="69"/>
      <c r="LPJ18" s="69"/>
      <c r="LPK18" s="69"/>
      <c r="LPL18" s="69"/>
      <c r="LPM18" s="69"/>
      <c r="LPN18" s="69"/>
      <c r="LPO18" s="69"/>
      <c r="LPP18" s="69"/>
      <c r="LPQ18" s="69"/>
      <c r="LPR18" s="69"/>
      <c r="LPS18" s="69"/>
      <c r="LPT18" s="69"/>
      <c r="LPU18" s="69"/>
      <c r="LPV18" s="69"/>
      <c r="LPW18" s="69"/>
      <c r="LPX18" s="69"/>
      <c r="LPY18" s="69"/>
      <c r="LPZ18" s="69"/>
      <c r="LQA18" s="69"/>
      <c r="LQB18" s="69"/>
      <c r="LQC18" s="69"/>
      <c r="LQD18" s="69"/>
      <c r="LQE18" s="69"/>
      <c r="LQF18" s="69"/>
      <c r="LQG18" s="69"/>
      <c r="LQH18" s="69"/>
      <c r="LQI18" s="69"/>
      <c r="LQJ18" s="69"/>
      <c r="LQK18" s="69"/>
      <c r="LQL18" s="69"/>
      <c r="LQM18" s="69"/>
      <c r="LQN18" s="69"/>
      <c r="LQO18" s="69"/>
      <c r="LQP18" s="69"/>
      <c r="LQQ18" s="69"/>
      <c r="LQR18" s="69"/>
      <c r="LQS18" s="69"/>
      <c r="LQT18" s="69"/>
      <c r="LQU18" s="69"/>
      <c r="LQV18" s="69"/>
      <c r="LQW18" s="69"/>
      <c r="LQX18" s="69"/>
      <c r="LQY18" s="69"/>
      <c r="LQZ18" s="69"/>
      <c r="LRA18" s="69"/>
      <c r="LRB18" s="69"/>
      <c r="LRC18" s="69"/>
      <c r="LRD18" s="69"/>
      <c r="LRE18" s="69"/>
      <c r="LRF18" s="69"/>
      <c r="LRG18" s="69"/>
      <c r="LRH18" s="69"/>
      <c r="LRI18" s="69"/>
      <c r="LRJ18" s="69"/>
      <c r="LRK18" s="69"/>
      <c r="LRL18" s="69"/>
      <c r="LRM18" s="69"/>
      <c r="LRN18" s="69"/>
      <c r="LRO18" s="69"/>
      <c r="LRP18" s="69"/>
      <c r="LRQ18" s="69"/>
      <c r="LRR18" s="69"/>
      <c r="LRS18" s="69"/>
      <c r="LRT18" s="69"/>
      <c r="LRU18" s="69"/>
      <c r="LRV18" s="69"/>
      <c r="LRW18" s="69"/>
      <c r="LRX18" s="69"/>
      <c r="LRY18" s="69"/>
      <c r="LRZ18" s="69"/>
      <c r="LSA18" s="69"/>
      <c r="LSB18" s="69"/>
      <c r="LSC18" s="69"/>
      <c r="LSD18" s="69"/>
      <c r="LSE18" s="69"/>
      <c r="LSF18" s="69"/>
      <c r="LSG18" s="69"/>
      <c r="LSH18" s="69"/>
      <c r="LSI18" s="69"/>
      <c r="LSJ18" s="69"/>
      <c r="LSK18" s="69"/>
      <c r="LSL18" s="69"/>
      <c r="LSM18" s="69"/>
      <c r="LSN18" s="69"/>
      <c r="LSO18" s="69"/>
      <c r="LSP18" s="69"/>
      <c r="LSQ18" s="69"/>
      <c r="LSR18" s="69"/>
      <c r="LSS18" s="69"/>
      <c r="LST18" s="69"/>
      <c r="LSU18" s="69"/>
      <c r="LSV18" s="69"/>
      <c r="LSW18" s="69"/>
      <c r="LSX18" s="69"/>
      <c r="LSY18" s="69"/>
      <c r="LSZ18" s="69"/>
      <c r="LTA18" s="69"/>
      <c r="LTB18" s="69"/>
      <c r="LTC18" s="69"/>
      <c r="LTD18" s="69"/>
      <c r="LTE18" s="69"/>
      <c r="LTF18" s="69"/>
      <c r="LTG18" s="69"/>
      <c r="LTH18" s="69"/>
      <c r="LTI18" s="69"/>
      <c r="LTJ18" s="69"/>
      <c r="LTK18" s="69"/>
      <c r="LTL18" s="69"/>
      <c r="LTM18" s="69"/>
      <c r="LTN18" s="69"/>
      <c r="LTO18" s="69"/>
      <c r="LTP18" s="69"/>
      <c r="LTQ18" s="69"/>
      <c r="LTR18" s="69"/>
      <c r="LTS18" s="69"/>
      <c r="LTT18" s="69"/>
      <c r="LTU18" s="69"/>
      <c r="LTV18" s="69"/>
      <c r="LTW18" s="69"/>
      <c r="LTX18" s="69"/>
      <c r="LTY18" s="69"/>
      <c r="LTZ18" s="69"/>
      <c r="LUA18" s="69"/>
      <c r="LUB18" s="69"/>
      <c r="LUC18" s="69"/>
      <c r="LUD18" s="69"/>
      <c r="LUE18" s="69"/>
      <c r="LUF18" s="69"/>
      <c r="LUG18" s="69"/>
      <c r="LUH18" s="69"/>
      <c r="LUI18" s="69"/>
      <c r="LUJ18" s="69"/>
      <c r="LUK18" s="69"/>
      <c r="LUL18" s="69"/>
      <c r="LUM18" s="69"/>
      <c r="LUN18" s="69"/>
      <c r="LUO18" s="69"/>
      <c r="LUP18" s="69"/>
      <c r="LUQ18" s="69"/>
      <c r="LUR18" s="69"/>
      <c r="LUS18" s="69"/>
      <c r="LUT18" s="69"/>
      <c r="LUU18" s="69"/>
      <c r="LUV18" s="69"/>
      <c r="LUW18" s="69"/>
      <c r="LUX18" s="69"/>
      <c r="LUY18" s="69"/>
      <c r="LUZ18" s="69"/>
      <c r="LVA18" s="69"/>
      <c r="LVB18" s="69"/>
      <c r="LVC18" s="69"/>
      <c r="LVD18" s="69"/>
      <c r="LVE18" s="69"/>
      <c r="LVF18" s="69"/>
      <c r="LVG18" s="69"/>
      <c r="LVH18" s="69"/>
      <c r="LVI18" s="69"/>
      <c r="LVJ18" s="69"/>
      <c r="LVK18" s="69"/>
      <c r="LVL18" s="69"/>
      <c r="LVM18" s="69"/>
      <c r="LVN18" s="69"/>
      <c r="LVO18" s="69"/>
      <c r="LVP18" s="69"/>
      <c r="LVQ18" s="69"/>
      <c r="LVR18" s="69"/>
      <c r="LVS18" s="69"/>
      <c r="LVT18" s="69"/>
      <c r="LVU18" s="69"/>
      <c r="LVV18" s="69"/>
      <c r="LVW18" s="69"/>
      <c r="LVX18" s="69"/>
      <c r="LVY18" s="69"/>
      <c r="LVZ18" s="69"/>
      <c r="LWA18" s="69"/>
      <c r="LWB18" s="69"/>
      <c r="LWC18" s="69"/>
      <c r="LWD18" s="69"/>
      <c r="LWE18" s="69"/>
      <c r="LWF18" s="69"/>
      <c r="LWG18" s="69"/>
      <c r="LWH18" s="69"/>
      <c r="LWI18" s="69"/>
      <c r="LWJ18" s="69"/>
      <c r="LWK18" s="69"/>
      <c r="LWL18" s="69"/>
      <c r="LWM18" s="69"/>
      <c r="LWN18" s="69"/>
      <c r="LWO18" s="69"/>
      <c r="LWP18" s="69"/>
      <c r="LWQ18" s="69"/>
      <c r="LWR18" s="69"/>
      <c r="LWS18" s="69"/>
      <c r="LWT18" s="69"/>
      <c r="LWU18" s="69"/>
      <c r="LWV18" s="69"/>
      <c r="LWW18" s="69"/>
      <c r="LWX18" s="69"/>
      <c r="LWY18" s="69"/>
      <c r="LWZ18" s="69"/>
      <c r="LXA18" s="69"/>
      <c r="LXB18" s="69"/>
      <c r="LXC18" s="69"/>
      <c r="LXD18" s="69"/>
      <c r="LXE18" s="69"/>
      <c r="LXF18" s="69"/>
      <c r="LXG18" s="69"/>
      <c r="LXH18" s="69"/>
      <c r="LXI18" s="69"/>
      <c r="LXJ18" s="69"/>
      <c r="LXK18" s="69"/>
      <c r="LXL18" s="69"/>
      <c r="LXM18" s="69"/>
      <c r="LXN18" s="69"/>
      <c r="LXO18" s="69"/>
      <c r="LXP18" s="69"/>
      <c r="LXQ18" s="69"/>
      <c r="LXR18" s="69"/>
      <c r="LXS18" s="69"/>
      <c r="LXT18" s="69"/>
      <c r="LXU18" s="69"/>
      <c r="LXV18" s="69"/>
      <c r="LXW18" s="69"/>
      <c r="LXX18" s="69"/>
      <c r="LXY18" s="69"/>
      <c r="LXZ18" s="69"/>
      <c r="LYA18" s="69"/>
      <c r="LYB18" s="69"/>
      <c r="LYC18" s="69"/>
      <c r="LYD18" s="69"/>
      <c r="LYE18" s="69"/>
      <c r="LYF18" s="69"/>
      <c r="LYG18" s="69"/>
      <c r="LYH18" s="69"/>
      <c r="LYI18" s="69"/>
      <c r="LYJ18" s="69"/>
      <c r="LYK18" s="69"/>
      <c r="LYL18" s="69"/>
      <c r="LYM18" s="69"/>
      <c r="LYN18" s="69"/>
      <c r="LYO18" s="69"/>
      <c r="LYP18" s="69"/>
      <c r="LYQ18" s="69"/>
      <c r="LYR18" s="69"/>
      <c r="LYS18" s="69"/>
      <c r="LYT18" s="69"/>
      <c r="LYU18" s="69"/>
      <c r="LYV18" s="69"/>
      <c r="LYW18" s="69"/>
      <c r="LYX18" s="69"/>
      <c r="LYY18" s="69"/>
      <c r="LYZ18" s="69"/>
      <c r="LZA18" s="69"/>
      <c r="LZB18" s="69"/>
      <c r="LZC18" s="69"/>
      <c r="LZD18" s="69"/>
      <c r="LZE18" s="69"/>
      <c r="LZF18" s="69"/>
      <c r="LZG18" s="69"/>
      <c r="LZH18" s="69"/>
      <c r="LZI18" s="69"/>
      <c r="LZJ18" s="69"/>
      <c r="LZK18" s="69"/>
      <c r="LZL18" s="69"/>
      <c r="LZM18" s="69"/>
      <c r="LZN18" s="69"/>
      <c r="LZO18" s="69"/>
      <c r="LZP18" s="69"/>
      <c r="LZQ18" s="69"/>
      <c r="LZR18" s="69"/>
      <c r="LZS18" s="69"/>
      <c r="LZT18" s="69"/>
      <c r="LZU18" s="69"/>
      <c r="LZV18" s="69"/>
      <c r="LZW18" s="69"/>
      <c r="LZX18" s="69"/>
      <c r="LZY18" s="69"/>
      <c r="LZZ18" s="69"/>
      <c r="MAA18" s="69"/>
      <c r="MAB18" s="69"/>
      <c r="MAC18" s="69"/>
      <c r="MAD18" s="69"/>
      <c r="MAE18" s="69"/>
      <c r="MAF18" s="69"/>
      <c r="MAG18" s="69"/>
      <c r="MAH18" s="69"/>
      <c r="MAI18" s="69"/>
      <c r="MAJ18" s="69"/>
      <c r="MAK18" s="69"/>
      <c r="MAL18" s="69"/>
      <c r="MAM18" s="69"/>
      <c r="MAN18" s="69"/>
      <c r="MAO18" s="69"/>
      <c r="MAP18" s="69"/>
      <c r="MAQ18" s="69"/>
      <c r="MAR18" s="69"/>
      <c r="MAS18" s="69"/>
      <c r="MAT18" s="69"/>
      <c r="MAU18" s="69"/>
      <c r="MAV18" s="69"/>
      <c r="MAW18" s="69"/>
      <c r="MAX18" s="69"/>
      <c r="MAY18" s="69"/>
      <c r="MAZ18" s="69"/>
      <c r="MBA18" s="69"/>
      <c r="MBB18" s="69"/>
      <c r="MBC18" s="69"/>
      <c r="MBD18" s="69"/>
      <c r="MBE18" s="69"/>
      <c r="MBF18" s="69"/>
      <c r="MBG18" s="69"/>
      <c r="MBH18" s="69"/>
      <c r="MBI18" s="69"/>
      <c r="MBJ18" s="69"/>
      <c r="MBK18" s="69"/>
      <c r="MBL18" s="69"/>
      <c r="MBM18" s="69"/>
      <c r="MBN18" s="69"/>
      <c r="MBO18" s="69"/>
      <c r="MBP18" s="69"/>
      <c r="MBQ18" s="69"/>
      <c r="MBR18" s="69"/>
      <c r="MBS18" s="69"/>
      <c r="MBT18" s="69"/>
      <c r="MBU18" s="69"/>
      <c r="MBV18" s="69"/>
      <c r="MBW18" s="69"/>
      <c r="MBX18" s="69"/>
      <c r="MBY18" s="69"/>
      <c r="MBZ18" s="69"/>
      <c r="MCA18" s="69"/>
      <c r="MCB18" s="69"/>
      <c r="MCC18" s="69"/>
      <c r="MCD18" s="69"/>
      <c r="MCE18" s="69"/>
      <c r="MCF18" s="69"/>
      <c r="MCG18" s="69"/>
      <c r="MCH18" s="69"/>
      <c r="MCI18" s="69"/>
      <c r="MCJ18" s="69"/>
      <c r="MCK18" s="69"/>
      <c r="MCL18" s="69"/>
      <c r="MCM18" s="69"/>
      <c r="MCN18" s="69"/>
      <c r="MCO18" s="69"/>
      <c r="MCP18" s="69"/>
      <c r="MCQ18" s="69"/>
      <c r="MCR18" s="69"/>
      <c r="MCS18" s="69"/>
      <c r="MCT18" s="69"/>
      <c r="MCU18" s="69"/>
      <c r="MCV18" s="69"/>
      <c r="MCW18" s="69"/>
      <c r="MCX18" s="69"/>
      <c r="MCY18" s="69"/>
      <c r="MCZ18" s="69"/>
      <c r="MDA18" s="69"/>
      <c r="MDB18" s="69"/>
      <c r="MDC18" s="69"/>
      <c r="MDD18" s="69"/>
      <c r="MDE18" s="69"/>
      <c r="MDF18" s="69"/>
      <c r="MDG18" s="69"/>
      <c r="MDH18" s="69"/>
      <c r="MDI18" s="69"/>
      <c r="MDJ18" s="69"/>
      <c r="MDK18" s="69"/>
      <c r="MDL18" s="69"/>
      <c r="MDM18" s="69"/>
      <c r="MDN18" s="69"/>
      <c r="MDO18" s="69"/>
      <c r="MDP18" s="69"/>
      <c r="MDQ18" s="69"/>
      <c r="MDR18" s="69"/>
      <c r="MDS18" s="69"/>
      <c r="MDT18" s="69"/>
      <c r="MDU18" s="69"/>
      <c r="MDV18" s="69"/>
      <c r="MDW18" s="69"/>
      <c r="MDX18" s="69"/>
      <c r="MDY18" s="69"/>
      <c r="MDZ18" s="69"/>
      <c r="MEA18" s="69"/>
      <c r="MEB18" s="69"/>
      <c r="MEC18" s="69"/>
      <c r="MED18" s="69"/>
      <c r="MEE18" s="69"/>
      <c r="MEF18" s="69"/>
      <c r="MEG18" s="69"/>
      <c r="MEH18" s="69"/>
      <c r="MEI18" s="69"/>
      <c r="MEJ18" s="69"/>
      <c r="MEK18" s="69"/>
      <c r="MEL18" s="69"/>
      <c r="MEM18" s="69"/>
      <c r="MEN18" s="69"/>
      <c r="MEO18" s="69"/>
      <c r="MEP18" s="69"/>
      <c r="MEQ18" s="69"/>
      <c r="MER18" s="69"/>
      <c r="MES18" s="69"/>
      <c r="MET18" s="69"/>
      <c r="MEU18" s="69"/>
      <c r="MEV18" s="69"/>
      <c r="MEW18" s="69"/>
      <c r="MEX18" s="69"/>
      <c r="MEY18" s="69"/>
      <c r="MEZ18" s="69"/>
      <c r="MFA18" s="69"/>
      <c r="MFB18" s="69"/>
      <c r="MFC18" s="69"/>
      <c r="MFD18" s="69"/>
      <c r="MFE18" s="69"/>
      <c r="MFF18" s="69"/>
      <c r="MFG18" s="69"/>
      <c r="MFH18" s="69"/>
      <c r="MFI18" s="69"/>
      <c r="MFJ18" s="69"/>
      <c r="MFK18" s="69"/>
      <c r="MFL18" s="69"/>
      <c r="MFM18" s="69"/>
      <c r="MFN18" s="69"/>
      <c r="MFO18" s="69"/>
      <c r="MFP18" s="69"/>
      <c r="MFQ18" s="69"/>
      <c r="MFR18" s="69"/>
      <c r="MFS18" s="69"/>
      <c r="MFT18" s="69"/>
      <c r="MFU18" s="69"/>
      <c r="MFV18" s="69"/>
      <c r="MFW18" s="69"/>
      <c r="MFX18" s="69"/>
      <c r="MFY18" s="69"/>
      <c r="MFZ18" s="69"/>
      <c r="MGA18" s="69"/>
      <c r="MGB18" s="69"/>
      <c r="MGC18" s="69"/>
      <c r="MGD18" s="69"/>
      <c r="MGE18" s="69"/>
      <c r="MGF18" s="69"/>
      <c r="MGG18" s="69"/>
      <c r="MGH18" s="69"/>
      <c r="MGI18" s="69"/>
      <c r="MGJ18" s="69"/>
      <c r="MGK18" s="69"/>
      <c r="MGL18" s="69"/>
      <c r="MGM18" s="69"/>
      <c r="MGN18" s="69"/>
      <c r="MGO18" s="69"/>
      <c r="MGP18" s="69"/>
      <c r="MGQ18" s="69"/>
      <c r="MGR18" s="69"/>
      <c r="MGS18" s="69"/>
      <c r="MGT18" s="69"/>
      <c r="MGU18" s="69"/>
      <c r="MGV18" s="69"/>
      <c r="MGW18" s="69"/>
      <c r="MGX18" s="69"/>
      <c r="MGY18" s="69"/>
      <c r="MGZ18" s="69"/>
      <c r="MHA18" s="69"/>
      <c r="MHB18" s="69"/>
      <c r="MHC18" s="69"/>
      <c r="MHD18" s="69"/>
      <c r="MHE18" s="69"/>
      <c r="MHF18" s="69"/>
      <c r="MHG18" s="69"/>
      <c r="MHH18" s="69"/>
      <c r="MHI18" s="69"/>
      <c r="MHJ18" s="69"/>
      <c r="MHK18" s="69"/>
      <c r="MHL18" s="69"/>
      <c r="MHM18" s="69"/>
      <c r="MHN18" s="69"/>
      <c r="MHO18" s="69"/>
      <c r="MHP18" s="69"/>
      <c r="MHQ18" s="69"/>
      <c r="MHR18" s="69"/>
      <c r="MHS18" s="69"/>
      <c r="MHT18" s="69"/>
      <c r="MHU18" s="69"/>
      <c r="MHV18" s="69"/>
      <c r="MHW18" s="69"/>
      <c r="MHX18" s="69"/>
      <c r="MHY18" s="69"/>
      <c r="MHZ18" s="69"/>
      <c r="MIA18" s="69"/>
      <c r="MIB18" s="69"/>
      <c r="MIC18" s="69"/>
      <c r="MID18" s="69"/>
      <c r="MIE18" s="69"/>
      <c r="MIF18" s="69"/>
      <c r="MIG18" s="69"/>
      <c r="MIH18" s="69"/>
      <c r="MII18" s="69"/>
      <c r="MIJ18" s="69"/>
      <c r="MIK18" s="69"/>
      <c r="MIL18" s="69"/>
      <c r="MIM18" s="69"/>
      <c r="MIN18" s="69"/>
      <c r="MIO18" s="69"/>
      <c r="MIP18" s="69"/>
      <c r="MIQ18" s="69"/>
      <c r="MIR18" s="69"/>
      <c r="MIS18" s="69"/>
      <c r="MIT18" s="69"/>
      <c r="MIU18" s="69"/>
      <c r="MIV18" s="69"/>
      <c r="MIW18" s="69"/>
      <c r="MIX18" s="69"/>
      <c r="MIY18" s="69"/>
      <c r="MIZ18" s="69"/>
      <c r="MJA18" s="69"/>
      <c r="MJB18" s="69"/>
      <c r="MJC18" s="69"/>
      <c r="MJD18" s="69"/>
      <c r="MJE18" s="69"/>
      <c r="MJF18" s="69"/>
      <c r="MJG18" s="69"/>
      <c r="MJH18" s="69"/>
      <c r="MJI18" s="69"/>
      <c r="MJJ18" s="69"/>
      <c r="MJK18" s="69"/>
      <c r="MJL18" s="69"/>
      <c r="MJM18" s="69"/>
      <c r="MJN18" s="69"/>
      <c r="MJO18" s="69"/>
      <c r="MJP18" s="69"/>
      <c r="MJQ18" s="69"/>
      <c r="MJR18" s="69"/>
      <c r="MJS18" s="69"/>
      <c r="MJT18" s="69"/>
      <c r="MJU18" s="69"/>
      <c r="MJV18" s="69"/>
      <c r="MJW18" s="69"/>
      <c r="MJX18" s="69"/>
      <c r="MJY18" s="69"/>
      <c r="MJZ18" s="69"/>
      <c r="MKA18" s="69"/>
      <c r="MKB18" s="69"/>
      <c r="MKC18" s="69"/>
      <c r="MKD18" s="69"/>
      <c r="MKE18" s="69"/>
      <c r="MKF18" s="69"/>
      <c r="MKG18" s="69"/>
      <c r="MKH18" s="69"/>
      <c r="MKI18" s="69"/>
      <c r="MKJ18" s="69"/>
      <c r="MKK18" s="69"/>
      <c r="MKL18" s="69"/>
      <c r="MKM18" s="69"/>
      <c r="MKN18" s="69"/>
      <c r="MKO18" s="69"/>
      <c r="MKP18" s="69"/>
      <c r="MKQ18" s="69"/>
      <c r="MKR18" s="69"/>
      <c r="MKS18" s="69"/>
      <c r="MKT18" s="69"/>
      <c r="MKU18" s="69"/>
      <c r="MKV18" s="69"/>
      <c r="MKW18" s="69"/>
      <c r="MKX18" s="69"/>
      <c r="MKY18" s="69"/>
      <c r="MKZ18" s="69"/>
      <c r="MLA18" s="69"/>
      <c r="MLB18" s="69"/>
      <c r="MLC18" s="69"/>
      <c r="MLD18" s="69"/>
      <c r="MLE18" s="69"/>
      <c r="MLF18" s="69"/>
      <c r="MLG18" s="69"/>
      <c r="MLH18" s="69"/>
      <c r="MLI18" s="69"/>
      <c r="MLJ18" s="69"/>
      <c r="MLK18" s="69"/>
      <c r="MLL18" s="69"/>
      <c r="MLM18" s="69"/>
      <c r="MLN18" s="69"/>
      <c r="MLO18" s="69"/>
      <c r="MLP18" s="69"/>
      <c r="MLQ18" s="69"/>
      <c r="MLR18" s="69"/>
      <c r="MLS18" s="69"/>
      <c r="MLT18" s="69"/>
      <c r="MLU18" s="69"/>
      <c r="MLV18" s="69"/>
      <c r="MLW18" s="69"/>
      <c r="MLX18" s="69"/>
      <c r="MLY18" s="69"/>
      <c r="MLZ18" s="69"/>
      <c r="MMA18" s="69"/>
      <c r="MMB18" s="69"/>
      <c r="MMC18" s="69"/>
      <c r="MMD18" s="69"/>
      <c r="MME18" s="69"/>
      <c r="MMF18" s="69"/>
      <c r="MMG18" s="69"/>
      <c r="MMH18" s="69"/>
      <c r="MMI18" s="69"/>
      <c r="MMJ18" s="69"/>
      <c r="MMK18" s="69"/>
      <c r="MML18" s="69"/>
      <c r="MMM18" s="69"/>
      <c r="MMN18" s="69"/>
      <c r="MMO18" s="69"/>
      <c r="MMP18" s="69"/>
      <c r="MMQ18" s="69"/>
      <c r="MMR18" s="69"/>
      <c r="MMS18" s="69"/>
      <c r="MMT18" s="69"/>
      <c r="MMU18" s="69"/>
      <c r="MMV18" s="69"/>
      <c r="MMW18" s="69"/>
      <c r="MMX18" s="69"/>
      <c r="MMY18" s="69"/>
      <c r="MMZ18" s="69"/>
      <c r="MNA18" s="69"/>
      <c r="MNB18" s="69"/>
      <c r="MNC18" s="69"/>
      <c r="MND18" s="69"/>
      <c r="MNE18" s="69"/>
      <c r="MNF18" s="69"/>
      <c r="MNG18" s="69"/>
      <c r="MNH18" s="69"/>
      <c r="MNI18" s="69"/>
      <c r="MNJ18" s="69"/>
      <c r="MNK18" s="69"/>
      <c r="MNL18" s="69"/>
      <c r="MNM18" s="69"/>
      <c r="MNN18" s="69"/>
      <c r="MNO18" s="69"/>
      <c r="MNP18" s="69"/>
      <c r="MNQ18" s="69"/>
      <c r="MNR18" s="69"/>
      <c r="MNS18" s="69"/>
      <c r="MNT18" s="69"/>
      <c r="MNU18" s="69"/>
      <c r="MNV18" s="69"/>
      <c r="MNW18" s="69"/>
      <c r="MNX18" s="69"/>
      <c r="MNY18" s="69"/>
      <c r="MNZ18" s="69"/>
      <c r="MOA18" s="69"/>
      <c r="MOB18" s="69"/>
      <c r="MOC18" s="69"/>
      <c r="MOD18" s="69"/>
      <c r="MOE18" s="69"/>
      <c r="MOF18" s="69"/>
      <c r="MOG18" s="69"/>
      <c r="MOH18" s="69"/>
      <c r="MOI18" s="69"/>
      <c r="MOJ18" s="69"/>
      <c r="MOK18" s="69"/>
      <c r="MOL18" s="69"/>
      <c r="MOM18" s="69"/>
      <c r="MON18" s="69"/>
      <c r="MOO18" s="69"/>
      <c r="MOP18" s="69"/>
      <c r="MOQ18" s="69"/>
      <c r="MOR18" s="69"/>
      <c r="MOS18" s="69"/>
      <c r="MOT18" s="69"/>
      <c r="MOU18" s="69"/>
      <c r="MOV18" s="69"/>
      <c r="MOW18" s="69"/>
      <c r="MOX18" s="69"/>
      <c r="MOY18" s="69"/>
      <c r="MOZ18" s="69"/>
      <c r="MPA18" s="69"/>
      <c r="MPB18" s="69"/>
      <c r="MPC18" s="69"/>
      <c r="MPD18" s="69"/>
      <c r="MPE18" s="69"/>
      <c r="MPF18" s="69"/>
      <c r="MPG18" s="69"/>
      <c r="MPH18" s="69"/>
      <c r="MPI18" s="69"/>
      <c r="MPJ18" s="69"/>
      <c r="MPK18" s="69"/>
      <c r="MPL18" s="69"/>
      <c r="MPM18" s="69"/>
      <c r="MPN18" s="69"/>
      <c r="MPO18" s="69"/>
      <c r="MPP18" s="69"/>
      <c r="MPQ18" s="69"/>
      <c r="MPR18" s="69"/>
      <c r="MPS18" s="69"/>
      <c r="MPT18" s="69"/>
      <c r="MPU18" s="69"/>
      <c r="MPV18" s="69"/>
      <c r="MPW18" s="69"/>
      <c r="MPX18" s="69"/>
      <c r="MPY18" s="69"/>
      <c r="MPZ18" s="69"/>
      <c r="MQA18" s="69"/>
      <c r="MQB18" s="69"/>
      <c r="MQC18" s="69"/>
      <c r="MQD18" s="69"/>
      <c r="MQE18" s="69"/>
      <c r="MQF18" s="69"/>
      <c r="MQG18" s="69"/>
      <c r="MQH18" s="69"/>
      <c r="MQI18" s="69"/>
      <c r="MQJ18" s="69"/>
      <c r="MQK18" s="69"/>
      <c r="MQL18" s="69"/>
      <c r="MQM18" s="69"/>
      <c r="MQN18" s="69"/>
      <c r="MQO18" s="69"/>
      <c r="MQP18" s="69"/>
      <c r="MQQ18" s="69"/>
      <c r="MQR18" s="69"/>
      <c r="MQS18" s="69"/>
      <c r="MQT18" s="69"/>
      <c r="MQU18" s="69"/>
      <c r="MQV18" s="69"/>
      <c r="MQW18" s="69"/>
      <c r="MQX18" s="69"/>
      <c r="MQY18" s="69"/>
      <c r="MQZ18" s="69"/>
      <c r="MRA18" s="69"/>
      <c r="MRB18" s="69"/>
      <c r="MRC18" s="69"/>
      <c r="MRD18" s="69"/>
      <c r="MRE18" s="69"/>
      <c r="MRF18" s="69"/>
      <c r="MRG18" s="69"/>
      <c r="MRH18" s="69"/>
      <c r="MRI18" s="69"/>
      <c r="MRJ18" s="69"/>
      <c r="MRK18" s="69"/>
      <c r="MRL18" s="69"/>
      <c r="MRM18" s="69"/>
      <c r="MRN18" s="69"/>
      <c r="MRO18" s="69"/>
      <c r="MRP18" s="69"/>
      <c r="MRQ18" s="69"/>
      <c r="MRR18" s="69"/>
      <c r="MRS18" s="69"/>
      <c r="MRT18" s="69"/>
      <c r="MRU18" s="69"/>
      <c r="MRV18" s="69"/>
      <c r="MRW18" s="69"/>
      <c r="MRX18" s="69"/>
      <c r="MRY18" s="69"/>
      <c r="MRZ18" s="69"/>
      <c r="MSA18" s="69"/>
      <c r="MSB18" s="69"/>
      <c r="MSC18" s="69"/>
      <c r="MSD18" s="69"/>
      <c r="MSE18" s="69"/>
      <c r="MSF18" s="69"/>
      <c r="MSG18" s="69"/>
      <c r="MSH18" s="69"/>
      <c r="MSI18" s="69"/>
      <c r="MSJ18" s="69"/>
      <c r="MSK18" s="69"/>
      <c r="MSL18" s="69"/>
      <c r="MSM18" s="69"/>
      <c r="MSN18" s="69"/>
      <c r="MSO18" s="69"/>
      <c r="MSP18" s="69"/>
      <c r="MSQ18" s="69"/>
      <c r="MSR18" s="69"/>
      <c r="MSS18" s="69"/>
      <c r="MST18" s="69"/>
      <c r="MSU18" s="69"/>
      <c r="MSV18" s="69"/>
      <c r="MSW18" s="69"/>
      <c r="MSX18" s="69"/>
      <c r="MSY18" s="69"/>
      <c r="MSZ18" s="69"/>
      <c r="MTA18" s="69"/>
      <c r="MTB18" s="69"/>
      <c r="MTC18" s="69"/>
      <c r="MTD18" s="69"/>
      <c r="MTE18" s="69"/>
      <c r="MTF18" s="69"/>
      <c r="MTG18" s="69"/>
      <c r="MTH18" s="69"/>
      <c r="MTI18" s="69"/>
      <c r="MTJ18" s="69"/>
      <c r="MTK18" s="69"/>
      <c r="MTL18" s="69"/>
      <c r="MTM18" s="69"/>
      <c r="MTN18" s="69"/>
      <c r="MTO18" s="69"/>
      <c r="MTP18" s="69"/>
      <c r="MTQ18" s="69"/>
      <c r="MTR18" s="69"/>
      <c r="MTS18" s="69"/>
      <c r="MTT18" s="69"/>
      <c r="MTU18" s="69"/>
      <c r="MTV18" s="69"/>
      <c r="MTW18" s="69"/>
      <c r="MTX18" s="69"/>
      <c r="MTY18" s="69"/>
      <c r="MTZ18" s="69"/>
      <c r="MUA18" s="69"/>
      <c r="MUB18" s="69"/>
      <c r="MUC18" s="69"/>
      <c r="MUD18" s="69"/>
      <c r="MUE18" s="69"/>
      <c r="MUF18" s="69"/>
      <c r="MUG18" s="69"/>
      <c r="MUH18" s="69"/>
      <c r="MUI18" s="69"/>
      <c r="MUJ18" s="69"/>
      <c r="MUK18" s="69"/>
      <c r="MUL18" s="69"/>
      <c r="MUM18" s="69"/>
      <c r="MUN18" s="69"/>
      <c r="MUO18" s="69"/>
      <c r="MUP18" s="69"/>
      <c r="MUQ18" s="69"/>
      <c r="MUR18" s="69"/>
      <c r="MUS18" s="69"/>
      <c r="MUT18" s="69"/>
      <c r="MUU18" s="69"/>
      <c r="MUV18" s="69"/>
      <c r="MUW18" s="69"/>
      <c r="MUX18" s="69"/>
      <c r="MUY18" s="69"/>
      <c r="MUZ18" s="69"/>
      <c r="MVA18" s="69"/>
      <c r="MVB18" s="69"/>
      <c r="MVC18" s="69"/>
      <c r="MVD18" s="69"/>
      <c r="MVE18" s="69"/>
      <c r="MVF18" s="69"/>
      <c r="MVG18" s="69"/>
      <c r="MVH18" s="69"/>
      <c r="MVI18" s="69"/>
      <c r="MVJ18" s="69"/>
      <c r="MVK18" s="69"/>
      <c r="MVL18" s="69"/>
      <c r="MVM18" s="69"/>
      <c r="MVN18" s="69"/>
      <c r="MVO18" s="69"/>
      <c r="MVP18" s="69"/>
      <c r="MVQ18" s="69"/>
      <c r="MVR18" s="69"/>
      <c r="MVS18" s="69"/>
      <c r="MVT18" s="69"/>
      <c r="MVU18" s="69"/>
      <c r="MVV18" s="69"/>
      <c r="MVW18" s="69"/>
      <c r="MVX18" s="69"/>
      <c r="MVY18" s="69"/>
      <c r="MVZ18" s="69"/>
      <c r="MWA18" s="69"/>
      <c r="MWB18" s="69"/>
      <c r="MWC18" s="69"/>
      <c r="MWD18" s="69"/>
      <c r="MWE18" s="69"/>
      <c r="MWF18" s="69"/>
      <c r="MWG18" s="69"/>
      <c r="MWH18" s="69"/>
      <c r="MWI18" s="69"/>
      <c r="MWJ18" s="69"/>
      <c r="MWK18" s="69"/>
      <c r="MWL18" s="69"/>
      <c r="MWM18" s="69"/>
      <c r="MWN18" s="69"/>
      <c r="MWO18" s="69"/>
      <c r="MWP18" s="69"/>
      <c r="MWQ18" s="69"/>
      <c r="MWR18" s="69"/>
      <c r="MWS18" s="69"/>
      <c r="MWT18" s="69"/>
      <c r="MWU18" s="69"/>
      <c r="MWV18" s="69"/>
      <c r="MWW18" s="69"/>
      <c r="MWX18" s="69"/>
      <c r="MWY18" s="69"/>
      <c r="MWZ18" s="69"/>
      <c r="MXA18" s="69"/>
      <c r="MXB18" s="69"/>
      <c r="MXC18" s="69"/>
      <c r="MXD18" s="69"/>
      <c r="MXE18" s="69"/>
      <c r="MXF18" s="69"/>
      <c r="MXG18" s="69"/>
      <c r="MXH18" s="69"/>
      <c r="MXI18" s="69"/>
      <c r="MXJ18" s="69"/>
      <c r="MXK18" s="69"/>
      <c r="MXL18" s="69"/>
      <c r="MXM18" s="69"/>
      <c r="MXN18" s="69"/>
      <c r="MXO18" s="69"/>
      <c r="MXP18" s="69"/>
      <c r="MXQ18" s="69"/>
      <c r="MXR18" s="69"/>
      <c r="MXS18" s="69"/>
      <c r="MXT18" s="69"/>
      <c r="MXU18" s="69"/>
      <c r="MXV18" s="69"/>
      <c r="MXW18" s="69"/>
      <c r="MXX18" s="69"/>
      <c r="MXY18" s="69"/>
      <c r="MXZ18" s="69"/>
      <c r="MYA18" s="69"/>
      <c r="MYB18" s="69"/>
      <c r="MYC18" s="69"/>
      <c r="MYD18" s="69"/>
      <c r="MYE18" s="69"/>
      <c r="MYF18" s="69"/>
      <c r="MYG18" s="69"/>
      <c r="MYH18" s="69"/>
      <c r="MYI18" s="69"/>
      <c r="MYJ18" s="69"/>
      <c r="MYK18" s="69"/>
      <c r="MYL18" s="69"/>
      <c r="MYM18" s="69"/>
      <c r="MYN18" s="69"/>
      <c r="MYO18" s="69"/>
      <c r="MYP18" s="69"/>
      <c r="MYQ18" s="69"/>
      <c r="MYR18" s="69"/>
      <c r="MYS18" s="69"/>
      <c r="MYT18" s="69"/>
      <c r="MYU18" s="69"/>
      <c r="MYV18" s="69"/>
      <c r="MYW18" s="69"/>
      <c r="MYX18" s="69"/>
      <c r="MYY18" s="69"/>
      <c r="MYZ18" s="69"/>
      <c r="MZA18" s="69"/>
      <c r="MZB18" s="69"/>
      <c r="MZC18" s="69"/>
      <c r="MZD18" s="69"/>
      <c r="MZE18" s="69"/>
      <c r="MZF18" s="69"/>
      <c r="MZG18" s="69"/>
      <c r="MZH18" s="69"/>
      <c r="MZI18" s="69"/>
      <c r="MZJ18" s="69"/>
      <c r="MZK18" s="69"/>
      <c r="MZL18" s="69"/>
      <c r="MZM18" s="69"/>
      <c r="MZN18" s="69"/>
      <c r="MZO18" s="69"/>
      <c r="MZP18" s="69"/>
      <c r="MZQ18" s="69"/>
      <c r="MZR18" s="69"/>
      <c r="MZS18" s="69"/>
      <c r="MZT18" s="69"/>
      <c r="MZU18" s="69"/>
      <c r="MZV18" s="69"/>
      <c r="MZW18" s="69"/>
      <c r="MZX18" s="69"/>
      <c r="MZY18" s="69"/>
      <c r="MZZ18" s="69"/>
      <c r="NAA18" s="69"/>
      <c r="NAB18" s="69"/>
      <c r="NAC18" s="69"/>
      <c r="NAD18" s="69"/>
      <c r="NAE18" s="69"/>
      <c r="NAF18" s="69"/>
      <c r="NAG18" s="69"/>
      <c r="NAH18" s="69"/>
      <c r="NAI18" s="69"/>
      <c r="NAJ18" s="69"/>
      <c r="NAK18" s="69"/>
      <c r="NAL18" s="69"/>
      <c r="NAM18" s="69"/>
      <c r="NAN18" s="69"/>
      <c r="NAO18" s="69"/>
      <c r="NAP18" s="69"/>
      <c r="NAQ18" s="69"/>
      <c r="NAR18" s="69"/>
      <c r="NAS18" s="69"/>
      <c r="NAT18" s="69"/>
      <c r="NAU18" s="69"/>
      <c r="NAV18" s="69"/>
      <c r="NAW18" s="69"/>
      <c r="NAX18" s="69"/>
      <c r="NAY18" s="69"/>
      <c r="NAZ18" s="69"/>
      <c r="NBA18" s="69"/>
      <c r="NBB18" s="69"/>
      <c r="NBC18" s="69"/>
      <c r="NBD18" s="69"/>
      <c r="NBE18" s="69"/>
      <c r="NBF18" s="69"/>
      <c r="NBG18" s="69"/>
      <c r="NBH18" s="69"/>
      <c r="NBI18" s="69"/>
      <c r="NBJ18" s="69"/>
      <c r="NBK18" s="69"/>
      <c r="NBL18" s="69"/>
      <c r="NBM18" s="69"/>
      <c r="NBN18" s="69"/>
      <c r="NBO18" s="69"/>
      <c r="NBP18" s="69"/>
      <c r="NBQ18" s="69"/>
      <c r="NBR18" s="69"/>
      <c r="NBS18" s="69"/>
      <c r="NBT18" s="69"/>
      <c r="NBU18" s="69"/>
      <c r="NBV18" s="69"/>
      <c r="NBW18" s="69"/>
      <c r="NBX18" s="69"/>
      <c r="NBY18" s="69"/>
      <c r="NBZ18" s="69"/>
      <c r="NCA18" s="69"/>
      <c r="NCB18" s="69"/>
      <c r="NCC18" s="69"/>
      <c r="NCD18" s="69"/>
      <c r="NCE18" s="69"/>
      <c r="NCF18" s="69"/>
      <c r="NCG18" s="69"/>
      <c r="NCH18" s="69"/>
      <c r="NCI18" s="69"/>
      <c r="NCJ18" s="69"/>
      <c r="NCK18" s="69"/>
      <c r="NCL18" s="69"/>
      <c r="NCM18" s="69"/>
      <c r="NCN18" s="69"/>
      <c r="NCO18" s="69"/>
      <c r="NCP18" s="69"/>
      <c r="NCQ18" s="69"/>
      <c r="NCR18" s="69"/>
      <c r="NCS18" s="69"/>
      <c r="NCT18" s="69"/>
      <c r="NCU18" s="69"/>
      <c r="NCV18" s="69"/>
      <c r="NCW18" s="69"/>
      <c r="NCX18" s="69"/>
      <c r="NCY18" s="69"/>
      <c r="NCZ18" s="69"/>
      <c r="NDA18" s="69"/>
      <c r="NDB18" s="69"/>
      <c r="NDC18" s="69"/>
      <c r="NDD18" s="69"/>
      <c r="NDE18" s="69"/>
      <c r="NDF18" s="69"/>
      <c r="NDG18" s="69"/>
      <c r="NDH18" s="69"/>
      <c r="NDI18" s="69"/>
      <c r="NDJ18" s="69"/>
      <c r="NDK18" s="69"/>
      <c r="NDL18" s="69"/>
      <c r="NDM18" s="69"/>
      <c r="NDN18" s="69"/>
      <c r="NDO18" s="69"/>
      <c r="NDP18" s="69"/>
      <c r="NDQ18" s="69"/>
      <c r="NDR18" s="69"/>
      <c r="NDS18" s="69"/>
      <c r="NDT18" s="69"/>
      <c r="NDU18" s="69"/>
      <c r="NDV18" s="69"/>
      <c r="NDW18" s="69"/>
      <c r="NDX18" s="69"/>
      <c r="NDY18" s="69"/>
      <c r="NDZ18" s="69"/>
      <c r="NEA18" s="69"/>
      <c r="NEB18" s="69"/>
      <c r="NEC18" s="69"/>
      <c r="NED18" s="69"/>
      <c r="NEE18" s="69"/>
      <c r="NEF18" s="69"/>
      <c r="NEG18" s="69"/>
      <c r="NEH18" s="69"/>
      <c r="NEI18" s="69"/>
      <c r="NEJ18" s="69"/>
      <c r="NEK18" s="69"/>
      <c r="NEL18" s="69"/>
      <c r="NEM18" s="69"/>
      <c r="NEN18" s="69"/>
      <c r="NEO18" s="69"/>
      <c r="NEP18" s="69"/>
      <c r="NEQ18" s="69"/>
      <c r="NER18" s="69"/>
      <c r="NES18" s="69"/>
      <c r="NET18" s="69"/>
      <c r="NEU18" s="69"/>
      <c r="NEV18" s="69"/>
      <c r="NEW18" s="69"/>
      <c r="NEX18" s="69"/>
      <c r="NEY18" s="69"/>
      <c r="NEZ18" s="69"/>
      <c r="NFA18" s="69"/>
      <c r="NFB18" s="69"/>
      <c r="NFC18" s="69"/>
      <c r="NFD18" s="69"/>
      <c r="NFE18" s="69"/>
      <c r="NFF18" s="69"/>
      <c r="NFG18" s="69"/>
      <c r="NFH18" s="69"/>
      <c r="NFI18" s="69"/>
      <c r="NFJ18" s="69"/>
      <c r="NFK18" s="69"/>
      <c r="NFL18" s="69"/>
      <c r="NFM18" s="69"/>
      <c r="NFN18" s="69"/>
      <c r="NFO18" s="69"/>
      <c r="NFP18" s="69"/>
      <c r="NFQ18" s="69"/>
      <c r="NFR18" s="69"/>
      <c r="NFS18" s="69"/>
      <c r="NFT18" s="69"/>
      <c r="NFU18" s="69"/>
      <c r="NFV18" s="69"/>
      <c r="NFW18" s="69"/>
      <c r="NFX18" s="69"/>
      <c r="NFY18" s="69"/>
      <c r="NFZ18" s="69"/>
      <c r="NGA18" s="69"/>
      <c r="NGB18" s="69"/>
      <c r="NGC18" s="69"/>
      <c r="NGD18" s="69"/>
      <c r="NGE18" s="69"/>
      <c r="NGF18" s="69"/>
      <c r="NGG18" s="69"/>
      <c r="NGH18" s="69"/>
      <c r="NGI18" s="69"/>
      <c r="NGJ18" s="69"/>
      <c r="NGK18" s="69"/>
      <c r="NGL18" s="69"/>
      <c r="NGM18" s="69"/>
      <c r="NGN18" s="69"/>
      <c r="NGO18" s="69"/>
      <c r="NGP18" s="69"/>
      <c r="NGQ18" s="69"/>
      <c r="NGR18" s="69"/>
      <c r="NGS18" s="69"/>
      <c r="NGT18" s="69"/>
      <c r="NGU18" s="69"/>
      <c r="NGV18" s="69"/>
      <c r="NGW18" s="69"/>
      <c r="NGX18" s="69"/>
      <c r="NGY18" s="69"/>
      <c r="NGZ18" s="69"/>
      <c r="NHA18" s="69"/>
      <c r="NHB18" s="69"/>
      <c r="NHC18" s="69"/>
      <c r="NHD18" s="69"/>
      <c r="NHE18" s="69"/>
      <c r="NHF18" s="69"/>
      <c r="NHG18" s="69"/>
      <c r="NHH18" s="69"/>
      <c r="NHI18" s="69"/>
      <c r="NHJ18" s="69"/>
      <c r="NHK18" s="69"/>
      <c r="NHL18" s="69"/>
      <c r="NHM18" s="69"/>
      <c r="NHN18" s="69"/>
      <c r="NHO18" s="69"/>
      <c r="NHP18" s="69"/>
      <c r="NHQ18" s="69"/>
      <c r="NHR18" s="69"/>
      <c r="NHS18" s="69"/>
      <c r="NHT18" s="69"/>
      <c r="NHU18" s="69"/>
      <c r="NHV18" s="69"/>
      <c r="NHW18" s="69"/>
      <c r="NHX18" s="69"/>
      <c r="NHY18" s="69"/>
      <c r="NHZ18" s="69"/>
      <c r="NIA18" s="69"/>
      <c r="NIB18" s="69"/>
      <c r="NIC18" s="69"/>
      <c r="NID18" s="69"/>
      <c r="NIE18" s="69"/>
      <c r="NIF18" s="69"/>
      <c r="NIG18" s="69"/>
      <c r="NIH18" s="69"/>
      <c r="NII18" s="69"/>
      <c r="NIJ18" s="69"/>
      <c r="NIK18" s="69"/>
      <c r="NIL18" s="69"/>
      <c r="NIM18" s="69"/>
      <c r="NIN18" s="69"/>
      <c r="NIO18" s="69"/>
      <c r="NIP18" s="69"/>
      <c r="NIQ18" s="69"/>
      <c r="NIR18" s="69"/>
      <c r="NIS18" s="69"/>
      <c r="NIT18" s="69"/>
      <c r="NIU18" s="69"/>
      <c r="NIV18" s="69"/>
      <c r="NIW18" s="69"/>
      <c r="NIX18" s="69"/>
      <c r="NIY18" s="69"/>
      <c r="NIZ18" s="69"/>
      <c r="NJA18" s="69"/>
      <c r="NJB18" s="69"/>
      <c r="NJC18" s="69"/>
      <c r="NJD18" s="69"/>
      <c r="NJE18" s="69"/>
      <c r="NJF18" s="69"/>
      <c r="NJG18" s="69"/>
      <c r="NJH18" s="69"/>
      <c r="NJI18" s="69"/>
      <c r="NJJ18" s="69"/>
      <c r="NJK18" s="69"/>
      <c r="NJL18" s="69"/>
      <c r="NJM18" s="69"/>
      <c r="NJN18" s="69"/>
      <c r="NJO18" s="69"/>
      <c r="NJP18" s="69"/>
      <c r="NJQ18" s="69"/>
      <c r="NJR18" s="69"/>
      <c r="NJS18" s="69"/>
      <c r="NJT18" s="69"/>
      <c r="NJU18" s="69"/>
      <c r="NJV18" s="69"/>
      <c r="NJW18" s="69"/>
      <c r="NJX18" s="69"/>
      <c r="NJY18" s="69"/>
      <c r="NJZ18" s="69"/>
      <c r="NKA18" s="69"/>
      <c r="NKB18" s="69"/>
      <c r="NKC18" s="69"/>
      <c r="NKD18" s="69"/>
      <c r="NKE18" s="69"/>
      <c r="NKF18" s="69"/>
      <c r="NKG18" s="69"/>
      <c r="NKH18" s="69"/>
      <c r="NKI18" s="69"/>
      <c r="NKJ18" s="69"/>
      <c r="NKK18" s="69"/>
      <c r="NKL18" s="69"/>
      <c r="NKM18" s="69"/>
      <c r="NKN18" s="69"/>
      <c r="NKO18" s="69"/>
      <c r="NKP18" s="69"/>
      <c r="NKQ18" s="69"/>
      <c r="NKR18" s="69"/>
      <c r="NKS18" s="69"/>
      <c r="NKT18" s="69"/>
      <c r="NKU18" s="69"/>
      <c r="NKV18" s="69"/>
      <c r="NKW18" s="69"/>
      <c r="NKX18" s="69"/>
      <c r="NKY18" s="69"/>
      <c r="NKZ18" s="69"/>
      <c r="NLA18" s="69"/>
      <c r="NLB18" s="69"/>
      <c r="NLC18" s="69"/>
      <c r="NLD18" s="69"/>
      <c r="NLE18" s="69"/>
      <c r="NLF18" s="69"/>
      <c r="NLG18" s="69"/>
      <c r="NLH18" s="69"/>
      <c r="NLI18" s="69"/>
      <c r="NLJ18" s="69"/>
      <c r="NLK18" s="69"/>
      <c r="NLL18" s="69"/>
      <c r="NLM18" s="69"/>
      <c r="NLN18" s="69"/>
      <c r="NLO18" s="69"/>
      <c r="NLP18" s="69"/>
      <c r="NLQ18" s="69"/>
      <c r="NLR18" s="69"/>
      <c r="NLS18" s="69"/>
      <c r="NLT18" s="69"/>
      <c r="NLU18" s="69"/>
      <c r="NLV18" s="69"/>
      <c r="NLW18" s="69"/>
      <c r="NLX18" s="69"/>
      <c r="NLY18" s="69"/>
      <c r="NLZ18" s="69"/>
      <c r="NMA18" s="69"/>
      <c r="NMB18" s="69"/>
      <c r="NMC18" s="69"/>
      <c r="NMD18" s="69"/>
      <c r="NME18" s="69"/>
      <c r="NMF18" s="69"/>
      <c r="NMG18" s="69"/>
      <c r="NMH18" s="69"/>
      <c r="NMI18" s="69"/>
      <c r="NMJ18" s="69"/>
      <c r="NMK18" s="69"/>
      <c r="NML18" s="69"/>
      <c r="NMM18" s="69"/>
      <c r="NMN18" s="69"/>
      <c r="NMO18" s="69"/>
      <c r="NMP18" s="69"/>
      <c r="NMQ18" s="69"/>
      <c r="NMR18" s="69"/>
      <c r="NMS18" s="69"/>
      <c r="NMT18" s="69"/>
      <c r="NMU18" s="69"/>
      <c r="NMV18" s="69"/>
      <c r="NMW18" s="69"/>
      <c r="NMX18" s="69"/>
      <c r="NMY18" s="69"/>
      <c r="NMZ18" s="69"/>
      <c r="NNA18" s="69"/>
      <c r="NNB18" s="69"/>
      <c r="NNC18" s="69"/>
      <c r="NND18" s="69"/>
      <c r="NNE18" s="69"/>
      <c r="NNF18" s="69"/>
      <c r="NNG18" s="69"/>
      <c r="NNH18" s="69"/>
      <c r="NNI18" s="69"/>
      <c r="NNJ18" s="69"/>
      <c r="NNK18" s="69"/>
      <c r="NNL18" s="69"/>
      <c r="NNM18" s="69"/>
      <c r="NNN18" s="69"/>
      <c r="NNO18" s="69"/>
      <c r="NNP18" s="69"/>
      <c r="NNQ18" s="69"/>
      <c r="NNR18" s="69"/>
      <c r="NNS18" s="69"/>
      <c r="NNT18" s="69"/>
      <c r="NNU18" s="69"/>
      <c r="NNV18" s="69"/>
      <c r="NNW18" s="69"/>
      <c r="NNX18" s="69"/>
      <c r="NNY18" s="69"/>
      <c r="NNZ18" s="69"/>
      <c r="NOA18" s="69"/>
      <c r="NOB18" s="69"/>
      <c r="NOC18" s="69"/>
      <c r="NOD18" s="69"/>
      <c r="NOE18" s="69"/>
      <c r="NOF18" s="69"/>
      <c r="NOG18" s="69"/>
      <c r="NOH18" s="69"/>
      <c r="NOI18" s="69"/>
      <c r="NOJ18" s="69"/>
      <c r="NOK18" s="69"/>
      <c r="NOL18" s="69"/>
      <c r="NOM18" s="69"/>
      <c r="NON18" s="69"/>
      <c r="NOO18" s="69"/>
      <c r="NOP18" s="69"/>
      <c r="NOQ18" s="69"/>
      <c r="NOR18" s="69"/>
      <c r="NOS18" s="69"/>
      <c r="NOT18" s="69"/>
      <c r="NOU18" s="69"/>
      <c r="NOV18" s="69"/>
      <c r="NOW18" s="69"/>
      <c r="NOX18" s="69"/>
      <c r="NOY18" s="69"/>
      <c r="NOZ18" s="69"/>
      <c r="NPA18" s="69"/>
      <c r="NPB18" s="69"/>
      <c r="NPC18" s="69"/>
      <c r="NPD18" s="69"/>
      <c r="NPE18" s="69"/>
      <c r="NPF18" s="69"/>
      <c r="NPG18" s="69"/>
      <c r="NPH18" s="69"/>
      <c r="NPI18" s="69"/>
      <c r="NPJ18" s="69"/>
      <c r="NPK18" s="69"/>
      <c r="NPL18" s="69"/>
      <c r="NPM18" s="69"/>
      <c r="NPN18" s="69"/>
      <c r="NPO18" s="69"/>
      <c r="NPP18" s="69"/>
      <c r="NPQ18" s="69"/>
      <c r="NPR18" s="69"/>
      <c r="NPS18" s="69"/>
      <c r="NPT18" s="69"/>
      <c r="NPU18" s="69"/>
      <c r="NPV18" s="69"/>
      <c r="NPW18" s="69"/>
      <c r="NPX18" s="69"/>
      <c r="NPY18" s="69"/>
      <c r="NPZ18" s="69"/>
      <c r="NQA18" s="69"/>
      <c r="NQB18" s="69"/>
      <c r="NQC18" s="69"/>
      <c r="NQD18" s="69"/>
      <c r="NQE18" s="69"/>
      <c r="NQF18" s="69"/>
      <c r="NQG18" s="69"/>
      <c r="NQH18" s="69"/>
      <c r="NQI18" s="69"/>
      <c r="NQJ18" s="69"/>
      <c r="NQK18" s="69"/>
      <c r="NQL18" s="69"/>
      <c r="NQM18" s="69"/>
      <c r="NQN18" s="69"/>
      <c r="NQO18" s="69"/>
      <c r="NQP18" s="69"/>
      <c r="NQQ18" s="69"/>
      <c r="NQR18" s="69"/>
      <c r="NQS18" s="69"/>
      <c r="NQT18" s="69"/>
      <c r="NQU18" s="69"/>
      <c r="NQV18" s="69"/>
      <c r="NQW18" s="69"/>
      <c r="NQX18" s="69"/>
      <c r="NQY18" s="69"/>
      <c r="NQZ18" s="69"/>
      <c r="NRA18" s="69"/>
      <c r="NRB18" s="69"/>
      <c r="NRC18" s="69"/>
      <c r="NRD18" s="69"/>
      <c r="NRE18" s="69"/>
      <c r="NRF18" s="69"/>
      <c r="NRG18" s="69"/>
      <c r="NRH18" s="69"/>
      <c r="NRI18" s="69"/>
      <c r="NRJ18" s="69"/>
      <c r="NRK18" s="69"/>
      <c r="NRL18" s="69"/>
      <c r="NRM18" s="69"/>
      <c r="NRN18" s="69"/>
      <c r="NRO18" s="69"/>
      <c r="NRP18" s="69"/>
      <c r="NRQ18" s="69"/>
      <c r="NRR18" s="69"/>
      <c r="NRS18" s="69"/>
      <c r="NRT18" s="69"/>
      <c r="NRU18" s="69"/>
      <c r="NRV18" s="69"/>
      <c r="NRW18" s="69"/>
      <c r="NRX18" s="69"/>
      <c r="NRY18" s="69"/>
      <c r="NRZ18" s="69"/>
      <c r="NSA18" s="69"/>
      <c r="NSB18" s="69"/>
      <c r="NSC18" s="69"/>
      <c r="NSD18" s="69"/>
      <c r="NSE18" s="69"/>
      <c r="NSF18" s="69"/>
      <c r="NSG18" s="69"/>
      <c r="NSH18" s="69"/>
      <c r="NSI18" s="69"/>
      <c r="NSJ18" s="69"/>
      <c r="NSK18" s="69"/>
      <c r="NSL18" s="69"/>
      <c r="NSM18" s="69"/>
      <c r="NSN18" s="69"/>
      <c r="NSO18" s="69"/>
      <c r="NSP18" s="69"/>
      <c r="NSQ18" s="69"/>
      <c r="NSR18" s="69"/>
      <c r="NSS18" s="69"/>
      <c r="NST18" s="69"/>
      <c r="NSU18" s="69"/>
      <c r="NSV18" s="69"/>
      <c r="NSW18" s="69"/>
      <c r="NSX18" s="69"/>
      <c r="NSY18" s="69"/>
      <c r="NSZ18" s="69"/>
      <c r="NTA18" s="69"/>
      <c r="NTB18" s="69"/>
      <c r="NTC18" s="69"/>
      <c r="NTD18" s="69"/>
      <c r="NTE18" s="69"/>
      <c r="NTF18" s="69"/>
      <c r="NTG18" s="69"/>
      <c r="NTH18" s="69"/>
      <c r="NTI18" s="69"/>
      <c r="NTJ18" s="69"/>
      <c r="NTK18" s="69"/>
      <c r="NTL18" s="69"/>
      <c r="NTM18" s="69"/>
      <c r="NTN18" s="69"/>
      <c r="NTO18" s="69"/>
      <c r="NTP18" s="69"/>
      <c r="NTQ18" s="69"/>
      <c r="NTR18" s="69"/>
      <c r="NTS18" s="69"/>
      <c r="NTT18" s="69"/>
      <c r="NTU18" s="69"/>
      <c r="NTV18" s="69"/>
      <c r="NTW18" s="69"/>
      <c r="NTX18" s="69"/>
      <c r="NTY18" s="69"/>
      <c r="NTZ18" s="69"/>
      <c r="NUA18" s="69"/>
      <c r="NUB18" s="69"/>
      <c r="NUC18" s="69"/>
      <c r="NUD18" s="69"/>
      <c r="NUE18" s="69"/>
      <c r="NUF18" s="69"/>
      <c r="NUG18" s="69"/>
      <c r="NUH18" s="69"/>
      <c r="NUI18" s="69"/>
      <c r="NUJ18" s="69"/>
      <c r="NUK18" s="69"/>
      <c r="NUL18" s="69"/>
      <c r="NUM18" s="69"/>
      <c r="NUN18" s="69"/>
      <c r="NUO18" s="69"/>
      <c r="NUP18" s="69"/>
      <c r="NUQ18" s="69"/>
      <c r="NUR18" s="69"/>
      <c r="NUS18" s="69"/>
      <c r="NUT18" s="69"/>
      <c r="NUU18" s="69"/>
      <c r="NUV18" s="69"/>
      <c r="NUW18" s="69"/>
      <c r="NUX18" s="69"/>
      <c r="NUY18" s="69"/>
      <c r="NUZ18" s="69"/>
      <c r="NVA18" s="69"/>
      <c r="NVB18" s="69"/>
      <c r="NVC18" s="69"/>
      <c r="NVD18" s="69"/>
      <c r="NVE18" s="69"/>
      <c r="NVF18" s="69"/>
      <c r="NVG18" s="69"/>
      <c r="NVH18" s="69"/>
      <c r="NVI18" s="69"/>
      <c r="NVJ18" s="69"/>
      <c r="NVK18" s="69"/>
      <c r="NVL18" s="69"/>
      <c r="NVM18" s="69"/>
      <c r="NVN18" s="69"/>
      <c r="NVO18" s="69"/>
      <c r="NVP18" s="69"/>
      <c r="NVQ18" s="69"/>
      <c r="NVR18" s="69"/>
      <c r="NVS18" s="69"/>
      <c r="NVT18" s="69"/>
      <c r="NVU18" s="69"/>
      <c r="NVV18" s="69"/>
      <c r="NVW18" s="69"/>
      <c r="NVX18" s="69"/>
      <c r="NVY18" s="69"/>
      <c r="NVZ18" s="69"/>
      <c r="NWA18" s="69"/>
      <c r="NWB18" s="69"/>
      <c r="NWC18" s="69"/>
      <c r="NWD18" s="69"/>
      <c r="NWE18" s="69"/>
      <c r="NWF18" s="69"/>
      <c r="NWG18" s="69"/>
      <c r="NWH18" s="69"/>
      <c r="NWI18" s="69"/>
      <c r="NWJ18" s="69"/>
      <c r="NWK18" s="69"/>
      <c r="NWL18" s="69"/>
      <c r="NWM18" s="69"/>
      <c r="NWN18" s="69"/>
      <c r="NWO18" s="69"/>
      <c r="NWP18" s="69"/>
      <c r="NWQ18" s="69"/>
      <c r="NWR18" s="69"/>
      <c r="NWS18" s="69"/>
      <c r="NWT18" s="69"/>
      <c r="NWU18" s="69"/>
      <c r="NWV18" s="69"/>
      <c r="NWW18" s="69"/>
      <c r="NWX18" s="69"/>
      <c r="NWY18" s="69"/>
      <c r="NWZ18" s="69"/>
      <c r="NXA18" s="69"/>
      <c r="NXB18" s="69"/>
      <c r="NXC18" s="69"/>
      <c r="NXD18" s="69"/>
      <c r="NXE18" s="69"/>
      <c r="NXF18" s="69"/>
      <c r="NXG18" s="69"/>
      <c r="NXH18" s="69"/>
      <c r="NXI18" s="69"/>
      <c r="NXJ18" s="69"/>
      <c r="NXK18" s="69"/>
      <c r="NXL18" s="69"/>
      <c r="NXM18" s="69"/>
      <c r="NXN18" s="69"/>
      <c r="NXO18" s="69"/>
      <c r="NXP18" s="69"/>
      <c r="NXQ18" s="69"/>
      <c r="NXR18" s="69"/>
      <c r="NXS18" s="69"/>
      <c r="NXT18" s="69"/>
      <c r="NXU18" s="69"/>
      <c r="NXV18" s="69"/>
      <c r="NXW18" s="69"/>
      <c r="NXX18" s="69"/>
      <c r="NXY18" s="69"/>
      <c r="NXZ18" s="69"/>
      <c r="NYA18" s="69"/>
      <c r="NYB18" s="69"/>
      <c r="NYC18" s="69"/>
      <c r="NYD18" s="69"/>
      <c r="NYE18" s="69"/>
      <c r="NYF18" s="69"/>
      <c r="NYG18" s="69"/>
      <c r="NYH18" s="69"/>
      <c r="NYI18" s="69"/>
      <c r="NYJ18" s="69"/>
      <c r="NYK18" s="69"/>
      <c r="NYL18" s="69"/>
      <c r="NYM18" s="69"/>
      <c r="NYN18" s="69"/>
      <c r="NYO18" s="69"/>
      <c r="NYP18" s="69"/>
      <c r="NYQ18" s="69"/>
      <c r="NYR18" s="69"/>
      <c r="NYS18" s="69"/>
      <c r="NYT18" s="69"/>
      <c r="NYU18" s="69"/>
      <c r="NYV18" s="69"/>
      <c r="NYW18" s="69"/>
      <c r="NYX18" s="69"/>
      <c r="NYY18" s="69"/>
      <c r="NYZ18" s="69"/>
      <c r="NZA18" s="69"/>
      <c r="NZB18" s="69"/>
      <c r="NZC18" s="69"/>
      <c r="NZD18" s="69"/>
      <c r="NZE18" s="69"/>
      <c r="NZF18" s="69"/>
      <c r="NZG18" s="69"/>
      <c r="NZH18" s="69"/>
      <c r="NZI18" s="69"/>
      <c r="NZJ18" s="69"/>
      <c r="NZK18" s="69"/>
      <c r="NZL18" s="69"/>
      <c r="NZM18" s="69"/>
      <c r="NZN18" s="69"/>
      <c r="NZO18" s="69"/>
      <c r="NZP18" s="69"/>
      <c r="NZQ18" s="69"/>
      <c r="NZR18" s="69"/>
      <c r="NZS18" s="69"/>
      <c r="NZT18" s="69"/>
      <c r="NZU18" s="69"/>
      <c r="NZV18" s="69"/>
      <c r="NZW18" s="69"/>
      <c r="NZX18" s="69"/>
      <c r="NZY18" s="69"/>
      <c r="NZZ18" s="69"/>
      <c r="OAA18" s="69"/>
      <c r="OAB18" s="69"/>
      <c r="OAC18" s="69"/>
      <c r="OAD18" s="69"/>
      <c r="OAE18" s="69"/>
      <c r="OAF18" s="69"/>
      <c r="OAG18" s="69"/>
      <c r="OAH18" s="69"/>
      <c r="OAI18" s="69"/>
      <c r="OAJ18" s="69"/>
      <c r="OAK18" s="69"/>
      <c r="OAL18" s="69"/>
      <c r="OAM18" s="69"/>
      <c r="OAN18" s="69"/>
      <c r="OAO18" s="69"/>
      <c r="OAP18" s="69"/>
      <c r="OAQ18" s="69"/>
      <c r="OAR18" s="69"/>
      <c r="OAS18" s="69"/>
      <c r="OAT18" s="69"/>
      <c r="OAU18" s="69"/>
      <c r="OAV18" s="69"/>
      <c r="OAW18" s="69"/>
      <c r="OAX18" s="69"/>
      <c r="OAY18" s="69"/>
      <c r="OAZ18" s="69"/>
      <c r="OBA18" s="69"/>
      <c r="OBB18" s="69"/>
      <c r="OBC18" s="69"/>
      <c r="OBD18" s="69"/>
      <c r="OBE18" s="69"/>
      <c r="OBF18" s="69"/>
      <c r="OBG18" s="69"/>
      <c r="OBH18" s="69"/>
      <c r="OBI18" s="69"/>
      <c r="OBJ18" s="69"/>
      <c r="OBK18" s="69"/>
      <c r="OBL18" s="69"/>
      <c r="OBM18" s="69"/>
      <c r="OBN18" s="69"/>
      <c r="OBO18" s="69"/>
      <c r="OBP18" s="69"/>
      <c r="OBQ18" s="69"/>
      <c r="OBR18" s="69"/>
      <c r="OBS18" s="69"/>
      <c r="OBT18" s="69"/>
      <c r="OBU18" s="69"/>
      <c r="OBV18" s="69"/>
      <c r="OBW18" s="69"/>
      <c r="OBX18" s="69"/>
      <c r="OBY18" s="69"/>
      <c r="OBZ18" s="69"/>
      <c r="OCA18" s="69"/>
      <c r="OCB18" s="69"/>
      <c r="OCC18" s="69"/>
      <c r="OCD18" s="69"/>
      <c r="OCE18" s="69"/>
      <c r="OCF18" s="69"/>
      <c r="OCG18" s="69"/>
      <c r="OCH18" s="69"/>
      <c r="OCI18" s="69"/>
      <c r="OCJ18" s="69"/>
      <c r="OCK18" s="69"/>
      <c r="OCL18" s="69"/>
      <c r="OCM18" s="69"/>
      <c r="OCN18" s="69"/>
      <c r="OCO18" s="69"/>
      <c r="OCP18" s="69"/>
      <c r="OCQ18" s="69"/>
      <c r="OCR18" s="69"/>
      <c r="OCS18" s="69"/>
      <c r="OCT18" s="69"/>
      <c r="OCU18" s="69"/>
      <c r="OCV18" s="69"/>
      <c r="OCW18" s="69"/>
      <c r="OCX18" s="69"/>
      <c r="OCY18" s="69"/>
      <c r="OCZ18" s="69"/>
      <c r="ODA18" s="69"/>
      <c r="ODB18" s="69"/>
      <c r="ODC18" s="69"/>
      <c r="ODD18" s="69"/>
      <c r="ODE18" s="69"/>
      <c r="ODF18" s="69"/>
      <c r="ODG18" s="69"/>
      <c r="ODH18" s="69"/>
      <c r="ODI18" s="69"/>
      <c r="ODJ18" s="69"/>
      <c r="ODK18" s="69"/>
      <c r="ODL18" s="69"/>
      <c r="ODM18" s="69"/>
      <c r="ODN18" s="69"/>
      <c r="ODO18" s="69"/>
      <c r="ODP18" s="69"/>
      <c r="ODQ18" s="69"/>
      <c r="ODR18" s="69"/>
      <c r="ODS18" s="69"/>
      <c r="ODT18" s="69"/>
      <c r="ODU18" s="69"/>
      <c r="ODV18" s="69"/>
      <c r="ODW18" s="69"/>
      <c r="ODX18" s="69"/>
      <c r="ODY18" s="69"/>
      <c r="ODZ18" s="69"/>
      <c r="OEA18" s="69"/>
      <c r="OEB18" s="69"/>
      <c r="OEC18" s="69"/>
      <c r="OED18" s="69"/>
      <c r="OEE18" s="69"/>
      <c r="OEF18" s="69"/>
      <c r="OEG18" s="69"/>
      <c r="OEH18" s="69"/>
      <c r="OEI18" s="69"/>
      <c r="OEJ18" s="69"/>
      <c r="OEK18" s="69"/>
      <c r="OEL18" s="69"/>
      <c r="OEM18" s="69"/>
      <c r="OEN18" s="69"/>
      <c r="OEO18" s="69"/>
      <c r="OEP18" s="69"/>
      <c r="OEQ18" s="69"/>
      <c r="OER18" s="69"/>
      <c r="OES18" s="69"/>
      <c r="OET18" s="69"/>
      <c r="OEU18" s="69"/>
      <c r="OEV18" s="69"/>
      <c r="OEW18" s="69"/>
      <c r="OEX18" s="69"/>
      <c r="OEY18" s="69"/>
      <c r="OEZ18" s="69"/>
      <c r="OFA18" s="69"/>
      <c r="OFB18" s="69"/>
      <c r="OFC18" s="69"/>
      <c r="OFD18" s="69"/>
      <c r="OFE18" s="69"/>
      <c r="OFF18" s="69"/>
      <c r="OFG18" s="69"/>
      <c r="OFH18" s="69"/>
      <c r="OFI18" s="69"/>
      <c r="OFJ18" s="69"/>
      <c r="OFK18" s="69"/>
      <c r="OFL18" s="69"/>
      <c r="OFM18" s="69"/>
      <c r="OFN18" s="69"/>
      <c r="OFO18" s="69"/>
      <c r="OFP18" s="69"/>
      <c r="OFQ18" s="69"/>
      <c r="OFR18" s="69"/>
      <c r="OFS18" s="69"/>
      <c r="OFT18" s="69"/>
      <c r="OFU18" s="69"/>
      <c r="OFV18" s="69"/>
      <c r="OFW18" s="69"/>
      <c r="OFX18" s="69"/>
      <c r="OFY18" s="69"/>
      <c r="OFZ18" s="69"/>
      <c r="OGA18" s="69"/>
      <c r="OGB18" s="69"/>
      <c r="OGC18" s="69"/>
      <c r="OGD18" s="69"/>
      <c r="OGE18" s="69"/>
      <c r="OGF18" s="69"/>
      <c r="OGG18" s="69"/>
      <c r="OGH18" s="69"/>
      <c r="OGI18" s="69"/>
      <c r="OGJ18" s="69"/>
      <c r="OGK18" s="69"/>
      <c r="OGL18" s="69"/>
      <c r="OGM18" s="69"/>
      <c r="OGN18" s="69"/>
      <c r="OGO18" s="69"/>
      <c r="OGP18" s="69"/>
      <c r="OGQ18" s="69"/>
      <c r="OGR18" s="69"/>
      <c r="OGS18" s="69"/>
      <c r="OGT18" s="69"/>
      <c r="OGU18" s="69"/>
      <c r="OGV18" s="69"/>
      <c r="OGW18" s="69"/>
      <c r="OGX18" s="69"/>
      <c r="OGY18" s="69"/>
      <c r="OGZ18" s="69"/>
      <c r="OHA18" s="69"/>
      <c r="OHB18" s="69"/>
      <c r="OHC18" s="69"/>
      <c r="OHD18" s="69"/>
      <c r="OHE18" s="69"/>
      <c r="OHF18" s="69"/>
      <c r="OHG18" s="69"/>
      <c r="OHH18" s="69"/>
      <c r="OHI18" s="69"/>
      <c r="OHJ18" s="69"/>
      <c r="OHK18" s="69"/>
      <c r="OHL18" s="69"/>
      <c r="OHM18" s="69"/>
      <c r="OHN18" s="69"/>
      <c r="OHO18" s="69"/>
      <c r="OHP18" s="69"/>
      <c r="OHQ18" s="69"/>
      <c r="OHR18" s="69"/>
      <c r="OHS18" s="69"/>
      <c r="OHT18" s="69"/>
      <c r="OHU18" s="69"/>
      <c r="OHV18" s="69"/>
      <c r="OHW18" s="69"/>
      <c r="OHX18" s="69"/>
      <c r="OHY18" s="69"/>
      <c r="OHZ18" s="69"/>
      <c r="OIA18" s="69"/>
      <c r="OIB18" s="69"/>
      <c r="OIC18" s="69"/>
      <c r="OID18" s="69"/>
      <c r="OIE18" s="69"/>
      <c r="OIF18" s="69"/>
      <c r="OIG18" s="69"/>
      <c r="OIH18" s="69"/>
      <c r="OII18" s="69"/>
      <c r="OIJ18" s="69"/>
      <c r="OIK18" s="69"/>
      <c r="OIL18" s="69"/>
      <c r="OIM18" s="69"/>
      <c r="OIN18" s="69"/>
      <c r="OIO18" s="69"/>
      <c r="OIP18" s="69"/>
      <c r="OIQ18" s="69"/>
      <c r="OIR18" s="69"/>
      <c r="OIS18" s="69"/>
      <c r="OIT18" s="69"/>
      <c r="OIU18" s="69"/>
      <c r="OIV18" s="69"/>
      <c r="OIW18" s="69"/>
      <c r="OIX18" s="69"/>
      <c r="OIY18" s="69"/>
      <c r="OIZ18" s="69"/>
      <c r="OJA18" s="69"/>
      <c r="OJB18" s="69"/>
      <c r="OJC18" s="69"/>
      <c r="OJD18" s="69"/>
      <c r="OJE18" s="69"/>
      <c r="OJF18" s="69"/>
      <c r="OJG18" s="69"/>
      <c r="OJH18" s="69"/>
      <c r="OJI18" s="69"/>
      <c r="OJJ18" s="69"/>
      <c r="OJK18" s="69"/>
      <c r="OJL18" s="69"/>
      <c r="OJM18" s="69"/>
      <c r="OJN18" s="69"/>
      <c r="OJO18" s="69"/>
      <c r="OJP18" s="69"/>
      <c r="OJQ18" s="69"/>
      <c r="OJR18" s="69"/>
      <c r="OJS18" s="69"/>
      <c r="OJT18" s="69"/>
      <c r="OJU18" s="69"/>
      <c r="OJV18" s="69"/>
      <c r="OJW18" s="69"/>
      <c r="OJX18" s="69"/>
      <c r="OJY18" s="69"/>
      <c r="OJZ18" s="69"/>
      <c r="OKA18" s="69"/>
      <c r="OKB18" s="69"/>
      <c r="OKC18" s="69"/>
      <c r="OKD18" s="69"/>
      <c r="OKE18" s="69"/>
      <c r="OKF18" s="69"/>
      <c r="OKG18" s="69"/>
      <c r="OKH18" s="69"/>
      <c r="OKI18" s="69"/>
      <c r="OKJ18" s="69"/>
      <c r="OKK18" s="69"/>
      <c r="OKL18" s="69"/>
      <c r="OKM18" s="69"/>
      <c r="OKN18" s="69"/>
      <c r="OKO18" s="69"/>
      <c r="OKP18" s="69"/>
      <c r="OKQ18" s="69"/>
      <c r="OKR18" s="69"/>
      <c r="OKS18" s="69"/>
      <c r="OKT18" s="69"/>
      <c r="OKU18" s="69"/>
      <c r="OKV18" s="69"/>
      <c r="OKW18" s="69"/>
      <c r="OKX18" s="69"/>
      <c r="OKY18" s="69"/>
      <c r="OKZ18" s="69"/>
      <c r="OLA18" s="69"/>
      <c r="OLB18" s="69"/>
      <c r="OLC18" s="69"/>
      <c r="OLD18" s="69"/>
      <c r="OLE18" s="69"/>
      <c r="OLF18" s="69"/>
      <c r="OLG18" s="69"/>
      <c r="OLH18" s="69"/>
      <c r="OLI18" s="69"/>
      <c r="OLJ18" s="69"/>
      <c r="OLK18" s="69"/>
      <c r="OLL18" s="69"/>
      <c r="OLM18" s="69"/>
      <c r="OLN18" s="69"/>
      <c r="OLO18" s="69"/>
      <c r="OLP18" s="69"/>
      <c r="OLQ18" s="69"/>
      <c r="OLR18" s="69"/>
      <c r="OLS18" s="69"/>
      <c r="OLT18" s="69"/>
      <c r="OLU18" s="69"/>
      <c r="OLV18" s="69"/>
      <c r="OLW18" s="69"/>
      <c r="OLX18" s="69"/>
      <c r="OLY18" s="69"/>
      <c r="OLZ18" s="69"/>
      <c r="OMA18" s="69"/>
      <c r="OMB18" s="69"/>
      <c r="OMC18" s="69"/>
      <c r="OMD18" s="69"/>
      <c r="OME18" s="69"/>
      <c r="OMF18" s="69"/>
      <c r="OMG18" s="69"/>
      <c r="OMH18" s="69"/>
      <c r="OMI18" s="69"/>
      <c r="OMJ18" s="69"/>
      <c r="OMK18" s="69"/>
      <c r="OML18" s="69"/>
      <c r="OMM18" s="69"/>
      <c r="OMN18" s="69"/>
      <c r="OMO18" s="69"/>
      <c r="OMP18" s="69"/>
      <c r="OMQ18" s="69"/>
      <c r="OMR18" s="69"/>
      <c r="OMS18" s="69"/>
      <c r="OMT18" s="69"/>
      <c r="OMU18" s="69"/>
      <c r="OMV18" s="69"/>
      <c r="OMW18" s="69"/>
      <c r="OMX18" s="69"/>
      <c r="OMY18" s="69"/>
      <c r="OMZ18" s="69"/>
      <c r="ONA18" s="69"/>
      <c r="ONB18" s="69"/>
      <c r="ONC18" s="69"/>
      <c r="OND18" s="69"/>
      <c r="ONE18" s="69"/>
      <c r="ONF18" s="69"/>
      <c r="ONG18" s="69"/>
      <c r="ONH18" s="69"/>
      <c r="ONI18" s="69"/>
      <c r="ONJ18" s="69"/>
      <c r="ONK18" s="69"/>
      <c r="ONL18" s="69"/>
      <c r="ONM18" s="69"/>
      <c r="ONN18" s="69"/>
      <c r="ONO18" s="69"/>
      <c r="ONP18" s="69"/>
      <c r="ONQ18" s="69"/>
      <c r="ONR18" s="69"/>
      <c r="ONS18" s="69"/>
      <c r="ONT18" s="69"/>
      <c r="ONU18" s="69"/>
      <c r="ONV18" s="69"/>
      <c r="ONW18" s="69"/>
      <c r="ONX18" s="69"/>
      <c r="ONY18" s="69"/>
      <c r="ONZ18" s="69"/>
      <c r="OOA18" s="69"/>
      <c r="OOB18" s="69"/>
      <c r="OOC18" s="69"/>
      <c r="OOD18" s="69"/>
      <c r="OOE18" s="69"/>
      <c r="OOF18" s="69"/>
      <c r="OOG18" s="69"/>
      <c r="OOH18" s="69"/>
      <c r="OOI18" s="69"/>
      <c r="OOJ18" s="69"/>
      <c r="OOK18" s="69"/>
      <c r="OOL18" s="69"/>
      <c r="OOM18" s="69"/>
      <c r="OON18" s="69"/>
      <c r="OOO18" s="69"/>
      <c r="OOP18" s="69"/>
      <c r="OOQ18" s="69"/>
      <c r="OOR18" s="69"/>
      <c r="OOS18" s="69"/>
      <c r="OOT18" s="69"/>
      <c r="OOU18" s="69"/>
      <c r="OOV18" s="69"/>
      <c r="OOW18" s="69"/>
      <c r="OOX18" s="69"/>
      <c r="OOY18" s="69"/>
      <c r="OOZ18" s="69"/>
      <c r="OPA18" s="69"/>
      <c r="OPB18" s="69"/>
      <c r="OPC18" s="69"/>
      <c r="OPD18" s="69"/>
      <c r="OPE18" s="69"/>
      <c r="OPF18" s="69"/>
      <c r="OPG18" s="69"/>
      <c r="OPH18" s="69"/>
      <c r="OPI18" s="69"/>
      <c r="OPJ18" s="69"/>
      <c r="OPK18" s="69"/>
      <c r="OPL18" s="69"/>
      <c r="OPM18" s="69"/>
      <c r="OPN18" s="69"/>
      <c r="OPO18" s="69"/>
      <c r="OPP18" s="69"/>
      <c r="OPQ18" s="69"/>
      <c r="OPR18" s="69"/>
      <c r="OPS18" s="69"/>
      <c r="OPT18" s="69"/>
      <c r="OPU18" s="69"/>
      <c r="OPV18" s="69"/>
      <c r="OPW18" s="69"/>
      <c r="OPX18" s="69"/>
      <c r="OPY18" s="69"/>
      <c r="OPZ18" s="69"/>
      <c r="OQA18" s="69"/>
      <c r="OQB18" s="69"/>
      <c r="OQC18" s="69"/>
      <c r="OQD18" s="69"/>
      <c r="OQE18" s="69"/>
      <c r="OQF18" s="69"/>
      <c r="OQG18" s="69"/>
      <c r="OQH18" s="69"/>
      <c r="OQI18" s="69"/>
      <c r="OQJ18" s="69"/>
      <c r="OQK18" s="69"/>
      <c r="OQL18" s="69"/>
      <c r="OQM18" s="69"/>
      <c r="OQN18" s="69"/>
      <c r="OQO18" s="69"/>
      <c r="OQP18" s="69"/>
      <c r="OQQ18" s="69"/>
      <c r="OQR18" s="69"/>
      <c r="OQS18" s="69"/>
      <c r="OQT18" s="69"/>
      <c r="OQU18" s="69"/>
      <c r="OQV18" s="69"/>
      <c r="OQW18" s="69"/>
      <c r="OQX18" s="69"/>
      <c r="OQY18" s="69"/>
      <c r="OQZ18" s="69"/>
      <c r="ORA18" s="69"/>
      <c r="ORB18" s="69"/>
      <c r="ORC18" s="69"/>
      <c r="ORD18" s="69"/>
      <c r="ORE18" s="69"/>
      <c r="ORF18" s="69"/>
      <c r="ORG18" s="69"/>
      <c r="ORH18" s="69"/>
      <c r="ORI18" s="69"/>
      <c r="ORJ18" s="69"/>
      <c r="ORK18" s="69"/>
      <c r="ORL18" s="69"/>
      <c r="ORM18" s="69"/>
      <c r="ORN18" s="69"/>
      <c r="ORO18" s="69"/>
      <c r="ORP18" s="69"/>
      <c r="ORQ18" s="69"/>
      <c r="ORR18" s="69"/>
      <c r="ORS18" s="69"/>
      <c r="ORT18" s="69"/>
      <c r="ORU18" s="69"/>
      <c r="ORV18" s="69"/>
      <c r="ORW18" s="69"/>
      <c r="ORX18" s="69"/>
      <c r="ORY18" s="69"/>
      <c r="ORZ18" s="69"/>
      <c r="OSA18" s="69"/>
      <c r="OSB18" s="69"/>
      <c r="OSC18" s="69"/>
      <c r="OSD18" s="69"/>
      <c r="OSE18" s="69"/>
      <c r="OSF18" s="69"/>
      <c r="OSG18" s="69"/>
      <c r="OSH18" s="69"/>
      <c r="OSI18" s="69"/>
      <c r="OSJ18" s="69"/>
      <c r="OSK18" s="69"/>
      <c r="OSL18" s="69"/>
      <c r="OSM18" s="69"/>
      <c r="OSN18" s="69"/>
      <c r="OSO18" s="69"/>
      <c r="OSP18" s="69"/>
      <c r="OSQ18" s="69"/>
      <c r="OSR18" s="69"/>
      <c r="OSS18" s="69"/>
      <c r="OST18" s="69"/>
      <c r="OSU18" s="69"/>
      <c r="OSV18" s="69"/>
      <c r="OSW18" s="69"/>
      <c r="OSX18" s="69"/>
      <c r="OSY18" s="69"/>
      <c r="OSZ18" s="69"/>
      <c r="OTA18" s="69"/>
      <c r="OTB18" s="69"/>
      <c r="OTC18" s="69"/>
      <c r="OTD18" s="69"/>
      <c r="OTE18" s="69"/>
      <c r="OTF18" s="69"/>
      <c r="OTG18" s="69"/>
      <c r="OTH18" s="69"/>
      <c r="OTI18" s="69"/>
      <c r="OTJ18" s="69"/>
      <c r="OTK18" s="69"/>
      <c r="OTL18" s="69"/>
      <c r="OTM18" s="69"/>
      <c r="OTN18" s="69"/>
      <c r="OTO18" s="69"/>
      <c r="OTP18" s="69"/>
      <c r="OTQ18" s="69"/>
      <c r="OTR18" s="69"/>
      <c r="OTS18" s="69"/>
      <c r="OTT18" s="69"/>
      <c r="OTU18" s="69"/>
      <c r="OTV18" s="69"/>
      <c r="OTW18" s="69"/>
      <c r="OTX18" s="69"/>
      <c r="OTY18" s="69"/>
      <c r="OTZ18" s="69"/>
      <c r="OUA18" s="69"/>
      <c r="OUB18" s="69"/>
      <c r="OUC18" s="69"/>
      <c r="OUD18" s="69"/>
      <c r="OUE18" s="69"/>
      <c r="OUF18" s="69"/>
      <c r="OUG18" s="69"/>
      <c r="OUH18" s="69"/>
      <c r="OUI18" s="69"/>
      <c r="OUJ18" s="69"/>
      <c r="OUK18" s="69"/>
      <c r="OUL18" s="69"/>
      <c r="OUM18" s="69"/>
      <c r="OUN18" s="69"/>
      <c r="OUO18" s="69"/>
      <c r="OUP18" s="69"/>
      <c r="OUQ18" s="69"/>
      <c r="OUR18" s="69"/>
      <c r="OUS18" s="69"/>
      <c r="OUT18" s="69"/>
      <c r="OUU18" s="69"/>
      <c r="OUV18" s="69"/>
      <c r="OUW18" s="69"/>
      <c r="OUX18" s="69"/>
      <c r="OUY18" s="69"/>
      <c r="OUZ18" s="69"/>
      <c r="OVA18" s="69"/>
      <c r="OVB18" s="69"/>
      <c r="OVC18" s="69"/>
      <c r="OVD18" s="69"/>
      <c r="OVE18" s="69"/>
      <c r="OVF18" s="69"/>
      <c r="OVG18" s="69"/>
      <c r="OVH18" s="69"/>
      <c r="OVI18" s="69"/>
      <c r="OVJ18" s="69"/>
      <c r="OVK18" s="69"/>
      <c r="OVL18" s="69"/>
      <c r="OVM18" s="69"/>
      <c r="OVN18" s="69"/>
      <c r="OVO18" s="69"/>
      <c r="OVP18" s="69"/>
      <c r="OVQ18" s="69"/>
      <c r="OVR18" s="69"/>
      <c r="OVS18" s="69"/>
      <c r="OVT18" s="69"/>
      <c r="OVU18" s="69"/>
      <c r="OVV18" s="69"/>
      <c r="OVW18" s="69"/>
      <c r="OVX18" s="69"/>
      <c r="OVY18" s="69"/>
      <c r="OVZ18" s="69"/>
      <c r="OWA18" s="69"/>
      <c r="OWB18" s="69"/>
      <c r="OWC18" s="69"/>
      <c r="OWD18" s="69"/>
      <c r="OWE18" s="69"/>
      <c r="OWF18" s="69"/>
      <c r="OWG18" s="69"/>
      <c r="OWH18" s="69"/>
      <c r="OWI18" s="69"/>
      <c r="OWJ18" s="69"/>
      <c r="OWK18" s="69"/>
      <c r="OWL18" s="69"/>
      <c r="OWM18" s="69"/>
      <c r="OWN18" s="69"/>
      <c r="OWO18" s="69"/>
      <c r="OWP18" s="69"/>
      <c r="OWQ18" s="69"/>
      <c r="OWR18" s="69"/>
      <c r="OWS18" s="69"/>
      <c r="OWT18" s="69"/>
      <c r="OWU18" s="69"/>
      <c r="OWV18" s="69"/>
      <c r="OWW18" s="69"/>
      <c r="OWX18" s="69"/>
      <c r="OWY18" s="69"/>
      <c r="OWZ18" s="69"/>
      <c r="OXA18" s="69"/>
      <c r="OXB18" s="69"/>
      <c r="OXC18" s="69"/>
      <c r="OXD18" s="69"/>
      <c r="OXE18" s="69"/>
      <c r="OXF18" s="69"/>
      <c r="OXG18" s="69"/>
      <c r="OXH18" s="69"/>
      <c r="OXI18" s="69"/>
      <c r="OXJ18" s="69"/>
      <c r="OXK18" s="69"/>
      <c r="OXL18" s="69"/>
      <c r="OXM18" s="69"/>
      <c r="OXN18" s="69"/>
      <c r="OXO18" s="69"/>
      <c r="OXP18" s="69"/>
      <c r="OXQ18" s="69"/>
      <c r="OXR18" s="69"/>
      <c r="OXS18" s="69"/>
      <c r="OXT18" s="69"/>
      <c r="OXU18" s="69"/>
      <c r="OXV18" s="69"/>
      <c r="OXW18" s="69"/>
      <c r="OXX18" s="69"/>
      <c r="OXY18" s="69"/>
      <c r="OXZ18" s="69"/>
      <c r="OYA18" s="69"/>
      <c r="OYB18" s="69"/>
      <c r="OYC18" s="69"/>
      <c r="OYD18" s="69"/>
      <c r="OYE18" s="69"/>
      <c r="OYF18" s="69"/>
      <c r="OYG18" s="69"/>
      <c r="OYH18" s="69"/>
      <c r="OYI18" s="69"/>
      <c r="OYJ18" s="69"/>
      <c r="OYK18" s="69"/>
      <c r="OYL18" s="69"/>
      <c r="OYM18" s="69"/>
      <c r="OYN18" s="69"/>
      <c r="OYO18" s="69"/>
      <c r="OYP18" s="69"/>
      <c r="OYQ18" s="69"/>
      <c r="OYR18" s="69"/>
      <c r="OYS18" s="69"/>
      <c r="OYT18" s="69"/>
      <c r="OYU18" s="69"/>
      <c r="OYV18" s="69"/>
      <c r="OYW18" s="69"/>
      <c r="OYX18" s="69"/>
      <c r="OYY18" s="69"/>
      <c r="OYZ18" s="69"/>
      <c r="OZA18" s="69"/>
      <c r="OZB18" s="69"/>
      <c r="OZC18" s="69"/>
      <c r="OZD18" s="69"/>
      <c r="OZE18" s="69"/>
      <c r="OZF18" s="69"/>
      <c r="OZG18" s="69"/>
      <c r="OZH18" s="69"/>
      <c r="OZI18" s="69"/>
      <c r="OZJ18" s="69"/>
      <c r="OZK18" s="69"/>
      <c r="OZL18" s="69"/>
      <c r="OZM18" s="69"/>
      <c r="OZN18" s="69"/>
      <c r="OZO18" s="69"/>
      <c r="OZP18" s="69"/>
      <c r="OZQ18" s="69"/>
      <c r="OZR18" s="69"/>
      <c r="OZS18" s="69"/>
      <c r="OZT18" s="69"/>
      <c r="OZU18" s="69"/>
      <c r="OZV18" s="69"/>
      <c r="OZW18" s="69"/>
      <c r="OZX18" s="69"/>
      <c r="OZY18" s="69"/>
      <c r="OZZ18" s="69"/>
      <c r="PAA18" s="69"/>
      <c r="PAB18" s="69"/>
      <c r="PAC18" s="69"/>
      <c r="PAD18" s="69"/>
      <c r="PAE18" s="69"/>
      <c r="PAF18" s="69"/>
      <c r="PAG18" s="69"/>
      <c r="PAH18" s="69"/>
      <c r="PAI18" s="69"/>
      <c r="PAJ18" s="69"/>
      <c r="PAK18" s="69"/>
      <c r="PAL18" s="69"/>
      <c r="PAM18" s="69"/>
      <c r="PAN18" s="69"/>
      <c r="PAO18" s="69"/>
      <c r="PAP18" s="69"/>
      <c r="PAQ18" s="69"/>
      <c r="PAR18" s="69"/>
      <c r="PAS18" s="69"/>
      <c r="PAT18" s="69"/>
      <c r="PAU18" s="69"/>
      <c r="PAV18" s="69"/>
      <c r="PAW18" s="69"/>
      <c r="PAX18" s="69"/>
      <c r="PAY18" s="69"/>
      <c r="PAZ18" s="69"/>
      <c r="PBA18" s="69"/>
      <c r="PBB18" s="69"/>
      <c r="PBC18" s="69"/>
      <c r="PBD18" s="69"/>
      <c r="PBE18" s="69"/>
      <c r="PBF18" s="69"/>
      <c r="PBG18" s="69"/>
      <c r="PBH18" s="69"/>
      <c r="PBI18" s="69"/>
      <c r="PBJ18" s="69"/>
      <c r="PBK18" s="69"/>
      <c r="PBL18" s="69"/>
      <c r="PBM18" s="69"/>
      <c r="PBN18" s="69"/>
      <c r="PBO18" s="69"/>
      <c r="PBP18" s="69"/>
      <c r="PBQ18" s="69"/>
      <c r="PBR18" s="69"/>
      <c r="PBS18" s="69"/>
      <c r="PBT18" s="69"/>
      <c r="PBU18" s="69"/>
      <c r="PBV18" s="69"/>
      <c r="PBW18" s="69"/>
      <c r="PBX18" s="69"/>
      <c r="PBY18" s="69"/>
      <c r="PBZ18" s="69"/>
      <c r="PCA18" s="69"/>
      <c r="PCB18" s="69"/>
      <c r="PCC18" s="69"/>
      <c r="PCD18" s="69"/>
      <c r="PCE18" s="69"/>
      <c r="PCF18" s="69"/>
      <c r="PCG18" s="69"/>
      <c r="PCH18" s="69"/>
      <c r="PCI18" s="69"/>
      <c r="PCJ18" s="69"/>
      <c r="PCK18" s="69"/>
      <c r="PCL18" s="69"/>
      <c r="PCM18" s="69"/>
      <c r="PCN18" s="69"/>
      <c r="PCO18" s="69"/>
      <c r="PCP18" s="69"/>
      <c r="PCQ18" s="69"/>
      <c r="PCR18" s="69"/>
      <c r="PCS18" s="69"/>
      <c r="PCT18" s="69"/>
      <c r="PCU18" s="69"/>
      <c r="PCV18" s="69"/>
      <c r="PCW18" s="69"/>
      <c r="PCX18" s="69"/>
      <c r="PCY18" s="69"/>
      <c r="PCZ18" s="69"/>
      <c r="PDA18" s="69"/>
      <c r="PDB18" s="69"/>
      <c r="PDC18" s="69"/>
      <c r="PDD18" s="69"/>
      <c r="PDE18" s="69"/>
      <c r="PDF18" s="69"/>
      <c r="PDG18" s="69"/>
      <c r="PDH18" s="69"/>
      <c r="PDI18" s="69"/>
      <c r="PDJ18" s="69"/>
      <c r="PDK18" s="69"/>
      <c r="PDL18" s="69"/>
      <c r="PDM18" s="69"/>
      <c r="PDN18" s="69"/>
      <c r="PDO18" s="69"/>
      <c r="PDP18" s="69"/>
      <c r="PDQ18" s="69"/>
      <c r="PDR18" s="69"/>
      <c r="PDS18" s="69"/>
      <c r="PDT18" s="69"/>
      <c r="PDU18" s="69"/>
      <c r="PDV18" s="69"/>
      <c r="PDW18" s="69"/>
      <c r="PDX18" s="69"/>
      <c r="PDY18" s="69"/>
      <c r="PDZ18" s="69"/>
      <c r="PEA18" s="69"/>
      <c r="PEB18" s="69"/>
      <c r="PEC18" s="69"/>
      <c r="PED18" s="69"/>
      <c r="PEE18" s="69"/>
      <c r="PEF18" s="69"/>
      <c r="PEG18" s="69"/>
      <c r="PEH18" s="69"/>
      <c r="PEI18" s="69"/>
      <c r="PEJ18" s="69"/>
      <c r="PEK18" s="69"/>
      <c r="PEL18" s="69"/>
      <c r="PEM18" s="69"/>
      <c r="PEN18" s="69"/>
      <c r="PEO18" s="69"/>
      <c r="PEP18" s="69"/>
      <c r="PEQ18" s="69"/>
      <c r="PER18" s="69"/>
      <c r="PES18" s="69"/>
      <c r="PET18" s="69"/>
      <c r="PEU18" s="69"/>
      <c r="PEV18" s="69"/>
      <c r="PEW18" s="69"/>
      <c r="PEX18" s="69"/>
      <c r="PEY18" s="69"/>
      <c r="PEZ18" s="69"/>
      <c r="PFA18" s="69"/>
      <c r="PFB18" s="69"/>
      <c r="PFC18" s="69"/>
      <c r="PFD18" s="69"/>
      <c r="PFE18" s="69"/>
      <c r="PFF18" s="69"/>
      <c r="PFG18" s="69"/>
      <c r="PFH18" s="69"/>
      <c r="PFI18" s="69"/>
      <c r="PFJ18" s="69"/>
      <c r="PFK18" s="69"/>
      <c r="PFL18" s="69"/>
      <c r="PFM18" s="69"/>
      <c r="PFN18" s="69"/>
      <c r="PFO18" s="69"/>
      <c r="PFP18" s="69"/>
      <c r="PFQ18" s="69"/>
      <c r="PFR18" s="69"/>
      <c r="PFS18" s="69"/>
      <c r="PFT18" s="69"/>
      <c r="PFU18" s="69"/>
      <c r="PFV18" s="69"/>
      <c r="PFW18" s="69"/>
      <c r="PFX18" s="69"/>
      <c r="PFY18" s="69"/>
      <c r="PFZ18" s="69"/>
      <c r="PGA18" s="69"/>
      <c r="PGB18" s="69"/>
      <c r="PGC18" s="69"/>
      <c r="PGD18" s="69"/>
      <c r="PGE18" s="69"/>
      <c r="PGF18" s="69"/>
      <c r="PGG18" s="69"/>
      <c r="PGH18" s="69"/>
      <c r="PGI18" s="69"/>
      <c r="PGJ18" s="69"/>
      <c r="PGK18" s="69"/>
      <c r="PGL18" s="69"/>
      <c r="PGM18" s="69"/>
      <c r="PGN18" s="69"/>
      <c r="PGO18" s="69"/>
      <c r="PGP18" s="69"/>
      <c r="PGQ18" s="69"/>
      <c r="PGR18" s="69"/>
      <c r="PGS18" s="69"/>
      <c r="PGT18" s="69"/>
      <c r="PGU18" s="69"/>
      <c r="PGV18" s="69"/>
      <c r="PGW18" s="69"/>
      <c r="PGX18" s="69"/>
      <c r="PGY18" s="69"/>
      <c r="PGZ18" s="69"/>
      <c r="PHA18" s="69"/>
      <c r="PHB18" s="69"/>
      <c r="PHC18" s="69"/>
      <c r="PHD18" s="69"/>
      <c r="PHE18" s="69"/>
      <c r="PHF18" s="69"/>
      <c r="PHG18" s="69"/>
      <c r="PHH18" s="69"/>
      <c r="PHI18" s="69"/>
      <c r="PHJ18" s="69"/>
      <c r="PHK18" s="69"/>
      <c r="PHL18" s="69"/>
      <c r="PHM18" s="69"/>
      <c r="PHN18" s="69"/>
      <c r="PHO18" s="69"/>
      <c r="PHP18" s="69"/>
      <c r="PHQ18" s="69"/>
      <c r="PHR18" s="69"/>
      <c r="PHS18" s="69"/>
      <c r="PHT18" s="69"/>
      <c r="PHU18" s="69"/>
      <c r="PHV18" s="69"/>
      <c r="PHW18" s="69"/>
      <c r="PHX18" s="69"/>
      <c r="PHY18" s="69"/>
      <c r="PHZ18" s="69"/>
      <c r="PIA18" s="69"/>
      <c r="PIB18" s="69"/>
      <c r="PIC18" s="69"/>
      <c r="PID18" s="69"/>
      <c r="PIE18" s="69"/>
      <c r="PIF18" s="69"/>
      <c r="PIG18" s="69"/>
      <c r="PIH18" s="69"/>
      <c r="PII18" s="69"/>
      <c r="PIJ18" s="69"/>
      <c r="PIK18" s="69"/>
      <c r="PIL18" s="69"/>
      <c r="PIM18" s="69"/>
      <c r="PIN18" s="69"/>
      <c r="PIO18" s="69"/>
      <c r="PIP18" s="69"/>
      <c r="PIQ18" s="69"/>
      <c r="PIR18" s="69"/>
      <c r="PIS18" s="69"/>
      <c r="PIT18" s="69"/>
      <c r="PIU18" s="69"/>
      <c r="PIV18" s="69"/>
      <c r="PIW18" s="69"/>
      <c r="PIX18" s="69"/>
      <c r="PIY18" s="69"/>
      <c r="PIZ18" s="69"/>
      <c r="PJA18" s="69"/>
      <c r="PJB18" s="69"/>
      <c r="PJC18" s="69"/>
      <c r="PJD18" s="69"/>
      <c r="PJE18" s="69"/>
      <c r="PJF18" s="69"/>
      <c r="PJG18" s="69"/>
      <c r="PJH18" s="69"/>
      <c r="PJI18" s="69"/>
      <c r="PJJ18" s="69"/>
      <c r="PJK18" s="69"/>
      <c r="PJL18" s="69"/>
      <c r="PJM18" s="69"/>
      <c r="PJN18" s="69"/>
      <c r="PJO18" s="69"/>
      <c r="PJP18" s="69"/>
      <c r="PJQ18" s="69"/>
      <c r="PJR18" s="69"/>
      <c r="PJS18" s="69"/>
      <c r="PJT18" s="69"/>
      <c r="PJU18" s="69"/>
      <c r="PJV18" s="69"/>
      <c r="PJW18" s="69"/>
      <c r="PJX18" s="69"/>
      <c r="PJY18" s="69"/>
      <c r="PJZ18" s="69"/>
      <c r="PKA18" s="69"/>
      <c r="PKB18" s="69"/>
      <c r="PKC18" s="69"/>
      <c r="PKD18" s="69"/>
      <c r="PKE18" s="69"/>
      <c r="PKF18" s="69"/>
      <c r="PKG18" s="69"/>
      <c r="PKH18" s="69"/>
      <c r="PKI18" s="69"/>
      <c r="PKJ18" s="69"/>
      <c r="PKK18" s="69"/>
      <c r="PKL18" s="69"/>
      <c r="PKM18" s="69"/>
      <c r="PKN18" s="69"/>
      <c r="PKO18" s="69"/>
      <c r="PKP18" s="69"/>
      <c r="PKQ18" s="69"/>
      <c r="PKR18" s="69"/>
      <c r="PKS18" s="69"/>
      <c r="PKT18" s="69"/>
      <c r="PKU18" s="69"/>
      <c r="PKV18" s="69"/>
      <c r="PKW18" s="69"/>
      <c r="PKX18" s="69"/>
      <c r="PKY18" s="69"/>
      <c r="PKZ18" s="69"/>
      <c r="PLA18" s="69"/>
      <c r="PLB18" s="69"/>
      <c r="PLC18" s="69"/>
      <c r="PLD18" s="69"/>
      <c r="PLE18" s="69"/>
      <c r="PLF18" s="69"/>
      <c r="PLG18" s="69"/>
      <c r="PLH18" s="69"/>
      <c r="PLI18" s="69"/>
      <c r="PLJ18" s="69"/>
      <c r="PLK18" s="69"/>
      <c r="PLL18" s="69"/>
      <c r="PLM18" s="69"/>
      <c r="PLN18" s="69"/>
      <c r="PLO18" s="69"/>
      <c r="PLP18" s="69"/>
      <c r="PLQ18" s="69"/>
      <c r="PLR18" s="69"/>
      <c r="PLS18" s="69"/>
      <c r="PLT18" s="69"/>
      <c r="PLU18" s="69"/>
      <c r="PLV18" s="69"/>
      <c r="PLW18" s="69"/>
      <c r="PLX18" s="69"/>
      <c r="PLY18" s="69"/>
      <c r="PLZ18" s="69"/>
      <c r="PMA18" s="69"/>
      <c r="PMB18" s="69"/>
      <c r="PMC18" s="69"/>
      <c r="PMD18" s="69"/>
      <c r="PME18" s="69"/>
      <c r="PMF18" s="69"/>
      <c r="PMG18" s="69"/>
      <c r="PMH18" s="69"/>
      <c r="PMI18" s="69"/>
      <c r="PMJ18" s="69"/>
      <c r="PMK18" s="69"/>
      <c r="PML18" s="69"/>
      <c r="PMM18" s="69"/>
      <c r="PMN18" s="69"/>
      <c r="PMO18" s="69"/>
      <c r="PMP18" s="69"/>
      <c r="PMQ18" s="69"/>
      <c r="PMR18" s="69"/>
      <c r="PMS18" s="69"/>
      <c r="PMT18" s="69"/>
      <c r="PMU18" s="69"/>
      <c r="PMV18" s="69"/>
      <c r="PMW18" s="69"/>
      <c r="PMX18" s="69"/>
      <c r="PMY18" s="69"/>
      <c r="PMZ18" s="69"/>
      <c r="PNA18" s="69"/>
      <c r="PNB18" s="69"/>
      <c r="PNC18" s="69"/>
      <c r="PND18" s="69"/>
      <c r="PNE18" s="69"/>
      <c r="PNF18" s="69"/>
      <c r="PNG18" s="69"/>
      <c r="PNH18" s="69"/>
      <c r="PNI18" s="69"/>
      <c r="PNJ18" s="69"/>
      <c r="PNK18" s="69"/>
      <c r="PNL18" s="69"/>
      <c r="PNM18" s="69"/>
      <c r="PNN18" s="69"/>
      <c r="PNO18" s="69"/>
      <c r="PNP18" s="69"/>
      <c r="PNQ18" s="69"/>
      <c r="PNR18" s="69"/>
      <c r="PNS18" s="69"/>
      <c r="PNT18" s="69"/>
      <c r="PNU18" s="69"/>
      <c r="PNV18" s="69"/>
      <c r="PNW18" s="69"/>
      <c r="PNX18" s="69"/>
      <c r="PNY18" s="69"/>
      <c r="PNZ18" s="69"/>
      <c r="POA18" s="69"/>
      <c r="POB18" s="69"/>
      <c r="POC18" s="69"/>
      <c r="POD18" s="69"/>
      <c r="POE18" s="69"/>
      <c r="POF18" s="69"/>
      <c r="POG18" s="69"/>
      <c r="POH18" s="69"/>
      <c r="POI18" s="69"/>
      <c r="POJ18" s="69"/>
      <c r="POK18" s="69"/>
      <c r="POL18" s="69"/>
      <c r="POM18" s="69"/>
      <c r="PON18" s="69"/>
      <c r="POO18" s="69"/>
      <c r="POP18" s="69"/>
      <c r="POQ18" s="69"/>
      <c r="POR18" s="69"/>
      <c r="POS18" s="69"/>
      <c r="POT18" s="69"/>
      <c r="POU18" s="69"/>
      <c r="POV18" s="69"/>
      <c r="POW18" s="69"/>
      <c r="POX18" s="69"/>
      <c r="POY18" s="69"/>
      <c r="POZ18" s="69"/>
      <c r="PPA18" s="69"/>
      <c r="PPB18" s="69"/>
      <c r="PPC18" s="69"/>
      <c r="PPD18" s="69"/>
      <c r="PPE18" s="69"/>
      <c r="PPF18" s="69"/>
      <c r="PPG18" s="69"/>
      <c r="PPH18" s="69"/>
      <c r="PPI18" s="69"/>
      <c r="PPJ18" s="69"/>
      <c r="PPK18" s="69"/>
      <c r="PPL18" s="69"/>
      <c r="PPM18" s="69"/>
      <c r="PPN18" s="69"/>
      <c r="PPO18" s="69"/>
      <c r="PPP18" s="69"/>
      <c r="PPQ18" s="69"/>
      <c r="PPR18" s="69"/>
      <c r="PPS18" s="69"/>
      <c r="PPT18" s="69"/>
      <c r="PPU18" s="69"/>
      <c r="PPV18" s="69"/>
      <c r="PPW18" s="69"/>
      <c r="PPX18" s="69"/>
      <c r="PPY18" s="69"/>
      <c r="PPZ18" s="69"/>
      <c r="PQA18" s="69"/>
      <c r="PQB18" s="69"/>
      <c r="PQC18" s="69"/>
      <c r="PQD18" s="69"/>
      <c r="PQE18" s="69"/>
      <c r="PQF18" s="69"/>
      <c r="PQG18" s="69"/>
      <c r="PQH18" s="69"/>
      <c r="PQI18" s="69"/>
      <c r="PQJ18" s="69"/>
      <c r="PQK18" s="69"/>
      <c r="PQL18" s="69"/>
      <c r="PQM18" s="69"/>
      <c r="PQN18" s="69"/>
      <c r="PQO18" s="69"/>
      <c r="PQP18" s="69"/>
      <c r="PQQ18" s="69"/>
      <c r="PQR18" s="69"/>
      <c r="PQS18" s="69"/>
      <c r="PQT18" s="69"/>
      <c r="PQU18" s="69"/>
      <c r="PQV18" s="69"/>
      <c r="PQW18" s="69"/>
      <c r="PQX18" s="69"/>
      <c r="PQY18" s="69"/>
      <c r="PQZ18" s="69"/>
      <c r="PRA18" s="69"/>
      <c r="PRB18" s="69"/>
      <c r="PRC18" s="69"/>
      <c r="PRD18" s="69"/>
      <c r="PRE18" s="69"/>
      <c r="PRF18" s="69"/>
      <c r="PRG18" s="69"/>
      <c r="PRH18" s="69"/>
      <c r="PRI18" s="69"/>
      <c r="PRJ18" s="69"/>
      <c r="PRK18" s="69"/>
      <c r="PRL18" s="69"/>
      <c r="PRM18" s="69"/>
      <c r="PRN18" s="69"/>
      <c r="PRO18" s="69"/>
      <c r="PRP18" s="69"/>
      <c r="PRQ18" s="69"/>
      <c r="PRR18" s="69"/>
      <c r="PRS18" s="69"/>
      <c r="PRT18" s="69"/>
      <c r="PRU18" s="69"/>
      <c r="PRV18" s="69"/>
      <c r="PRW18" s="69"/>
      <c r="PRX18" s="69"/>
      <c r="PRY18" s="69"/>
      <c r="PRZ18" s="69"/>
      <c r="PSA18" s="69"/>
      <c r="PSB18" s="69"/>
      <c r="PSC18" s="69"/>
      <c r="PSD18" s="69"/>
      <c r="PSE18" s="69"/>
      <c r="PSF18" s="69"/>
      <c r="PSG18" s="69"/>
      <c r="PSH18" s="69"/>
      <c r="PSI18" s="69"/>
      <c r="PSJ18" s="69"/>
      <c r="PSK18" s="69"/>
      <c r="PSL18" s="69"/>
      <c r="PSM18" s="69"/>
      <c r="PSN18" s="69"/>
      <c r="PSO18" s="69"/>
      <c r="PSP18" s="69"/>
      <c r="PSQ18" s="69"/>
      <c r="PSR18" s="69"/>
      <c r="PSS18" s="69"/>
      <c r="PST18" s="69"/>
      <c r="PSU18" s="69"/>
      <c r="PSV18" s="69"/>
      <c r="PSW18" s="69"/>
      <c r="PSX18" s="69"/>
      <c r="PSY18" s="69"/>
      <c r="PSZ18" s="69"/>
      <c r="PTA18" s="69"/>
      <c r="PTB18" s="69"/>
      <c r="PTC18" s="69"/>
      <c r="PTD18" s="69"/>
      <c r="PTE18" s="69"/>
      <c r="PTF18" s="69"/>
      <c r="PTG18" s="69"/>
      <c r="PTH18" s="69"/>
      <c r="PTI18" s="69"/>
      <c r="PTJ18" s="69"/>
      <c r="PTK18" s="69"/>
      <c r="PTL18" s="69"/>
      <c r="PTM18" s="69"/>
      <c r="PTN18" s="69"/>
      <c r="PTO18" s="69"/>
      <c r="PTP18" s="69"/>
      <c r="PTQ18" s="69"/>
      <c r="PTR18" s="69"/>
      <c r="PTS18" s="69"/>
      <c r="PTT18" s="69"/>
      <c r="PTU18" s="69"/>
      <c r="PTV18" s="69"/>
      <c r="PTW18" s="69"/>
      <c r="PTX18" s="69"/>
      <c r="PTY18" s="69"/>
      <c r="PTZ18" s="69"/>
      <c r="PUA18" s="69"/>
      <c r="PUB18" s="69"/>
      <c r="PUC18" s="69"/>
      <c r="PUD18" s="69"/>
      <c r="PUE18" s="69"/>
      <c r="PUF18" s="69"/>
      <c r="PUG18" s="69"/>
      <c r="PUH18" s="69"/>
      <c r="PUI18" s="69"/>
      <c r="PUJ18" s="69"/>
      <c r="PUK18" s="69"/>
      <c r="PUL18" s="69"/>
      <c r="PUM18" s="69"/>
      <c r="PUN18" s="69"/>
      <c r="PUO18" s="69"/>
      <c r="PUP18" s="69"/>
      <c r="PUQ18" s="69"/>
      <c r="PUR18" s="69"/>
      <c r="PUS18" s="69"/>
      <c r="PUT18" s="69"/>
      <c r="PUU18" s="69"/>
      <c r="PUV18" s="69"/>
      <c r="PUW18" s="69"/>
      <c r="PUX18" s="69"/>
      <c r="PUY18" s="69"/>
      <c r="PUZ18" s="69"/>
      <c r="PVA18" s="69"/>
      <c r="PVB18" s="69"/>
      <c r="PVC18" s="69"/>
      <c r="PVD18" s="69"/>
      <c r="PVE18" s="69"/>
      <c r="PVF18" s="69"/>
      <c r="PVG18" s="69"/>
      <c r="PVH18" s="69"/>
      <c r="PVI18" s="69"/>
      <c r="PVJ18" s="69"/>
      <c r="PVK18" s="69"/>
      <c r="PVL18" s="69"/>
      <c r="PVM18" s="69"/>
      <c r="PVN18" s="69"/>
      <c r="PVO18" s="69"/>
      <c r="PVP18" s="69"/>
      <c r="PVQ18" s="69"/>
      <c r="PVR18" s="69"/>
      <c r="PVS18" s="69"/>
      <c r="PVT18" s="69"/>
      <c r="PVU18" s="69"/>
      <c r="PVV18" s="69"/>
      <c r="PVW18" s="69"/>
      <c r="PVX18" s="69"/>
      <c r="PVY18" s="69"/>
      <c r="PVZ18" s="69"/>
      <c r="PWA18" s="69"/>
      <c r="PWB18" s="69"/>
      <c r="PWC18" s="69"/>
      <c r="PWD18" s="69"/>
      <c r="PWE18" s="69"/>
      <c r="PWF18" s="69"/>
      <c r="PWG18" s="69"/>
      <c r="PWH18" s="69"/>
      <c r="PWI18" s="69"/>
      <c r="PWJ18" s="69"/>
      <c r="PWK18" s="69"/>
      <c r="PWL18" s="69"/>
      <c r="PWM18" s="69"/>
      <c r="PWN18" s="69"/>
      <c r="PWO18" s="69"/>
      <c r="PWP18" s="69"/>
      <c r="PWQ18" s="69"/>
      <c r="PWR18" s="69"/>
      <c r="PWS18" s="69"/>
      <c r="PWT18" s="69"/>
      <c r="PWU18" s="69"/>
      <c r="PWV18" s="69"/>
      <c r="PWW18" s="69"/>
      <c r="PWX18" s="69"/>
      <c r="PWY18" s="69"/>
      <c r="PWZ18" s="69"/>
      <c r="PXA18" s="69"/>
      <c r="PXB18" s="69"/>
      <c r="PXC18" s="69"/>
      <c r="PXD18" s="69"/>
      <c r="PXE18" s="69"/>
      <c r="PXF18" s="69"/>
      <c r="PXG18" s="69"/>
      <c r="PXH18" s="69"/>
      <c r="PXI18" s="69"/>
      <c r="PXJ18" s="69"/>
      <c r="PXK18" s="69"/>
      <c r="PXL18" s="69"/>
      <c r="PXM18" s="69"/>
      <c r="PXN18" s="69"/>
      <c r="PXO18" s="69"/>
      <c r="PXP18" s="69"/>
      <c r="PXQ18" s="69"/>
      <c r="PXR18" s="69"/>
      <c r="PXS18" s="69"/>
      <c r="PXT18" s="69"/>
      <c r="PXU18" s="69"/>
      <c r="PXV18" s="69"/>
      <c r="PXW18" s="69"/>
      <c r="PXX18" s="69"/>
      <c r="PXY18" s="69"/>
      <c r="PXZ18" s="69"/>
      <c r="PYA18" s="69"/>
      <c r="PYB18" s="69"/>
      <c r="PYC18" s="69"/>
      <c r="PYD18" s="69"/>
      <c r="PYE18" s="69"/>
      <c r="PYF18" s="69"/>
      <c r="PYG18" s="69"/>
      <c r="PYH18" s="69"/>
      <c r="PYI18" s="69"/>
      <c r="PYJ18" s="69"/>
      <c r="PYK18" s="69"/>
      <c r="PYL18" s="69"/>
      <c r="PYM18" s="69"/>
      <c r="PYN18" s="69"/>
      <c r="PYO18" s="69"/>
      <c r="PYP18" s="69"/>
      <c r="PYQ18" s="69"/>
      <c r="PYR18" s="69"/>
      <c r="PYS18" s="69"/>
      <c r="PYT18" s="69"/>
      <c r="PYU18" s="69"/>
      <c r="PYV18" s="69"/>
      <c r="PYW18" s="69"/>
      <c r="PYX18" s="69"/>
      <c r="PYY18" s="69"/>
      <c r="PYZ18" s="69"/>
      <c r="PZA18" s="69"/>
      <c r="PZB18" s="69"/>
      <c r="PZC18" s="69"/>
      <c r="PZD18" s="69"/>
      <c r="PZE18" s="69"/>
      <c r="PZF18" s="69"/>
      <c r="PZG18" s="69"/>
      <c r="PZH18" s="69"/>
      <c r="PZI18" s="69"/>
      <c r="PZJ18" s="69"/>
      <c r="PZK18" s="69"/>
      <c r="PZL18" s="69"/>
      <c r="PZM18" s="69"/>
      <c r="PZN18" s="69"/>
      <c r="PZO18" s="69"/>
      <c r="PZP18" s="69"/>
      <c r="PZQ18" s="69"/>
      <c r="PZR18" s="69"/>
      <c r="PZS18" s="69"/>
      <c r="PZT18" s="69"/>
      <c r="PZU18" s="69"/>
      <c r="PZV18" s="69"/>
      <c r="PZW18" s="69"/>
      <c r="PZX18" s="69"/>
      <c r="PZY18" s="69"/>
      <c r="PZZ18" s="69"/>
      <c r="QAA18" s="69"/>
      <c r="QAB18" s="69"/>
      <c r="QAC18" s="69"/>
      <c r="QAD18" s="69"/>
      <c r="QAE18" s="69"/>
      <c r="QAF18" s="69"/>
      <c r="QAG18" s="69"/>
      <c r="QAH18" s="69"/>
      <c r="QAI18" s="69"/>
      <c r="QAJ18" s="69"/>
      <c r="QAK18" s="69"/>
      <c r="QAL18" s="69"/>
      <c r="QAM18" s="69"/>
      <c r="QAN18" s="69"/>
      <c r="QAO18" s="69"/>
      <c r="QAP18" s="69"/>
      <c r="QAQ18" s="69"/>
      <c r="QAR18" s="69"/>
      <c r="QAS18" s="69"/>
      <c r="QAT18" s="69"/>
      <c r="QAU18" s="69"/>
      <c r="QAV18" s="69"/>
      <c r="QAW18" s="69"/>
      <c r="QAX18" s="69"/>
      <c r="QAY18" s="69"/>
      <c r="QAZ18" s="69"/>
      <c r="QBA18" s="69"/>
      <c r="QBB18" s="69"/>
      <c r="QBC18" s="69"/>
      <c r="QBD18" s="69"/>
      <c r="QBE18" s="69"/>
      <c r="QBF18" s="69"/>
      <c r="QBG18" s="69"/>
      <c r="QBH18" s="69"/>
      <c r="QBI18" s="69"/>
      <c r="QBJ18" s="69"/>
      <c r="QBK18" s="69"/>
      <c r="QBL18" s="69"/>
      <c r="QBM18" s="69"/>
      <c r="QBN18" s="69"/>
      <c r="QBO18" s="69"/>
      <c r="QBP18" s="69"/>
      <c r="QBQ18" s="69"/>
      <c r="QBR18" s="69"/>
      <c r="QBS18" s="69"/>
      <c r="QBT18" s="69"/>
      <c r="QBU18" s="69"/>
      <c r="QBV18" s="69"/>
      <c r="QBW18" s="69"/>
      <c r="QBX18" s="69"/>
      <c r="QBY18" s="69"/>
      <c r="QBZ18" s="69"/>
      <c r="QCA18" s="69"/>
      <c r="QCB18" s="69"/>
      <c r="QCC18" s="69"/>
      <c r="QCD18" s="69"/>
      <c r="QCE18" s="69"/>
      <c r="QCF18" s="69"/>
      <c r="QCG18" s="69"/>
      <c r="QCH18" s="69"/>
      <c r="QCI18" s="69"/>
      <c r="QCJ18" s="69"/>
      <c r="QCK18" s="69"/>
      <c r="QCL18" s="69"/>
      <c r="QCM18" s="69"/>
      <c r="QCN18" s="69"/>
      <c r="QCO18" s="69"/>
      <c r="QCP18" s="69"/>
      <c r="QCQ18" s="69"/>
      <c r="QCR18" s="69"/>
      <c r="QCS18" s="69"/>
      <c r="QCT18" s="69"/>
      <c r="QCU18" s="69"/>
      <c r="QCV18" s="69"/>
      <c r="QCW18" s="69"/>
      <c r="QCX18" s="69"/>
      <c r="QCY18" s="69"/>
      <c r="QCZ18" s="69"/>
      <c r="QDA18" s="69"/>
      <c r="QDB18" s="69"/>
      <c r="QDC18" s="69"/>
      <c r="QDD18" s="69"/>
      <c r="QDE18" s="69"/>
      <c r="QDF18" s="69"/>
      <c r="QDG18" s="69"/>
      <c r="QDH18" s="69"/>
      <c r="QDI18" s="69"/>
      <c r="QDJ18" s="69"/>
      <c r="QDK18" s="69"/>
      <c r="QDL18" s="69"/>
      <c r="QDM18" s="69"/>
      <c r="QDN18" s="69"/>
      <c r="QDO18" s="69"/>
      <c r="QDP18" s="69"/>
      <c r="QDQ18" s="69"/>
      <c r="QDR18" s="69"/>
      <c r="QDS18" s="69"/>
      <c r="QDT18" s="69"/>
      <c r="QDU18" s="69"/>
      <c r="QDV18" s="69"/>
      <c r="QDW18" s="69"/>
      <c r="QDX18" s="69"/>
      <c r="QDY18" s="69"/>
      <c r="QDZ18" s="69"/>
      <c r="QEA18" s="69"/>
      <c r="QEB18" s="69"/>
      <c r="QEC18" s="69"/>
      <c r="QED18" s="69"/>
      <c r="QEE18" s="69"/>
      <c r="QEF18" s="69"/>
      <c r="QEG18" s="69"/>
      <c r="QEH18" s="69"/>
      <c r="QEI18" s="69"/>
      <c r="QEJ18" s="69"/>
      <c r="QEK18" s="69"/>
      <c r="QEL18" s="69"/>
      <c r="QEM18" s="69"/>
      <c r="QEN18" s="69"/>
      <c r="QEO18" s="69"/>
      <c r="QEP18" s="69"/>
      <c r="QEQ18" s="69"/>
      <c r="QER18" s="69"/>
      <c r="QES18" s="69"/>
      <c r="QET18" s="69"/>
      <c r="QEU18" s="69"/>
      <c r="QEV18" s="69"/>
      <c r="QEW18" s="69"/>
      <c r="QEX18" s="69"/>
      <c r="QEY18" s="69"/>
      <c r="QEZ18" s="69"/>
      <c r="QFA18" s="69"/>
      <c r="QFB18" s="69"/>
      <c r="QFC18" s="69"/>
      <c r="QFD18" s="69"/>
      <c r="QFE18" s="69"/>
      <c r="QFF18" s="69"/>
      <c r="QFG18" s="69"/>
      <c r="QFH18" s="69"/>
      <c r="QFI18" s="69"/>
      <c r="QFJ18" s="69"/>
      <c r="QFK18" s="69"/>
      <c r="QFL18" s="69"/>
      <c r="QFM18" s="69"/>
      <c r="QFN18" s="69"/>
      <c r="QFO18" s="69"/>
      <c r="QFP18" s="69"/>
      <c r="QFQ18" s="69"/>
      <c r="QFR18" s="69"/>
      <c r="QFS18" s="69"/>
      <c r="QFT18" s="69"/>
      <c r="QFU18" s="69"/>
      <c r="QFV18" s="69"/>
      <c r="QFW18" s="69"/>
      <c r="QFX18" s="69"/>
      <c r="QFY18" s="69"/>
      <c r="QFZ18" s="69"/>
      <c r="QGA18" s="69"/>
      <c r="QGB18" s="69"/>
      <c r="QGC18" s="69"/>
      <c r="QGD18" s="69"/>
      <c r="QGE18" s="69"/>
      <c r="QGF18" s="69"/>
      <c r="QGG18" s="69"/>
      <c r="QGH18" s="69"/>
      <c r="QGI18" s="69"/>
      <c r="QGJ18" s="69"/>
      <c r="QGK18" s="69"/>
      <c r="QGL18" s="69"/>
      <c r="QGM18" s="69"/>
      <c r="QGN18" s="69"/>
      <c r="QGO18" s="69"/>
      <c r="QGP18" s="69"/>
      <c r="QGQ18" s="69"/>
      <c r="QGR18" s="69"/>
      <c r="QGS18" s="69"/>
      <c r="QGT18" s="69"/>
      <c r="QGU18" s="69"/>
      <c r="QGV18" s="69"/>
      <c r="QGW18" s="69"/>
      <c r="QGX18" s="69"/>
      <c r="QGY18" s="69"/>
      <c r="QGZ18" s="69"/>
      <c r="QHA18" s="69"/>
      <c r="QHB18" s="69"/>
      <c r="QHC18" s="69"/>
      <c r="QHD18" s="69"/>
      <c r="QHE18" s="69"/>
      <c r="QHF18" s="69"/>
      <c r="QHG18" s="69"/>
      <c r="QHH18" s="69"/>
      <c r="QHI18" s="69"/>
      <c r="QHJ18" s="69"/>
      <c r="QHK18" s="69"/>
      <c r="QHL18" s="69"/>
      <c r="QHM18" s="69"/>
      <c r="QHN18" s="69"/>
      <c r="QHO18" s="69"/>
      <c r="QHP18" s="69"/>
      <c r="QHQ18" s="69"/>
      <c r="QHR18" s="69"/>
      <c r="QHS18" s="69"/>
      <c r="QHT18" s="69"/>
      <c r="QHU18" s="69"/>
      <c r="QHV18" s="69"/>
      <c r="QHW18" s="69"/>
      <c r="QHX18" s="69"/>
      <c r="QHY18" s="69"/>
      <c r="QHZ18" s="69"/>
      <c r="QIA18" s="69"/>
      <c r="QIB18" s="69"/>
      <c r="QIC18" s="69"/>
      <c r="QID18" s="69"/>
      <c r="QIE18" s="69"/>
      <c r="QIF18" s="69"/>
      <c r="QIG18" s="69"/>
      <c r="QIH18" s="69"/>
      <c r="QII18" s="69"/>
      <c r="QIJ18" s="69"/>
      <c r="QIK18" s="69"/>
      <c r="QIL18" s="69"/>
      <c r="QIM18" s="69"/>
      <c r="QIN18" s="69"/>
      <c r="QIO18" s="69"/>
      <c r="QIP18" s="69"/>
      <c r="QIQ18" s="69"/>
      <c r="QIR18" s="69"/>
      <c r="QIS18" s="69"/>
      <c r="QIT18" s="69"/>
      <c r="QIU18" s="69"/>
      <c r="QIV18" s="69"/>
      <c r="QIW18" s="69"/>
      <c r="QIX18" s="69"/>
      <c r="QIY18" s="69"/>
      <c r="QIZ18" s="69"/>
      <c r="QJA18" s="69"/>
      <c r="QJB18" s="69"/>
      <c r="QJC18" s="69"/>
      <c r="QJD18" s="69"/>
      <c r="QJE18" s="69"/>
      <c r="QJF18" s="69"/>
      <c r="QJG18" s="69"/>
      <c r="QJH18" s="69"/>
      <c r="QJI18" s="69"/>
      <c r="QJJ18" s="69"/>
      <c r="QJK18" s="69"/>
      <c r="QJL18" s="69"/>
      <c r="QJM18" s="69"/>
      <c r="QJN18" s="69"/>
      <c r="QJO18" s="69"/>
      <c r="QJP18" s="69"/>
      <c r="QJQ18" s="69"/>
      <c r="QJR18" s="69"/>
      <c r="QJS18" s="69"/>
      <c r="QJT18" s="69"/>
      <c r="QJU18" s="69"/>
      <c r="QJV18" s="69"/>
      <c r="QJW18" s="69"/>
      <c r="QJX18" s="69"/>
      <c r="QJY18" s="69"/>
      <c r="QJZ18" s="69"/>
      <c r="QKA18" s="69"/>
      <c r="QKB18" s="69"/>
      <c r="QKC18" s="69"/>
      <c r="QKD18" s="69"/>
      <c r="QKE18" s="69"/>
      <c r="QKF18" s="69"/>
      <c r="QKG18" s="69"/>
      <c r="QKH18" s="69"/>
      <c r="QKI18" s="69"/>
      <c r="QKJ18" s="69"/>
      <c r="QKK18" s="69"/>
      <c r="QKL18" s="69"/>
      <c r="QKM18" s="69"/>
      <c r="QKN18" s="69"/>
      <c r="QKO18" s="69"/>
      <c r="QKP18" s="69"/>
      <c r="QKQ18" s="69"/>
      <c r="QKR18" s="69"/>
      <c r="QKS18" s="69"/>
      <c r="QKT18" s="69"/>
      <c r="QKU18" s="69"/>
      <c r="QKV18" s="69"/>
      <c r="QKW18" s="69"/>
      <c r="QKX18" s="69"/>
      <c r="QKY18" s="69"/>
      <c r="QKZ18" s="69"/>
      <c r="QLA18" s="69"/>
      <c r="QLB18" s="69"/>
      <c r="QLC18" s="69"/>
      <c r="QLD18" s="69"/>
      <c r="QLE18" s="69"/>
      <c r="QLF18" s="69"/>
      <c r="QLG18" s="69"/>
      <c r="QLH18" s="69"/>
      <c r="QLI18" s="69"/>
      <c r="QLJ18" s="69"/>
      <c r="QLK18" s="69"/>
      <c r="QLL18" s="69"/>
      <c r="QLM18" s="69"/>
      <c r="QLN18" s="69"/>
      <c r="QLO18" s="69"/>
      <c r="QLP18" s="69"/>
      <c r="QLQ18" s="69"/>
      <c r="QLR18" s="69"/>
      <c r="QLS18" s="69"/>
      <c r="QLT18" s="69"/>
      <c r="QLU18" s="69"/>
      <c r="QLV18" s="69"/>
      <c r="QLW18" s="69"/>
      <c r="QLX18" s="69"/>
      <c r="QLY18" s="69"/>
      <c r="QLZ18" s="69"/>
      <c r="QMA18" s="69"/>
      <c r="QMB18" s="69"/>
      <c r="QMC18" s="69"/>
      <c r="QMD18" s="69"/>
      <c r="QME18" s="69"/>
      <c r="QMF18" s="69"/>
      <c r="QMG18" s="69"/>
      <c r="QMH18" s="69"/>
      <c r="QMI18" s="69"/>
      <c r="QMJ18" s="69"/>
      <c r="QMK18" s="69"/>
      <c r="QML18" s="69"/>
      <c r="QMM18" s="69"/>
      <c r="QMN18" s="69"/>
      <c r="QMO18" s="69"/>
      <c r="QMP18" s="69"/>
      <c r="QMQ18" s="69"/>
      <c r="QMR18" s="69"/>
      <c r="QMS18" s="69"/>
      <c r="QMT18" s="69"/>
      <c r="QMU18" s="69"/>
      <c r="QMV18" s="69"/>
      <c r="QMW18" s="69"/>
      <c r="QMX18" s="69"/>
      <c r="QMY18" s="69"/>
      <c r="QMZ18" s="69"/>
      <c r="QNA18" s="69"/>
      <c r="QNB18" s="69"/>
      <c r="QNC18" s="69"/>
      <c r="QND18" s="69"/>
      <c r="QNE18" s="69"/>
      <c r="QNF18" s="69"/>
      <c r="QNG18" s="69"/>
      <c r="QNH18" s="69"/>
      <c r="QNI18" s="69"/>
      <c r="QNJ18" s="69"/>
      <c r="QNK18" s="69"/>
      <c r="QNL18" s="69"/>
      <c r="QNM18" s="69"/>
      <c r="QNN18" s="69"/>
      <c r="QNO18" s="69"/>
      <c r="QNP18" s="69"/>
      <c r="QNQ18" s="69"/>
      <c r="QNR18" s="69"/>
      <c r="QNS18" s="69"/>
      <c r="QNT18" s="69"/>
      <c r="QNU18" s="69"/>
      <c r="QNV18" s="69"/>
      <c r="QNW18" s="69"/>
      <c r="QNX18" s="69"/>
      <c r="QNY18" s="69"/>
      <c r="QNZ18" s="69"/>
      <c r="QOA18" s="69"/>
      <c r="QOB18" s="69"/>
      <c r="QOC18" s="69"/>
      <c r="QOD18" s="69"/>
      <c r="QOE18" s="69"/>
      <c r="QOF18" s="69"/>
      <c r="QOG18" s="69"/>
      <c r="QOH18" s="69"/>
      <c r="QOI18" s="69"/>
      <c r="QOJ18" s="69"/>
      <c r="QOK18" s="69"/>
      <c r="QOL18" s="69"/>
      <c r="QOM18" s="69"/>
      <c r="QON18" s="69"/>
      <c r="QOO18" s="69"/>
      <c r="QOP18" s="69"/>
      <c r="QOQ18" s="69"/>
      <c r="QOR18" s="69"/>
      <c r="QOS18" s="69"/>
      <c r="QOT18" s="69"/>
      <c r="QOU18" s="69"/>
      <c r="QOV18" s="69"/>
      <c r="QOW18" s="69"/>
      <c r="QOX18" s="69"/>
      <c r="QOY18" s="69"/>
      <c r="QOZ18" s="69"/>
      <c r="QPA18" s="69"/>
      <c r="QPB18" s="69"/>
      <c r="QPC18" s="69"/>
      <c r="QPD18" s="69"/>
      <c r="QPE18" s="69"/>
      <c r="QPF18" s="69"/>
      <c r="QPG18" s="69"/>
      <c r="QPH18" s="69"/>
      <c r="QPI18" s="69"/>
      <c r="QPJ18" s="69"/>
      <c r="QPK18" s="69"/>
      <c r="QPL18" s="69"/>
      <c r="QPM18" s="69"/>
      <c r="QPN18" s="69"/>
      <c r="QPO18" s="69"/>
      <c r="QPP18" s="69"/>
      <c r="QPQ18" s="69"/>
      <c r="QPR18" s="69"/>
      <c r="QPS18" s="69"/>
      <c r="QPT18" s="69"/>
      <c r="QPU18" s="69"/>
      <c r="QPV18" s="69"/>
      <c r="QPW18" s="69"/>
      <c r="QPX18" s="69"/>
      <c r="QPY18" s="69"/>
      <c r="QPZ18" s="69"/>
      <c r="QQA18" s="69"/>
      <c r="QQB18" s="69"/>
      <c r="QQC18" s="69"/>
      <c r="QQD18" s="69"/>
      <c r="QQE18" s="69"/>
      <c r="QQF18" s="69"/>
      <c r="QQG18" s="69"/>
      <c r="QQH18" s="69"/>
      <c r="QQI18" s="69"/>
      <c r="QQJ18" s="69"/>
      <c r="QQK18" s="69"/>
      <c r="QQL18" s="69"/>
      <c r="QQM18" s="69"/>
      <c r="QQN18" s="69"/>
      <c r="QQO18" s="69"/>
      <c r="QQP18" s="69"/>
      <c r="QQQ18" s="69"/>
      <c r="QQR18" s="69"/>
      <c r="QQS18" s="69"/>
      <c r="QQT18" s="69"/>
      <c r="QQU18" s="69"/>
      <c r="QQV18" s="69"/>
      <c r="QQW18" s="69"/>
      <c r="QQX18" s="69"/>
      <c r="QQY18" s="69"/>
      <c r="QQZ18" s="69"/>
      <c r="QRA18" s="69"/>
      <c r="QRB18" s="69"/>
      <c r="QRC18" s="69"/>
      <c r="QRD18" s="69"/>
      <c r="QRE18" s="69"/>
      <c r="QRF18" s="69"/>
      <c r="QRG18" s="69"/>
      <c r="QRH18" s="69"/>
      <c r="QRI18" s="69"/>
      <c r="QRJ18" s="69"/>
      <c r="QRK18" s="69"/>
      <c r="QRL18" s="69"/>
      <c r="QRM18" s="69"/>
      <c r="QRN18" s="69"/>
      <c r="QRO18" s="69"/>
      <c r="QRP18" s="69"/>
      <c r="QRQ18" s="69"/>
      <c r="QRR18" s="69"/>
      <c r="QRS18" s="69"/>
      <c r="QRT18" s="69"/>
      <c r="QRU18" s="69"/>
      <c r="QRV18" s="69"/>
      <c r="QRW18" s="69"/>
      <c r="QRX18" s="69"/>
      <c r="QRY18" s="69"/>
      <c r="QRZ18" s="69"/>
      <c r="QSA18" s="69"/>
      <c r="QSB18" s="69"/>
      <c r="QSC18" s="69"/>
      <c r="QSD18" s="69"/>
      <c r="QSE18" s="69"/>
      <c r="QSF18" s="69"/>
      <c r="QSG18" s="69"/>
      <c r="QSH18" s="69"/>
      <c r="QSI18" s="69"/>
      <c r="QSJ18" s="69"/>
      <c r="QSK18" s="69"/>
      <c r="QSL18" s="69"/>
      <c r="QSM18" s="69"/>
      <c r="QSN18" s="69"/>
      <c r="QSO18" s="69"/>
      <c r="QSP18" s="69"/>
      <c r="QSQ18" s="69"/>
      <c r="QSR18" s="69"/>
      <c r="QSS18" s="69"/>
      <c r="QST18" s="69"/>
      <c r="QSU18" s="69"/>
      <c r="QSV18" s="69"/>
      <c r="QSW18" s="69"/>
      <c r="QSX18" s="69"/>
      <c r="QSY18" s="69"/>
      <c r="QSZ18" s="69"/>
      <c r="QTA18" s="69"/>
      <c r="QTB18" s="69"/>
      <c r="QTC18" s="69"/>
      <c r="QTD18" s="69"/>
      <c r="QTE18" s="69"/>
      <c r="QTF18" s="69"/>
      <c r="QTG18" s="69"/>
      <c r="QTH18" s="69"/>
      <c r="QTI18" s="69"/>
      <c r="QTJ18" s="69"/>
      <c r="QTK18" s="69"/>
      <c r="QTL18" s="69"/>
      <c r="QTM18" s="69"/>
      <c r="QTN18" s="69"/>
      <c r="QTO18" s="69"/>
      <c r="QTP18" s="69"/>
      <c r="QTQ18" s="69"/>
      <c r="QTR18" s="69"/>
      <c r="QTS18" s="69"/>
      <c r="QTT18" s="69"/>
      <c r="QTU18" s="69"/>
      <c r="QTV18" s="69"/>
      <c r="QTW18" s="69"/>
      <c r="QTX18" s="69"/>
      <c r="QTY18" s="69"/>
      <c r="QTZ18" s="69"/>
      <c r="QUA18" s="69"/>
      <c r="QUB18" s="69"/>
      <c r="QUC18" s="69"/>
      <c r="QUD18" s="69"/>
      <c r="QUE18" s="69"/>
      <c r="QUF18" s="69"/>
      <c r="QUG18" s="69"/>
      <c r="QUH18" s="69"/>
      <c r="QUI18" s="69"/>
      <c r="QUJ18" s="69"/>
      <c r="QUK18" s="69"/>
      <c r="QUL18" s="69"/>
      <c r="QUM18" s="69"/>
      <c r="QUN18" s="69"/>
      <c r="QUO18" s="69"/>
      <c r="QUP18" s="69"/>
      <c r="QUQ18" s="69"/>
      <c r="QUR18" s="69"/>
      <c r="QUS18" s="69"/>
      <c r="QUT18" s="69"/>
      <c r="QUU18" s="69"/>
      <c r="QUV18" s="69"/>
      <c r="QUW18" s="69"/>
      <c r="QUX18" s="69"/>
      <c r="QUY18" s="69"/>
      <c r="QUZ18" s="69"/>
      <c r="QVA18" s="69"/>
      <c r="QVB18" s="69"/>
      <c r="QVC18" s="69"/>
      <c r="QVD18" s="69"/>
      <c r="QVE18" s="69"/>
      <c r="QVF18" s="69"/>
      <c r="QVG18" s="69"/>
      <c r="QVH18" s="69"/>
      <c r="QVI18" s="69"/>
      <c r="QVJ18" s="69"/>
      <c r="QVK18" s="69"/>
      <c r="QVL18" s="69"/>
      <c r="QVM18" s="69"/>
      <c r="QVN18" s="69"/>
      <c r="QVO18" s="69"/>
      <c r="QVP18" s="69"/>
      <c r="QVQ18" s="69"/>
      <c r="QVR18" s="69"/>
      <c r="QVS18" s="69"/>
      <c r="QVT18" s="69"/>
      <c r="QVU18" s="69"/>
      <c r="QVV18" s="69"/>
      <c r="QVW18" s="69"/>
      <c r="QVX18" s="69"/>
      <c r="QVY18" s="69"/>
      <c r="QVZ18" s="69"/>
      <c r="QWA18" s="69"/>
      <c r="QWB18" s="69"/>
      <c r="QWC18" s="69"/>
      <c r="QWD18" s="69"/>
      <c r="QWE18" s="69"/>
      <c r="QWF18" s="69"/>
      <c r="QWG18" s="69"/>
      <c r="QWH18" s="69"/>
      <c r="QWI18" s="69"/>
      <c r="QWJ18" s="69"/>
      <c r="QWK18" s="69"/>
      <c r="QWL18" s="69"/>
      <c r="QWM18" s="69"/>
      <c r="QWN18" s="69"/>
      <c r="QWO18" s="69"/>
      <c r="QWP18" s="69"/>
      <c r="QWQ18" s="69"/>
      <c r="QWR18" s="69"/>
      <c r="QWS18" s="69"/>
      <c r="QWT18" s="69"/>
      <c r="QWU18" s="69"/>
      <c r="QWV18" s="69"/>
      <c r="QWW18" s="69"/>
      <c r="QWX18" s="69"/>
      <c r="QWY18" s="69"/>
      <c r="QWZ18" s="69"/>
      <c r="QXA18" s="69"/>
      <c r="QXB18" s="69"/>
      <c r="QXC18" s="69"/>
      <c r="QXD18" s="69"/>
      <c r="QXE18" s="69"/>
      <c r="QXF18" s="69"/>
      <c r="QXG18" s="69"/>
      <c r="QXH18" s="69"/>
      <c r="QXI18" s="69"/>
      <c r="QXJ18" s="69"/>
      <c r="QXK18" s="69"/>
      <c r="QXL18" s="69"/>
      <c r="QXM18" s="69"/>
      <c r="QXN18" s="69"/>
      <c r="QXO18" s="69"/>
      <c r="QXP18" s="69"/>
      <c r="QXQ18" s="69"/>
      <c r="QXR18" s="69"/>
      <c r="QXS18" s="69"/>
      <c r="QXT18" s="69"/>
      <c r="QXU18" s="69"/>
      <c r="QXV18" s="69"/>
      <c r="QXW18" s="69"/>
      <c r="QXX18" s="69"/>
      <c r="QXY18" s="69"/>
      <c r="QXZ18" s="69"/>
      <c r="QYA18" s="69"/>
      <c r="QYB18" s="69"/>
      <c r="QYC18" s="69"/>
      <c r="QYD18" s="69"/>
      <c r="QYE18" s="69"/>
      <c r="QYF18" s="69"/>
      <c r="QYG18" s="69"/>
      <c r="QYH18" s="69"/>
      <c r="QYI18" s="69"/>
      <c r="QYJ18" s="69"/>
      <c r="QYK18" s="69"/>
      <c r="QYL18" s="69"/>
      <c r="QYM18" s="69"/>
      <c r="QYN18" s="69"/>
      <c r="QYO18" s="69"/>
      <c r="QYP18" s="69"/>
      <c r="QYQ18" s="69"/>
      <c r="QYR18" s="69"/>
      <c r="QYS18" s="69"/>
      <c r="QYT18" s="69"/>
      <c r="QYU18" s="69"/>
      <c r="QYV18" s="69"/>
      <c r="QYW18" s="69"/>
      <c r="QYX18" s="69"/>
      <c r="QYY18" s="69"/>
      <c r="QYZ18" s="69"/>
      <c r="QZA18" s="69"/>
      <c r="QZB18" s="69"/>
      <c r="QZC18" s="69"/>
      <c r="QZD18" s="69"/>
      <c r="QZE18" s="69"/>
      <c r="QZF18" s="69"/>
      <c r="QZG18" s="69"/>
      <c r="QZH18" s="69"/>
      <c r="QZI18" s="69"/>
      <c r="QZJ18" s="69"/>
      <c r="QZK18" s="69"/>
      <c r="QZL18" s="69"/>
      <c r="QZM18" s="69"/>
      <c r="QZN18" s="69"/>
      <c r="QZO18" s="69"/>
      <c r="QZP18" s="69"/>
      <c r="QZQ18" s="69"/>
      <c r="QZR18" s="69"/>
      <c r="QZS18" s="69"/>
      <c r="QZT18" s="69"/>
      <c r="QZU18" s="69"/>
      <c r="QZV18" s="69"/>
      <c r="QZW18" s="69"/>
      <c r="QZX18" s="69"/>
      <c r="QZY18" s="69"/>
      <c r="QZZ18" s="69"/>
      <c r="RAA18" s="69"/>
      <c r="RAB18" s="69"/>
      <c r="RAC18" s="69"/>
      <c r="RAD18" s="69"/>
      <c r="RAE18" s="69"/>
      <c r="RAF18" s="69"/>
      <c r="RAG18" s="69"/>
      <c r="RAH18" s="69"/>
      <c r="RAI18" s="69"/>
      <c r="RAJ18" s="69"/>
      <c r="RAK18" s="69"/>
      <c r="RAL18" s="69"/>
      <c r="RAM18" s="69"/>
      <c r="RAN18" s="69"/>
      <c r="RAO18" s="69"/>
      <c r="RAP18" s="69"/>
      <c r="RAQ18" s="69"/>
      <c r="RAR18" s="69"/>
      <c r="RAS18" s="69"/>
      <c r="RAT18" s="69"/>
      <c r="RAU18" s="69"/>
      <c r="RAV18" s="69"/>
      <c r="RAW18" s="69"/>
      <c r="RAX18" s="69"/>
      <c r="RAY18" s="69"/>
      <c r="RAZ18" s="69"/>
      <c r="RBA18" s="69"/>
      <c r="RBB18" s="69"/>
      <c r="RBC18" s="69"/>
      <c r="RBD18" s="69"/>
      <c r="RBE18" s="69"/>
      <c r="RBF18" s="69"/>
      <c r="RBG18" s="69"/>
      <c r="RBH18" s="69"/>
      <c r="RBI18" s="69"/>
      <c r="RBJ18" s="69"/>
      <c r="RBK18" s="69"/>
      <c r="RBL18" s="69"/>
      <c r="RBM18" s="69"/>
      <c r="RBN18" s="69"/>
      <c r="RBO18" s="69"/>
      <c r="RBP18" s="69"/>
      <c r="RBQ18" s="69"/>
      <c r="RBR18" s="69"/>
      <c r="RBS18" s="69"/>
      <c r="RBT18" s="69"/>
      <c r="RBU18" s="69"/>
      <c r="RBV18" s="69"/>
      <c r="RBW18" s="69"/>
      <c r="RBX18" s="69"/>
      <c r="RBY18" s="69"/>
      <c r="RBZ18" s="69"/>
      <c r="RCA18" s="69"/>
      <c r="RCB18" s="69"/>
      <c r="RCC18" s="69"/>
      <c r="RCD18" s="69"/>
      <c r="RCE18" s="69"/>
      <c r="RCF18" s="69"/>
      <c r="RCG18" s="69"/>
      <c r="RCH18" s="69"/>
      <c r="RCI18" s="69"/>
      <c r="RCJ18" s="69"/>
      <c r="RCK18" s="69"/>
      <c r="RCL18" s="69"/>
      <c r="RCM18" s="69"/>
      <c r="RCN18" s="69"/>
      <c r="RCO18" s="69"/>
      <c r="RCP18" s="69"/>
      <c r="RCQ18" s="69"/>
      <c r="RCR18" s="69"/>
      <c r="RCS18" s="69"/>
      <c r="RCT18" s="69"/>
      <c r="RCU18" s="69"/>
      <c r="RCV18" s="69"/>
      <c r="RCW18" s="69"/>
      <c r="RCX18" s="69"/>
      <c r="RCY18" s="69"/>
      <c r="RCZ18" s="69"/>
      <c r="RDA18" s="69"/>
      <c r="RDB18" s="69"/>
      <c r="RDC18" s="69"/>
      <c r="RDD18" s="69"/>
      <c r="RDE18" s="69"/>
      <c r="RDF18" s="69"/>
      <c r="RDG18" s="69"/>
      <c r="RDH18" s="69"/>
      <c r="RDI18" s="69"/>
      <c r="RDJ18" s="69"/>
      <c r="RDK18" s="69"/>
      <c r="RDL18" s="69"/>
      <c r="RDM18" s="69"/>
      <c r="RDN18" s="69"/>
      <c r="RDO18" s="69"/>
      <c r="RDP18" s="69"/>
      <c r="RDQ18" s="69"/>
      <c r="RDR18" s="69"/>
      <c r="RDS18" s="69"/>
      <c r="RDT18" s="69"/>
      <c r="RDU18" s="69"/>
      <c r="RDV18" s="69"/>
      <c r="RDW18" s="69"/>
      <c r="RDX18" s="69"/>
      <c r="RDY18" s="69"/>
      <c r="RDZ18" s="69"/>
      <c r="REA18" s="69"/>
      <c r="REB18" s="69"/>
      <c r="REC18" s="69"/>
      <c r="RED18" s="69"/>
      <c r="REE18" s="69"/>
      <c r="REF18" s="69"/>
      <c r="REG18" s="69"/>
      <c r="REH18" s="69"/>
      <c r="REI18" s="69"/>
      <c r="REJ18" s="69"/>
      <c r="REK18" s="69"/>
      <c r="REL18" s="69"/>
      <c r="REM18" s="69"/>
      <c r="REN18" s="69"/>
      <c r="REO18" s="69"/>
      <c r="REP18" s="69"/>
      <c r="REQ18" s="69"/>
      <c r="RER18" s="69"/>
      <c r="RES18" s="69"/>
      <c r="RET18" s="69"/>
      <c r="REU18" s="69"/>
      <c r="REV18" s="69"/>
      <c r="REW18" s="69"/>
      <c r="REX18" s="69"/>
      <c r="REY18" s="69"/>
      <c r="REZ18" s="69"/>
      <c r="RFA18" s="69"/>
      <c r="RFB18" s="69"/>
      <c r="RFC18" s="69"/>
      <c r="RFD18" s="69"/>
      <c r="RFE18" s="69"/>
      <c r="RFF18" s="69"/>
      <c r="RFG18" s="69"/>
      <c r="RFH18" s="69"/>
      <c r="RFI18" s="69"/>
      <c r="RFJ18" s="69"/>
      <c r="RFK18" s="69"/>
      <c r="RFL18" s="69"/>
      <c r="RFM18" s="69"/>
      <c r="RFN18" s="69"/>
      <c r="RFO18" s="69"/>
      <c r="RFP18" s="69"/>
      <c r="RFQ18" s="69"/>
      <c r="RFR18" s="69"/>
      <c r="RFS18" s="69"/>
      <c r="RFT18" s="69"/>
      <c r="RFU18" s="69"/>
      <c r="RFV18" s="69"/>
      <c r="RFW18" s="69"/>
      <c r="RFX18" s="69"/>
      <c r="RFY18" s="69"/>
      <c r="RFZ18" s="69"/>
      <c r="RGA18" s="69"/>
      <c r="RGB18" s="69"/>
      <c r="RGC18" s="69"/>
      <c r="RGD18" s="69"/>
      <c r="RGE18" s="69"/>
      <c r="RGF18" s="69"/>
      <c r="RGG18" s="69"/>
      <c r="RGH18" s="69"/>
      <c r="RGI18" s="69"/>
      <c r="RGJ18" s="69"/>
      <c r="RGK18" s="69"/>
      <c r="RGL18" s="69"/>
      <c r="RGM18" s="69"/>
      <c r="RGN18" s="69"/>
      <c r="RGO18" s="69"/>
      <c r="RGP18" s="69"/>
      <c r="RGQ18" s="69"/>
      <c r="RGR18" s="69"/>
      <c r="RGS18" s="69"/>
      <c r="RGT18" s="69"/>
      <c r="RGU18" s="69"/>
      <c r="RGV18" s="69"/>
      <c r="RGW18" s="69"/>
      <c r="RGX18" s="69"/>
      <c r="RGY18" s="69"/>
      <c r="RGZ18" s="69"/>
      <c r="RHA18" s="69"/>
      <c r="RHB18" s="69"/>
      <c r="RHC18" s="69"/>
      <c r="RHD18" s="69"/>
      <c r="RHE18" s="69"/>
      <c r="RHF18" s="69"/>
      <c r="RHG18" s="69"/>
      <c r="RHH18" s="69"/>
      <c r="RHI18" s="69"/>
      <c r="RHJ18" s="69"/>
      <c r="RHK18" s="69"/>
      <c r="RHL18" s="69"/>
      <c r="RHM18" s="69"/>
      <c r="RHN18" s="69"/>
      <c r="RHO18" s="69"/>
      <c r="RHP18" s="69"/>
      <c r="RHQ18" s="69"/>
      <c r="RHR18" s="69"/>
      <c r="RHS18" s="69"/>
      <c r="RHT18" s="69"/>
      <c r="RHU18" s="69"/>
      <c r="RHV18" s="69"/>
      <c r="RHW18" s="69"/>
      <c r="RHX18" s="69"/>
      <c r="RHY18" s="69"/>
      <c r="RHZ18" s="69"/>
      <c r="RIA18" s="69"/>
      <c r="RIB18" s="69"/>
      <c r="RIC18" s="69"/>
      <c r="RID18" s="69"/>
      <c r="RIE18" s="69"/>
      <c r="RIF18" s="69"/>
      <c r="RIG18" s="69"/>
      <c r="RIH18" s="69"/>
      <c r="RII18" s="69"/>
      <c r="RIJ18" s="69"/>
      <c r="RIK18" s="69"/>
      <c r="RIL18" s="69"/>
      <c r="RIM18" s="69"/>
      <c r="RIN18" s="69"/>
      <c r="RIO18" s="69"/>
      <c r="RIP18" s="69"/>
      <c r="RIQ18" s="69"/>
      <c r="RIR18" s="69"/>
      <c r="RIS18" s="69"/>
      <c r="RIT18" s="69"/>
      <c r="RIU18" s="69"/>
      <c r="RIV18" s="69"/>
      <c r="RIW18" s="69"/>
      <c r="RIX18" s="69"/>
      <c r="RIY18" s="69"/>
      <c r="RIZ18" s="69"/>
      <c r="RJA18" s="69"/>
      <c r="RJB18" s="69"/>
      <c r="RJC18" s="69"/>
      <c r="RJD18" s="69"/>
      <c r="RJE18" s="69"/>
      <c r="RJF18" s="69"/>
      <c r="RJG18" s="69"/>
      <c r="RJH18" s="69"/>
      <c r="RJI18" s="69"/>
      <c r="RJJ18" s="69"/>
      <c r="RJK18" s="69"/>
      <c r="RJL18" s="69"/>
      <c r="RJM18" s="69"/>
      <c r="RJN18" s="69"/>
      <c r="RJO18" s="69"/>
      <c r="RJP18" s="69"/>
      <c r="RJQ18" s="69"/>
      <c r="RJR18" s="69"/>
      <c r="RJS18" s="69"/>
      <c r="RJT18" s="69"/>
      <c r="RJU18" s="69"/>
      <c r="RJV18" s="69"/>
      <c r="RJW18" s="69"/>
      <c r="RJX18" s="69"/>
      <c r="RJY18" s="69"/>
      <c r="RJZ18" s="69"/>
      <c r="RKA18" s="69"/>
      <c r="RKB18" s="69"/>
      <c r="RKC18" s="69"/>
      <c r="RKD18" s="69"/>
      <c r="RKE18" s="69"/>
      <c r="RKF18" s="69"/>
      <c r="RKG18" s="69"/>
      <c r="RKH18" s="69"/>
      <c r="RKI18" s="69"/>
      <c r="RKJ18" s="69"/>
      <c r="RKK18" s="69"/>
      <c r="RKL18" s="69"/>
      <c r="RKM18" s="69"/>
      <c r="RKN18" s="69"/>
      <c r="RKO18" s="69"/>
      <c r="RKP18" s="69"/>
      <c r="RKQ18" s="69"/>
      <c r="RKR18" s="69"/>
      <c r="RKS18" s="69"/>
      <c r="RKT18" s="69"/>
      <c r="RKU18" s="69"/>
      <c r="RKV18" s="69"/>
      <c r="RKW18" s="69"/>
      <c r="RKX18" s="69"/>
      <c r="RKY18" s="69"/>
      <c r="RKZ18" s="69"/>
      <c r="RLA18" s="69"/>
      <c r="RLB18" s="69"/>
      <c r="RLC18" s="69"/>
      <c r="RLD18" s="69"/>
      <c r="RLE18" s="69"/>
      <c r="RLF18" s="69"/>
      <c r="RLG18" s="69"/>
      <c r="RLH18" s="69"/>
      <c r="RLI18" s="69"/>
      <c r="RLJ18" s="69"/>
      <c r="RLK18" s="69"/>
      <c r="RLL18" s="69"/>
      <c r="RLM18" s="69"/>
      <c r="RLN18" s="69"/>
      <c r="RLO18" s="69"/>
      <c r="RLP18" s="69"/>
      <c r="RLQ18" s="69"/>
      <c r="RLR18" s="69"/>
      <c r="RLS18" s="69"/>
      <c r="RLT18" s="69"/>
      <c r="RLU18" s="69"/>
      <c r="RLV18" s="69"/>
      <c r="RLW18" s="69"/>
      <c r="RLX18" s="69"/>
      <c r="RLY18" s="69"/>
      <c r="RLZ18" s="69"/>
      <c r="RMA18" s="69"/>
      <c r="RMB18" s="69"/>
      <c r="RMC18" s="69"/>
      <c r="RMD18" s="69"/>
      <c r="RME18" s="69"/>
      <c r="RMF18" s="69"/>
      <c r="RMG18" s="69"/>
      <c r="RMH18" s="69"/>
      <c r="RMI18" s="69"/>
      <c r="RMJ18" s="69"/>
      <c r="RMK18" s="69"/>
      <c r="RML18" s="69"/>
      <c r="RMM18" s="69"/>
      <c r="RMN18" s="69"/>
      <c r="RMO18" s="69"/>
      <c r="RMP18" s="69"/>
      <c r="RMQ18" s="69"/>
      <c r="RMR18" s="69"/>
      <c r="RMS18" s="69"/>
      <c r="RMT18" s="69"/>
      <c r="RMU18" s="69"/>
      <c r="RMV18" s="69"/>
      <c r="RMW18" s="69"/>
      <c r="RMX18" s="69"/>
      <c r="RMY18" s="69"/>
      <c r="RMZ18" s="69"/>
      <c r="RNA18" s="69"/>
      <c r="RNB18" s="69"/>
      <c r="RNC18" s="69"/>
      <c r="RND18" s="69"/>
      <c r="RNE18" s="69"/>
      <c r="RNF18" s="69"/>
      <c r="RNG18" s="69"/>
      <c r="RNH18" s="69"/>
      <c r="RNI18" s="69"/>
      <c r="RNJ18" s="69"/>
      <c r="RNK18" s="69"/>
      <c r="RNL18" s="69"/>
      <c r="RNM18" s="69"/>
      <c r="RNN18" s="69"/>
      <c r="RNO18" s="69"/>
      <c r="RNP18" s="69"/>
      <c r="RNQ18" s="69"/>
      <c r="RNR18" s="69"/>
      <c r="RNS18" s="69"/>
      <c r="RNT18" s="69"/>
      <c r="RNU18" s="69"/>
      <c r="RNV18" s="69"/>
      <c r="RNW18" s="69"/>
      <c r="RNX18" s="69"/>
      <c r="RNY18" s="69"/>
      <c r="RNZ18" s="69"/>
      <c r="ROA18" s="69"/>
      <c r="ROB18" s="69"/>
      <c r="ROC18" s="69"/>
      <c r="ROD18" s="69"/>
      <c r="ROE18" s="69"/>
      <c r="ROF18" s="69"/>
      <c r="ROG18" s="69"/>
      <c r="ROH18" s="69"/>
      <c r="ROI18" s="69"/>
      <c r="ROJ18" s="69"/>
      <c r="ROK18" s="69"/>
      <c r="ROL18" s="69"/>
      <c r="ROM18" s="69"/>
      <c r="RON18" s="69"/>
      <c r="ROO18" s="69"/>
      <c r="ROP18" s="69"/>
      <c r="ROQ18" s="69"/>
      <c r="ROR18" s="69"/>
      <c r="ROS18" s="69"/>
      <c r="ROT18" s="69"/>
      <c r="ROU18" s="69"/>
      <c r="ROV18" s="69"/>
      <c r="ROW18" s="69"/>
      <c r="ROX18" s="69"/>
      <c r="ROY18" s="69"/>
      <c r="ROZ18" s="69"/>
      <c r="RPA18" s="69"/>
      <c r="RPB18" s="69"/>
      <c r="RPC18" s="69"/>
      <c r="RPD18" s="69"/>
      <c r="RPE18" s="69"/>
      <c r="RPF18" s="69"/>
      <c r="RPG18" s="69"/>
      <c r="RPH18" s="69"/>
      <c r="RPI18" s="69"/>
      <c r="RPJ18" s="69"/>
      <c r="RPK18" s="69"/>
      <c r="RPL18" s="69"/>
      <c r="RPM18" s="69"/>
      <c r="RPN18" s="69"/>
      <c r="RPO18" s="69"/>
      <c r="RPP18" s="69"/>
      <c r="RPQ18" s="69"/>
      <c r="RPR18" s="69"/>
      <c r="RPS18" s="69"/>
      <c r="RPT18" s="69"/>
      <c r="RPU18" s="69"/>
      <c r="RPV18" s="69"/>
      <c r="RPW18" s="69"/>
      <c r="RPX18" s="69"/>
      <c r="RPY18" s="69"/>
      <c r="RPZ18" s="69"/>
      <c r="RQA18" s="69"/>
      <c r="RQB18" s="69"/>
      <c r="RQC18" s="69"/>
      <c r="RQD18" s="69"/>
      <c r="RQE18" s="69"/>
      <c r="RQF18" s="69"/>
      <c r="RQG18" s="69"/>
      <c r="RQH18" s="69"/>
      <c r="RQI18" s="69"/>
      <c r="RQJ18" s="69"/>
      <c r="RQK18" s="69"/>
      <c r="RQL18" s="69"/>
      <c r="RQM18" s="69"/>
      <c r="RQN18" s="69"/>
      <c r="RQO18" s="69"/>
      <c r="RQP18" s="69"/>
      <c r="RQQ18" s="69"/>
      <c r="RQR18" s="69"/>
      <c r="RQS18" s="69"/>
      <c r="RQT18" s="69"/>
      <c r="RQU18" s="69"/>
      <c r="RQV18" s="69"/>
      <c r="RQW18" s="69"/>
      <c r="RQX18" s="69"/>
      <c r="RQY18" s="69"/>
      <c r="RQZ18" s="69"/>
      <c r="RRA18" s="69"/>
      <c r="RRB18" s="69"/>
      <c r="RRC18" s="69"/>
      <c r="RRD18" s="69"/>
      <c r="RRE18" s="69"/>
      <c r="RRF18" s="69"/>
      <c r="RRG18" s="69"/>
      <c r="RRH18" s="69"/>
      <c r="RRI18" s="69"/>
      <c r="RRJ18" s="69"/>
      <c r="RRK18" s="69"/>
      <c r="RRL18" s="69"/>
      <c r="RRM18" s="69"/>
      <c r="RRN18" s="69"/>
      <c r="RRO18" s="69"/>
      <c r="RRP18" s="69"/>
      <c r="RRQ18" s="69"/>
      <c r="RRR18" s="69"/>
      <c r="RRS18" s="69"/>
      <c r="RRT18" s="69"/>
      <c r="RRU18" s="69"/>
      <c r="RRV18" s="69"/>
      <c r="RRW18" s="69"/>
      <c r="RRX18" s="69"/>
      <c r="RRY18" s="69"/>
      <c r="RRZ18" s="69"/>
      <c r="RSA18" s="69"/>
      <c r="RSB18" s="69"/>
      <c r="RSC18" s="69"/>
      <c r="RSD18" s="69"/>
      <c r="RSE18" s="69"/>
      <c r="RSF18" s="69"/>
      <c r="RSG18" s="69"/>
      <c r="RSH18" s="69"/>
      <c r="RSI18" s="69"/>
      <c r="RSJ18" s="69"/>
      <c r="RSK18" s="69"/>
      <c r="RSL18" s="69"/>
      <c r="RSM18" s="69"/>
      <c r="RSN18" s="69"/>
      <c r="RSO18" s="69"/>
      <c r="RSP18" s="69"/>
      <c r="RSQ18" s="69"/>
      <c r="RSR18" s="69"/>
      <c r="RSS18" s="69"/>
      <c r="RST18" s="69"/>
      <c r="RSU18" s="69"/>
      <c r="RSV18" s="69"/>
      <c r="RSW18" s="69"/>
      <c r="RSX18" s="69"/>
      <c r="RSY18" s="69"/>
      <c r="RSZ18" s="69"/>
      <c r="RTA18" s="69"/>
      <c r="RTB18" s="69"/>
      <c r="RTC18" s="69"/>
      <c r="RTD18" s="69"/>
      <c r="RTE18" s="69"/>
      <c r="RTF18" s="69"/>
      <c r="RTG18" s="69"/>
      <c r="RTH18" s="69"/>
      <c r="RTI18" s="69"/>
      <c r="RTJ18" s="69"/>
      <c r="RTK18" s="69"/>
      <c r="RTL18" s="69"/>
      <c r="RTM18" s="69"/>
      <c r="RTN18" s="69"/>
      <c r="RTO18" s="69"/>
      <c r="RTP18" s="69"/>
      <c r="RTQ18" s="69"/>
      <c r="RTR18" s="69"/>
      <c r="RTS18" s="69"/>
      <c r="RTT18" s="69"/>
      <c r="RTU18" s="69"/>
      <c r="RTV18" s="69"/>
      <c r="RTW18" s="69"/>
      <c r="RTX18" s="69"/>
      <c r="RTY18" s="69"/>
      <c r="RTZ18" s="69"/>
      <c r="RUA18" s="69"/>
      <c r="RUB18" s="69"/>
      <c r="RUC18" s="69"/>
      <c r="RUD18" s="69"/>
      <c r="RUE18" s="69"/>
      <c r="RUF18" s="69"/>
      <c r="RUG18" s="69"/>
      <c r="RUH18" s="69"/>
      <c r="RUI18" s="69"/>
      <c r="RUJ18" s="69"/>
      <c r="RUK18" s="69"/>
      <c r="RUL18" s="69"/>
      <c r="RUM18" s="69"/>
      <c r="RUN18" s="69"/>
      <c r="RUO18" s="69"/>
      <c r="RUP18" s="69"/>
      <c r="RUQ18" s="69"/>
      <c r="RUR18" s="69"/>
      <c r="RUS18" s="69"/>
      <c r="RUT18" s="69"/>
      <c r="RUU18" s="69"/>
      <c r="RUV18" s="69"/>
      <c r="RUW18" s="69"/>
      <c r="RUX18" s="69"/>
      <c r="RUY18" s="69"/>
      <c r="RUZ18" s="69"/>
      <c r="RVA18" s="69"/>
      <c r="RVB18" s="69"/>
      <c r="RVC18" s="69"/>
      <c r="RVD18" s="69"/>
      <c r="RVE18" s="69"/>
      <c r="RVF18" s="69"/>
      <c r="RVG18" s="69"/>
      <c r="RVH18" s="69"/>
      <c r="RVI18" s="69"/>
      <c r="RVJ18" s="69"/>
      <c r="RVK18" s="69"/>
      <c r="RVL18" s="69"/>
      <c r="RVM18" s="69"/>
      <c r="RVN18" s="69"/>
      <c r="RVO18" s="69"/>
      <c r="RVP18" s="69"/>
      <c r="RVQ18" s="69"/>
      <c r="RVR18" s="69"/>
      <c r="RVS18" s="69"/>
      <c r="RVT18" s="69"/>
      <c r="RVU18" s="69"/>
      <c r="RVV18" s="69"/>
      <c r="RVW18" s="69"/>
      <c r="RVX18" s="69"/>
      <c r="RVY18" s="69"/>
      <c r="RVZ18" s="69"/>
      <c r="RWA18" s="69"/>
      <c r="RWB18" s="69"/>
      <c r="RWC18" s="69"/>
      <c r="RWD18" s="69"/>
      <c r="RWE18" s="69"/>
      <c r="RWF18" s="69"/>
      <c r="RWG18" s="69"/>
      <c r="RWH18" s="69"/>
      <c r="RWI18" s="69"/>
      <c r="RWJ18" s="69"/>
      <c r="RWK18" s="69"/>
      <c r="RWL18" s="69"/>
      <c r="RWM18" s="69"/>
      <c r="RWN18" s="69"/>
      <c r="RWO18" s="69"/>
      <c r="RWP18" s="69"/>
      <c r="RWQ18" s="69"/>
      <c r="RWR18" s="69"/>
      <c r="RWS18" s="69"/>
      <c r="RWT18" s="69"/>
      <c r="RWU18" s="69"/>
      <c r="RWV18" s="69"/>
      <c r="RWW18" s="69"/>
      <c r="RWX18" s="69"/>
      <c r="RWY18" s="69"/>
      <c r="RWZ18" s="69"/>
      <c r="RXA18" s="69"/>
      <c r="RXB18" s="69"/>
      <c r="RXC18" s="69"/>
      <c r="RXD18" s="69"/>
      <c r="RXE18" s="69"/>
      <c r="RXF18" s="69"/>
      <c r="RXG18" s="69"/>
      <c r="RXH18" s="69"/>
      <c r="RXI18" s="69"/>
      <c r="RXJ18" s="69"/>
      <c r="RXK18" s="69"/>
      <c r="RXL18" s="69"/>
      <c r="RXM18" s="69"/>
      <c r="RXN18" s="69"/>
      <c r="RXO18" s="69"/>
      <c r="RXP18" s="69"/>
      <c r="RXQ18" s="69"/>
      <c r="RXR18" s="69"/>
      <c r="RXS18" s="69"/>
      <c r="RXT18" s="69"/>
      <c r="RXU18" s="69"/>
      <c r="RXV18" s="69"/>
      <c r="RXW18" s="69"/>
      <c r="RXX18" s="69"/>
      <c r="RXY18" s="69"/>
      <c r="RXZ18" s="69"/>
      <c r="RYA18" s="69"/>
      <c r="RYB18" s="69"/>
      <c r="RYC18" s="69"/>
      <c r="RYD18" s="69"/>
      <c r="RYE18" s="69"/>
      <c r="RYF18" s="69"/>
      <c r="RYG18" s="69"/>
      <c r="RYH18" s="69"/>
      <c r="RYI18" s="69"/>
      <c r="RYJ18" s="69"/>
      <c r="RYK18" s="69"/>
      <c r="RYL18" s="69"/>
      <c r="RYM18" s="69"/>
      <c r="RYN18" s="69"/>
      <c r="RYO18" s="69"/>
      <c r="RYP18" s="69"/>
      <c r="RYQ18" s="69"/>
      <c r="RYR18" s="69"/>
      <c r="RYS18" s="69"/>
      <c r="RYT18" s="69"/>
      <c r="RYU18" s="69"/>
      <c r="RYV18" s="69"/>
      <c r="RYW18" s="69"/>
      <c r="RYX18" s="69"/>
      <c r="RYY18" s="69"/>
      <c r="RYZ18" s="69"/>
      <c r="RZA18" s="69"/>
      <c r="RZB18" s="69"/>
      <c r="RZC18" s="69"/>
      <c r="RZD18" s="69"/>
      <c r="RZE18" s="69"/>
      <c r="RZF18" s="69"/>
      <c r="RZG18" s="69"/>
      <c r="RZH18" s="69"/>
      <c r="RZI18" s="69"/>
      <c r="RZJ18" s="69"/>
      <c r="RZK18" s="69"/>
      <c r="RZL18" s="69"/>
      <c r="RZM18" s="69"/>
      <c r="RZN18" s="69"/>
      <c r="RZO18" s="69"/>
      <c r="RZP18" s="69"/>
      <c r="RZQ18" s="69"/>
      <c r="RZR18" s="69"/>
      <c r="RZS18" s="69"/>
      <c r="RZT18" s="69"/>
      <c r="RZU18" s="69"/>
      <c r="RZV18" s="69"/>
      <c r="RZW18" s="69"/>
      <c r="RZX18" s="69"/>
      <c r="RZY18" s="69"/>
      <c r="RZZ18" s="69"/>
      <c r="SAA18" s="69"/>
      <c r="SAB18" s="69"/>
      <c r="SAC18" s="69"/>
      <c r="SAD18" s="69"/>
      <c r="SAE18" s="69"/>
      <c r="SAF18" s="69"/>
      <c r="SAG18" s="69"/>
      <c r="SAH18" s="69"/>
      <c r="SAI18" s="69"/>
      <c r="SAJ18" s="69"/>
      <c r="SAK18" s="69"/>
      <c r="SAL18" s="69"/>
      <c r="SAM18" s="69"/>
      <c r="SAN18" s="69"/>
      <c r="SAO18" s="69"/>
      <c r="SAP18" s="69"/>
      <c r="SAQ18" s="69"/>
      <c r="SAR18" s="69"/>
      <c r="SAS18" s="69"/>
      <c r="SAT18" s="69"/>
      <c r="SAU18" s="69"/>
      <c r="SAV18" s="69"/>
      <c r="SAW18" s="69"/>
      <c r="SAX18" s="69"/>
      <c r="SAY18" s="69"/>
      <c r="SAZ18" s="69"/>
      <c r="SBA18" s="69"/>
      <c r="SBB18" s="69"/>
      <c r="SBC18" s="69"/>
      <c r="SBD18" s="69"/>
      <c r="SBE18" s="69"/>
      <c r="SBF18" s="69"/>
      <c r="SBG18" s="69"/>
      <c r="SBH18" s="69"/>
      <c r="SBI18" s="69"/>
      <c r="SBJ18" s="69"/>
      <c r="SBK18" s="69"/>
      <c r="SBL18" s="69"/>
      <c r="SBM18" s="69"/>
      <c r="SBN18" s="69"/>
      <c r="SBO18" s="69"/>
      <c r="SBP18" s="69"/>
      <c r="SBQ18" s="69"/>
      <c r="SBR18" s="69"/>
      <c r="SBS18" s="69"/>
      <c r="SBT18" s="69"/>
      <c r="SBU18" s="69"/>
      <c r="SBV18" s="69"/>
      <c r="SBW18" s="69"/>
      <c r="SBX18" s="69"/>
      <c r="SBY18" s="69"/>
      <c r="SBZ18" s="69"/>
      <c r="SCA18" s="69"/>
      <c r="SCB18" s="69"/>
      <c r="SCC18" s="69"/>
      <c r="SCD18" s="69"/>
      <c r="SCE18" s="69"/>
      <c r="SCF18" s="69"/>
      <c r="SCG18" s="69"/>
      <c r="SCH18" s="69"/>
      <c r="SCI18" s="69"/>
      <c r="SCJ18" s="69"/>
      <c r="SCK18" s="69"/>
      <c r="SCL18" s="69"/>
      <c r="SCM18" s="69"/>
      <c r="SCN18" s="69"/>
      <c r="SCO18" s="69"/>
      <c r="SCP18" s="69"/>
      <c r="SCQ18" s="69"/>
      <c r="SCR18" s="69"/>
      <c r="SCS18" s="69"/>
      <c r="SCT18" s="69"/>
      <c r="SCU18" s="69"/>
      <c r="SCV18" s="69"/>
      <c r="SCW18" s="69"/>
      <c r="SCX18" s="69"/>
      <c r="SCY18" s="69"/>
      <c r="SCZ18" s="69"/>
      <c r="SDA18" s="69"/>
      <c r="SDB18" s="69"/>
      <c r="SDC18" s="69"/>
      <c r="SDD18" s="69"/>
      <c r="SDE18" s="69"/>
      <c r="SDF18" s="69"/>
      <c r="SDG18" s="69"/>
      <c r="SDH18" s="69"/>
      <c r="SDI18" s="69"/>
      <c r="SDJ18" s="69"/>
      <c r="SDK18" s="69"/>
      <c r="SDL18" s="69"/>
      <c r="SDM18" s="69"/>
      <c r="SDN18" s="69"/>
      <c r="SDO18" s="69"/>
      <c r="SDP18" s="69"/>
      <c r="SDQ18" s="69"/>
      <c r="SDR18" s="69"/>
      <c r="SDS18" s="69"/>
      <c r="SDT18" s="69"/>
      <c r="SDU18" s="69"/>
      <c r="SDV18" s="69"/>
      <c r="SDW18" s="69"/>
      <c r="SDX18" s="69"/>
      <c r="SDY18" s="69"/>
      <c r="SDZ18" s="69"/>
      <c r="SEA18" s="69"/>
      <c r="SEB18" s="69"/>
      <c r="SEC18" s="69"/>
      <c r="SED18" s="69"/>
      <c r="SEE18" s="69"/>
      <c r="SEF18" s="69"/>
      <c r="SEG18" s="69"/>
      <c r="SEH18" s="69"/>
      <c r="SEI18" s="69"/>
      <c r="SEJ18" s="69"/>
      <c r="SEK18" s="69"/>
      <c r="SEL18" s="69"/>
      <c r="SEM18" s="69"/>
      <c r="SEN18" s="69"/>
      <c r="SEO18" s="69"/>
      <c r="SEP18" s="69"/>
      <c r="SEQ18" s="69"/>
      <c r="SER18" s="69"/>
      <c r="SES18" s="69"/>
      <c r="SET18" s="69"/>
      <c r="SEU18" s="69"/>
      <c r="SEV18" s="69"/>
      <c r="SEW18" s="69"/>
      <c r="SEX18" s="69"/>
      <c r="SEY18" s="69"/>
      <c r="SEZ18" s="69"/>
      <c r="SFA18" s="69"/>
      <c r="SFB18" s="69"/>
      <c r="SFC18" s="69"/>
      <c r="SFD18" s="69"/>
      <c r="SFE18" s="69"/>
      <c r="SFF18" s="69"/>
      <c r="SFG18" s="69"/>
      <c r="SFH18" s="69"/>
      <c r="SFI18" s="69"/>
      <c r="SFJ18" s="69"/>
      <c r="SFK18" s="69"/>
      <c r="SFL18" s="69"/>
      <c r="SFM18" s="69"/>
      <c r="SFN18" s="69"/>
      <c r="SFO18" s="69"/>
      <c r="SFP18" s="69"/>
      <c r="SFQ18" s="69"/>
      <c r="SFR18" s="69"/>
      <c r="SFS18" s="69"/>
      <c r="SFT18" s="69"/>
      <c r="SFU18" s="69"/>
      <c r="SFV18" s="69"/>
      <c r="SFW18" s="69"/>
      <c r="SFX18" s="69"/>
      <c r="SFY18" s="69"/>
      <c r="SFZ18" s="69"/>
      <c r="SGA18" s="69"/>
      <c r="SGB18" s="69"/>
      <c r="SGC18" s="69"/>
      <c r="SGD18" s="69"/>
      <c r="SGE18" s="69"/>
      <c r="SGF18" s="69"/>
      <c r="SGG18" s="69"/>
      <c r="SGH18" s="69"/>
      <c r="SGI18" s="69"/>
      <c r="SGJ18" s="69"/>
      <c r="SGK18" s="69"/>
      <c r="SGL18" s="69"/>
      <c r="SGM18" s="69"/>
      <c r="SGN18" s="69"/>
      <c r="SGO18" s="69"/>
      <c r="SGP18" s="69"/>
      <c r="SGQ18" s="69"/>
      <c r="SGR18" s="69"/>
      <c r="SGS18" s="69"/>
      <c r="SGT18" s="69"/>
      <c r="SGU18" s="69"/>
      <c r="SGV18" s="69"/>
      <c r="SGW18" s="69"/>
      <c r="SGX18" s="69"/>
      <c r="SGY18" s="69"/>
      <c r="SGZ18" s="69"/>
      <c r="SHA18" s="69"/>
      <c r="SHB18" s="69"/>
      <c r="SHC18" s="69"/>
      <c r="SHD18" s="69"/>
      <c r="SHE18" s="69"/>
      <c r="SHF18" s="69"/>
      <c r="SHG18" s="69"/>
      <c r="SHH18" s="69"/>
      <c r="SHI18" s="69"/>
      <c r="SHJ18" s="69"/>
      <c r="SHK18" s="69"/>
      <c r="SHL18" s="69"/>
      <c r="SHM18" s="69"/>
      <c r="SHN18" s="69"/>
      <c r="SHO18" s="69"/>
      <c r="SHP18" s="69"/>
      <c r="SHQ18" s="69"/>
      <c r="SHR18" s="69"/>
      <c r="SHS18" s="69"/>
      <c r="SHT18" s="69"/>
      <c r="SHU18" s="69"/>
      <c r="SHV18" s="69"/>
      <c r="SHW18" s="69"/>
      <c r="SHX18" s="69"/>
      <c r="SHY18" s="69"/>
      <c r="SHZ18" s="69"/>
      <c r="SIA18" s="69"/>
      <c r="SIB18" s="69"/>
      <c r="SIC18" s="69"/>
      <c r="SID18" s="69"/>
      <c r="SIE18" s="69"/>
      <c r="SIF18" s="69"/>
      <c r="SIG18" s="69"/>
      <c r="SIH18" s="69"/>
      <c r="SII18" s="69"/>
      <c r="SIJ18" s="69"/>
      <c r="SIK18" s="69"/>
      <c r="SIL18" s="69"/>
      <c r="SIM18" s="69"/>
      <c r="SIN18" s="69"/>
      <c r="SIO18" s="69"/>
      <c r="SIP18" s="69"/>
      <c r="SIQ18" s="69"/>
      <c r="SIR18" s="69"/>
      <c r="SIS18" s="69"/>
      <c r="SIT18" s="69"/>
      <c r="SIU18" s="69"/>
      <c r="SIV18" s="69"/>
      <c r="SIW18" s="69"/>
      <c r="SIX18" s="69"/>
      <c r="SIY18" s="69"/>
      <c r="SIZ18" s="69"/>
      <c r="SJA18" s="69"/>
      <c r="SJB18" s="69"/>
      <c r="SJC18" s="69"/>
      <c r="SJD18" s="69"/>
      <c r="SJE18" s="69"/>
      <c r="SJF18" s="69"/>
      <c r="SJG18" s="69"/>
      <c r="SJH18" s="69"/>
      <c r="SJI18" s="69"/>
      <c r="SJJ18" s="69"/>
      <c r="SJK18" s="69"/>
      <c r="SJL18" s="69"/>
      <c r="SJM18" s="69"/>
      <c r="SJN18" s="69"/>
      <c r="SJO18" s="69"/>
      <c r="SJP18" s="69"/>
      <c r="SJQ18" s="69"/>
      <c r="SJR18" s="69"/>
      <c r="SJS18" s="69"/>
      <c r="SJT18" s="69"/>
      <c r="SJU18" s="69"/>
      <c r="SJV18" s="69"/>
      <c r="SJW18" s="69"/>
      <c r="SJX18" s="69"/>
      <c r="SJY18" s="69"/>
      <c r="SJZ18" s="69"/>
      <c r="SKA18" s="69"/>
      <c r="SKB18" s="69"/>
      <c r="SKC18" s="69"/>
      <c r="SKD18" s="69"/>
      <c r="SKE18" s="69"/>
      <c r="SKF18" s="69"/>
      <c r="SKG18" s="69"/>
      <c r="SKH18" s="69"/>
      <c r="SKI18" s="69"/>
      <c r="SKJ18" s="69"/>
      <c r="SKK18" s="69"/>
      <c r="SKL18" s="69"/>
      <c r="SKM18" s="69"/>
      <c r="SKN18" s="69"/>
      <c r="SKO18" s="69"/>
      <c r="SKP18" s="69"/>
      <c r="SKQ18" s="69"/>
      <c r="SKR18" s="69"/>
      <c r="SKS18" s="69"/>
      <c r="SKT18" s="69"/>
      <c r="SKU18" s="69"/>
      <c r="SKV18" s="69"/>
      <c r="SKW18" s="69"/>
      <c r="SKX18" s="69"/>
      <c r="SKY18" s="69"/>
      <c r="SKZ18" s="69"/>
      <c r="SLA18" s="69"/>
      <c r="SLB18" s="69"/>
      <c r="SLC18" s="69"/>
      <c r="SLD18" s="69"/>
      <c r="SLE18" s="69"/>
      <c r="SLF18" s="69"/>
      <c r="SLG18" s="69"/>
      <c r="SLH18" s="69"/>
      <c r="SLI18" s="69"/>
      <c r="SLJ18" s="69"/>
      <c r="SLK18" s="69"/>
      <c r="SLL18" s="69"/>
      <c r="SLM18" s="69"/>
      <c r="SLN18" s="69"/>
      <c r="SLO18" s="69"/>
      <c r="SLP18" s="69"/>
      <c r="SLQ18" s="69"/>
      <c r="SLR18" s="69"/>
      <c r="SLS18" s="69"/>
      <c r="SLT18" s="69"/>
      <c r="SLU18" s="69"/>
      <c r="SLV18" s="69"/>
      <c r="SLW18" s="69"/>
      <c r="SLX18" s="69"/>
      <c r="SLY18" s="69"/>
      <c r="SLZ18" s="69"/>
      <c r="SMA18" s="69"/>
      <c r="SMB18" s="69"/>
      <c r="SMC18" s="69"/>
      <c r="SMD18" s="69"/>
      <c r="SME18" s="69"/>
      <c r="SMF18" s="69"/>
      <c r="SMG18" s="69"/>
      <c r="SMH18" s="69"/>
      <c r="SMI18" s="69"/>
      <c r="SMJ18" s="69"/>
      <c r="SMK18" s="69"/>
      <c r="SML18" s="69"/>
      <c r="SMM18" s="69"/>
      <c r="SMN18" s="69"/>
      <c r="SMO18" s="69"/>
      <c r="SMP18" s="69"/>
      <c r="SMQ18" s="69"/>
      <c r="SMR18" s="69"/>
      <c r="SMS18" s="69"/>
      <c r="SMT18" s="69"/>
      <c r="SMU18" s="69"/>
      <c r="SMV18" s="69"/>
      <c r="SMW18" s="69"/>
      <c r="SMX18" s="69"/>
      <c r="SMY18" s="69"/>
      <c r="SMZ18" s="69"/>
      <c r="SNA18" s="69"/>
      <c r="SNB18" s="69"/>
      <c r="SNC18" s="69"/>
      <c r="SND18" s="69"/>
      <c r="SNE18" s="69"/>
      <c r="SNF18" s="69"/>
      <c r="SNG18" s="69"/>
      <c r="SNH18" s="69"/>
      <c r="SNI18" s="69"/>
      <c r="SNJ18" s="69"/>
      <c r="SNK18" s="69"/>
      <c r="SNL18" s="69"/>
      <c r="SNM18" s="69"/>
      <c r="SNN18" s="69"/>
      <c r="SNO18" s="69"/>
      <c r="SNP18" s="69"/>
      <c r="SNQ18" s="69"/>
      <c r="SNR18" s="69"/>
      <c r="SNS18" s="69"/>
      <c r="SNT18" s="69"/>
      <c r="SNU18" s="69"/>
      <c r="SNV18" s="69"/>
      <c r="SNW18" s="69"/>
      <c r="SNX18" s="69"/>
      <c r="SNY18" s="69"/>
      <c r="SNZ18" s="69"/>
      <c r="SOA18" s="69"/>
      <c r="SOB18" s="69"/>
      <c r="SOC18" s="69"/>
      <c r="SOD18" s="69"/>
      <c r="SOE18" s="69"/>
      <c r="SOF18" s="69"/>
      <c r="SOG18" s="69"/>
      <c r="SOH18" s="69"/>
      <c r="SOI18" s="69"/>
      <c r="SOJ18" s="69"/>
      <c r="SOK18" s="69"/>
      <c r="SOL18" s="69"/>
      <c r="SOM18" s="69"/>
      <c r="SON18" s="69"/>
      <c r="SOO18" s="69"/>
      <c r="SOP18" s="69"/>
      <c r="SOQ18" s="69"/>
      <c r="SOR18" s="69"/>
      <c r="SOS18" s="69"/>
      <c r="SOT18" s="69"/>
      <c r="SOU18" s="69"/>
      <c r="SOV18" s="69"/>
      <c r="SOW18" s="69"/>
      <c r="SOX18" s="69"/>
      <c r="SOY18" s="69"/>
      <c r="SOZ18" s="69"/>
      <c r="SPA18" s="69"/>
      <c r="SPB18" s="69"/>
      <c r="SPC18" s="69"/>
      <c r="SPD18" s="69"/>
      <c r="SPE18" s="69"/>
      <c r="SPF18" s="69"/>
      <c r="SPG18" s="69"/>
      <c r="SPH18" s="69"/>
      <c r="SPI18" s="69"/>
      <c r="SPJ18" s="69"/>
      <c r="SPK18" s="69"/>
      <c r="SPL18" s="69"/>
      <c r="SPM18" s="69"/>
      <c r="SPN18" s="69"/>
      <c r="SPO18" s="69"/>
      <c r="SPP18" s="69"/>
      <c r="SPQ18" s="69"/>
      <c r="SPR18" s="69"/>
      <c r="SPS18" s="69"/>
      <c r="SPT18" s="69"/>
      <c r="SPU18" s="69"/>
      <c r="SPV18" s="69"/>
      <c r="SPW18" s="69"/>
      <c r="SPX18" s="69"/>
      <c r="SPY18" s="69"/>
      <c r="SPZ18" s="69"/>
      <c r="SQA18" s="69"/>
      <c r="SQB18" s="69"/>
      <c r="SQC18" s="69"/>
      <c r="SQD18" s="69"/>
      <c r="SQE18" s="69"/>
      <c r="SQF18" s="69"/>
      <c r="SQG18" s="69"/>
      <c r="SQH18" s="69"/>
      <c r="SQI18" s="69"/>
      <c r="SQJ18" s="69"/>
      <c r="SQK18" s="69"/>
      <c r="SQL18" s="69"/>
      <c r="SQM18" s="69"/>
      <c r="SQN18" s="69"/>
      <c r="SQO18" s="69"/>
      <c r="SQP18" s="69"/>
      <c r="SQQ18" s="69"/>
      <c r="SQR18" s="69"/>
      <c r="SQS18" s="69"/>
      <c r="SQT18" s="69"/>
      <c r="SQU18" s="69"/>
      <c r="SQV18" s="69"/>
      <c r="SQW18" s="69"/>
      <c r="SQX18" s="69"/>
      <c r="SQY18" s="69"/>
      <c r="SQZ18" s="69"/>
      <c r="SRA18" s="69"/>
      <c r="SRB18" s="69"/>
      <c r="SRC18" s="69"/>
      <c r="SRD18" s="69"/>
      <c r="SRE18" s="69"/>
      <c r="SRF18" s="69"/>
      <c r="SRG18" s="69"/>
      <c r="SRH18" s="69"/>
      <c r="SRI18" s="69"/>
      <c r="SRJ18" s="69"/>
      <c r="SRK18" s="69"/>
      <c r="SRL18" s="69"/>
      <c r="SRM18" s="69"/>
      <c r="SRN18" s="69"/>
      <c r="SRO18" s="69"/>
      <c r="SRP18" s="69"/>
      <c r="SRQ18" s="69"/>
      <c r="SRR18" s="69"/>
      <c r="SRS18" s="69"/>
      <c r="SRT18" s="69"/>
      <c r="SRU18" s="69"/>
      <c r="SRV18" s="69"/>
      <c r="SRW18" s="69"/>
      <c r="SRX18" s="69"/>
      <c r="SRY18" s="69"/>
      <c r="SRZ18" s="69"/>
      <c r="SSA18" s="69"/>
      <c r="SSB18" s="69"/>
      <c r="SSC18" s="69"/>
      <c r="SSD18" s="69"/>
      <c r="SSE18" s="69"/>
      <c r="SSF18" s="69"/>
      <c r="SSG18" s="69"/>
      <c r="SSH18" s="69"/>
      <c r="SSI18" s="69"/>
      <c r="SSJ18" s="69"/>
      <c r="SSK18" s="69"/>
      <c r="SSL18" s="69"/>
      <c r="SSM18" s="69"/>
      <c r="SSN18" s="69"/>
      <c r="SSO18" s="69"/>
      <c r="SSP18" s="69"/>
      <c r="SSQ18" s="69"/>
      <c r="SSR18" s="69"/>
      <c r="SSS18" s="69"/>
      <c r="SST18" s="69"/>
      <c r="SSU18" s="69"/>
      <c r="SSV18" s="69"/>
      <c r="SSW18" s="69"/>
      <c r="SSX18" s="69"/>
      <c r="SSY18" s="69"/>
      <c r="SSZ18" s="69"/>
      <c r="STA18" s="69"/>
      <c r="STB18" s="69"/>
      <c r="STC18" s="69"/>
      <c r="STD18" s="69"/>
      <c r="STE18" s="69"/>
      <c r="STF18" s="69"/>
      <c r="STG18" s="69"/>
      <c r="STH18" s="69"/>
      <c r="STI18" s="69"/>
      <c r="STJ18" s="69"/>
      <c r="STK18" s="69"/>
      <c r="STL18" s="69"/>
      <c r="STM18" s="69"/>
      <c r="STN18" s="69"/>
      <c r="STO18" s="69"/>
      <c r="STP18" s="69"/>
      <c r="STQ18" s="69"/>
      <c r="STR18" s="69"/>
      <c r="STS18" s="69"/>
      <c r="STT18" s="69"/>
      <c r="STU18" s="69"/>
      <c r="STV18" s="69"/>
      <c r="STW18" s="69"/>
      <c r="STX18" s="69"/>
      <c r="STY18" s="69"/>
      <c r="STZ18" s="69"/>
      <c r="SUA18" s="69"/>
      <c r="SUB18" s="69"/>
      <c r="SUC18" s="69"/>
      <c r="SUD18" s="69"/>
      <c r="SUE18" s="69"/>
      <c r="SUF18" s="69"/>
      <c r="SUG18" s="69"/>
      <c r="SUH18" s="69"/>
      <c r="SUI18" s="69"/>
      <c r="SUJ18" s="69"/>
      <c r="SUK18" s="69"/>
      <c r="SUL18" s="69"/>
      <c r="SUM18" s="69"/>
      <c r="SUN18" s="69"/>
      <c r="SUO18" s="69"/>
      <c r="SUP18" s="69"/>
      <c r="SUQ18" s="69"/>
      <c r="SUR18" s="69"/>
      <c r="SUS18" s="69"/>
      <c r="SUT18" s="69"/>
      <c r="SUU18" s="69"/>
      <c r="SUV18" s="69"/>
      <c r="SUW18" s="69"/>
      <c r="SUX18" s="69"/>
      <c r="SUY18" s="69"/>
      <c r="SUZ18" s="69"/>
      <c r="SVA18" s="69"/>
      <c r="SVB18" s="69"/>
      <c r="SVC18" s="69"/>
      <c r="SVD18" s="69"/>
      <c r="SVE18" s="69"/>
      <c r="SVF18" s="69"/>
      <c r="SVG18" s="69"/>
      <c r="SVH18" s="69"/>
      <c r="SVI18" s="69"/>
      <c r="SVJ18" s="69"/>
      <c r="SVK18" s="69"/>
      <c r="SVL18" s="69"/>
      <c r="SVM18" s="69"/>
      <c r="SVN18" s="69"/>
      <c r="SVO18" s="69"/>
      <c r="SVP18" s="69"/>
      <c r="SVQ18" s="69"/>
      <c r="SVR18" s="69"/>
      <c r="SVS18" s="69"/>
      <c r="SVT18" s="69"/>
      <c r="SVU18" s="69"/>
      <c r="SVV18" s="69"/>
      <c r="SVW18" s="69"/>
      <c r="SVX18" s="69"/>
      <c r="SVY18" s="69"/>
      <c r="SVZ18" s="69"/>
      <c r="SWA18" s="69"/>
      <c r="SWB18" s="69"/>
      <c r="SWC18" s="69"/>
      <c r="SWD18" s="69"/>
      <c r="SWE18" s="69"/>
      <c r="SWF18" s="69"/>
      <c r="SWG18" s="69"/>
      <c r="SWH18" s="69"/>
      <c r="SWI18" s="69"/>
      <c r="SWJ18" s="69"/>
      <c r="SWK18" s="69"/>
      <c r="SWL18" s="69"/>
      <c r="SWM18" s="69"/>
      <c r="SWN18" s="69"/>
      <c r="SWO18" s="69"/>
      <c r="SWP18" s="69"/>
      <c r="SWQ18" s="69"/>
      <c r="SWR18" s="69"/>
      <c r="SWS18" s="69"/>
      <c r="SWT18" s="69"/>
      <c r="SWU18" s="69"/>
      <c r="SWV18" s="69"/>
      <c r="SWW18" s="69"/>
      <c r="SWX18" s="69"/>
      <c r="SWY18" s="69"/>
      <c r="SWZ18" s="69"/>
      <c r="SXA18" s="69"/>
      <c r="SXB18" s="69"/>
      <c r="SXC18" s="69"/>
      <c r="SXD18" s="69"/>
      <c r="SXE18" s="69"/>
      <c r="SXF18" s="69"/>
      <c r="SXG18" s="69"/>
      <c r="SXH18" s="69"/>
      <c r="SXI18" s="69"/>
      <c r="SXJ18" s="69"/>
      <c r="SXK18" s="69"/>
      <c r="SXL18" s="69"/>
      <c r="SXM18" s="69"/>
      <c r="SXN18" s="69"/>
      <c r="SXO18" s="69"/>
      <c r="SXP18" s="69"/>
      <c r="SXQ18" s="69"/>
      <c r="SXR18" s="69"/>
      <c r="SXS18" s="69"/>
      <c r="SXT18" s="69"/>
      <c r="SXU18" s="69"/>
      <c r="SXV18" s="69"/>
      <c r="SXW18" s="69"/>
      <c r="SXX18" s="69"/>
      <c r="SXY18" s="69"/>
      <c r="SXZ18" s="69"/>
      <c r="SYA18" s="69"/>
      <c r="SYB18" s="69"/>
      <c r="SYC18" s="69"/>
      <c r="SYD18" s="69"/>
      <c r="SYE18" s="69"/>
      <c r="SYF18" s="69"/>
      <c r="SYG18" s="69"/>
      <c r="SYH18" s="69"/>
      <c r="SYI18" s="69"/>
      <c r="SYJ18" s="69"/>
      <c r="SYK18" s="69"/>
      <c r="SYL18" s="69"/>
      <c r="SYM18" s="69"/>
      <c r="SYN18" s="69"/>
      <c r="SYO18" s="69"/>
      <c r="SYP18" s="69"/>
      <c r="SYQ18" s="69"/>
      <c r="SYR18" s="69"/>
      <c r="SYS18" s="69"/>
      <c r="SYT18" s="69"/>
      <c r="SYU18" s="69"/>
      <c r="SYV18" s="69"/>
      <c r="SYW18" s="69"/>
      <c r="SYX18" s="69"/>
      <c r="SYY18" s="69"/>
      <c r="SYZ18" s="69"/>
      <c r="SZA18" s="69"/>
      <c r="SZB18" s="69"/>
      <c r="SZC18" s="69"/>
      <c r="SZD18" s="69"/>
      <c r="SZE18" s="69"/>
      <c r="SZF18" s="69"/>
      <c r="SZG18" s="69"/>
      <c r="SZH18" s="69"/>
      <c r="SZI18" s="69"/>
      <c r="SZJ18" s="69"/>
      <c r="SZK18" s="69"/>
      <c r="SZL18" s="69"/>
      <c r="SZM18" s="69"/>
      <c r="SZN18" s="69"/>
      <c r="SZO18" s="69"/>
      <c r="SZP18" s="69"/>
      <c r="SZQ18" s="69"/>
      <c r="SZR18" s="69"/>
      <c r="SZS18" s="69"/>
      <c r="SZT18" s="69"/>
      <c r="SZU18" s="69"/>
      <c r="SZV18" s="69"/>
      <c r="SZW18" s="69"/>
      <c r="SZX18" s="69"/>
      <c r="SZY18" s="69"/>
      <c r="SZZ18" s="69"/>
      <c r="TAA18" s="69"/>
      <c r="TAB18" s="69"/>
      <c r="TAC18" s="69"/>
      <c r="TAD18" s="69"/>
      <c r="TAE18" s="69"/>
      <c r="TAF18" s="69"/>
      <c r="TAG18" s="69"/>
      <c r="TAH18" s="69"/>
      <c r="TAI18" s="69"/>
      <c r="TAJ18" s="69"/>
      <c r="TAK18" s="69"/>
      <c r="TAL18" s="69"/>
      <c r="TAM18" s="69"/>
      <c r="TAN18" s="69"/>
      <c r="TAO18" s="69"/>
      <c r="TAP18" s="69"/>
      <c r="TAQ18" s="69"/>
      <c r="TAR18" s="69"/>
      <c r="TAS18" s="69"/>
      <c r="TAT18" s="69"/>
      <c r="TAU18" s="69"/>
      <c r="TAV18" s="69"/>
      <c r="TAW18" s="69"/>
      <c r="TAX18" s="69"/>
      <c r="TAY18" s="69"/>
      <c r="TAZ18" s="69"/>
      <c r="TBA18" s="69"/>
      <c r="TBB18" s="69"/>
      <c r="TBC18" s="69"/>
      <c r="TBD18" s="69"/>
      <c r="TBE18" s="69"/>
      <c r="TBF18" s="69"/>
      <c r="TBG18" s="69"/>
      <c r="TBH18" s="69"/>
      <c r="TBI18" s="69"/>
      <c r="TBJ18" s="69"/>
      <c r="TBK18" s="69"/>
      <c r="TBL18" s="69"/>
      <c r="TBM18" s="69"/>
      <c r="TBN18" s="69"/>
      <c r="TBO18" s="69"/>
      <c r="TBP18" s="69"/>
      <c r="TBQ18" s="69"/>
      <c r="TBR18" s="69"/>
      <c r="TBS18" s="69"/>
      <c r="TBT18" s="69"/>
      <c r="TBU18" s="69"/>
      <c r="TBV18" s="69"/>
      <c r="TBW18" s="69"/>
      <c r="TBX18" s="69"/>
      <c r="TBY18" s="69"/>
      <c r="TBZ18" s="69"/>
      <c r="TCA18" s="69"/>
      <c r="TCB18" s="69"/>
      <c r="TCC18" s="69"/>
      <c r="TCD18" s="69"/>
      <c r="TCE18" s="69"/>
      <c r="TCF18" s="69"/>
      <c r="TCG18" s="69"/>
      <c r="TCH18" s="69"/>
      <c r="TCI18" s="69"/>
      <c r="TCJ18" s="69"/>
      <c r="TCK18" s="69"/>
      <c r="TCL18" s="69"/>
      <c r="TCM18" s="69"/>
      <c r="TCN18" s="69"/>
      <c r="TCO18" s="69"/>
      <c r="TCP18" s="69"/>
      <c r="TCQ18" s="69"/>
      <c r="TCR18" s="69"/>
      <c r="TCS18" s="69"/>
      <c r="TCT18" s="69"/>
      <c r="TCU18" s="69"/>
      <c r="TCV18" s="69"/>
      <c r="TCW18" s="69"/>
      <c r="TCX18" s="69"/>
      <c r="TCY18" s="69"/>
      <c r="TCZ18" s="69"/>
      <c r="TDA18" s="69"/>
      <c r="TDB18" s="69"/>
      <c r="TDC18" s="69"/>
      <c r="TDD18" s="69"/>
      <c r="TDE18" s="69"/>
      <c r="TDF18" s="69"/>
      <c r="TDG18" s="69"/>
      <c r="TDH18" s="69"/>
      <c r="TDI18" s="69"/>
      <c r="TDJ18" s="69"/>
      <c r="TDK18" s="69"/>
      <c r="TDL18" s="69"/>
      <c r="TDM18" s="69"/>
      <c r="TDN18" s="69"/>
      <c r="TDO18" s="69"/>
      <c r="TDP18" s="69"/>
      <c r="TDQ18" s="69"/>
      <c r="TDR18" s="69"/>
      <c r="TDS18" s="69"/>
      <c r="TDT18" s="69"/>
      <c r="TDU18" s="69"/>
      <c r="TDV18" s="69"/>
      <c r="TDW18" s="69"/>
      <c r="TDX18" s="69"/>
      <c r="TDY18" s="69"/>
      <c r="TDZ18" s="69"/>
      <c r="TEA18" s="69"/>
      <c r="TEB18" s="69"/>
      <c r="TEC18" s="69"/>
      <c r="TED18" s="69"/>
      <c r="TEE18" s="69"/>
      <c r="TEF18" s="69"/>
      <c r="TEG18" s="69"/>
      <c r="TEH18" s="69"/>
      <c r="TEI18" s="69"/>
      <c r="TEJ18" s="69"/>
      <c r="TEK18" s="69"/>
      <c r="TEL18" s="69"/>
      <c r="TEM18" s="69"/>
      <c r="TEN18" s="69"/>
      <c r="TEO18" s="69"/>
      <c r="TEP18" s="69"/>
      <c r="TEQ18" s="69"/>
      <c r="TER18" s="69"/>
      <c r="TES18" s="69"/>
      <c r="TET18" s="69"/>
      <c r="TEU18" s="69"/>
      <c r="TEV18" s="69"/>
      <c r="TEW18" s="69"/>
      <c r="TEX18" s="69"/>
      <c r="TEY18" s="69"/>
      <c r="TEZ18" s="69"/>
      <c r="TFA18" s="69"/>
      <c r="TFB18" s="69"/>
      <c r="TFC18" s="69"/>
      <c r="TFD18" s="69"/>
      <c r="TFE18" s="69"/>
      <c r="TFF18" s="69"/>
      <c r="TFG18" s="69"/>
      <c r="TFH18" s="69"/>
      <c r="TFI18" s="69"/>
      <c r="TFJ18" s="69"/>
      <c r="TFK18" s="69"/>
      <c r="TFL18" s="69"/>
      <c r="TFM18" s="69"/>
      <c r="TFN18" s="69"/>
      <c r="TFO18" s="69"/>
      <c r="TFP18" s="69"/>
      <c r="TFQ18" s="69"/>
      <c r="TFR18" s="69"/>
      <c r="TFS18" s="69"/>
      <c r="TFT18" s="69"/>
      <c r="TFU18" s="69"/>
      <c r="TFV18" s="69"/>
      <c r="TFW18" s="69"/>
      <c r="TFX18" s="69"/>
      <c r="TFY18" s="69"/>
      <c r="TFZ18" s="69"/>
      <c r="TGA18" s="69"/>
      <c r="TGB18" s="69"/>
      <c r="TGC18" s="69"/>
      <c r="TGD18" s="69"/>
      <c r="TGE18" s="69"/>
      <c r="TGF18" s="69"/>
      <c r="TGG18" s="69"/>
      <c r="TGH18" s="69"/>
      <c r="TGI18" s="69"/>
      <c r="TGJ18" s="69"/>
      <c r="TGK18" s="69"/>
      <c r="TGL18" s="69"/>
      <c r="TGM18" s="69"/>
      <c r="TGN18" s="69"/>
      <c r="TGO18" s="69"/>
      <c r="TGP18" s="69"/>
      <c r="TGQ18" s="69"/>
      <c r="TGR18" s="69"/>
      <c r="TGS18" s="69"/>
      <c r="TGT18" s="69"/>
      <c r="TGU18" s="69"/>
      <c r="TGV18" s="69"/>
      <c r="TGW18" s="69"/>
      <c r="TGX18" s="69"/>
      <c r="TGY18" s="69"/>
      <c r="TGZ18" s="69"/>
      <c r="THA18" s="69"/>
      <c r="THB18" s="69"/>
      <c r="THC18" s="69"/>
      <c r="THD18" s="69"/>
      <c r="THE18" s="69"/>
      <c r="THF18" s="69"/>
      <c r="THG18" s="69"/>
      <c r="THH18" s="69"/>
      <c r="THI18" s="69"/>
      <c r="THJ18" s="69"/>
      <c r="THK18" s="69"/>
      <c r="THL18" s="69"/>
      <c r="THM18" s="69"/>
      <c r="THN18" s="69"/>
      <c r="THO18" s="69"/>
      <c r="THP18" s="69"/>
      <c r="THQ18" s="69"/>
      <c r="THR18" s="69"/>
      <c r="THS18" s="69"/>
      <c r="THT18" s="69"/>
      <c r="THU18" s="69"/>
      <c r="THV18" s="69"/>
      <c r="THW18" s="69"/>
      <c r="THX18" s="69"/>
      <c r="THY18" s="69"/>
      <c r="THZ18" s="69"/>
      <c r="TIA18" s="69"/>
      <c r="TIB18" s="69"/>
      <c r="TIC18" s="69"/>
      <c r="TID18" s="69"/>
      <c r="TIE18" s="69"/>
      <c r="TIF18" s="69"/>
      <c r="TIG18" s="69"/>
      <c r="TIH18" s="69"/>
      <c r="TII18" s="69"/>
      <c r="TIJ18" s="69"/>
      <c r="TIK18" s="69"/>
      <c r="TIL18" s="69"/>
      <c r="TIM18" s="69"/>
      <c r="TIN18" s="69"/>
      <c r="TIO18" s="69"/>
      <c r="TIP18" s="69"/>
      <c r="TIQ18" s="69"/>
      <c r="TIR18" s="69"/>
      <c r="TIS18" s="69"/>
      <c r="TIT18" s="69"/>
      <c r="TIU18" s="69"/>
      <c r="TIV18" s="69"/>
      <c r="TIW18" s="69"/>
      <c r="TIX18" s="69"/>
      <c r="TIY18" s="69"/>
      <c r="TIZ18" s="69"/>
      <c r="TJA18" s="69"/>
      <c r="TJB18" s="69"/>
      <c r="TJC18" s="69"/>
      <c r="TJD18" s="69"/>
      <c r="TJE18" s="69"/>
      <c r="TJF18" s="69"/>
      <c r="TJG18" s="69"/>
      <c r="TJH18" s="69"/>
      <c r="TJI18" s="69"/>
      <c r="TJJ18" s="69"/>
      <c r="TJK18" s="69"/>
      <c r="TJL18" s="69"/>
      <c r="TJM18" s="69"/>
      <c r="TJN18" s="69"/>
      <c r="TJO18" s="69"/>
      <c r="TJP18" s="69"/>
      <c r="TJQ18" s="69"/>
      <c r="TJR18" s="69"/>
      <c r="TJS18" s="69"/>
      <c r="TJT18" s="69"/>
      <c r="TJU18" s="69"/>
      <c r="TJV18" s="69"/>
      <c r="TJW18" s="69"/>
      <c r="TJX18" s="69"/>
      <c r="TJY18" s="69"/>
      <c r="TJZ18" s="69"/>
      <c r="TKA18" s="69"/>
      <c r="TKB18" s="69"/>
      <c r="TKC18" s="69"/>
      <c r="TKD18" s="69"/>
      <c r="TKE18" s="69"/>
      <c r="TKF18" s="69"/>
      <c r="TKG18" s="69"/>
      <c r="TKH18" s="69"/>
      <c r="TKI18" s="69"/>
      <c r="TKJ18" s="69"/>
      <c r="TKK18" s="69"/>
      <c r="TKL18" s="69"/>
      <c r="TKM18" s="69"/>
      <c r="TKN18" s="69"/>
      <c r="TKO18" s="69"/>
      <c r="TKP18" s="69"/>
      <c r="TKQ18" s="69"/>
      <c r="TKR18" s="69"/>
      <c r="TKS18" s="69"/>
      <c r="TKT18" s="69"/>
      <c r="TKU18" s="69"/>
      <c r="TKV18" s="69"/>
      <c r="TKW18" s="69"/>
      <c r="TKX18" s="69"/>
      <c r="TKY18" s="69"/>
      <c r="TKZ18" s="69"/>
      <c r="TLA18" s="69"/>
      <c r="TLB18" s="69"/>
      <c r="TLC18" s="69"/>
      <c r="TLD18" s="69"/>
      <c r="TLE18" s="69"/>
      <c r="TLF18" s="69"/>
      <c r="TLG18" s="69"/>
      <c r="TLH18" s="69"/>
      <c r="TLI18" s="69"/>
      <c r="TLJ18" s="69"/>
      <c r="TLK18" s="69"/>
      <c r="TLL18" s="69"/>
      <c r="TLM18" s="69"/>
      <c r="TLN18" s="69"/>
      <c r="TLO18" s="69"/>
      <c r="TLP18" s="69"/>
      <c r="TLQ18" s="69"/>
      <c r="TLR18" s="69"/>
      <c r="TLS18" s="69"/>
      <c r="TLT18" s="69"/>
      <c r="TLU18" s="69"/>
      <c r="TLV18" s="69"/>
      <c r="TLW18" s="69"/>
      <c r="TLX18" s="69"/>
      <c r="TLY18" s="69"/>
      <c r="TLZ18" s="69"/>
      <c r="TMA18" s="69"/>
      <c r="TMB18" s="69"/>
      <c r="TMC18" s="69"/>
      <c r="TMD18" s="69"/>
      <c r="TME18" s="69"/>
      <c r="TMF18" s="69"/>
      <c r="TMG18" s="69"/>
      <c r="TMH18" s="69"/>
      <c r="TMI18" s="69"/>
      <c r="TMJ18" s="69"/>
      <c r="TMK18" s="69"/>
      <c r="TML18" s="69"/>
      <c r="TMM18" s="69"/>
      <c r="TMN18" s="69"/>
      <c r="TMO18" s="69"/>
      <c r="TMP18" s="69"/>
      <c r="TMQ18" s="69"/>
      <c r="TMR18" s="69"/>
      <c r="TMS18" s="69"/>
      <c r="TMT18" s="69"/>
      <c r="TMU18" s="69"/>
      <c r="TMV18" s="69"/>
      <c r="TMW18" s="69"/>
      <c r="TMX18" s="69"/>
      <c r="TMY18" s="69"/>
      <c r="TMZ18" s="69"/>
      <c r="TNA18" s="69"/>
      <c r="TNB18" s="69"/>
      <c r="TNC18" s="69"/>
      <c r="TND18" s="69"/>
      <c r="TNE18" s="69"/>
      <c r="TNF18" s="69"/>
      <c r="TNG18" s="69"/>
      <c r="TNH18" s="69"/>
      <c r="TNI18" s="69"/>
      <c r="TNJ18" s="69"/>
      <c r="TNK18" s="69"/>
      <c r="TNL18" s="69"/>
      <c r="TNM18" s="69"/>
      <c r="TNN18" s="69"/>
      <c r="TNO18" s="69"/>
      <c r="TNP18" s="69"/>
      <c r="TNQ18" s="69"/>
      <c r="TNR18" s="69"/>
      <c r="TNS18" s="69"/>
      <c r="TNT18" s="69"/>
      <c r="TNU18" s="69"/>
      <c r="TNV18" s="69"/>
      <c r="TNW18" s="69"/>
      <c r="TNX18" s="69"/>
      <c r="TNY18" s="69"/>
      <c r="TNZ18" s="69"/>
      <c r="TOA18" s="69"/>
      <c r="TOB18" s="69"/>
      <c r="TOC18" s="69"/>
      <c r="TOD18" s="69"/>
      <c r="TOE18" s="69"/>
      <c r="TOF18" s="69"/>
      <c r="TOG18" s="69"/>
      <c r="TOH18" s="69"/>
      <c r="TOI18" s="69"/>
      <c r="TOJ18" s="69"/>
      <c r="TOK18" s="69"/>
      <c r="TOL18" s="69"/>
      <c r="TOM18" s="69"/>
      <c r="TON18" s="69"/>
      <c r="TOO18" s="69"/>
      <c r="TOP18" s="69"/>
      <c r="TOQ18" s="69"/>
      <c r="TOR18" s="69"/>
      <c r="TOS18" s="69"/>
      <c r="TOT18" s="69"/>
      <c r="TOU18" s="69"/>
      <c r="TOV18" s="69"/>
      <c r="TOW18" s="69"/>
      <c r="TOX18" s="69"/>
      <c r="TOY18" s="69"/>
      <c r="TOZ18" s="69"/>
      <c r="TPA18" s="69"/>
      <c r="TPB18" s="69"/>
      <c r="TPC18" s="69"/>
      <c r="TPD18" s="69"/>
      <c r="TPE18" s="69"/>
      <c r="TPF18" s="69"/>
      <c r="TPG18" s="69"/>
      <c r="TPH18" s="69"/>
      <c r="TPI18" s="69"/>
      <c r="TPJ18" s="69"/>
      <c r="TPK18" s="69"/>
      <c r="TPL18" s="69"/>
      <c r="TPM18" s="69"/>
      <c r="TPN18" s="69"/>
      <c r="TPO18" s="69"/>
      <c r="TPP18" s="69"/>
      <c r="TPQ18" s="69"/>
      <c r="TPR18" s="69"/>
      <c r="TPS18" s="69"/>
      <c r="TPT18" s="69"/>
      <c r="TPU18" s="69"/>
      <c r="TPV18" s="69"/>
      <c r="TPW18" s="69"/>
      <c r="TPX18" s="69"/>
      <c r="TPY18" s="69"/>
      <c r="TPZ18" s="69"/>
      <c r="TQA18" s="69"/>
      <c r="TQB18" s="69"/>
      <c r="TQC18" s="69"/>
      <c r="TQD18" s="69"/>
      <c r="TQE18" s="69"/>
      <c r="TQF18" s="69"/>
      <c r="TQG18" s="69"/>
      <c r="TQH18" s="69"/>
      <c r="TQI18" s="69"/>
      <c r="TQJ18" s="69"/>
      <c r="TQK18" s="69"/>
      <c r="TQL18" s="69"/>
      <c r="TQM18" s="69"/>
      <c r="TQN18" s="69"/>
      <c r="TQO18" s="69"/>
      <c r="TQP18" s="69"/>
      <c r="TQQ18" s="69"/>
      <c r="TQR18" s="69"/>
      <c r="TQS18" s="69"/>
      <c r="TQT18" s="69"/>
      <c r="TQU18" s="69"/>
      <c r="TQV18" s="69"/>
      <c r="TQW18" s="69"/>
      <c r="TQX18" s="69"/>
      <c r="TQY18" s="69"/>
      <c r="TQZ18" s="69"/>
      <c r="TRA18" s="69"/>
      <c r="TRB18" s="69"/>
      <c r="TRC18" s="69"/>
      <c r="TRD18" s="69"/>
      <c r="TRE18" s="69"/>
      <c r="TRF18" s="69"/>
      <c r="TRG18" s="69"/>
      <c r="TRH18" s="69"/>
      <c r="TRI18" s="69"/>
      <c r="TRJ18" s="69"/>
      <c r="TRK18" s="69"/>
      <c r="TRL18" s="69"/>
      <c r="TRM18" s="69"/>
      <c r="TRN18" s="69"/>
      <c r="TRO18" s="69"/>
      <c r="TRP18" s="69"/>
      <c r="TRQ18" s="69"/>
      <c r="TRR18" s="69"/>
      <c r="TRS18" s="69"/>
      <c r="TRT18" s="69"/>
      <c r="TRU18" s="69"/>
      <c r="TRV18" s="69"/>
      <c r="TRW18" s="69"/>
      <c r="TRX18" s="69"/>
      <c r="TRY18" s="69"/>
      <c r="TRZ18" s="69"/>
      <c r="TSA18" s="69"/>
      <c r="TSB18" s="69"/>
      <c r="TSC18" s="69"/>
      <c r="TSD18" s="69"/>
      <c r="TSE18" s="69"/>
      <c r="TSF18" s="69"/>
      <c r="TSG18" s="69"/>
      <c r="TSH18" s="69"/>
      <c r="TSI18" s="69"/>
      <c r="TSJ18" s="69"/>
      <c r="TSK18" s="69"/>
      <c r="TSL18" s="69"/>
      <c r="TSM18" s="69"/>
      <c r="TSN18" s="69"/>
      <c r="TSO18" s="69"/>
      <c r="TSP18" s="69"/>
      <c r="TSQ18" s="69"/>
      <c r="TSR18" s="69"/>
      <c r="TSS18" s="69"/>
      <c r="TST18" s="69"/>
      <c r="TSU18" s="69"/>
      <c r="TSV18" s="69"/>
      <c r="TSW18" s="69"/>
      <c r="TSX18" s="69"/>
      <c r="TSY18" s="69"/>
      <c r="TSZ18" s="69"/>
      <c r="TTA18" s="69"/>
      <c r="TTB18" s="69"/>
      <c r="TTC18" s="69"/>
      <c r="TTD18" s="69"/>
      <c r="TTE18" s="69"/>
      <c r="TTF18" s="69"/>
      <c r="TTG18" s="69"/>
      <c r="TTH18" s="69"/>
      <c r="TTI18" s="69"/>
      <c r="TTJ18" s="69"/>
      <c r="TTK18" s="69"/>
      <c r="TTL18" s="69"/>
      <c r="TTM18" s="69"/>
      <c r="TTN18" s="69"/>
      <c r="TTO18" s="69"/>
      <c r="TTP18" s="69"/>
      <c r="TTQ18" s="69"/>
      <c r="TTR18" s="69"/>
      <c r="TTS18" s="69"/>
      <c r="TTT18" s="69"/>
      <c r="TTU18" s="69"/>
      <c r="TTV18" s="69"/>
      <c r="TTW18" s="69"/>
      <c r="TTX18" s="69"/>
      <c r="TTY18" s="69"/>
      <c r="TTZ18" s="69"/>
      <c r="TUA18" s="69"/>
      <c r="TUB18" s="69"/>
      <c r="TUC18" s="69"/>
      <c r="TUD18" s="69"/>
      <c r="TUE18" s="69"/>
      <c r="TUF18" s="69"/>
      <c r="TUG18" s="69"/>
      <c r="TUH18" s="69"/>
      <c r="TUI18" s="69"/>
      <c r="TUJ18" s="69"/>
      <c r="TUK18" s="69"/>
      <c r="TUL18" s="69"/>
      <c r="TUM18" s="69"/>
      <c r="TUN18" s="69"/>
      <c r="TUO18" s="69"/>
      <c r="TUP18" s="69"/>
      <c r="TUQ18" s="69"/>
      <c r="TUR18" s="69"/>
      <c r="TUS18" s="69"/>
      <c r="TUT18" s="69"/>
      <c r="TUU18" s="69"/>
      <c r="TUV18" s="69"/>
      <c r="TUW18" s="69"/>
      <c r="TUX18" s="69"/>
      <c r="TUY18" s="69"/>
      <c r="TUZ18" s="69"/>
      <c r="TVA18" s="69"/>
      <c r="TVB18" s="69"/>
      <c r="TVC18" s="69"/>
      <c r="TVD18" s="69"/>
      <c r="TVE18" s="69"/>
      <c r="TVF18" s="69"/>
      <c r="TVG18" s="69"/>
      <c r="TVH18" s="69"/>
      <c r="TVI18" s="69"/>
      <c r="TVJ18" s="69"/>
      <c r="TVK18" s="69"/>
      <c r="TVL18" s="69"/>
      <c r="TVM18" s="69"/>
      <c r="TVN18" s="69"/>
      <c r="TVO18" s="69"/>
      <c r="TVP18" s="69"/>
      <c r="TVQ18" s="69"/>
      <c r="TVR18" s="69"/>
      <c r="TVS18" s="69"/>
      <c r="TVT18" s="69"/>
      <c r="TVU18" s="69"/>
      <c r="TVV18" s="69"/>
      <c r="TVW18" s="69"/>
      <c r="TVX18" s="69"/>
      <c r="TVY18" s="69"/>
      <c r="TVZ18" s="69"/>
      <c r="TWA18" s="69"/>
      <c r="TWB18" s="69"/>
      <c r="TWC18" s="69"/>
      <c r="TWD18" s="69"/>
      <c r="TWE18" s="69"/>
      <c r="TWF18" s="69"/>
      <c r="TWG18" s="69"/>
      <c r="TWH18" s="69"/>
      <c r="TWI18" s="69"/>
      <c r="TWJ18" s="69"/>
      <c r="TWK18" s="69"/>
      <c r="TWL18" s="69"/>
      <c r="TWM18" s="69"/>
      <c r="TWN18" s="69"/>
      <c r="TWO18" s="69"/>
      <c r="TWP18" s="69"/>
      <c r="TWQ18" s="69"/>
      <c r="TWR18" s="69"/>
      <c r="TWS18" s="69"/>
      <c r="TWT18" s="69"/>
      <c r="TWU18" s="69"/>
      <c r="TWV18" s="69"/>
      <c r="TWW18" s="69"/>
      <c r="TWX18" s="69"/>
      <c r="TWY18" s="69"/>
      <c r="TWZ18" s="69"/>
      <c r="TXA18" s="69"/>
      <c r="TXB18" s="69"/>
      <c r="TXC18" s="69"/>
      <c r="TXD18" s="69"/>
      <c r="TXE18" s="69"/>
      <c r="TXF18" s="69"/>
      <c r="TXG18" s="69"/>
      <c r="TXH18" s="69"/>
      <c r="TXI18" s="69"/>
      <c r="TXJ18" s="69"/>
      <c r="TXK18" s="69"/>
      <c r="TXL18" s="69"/>
      <c r="TXM18" s="69"/>
      <c r="TXN18" s="69"/>
      <c r="TXO18" s="69"/>
      <c r="TXP18" s="69"/>
      <c r="TXQ18" s="69"/>
      <c r="TXR18" s="69"/>
      <c r="TXS18" s="69"/>
      <c r="TXT18" s="69"/>
      <c r="TXU18" s="69"/>
      <c r="TXV18" s="69"/>
      <c r="TXW18" s="69"/>
      <c r="TXX18" s="69"/>
      <c r="TXY18" s="69"/>
      <c r="TXZ18" s="69"/>
      <c r="TYA18" s="69"/>
      <c r="TYB18" s="69"/>
      <c r="TYC18" s="69"/>
      <c r="TYD18" s="69"/>
      <c r="TYE18" s="69"/>
      <c r="TYF18" s="69"/>
      <c r="TYG18" s="69"/>
      <c r="TYH18" s="69"/>
      <c r="TYI18" s="69"/>
      <c r="TYJ18" s="69"/>
      <c r="TYK18" s="69"/>
      <c r="TYL18" s="69"/>
      <c r="TYM18" s="69"/>
      <c r="TYN18" s="69"/>
      <c r="TYO18" s="69"/>
      <c r="TYP18" s="69"/>
      <c r="TYQ18" s="69"/>
      <c r="TYR18" s="69"/>
      <c r="TYS18" s="69"/>
      <c r="TYT18" s="69"/>
      <c r="TYU18" s="69"/>
      <c r="TYV18" s="69"/>
      <c r="TYW18" s="69"/>
      <c r="TYX18" s="69"/>
      <c r="TYY18" s="69"/>
      <c r="TYZ18" s="69"/>
      <c r="TZA18" s="69"/>
      <c r="TZB18" s="69"/>
      <c r="TZC18" s="69"/>
      <c r="TZD18" s="69"/>
      <c r="TZE18" s="69"/>
      <c r="TZF18" s="69"/>
      <c r="TZG18" s="69"/>
      <c r="TZH18" s="69"/>
      <c r="TZI18" s="69"/>
      <c r="TZJ18" s="69"/>
      <c r="TZK18" s="69"/>
      <c r="TZL18" s="69"/>
      <c r="TZM18" s="69"/>
      <c r="TZN18" s="69"/>
      <c r="TZO18" s="69"/>
      <c r="TZP18" s="69"/>
      <c r="TZQ18" s="69"/>
      <c r="TZR18" s="69"/>
      <c r="TZS18" s="69"/>
      <c r="TZT18" s="69"/>
      <c r="TZU18" s="69"/>
      <c r="TZV18" s="69"/>
      <c r="TZW18" s="69"/>
      <c r="TZX18" s="69"/>
      <c r="TZY18" s="69"/>
      <c r="TZZ18" s="69"/>
      <c r="UAA18" s="69"/>
      <c r="UAB18" s="69"/>
      <c r="UAC18" s="69"/>
      <c r="UAD18" s="69"/>
      <c r="UAE18" s="69"/>
      <c r="UAF18" s="69"/>
      <c r="UAG18" s="69"/>
      <c r="UAH18" s="69"/>
      <c r="UAI18" s="69"/>
      <c r="UAJ18" s="69"/>
      <c r="UAK18" s="69"/>
      <c r="UAL18" s="69"/>
      <c r="UAM18" s="69"/>
      <c r="UAN18" s="69"/>
      <c r="UAO18" s="69"/>
      <c r="UAP18" s="69"/>
      <c r="UAQ18" s="69"/>
      <c r="UAR18" s="69"/>
      <c r="UAS18" s="69"/>
      <c r="UAT18" s="69"/>
      <c r="UAU18" s="69"/>
      <c r="UAV18" s="69"/>
      <c r="UAW18" s="69"/>
      <c r="UAX18" s="69"/>
      <c r="UAY18" s="69"/>
      <c r="UAZ18" s="69"/>
      <c r="UBA18" s="69"/>
      <c r="UBB18" s="69"/>
      <c r="UBC18" s="69"/>
      <c r="UBD18" s="69"/>
      <c r="UBE18" s="69"/>
      <c r="UBF18" s="69"/>
      <c r="UBG18" s="69"/>
      <c r="UBH18" s="69"/>
      <c r="UBI18" s="69"/>
      <c r="UBJ18" s="69"/>
      <c r="UBK18" s="69"/>
      <c r="UBL18" s="69"/>
      <c r="UBM18" s="69"/>
      <c r="UBN18" s="69"/>
      <c r="UBO18" s="69"/>
      <c r="UBP18" s="69"/>
      <c r="UBQ18" s="69"/>
      <c r="UBR18" s="69"/>
      <c r="UBS18" s="69"/>
      <c r="UBT18" s="69"/>
      <c r="UBU18" s="69"/>
      <c r="UBV18" s="69"/>
      <c r="UBW18" s="69"/>
      <c r="UBX18" s="69"/>
      <c r="UBY18" s="69"/>
      <c r="UBZ18" s="69"/>
      <c r="UCA18" s="69"/>
      <c r="UCB18" s="69"/>
      <c r="UCC18" s="69"/>
      <c r="UCD18" s="69"/>
      <c r="UCE18" s="69"/>
      <c r="UCF18" s="69"/>
      <c r="UCG18" s="69"/>
      <c r="UCH18" s="69"/>
      <c r="UCI18" s="69"/>
      <c r="UCJ18" s="69"/>
      <c r="UCK18" s="69"/>
      <c r="UCL18" s="69"/>
      <c r="UCM18" s="69"/>
      <c r="UCN18" s="69"/>
      <c r="UCO18" s="69"/>
      <c r="UCP18" s="69"/>
      <c r="UCQ18" s="69"/>
      <c r="UCR18" s="69"/>
      <c r="UCS18" s="69"/>
      <c r="UCT18" s="69"/>
      <c r="UCU18" s="69"/>
      <c r="UCV18" s="69"/>
      <c r="UCW18" s="69"/>
      <c r="UCX18" s="69"/>
      <c r="UCY18" s="69"/>
      <c r="UCZ18" s="69"/>
      <c r="UDA18" s="69"/>
      <c r="UDB18" s="69"/>
      <c r="UDC18" s="69"/>
      <c r="UDD18" s="69"/>
      <c r="UDE18" s="69"/>
      <c r="UDF18" s="69"/>
      <c r="UDG18" s="69"/>
      <c r="UDH18" s="69"/>
      <c r="UDI18" s="69"/>
      <c r="UDJ18" s="69"/>
      <c r="UDK18" s="69"/>
      <c r="UDL18" s="69"/>
      <c r="UDM18" s="69"/>
      <c r="UDN18" s="69"/>
      <c r="UDO18" s="69"/>
      <c r="UDP18" s="69"/>
      <c r="UDQ18" s="69"/>
      <c r="UDR18" s="69"/>
      <c r="UDS18" s="69"/>
      <c r="UDT18" s="69"/>
      <c r="UDU18" s="69"/>
      <c r="UDV18" s="69"/>
      <c r="UDW18" s="69"/>
      <c r="UDX18" s="69"/>
      <c r="UDY18" s="69"/>
      <c r="UDZ18" s="69"/>
      <c r="UEA18" s="69"/>
      <c r="UEB18" s="69"/>
      <c r="UEC18" s="69"/>
      <c r="UED18" s="69"/>
      <c r="UEE18" s="69"/>
      <c r="UEF18" s="69"/>
      <c r="UEG18" s="69"/>
      <c r="UEH18" s="69"/>
      <c r="UEI18" s="69"/>
      <c r="UEJ18" s="69"/>
      <c r="UEK18" s="69"/>
      <c r="UEL18" s="69"/>
      <c r="UEM18" s="69"/>
      <c r="UEN18" s="69"/>
      <c r="UEO18" s="69"/>
      <c r="UEP18" s="69"/>
      <c r="UEQ18" s="69"/>
      <c r="UER18" s="69"/>
      <c r="UES18" s="69"/>
      <c r="UET18" s="69"/>
      <c r="UEU18" s="69"/>
      <c r="UEV18" s="69"/>
      <c r="UEW18" s="69"/>
      <c r="UEX18" s="69"/>
      <c r="UEY18" s="69"/>
      <c r="UEZ18" s="69"/>
      <c r="UFA18" s="69"/>
      <c r="UFB18" s="69"/>
      <c r="UFC18" s="69"/>
      <c r="UFD18" s="69"/>
      <c r="UFE18" s="69"/>
      <c r="UFF18" s="69"/>
      <c r="UFG18" s="69"/>
      <c r="UFH18" s="69"/>
      <c r="UFI18" s="69"/>
      <c r="UFJ18" s="69"/>
      <c r="UFK18" s="69"/>
      <c r="UFL18" s="69"/>
      <c r="UFM18" s="69"/>
      <c r="UFN18" s="69"/>
      <c r="UFO18" s="69"/>
      <c r="UFP18" s="69"/>
      <c r="UFQ18" s="69"/>
      <c r="UFR18" s="69"/>
      <c r="UFS18" s="69"/>
      <c r="UFT18" s="69"/>
      <c r="UFU18" s="69"/>
      <c r="UFV18" s="69"/>
      <c r="UFW18" s="69"/>
      <c r="UFX18" s="69"/>
      <c r="UFY18" s="69"/>
      <c r="UFZ18" s="69"/>
      <c r="UGA18" s="69"/>
      <c r="UGB18" s="69"/>
      <c r="UGC18" s="69"/>
      <c r="UGD18" s="69"/>
      <c r="UGE18" s="69"/>
      <c r="UGF18" s="69"/>
      <c r="UGG18" s="69"/>
      <c r="UGH18" s="69"/>
      <c r="UGI18" s="69"/>
      <c r="UGJ18" s="69"/>
      <c r="UGK18" s="69"/>
      <c r="UGL18" s="69"/>
      <c r="UGM18" s="69"/>
      <c r="UGN18" s="69"/>
      <c r="UGO18" s="69"/>
      <c r="UGP18" s="69"/>
      <c r="UGQ18" s="69"/>
      <c r="UGR18" s="69"/>
      <c r="UGS18" s="69"/>
      <c r="UGT18" s="69"/>
      <c r="UGU18" s="69"/>
      <c r="UGV18" s="69"/>
      <c r="UGW18" s="69"/>
      <c r="UGX18" s="69"/>
      <c r="UGY18" s="69"/>
      <c r="UGZ18" s="69"/>
      <c r="UHA18" s="69"/>
      <c r="UHB18" s="69"/>
      <c r="UHC18" s="69"/>
      <c r="UHD18" s="69"/>
      <c r="UHE18" s="69"/>
      <c r="UHF18" s="69"/>
      <c r="UHG18" s="69"/>
      <c r="UHH18" s="69"/>
      <c r="UHI18" s="69"/>
      <c r="UHJ18" s="69"/>
      <c r="UHK18" s="69"/>
      <c r="UHL18" s="69"/>
      <c r="UHM18" s="69"/>
      <c r="UHN18" s="69"/>
      <c r="UHO18" s="69"/>
      <c r="UHP18" s="69"/>
      <c r="UHQ18" s="69"/>
      <c r="UHR18" s="69"/>
      <c r="UHS18" s="69"/>
      <c r="UHT18" s="69"/>
      <c r="UHU18" s="69"/>
      <c r="UHV18" s="69"/>
      <c r="UHW18" s="69"/>
      <c r="UHX18" s="69"/>
      <c r="UHY18" s="69"/>
      <c r="UHZ18" s="69"/>
      <c r="UIA18" s="69"/>
      <c r="UIB18" s="69"/>
      <c r="UIC18" s="69"/>
      <c r="UID18" s="69"/>
      <c r="UIE18" s="69"/>
      <c r="UIF18" s="69"/>
      <c r="UIG18" s="69"/>
      <c r="UIH18" s="69"/>
      <c r="UII18" s="69"/>
      <c r="UIJ18" s="69"/>
      <c r="UIK18" s="69"/>
      <c r="UIL18" s="69"/>
      <c r="UIM18" s="69"/>
      <c r="UIN18" s="69"/>
      <c r="UIO18" s="69"/>
      <c r="UIP18" s="69"/>
      <c r="UIQ18" s="69"/>
      <c r="UIR18" s="69"/>
      <c r="UIS18" s="69"/>
      <c r="UIT18" s="69"/>
      <c r="UIU18" s="69"/>
      <c r="UIV18" s="69"/>
      <c r="UIW18" s="69"/>
      <c r="UIX18" s="69"/>
      <c r="UIY18" s="69"/>
      <c r="UIZ18" s="69"/>
      <c r="UJA18" s="69"/>
      <c r="UJB18" s="69"/>
      <c r="UJC18" s="69"/>
      <c r="UJD18" s="69"/>
      <c r="UJE18" s="69"/>
      <c r="UJF18" s="69"/>
      <c r="UJG18" s="69"/>
      <c r="UJH18" s="69"/>
      <c r="UJI18" s="69"/>
      <c r="UJJ18" s="69"/>
      <c r="UJK18" s="69"/>
      <c r="UJL18" s="69"/>
      <c r="UJM18" s="69"/>
      <c r="UJN18" s="69"/>
      <c r="UJO18" s="69"/>
      <c r="UJP18" s="69"/>
      <c r="UJQ18" s="69"/>
      <c r="UJR18" s="69"/>
      <c r="UJS18" s="69"/>
      <c r="UJT18" s="69"/>
      <c r="UJU18" s="69"/>
      <c r="UJV18" s="69"/>
      <c r="UJW18" s="69"/>
      <c r="UJX18" s="69"/>
      <c r="UJY18" s="69"/>
      <c r="UJZ18" s="69"/>
      <c r="UKA18" s="69"/>
      <c r="UKB18" s="69"/>
      <c r="UKC18" s="69"/>
      <c r="UKD18" s="69"/>
      <c r="UKE18" s="69"/>
      <c r="UKF18" s="69"/>
      <c r="UKG18" s="69"/>
      <c r="UKH18" s="69"/>
      <c r="UKI18" s="69"/>
      <c r="UKJ18" s="69"/>
      <c r="UKK18" s="69"/>
      <c r="UKL18" s="69"/>
      <c r="UKM18" s="69"/>
      <c r="UKN18" s="69"/>
      <c r="UKO18" s="69"/>
      <c r="UKP18" s="69"/>
      <c r="UKQ18" s="69"/>
      <c r="UKR18" s="69"/>
      <c r="UKS18" s="69"/>
      <c r="UKT18" s="69"/>
      <c r="UKU18" s="69"/>
      <c r="UKV18" s="69"/>
      <c r="UKW18" s="69"/>
      <c r="UKX18" s="69"/>
      <c r="UKY18" s="69"/>
      <c r="UKZ18" s="69"/>
      <c r="ULA18" s="69"/>
      <c r="ULB18" s="69"/>
      <c r="ULC18" s="69"/>
      <c r="ULD18" s="69"/>
      <c r="ULE18" s="69"/>
      <c r="ULF18" s="69"/>
      <c r="ULG18" s="69"/>
      <c r="ULH18" s="69"/>
      <c r="ULI18" s="69"/>
      <c r="ULJ18" s="69"/>
      <c r="ULK18" s="69"/>
      <c r="ULL18" s="69"/>
      <c r="ULM18" s="69"/>
      <c r="ULN18" s="69"/>
      <c r="ULO18" s="69"/>
      <c r="ULP18" s="69"/>
      <c r="ULQ18" s="69"/>
      <c r="ULR18" s="69"/>
      <c r="ULS18" s="69"/>
      <c r="ULT18" s="69"/>
      <c r="ULU18" s="69"/>
      <c r="ULV18" s="69"/>
      <c r="ULW18" s="69"/>
      <c r="ULX18" s="69"/>
      <c r="ULY18" s="69"/>
      <c r="ULZ18" s="69"/>
      <c r="UMA18" s="69"/>
      <c r="UMB18" s="69"/>
      <c r="UMC18" s="69"/>
      <c r="UMD18" s="69"/>
      <c r="UME18" s="69"/>
      <c r="UMF18" s="69"/>
      <c r="UMG18" s="69"/>
      <c r="UMH18" s="69"/>
      <c r="UMI18" s="69"/>
      <c r="UMJ18" s="69"/>
      <c r="UMK18" s="69"/>
      <c r="UML18" s="69"/>
      <c r="UMM18" s="69"/>
      <c r="UMN18" s="69"/>
      <c r="UMO18" s="69"/>
      <c r="UMP18" s="69"/>
      <c r="UMQ18" s="69"/>
      <c r="UMR18" s="69"/>
      <c r="UMS18" s="69"/>
      <c r="UMT18" s="69"/>
      <c r="UMU18" s="69"/>
      <c r="UMV18" s="69"/>
      <c r="UMW18" s="69"/>
      <c r="UMX18" s="69"/>
      <c r="UMY18" s="69"/>
      <c r="UMZ18" s="69"/>
      <c r="UNA18" s="69"/>
      <c r="UNB18" s="69"/>
      <c r="UNC18" s="69"/>
      <c r="UND18" s="69"/>
      <c r="UNE18" s="69"/>
      <c r="UNF18" s="69"/>
      <c r="UNG18" s="69"/>
      <c r="UNH18" s="69"/>
      <c r="UNI18" s="69"/>
      <c r="UNJ18" s="69"/>
      <c r="UNK18" s="69"/>
      <c r="UNL18" s="69"/>
      <c r="UNM18" s="69"/>
      <c r="UNN18" s="69"/>
      <c r="UNO18" s="69"/>
      <c r="UNP18" s="69"/>
      <c r="UNQ18" s="69"/>
      <c r="UNR18" s="69"/>
      <c r="UNS18" s="69"/>
      <c r="UNT18" s="69"/>
      <c r="UNU18" s="69"/>
      <c r="UNV18" s="69"/>
      <c r="UNW18" s="69"/>
      <c r="UNX18" s="69"/>
      <c r="UNY18" s="69"/>
      <c r="UNZ18" s="69"/>
      <c r="UOA18" s="69"/>
      <c r="UOB18" s="69"/>
      <c r="UOC18" s="69"/>
      <c r="UOD18" s="69"/>
      <c r="UOE18" s="69"/>
      <c r="UOF18" s="69"/>
      <c r="UOG18" s="69"/>
      <c r="UOH18" s="69"/>
      <c r="UOI18" s="69"/>
      <c r="UOJ18" s="69"/>
      <c r="UOK18" s="69"/>
      <c r="UOL18" s="69"/>
      <c r="UOM18" s="69"/>
      <c r="UON18" s="69"/>
      <c r="UOO18" s="69"/>
      <c r="UOP18" s="69"/>
      <c r="UOQ18" s="69"/>
      <c r="UOR18" s="69"/>
      <c r="UOS18" s="69"/>
      <c r="UOT18" s="69"/>
      <c r="UOU18" s="69"/>
      <c r="UOV18" s="69"/>
      <c r="UOW18" s="69"/>
      <c r="UOX18" s="69"/>
      <c r="UOY18" s="69"/>
      <c r="UOZ18" s="69"/>
      <c r="UPA18" s="69"/>
      <c r="UPB18" s="69"/>
      <c r="UPC18" s="69"/>
      <c r="UPD18" s="69"/>
      <c r="UPE18" s="69"/>
      <c r="UPF18" s="69"/>
      <c r="UPG18" s="69"/>
      <c r="UPH18" s="69"/>
      <c r="UPI18" s="69"/>
      <c r="UPJ18" s="69"/>
      <c r="UPK18" s="69"/>
      <c r="UPL18" s="69"/>
      <c r="UPM18" s="69"/>
      <c r="UPN18" s="69"/>
      <c r="UPO18" s="69"/>
      <c r="UPP18" s="69"/>
      <c r="UPQ18" s="69"/>
      <c r="UPR18" s="69"/>
      <c r="UPS18" s="69"/>
      <c r="UPT18" s="69"/>
      <c r="UPU18" s="69"/>
      <c r="UPV18" s="69"/>
      <c r="UPW18" s="69"/>
      <c r="UPX18" s="69"/>
      <c r="UPY18" s="69"/>
      <c r="UPZ18" s="69"/>
      <c r="UQA18" s="69"/>
      <c r="UQB18" s="69"/>
      <c r="UQC18" s="69"/>
      <c r="UQD18" s="69"/>
      <c r="UQE18" s="69"/>
      <c r="UQF18" s="69"/>
      <c r="UQG18" s="69"/>
      <c r="UQH18" s="69"/>
      <c r="UQI18" s="69"/>
      <c r="UQJ18" s="69"/>
      <c r="UQK18" s="69"/>
      <c r="UQL18" s="69"/>
      <c r="UQM18" s="69"/>
      <c r="UQN18" s="69"/>
      <c r="UQO18" s="69"/>
      <c r="UQP18" s="69"/>
      <c r="UQQ18" s="69"/>
      <c r="UQR18" s="69"/>
      <c r="UQS18" s="69"/>
      <c r="UQT18" s="69"/>
      <c r="UQU18" s="69"/>
      <c r="UQV18" s="69"/>
      <c r="UQW18" s="69"/>
      <c r="UQX18" s="69"/>
      <c r="UQY18" s="69"/>
      <c r="UQZ18" s="69"/>
      <c r="URA18" s="69"/>
      <c r="URB18" s="69"/>
      <c r="URC18" s="69"/>
      <c r="URD18" s="69"/>
      <c r="URE18" s="69"/>
      <c r="URF18" s="69"/>
      <c r="URG18" s="69"/>
      <c r="URH18" s="69"/>
      <c r="URI18" s="69"/>
      <c r="URJ18" s="69"/>
      <c r="URK18" s="69"/>
      <c r="URL18" s="69"/>
      <c r="URM18" s="69"/>
      <c r="URN18" s="69"/>
      <c r="URO18" s="69"/>
      <c r="URP18" s="69"/>
      <c r="URQ18" s="69"/>
      <c r="URR18" s="69"/>
      <c r="URS18" s="69"/>
      <c r="URT18" s="69"/>
      <c r="URU18" s="69"/>
      <c r="URV18" s="69"/>
      <c r="URW18" s="69"/>
      <c r="URX18" s="69"/>
      <c r="URY18" s="69"/>
      <c r="URZ18" s="69"/>
      <c r="USA18" s="69"/>
      <c r="USB18" s="69"/>
      <c r="USC18" s="69"/>
      <c r="USD18" s="69"/>
      <c r="USE18" s="69"/>
      <c r="USF18" s="69"/>
      <c r="USG18" s="69"/>
      <c r="USH18" s="69"/>
      <c r="USI18" s="69"/>
      <c r="USJ18" s="69"/>
      <c r="USK18" s="69"/>
      <c r="USL18" s="69"/>
      <c r="USM18" s="69"/>
      <c r="USN18" s="69"/>
      <c r="USO18" s="69"/>
      <c r="USP18" s="69"/>
      <c r="USQ18" s="69"/>
      <c r="USR18" s="69"/>
      <c r="USS18" s="69"/>
      <c r="UST18" s="69"/>
      <c r="USU18" s="69"/>
      <c r="USV18" s="69"/>
      <c r="USW18" s="69"/>
      <c r="USX18" s="69"/>
      <c r="USY18" s="69"/>
      <c r="USZ18" s="69"/>
      <c r="UTA18" s="69"/>
      <c r="UTB18" s="69"/>
      <c r="UTC18" s="69"/>
      <c r="UTD18" s="69"/>
      <c r="UTE18" s="69"/>
      <c r="UTF18" s="69"/>
      <c r="UTG18" s="69"/>
      <c r="UTH18" s="69"/>
      <c r="UTI18" s="69"/>
      <c r="UTJ18" s="69"/>
      <c r="UTK18" s="69"/>
      <c r="UTL18" s="69"/>
      <c r="UTM18" s="69"/>
      <c r="UTN18" s="69"/>
      <c r="UTO18" s="69"/>
      <c r="UTP18" s="69"/>
      <c r="UTQ18" s="69"/>
      <c r="UTR18" s="69"/>
      <c r="UTS18" s="69"/>
      <c r="UTT18" s="69"/>
      <c r="UTU18" s="69"/>
      <c r="UTV18" s="69"/>
      <c r="UTW18" s="69"/>
      <c r="UTX18" s="69"/>
      <c r="UTY18" s="69"/>
      <c r="UTZ18" s="69"/>
      <c r="UUA18" s="69"/>
      <c r="UUB18" s="69"/>
      <c r="UUC18" s="69"/>
      <c r="UUD18" s="69"/>
      <c r="UUE18" s="69"/>
      <c r="UUF18" s="69"/>
      <c r="UUG18" s="69"/>
      <c r="UUH18" s="69"/>
      <c r="UUI18" s="69"/>
      <c r="UUJ18" s="69"/>
      <c r="UUK18" s="69"/>
      <c r="UUL18" s="69"/>
      <c r="UUM18" s="69"/>
      <c r="UUN18" s="69"/>
      <c r="UUO18" s="69"/>
      <c r="UUP18" s="69"/>
      <c r="UUQ18" s="69"/>
      <c r="UUR18" s="69"/>
      <c r="UUS18" s="69"/>
      <c r="UUT18" s="69"/>
      <c r="UUU18" s="69"/>
      <c r="UUV18" s="69"/>
      <c r="UUW18" s="69"/>
      <c r="UUX18" s="69"/>
      <c r="UUY18" s="69"/>
      <c r="UUZ18" s="69"/>
      <c r="UVA18" s="69"/>
      <c r="UVB18" s="69"/>
      <c r="UVC18" s="69"/>
      <c r="UVD18" s="69"/>
      <c r="UVE18" s="69"/>
      <c r="UVF18" s="69"/>
      <c r="UVG18" s="69"/>
      <c r="UVH18" s="69"/>
      <c r="UVI18" s="69"/>
      <c r="UVJ18" s="69"/>
      <c r="UVK18" s="69"/>
      <c r="UVL18" s="69"/>
      <c r="UVM18" s="69"/>
      <c r="UVN18" s="69"/>
      <c r="UVO18" s="69"/>
      <c r="UVP18" s="69"/>
      <c r="UVQ18" s="69"/>
      <c r="UVR18" s="69"/>
      <c r="UVS18" s="69"/>
      <c r="UVT18" s="69"/>
      <c r="UVU18" s="69"/>
      <c r="UVV18" s="69"/>
      <c r="UVW18" s="69"/>
      <c r="UVX18" s="69"/>
      <c r="UVY18" s="69"/>
      <c r="UVZ18" s="69"/>
      <c r="UWA18" s="69"/>
      <c r="UWB18" s="69"/>
      <c r="UWC18" s="69"/>
      <c r="UWD18" s="69"/>
      <c r="UWE18" s="69"/>
      <c r="UWF18" s="69"/>
      <c r="UWG18" s="69"/>
      <c r="UWH18" s="69"/>
      <c r="UWI18" s="69"/>
      <c r="UWJ18" s="69"/>
      <c r="UWK18" s="69"/>
      <c r="UWL18" s="69"/>
      <c r="UWM18" s="69"/>
      <c r="UWN18" s="69"/>
      <c r="UWO18" s="69"/>
      <c r="UWP18" s="69"/>
      <c r="UWQ18" s="69"/>
      <c r="UWR18" s="69"/>
      <c r="UWS18" s="69"/>
      <c r="UWT18" s="69"/>
      <c r="UWU18" s="69"/>
      <c r="UWV18" s="69"/>
      <c r="UWW18" s="69"/>
      <c r="UWX18" s="69"/>
      <c r="UWY18" s="69"/>
      <c r="UWZ18" s="69"/>
      <c r="UXA18" s="69"/>
      <c r="UXB18" s="69"/>
      <c r="UXC18" s="69"/>
      <c r="UXD18" s="69"/>
      <c r="UXE18" s="69"/>
      <c r="UXF18" s="69"/>
      <c r="UXG18" s="69"/>
      <c r="UXH18" s="69"/>
      <c r="UXI18" s="69"/>
      <c r="UXJ18" s="69"/>
      <c r="UXK18" s="69"/>
      <c r="UXL18" s="69"/>
      <c r="UXM18" s="69"/>
      <c r="UXN18" s="69"/>
      <c r="UXO18" s="69"/>
      <c r="UXP18" s="69"/>
      <c r="UXQ18" s="69"/>
      <c r="UXR18" s="69"/>
      <c r="UXS18" s="69"/>
      <c r="UXT18" s="69"/>
      <c r="UXU18" s="69"/>
      <c r="UXV18" s="69"/>
      <c r="UXW18" s="69"/>
      <c r="UXX18" s="69"/>
      <c r="UXY18" s="69"/>
      <c r="UXZ18" s="69"/>
      <c r="UYA18" s="69"/>
      <c r="UYB18" s="69"/>
      <c r="UYC18" s="69"/>
      <c r="UYD18" s="69"/>
      <c r="UYE18" s="69"/>
      <c r="UYF18" s="69"/>
      <c r="UYG18" s="69"/>
      <c r="UYH18" s="69"/>
      <c r="UYI18" s="69"/>
      <c r="UYJ18" s="69"/>
      <c r="UYK18" s="69"/>
      <c r="UYL18" s="69"/>
      <c r="UYM18" s="69"/>
      <c r="UYN18" s="69"/>
      <c r="UYO18" s="69"/>
      <c r="UYP18" s="69"/>
      <c r="UYQ18" s="69"/>
      <c r="UYR18" s="69"/>
      <c r="UYS18" s="69"/>
      <c r="UYT18" s="69"/>
      <c r="UYU18" s="69"/>
      <c r="UYV18" s="69"/>
      <c r="UYW18" s="69"/>
      <c r="UYX18" s="69"/>
      <c r="UYY18" s="69"/>
      <c r="UYZ18" s="69"/>
      <c r="UZA18" s="69"/>
      <c r="UZB18" s="69"/>
      <c r="UZC18" s="69"/>
      <c r="UZD18" s="69"/>
      <c r="UZE18" s="69"/>
      <c r="UZF18" s="69"/>
      <c r="UZG18" s="69"/>
      <c r="UZH18" s="69"/>
      <c r="UZI18" s="69"/>
      <c r="UZJ18" s="69"/>
      <c r="UZK18" s="69"/>
      <c r="UZL18" s="69"/>
      <c r="UZM18" s="69"/>
      <c r="UZN18" s="69"/>
      <c r="UZO18" s="69"/>
      <c r="UZP18" s="69"/>
      <c r="UZQ18" s="69"/>
      <c r="UZR18" s="69"/>
      <c r="UZS18" s="69"/>
      <c r="UZT18" s="69"/>
      <c r="UZU18" s="69"/>
      <c r="UZV18" s="69"/>
      <c r="UZW18" s="69"/>
      <c r="UZX18" s="69"/>
      <c r="UZY18" s="69"/>
      <c r="UZZ18" s="69"/>
      <c r="VAA18" s="69"/>
      <c r="VAB18" s="69"/>
      <c r="VAC18" s="69"/>
      <c r="VAD18" s="69"/>
      <c r="VAE18" s="69"/>
      <c r="VAF18" s="69"/>
      <c r="VAG18" s="69"/>
      <c r="VAH18" s="69"/>
      <c r="VAI18" s="69"/>
      <c r="VAJ18" s="69"/>
      <c r="VAK18" s="69"/>
      <c r="VAL18" s="69"/>
      <c r="VAM18" s="69"/>
      <c r="VAN18" s="69"/>
      <c r="VAO18" s="69"/>
      <c r="VAP18" s="69"/>
      <c r="VAQ18" s="69"/>
      <c r="VAR18" s="69"/>
      <c r="VAS18" s="69"/>
      <c r="VAT18" s="69"/>
      <c r="VAU18" s="69"/>
      <c r="VAV18" s="69"/>
      <c r="VAW18" s="69"/>
      <c r="VAX18" s="69"/>
      <c r="VAY18" s="69"/>
      <c r="VAZ18" s="69"/>
      <c r="VBA18" s="69"/>
      <c r="VBB18" s="69"/>
      <c r="VBC18" s="69"/>
      <c r="VBD18" s="69"/>
      <c r="VBE18" s="69"/>
      <c r="VBF18" s="69"/>
      <c r="VBG18" s="69"/>
      <c r="VBH18" s="69"/>
      <c r="VBI18" s="69"/>
      <c r="VBJ18" s="69"/>
      <c r="VBK18" s="69"/>
      <c r="VBL18" s="69"/>
      <c r="VBM18" s="69"/>
      <c r="VBN18" s="69"/>
      <c r="VBO18" s="69"/>
      <c r="VBP18" s="69"/>
      <c r="VBQ18" s="69"/>
      <c r="VBR18" s="69"/>
      <c r="VBS18" s="69"/>
      <c r="VBT18" s="69"/>
      <c r="VBU18" s="69"/>
      <c r="VBV18" s="69"/>
      <c r="VBW18" s="69"/>
      <c r="VBX18" s="69"/>
      <c r="VBY18" s="69"/>
      <c r="VBZ18" s="69"/>
      <c r="VCA18" s="69"/>
      <c r="VCB18" s="69"/>
      <c r="VCC18" s="69"/>
      <c r="VCD18" s="69"/>
      <c r="VCE18" s="69"/>
      <c r="VCF18" s="69"/>
      <c r="VCG18" s="69"/>
      <c r="VCH18" s="69"/>
      <c r="VCI18" s="69"/>
      <c r="VCJ18" s="69"/>
      <c r="VCK18" s="69"/>
      <c r="VCL18" s="69"/>
      <c r="VCM18" s="69"/>
      <c r="VCN18" s="69"/>
      <c r="VCO18" s="69"/>
      <c r="VCP18" s="69"/>
      <c r="VCQ18" s="69"/>
      <c r="VCR18" s="69"/>
      <c r="VCS18" s="69"/>
      <c r="VCT18" s="69"/>
      <c r="VCU18" s="69"/>
      <c r="VCV18" s="69"/>
      <c r="VCW18" s="69"/>
      <c r="VCX18" s="69"/>
      <c r="VCY18" s="69"/>
      <c r="VCZ18" s="69"/>
      <c r="VDA18" s="69"/>
      <c r="VDB18" s="69"/>
      <c r="VDC18" s="69"/>
      <c r="VDD18" s="69"/>
      <c r="VDE18" s="69"/>
      <c r="VDF18" s="69"/>
      <c r="VDG18" s="69"/>
      <c r="VDH18" s="69"/>
      <c r="VDI18" s="69"/>
      <c r="VDJ18" s="69"/>
      <c r="VDK18" s="69"/>
      <c r="VDL18" s="69"/>
      <c r="VDM18" s="69"/>
      <c r="VDN18" s="69"/>
      <c r="VDO18" s="69"/>
      <c r="VDP18" s="69"/>
      <c r="VDQ18" s="69"/>
      <c r="VDR18" s="69"/>
      <c r="VDS18" s="69"/>
      <c r="VDT18" s="69"/>
      <c r="VDU18" s="69"/>
      <c r="VDV18" s="69"/>
      <c r="VDW18" s="69"/>
      <c r="VDX18" s="69"/>
      <c r="VDY18" s="69"/>
      <c r="VDZ18" s="69"/>
      <c r="VEA18" s="69"/>
      <c r="VEB18" s="69"/>
      <c r="VEC18" s="69"/>
      <c r="VED18" s="69"/>
      <c r="VEE18" s="69"/>
      <c r="VEF18" s="69"/>
      <c r="VEG18" s="69"/>
      <c r="VEH18" s="69"/>
      <c r="VEI18" s="69"/>
      <c r="VEJ18" s="69"/>
      <c r="VEK18" s="69"/>
      <c r="VEL18" s="69"/>
      <c r="VEM18" s="69"/>
      <c r="VEN18" s="69"/>
      <c r="VEO18" s="69"/>
      <c r="VEP18" s="69"/>
      <c r="VEQ18" s="69"/>
      <c r="VER18" s="69"/>
      <c r="VES18" s="69"/>
      <c r="VET18" s="69"/>
      <c r="VEU18" s="69"/>
      <c r="VEV18" s="69"/>
      <c r="VEW18" s="69"/>
      <c r="VEX18" s="69"/>
      <c r="VEY18" s="69"/>
      <c r="VEZ18" s="69"/>
      <c r="VFA18" s="69"/>
      <c r="VFB18" s="69"/>
      <c r="VFC18" s="69"/>
      <c r="VFD18" s="69"/>
      <c r="VFE18" s="69"/>
      <c r="VFF18" s="69"/>
      <c r="VFG18" s="69"/>
      <c r="VFH18" s="69"/>
      <c r="VFI18" s="69"/>
      <c r="VFJ18" s="69"/>
      <c r="VFK18" s="69"/>
      <c r="VFL18" s="69"/>
      <c r="VFM18" s="69"/>
      <c r="VFN18" s="69"/>
      <c r="VFO18" s="69"/>
      <c r="VFP18" s="69"/>
      <c r="VFQ18" s="69"/>
      <c r="VFR18" s="69"/>
      <c r="VFS18" s="69"/>
      <c r="VFT18" s="69"/>
      <c r="VFU18" s="69"/>
      <c r="VFV18" s="69"/>
      <c r="VFW18" s="69"/>
      <c r="VFX18" s="69"/>
      <c r="VFY18" s="69"/>
      <c r="VFZ18" s="69"/>
      <c r="VGA18" s="69"/>
      <c r="VGB18" s="69"/>
      <c r="VGC18" s="69"/>
      <c r="VGD18" s="69"/>
      <c r="VGE18" s="69"/>
      <c r="VGF18" s="69"/>
      <c r="VGG18" s="69"/>
      <c r="VGH18" s="69"/>
      <c r="VGI18" s="69"/>
      <c r="VGJ18" s="69"/>
      <c r="VGK18" s="69"/>
      <c r="VGL18" s="69"/>
      <c r="VGM18" s="69"/>
      <c r="VGN18" s="69"/>
      <c r="VGO18" s="69"/>
      <c r="VGP18" s="69"/>
      <c r="VGQ18" s="69"/>
      <c r="VGR18" s="69"/>
      <c r="VGS18" s="69"/>
      <c r="VGT18" s="69"/>
      <c r="VGU18" s="69"/>
      <c r="VGV18" s="69"/>
      <c r="VGW18" s="69"/>
      <c r="VGX18" s="69"/>
      <c r="VGY18" s="69"/>
      <c r="VGZ18" s="69"/>
      <c r="VHA18" s="69"/>
      <c r="VHB18" s="69"/>
      <c r="VHC18" s="69"/>
      <c r="VHD18" s="69"/>
      <c r="VHE18" s="69"/>
      <c r="VHF18" s="69"/>
      <c r="VHG18" s="69"/>
      <c r="VHH18" s="69"/>
      <c r="VHI18" s="69"/>
      <c r="VHJ18" s="69"/>
      <c r="VHK18" s="69"/>
      <c r="VHL18" s="69"/>
      <c r="VHM18" s="69"/>
      <c r="VHN18" s="69"/>
      <c r="VHO18" s="69"/>
      <c r="VHP18" s="69"/>
      <c r="VHQ18" s="69"/>
      <c r="VHR18" s="69"/>
      <c r="VHS18" s="69"/>
      <c r="VHT18" s="69"/>
      <c r="VHU18" s="69"/>
      <c r="VHV18" s="69"/>
      <c r="VHW18" s="69"/>
      <c r="VHX18" s="69"/>
      <c r="VHY18" s="69"/>
      <c r="VHZ18" s="69"/>
      <c r="VIA18" s="69"/>
      <c r="VIB18" s="69"/>
      <c r="VIC18" s="69"/>
      <c r="VID18" s="69"/>
      <c r="VIE18" s="69"/>
      <c r="VIF18" s="69"/>
      <c r="VIG18" s="69"/>
      <c r="VIH18" s="69"/>
      <c r="VII18" s="69"/>
      <c r="VIJ18" s="69"/>
      <c r="VIK18" s="69"/>
      <c r="VIL18" s="69"/>
      <c r="VIM18" s="69"/>
      <c r="VIN18" s="69"/>
      <c r="VIO18" s="69"/>
      <c r="VIP18" s="69"/>
      <c r="VIQ18" s="69"/>
      <c r="VIR18" s="69"/>
      <c r="VIS18" s="69"/>
      <c r="VIT18" s="69"/>
      <c r="VIU18" s="69"/>
      <c r="VIV18" s="69"/>
      <c r="VIW18" s="69"/>
      <c r="VIX18" s="69"/>
      <c r="VIY18" s="69"/>
      <c r="VIZ18" s="69"/>
      <c r="VJA18" s="69"/>
      <c r="VJB18" s="69"/>
      <c r="VJC18" s="69"/>
      <c r="VJD18" s="69"/>
      <c r="VJE18" s="69"/>
      <c r="VJF18" s="69"/>
      <c r="VJG18" s="69"/>
      <c r="VJH18" s="69"/>
      <c r="VJI18" s="69"/>
      <c r="VJJ18" s="69"/>
      <c r="VJK18" s="69"/>
      <c r="VJL18" s="69"/>
      <c r="VJM18" s="69"/>
      <c r="VJN18" s="69"/>
      <c r="VJO18" s="69"/>
      <c r="VJP18" s="69"/>
      <c r="VJQ18" s="69"/>
      <c r="VJR18" s="69"/>
      <c r="VJS18" s="69"/>
      <c r="VJT18" s="69"/>
      <c r="VJU18" s="69"/>
      <c r="VJV18" s="69"/>
      <c r="VJW18" s="69"/>
      <c r="VJX18" s="69"/>
      <c r="VJY18" s="69"/>
      <c r="VJZ18" s="69"/>
      <c r="VKA18" s="69"/>
      <c r="VKB18" s="69"/>
      <c r="VKC18" s="69"/>
      <c r="VKD18" s="69"/>
      <c r="VKE18" s="69"/>
      <c r="VKF18" s="69"/>
      <c r="VKG18" s="69"/>
      <c r="VKH18" s="69"/>
      <c r="VKI18" s="69"/>
      <c r="VKJ18" s="69"/>
      <c r="VKK18" s="69"/>
      <c r="VKL18" s="69"/>
      <c r="VKM18" s="69"/>
      <c r="VKN18" s="69"/>
      <c r="VKO18" s="69"/>
      <c r="VKP18" s="69"/>
      <c r="VKQ18" s="69"/>
      <c r="VKR18" s="69"/>
      <c r="VKS18" s="69"/>
      <c r="VKT18" s="69"/>
      <c r="VKU18" s="69"/>
      <c r="VKV18" s="69"/>
      <c r="VKW18" s="69"/>
      <c r="VKX18" s="69"/>
      <c r="VKY18" s="69"/>
      <c r="VKZ18" s="69"/>
      <c r="VLA18" s="69"/>
      <c r="VLB18" s="69"/>
      <c r="VLC18" s="69"/>
      <c r="VLD18" s="69"/>
      <c r="VLE18" s="69"/>
      <c r="VLF18" s="69"/>
      <c r="VLG18" s="69"/>
      <c r="VLH18" s="69"/>
      <c r="VLI18" s="69"/>
      <c r="VLJ18" s="69"/>
      <c r="VLK18" s="69"/>
      <c r="VLL18" s="69"/>
      <c r="VLM18" s="69"/>
      <c r="VLN18" s="69"/>
      <c r="VLO18" s="69"/>
      <c r="VLP18" s="69"/>
      <c r="VLQ18" s="69"/>
      <c r="VLR18" s="69"/>
      <c r="VLS18" s="69"/>
      <c r="VLT18" s="69"/>
      <c r="VLU18" s="69"/>
      <c r="VLV18" s="69"/>
      <c r="VLW18" s="69"/>
      <c r="VLX18" s="69"/>
      <c r="VLY18" s="69"/>
      <c r="VLZ18" s="69"/>
      <c r="VMA18" s="69"/>
      <c r="VMB18" s="69"/>
      <c r="VMC18" s="69"/>
      <c r="VMD18" s="69"/>
      <c r="VME18" s="69"/>
      <c r="VMF18" s="69"/>
      <c r="VMG18" s="69"/>
      <c r="VMH18" s="69"/>
      <c r="VMI18" s="69"/>
      <c r="VMJ18" s="69"/>
      <c r="VMK18" s="69"/>
      <c r="VML18" s="69"/>
      <c r="VMM18" s="69"/>
      <c r="VMN18" s="69"/>
      <c r="VMO18" s="69"/>
      <c r="VMP18" s="69"/>
      <c r="VMQ18" s="69"/>
      <c r="VMR18" s="69"/>
      <c r="VMS18" s="69"/>
      <c r="VMT18" s="69"/>
      <c r="VMU18" s="69"/>
      <c r="VMV18" s="69"/>
      <c r="VMW18" s="69"/>
      <c r="VMX18" s="69"/>
      <c r="VMY18" s="69"/>
      <c r="VMZ18" s="69"/>
      <c r="VNA18" s="69"/>
      <c r="VNB18" s="69"/>
      <c r="VNC18" s="69"/>
      <c r="VND18" s="69"/>
      <c r="VNE18" s="69"/>
      <c r="VNF18" s="69"/>
      <c r="VNG18" s="69"/>
      <c r="VNH18" s="69"/>
      <c r="VNI18" s="69"/>
      <c r="VNJ18" s="69"/>
      <c r="VNK18" s="69"/>
      <c r="VNL18" s="69"/>
      <c r="VNM18" s="69"/>
      <c r="VNN18" s="69"/>
      <c r="VNO18" s="69"/>
      <c r="VNP18" s="69"/>
      <c r="VNQ18" s="69"/>
      <c r="VNR18" s="69"/>
      <c r="VNS18" s="69"/>
      <c r="VNT18" s="69"/>
      <c r="VNU18" s="69"/>
      <c r="VNV18" s="69"/>
      <c r="VNW18" s="69"/>
      <c r="VNX18" s="69"/>
      <c r="VNY18" s="69"/>
      <c r="VNZ18" s="69"/>
      <c r="VOA18" s="69"/>
      <c r="VOB18" s="69"/>
      <c r="VOC18" s="69"/>
      <c r="VOD18" s="69"/>
      <c r="VOE18" s="69"/>
      <c r="VOF18" s="69"/>
      <c r="VOG18" s="69"/>
      <c r="VOH18" s="69"/>
      <c r="VOI18" s="69"/>
      <c r="VOJ18" s="69"/>
      <c r="VOK18" s="69"/>
      <c r="VOL18" s="69"/>
      <c r="VOM18" s="69"/>
      <c r="VON18" s="69"/>
      <c r="VOO18" s="69"/>
      <c r="VOP18" s="69"/>
      <c r="VOQ18" s="69"/>
      <c r="VOR18" s="69"/>
      <c r="VOS18" s="69"/>
      <c r="VOT18" s="69"/>
      <c r="VOU18" s="69"/>
      <c r="VOV18" s="69"/>
      <c r="VOW18" s="69"/>
      <c r="VOX18" s="69"/>
      <c r="VOY18" s="69"/>
      <c r="VOZ18" s="69"/>
      <c r="VPA18" s="69"/>
      <c r="VPB18" s="69"/>
      <c r="VPC18" s="69"/>
      <c r="VPD18" s="69"/>
      <c r="VPE18" s="69"/>
      <c r="VPF18" s="69"/>
      <c r="VPG18" s="69"/>
      <c r="VPH18" s="69"/>
      <c r="VPI18" s="69"/>
      <c r="VPJ18" s="69"/>
      <c r="VPK18" s="69"/>
      <c r="VPL18" s="69"/>
      <c r="VPM18" s="69"/>
      <c r="VPN18" s="69"/>
      <c r="VPO18" s="69"/>
      <c r="VPP18" s="69"/>
      <c r="VPQ18" s="69"/>
      <c r="VPR18" s="69"/>
      <c r="VPS18" s="69"/>
      <c r="VPT18" s="69"/>
      <c r="VPU18" s="69"/>
      <c r="VPV18" s="69"/>
      <c r="VPW18" s="69"/>
      <c r="VPX18" s="69"/>
      <c r="VPY18" s="69"/>
      <c r="VPZ18" s="69"/>
      <c r="VQA18" s="69"/>
      <c r="VQB18" s="69"/>
      <c r="VQC18" s="69"/>
      <c r="VQD18" s="69"/>
      <c r="VQE18" s="69"/>
      <c r="VQF18" s="69"/>
      <c r="VQG18" s="69"/>
      <c r="VQH18" s="69"/>
      <c r="VQI18" s="69"/>
      <c r="VQJ18" s="69"/>
      <c r="VQK18" s="69"/>
      <c r="VQL18" s="69"/>
      <c r="VQM18" s="69"/>
      <c r="VQN18" s="69"/>
      <c r="VQO18" s="69"/>
      <c r="VQP18" s="69"/>
      <c r="VQQ18" s="69"/>
      <c r="VQR18" s="69"/>
      <c r="VQS18" s="69"/>
      <c r="VQT18" s="69"/>
      <c r="VQU18" s="69"/>
      <c r="VQV18" s="69"/>
      <c r="VQW18" s="69"/>
      <c r="VQX18" s="69"/>
      <c r="VQY18" s="69"/>
      <c r="VQZ18" s="69"/>
      <c r="VRA18" s="69"/>
      <c r="VRB18" s="69"/>
      <c r="VRC18" s="69"/>
      <c r="VRD18" s="69"/>
      <c r="VRE18" s="69"/>
      <c r="VRF18" s="69"/>
      <c r="VRG18" s="69"/>
      <c r="VRH18" s="69"/>
      <c r="VRI18" s="69"/>
      <c r="VRJ18" s="69"/>
      <c r="VRK18" s="69"/>
      <c r="VRL18" s="69"/>
      <c r="VRM18" s="69"/>
      <c r="VRN18" s="69"/>
      <c r="VRO18" s="69"/>
      <c r="VRP18" s="69"/>
      <c r="VRQ18" s="69"/>
      <c r="VRR18" s="69"/>
      <c r="VRS18" s="69"/>
      <c r="VRT18" s="69"/>
      <c r="VRU18" s="69"/>
      <c r="VRV18" s="69"/>
      <c r="VRW18" s="69"/>
      <c r="VRX18" s="69"/>
      <c r="VRY18" s="69"/>
      <c r="VRZ18" s="69"/>
      <c r="VSA18" s="69"/>
      <c r="VSB18" s="69"/>
      <c r="VSC18" s="69"/>
      <c r="VSD18" s="69"/>
      <c r="VSE18" s="69"/>
      <c r="VSF18" s="69"/>
      <c r="VSG18" s="69"/>
      <c r="VSH18" s="69"/>
      <c r="VSI18" s="69"/>
      <c r="VSJ18" s="69"/>
      <c r="VSK18" s="69"/>
      <c r="VSL18" s="69"/>
      <c r="VSM18" s="69"/>
      <c r="VSN18" s="69"/>
      <c r="VSO18" s="69"/>
      <c r="VSP18" s="69"/>
      <c r="VSQ18" s="69"/>
      <c r="VSR18" s="69"/>
      <c r="VSS18" s="69"/>
      <c r="VST18" s="69"/>
      <c r="VSU18" s="69"/>
      <c r="VSV18" s="69"/>
      <c r="VSW18" s="69"/>
      <c r="VSX18" s="69"/>
      <c r="VSY18" s="69"/>
      <c r="VSZ18" s="69"/>
      <c r="VTA18" s="69"/>
      <c r="VTB18" s="69"/>
      <c r="VTC18" s="69"/>
      <c r="VTD18" s="69"/>
      <c r="VTE18" s="69"/>
      <c r="VTF18" s="69"/>
      <c r="VTG18" s="69"/>
      <c r="VTH18" s="69"/>
      <c r="VTI18" s="69"/>
      <c r="VTJ18" s="69"/>
      <c r="VTK18" s="69"/>
      <c r="VTL18" s="69"/>
      <c r="VTM18" s="69"/>
      <c r="VTN18" s="69"/>
      <c r="VTO18" s="69"/>
      <c r="VTP18" s="69"/>
      <c r="VTQ18" s="69"/>
      <c r="VTR18" s="69"/>
      <c r="VTS18" s="69"/>
      <c r="VTT18" s="69"/>
      <c r="VTU18" s="69"/>
      <c r="VTV18" s="69"/>
      <c r="VTW18" s="69"/>
      <c r="VTX18" s="69"/>
      <c r="VTY18" s="69"/>
      <c r="VTZ18" s="69"/>
      <c r="VUA18" s="69"/>
      <c r="VUB18" s="69"/>
      <c r="VUC18" s="69"/>
      <c r="VUD18" s="69"/>
      <c r="VUE18" s="69"/>
      <c r="VUF18" s="69"/>
      <c r="VUG18" s="69"/>
      <c r="VUH18" s="69"/>
      <c r="VUI18" s="69"/>
      <c r="VUJ18" s="69"/>
      <c r="VUK18" s="69"/>
      <c r="VUL18" s="69"/>
      <c r="VUM18" s="69"/>
      <c r="VUN18" s="69"/>
      <c r="VUO18" s="69"/>
      <c r="VUP18" s="69"/>
      <c r="VUQ18" s="69"/>
      <c r="VUR18" s="69"/>
      <c r="VUS18" s="69"/>
      <c r="VUT18" s="69"/>
      <c r="VUU18" s="69"/>
      <c r="VUV18" s="69"/>
      <c r="VUW18" s="69"/>
      <c r="VUX18" s="69"/>
      <c r="VUY18" s="69"/>
      <c r="VUZ18" s="69"/>
      <c r="VVA18" s="69"/>
      <c r="VVB18" s="69"/>
      <c r="VVC18" s="69"/>
      <c r="VVD18" s="69"/>
      <c r="VVE18" s="69"/>
      <c r="VVF18" s="69"/>
      <c r="VVG18" s="69"/>
      <c r="VVH18" s="69"/>
      <c r="VVI18" s="69"/>
      <c r="VVJ18" s="69"/>
      <c r="VVK18" s="69"/>
      <c r="VVL18" s="69"/>
      <c r="VVM18" s="69"/>
      <c r="VVN18" s="69"/>
      <c r="VVO18" s="69"/>
      <c r="VVP18" s="69"/>
      <c r="VVQ18" s="69"/>
      <c r="VVR18" s="69"/>
      <c r="VVS18" s="69"/>
      <c r="VVT18" s="69"/>
      <c r="VVU18" s="69"/>
      <c r="VVV18" s="69"/>
      <c r="VVW18" s="69"/>
      <c r="VVX18" s="69"/>
      <c r="VVY18" s="69"/>
      <c r="VVZ18" s="69"/>
      <c r="VWA18" s="69"/>
      <c r="VWB18" s="69"/>
      <c r="VWC18" s="69"/>
      <c r="VWD18" s="69"/>
      <c r="VWE18" s="69"/>
      <c r="VWF18" s="69"/>
      <c r="VWG18" s="69"/>
      <c r="VWH18" s="69"/>
      <c r="VWI18" s="69"/>
      <c r="VWJ18" s="69"/>
      <c r="VWK18" s="69"/>
      <c r="VWL18" s="69"/>
      <c r="VWM18" s="69"/>
      <c r="VWN18" s="69"/>
      <c r="VWO18" s="69"/>
      <c r="VWP18" s="69"/>
      <c r="VWQ18" s="69"/>
      <c r="VWR18" s="69"/>
      <c r="VWS18" s="69"/>
      <c r="VWT18" s="69"/>
      <c r="VWU18" s="69"/>
      <c r="VWV18" s="69"/>
      <c r="VWW18" s="69"/>
      <c r="VWX18" s="69"/>
      <c r="VWY18" s="69"/>
      <c r="VWZ18" s="69"/>
      <c r="VXA18" s="69"/>
      <c r="VXB18" s="69"/>
      <c r="VXC18" s="69"/>
      <c r="VXD18" s="69"/>
      <c r="VXE18" s="69"/>
      <c r="VXF18" s="69"/>
      <c r="VXG18" s="69"/>
      <c r="VXH18" s="69"/>
      <c r="VXI18" s="69"/>
      <c r="VXJ18" s="69"/>
      <c r="VXK18" s="69"/>
      <c r="VXL18" s="69"/>
      <c r="VXM18" s="69"/>
      <c r="VXN18" s="69"/>
      <c r="VXO18" s="69"/>
      <c r="VXP18" s="69"/>
      <c r="VXQ18" s="69"/>
      <c r="VXR18" s="69"/>
      <c r="VXS18" s="69"/>
      <c r="VXT18" s="69"/>
      <c r="VXU18" s="69"/>
      <c r="VXV18" s="69"/>
      <c r="VXW18" s="69"/>
      <c r="VXX18" s="69"/>
      <c r="VXY18" s="69"/>
      <c r="VXZ18" s="69"/>
      <c r="VYA18" s="69"/>
      <c r="VYB18" s="69"/>
      <c r="VYC18" s="69"/>
      <c r="VYD18" s="69"/>
      <c r="VYE18" s="69"/>
      <c r="VYF18" s="69"/>
      <c r="VYG18" s="69"/>
      <c r="VYH18" s="69"/>
      <c r="VYI18" s="69"/>
      <c r="VYJ18" s="69"/>
      <c r="VYK18" s="69"/>
      <c r="VYL18" s="69"/>
      <c r="VYM18" s="69"/>
      <c r="VYN18" s="69"/>
      <c r="VYO18" s="69"/>
      <c r="VYP18" s="69"/>
      <c r="VYQ18" s="69"/>
      <c r="VYR18" s="69"/>
      <c r="VYS18" s="69"/>
      <c r="VYT18" s="69"/>
      <c r="VYU18" s="69"/>
      <c r="VYV18" s="69"/>
      <c r="VYW18" s="69"/>
      <c r="VYX18" s="69"/>
      <c r="VYY18" s="69"/>
      <c r="VYZ18" s="69"/>
      <c r="VZA18" s="69"/>
      <c r="VZB18" s="69"/>
      <c r="VZC18" s="69"/>
      <c r="VZD18" s="69"/>
      <c r="VZE18" s="69"/>
      <c r="VZF18" s="69"/>
      <c r="VZG18" s="69"/>
      <c r="VZH18" s="69"/>
      <c r="VZI18" s="69"/>
      <c r="VZJ18" s="69"/>
      <c r="VZK18" s="69"/>
      <c r="VZL18" s="69"/>
      <c r="VZM18" s="69"/>
      <c r="VZN18" s="69"/>
      <c r="VZO18" s="69"/>
      <c r="VZP18" s="69"/>
      <c r="VZQ18" s="69"/>
      <c r="VZR18" s="69"/>
      <c r="VZS18" s="69"/>
      <c r="VZT18" s="69"/>
      <c r="VZU18" s="69"/>
      <c r="VZV18" s="69"/>
      <c r="VZW18" s="69"/>
      <c r="VZX18" s="69"/>
      <c r="VZY18" s="69"/>
      <c r="VZZ18" s="69"/>
      <c r="WAA18" s="69"/>
      <c r="WAB18" s="69"/>
      <c r="WAC18" s="69"/>
      <c r="WAD18" s="69"/>
      <c r="WAE18" s="69"/>
      <c r="WAF18" s="69"/>
      <c r="WAG18" s="69"/>
      <c r="WAH18" s="69"/>
      <c r="WAI18" s="69"/>
      <c r="WAJ18" s="69"/>
      <c r="WAK18" s="69"/>
      <c r="WAL18" s="69"/>
      <c r="WAM18" s="69"/>
      <c r="WAN18" s="69"/>
      <c r="WAO18" s="69"/>
      <c r="WAP18" s="69"/>
      <c r="WAQ18" s="69"/>
      <c r="WAR18" s="69"/>
      <c r="WAS18" s="69"/>
      <c r="WAT18" s="69"/>
      <c r="WAU18" s="69"/>
      <c r="WAV18" s="69"/>
      <c r="WAW18" s="69"/>
      <c r="WAX18" s="69"/>
      <c r="WAY18" s="69"/>
      <c r="WAZ18" s="69"/>
      <c r="WBA18" s="69"/>
      <c r="WBB18" s="69"/>
      <c r="WBC18" s="69"/>
      <c r="WBD18" s="69"/>
      <c r="WBE18" s="69"/>
      <c r="WBF18" s="69"/>
      <c r="WBG18" s="69"/>
      <c r="WBH18" s="69"/>
      <c r="WBI18" s="69"/>
      <c r="WBJ18" s="69"/>
      <c r="WBK18" s="69"/>
      <c r="WBL18" s="69"/>
      <c r="WBM18" s="69"/>
      <c r="WBN18" s="69"/>
      <c r="WBO18" s="69"/>
      <c r="WBP18" s="69"/>
      <c r="WBQ18" s="69"/>
      <c r="WBR18" s="69"/>
      <c r="WBS18" s="69"/>
      <c r="WBT18" s="69"/>
      <c r="WBU18" s="69"/>
      <c r="WBV18" s="69"/>
      <c r="WBW18" s="69"/>
      <c r="WBX18" s="69"/>
      <c r="WBY18" s="69"/>
      <c r="WBZ18" s="69"/>
      <c r="WCA18" s="69"/>
      <c r="WCB18" s="69"/>
      <c r="WCC18" s="69"/>
      <c r="WCD18" s="69"/>
      <c r="WCE18" s="69"/>
      <c r="WCF18" s="69"/>
      <c r="WCG18" s="69"/>
      <c r="WCH18" s="69"/>
      <c r="WCI18" s="69"/>
      <c r="WCJ18" s="69"/>
      <c r="WCK18" s="69"/>
      <c r="WCL18" s="69"/>
      <c r="WCM18" s="69"/>
      <c r="WCN18" s="69"/>
      <c r="WCO18" s="69"/>
      <c r="WCP18" s="69"/>
      <c r="WCQ18" s="69"/>
      <c r="WCR18" s="69"/>
      <c r="WCS18" s="69"/>
      <c r="WCT18" s="69"/>
      <c r="WCU18" s="69"/>
      <c r="WCV18" s="69"/>
      <c r="WCW18" s="69"/>
      <c r="WCX18" s="69"/>
      <c r="WCY18" s="69"/>
      <c r="WCZ18" s="69"/>
      <c r="WDA18" s="69"/>
      <c r="WDB18" s="69"/>
      <c r="WDC18" s="69"/>
      <c r="WDD18" s="69"/>
      <c r="WDE18" s="69"/>
      <c r="WDF18" s="69"/>
      <c r="WDG18" s="69"/>
      <c r="WDH18" s="69"/>
      <c r="WDI18" s="69"/>
      <c r="WDJ18" s="69"/>
      <c r="WDK18" s="69"/>
      <c r="WDL18" s="69"/>
      <c r="WDM18" s="69"/>
      <c r="WDN18" s="69"/>
      <c r="WDO18" s="69"/>
      <c r="WDP18" s="69"/>
      <c r="WDQ18" s="69"/>
      <c r="WDR18" s="69"/>
      <c r="WDS18" s="69"/>
      <c r="WDT18" s="69"/>
      <c r="WDU18" s="69"/>
      <c r="WDV18" s="69"/>
      <c r="WDW18" s="69"/>
      <c r="WDX18" s="69"/>
      <c r="WDY18" s="69"/>
      <c r="WDZ18" s="69"/>
      <c r="WEA18" s="69"/>
      <c r="WEB18" s="69"/>
      <c r="WEC18" s="69"/>
      <c r="WED18" s="69"/>
      <c r="WEE18" s="69"/>
      <c r="WEF18" s="69"/>
      <c r="WEG18" s="69"/>
      <c r="WEH18" s="69"/>
      <c r="WEI18" s="69"/>
      <c r="WEJ18" s="69"/>
      <c r="WEK18" s="69"/>
      <c r="WEL18" s="69"/>
      <c r="WEM18" s="69"/>
      <c r="WEN18" s="69"/>
      <c r="WEO18" s="69"/>
      <c r="WEP18" s="69"/>
      <c r="WEQ18" s="69"/>
      <c r="WER18" s="69"/>
      <c r="WES18" s="69"/>
      <c r="WET18" s="69"/>
      <c r="WEU18" s="69"/>
      <c r="WEV18" s="69"/>
      <c r="WEW18" s="69"/>
      <c r="WEX18" s="69"/>
      <c r="WEY18" s="69"/>
      <c r="WEZ18" s="69"/>
      <c r="WFA18" s="69"/>
      <c r="WFB18" s="69"/>
      <c r="WFC18" s="69"/>
      <c r="WFD18" s="69"/>
      <c r="WFE18" s="69"/>
      <c r="WFF18" s="69"/>
      <c r="WFG18" s="69"/>
      <c r="WFH18" s="69"/>
      <c r="WFI18" s="69"/>
      <c r="WFJ18" s="69"/>
      <c r="WFK18" s="69"/>
      <c r="WFL18" s="69"/>
      <c r="WFM18" s="69"/>
      <c r="WFN18" s="69"/>
      <c r="WFO18" s="69"/>
      <c r="WFP18" s="69"/>
      <c r="WFQ18" s="69"/>
      <c r="WFR18" s="69"/>
      <c r="WFS18" s="69"/>
      <c r="WFT18" s="69"/>
      <c r="WFU18" s="69"/>
      <c r="WFV18" s="69"/>
      <c r="WFW18" s="69"/>
      <c r="WFX18" s="69"/>
      <c r="WFY18" s="69"/>
      <c r="WFZ18" s="69"/>
      <c r="WGA18" s="69"/>
      <c r="WGB18" s="69"/>
      <c r="WGC18" s="69"/>
      <c r="WGD18" s="69"/>
      <c r="WGE18" s="69"/>
      <c r="WGF18" s="69"/>
      <c r="WGG18" s="69"/>
      <c r="WGH18" s="69"/>
      <c r="WGI18" s="69"/>
      <c r="WGJ18" s="69"/>
      <c r="WGK18" s="69"/>
      <c r="WGL18" s="69"/>
      <c r="WGM18" s="69"/>
      <c r="WGN18" s="69"/>
      <c r="WGO18" s="69"/>
      <c r="WGP18" s="69"/>
      <c r="WGQ18" s="69"/>
      <c r="WGR18" s="69"/>
      <c r="WGS18" s="69"/>
      <c r="WGT18" s="69"/>
      <c r="WGU18" s="69"/>
      <c r="WGV18" s="69"/>
      <c r="WGW18" s="69"/>
      <c r="WGX18" s="69"/>
      <c r="WGY18" s="69"/>
      <c r="WGZ18" s="69"/>
      <c r="WHA18" s="69"/>
      <c r="WHB18" s="69"/>
      <c r="WHC18" s="69"/>
      <c r="WHD18" s="69"/>
      <c r="WHE18" s="69"/>
      <c r="WHF18" s="69"/>
      <c r="WHG18" s="69"/>
      <c r="WHH18" s="69"/>
      <c r="WHI18" s="69"/>
      <c r="WHJ18" s="69"/>
      <c r="WHK18" s="69"/>
      <c r="WHL18" s="69"/>
      <c r="WHM18" s="69"/>
      <c r="WHN18" s="69"/>
      <c r="WHO18" s="69"/>
      <c r="WHP18" s="69"/>
      <c r="WHQ18" s="69"/>
      <c r="WHR18" s="69"/>
      <c r="WHS18" s="69"/>
      <c r="WHT18" s="69"/>
      <c r="WHU18" s="69"/>
      <c r="WHV18" s="69"/>
      <c r="WHW18" s="69"/>
      <c r="WHX18" s="69"/>
      <c r="WHY18" s="69"/>
      <c r="WHZ18" s="69"/>
      <c r="WIA18" s="69"/>
      <c r="WIB18" s="69"/>
      <c r="WIC18" s="69"/>
      <c r="WID18" s="69"/>
      <c r="WIE18" s="69"/>
      <c r="WIF18" s="69"/>
      <c r="WIG18" s="69"/>
      <c r="WIH18" s="69"/>
      <c r="WII18" s="69"/>
      <c r="WIJ18" s="69"/>
      <c r="WIK18" s="69"/>
      <c r="WIL18" s="69"/>
      <c r="WIM18" s="69"/>
      <c r="WIN18" s="69"/>
      <c r="WIO18" s="69"/>
      <c r="WIP18" s="69"/>
      <c r="WIQ18" s="69"/>
      <c r="WIR18" s="69"/>
      <c r="WIS18" s="69"/>
      <c r="WIT18" s="69"/>
      <c r="WIU18" s="69"/>
      <c r="WIV18" s="69"/>
      <c r="WIW18" s="69"/>
      <c r="WIX18" s="69"/>
      <c r="WIY18" s="69"/>
      <c r="WIZ18" s="69"/>
      <c r="WJA18" s="69"/>
      <c r="WJB18" s="69"/>
      <c r="WJC18" s="69"/>
      <c r="WJD18" s="69"/>
      <c r="WJE18" s="69"/>
      <c r="WJF18" s="69"/>
      <c r="WJG18" s="69"/>
      <c r="WJH18" s="69"/>
      <c r="WJI18" s="69"/>
      <c r="WJJ18" s="69"/>
      <c r="WJK18" s="69"/>
      <c r="WJL18" s="69"/>
      <c r="WJM18" s="69"/>
      <c r="WJN18" s="69"/>
      <c r="WJO18" s="69"/>
      <c r="WJP18" s="69"/>
      <c r="WJQ18" s="69"/>
      <c r="WJR18" s="69"/>
      <c r="WJS18" s="69"/>
      <c r="WJT18" s="69"/>
      <c r="WJU18" s="69"/>
      <c r="WJV18" s="69"/>
      <c r="WJW18" s="69"/>
      <c r="WJX18" s="69"/>
      <c r="WJY18" s="69"/>
      <c r="WJZ18" s="69"/>
      <c r="WKA18" s="69"/>
      <c r="WKB18" s="69"/>
      <c r="WKC18" s="69"/>
      <c r="WKD18" s="69"/>
      <c r="WKE18" s="69"/>
      <c r="WKF18" s="69"/>
      <c r="WKG18" s="69"/>
      <c r="WKH18" s="69"/>
      <c r="WKI18" s="69"/>
      <c r="WKJ18" s="69"/>
      <c r="WKK18" s="69"/>
      <c r="WKL18" s="69"/>
      <c r="WKM18" s="69"/>
      <c r="WKN18" s="69"/>
      <c r="WKO18" s="69"/>
      <c r="WKP18" s="69"/>
      <c r="WKQ18" s="69"/>
      <c r="WKR18" s="69"/>
      <c r="WKS18" s="69"/>
      <c r="WKT18" s="69"/>
      <c r="WKU18" s="69"/>
      <c r="WKV18" s="69"/>
      <c r="WKW18" s="69"/>
      <c r="WKX18" s="69"/>
      <c r="WKY18" s="69"/>
      <c r="WKZ18" s="69"/>
      <c r="WLA18" s="69"/>
      <c r="WLB18" s="69"/>
      <c r="WLC18" s="69"/>
      <c r="WLD18" s="69"/>
      <c r="WLE18" s="69"/>
      <c r="WLF18" s="69"/>
      <c r="WLG18" s="69"/>
      <c r="WLH18" s="69"/>
      <c r="WLI18" s="69"/>
      <c r="WLJ18" s="69"/>
      <c r="WLK18" s="69"/>
      <c r="WLL18" s="69"/>
      <c r="WLM18" s="69"/>
      <c r="WLN18" s="69"/>
      <c r="WLO18" s="69"/>
      <c r="WLP18" s="69"/>
      <c r="WLQ18" s="69"/>
      <c r="WLR18" s="69"/>
      <c r="WLS18" s="69"/>
      <c r="WLT18" s="69"/>
      <c r="WLU18" s="69"/>
      <c r="WLV18" s="69"/>
      <c r="WLW18" s="69"/>
      <c r="WLX18" s="69"/>
      <c r="WLY18" s="69"/>
      <c r="WLZ18" s="69"/>
      <c r="WMA18" s="69"/>
      <c r="WMB18" s="69"/>
      <c r="WMC18" s="69"/>
      <c r="WMD18" s="69"/>
      <c r="WME18" s="69"/>
      <c r="WMF18" s="69"/>
      <c r="WMG18" s="69"/>
      <c r="WMH18" s="69"/>
      <c r="WMI18" s="69"/>
      <c r="WMJ18" s="69"/>
      <c r="WMK18" s="69"/>
      <c r="WML18" s="69"/>
      <c r="WMM18" s="69"/>
      <c r="WMN18" s="69"/>
      <c r="WMO18" s="69"/>
      <c r="WMP18" s="69"/>
      <c r="WMQ18" s="69"/>
      <c r="WMR18" s="69"/>
      <c r="WMS18" s="69"/>
      <c r="WMT18" s="69"/>
      <c r="WMU18" s="69"/>
      <c r="WMV18" s="69"/>
      <c r="WMW18" s="69"/>
      <c r="WMX18" s="69"/>
      <c r="WMY18" s="69"/>
      <c r="WMZ18" s="69"/>
      <c r="WNA18" s="69"/>
      <c r="WNB18" s="69"/>
      <c r="WNC18" s="69"/>
      <c r="WND18" s="69"/>
      <c r="WNE18" s="69"/>
      <c r="WNF18" s="69"/>
      <c r="WNG18" s="69"/>
      <c r="WNH18" s="69"/>
      <c r="WNI18" s="69"/>
      <c r="WNJ18" s="69"/>
      <c r="WNK18" s="69"/>
      <c r="WNL18" s="69"/>
      <c r="WNM18" s="69"/>
      <c r="WNN18" s="69"/>
      <c r="WNO18" s="69"/>
      <c r="WNP18" s="69"/>
      <c r="WNQ18" s="69"/>
      <c r="WNR18" s="69"/>
      <c r="WNS18" s="69"/>
      <c r="WNT18" s="69"/>
      <c r="WNU18" s="69"/>
      <c r="WNV18" s="69"/>
      <c r="WNW18" s="69"/>
      <c r="WNX18" s="69"/>
      <c r="WNY18" s="69"/>
      <c r="WNZ18" s="69"/>
      <c r="WOA18" s="69"/>
      <c r="WOB18" s="69"/>
      <c r="WOC18" s="69"/>
      <c r="WOD18" s="69"/>
      <c r="WOE18" s="69"/>
      <c r="WOF18" s="69"/>
      <c r="WOG18" s="69"/>
      <c r="WOH18" s="69"/>
      <c r="WOI18" s="69"/>
      <c r="WOJ18" s="69"/>
      <c r="WOK18" s="69"/>
      <c r="WOL18" s="69"/>
      <c r="WOM18" s="69"/>
      <c r="WON18" s="69"/>
      <c r="WOO18" s="69"/>
      <c r="WOP18" s="69"/>
      <c r="WOQ18" s="69"/>
      <c r="WOR18" s="69"/>
      <c r="WOS18" s="69"/>
      <c r="WOT18" s="69"/>
      <c r="WOU18" s="69"/>
      <c r="WOV18" s="69"/>
      <c r="WOW18" s="69"/>
      <c r="WOX18" s="69"/>
      <c r="WOY18" s="69"/>
      <c r="WOZ18" s="69"/>
      <c r="WPA18" s="69"/>
      <c r="WPB18" s="69"/>
      <c r="WPC18" s="69"/>
      <c r="WPD18" s="69"/>
      <c r="WPE18" s="69"/>
      <c r="WPF18" s="69"/>
      <c r="WPG18" s="69"/>
      <c r="WPH18" s="69"/>
      <c r="WPI18" s="69"/>
      <c r="WPJ18" s="69"/>
      <c r="WPK18" s="69"/>
      <c r="WPL18" s="69"/>
      <c r="WPM18" s="69"/>
      <c r="WPN18" s="69"/>
      <c r="WPO18" s="69"/>
      <c r="WPP18" s="69"/>
      <c r="WPQ18" s="69"/>
      <c r="WPR18" s="69"/>
      <c r="WPS18" s="69"/>
      <c r="WPT18" s="69"/>
      <c r="WPU18" s="69"/>
      <c r="WPV18" s="69"/>
      <c r="WPW18" s="69"/>
      <c r="WPX18" s="69"/>
      <c r="WPY18" s="69"/>
      <c r="WPZ18" s="69"/>
      <c r="WQA18" s="69"/>
      <c r="WQB18" s="69"/>
      <c r="WQC18" s="69"/>
      <c r="WQD18" s="69"/>
      <c r="WQE18" s="69"/>
      <c r="WQF18" s="69"/>
      <c r="WQG18" s="69"/>
      <c r="WQH18" s="69"/>
      <c r="WQI18" s="69"/>
      <c r="WQJ18" s="69"/>
      <c r="WQK18" s="69"/>
      <c r="WQL18" s="69"/>
      <c r="WQM18" s="69"/>
      <c r="WQN18" s="69"/>
      <c r="WQO18" s="69"/>
      <c r="WQP18" s="69"/>
      <c r="WQQ18" s="69"/>
      <c r="WQR18" s="69"/>
      <c r="WQS18" s="69"/>
      <c r="WQT18" s="69"/>
      <c r="WQU18" s="69"/>
      <c r="WQV18" s="69"/>
      <c r="WQW18" s="69"/>
      <c r="WQX18" s="69"/>
      <c r="WQY18" s="69"/>
      <c r="WQZ18" s="69"/>
      <c r="WRA18" s="69"/>
      <c r="WRB18" s="69"/>
      <c r="WRC18" s="69"/>
      <c r="WRD18" s="69"/>
      <c r="WRE18" s="69"/>
      <c r="WRF18" s="69"/>
      <c r="WRG18" s="69"/>
      <c r="WRH18" s="69"/>
      <c r="WRI18" s="69"/>
      <c r="WRJ18" s="69"/>
      <c r="WRK18" s="69"/>
      <c r="WRL18" s="69"/>
      <c r="WRM18" s="69"/>
      <c r="WRN18" s="69"/>
      <c r="WRO18" s="69"/>
      <c r="WRP18" s="69"/>
      <c r="WRQ18" s="69"/>
      <c r="WRR18" s="69"/>
      <c r="WRS18" s="69"/>
      <c r="WRT18" s="69"/>
      <c r="WRU18" s="69"/>
      <c r="WRV18" s="69"/>
      <c r="WRW18" s="69"/>
      <c r="WRX18" s="69"/>
      <c r="WRY18" s="69"/>
      <c r="WRZ18" s="69"/>
      <c r="WSA18" s="69"/>
      <c r="WSB18" s="69"/>
      <c r="WSC18" s="69"/>
      <c r="WSD18" s="69"/>
      <c r="WSE18" s="69"/>
      <c r="WSF18" s="69"/>
      <c r="WSG18" s="69"/>
      <c r="WSH18" s="69"/>
      <c r="WSI18" s="69"/>
      <c r="WSJ18" s="69"/>
      <c r="WSK18" s="69"/>
      <c r="WSL18" s="69"/>
      <c r="WSM18" s="69"/>
      <c r="WSN18" s="69"/>
      <c r="WSO18" s="69"/>
      <c r="WSP18" s="69"/>
      <c r="WSQ18" s="69"/>
      <c r="WSR18" s="69"/>
      <c r="WSS18" s="69"/>
      <c r="WST18" s="69"/>
      <c r="WSU18" s="69"/>
      <c r="WSV18" s="69"/>
      <c r="WSW18" s="69"/>
      <c r="WSX18" s="69"/>
      <c r="WSY18" s="69"/>
      <c r="WSZ18" s="69"/>
      <c r="WTA18" s="69"/>
      <c r="WTB18" s="69"/>
      <c r="WTC18" s="69"/>
      <c r="WTD18" s="69"/>
      <c r="WTE18" s="69"/>
      <c r="WTF18" s="69"/>
      <c r="WTG18" s="69"/>
      <c r="WTH18" s="69"/>
      <c r="WTI18" s="69"/>
      <c r="WTJ18" s="69"/>
      <c r="WTK18" s="69"/>
      <c r="WTL18" s="69"/>
      <c r="WTM18" s="69"/>
      <c r="WTN18" s="69"/>
      <c r="WTO18" s="69"/>
      <c r="WTP18" s="69"/>
      <c r="WTQ18" s="69"/>
      <c r="WTR18" s="69"/>
      <c r="WTS18" s="69"/>
      <c r="WTT18" s="69"/>
      <c r="WTU18" s="69"/>
      <c r="WTV18" s="69"/>
      <c r="WTW18" s="69"/>
      <c r="WTX18" s="69"/>
      <c r="WTY18" s="69"/>
      <c r="WTZ18" s="69"/>
      <c r="WUA18" s="69"/>
      <c r="WUB18" s="69"/>
      <c r="WUC18" s="69"/>
      <c r="WUD18" s="69"/>
      <c r="WUE18" s="69"/>
      <c r="WUF18" s="69"/>
      <c r="WUG18" s="69"/>
      <c r="WUH18" s="69"/>
      <c r="WUI18" s="69"/>
      <c r="WUJ18" s="69"/>
      <c r="WUK18" s="69"/>
      <c r="WUL18" s="69"/>
      <c r="WUM18" s="69"/>
      <c r="WUN18" s="69"/>
      <c r="WUO18" s="69"/>
      <c r="WUP18" s="69"/>
      <c r="WUQ18" s="69"/>
      <c r="WUR18" s="69"/>
      <c r="WUS18" s="69"/>
      <c r="WUT18" s="69"/>
      <c r="WUU18" s="69"/>
      <c r="WUV18" s="69"/>
      <c r="WUW18" s="69"/>
      <c r="WUX18" s="69"/>
      <c r="WUY18" s="69"/>
      <c r="WUZ18" s="69"/>
      <c r="WVA18" s="69"/>
      <c r="WVB18" s="69"/>
      <c r="WVC18" s="69"/>
      <c r="WVD18" s="69"/>
      <c r="WVE18" s="69"/>
      <c r="WVF18" s="69"/>
      <c r="WVG18" s="69"/>
      <c r="WVH18" s="69"/>
      <c r="WVI18" s="69"/>
      <c r="WVJ18" s="69"/>
      <c r="WVK18" s="69"/>
      <c r="WVL18" s="69"/>
      <c r="WVM18" s="69"/>
      <c r="WVN18" s="69"/>
      <c r="WVO18" s="69"/>
      <c r="WVP18" s="69"/>
      <c r="WVQ18" s="69"/>
      <c r="WVR18" s="69"/>
      <c r="WVS18" s="69"/>
      <c r="WVT18" s="69"/>
      <c r="WVU18" s="69"/>
      <c r="WVV18" s="69"/>
      <c r="WVW18" s="69"/>
      <c r="WVX18" s="69"/>
      <c r="WVY18" s="69"/>
      <c r="WVZ18" s="69"/>
      <c r="WWA18" s="69"/>
      <c r="WWB18" s="69"/>
      <c r="WWC18" s="69"/>
      <c r="WWD18" s="69"/>
      <c r="WWE18" s="69"/>
      <c r="WWF18" s="69"/>
      <c r="WWG18" s="69"/>
      <c r="WWH18" s="69"/>
      <c r="WWI18" s="69"/>
      <c r="WWJ18" s="69"/>
      <c r="WWK18" s="69"/>
      <c r="WWL18" s="69"/>
      <c r="WWM18" s="69"/>
      <c r="WWN18" s="69"/>
      <c r="WWO18" s="69"/>
      <c r="WWP18" s="69"/>
      <c r="WWQ18" s="69"/>
      <c r="WWR18" s="69"/>
      <c r="WWS18" s="69"/>
      <c r="WWT18" s="69"/>
      <c r="WWU18" s="69"/>
      <c r="WWV18" s="69"/>
      <c r="WWW18" s="69"/>
      <c r="WWX18" s="69"/>
      <c r="WWY18" s="69"/>
      <c r="WWZ18" s="69"/>
      <c r="WXA18" s="69"/>
      <c r="WXB18" s="69"/>
      <c r="WXC18" s="69"/>
      <c r="WXD18" s="69"/>
      <c r="WXE18" s="69"/>
      <c r="WXF18" s="69"/>
      <c r="WXG18" s="69"/>
      <c r="WXH18" s="69"/>
      <c r="WXI18" s="69"/>
      <c r="WXJ18" s="69"/>
      <c r="WXK18" s="69"/>
      <c r="WXL18" s="69"/>
      <c r="WXM18" s="69"/>
      <c r="WXN18" s="69"/>
      <c r="WXO18" s="69"/>
      <c r="WXP18" s="69"/>
      <c r="WXQ18" s="69"/>
      <c r="WXR18" s="69"/>
      <c r="WXS18" s="69"/>
      <c r="WXT18" s="69"/>
      <c r="WXU18" s="69"/>
      <c r="WXV18" s="69"/>
      <c r="WXW18" s="69"/>
      <c r="WXX18" s="69"/>
      <c r="WXY18" s="69"/>
      <c r="WXZ18" s="69"/>
      <c r="WYA18" s="69"/>
      <c r="WYB18" s="69"/>
      <c r="WYC18" s="69"/>
      <c r="WYD18" s="69"/>
      <c r="WYE18" s="69"/>
      <c r="WYF18" s="69"/>
      <c r="WYG18" s="69"/>
      <c r="WYH18" s="69"/>
      <c r="WYI18" s="69"/>
      <c r="WYJ18" s="69"/>
      <c r="WYK18" s="69"/>
      <c r="WYL18" s="69"/>
      <c r="WYM18" s="69"/>
      <c r="WYN18" s="69"/>
      <c r="WYO18" s="69"/>
      <c r="WYP18" s="69"/>
      <c r="WYQ18" s="69"/>
      <c r="WYR18" s="69"/>
      <c r="WYS18" s="69"/>
      <c r="WYT18" s="69"/>
      <c r="WYU18" s="69"/>
      <c r="WYV18" s="69"/>
      <c r="WYW18" s="69"/>
      <c r="WYX18" s="69"/>
      <c r="WYY18" s="69"/>
      <c r="WYZ18" s="69"/>
      <c r="WZA18" s="69"/>
      <c r="WZB18" s="69"/>
      <c r="WZC18" s="69"/>
      <c r="WZD18" s="69"/>
      <c r="WZE18" s="69"/>
      <c r="WZF18" s="69"/>
      <c r="WZG18" s="69"/>
      <c r="WZH18" s="69"/>
      <c r="WZI18" s="69"/>
      <c r="WZJ18" s="69"/>
      <c r="WZK18" s="69"/>
      <c r="WZL18" s="69"/>
      <c r="WZM18" s="69"/>
      <c r="WZN18" s="69"/>
      <c r="WZO18" s="69"/>
      <c r="WZP18" s="69"/>
      <c r="WZQ18" s="69"/>
      <c r="WZR18" s="69"/>
      <c r="WZS18" s="69"/>
      <c r="WZT18" s="69"/>
      <c r="WZU18" s="69"/>
      <c r="WZV18" s="69"/>
      <c r="WZW18" s="69"/>
      <c r="WZX18" s="69"/>
      <c r="WZY18" s="69"/>
      <c r="WZZ18" s="69"/>
      <c r="XAA18" s="69"/>
      <c r="XAB18" s="69"/>
      <c r="XAC18" s="69"/>
      <c r="XAD18" s="69"/>
      <c r="XAE18" s="69"/>
      <c r="XAF18" s="69"/>
      <c r="XAG18" s="69"/>
      <c r="XAH18" s="69"/>
      <c r="XAI18" s="69"/>
      <c r="XAJ18" s="69"/>
      <c r="XAK18" s="69"/>
      <c r="XAL18" s="69"/>
      <c r="XAM18" s="69"/>
      <c r="XAN18" s="69"/>
      <c r="XAO18" s="69"/>
      <c r="XAP18" s="69"/>
      <c r="XAQ18" s="69"/>
      <c r="XAR18" s="69"/>
      <c r="XAS18" s="69"/>
      <c r="XAT18" s="69"/>
      <c r="XAU18" s="69"/>
      <c r="XAV18" s="69"/>
      <c r="XAW18" s="69"/>
      <c r="XAX18" s="69"/>
      <c r="XAY18" s="69"/>
      <c r="XAZ18" s="69"/>
      <c r="XBA18" s="69"/>
      <c r="XBB18" s="69"/>
      <c r="XBC18" s="69"/>
      <c r="XBD18" s="69"/>
      <c r="XBE18" s="69"/>
      <c r="XBF18" s="69"/>
      <c r="XBG18" s="69"/>
      <c r="XBH18" s="69"/>
      <c r="XBI18" s="69"/>
      <c r="XBJ18" s="69"/>
      <c r="XBK18" s="69"/>
      <c r="XBL18" s="69"/>
      <c r="XBM18" s="69"/>
      <c r="XBN18" s="69"/>
      <c r="XBO18" s="69"/>
      <c r="XBP18" s="69"/>
      <c r="XBQ18" s="69"/>
      <c r="XBR18" s="69"/>
      <c r="XBS18" s="69"/>
      <c r="XBT18" s="69"/>
      <c r="XBU18" s="69"/>
      <c r="XBV18" s="69"/>
      <c r="XBW18" s="69"/>
      <c r="XBX18" s="69"/>
      <c r="XBY18" s="69"/>
      <c r="XBZ18" s="69"/>
      <c r="XCA18" s="69"/>
      <c r="XCB18" s="69"/>
      <c r="XCC18" s="69"/>
      <c r="XCD18" s="69"/>
      <c r="XCE18" s="69"/>
      <c r="XCF18" s="69"/>
      <c r="XCG18" s="69"/>
      <c r="XCH18" s="69"/>
      <c r="XCI18" s="69"/>
      <c r="XCJ18" s="69"/>
      <c r="XCK18" s="69"/>
      <c r="XCL18" s="69"/>
      <c r="XCM18" s="69"/>
      <c r="XCN18" s="69"/>
      <c r="XCO18" s="69"/>
      <c r="XCP18" s="69"/>
      <c r="XCQ18" s="69"/>
      <c r="XCR18" s="69"/>
      <c r="XCS18" s="69"/>
      <c r="XCT18" s="69"/>
      <c r="XCU18" s="69"/>
      <c r="XCV18" s="69"/>
      <c r="XCW18" s="69"/>
      <c r="XCX18" s="69"/>
      <c r="XCY18" s="69"/>
      <c r="XCZ18" s="69"/>
      <c r="XDA18" s="69"/>
      <c r="XDB18" s="69"/>
      <c r="XDC18" s="69"/>
      <c r="XDD18" s="69"/>
      <c r="XDE18" s="69"/>
      <c r="XDF18" s="69"/>
      <c r="XDG18" s="69"/>
      <c r="XDH18" s="69"/>
      <c r="XDI18" s="69"/>
      <c r="XDJ18" s="69"/>
      <c r="XDK18" s="69"/>
      <c r="XDL18" s="69"/>
      <c r="XDM18" s="69"/>
      <c r="XDN18" s="69"/>
      <c r="XDO18" s="69"/>
      <c r="XDP18" s="69"/>
      <c r="XDQ18" s="69"/>
      <c r="XDR18" s="69"/>
      <c r="XDS18" s="69"/>
      <c r="XDT18" s="69"/>
      <c r="XDU18" s="69"/>
      <c r="XDV18" s="69"/>
      <c r="XDW18" s="69"/>
      <c r="XDX18" s="69"/>
      <c r="XDY18" s="69"/>
      <c r="XDZ18" s="69"/>
      <c r="XEA18" s="69"/>
      <c r="XEB18" s="69"/>
      <c r="XEC18" s="69"/>
      <c r="XED18" s="69"/>
      <c r="XEE18" s="69"/>
      <c r="XEF18" s="69"/>
      <c r="XEG18" s="69"/>
      <c r="XEH18" s="69"/>
      <c r="XEI18" s="69"/>
      <c r="XEJ18" s="69"/>
      <c r="XEK18" s="69"/>
      <c r="XEL18" s="69"/>
      <c r="XEM18" s="69"/>
      <c r="XEN18" s="69"/>
      <c r="XEO18" s="69"/>
      <c r="XEP18" s="69"/>
    </row>
    <row r="19" spans="1:16370" hidden="1" outlineLevel="1">
      <c r="A19" s="70" t="s">
        <v>123</v>
      </c>
      <c r="B19" s="85" t="s">
        <v>85</v>
      </c>
      <c r="C19" s="72"/>
      <c r="D19" s="77">
        <f>'0'!D12</f>
        <v>15</v>
      </c>
      <c r="E19" s="77">
        <f>'0'!E12</f>
        <v>16</v>
      </c>
      <c r="F19" s="77">
        <f>'0'!F12</f>
        <v>17</v>
      </c>
      <c r="G19" s="77">
        <f>'0'!G12</f>
        <v>18</v>
      </c>
      <c r="H19" s="77">
        <f>'0'!H12</f>
        <v>19</v>
      </c>
      <c r="I19" s="77">
        <f>'0'!I12</f>
        <v>20</v>
      </c>
      <c r="J19" s="77">
        <f>'0'!J12</f>
        <v>20</v>
      </c>
      <c r="K19" s="77">
        <f>'0'!K12</f>
        <v>22</v>
      </c>
      <c r="L19" s="77">
        <f>'0'!L12</f>
        <v>24</v>
      </c>
      <c r="M19" s="77">
        <f>'0'!M12</f>
        <v>26</v>
      </c>
      <c r="N19" s="77">
        <f>'0'!N12</f>
        <v>28</v>
      </c>
      <c r="O19" s="77">
        <f>'0'!O12</f>
        <v>30</v>
      </c>
      <c r="P19" s="77">
        <f>'0'!P12</f>
        <v>30</v>
      </c>
      <c r="Q19" s="77">
        <f>'0'!Q12</f>
        <v>30</v>
      </c>
      <c r="R19" s="77">
        <f>'0'!R12</f>
        <v>30</v>
      </c>
      <c r="S19" s="77">
        <f>'0'!S12</f>
        <v>30</v>
      </c>
      <c r="T19" s="77">
        <f>'0'!T12</f>
        <v>30</v>
      </c>
      <c r="U19" s="77">
        <f>'0'!U12</f>
        <v>30</v>
      </c>
      <c r="V19" s="77">
        <f>'0'!V12</f>
        <v>30</v>
      </c>
      <c r="W19" s="77">
        <f>'0'!W12</f>
        <v>30</v>
      </c>
      <c r="X19" s="77">
        <f>'0'!X12</f>
        <v>30</v>
      </c>
      <c r="Y19" s="77">
        <f>'0'!Y12</f>
        <v>30</v>
      </c>
      <c r="Z19" s="77">
        <f>'0'!Z12</f>
        <v>30</v>
      </c>
      <c r="AA19" s="77">
        <f>'0'!AA12</f>
        <v>30</v>
      </c>
      <c r="AB19" s="77">
        <f>'0'!AB12</f>
        <v>30</v>
      </c>
      <c r="AC19" s="77">
        <f>'0'!AC12</f>
        <v>30</v>
      </c>
      <c r="AD19" s="77">
        <f>'0'!AD12</f>
        <v>30</v>
      </c>
      <c r="AE19" s="77">
        <f>'0'!AE12</f>
        <v>30</v>
      </c>
      <c r="AF19" s="77">
        <f>'0'!AF12</f>
        <v>30</v>
      </c>
      <c r="AG19" s="77">
        <f>'0'!AG12</f>
        <v>30</v>
      </c>
      <c r="AH19" s="77">
        <f>'0'!AH12</f>
        <v>30</v>
      </c>
      <c r="AI19" s="77">
        <f>'0'!AI12</f>
        <v>30</v>
      </c>
      <c r="AJ19" s="77">
        <f>'0'!AJ12</f>
        <v>30</v>
      </c>
      <c r="AK19" s="77">
        <f>'0'!AK12</f>
        <v>30</v>
      </c>
      <c r="AL19" s="77">
        <f>'0'!AL12</f>
        <v>30</v>
      </c>
      <c r="AM19" s="77">
        <f>'0'!AM12</f>
        <v>30</v>
      </c>
      <c r="AN19" s="81"/>
      <c r="AO19" s="75">
        <f>O19</f>
        <v>30</v>
      </c>
      <c r="AP19" s="75">
        <f>AA19</f>
        <v>30</v>
      </c>
      <c r="AQ19" s="75">
        <f>AM19</f>
        <v>30</v>
      </c>
    </row>
    <row r="20" spans="1:16370" hidden="1" outlineLevel="1">
      <c r="A20" s="70" t="s">
        <v>147</v>
      </c>
      <c r="B20" s="85" t="s">
        <v>85</v>
      </c>
      <c r="C20" s="72"/>
      <c r="D20" s="86">
        <v>30</v>
      </c>
      <c r="E20" s="86">
        <v>30</v>
      </c>
      <c r="F20" s="86">
        <v>30</v>
      </c>
      <c r="G20" s="86">
        <v>30</v>
      </c>
      <c r="H20" s="86">
        <v>30</v>
      </c>
      <c r="I20" s="86">
        <v>30</v>
      </c>
      <c r="J20" s="86">
        <v>30</v>
      </c>
      <c r="K20" s="86">
        <v>30</v>
      </c>
      <c r="L20" s="86">
        <v>30</v>
      </c>
      <c r="M20" s="86">
        <v>30</v>
      </c>
      <c r="N20" s="86">
        <v>30</v>
      </c>
      <c r="O20" s="86">
        <v>30</v>
      </c>
      <c r="P20" s="86">
        <v>30</v>
      </c>
      <c r="Q20" s="86">
        <v>30</v>
      </c>
      <c r="R20" s="86">
        <v>30</v>
      </c>
      <c r="S20" s="86">
        <v>30</v>
      </c>
      <c r="T20" s="86">
        <v>30</v>
      </c>
      <c r="U20" s="86">
        <v>30</v>
      </c>
      <c r="V20" s="86">
        <v>30</v>
      </c>
      <c r="W20" s="86">
        <v>30</v>
      </c>
      <c r="X20" s="86">
        <v>30</v>
      </c>
      <c r="Y20" s="86">
        <v>30</v>
      </c>
      <c r="Z20" s="86">
        <v>30</v>
      </c>
      <c r="AA20" s="86">
        <v>30</v>
      </c>
      <c r="AB20" s="86">
        <v>30</v>
      </c>
      <c r="AC20" s="86">
        <v>30</v>
      </c>
      <c r="AD20" s="86">
        <v>30</v>
      </c>
      <c r="AE20" s="86">
        <v>30</v>
      </c>
      <c r="AF20" s="86">
        <v>30</v>
      </c>
      <c r="AG20" s="86">
        <v>30</v>
      </c>
      <c r="AH20" s="86">
        <v>30</v>
      </c>
      <c r="AI20" s="86">
        <v>30</v>
      </c>
      <c r="AJ20" s="86">
        <v>30</v>
      </c>
      <c r="AK20" s="86">
        <v>30</v>
      </c>
      <c r="AL20" s="86">
        <v>30</v>
      </c>
      <c r="AM20" s="86">
        <v>30</v>
      </c>
      <c r="AN20" s="81"/>
      <c r="AO20" s="75">
        <f>AVERAGE(D20:O20)</f>
        <v>30</v>
      </c>
      <c r="AP20" s="75">
        <f>AVERAGE(P20:AA20)</f>
        <v>30</v>
      </c>
      <c r="AQ20" s="75">
        <f>AVERAGE(AB20:AM20)</f>
        <v>30</v>
      </c>
    </row>
    <row r="21" spans="1:16370" hidden="1" outlineLevel="1">
      <c r="A21" s="70" t="s">
        <v>148</v>
      </c>
      <c r="B21" s="85" t="s">
        <v>85</v>
      </c>
      <c r="C21" s="72"/>
      <c r="D21" s="77">
        <f t="shared" ref="D21:AM21" si="15">D19*D20</f>
        <v>450</v>
      </c>
      <c r="E21" s="77">
        <f t="shared" si="15"/>
        <v>480</v>
      </c>
      <c r="F21" s="77">
        <f t="shared" si="15"/>
        <v>510</v>
      </c>
      <c r="G21" s="77">
        <f t="shared" si="15"/>
        <v>540</v>
      </c>
      <c r="H21" s="77">
        <f t="shared" si="15"/>
        <v>570</v>
      </c>
      <c r="I21" s="77">
        <f t="shared" si="15"/>
        <v>600</v>
      </c>
      <c r="J21" s="77">
        <f t="shared" si="15"/>
        <v>600</v>
      </c>
      <c r="K21" s="77">
        <f t="shared" si="15"/>
        <v>660</v>
      </c>
      <c r="L21" s="77">
        <f t="shared" si="15"/>
        <v>720</v>
      </c>
      <c r="M21" s="77">
        <f t="shared" si="15"/>
        <v>780</v>
      </c>
      <c r="N21" s="77">
        <f t="shared" si="15"/>
        <v>840</v>
      </c>
      <c r="O21" s="77">
        <f t="shared" si="15"/>
        <v>900</v>
      </c>
      <c r="P21" s="77">
        <f t="shared" si="15"/>
        <v>900</v>
      </c>
      <c r="Q21" s="77">
        <f t="shared" si="15"/>
        <v>900</v>
      </c>
      <c r="R21" s="77">
        <f t="shared" si="15"/>
        <v>900</v>
      </c>
      <c r="S21" s="77">
        <f t="shared" si="15"/>
        <v>900</v>
      </c>
      <c r="T21" s="77">
        <f t="shared" si="15"/>
        <v>900</v>
      </c>
      <c r="U21" s="77">
        <f t="shared" si="15"/>
        <v>900</v>
      </c>
      <c r="V21" s="77">
        <f t="shared" si="15"/>
        <v>900</v>
      </c>
      <c r="W21" s="77">
        <f t="shared" si="15"/>
        <v>900</v>
      </c>
      <c r="X21" s="77">
        <f t="shared" si="15"/>
        <v>900</v>
      </c>
      <c r="Y21" s="77">
        <f t="shared" si="15"/>
        <v>900</v>
      </c>
      <c r="Z21" s="77">
        <f t="shared" si="15"/>
        <v>900</v>
      </c>
      <c r="AA21" s="77">
        <f t="shared" si="15"/>
        <v>900</v>
      </c>
      <c r="AB21" s="77">
        <f t="shared" si="15"/>
        <v>900</v>
      </c>
      <c r="AC21" s="77">
        <f t="shared" si="15"/>
        <v>900</v>
      </c>
      <c r="AD21" s="77">
        <f t="shared" si="15"/>
        <v>900</v>
      </c>
      <c r="AE21" s="77">
        <f t="shared" si="15"/>
        <v>900</v>
      </c>
      <c r="AF21" s="77">
        <f t="shared" si="15"/>
        <v>900</v>
      </c>
      <c r="AG21" s="77">
        <f t="shared" si="15"/>
        <v>900</v>
      </c>
      <c r="AH21" s="77">
        <f t="shared" si="15"/>
        <v>900</v>
      </c>
      <c r="AI21" s="77">
        <f t="shared" si="15"/>
        <v>900</v>
      </c>
      <c r="AJ21" s="77">
        <f t="shared" si="15"/>
        <v>900</v>
      </c>
      <c r="AK21" s="77">
        <f t="shared" si="15"/>
        <v>900</v>
      </c>
      <c r="AL21" s="77">
        <f t="shared" si="15"/>
        <v>900</v>
      </c>
      <c r="AM21" s="77">
        <f t="shared" si="15"/>
        <v>900</v>
      </c>
      <c r="AN21" s="81"/>
      <c r="AO21" s="75">
        <f>SUM(D21:O21)</f>
        <v>7650</v>
      </c>
      <c r="AP21" s="75">
        <f>SUM(P21:AA21)</f>
        <v>10800</v>
      </c>
      <c r="AQ21" s="75">
        <f>SUM(AB21:AM21)</f>
        <v>10800</v>
      </c>
    </row>
    <row r="22" spans="1:16370" hidden="1" outlineLevel="1">
      <c r="A22" s="70" t="s">
        <v>149</v>
      </c>
      <c r="B22" s="71" t="s">
        <v>78</v>
      </c>
      <c r="C22" s="72"/>
      <c r="D22" s="86">
        <v>50</v>
      </c>
      <c r="E22" s="86">
        <v>50</v>
      </c>
      <c r="F22" s="86">
        <v>50</v>
      </c>
      <c r="G22" s="86">
        <v>50</v>
      </c>
      <c r="H22" s="86">
        <v>50</v>
      </c>
      <c r="I22" s="86">
        <v>50</v>
      </c>
      <c r="J22" s="86">
        <v>50</v>
      </c>
      <c r="K22" s="86">
        <v>50</v>
      </c>
      <c r="L22" s="86">
        <v>50</v>
      </c>
      <c r="M22" s="86">
        <v>50</v>
      </c>
      <c r="N22" s="86">
        <v>50</v>
      </c>
      <c r="O22" s="86">
        <v>50</v>
      </c>
      <c r="P22" s="86">
        <v>50</v>
      </c>
      <c r="Q22" s="86">
        <v>50</v>
      </c>
      <c r="R22" s="86">
        <v>50</v>
      </c>
      <c r="S22" s="86">
        <v>50</v>
      </c>
      <c r="T22" s="86">
        <v>50</v>
      </c>
      <c r="U22" s="86">
        <v>50</v>
      </c>
      <c r="V22" s="86">
        <v>50</v>
      </c>
      <c r="W22" s="86">
        <v>50</v>
      </c>
      <c r="X22" s="86">
        <v>50</v>
      </c>
      <c r="Y22" s="86">
        <v>50</v>
      </c>
      <c r="Z22" s="86">
        <v>50</v>
      </c>
      <c r="AA22" s="86">
        <v>50</v>
      </c>
      <c r="AB22" s="86">
        <v>50</v>
      </c>
      <c r="AC22" s="86">
        <v>50</v>
      </c>
      <c r="AD22" s="86">
        <v>50</v>
      </c>
      <c r="AE22" s="86">
        <v>50</v>
      </c>
      <c r="AF22" s="86">
        <v>50</v>
      </c>
      <c r="AG22" s="86">
        <v>50</v>
      </c>
      <c r="AH22" s="86">
        <v>50</v>
      </c>
      <c r="AI22" s="86">
        <v>50</v>
      </c>
      <c r="AJ22" s="86">
        <v>50</v>
      </c>
      <c r="AK22" s="86">
        <v>50</v>
      </c>
      <c r="AL22" s="86">
        <v>50</v>
      </c>
      <c r="AM22" s="86">
        <v>50</v>
      </c>
      <c r="AN22" s="81"/>
      <c r="AO22" s="75">
        <f>AVERAGE(D22:O22)</f>
        <v>50</v>
      </c>
      <c r="AP22" s="75">
        <f>AVERAGE(P22:AA22)</f>
        <v>50</v>
      </c>
      <c r="AQ22" s="75">
        <f>AVERAGE(AB22:AM22)</f>
        <v>50</v>
      </c>
    </row>
    <row r="23" spans="1:16370" hidden="1" outlineLevel="1">
      <c r="A23" s="70" t="s">
        <v>150</v>
      </c>
      <c r="B23" s="71" t="s">
        <v>78</v>
      </c>
      <c r="C23" s="72"/>
      <c r="D23" s="77">
        <f t="shared" ref="D23:AM23" si="16">D21*D22</f>
        <v>22500</v>
      </c>
      <c r="E23" s="77">
        <f t="shared" si="16"/>
        <v>24000</v>
      </c>
      <c r="F23" s="77">
        <f t="shared" si="16"/>
        <v>25500</v>
      </c>
      <c r="G23" s="77">
        <f t="shared" si="16"/>
        <v>27000</v>
      </c>
      <c r="H23" s="77">
        <f t="shared" si="16"/>
        <v>28500</v>
      </c>
      <c r="I23" s="77">
        <f t="shared" si="16"/>
        <v>30000</v>
      </c>
      <c r="J23" s="77">
        <f t="shared" si="16"/>
        <v>30000</v>
      </c>
      <c r="K23" s="77">
        <f t="shared" si="16"/>
        <v>33000</v>
      </c>
      <c r="L23" s="77">
        <f t="shared" si="16"/>
        <v>36000</v>
      </c>
      <c r="M23" s="77">
        <f t="shared" si="16"/>
        <v>39000</v>
      </c>
      <c r="N23" s="77">
        <f t="shared" si="16"/>
        <v>42000</v>
      </c>
      <c r="O23" s="77">
        <f t="shared" si="16"/>
        <v>45000</v>
      </c>
      <c r="P23" s="77">
        <f t="shared" si="16"/>
        <v>45000</v>
      </c>
      <c r="Q23" s="77">
        <f t="shared" si="16"/>
        <v>45000</v>
      </c>
      <c r="R23" s="77">
        <f t="shared" si="16"/>
        <v>45000</v>
      </c>
      <c r="S23" s="77">
        <f t="shared" si="16"/>
        <v>45000</v>
      </c>
      <c r="T23" s="77">
        <f t="shared" si="16"/>
        <v>45000</v>
      </c>
      <c r="U23" s="77">
        <f t="shared" si="16"/>
        <v>45000</v>
      </c>
      <c r="V23" s="77">
        <f t="shared" si="16"/>
        <v>45000</v>
      </c>
      <c r="W23" s="77">
        <f t="shared" si="16"/>
        <v>45000</v>
      </c>
      <c r="X23" s="77">
        <f t="shared" si="16"/>
        <v>45000</v>
      </c>
      <c r="Y23" s="77">
        <f t="shared" si="16"/>
        <v>45000</v>
      </c>
      <c r="Z23" s="77">
        <f t="shared" si="16"/>
        <v>45000</v>
      </c>
      <c r="AA23" s="77">
        <f t="shared" si="16"/>
        <v>45000</v>
      </c>
      <c r="AB23" s="77">
        <f t="shared" si="16"/>
        <v>45000</v>
      </c>
      <c r="AC23" s="77">
        <f t="shared" si="16"/>
        <v>45000</v>
      </c>
      <c r="AD23" s="77">
        <f t="shared" si="16"/>
        <v>45000</v>
      </c>
      <c r="AE23" s="77">
        <f t="shared" si="16"/>
        <v>45000</v>
      </c>
      <c r="AF23" s="77">
        <f t="shared" si="16"/>
        <v>45000</v>
      </c>
      <c r="AG23" s="77">
        <f t="shared" si="16"/>
        <v>45000</v>
      </c>
      <c r="AH23" s="77">
        <f t="shared" si="16"/>
        <v>45000</v>
      </c>
      <c r="AI23" s="77">
        <f t="shared" si="16"/>
        <v>45000</v>
      </c>
      <c r="AJ23" s="77">
        <f t="shared" si="16"/>
        <v>45000</v>
      </c>
      <c r="AK23" s="77">
        <f t="shared" si="16"/>
        <v>45000</v>
      </c>
      <c r="AL23" s="77">
        <f t="shared" si="16"/>
        <v>45000</v>
      </c>
      <c r="AM23" s="77">
        <f t="shared" si="16"/>
        <v>45000</v>
      </c>
      <c r="AN23" s="81"/>
      <c r="AO23" s="75">
        <f>SUM(D23:O23)</f>
        <v>382500</v>
      </c>
      <c r="AP23" s="75">
        <f>SUM(P23:AA23)</f>
        <v>540000</v>
      </c>
      <c r="AQ23" s="75">
        <f>SUM(AB23:AM23)</f>
        <v>540000</v>
      </c>
    </row>
    <row r="24" spans="1:16370" hidden="1" outlineLevel="1">
      <c r="A24" s="70" t="s">
        <v>153</v>
      </c>
      <c r="B24" s="71" t="s">
        <v>78</v>
      </c>
      <c r="C24" s="72"/>
      <c r="D24" s="77"/>
      <c r="E24" s="77">
        <f t="shared" ref="E24:AM24" si="17">-D31/2</f>
        <v>65.625000000000014</v>
      </c>
      <c r="F24" s="77">
        <f t="shared" si="17"/>
        <v>195.97265625</v>
      </c>
      <c r="G24" s="77">
        <f t="shared" si="17"/>
        <v>324.77959472656249</v>
      </c>
      <c r="H24" s="77">
        <f t="shared" si="17"/>
        <v>452.35848923136399</v>
      </c>
      <c r="I24" s="77">
        <f t="shared" si="17"/>
        <v>578.80360120696093</v>
      </c>
      <c r="J24" s="77">
        <f t="shared" si="17"/>
        <v>704.20252387015933</v>
      </c>
      <c r="K24" s="77">
        <f t="shared" si="17"/>
        <v>824.26108141245413</v>
      </c>
      <c r="L24" s="77">
        <f t="shared" si="17"/>
        <v>943.78067681015739</v>
      </c>
      <c r="M24" s="77">
        <f t="shared" si="17"/>
        <v>1071.5390755374603</v>
      </c>
      <c r="N24" s="77">
        <f t="shared" si="17"/>
        <v>1206.8721685203527</v>
      </c>
      <c r="O24" s="77">
        <f t="shared" si="17"/>
        <v>1349.1948539388252</v>
      </c>
      <c r="P24" s="77">
        <f t="shared" si="17"/>
        <v>1497.9671449260959</v>
      </c>
      <c r="Q24" s="77">
        <f t="shared" si="17"/>
        <v>1643.9407720122774</v>
      </c>
      <c r="R24" s="77">
        <f t="shared" si="17"/>
        <v>1778.6096057689913</v>
      </c>
      <c r="S24" s="77">
        <f t="shared" si="17"/>
        <v>1902.874577223437</v>
      </c>
      <c r="T24" s="77">
        <f t="shared" si="17"/>
        <v>2017.5393579885451</v>
      </c>
      <c r="U24" s="77">
        <f t="shared" si="17"/>
        <v>2123.3456188005352</v>
      </c>
      <c r="V24" s="77">
        <f t="shared" si="17"/>
        <v>2220.9777317494586</v>
      </c>
      <c r="W24" s="77">
        <f t="shared" si="17"/>
        <v>2311.067197209441</v>
      </c>
      <c r="X24" s="77">
        <f t="shared" si="17"/>
        <v>2394.1967284847847</v>
      </c>
      <c r="Y24" s="77">
        <f t="shared" si="17"/>
        <v>2470.9040208943275</v>
      </c>
      <c r="Z24" s="77">
        <f t="shared" si="17"/>
        <v>2541.6852296721563</v>
      </c>
      <c r="AA24" s="77">
        <f t="shared" si="17"/>
        <v>2606.9981791802952</v>
      </c>
      <c r="AB24" s="77">
        <f t="shared" si="17"/>
        <v>2667.2653241910903</v>
      </c>
      <c r="AC24" s="77">
        <f t="shared" si="17"/>
        <v>2722.8764823933329</v>
      </c>
      <c r="AD24" s="77">
        <f t="shared" si="17"/>
        <v>2774.1913557964258</v>
      </c>
      <c r="AE24" s="77">
        <f t="shared" si="17"/>
        <v>2821.5418573414445</v>
      </c>
      <c r="AF24" s="77">
        <f t="shared" si="17"/>
        <v>2865.2342577679756</v>
      </c>
      <c r="AG24" s="77">
        <f t="shared" si="17"/>
        <v>2905.5511666230468</v>
      </c>
      <c r="AH24" s="77">
        <f t="shared" si="17"/>
        <v>2942.7533602256003</v>
      </c>
      <c r="AI24" s="77">
        <f t="shared" si="17"/>
        <v>2977.0814684101083</v>
      </c>
      <c r="AJ24" s="77">
        <f t="shared" si="17"/>
        <v>3008.7575309594536</v>
      </c>
      <c r="AK24" s="77">
        <f t="shared" si="17"/>
        <v>3037.9864337943268</v>
      </c>
      <c r="AL24" s="77">
        <f t="shared" si="17"/>
        <v>3064.9572342086649</v>
      </c>
      <c r="AM24" s="77">
        <f t="shared" si="17"/>
        <v>3089.8443837229515</v>
      </c>
      <c r="AN24" s="81"/>
      <c r="AO24" s="75">
        <f>SUM(D24:O24)</f>
        <v>7717.3897215042962</v>
      </c>
      <c r="AP24" s="75">
        <f>SUM(P24:AA24)</f>
        <v>25510.106163910343</v>
      </c>
      <c r="AQ24" s="75">
        <f>SUM(AB24:AM24)</f>
        <v>34878.040855434425</v>
      </c>
    </row>
    <row r="25" spans="1:16370" s="90" customFormat="1" hidden="1" outlineLevel="1">
      <c r="A25" s="70" t="s">
        <v>88</v>
      </c>
      <c r="B25" s="71" t="s">
        <v>89</v>
      </c>
      <c r="C25" s="87"/>
      <c r="D25" s="86">
        <v>12</v>
      </c>
      <c r="E25" s="86">
        <v>12</v>
      </c>
      <c r="F25" s="86">
        <v>12</v>
      </c>
      <c r="G25" s="86">
        <v>12</v>
      </c>
      <c r="H25" s="86">
        <v>12</v>
      </c>
      <c r="I25" s="86">
        <v>12</v>
      </c>
      <c r="J25" s="86">
        <v>12</v>
      </c>
      <c r="K25" s="86">
        <v>12</v>
      </c>
      <c r="L25" s="86">
        <v>12</v>
      </c>
      <c r="M25" s="86">
        <v>12</v>
      </c>
      <c r="N25" s="86">
        <v>12</v>
      </c>
      <c r="O25" s="86">
        <v>12</v>
      </c>
      <c r="P25" s="86">
        <v>12</v>
      </c>
      <c r="Q25" s="86">
        <v>12</v>
      </c>
      <c r="R25" s="86">
        <v>12</v>
      </c>
      <c r="S25" s="86">
        <v>12</v>
      </c>
      <c r="T25" s="86">
        <v>12</v>
      </c>
      <c r="U25" s="86">
        <v>12</v>
      </c>
      <c r="V25" s="86">
        <v>12</v>
      </c>
      <c r="W25" s="86">
        <v>12</v>
      </c>
      <c r="X25" s="86">
        <v>12</v>
      </c>
      <c r="Y25" s="86">
        <v>12</v>
      </c>
      <c r="Z25" s="86">
        <v>12</v>
      </c>
      <c r="AA25" s="86">
        <v>12</v>
      </c>
      <c r="AB25" s="86">
        <v>12</v>
      </c>
      <c r="AC25" s="86">
        <v>12</v>
      </c>
      <c r="AD25" s="86">
        <v>12</v>
      </c>
      <c r="AE25" s="86">
        <v>12</v>
      </c>
      <c r="AF25" s="86">
        <v>12</v>
      </c>
      <c r="AG25" s="86">
        <v>12</v>
      </c>
      <c r="AH25" s="86">
        <v>12</v>
      </c>
      <c r="AI25" s="86">
        <v>12</v>
      </c>
      <c r="AJ25" s="86">
        <v>12</v>
      </c>
      <c r="AK25" s="86">
        <v>12</v>
      </c>
      <c r="AL25" s="86">
        <v>12</v>
      </c>
      <c r="AM25" s="86">
        <v>12</v>
      </c>
      <c r="AN25" s="88"/>
      <c r="AO25" s="75">
        <f>AVERAGE(D25:O25)</f>
        <v>12</v>
      </c>
      <c r="AP25" s="75">
        <f>AVERAGE(P25:AA25)</f>
        <v>12</v>
      </c>
      <c r="AQ25" s="75">
        <f>AVERAGE(AB25:AM25)</f>
        <v>12</v>
      </c>
    </row>
    <row r="26" spans="1:16370" hidden="1" outlineLevel="1">
      <c r="A26" s="91" t="s">
        <v>151</v>
      </c>
      <c r="B26" s="71" t="s">
        <v>78</v>
      </c>
      <c r="C26" s="72"/>
      <c r="D26" s="78">
        <v>0</v>
      </c>
      <c r="E26" s="81">
        <f t="shared" ref="E26:AM26" si="18">D27/E25</f>
        <v>1875</v>
      </c>
      <c r="F26" s="81">
        <f t="shared" si="18"/>
        <v>3724.21875</v>
      </c>
      <c r="G26" s="81">
        <f t="shared" si="18"/>
        <v>5555.1982421875</v>
      </c>
      <c r="H26" s="81">
        <f t="shared" si="18"/>
        <v>7369.3300215657555</v>
      </c>
      <c r="I26" s="81">
        <f t="shared" si="18"/>
        <v>9167.9157272045577</v>
      </c>
      <c r="J26" s="81">
        <f t="shared" si="18"/>
        <v>10952.156383371423</v>
      </c>
      <c r="K26" s="81">
        <f t="shared" si="18"/>
        <v>12598.160228412984</v>
      </c>
      <c r="L26" s="81">
        <f t="shared" si="18"/>
        <v>14367.001966162941</v>
      </c>
      <c r="M26" s="81">
        <f t="shared" si="18"/>
        <v>16248.400192050211</v>
      </c>
      <c r="N26" s="81">
        <f t="shared" si="18"/>
        <v>18233.661765674147</v>
      </c>
      <c r="O26" s="81">
        <f t="shared" si="18"/>
        <v>20314.762632577997</v>
      </c>
      <c r="P26" s="81">
        <f t="shared" si="18"/>
        <v>22484.298651024739</v>
      </c>
      <c r="Q26" s="81">
        <f t="shared" si="18"/>
        <v>24485.437692183183</v>
      </c>
      <c r="R26" s="81">
        <f t="shared" si="18"/>
        <v>26331.979615502274</v>
      </c>
      <c r="S26" s="81">
        <f t="shared" si="18"/>
        <v>28035.865448024499</v>
      </c>
      <c r="T26" s="81">
        <f t="shared" si="18"/>
        <v>29608.116208791078</v>
      </c>
      <c r="U26" s="81">
        <f t="shared" si="18"/>
        <v>31058.901471224202</v>
      </c>
      <c r="V26" s="81">
        <f t="shared" si="18"/>
        <v>32397.605150188898</v>
      </c>
      <c r="W26" s="81">
        <f t="shared" si="18"/>
        <v>33632.886198652275</v>
      </c>
      <c r="X26" s="81">
        <f t="shared" si="18"/>
        <v>34772.734615198708</v>
      </c>
      <c r="Y26" s="81">
        <f t="shared" si="18"/>
        <v>35824.523124639214</v>
      </c>
      <c r="Z26" s="81">
        <f t="shared" si="18"/>
        <v>36795.054865993807</v>
      </c>
      <c r="AA26" s="81">
        <f t="shared" si="18"/>
        <v>37690.607396300336</v>
      </c>
      <c r="AB26" s="81">
        <f t="shared" si="18"/>
        <v>38516.973294873671</v>
      </c>
      <c r="AC26" s="81">
        <f t="shared" si="18"/>
        <v>39279.497630650119</v>
      </c>
      <c r="AD26" s="81">
        <f t="shared" si="18"/>
        <v>39983.112534962056</v>
      </c>
      <c r="AE26" s="81">
        <f t="shared" si="18"/>
        <v>40632.369103364916</v>
      </c>
      <c r="AF26" s="81">
        <f t="shared" si="18"/>
        <v>41231.466832862956</v>
      </c>
      <c r="AG26" s="81">
        <f t="shared" si="18"/>
        <v>41784.280784938375</v>
      </c>
      <c r="AH26" s="81">
        <f t="shared" si="18"/>
        <v>42294.386650078763</v>
      </c>
      <c r="AI26" s="81">
        <f t="shared" si="18"/>
        <v>42765.083875924327</v>
      </c>
      <c r="AJ26" s="81">
        <f t="shared" si="18"/>
        <v>43199.417008631477</v>
      </c>
      <c r="AK26" s="81">
        <f t="shared" si="18"/>
        <v>43600.195385492138</v>
      </c>
      <c r="AL26" s="81">
        <f t="shared" si="18"/>
        <v>43970.011306183987</v>
      </c>
      <c r="AM26" s="81">
        <f t="shared" si="18"/>
        <v>44311.256800186042</v>
      </c>
      <c r="AN26" s="81"/>
      <c r="AO26" s="75">
        <f>SUM(D26:O26)</f>
        <v>120405.80590920751</v>
      </c>
      <c r="AP26" s="75">
        <f>SUM(P26:AA26)</f>
        <v>373118.01043772325</v>
      </c>
      <c r="AQ26" s="75">
        <f>SUM(AB26:AM26)</f>
        <v>501568.05120814883</v>
      </c>
    </row>
    <row r="27" spans="1:16370" s="69" customFormat="1" hidden="1" outlineLevel="1">
      <c r="A27" s="70" t="s">
        <v>152</v>
      </c>
      <c r="B27" s="71" t="s">
        <v>78</v>
      </c>
      <c r="C27" s="72"/>
      <c r="D27" s="73">
        <f>D23-D26</f>
        <v>22500</v>
      </c>
      <c r="E27" s="73">
        <f t="shared" ref="E27:AM27" si="19">D27+E23-E26+E24</f>
        <v>44690.625</v>
      </c>
      <c r="F27" s="73">
        <f t="shared" si="19"/>
        <v>66662.37890625</v>
      </c>
      <c r="G27" s="73">
        <f t="shared" si="19"/>
        <v>88431.960258789069</v>
      </c>
      <c r="H27" s="73">
        <f t="shared" si="19"/>
        <v>110014.98872645469</v>
      </c>
      <c r="I27" s="73">
        <f t="shared" si="19"/>
        <v>131425.87660045706</v>
      </c>
      <c r="J27" s="73">
        <f t="shared" si="19"/>
        <v>151177.92274095581</v>
      </c>
      <c r="K27" s="73">
        <f t="shared" si="19"/>
        <v>172404.02359395529</v>
      </c>
      <c r="L27" s="73">
        <f t="shared" si="19"/>
        <v>194980.80230460252</v>
      </c>
      <c r="M27" s="73">
        <f t="shared" si="19"/>
        <v>218803.94118808978</v>
      </c>
      <c r="N27" s="73">
        <f t="shared" si="19"/>
        <v>243777.15159093597</v>
      </c>
      <c r="O27" s="73">
        <f t="shared" si="19"/>
        <v>269811.58381229686</v>
      </c>
      <c r="P27" s="73">
        <f t="shared" si="19"/>
        <v>293825.25230619818</v>
      </c>
      <c r="Q27" s="73">
        <f t="shared" si="19"/>
        <v>315983.75538602727</v>
      </c>
      <c r="R27" s="73">
        <f t="shared" si="19"/>
        <v>336430.38537629397</v>
      </c>
      <c r="S27" s="73">
        <f t="shared" si="19"/>
        <v>355297.39450549294</v>
      </c>
      <c r="T27" s="73">
        <f t="shared" si="19"/>
        <v>372706.81765469041</v>
      </c>
      <c r="U27" s="73">
        <f t="shared" si="19"/>
        <v>388771.26180226676</v>
      </c>
      <c r="V27" s="73">
        <f t="shared" si="19"/>
        <v>403594.63438382733</v>
      </c>
      <c r="W27" s="73">
        <f t="shared" si="19"/>
        <v>417272.81538238452</v>
      </c>
      <c r="X27" s="73">
        <f t="shared" si="19"/>
        <v>429894.2774956706</v>
      </c>
      <c r="Y27" s="73">
        <f t="shared" si="19"/>
        <v>441540.65839192568</v>
      </c>
      <c r="Z27" s="73">
        <f t="shared" si="19"/>
        <v>452287.28875560407</v>
      </c>
      <c r="AA27" s="73">
        <f t="shared" si="19"/>
        <v>462203.67953848402</v>
      </c>
      <c r="AB27" s="73">
        <f t="shared" si="19"/>
        <v>471353.97156780143</v>
      </c>
      <c r="AC27" s="73">
        <f t="shared" si="19"/>
        <v>479797.35041954467</v>
      </c>
      <c r="AD27" s="73">
        <f t="shared" si="19"/>
        <v>487588.42924037896</v>
      </c>
      <c r="AE27" s="73">
        <f t="shared" si="19"/>
        <v>494777.6019943555</v>
      </c>
      <c r="AF27" s="73">
        <f t="shared" si="19"/>
        <v>501411.36941926047</v>
      </c>
      <c r="AG27" s="73">
        <f t="shared" si="19"/>
        <v>507532.63980094512</v>
      </c>
      <c r="AH27" s="73">
        <f t="shared" si="19"/>
        <v>513181.00651109189</v>
      </c>
      <c r="AI27" s="73">
        <f t="shared" si="19"/>
        <v>518393.0041035777</v>
      </c>
      <c r="AJ27" s="73">
        <f t="shared" si="19"/>
        <v>523202.34462590568</v>
      </c>
      <c r="AK27" s="73">
        <f t="shared" si="19"/>
        <v>527640.13567420782</v>
      </c>
      <c r="AL27" s="73">
        <f t="shared" si="19"/>
        <v>531735.08160223253</v>
      </c>
      <c r="AM27" s="73">
        <f t="shared" si="19"/>
        <v>535513.66918576951</v>
      </c>
      <c r="AN27" s="74"/>
      <c r="AO27" s="75">
        <f>O27</f>
        <v>269811.58381229686</v>
      </c>
      <c r="AP27" s="75">
        <f>AA27</f>
        <v>462203.67953848402</v>
      </c>
      <c r="AQ27" s="75">
        <f>AM27</f>
        <v>535513.66918576951</v>
      </c>
    </row>
    <row r="28" spans="1:16370" s="69" customFormat="1" hidden="1" outlineLevel="1">
      <c r="A28" s="70" t="s">
        <v>99</v>
      </c>
      <c r="B28" s="71" t="s">
        <v>79</v>
      </c>
      <c r="C28" s="72"/>
      <c r="D28" s="92">
        <v>0.01</v>
      </c>
      <c r="E28" s="92">
        <v>0.01</v>
      </c>
      <c r="F28" s="92">
        <v>0.01</v>
      </c>
      <c r="G28" s="92">
        <v>0.01</v>
      </c>
      <c r="H28" s="92">
        <v>0.01</v>
      </c>
      <c r="I28" s="92">
        <v>0.01</v>
      </c>
      <c r="J28" s="92">
        <v>0.01</v>
      </c>
      <c r="K28" s="92">
        <v>0.01</v>
      </c>
      <c r="L28" s="92">
        <v>0.01</v>
      </c>
      <c r="M28" s="92">
        <v>0.01</v>
      </c>
      <c r="N28" s="92">
        <v>0.01</v>
      </c>
      <c r="O28" s="92">
        <v>0.01</v>
      </c>
      <c r="P28" s="92">
        <v>0.01</v>
      </c>
      <c r="Q28" s="92">
        <v>0.01</v>
      </c>
      <c r="R28" s="92">
        <v>0.01</v>
      </c>
      <c r="S28" s="92">
        <v>0.01</v>
      </c>
      <c r="T28" s="92">
        <v>0.01</v>
      </c>
      <c r="U28" s="92">
        <v>0.01</v>
      </c>
      <c r="V28" s="92">
        <v>0.01</v>
      </c>
      <c r="W28" s="92">
        <v>0.01</v>
      </c>
      <c r="X28" s="92">
        <v>0.01</v>
      </c>
      <c r="Y28" s="92">
        <v>0.01</v>
      </c>
      <c r="Z28" s="92">
        <v>0.01</v>
      </c>
      <c r="AA28" s="92">
        <v>0.01</v>
      </c>
      <c r="AB28" s="92">
        <v>0.01</v>
      </c>
      <c r="AC28" s="92">
        <v>0.01</v>
      </c>
      <c r="AD28" s="92">
        <v>0.01</v>
      </c>
      <c r="AE28" s="92">
        <v>0.01</v>
      </c>
      <c r="AF28" s="92">
        <v>0.01</v>
      </c>
      <c r="AG28" s="92">
        <v>0.01</v>
      </c>
      <c r="AH28" s="92">
        <v>0.01</v>
      </c>
      <c r="AI28" s="92">
        <v>0.01</v>
      </c>
      <c r="AJ28" s="92">
        <v>0.01</v>
      </c>
      <c r="AK28" s="92">
        <v>0.01</v>
      </c>
      <c r="AL28" s="92">
        <v>0.01</v>
      </c>
      <c r="AM28" s="92">
        <v>0.01</v>
      </c>
      <c r="AN28" s="74"/>
      <c r="AO28" s="93">
        <f>AVERAGE(D28:O28)</f>
        <v>9.9999999999999985E-3</v>
      </c>
      <c r="AP28" s="93">
        <f>AVERAGE(P28:AA28)</f>
        <v>9.9999999999999985E-3</v>
      </c>
      <c r="AQ28" s="93">
        <f>AVERAGE(AB28:AM28)</f>
        <v>9.9999999999999985E-3</v>
      </c>
    </row>
    <row r="29" spans="1:16370" hidden="1" outlineLevel="1">
      <c r="A29" s="70" t="s">
        <v>91</v>
      </c>
      <c r="B29" s="71" t="s">
        <v>79</v>
      </c>
      <c r="C29" s="72"/>
      <c r="D29" s="92">
        <v>0.14000000000000001</v>
      </c>
      <c r="E29" s="92">
        <v>0.14000000000000001</v>
      </c>
      <c r="F29" s="92">
        <v>0.14000000000000001</v>
      </c>
      <c r="G29" s="92">
        <v>0.14000000000000001</v>
      </c>
      <c r="H29" s="92">
        <v>0.14000000000000001</v>
      </c>
      <c r="I29" s="92">
        <v>0.14000000000000001</v>
      </c>
      <c r="J29" s="92">
        <v>0.14000000000000001</v>
      </c>
      <c r="K29" s="92">
        <v>0.14000000000000001</v>
      </c>
      <c r="L29" s="92">
        <v>0.14000000000000001</v>
      </c>
      <c r="M29" s="92">
        <v>0.14000000000000001</v>
      </c>
      <c r="N29" s="92">
        <v>0.14000000000000001</v>
      </c>
      <c r="O29" s="92">
        <v>0.14000000000000001</v>
      </c>
      <c r="P29" s="92">
        <v>0.14000000000000001</v>
      </c>
      <c r="Q29" s="92">
        <v>0.14000000000000001</v>
      </c>
      <c r="R29" s="92">
        <v>0.14000000000000001</v>
      </c>
      <c r="S29" s="92">
        <v>0.14000000000000001</v>
      </c>
      <c r="T29" s="92">
        <v>0.14000000000000001</v>
      </c>
      <c r="U29" s="92">
        <v>0.14000000000000001</v>
      </c>
      <c r="V29" s="92">
        <v>0.14000000000000001</v>
      </c>
      <c r="W29" s="92">
        <v>0.14000000000000001</v>
      </c>
      <c r="X29" s="92">
        <v>0.14000000000000001</v>
      </c>
      <c r="Y29" s="92">
        <v>0.14000000000000001</v>
      </c>
      <c r="Z29" s="92">
        <v>0.14000000000000001</v>
      </c>
      <c r="AA29" s="92">
        <v>0.14000000000000001</v>
      </c>
      <c r="AB29" s="92">
        <v>0.14000000000000001</v>
      </c>
      <c r="AC29" s="92">
        <v>0.14000000000000001</v>
      </c>
      <c r="AD29" s="92">
        <v>0.14000000000000001</v>
      </c>
      <c r="AE29" s="92">
        <v>0.14000000000000001</v>
      </c>
      <c r="AF29" s="92">
        <v>0.14000000000000001</v>
      </c>
      <c r="AG29" s="92">
        <v>0.14000000000000001</v>
      </c>
      <c r="AH29" s="92">
        <v>0.14000000000000001</v>
      </c>
      <c r="AI29" s="92">
        <v>0.14000000000000001</v>
      </c>
      <c r="AJ29" s="92">
        <v>0.14000000000000001</v>
      </c>
      <c r="AK29" s="92">
        <v>0.14000000000000001</v>
      </c>
      <c r="AL29" s="92">
        <v>0.14000000000000001</v>
      </c>
      <c r="AM29" s="92">
        <v>0.14000000000000001</v>
      </c>
      <c r="AN29" s="81"/>
      <c r="AO29" s="93">
        <f>AVERAGE(D29:O29)</f>
        <v>0.14000000000000004</v>
      </c>
      <c r="AP29" s="93">
        <f>AVERAGE(P29:AA29)</f>
        <v>0.14000000000000004</v>
      </c>
      <c r="AQ29" s="93">
        <f>AVERAGE(AB29:AM29)</f>
        <v>0.14000000000000004</v>
      </c>
    </row>
    <row r="30" spans="1:16370" hidden="1" outlineLevel="1">
      <c r="A30" s="70" t="s">
        <v>80</v>
      </c>
      <c r="B30" s="71" t="s">
        <v>79</v>
      </c>
      <c r="C30" s="72"/>
      <c r="D30" s="92">
        <v>0.16</v>
      </c>
      <c r="E30" s="92">
        <v>0.16</v>
      </c>
      <c r="F30" s="92">
        <v>0.16</v>
      </c>
      <c r="G30" s="92">
        <v>0.16</v>
      </c>
      <c r="H30" s="92">
        <v>0.16</v>
      </c>
      <c r="I30" s="92">
        <v>0.16</v>
      </c>
      <c r="J30" s="92">
        <v>0.16</v>
      </c>
      <c r="K30" s="92">
        <v>0.16</v>
      </c>
      <c r="L30" s="92">
        <v>0.16</v>
      </c>
      <c r="M30" s="92">
        <v>0.16</v>
      </c>
      <c r="N30" s="92">
        <v>0.16</v>
      </c>
      <c r="O30" s="92">
        <v>0.16</v>
      </c>
      <c r="P30" s="92">
        <v>0.16</v>
      </c>
      <c r="Q30" s="92">
        <v>0.16</v>
      </c>
      <c r="R30" s="92">
        <v>0.16</v>
      </c>
      <c r="S30" s="92">
        <v>0.16</v>
      </c>
      <c r="T30" s="92">
        <v>0.16</v>
      </c>
      <c r="U30" s="92">
        <v>0.16</v>
      </c>
      <c r="V30" s="92">
        <v>0.16</v>
      </c>
      <c r="W30" s="92">
        <v>0.16</v>
      </c>
      <c r="X30" s="92">
        <v>0.16</v>
      </c>
      <c r="Y30" s="92">
        <v>0.16</v>
      </c>
      <c r="Z30" s="92">
        <v>0.16</v>
      </c>
      <c r="AA30" s="92">
        <v>0.16</v>
      </c>
      <c r="AB30" s="92">
        <v>0.16</v>
      </c>
      <c r="AC30" s="92">
        <v>0.16</v>
      </c>
      <c r="AD30" s="92">
        <v>0.16</v>
      </c>
      <c r="AE30" s="92">
        <v>0.16</v>
      </c>
      <c r="AF30" s="92">
        <v>0.16</v>
      </c>
      <c r="AG30" s="92">
        <v>0.16</v>
      </c>
      <c r="AH30" s="92">
        <v>0.16</v>
      </c>
      <c r="AI30" s="92">
        <v>0.16</v>
      </c>
      <c r="AJ30" s="92">
        <v>0.16</v>
      </c>
      <c r="AK30" s="92">
        <v>0.16</v>
      </c>
      <c r="AL30" s="92">
        <v>0.16</v>
      </c>
      <c r="AM30" s="92">
        <v>0.16</v>
      </c>
      <c r="AN30" s="81"/>
      <c r="AO30" s="93">
        <f>AVERAGE(D30:O30)</f>
        <v>0.15999999999999998</v>
      </c>
      <c r="AP30" s="93">
        <f>AVERAGE(P30:AA30)</f>
        <v>0.15999999999999998</v>
      </c>
      <c r="AQ30" s="93">
        <f>AVERAGE(AB30:AM30)</f>
        <v>0.15999999999999998</v>
      </c>
    </row>
    <row r="31" spans="1:16370" hidden="1" outlineLevel="1">
      <c r="A31" s="70" t="s">
        <v>145</v>
      </c>
      <c r="B31" s="71" t="s">
        <v>78</v>
      </c>
      <c r="C31" s="72"/>
      <c r="D31" s="73">
        <f t="shared" ref="D31:AM31" si="20">-(C27+D27)/2*D29/12</f>
        <v>-131.25000000000003</v>
      </c>
      <c r="E31" s="73">
        <f t="shared" si="20"/>
        <v>-391.9453125</v>
      </c>
      <c r="F31" s="73">
        <f t="shared" si="20"/>
        <v>-649.55918945312499</v>
      </c>
      <c r="G31" s="73">
        <f t="shared" si="20"/>
        <v>-904.71697846272798</v>
      </c>
      <c r="H31" s="73">
        <f t="shared" si="20"/>
        <v>-1157.6072024139219</v>
      </c>
      <c r="I31" s="73">
        <f t="shared" si="20"/>
        <v>-1408.4050477403187</v>
      </c>
      <c r="J31" s="73">
        <f t="shared" si="20"/>
        <v>-1648.5221628249083</v>
      </c>
      <c r="K31" s="73">
        <f t="shared" si="20"/>
        <v>-1887.5613536203148</v>
      </c>
      <c r="L31" s="73">
        <f t="shared" si="20"/>
        <v>-2143.0781510749207</v>
      </c>
      <c r="M31" s="73">
        <f t="shared" si="20"/>
        <v>-2413.7443370407054</v>
      </c>
      <c r="N31" s="73">
        <f t="shared" si="20"/>
        <v>-2698.3897078776504</v>
      </c>
      <c r="O31" s="73">
        <f t="shared" si="20"/>
        <v>-2995.9342898521918</v>
      </c>
      <c r="P31" s="73">
        <f t="shared" si="20"/>
        <v>-3287.8815440245548</v>
      </c>
      <c r="Q31" s="73">
        <f t="shared" si="20"/>
        <v>-3557.2192115379826</v>
      </c>
      <c r="R31" s="73">
        <f t="shared" si="20"/>
        <v>-3805.7491544468739</v>
      </c>
      <c r="S31" s="73">
        <f t="shared" si="20"/>
        <v>-4035.0787159770903</v>
      </c>
      <c r="T31" s="73">
        <f t="shared" si="20"/>
        <v>-4246.6912376010705</v>
      </c>
      <c r="U31" s="73">
        <f t="shared" si="20"/>
        <v>-4441.9554634989172</v>
      </c>
      <c r="V31" s="73">
        <f t="shared" si="20"/>
        <v>-4622.134394418882</v>
      </c>
      <c r="W31" s="73">
        <f t="shared" si="20"/>
        <v>-4788.3934569695693</v>
      </c>
      <c r="X31" s="73">
        <f t="shared" si="20"/>
        <v>-4941.8080417886549</v>
      </c>
      <c r="Y31" s="73">
        <f t="shared" si="20"/>
        <v>-5083.3704593443126</v>
      </c>
      <c r="Z31" s="73">
        <f t="shared" si="20"/>
        <v>-5213.9963583605904</v>
      </c>
      <c r="AA31" s="73">
        <f t="shared" si="20"/>
        <v>-5334.5306483821805</v>
      </c>
      <c r="AB31" s="73">
        <f t="shared" si="20"/>
        <v>-5445.7529647866659</v>
      </c>
      <c r="AC31" s="73">
        <f t="shared" si="20"/>
        <v>-5548.3827115928516</v>
      </c>
      <c r="AD31" s="73">
        <f t="shared" si="20"/>
        <v>-5643.083714682889</v>
      </c>
      <c r="AE31" s="73">
        <f t="shared" si="20"/>
        <v>-5730.4685155359512</v>
      </c>
      <c r="AF31" s="73">
        <f t="shared" si="20"/>
        <v>-5811.1023332460936</v>
      </c>
      <c r="AG31" s="73">
        <f t="shared" si="20"/>
        <v>-5885.5067204512006</v>
      </c>
      <c r="AH31" s="73">
        <f t="shared" si="20"/>
        <v>-5954.1629368202166</v>
      </c>
      <c r="AI31" s="73">
        <f t="shared" si="20"/>
        <v>-6017.5150619189071</v>
      </c>
      <c r="AJ31" s="73">
        <f t="shared" si="20"/>
        <v>-6075.9728675886536</v>
      </c>
      <c r="AK31" s="73">
        <f t="shared" si="20"/>
        <v>-6129.9144684173298</v>
      </c>
      <c r="AL31" s="73">
        <f t="shared" si="20"/>
        <v>-6179.6887674459031</v>
      </c>
      <c r="AM31" s="73">
        <f t="shared" si="20"/>
        <v>-6225.6177129300122</v>
      </c>
      <c r="AN31" s="81"/>
      <c r="AO31" s="75">
        <f>SUM(D31:O31)</f>
        <v>-18430.713732860786</v>
      </c>
      <c r="AP31" s="75">
        <f>SUM(P31:AA31)</f>
        <v>-53358.808686350676</v>
      </c>
      <c r="AQ31" s="75">
        <f>SUM(AB31:AM31)</f>
        <v>-70647.168775416678</v>
      </c>
    </row>
    <row r="32" spans="1:16370" hidden="1" outlineLevel="1">
      <c r="A32" s="70" t="s">
        <v>146</v>
      </c>
      <c r="B32" s="71" t="s">
        <v>78</v>
      </c>
      <c r="C32" s="72"/>
      <c r="D32" s="73">
        <f t="shared" ref="D32:AM32" si="21">(C27+D27)/2*D30/12</f>
        <v>150</v>
      </c>
      <c r="E32" s="73">
        <f t="shared" si="21"/>
        <v>447.9375</v>
      </c>
      <c r="F32" s="73">
        <f t="shared" si="21"/>
        <v>742.35335937499997</v>
      </c>
      <c r="G32" s="73">
        <f t="shared" si="21"/>
        <v>1033.9622611002605</v>
      </c>
      <c r="H32" s="73">
        <f t="shared" si="21"/>
        <v>1322.9796599016249</v>
      </c>
      <c r="I32" s="73">
        <f t="shared" si="21"/>
        <v>1609.6057688460785</v>
      </c>
      <c r="J32" s="73">
        <f t="shared" si="21"/>
        <v>1884.0253289427521</v>
      </c>
      <c r="K32" s="73">
        <f t="shared" si="21"/>
        <v>2157.212975566074</v>
      </c>
      <c r="L32" s="73">
        <f t="shared" si="21"/>
        <v>2449.2321726570522</v>
      </c>
      <c r="M32" s="73">
        <f t="shared" si="21"/>
        <v>2758.5649566179486</v>
      </c>
      <c r="N32" s="73">
        <f t="shared" si="21"/>
        <v>3083.8739518601719</v>
      </c>
      <c r="O32" s="73">
        <f t="shared" si="21"/>
        <v>3423.9249026882189</v>
      </c>
      <c r="P32" s="73">
        <f t="shared" si="21"/>
        <v>3757.5789074566342</v>
      </c>
      <c r="Q32" s="73">
        <f t="shared" si="21"/>
        <v>4065.393384614837</v>
      </c>
      <c r="R32" s="73">
        <f t="shared" si="21"/>
        <v>4349.4276050821418</v>
      </c>
      <c r="S32" s="73">
        <f t="shared" si="21"/>
        <v>4611.5185325452467</v>
      </c>
      <c r="T32" s="73">
        <f t="shared" si="21"/>
        <v>4853.3614144012226</v>
      </c>
      <c r="U32" s="73">
        <f t="shared" si="21"/>
        <v>5076.5205297130478</v>
      </c>
      <c r="V32" s="73">
        <f t="shared" si="21"/>
        <v>5282.4393079072934</v>
      </c>
      <c r="W32" s="73">
        <f t="shared" si="21"/>
        <v>5472.4496651080799</v>
      </c>
      <c r="X32" s="73">
        <f t="shared" si="21"/>
        <v>5647.7806191870341</v>
      </c>
      <c r="Y32" s="73">
        <f t="shared" si="21"/>
        <v>5809.566239250642</v>
      </c>
      <c r="Z32" s="73">
        <f t="shared" si="21"/>
        <v>5958.8529809835318</v>
      </c>
      <c r="AA32" s="73">
        <f t="shared" si="21"/>
        <v>6096.6064552939206</v>
      </c>
      <c r="AB32" s="73">
        <f t="shared" si="21"/>
        <v>6223.7176740419027</v>
      </c>
      <c r="AC32" s="73">
        <f t="shared" si="21"/>
        <v>6341.0088132489736</v>
      </c>
      <c r="AD32" s="73">
        <f t="shared" si="21"/>
        <v>6449.2385310661584</v>
      </c>
      <c r="AE32" s="73">
        <f t="shared" si="21"/>
        <v>6549.1068748982298</v>
      </c>
      <c r="AF32" s="73">
        <f t="shared" si="21"/>
        <v>6641.2598094241066</v>
      </c>
      <c r="AG32" s="73">
        <f t="shared" si="21"/>
        <v>6726.2933948013706</v>
      </c>
      <c r="AH32" s="73">
        <f t="shared" si="21"/>
        <v>6804.757642080247</v>
      </c>
      <c r="AI32" s="73">
        <f t="shared" si="21"/>
        <v>6877.1600707644648</v>
      </c>
      <c r="AJ32" s="73">
        <f t="shared" si="21"/>
        <v>6943.9689915298886</v>
      </c>
      <c r="AK32" s="73">
        <f t="shared" si="21"/>
        <v>7005.6165353340903</v>
      </c>
      <c r="AL32" s="73">
        <f t="shared" si="21"/>
        <v>7062.5014485096035</v>
      </c>
      <c r="AM32" s="73">
        <f t="shared" si="21"/>
        <v>7114.9916719200146</v>
      </c>
      <c r="AN32" s="81"/>
      <c r="AO32" s="75">
        <f>SUM(D32:O32)</f>
        <v>21063.672837555183</v>
      </c>
      <c r="AP32" s="75">
        <f>SUM(P32:AA32)</f>
        <v>60981.495641543632</v>
      </c>
      <c r="AQ32" s="75">
        <f>SUM(AB32:AM32)</f>
        <v>80739.62145761904</v>
      </c>
    </row>
    <row r="33" spans="1:16370" hidden="1" outlineLevel="1">
      <c r="A33" s="70" t="s">
        <v>99</v>
      </c>
      <c r="B33" s="71" t="s">
        <v>78</v>
      </c>
      <c r="C33" s="72"/>
      <c r="D33" s="73">
        <f t="shared" ref="D33:AM33" si="22">-D28*D23</f>
        <v>-225</v>
      </c>
      <c r="E33" s="73">
        <f t="shared" si="22"/>
        <v>-240</v>
      </c>
      <c r="F33" s="73">
        <f t="shared" si="22"/>
        <v>-255</v>
      </c>
      <c r="G33" s="73">
        <f t="shared" si="22"/>
        <v>-270</v>
      </c>
      <c r="H33" s="73">
        <f t="shared" si="22"/>
        <v>-285</v>
      </c>
      <c r="I33" s="73">
        <f t="shared" si="22"/>
        <v>-300</v>
      </c>
      <c r="J33" s="73">
        <f t="shared" si="22"/>
        <v>-300</v>
      </c>
      <c r="K33" s="73">
        <f t="shared" si="22"/>
        <v>-330</v>
      </c>
      <c r="L33" s="73">
        <f t="shared" si="22"/>
        <v>-360</v>
      </c>
      <c r="M33" s="73">
        <f t="shared" si="22"/>
        <v>-390</v>
      </c>
      <c r="N33" s="73">
        <f t="shared" si="22"/>
        <v>-420</v>
      </c>
      <c r="O33" s="73">
        <f t="shared" si="22"/>
        <v>-450</v>
      </c>
      <c r="P33" s="73">
        <f t="shared" si="22"/>
        <v>-450</v>
      </c>
      <c r="Q33" s="73">
        <f t="shared" si="22"/>
        <v>-450</v>
      </c>
      <c r="R33" s="73">
        <f t="shared" si="22"/>
        <v>-450</v>
      </c>
      <c r="S33" s="73">
        <f t="shared" si="22"/>
        <v>-450</v>
      </c>
      <c r="T33" s="73">
        <f t="shared" si="22"/>
        <v>-450</v>
      </c>
      <c r="U33" s="73">
        <f t="shared" si="22"/>
        <v>-450</v>
      </c>
      <c r="V33" s="73">
        <f t="shared" si="22"/>
        <v>-450</v>
      </c>
      <c r="W33" s="73">
        <f t="shared" si="22"/>
        <v>-450</v>
      </c>
      <c r="X33" s="73">
        <f t="shared" si="22"/>
        <v>-450</v>
      </c>
      <c r="Y33" s="73">
        <f t="shared" si="22"/>
        <v>-450</v>
      </c>
      <c r="Z33" s="73">
        <f t="shared" si="22"/>
        <v>-450</v>
      </c>
      <c r="AA33" s="73">
        <f t="shared" si="22"/>
        <v>-450</v>
      </c>
      <c r="AB33" s="73">
        <f t="shared" si="22"/>
        <v>-450</v>
      </c>
      <c r="AC33" s="73">
        <f t="shared" si="22"/>
        <v>-450</v>
      </c>
      <c r="AD33" s="73">
        <f t="shared" si="22"/>
        <v>-450</v>
      </c>
      <c r="AE33" s="73">
        <f t="shared" si="22"/>
        <v>-450</v>
      </c>
      <c r="AF33" s="73">
        <f t="shared" si="22"/>
        <v>-450</v>
      </c>
      <c r="AG33" s="73">
        <f t="shared" si="22"/>
        <v>-450</v>
      </c>
      <c r="AH33" s="73">
        <f t="shared" si="22"/>
        <v>-450</v>
      </c>
      <c r="AI33" s="73">
        <f t="shared" si="22"/>
        <v>-450</v>
      </c>
      <c r="AJ33" s="73">
        <f t="shared" si="22"/>
        <v>-450</v>
      </c>
      <c r="AK33" s="73">
        <f t="shared" si="22"/>
        <v>-450</v>
      </c>
      <c r="AL33" s="73">
        <f t="shared" si="22"/>
        <v>-450</v>
      </c>
      <c r="AM33" s="73">
        <f t="shared" si="22"/>
        <v>-450</v>
      </c>
      <c r="AN33" s="81"/>
      <c r="AO33" s="75">
        <f>SUM(D33:O33)</f>
        <v>-3825</v>
      </c>
      <c r="AP33" s="75">
        <f>SUM(P33:AA33)</f>
        <v>-5400</v>
      </c>
      <c r="AQ33" s="75">
        <f>SUM(AB33:AM33)</f>
        <v>-5400</v>
      </c>
    </row>
    <row r="34" spans="1:16370" hidden="1" outlineLevel="1">
      <c r="A34" s="70" t="s">
        <v>122</v>
      </c>
      <c r="B34" s="71" t="s">
        <v>78</v>
      </c>
      <c r="C34" s="72"/>
      <c r="D34" s="78">
        <f t="shared" ref="D34:AM34" si="23">SUM(D31:D33)</f>
        <v>-206.25000000000003</v>
      </c>
      <c r="E34" s="78">
        <f t="shared" si="23"/>
        <v>-184.0078125</v>
      </c>
      <c r="F34" s="78">
        <f t="shared" si="23"/>
        <v>-162.20583007812502</v>
      </c>
      <c r="G34" s="78">
        <f t="shared" si="23"/>
        <v>-140.75471736246743</v>
      </c>
      <c r="H34" s="78">
        <f t="shared" si="23"/>
        <v>-119.62754251229694</v>
      </c>
      <c r="I34" s="78">
        <f t="shared" si="23"/>
        <v>-98.79927889424016</v>
      </c>
      <c r="J34" s="78">
        <f t="shared" si="23"/>
        <v>-64.496833882156125</v>
      </c>
      <c r="K34" s="78">
        <f t="shared" si="23"/>
        <v>-60.348378054240811</v>
      </c>
      <c r="L34" s="78">
        <f t="shared" si="23"/>
        <v>-53.845978417868537</v>
      </c>
      <c r="M34" s="78">
        <f t="shared" si="23"/>
        <v>-45.179380422756822</v>
      </c>
      <c r="N34" s="78">
        <f t="shared" si="23"/>
        <v>-34.515756017478452</v>
      </c>
      <c r="O34" s="78">
        <f t="shared" si="23"/>
        <v>-22.00938716397286</v>
      </c>
      <c r="P34" s="78">
        <f t="shared" si="23"/>
        <v>19.697363432079328</v>
      </c>
      <c r="Q34" s="78">
        <f t="shared" si="23"/>
        <v>58.174173076854458</v>
      </c>
      <c r="R34" s="78">
        <f t="shared" si="23"/>
        <v>93.678450635267836</v>
      </c>
      <c r="S34" s="78">
        <f t="shared" si="23"/>
        <v>126.4398165681564</v>
      </c>
      <c r="T34" s="78">
        <f t="shared" si="23"/>
        <v>156.67017680015215</v>
      </c>
      <c r="U34" s="78">
        <f t="shared" si="23"/>
        <v>184.56506621413064</v>
      </c>
      <c r="V34" s="78">
        <f t="shared" si="23"/>
        <v>210.30491348841133</v>
      </c>
      <c r="W34" s="78">
        <f t="shared" si="23"/>
        <v>234.05620813851056</v>
      </c>
      <c r="X34" s="78">
        <f t="shared" si="23"/>
        <v>255.97257739837914</v>
      </c>
      <c r="Y34" s="78">
        <f t="shared" si="23"/>
        <v>276.19577990632934</v>
      </c>
      <c r="Z34" s="78">
        <f t="shared" si="23"/>
        <v>294.85662262294136</v>
      </c>
      <c r="AA34" s="78">
        <f t="shared" si="23"/>
        <v>312.07580691174007</v>
      </c>
      <c r="AB34" s="78">
        <f t="shared" si="23"/>
        <v>327.96470925523681</v>
      </c>
      <c r="AC34" s="78">
        <f t="shared" si="23"/>
        <v>342.62610165612205</v>
      </c>
      <c r="AD34" s="78">
        <f t="shared" si="23"/>
        <v>356.15481638326946</v>
      </c>
      <c r="AE34" s="78">
        <f t="shared" si="23"/>
        <v>368.63835936227861</v>
      </c>
      <c r="AF34" s="78">
        <f t="shared" si="23"/>
        <v>380.15747617801298</v>
      </c>
      <c r="AG34" s="78">
        <f t="shared" si="23"/>
        <v>390.78667435016996</v>
      </c>
      <c r="AH34" s="78">
        <f t="shared" si="23"/>
        <v>400.59470526003042</v>
      </c>
      <c r="AI34" s="78">
        <f t="shared" si="23"/>
        <v>409.64500884555764</v>
      </c>
      <c r="AJ34" s="78">
        <f t="shared" si="23"/>
        <v>417.99612394123506</v>
      </c>
      <c r="AK34" s="78">
        <f t="shared" si="23"/>
        <v>425.70206691676049</v>
      </c>
      <c r="AL34" s="78">
        <f t="shared" si="23"/>
        <v>432.81268106370044</v>
      </c>
      <c r="AM34" s="78">
        <f t="shared" si="23"/>
        <v>439.37395899000239</v>
      </c>
      <c r="AN34" s="81"/>
      <c r="AO34" s="75">
        <f>SUM(D34:O34)</f>
        <v>-1192.040895305603</v>
      </c>
      <c r="AP34" s="75">
        <f>SUM(P34:AA34)</f>
        <v>2222.6869551929526</v>
      </c>
      <c r="AQ34" s="75">
        <f>SUM(AB34:AM34)</f>
        <v>4692.4526822023763</v>
      </c>
    </row>
    <row r="35" spans="1:16370" collapsed="1"/>
    <row r="36" spans="1:16370">
      <c r="A36" s="83" t="s">
        <v>155</v>
      </c>
      <c r="B36" s="66" t="s">
        <v>76</v>
      </c>
      <c r="C36" s="101" t="s">
        <v>77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9"/>
      <c r="AO36" s="102"/>
      <c r="AP36" s="68"/>
      <c r="AQ36" s="68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  <c r="FK36" s="69"/>
      <c r="FL36" s="69"/>
      <c r="FM36" s="69"/>
      <c r="FN36" s="69"/>
      <c r="FO36" s="69"/>
      <c r="FP36" s="69"/>
      <c r="FQ36" s="69"/>
      <c r="FR36" s="69"/>
      <c r="FS36" s="69"/>
      <c r="FT36" s="69"/>
      <c r="FU36" s="69"/>
      <c r="FV36" s="69"/>
      <c r="FW36" s="69"/>
      <c r="FX36" s="69"/>
      <c r="FY36" s="69"/>
      <c r="FZ36" s="69"/>
      <c r="GA36" s="69"/>
      <c r="GB36" s="69"/>
      <c r="GC36" s="69"/>
      <c r="GD36" s="69"/>
      <c r="GE36" s="69"/>
      <c r="GF36" s="69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69"/>
      <c r="GX36" s="69"/>
      <c r="GY36" s="69"/>
      <c r="GZ36" s="69"/>
      <c r="HA36" s="69"/>
      <c r="HB36" s="69"/>
      <c r="HC36" s="69"/>
      <c r="HD36" s="69"/>
      <c r="HE36" s="69"/>
      <c r="HF36" s="69"/>
      <c r="HG36" s="69"/>
      <c r="HH36" s="69"/>
      <c r="HI36" s="69"/>
      <c r="HJ36" s="69"/>
      <c r="HK36" s="69"/>
      <c r="HL36" s="69"/>
      <c r="HM36" s="69"/>
      <c r="HN36" s="69"/>
      <c r="HO36" s="69"/>
      <c r="HP36" s="69"/>
      <c r="HQ36" s="69"/>
      <c r="HR36" s="69"/>
      <c r="HS36" s="69"/>
      <c r="HT36" s="69"/>
      <c r="HU36" s="69"/>
      <c r="HV36" s="69"/>
      <c r="HW36" s="69"/>
      <c r="HX36" s="69"/>
      <c r="HY36" s="69"/>
      <c r="HZ36" s="69"/>
      <c r="IA36" s="69"/>
      <c r="IB36" s="69"/>
      <c r="IC36" s="69"/>
      <c r="ID36" s="69"/>
      <c r="IE36" s="69"/>
      <c r="IF36" s="69"/>
      <c r="IG36" s="69"/>
      <c r="IH36" s="69"/>
      <c r="II36" s="69"/>
      <c r="IJ36" s="69"/>
      <c r="IK36" s="69"/>
      <c r="IL36" s="69"/>
      <c r="IM36" s="69"/>
      <c r="IN36" s="69"/>
      <c r="IO36" s="69"/>
      <c r="IP36" s="69"/>
      <c r="IQ36" s="69"/>
      <c r="IR36" s="69"/>
      <c r="IS36" s="69"/>
      <c r="IT36" s="69"/>
      <c r="IU36" s="69"/>
      <c r="IV36" s="69"/>
      <c r="IW36" s="69"/>
      <c r="IX36" s="69"/>
      <c r="IY36" s="69"/>
      <c r="IZ36" s="69"/>
      <c r="JA36" s="69"/>
      <c r="JB36" s="69"/>
      <c r="JC36" s="69"/>
      <c r="JD36" s="69"/>
      <c r="JE36" s="69"/>
      <c r="JF36" s="69"/>
      <c r="JG36" s="69"/>
      <c r="JH36" s="69"/>
      <c r="JI36" s="69"/>
      <c r="JJ36" s="69"/>
      <c r="JK36" s="69"/>
      <c r="JL36" s="69"/>
      <c r="JM36" s="69"/>
      <c r="JN36" s="69"/>
      <c r="JO36" s="69"/>
      <c r="JP36" s="69"/>
      <c r="JQ36" s="69"/>
      <c r="JR36" s="69"/>
      <c r="JS36" s="69"/>
      <c r="JT36" s="69"/>
      <c r="JU36" s="69"/>
      <c r="JV36" s="69"/>
      <c r="JW36" s="69"/>
      <c r="JX36" s="69"/>
      <c r="JY36" s="69"/>
      <c r="JZ36" s="69"/>
      <c r="KA36" s="69"/>
      <c r="KB36" s="69"/>
      <c r="KC36" s="69"/>
      <c r="KD36" s="69"/>
      <c r="KE36" s="69"/>
      <c r="KF36" s="69"/>
      <c r="KG36" s="69"/>
      <c r="KH36" s="69"/>
      <c r="KI36" s="69"/>
      <c r="KJ36" s="69"/>
      <c r="KK36" s="69"/>
      <c r="KL36" s="69"/>
      <c r="KM36" s="69"/>
      <c r="KN36" s="69"/>
      <c r="KO36" s="69"/>
      <c r="KP36" s="69"/>
      <c r="KQ36" s="69"/>
      <c r="KR36" s="69"/>
      <c r="KS36" s="69"/>
      <c r="KT36" s="69"/>
      <c r="KU36" s="69"/>
      <c r="KV36" s="69"/>
      <c r="KW36" s="69"/>
      <c r="KX36" s="69"/>
      <c r="KY36" s="69"/>
      <c r="KZ36" s="69"/>
      <c r="LA36" s="69"/>
      <c r="LB36" s="69"/>
      <c r="LC36" s="69"/>
      <c r="LD36" s="69"/>
      <c r="LE36" s="69"/>
      <c r="LF36" s="69"/>
      <c r="LG36" s="69"/>
      <c r="LH36" s="69"/>
      <c r="LI36" s="69"/>
      <c r="LJ36" s="69"/>
      <c r="LK36" s="69"/>
      <c r="LL36" s="69"/>
      <c r="LM36" s="69"/>
      <c r="LN36" s="69"/>
      <c r="LO36" s="69"/>
      <c r="LP36" s="69"/>
      <c r="LQ36" s="69"/>
      <c r="LR36" s="69"/>
      <c r="LS36" s="69"/>
      <c r="LT36" s="69"/>
      <c r="LU36" s="69"/>
      <c r="LV36" s="69"/>
      <c r="LW36" s="69"/>
      <c r="LX36" s="69"/>
      <c r="LY36" s="69"/>
      <c r="LZ36" s="69"/>
      <c r="MA36" s="69"/>
      <c r="MB36" s="69"/>
      <c r="MC36" s="69"/>
      <c r="MD36" s="69"/>
      <c r="ME36" s="69"/>
      <c r="MF36" s="69"/>
      <c r="MG36" s="69"/>
      <c r="MH36" s="69"/>
      <c r="MI36" s="69"/>
      <c r="MJ36" s="69"/>
      <c r="MK36" s="69"/>
      <c r="ML36" s="69"/>
      <c r="MM36" s="69"/>
      <c r="MN36" s="69"/>
      <c r="MO36" s="69"/>
      <c r="MP36" s="69"/>
      <c r="MQ36" s="69"/>
      <c r="MR36" s="69"/>
      <c r="MS36" s="69"/>
      <c r="MT36" s="69"/>
      <c r="MU36" s="69"/>
      <c r="MV36" s="69"/>
      <c r="MW36" s="69"/>
      <c r="MX36" s="69"/>
      <c r="MY36" s="69"/>
      <c r="MZ36" s="69"/>
      <c r="NA36" s="69"/>
      <c r="NB36" s="69"/>
      <c r="NC36" s="69"/>
      <c r="ND36" s="69"/>
      <c r="NE36" s="69"/>
      <c r="NF36" s="69"/>
      <c r="NG36" s="69"/>
      <c r="NH36" s="69"/>
      <c r="NI36" s="69"/>
      <c r="NJ36" s="69"/>
      <c r="NK36" s="69"/>
      <c r="NL36" s="69"/>
      <c r="NM36" s="69"/>
      <c r="NN36" s="69"/>
      <c r="NO36" s="69"/>
      <c r="NP36" s="69"/>
      <c r="NQ36" s="69"/>
      <c r="NR36" s="69"/>
      <c r="NS36" s="69"/>
      <c r="NT36" s="69"/>
      <c r="NU36" s="69"/>
      <c r="NV36" s="69"/>
      <c r="NW36" s="69"/>
      <c r="NX36" s="69"/>
      <c r="NY36" s="69"/>
      <c r="NZ36" s="69"/>
      <c r="OA36" s="69"/>
      <c r="OB36" s="69"/>
      <c r="OC36" s="69"/>
      <c r="OD36" s="69"/>
      <c r="OE36" s="69"/>
      <c r="OF36" s="69"/>
      <c r="OG36" s="69"/>
      <c r="OH36" s="69"/>
      <c r="OI36" s="69"/>
      <c r="OJ36" s="69"/>
      <c r="OK36" s="69"/>
      <c r="OL36" s="69"/>
      <c r="OM36" s="69"/>
      <c r="ON36" s="69"/>
      <c r="OO36" s="69"/>
      <c r="OP36" s="69"/>
      <c r="OQ36" s="69"/>
      <c r="OR36" s="69"/>
      <c r="OS36" s="69"/>
      <c r="OT36" s="69"/>
      <c r="OU36" s="69"/>
      <c r="OV36" s="69"/>
      <c r="OW36" s="69"/>
      <c r="OX36" s="69"/>
      <c r="OY36" s="69"/>
      <c r="OZ36" s="69"/>
      <c r="PA36" s="69"/>
      <c r="PB36" s="69"/>
      <c r="PC36" s="69"/>
      <c r="PD36" s="69"/>
      <c r="PE36" s="69"/>
      <c r="PF36" s="69"/>
      <c r="PG36" s="69"/>
      <c r="PH36" s="69"/>
      <c r="PI36" s="69"/>
      <c r="PJ36" s="69"/>
      <c r="PK36" s="69"/>
      <c r="PL36" s="69"/>
      <c r="PM36" s="69"/>
      <c r="PN36" s="69"/>
      <c r="PO36" s="69"/>
      <c r="PP36" s="69"/>
      <c r="PQ36" s="69"/>
      <c r="PR36" s="69"/>
      <c r="PS36" s="69"/>
      <c r="PT36" s="69"/>
      <c r="PU36" s="69"/>
      <c r="PV36" s="69"/>
      <c r="PW36" s="69"/>
      <c r="PX36" s="69"/>
      <c r="PY36" s="69"/>
      <c r="PZ36" s="69"/>
      <c r="QA36" s="69"/>
      <c r="QB36" s="69"/>
      <c r="QC36" s="69"/>
      <c r="QD36" s="69"/>
      <c r="QE36" s="69"/>
      <c r="QF36" s="69"/>
      <c r="QG36" s="69"/>
      <c r="QH36" s="69"/>
      <c r="QI36" s="69"/>
      <c r="QJ36" s="69"/>
      <c r="QK36" s="69"/>
      <c r="QL36" s="69"/>
      <c r="QM36" s="69"/>
      <c r="QN36" s="69"/>
      <c r="QO36" s="69"/>
      <c r="QP36" s="69"/>
      <c r="QQ36" s="69"/>
      <c r="QR36" s="69"/>
      <c r="QS36" s="69"/>
      <c r="QT36" s="69"/>
      <c r="QU36" s="69"/>
      <c r="QV36" s="69"/>
      <c r="QW36" s="69"/>
      <c r="QX36" s="69"/>
      <c r="QY36" s="69"/>
      <c r="QZ36" s="69"/>
      <c r="RA36" s="69"/>
      <c r="RB36" s="69"/>
      <c r="RC36" s="69"/>
      <c r="RD36" s="69"/>
      <c r="RE36" s="69"/>
      <c r="RF36" s="69"/>
      <c r="RG36" s="69"/>
      <c r="RH36" s="69"/>
      <c r="RI36" s="69"/>
      <c r="RJ36" s="69"/>
      <c r="RK36" s="69"/>
      <c r="RL36" s="69"/>
      <c r="RM36" s="69"/>
      <c r="RN36" s="69"/>
      <c r="RO36" s="69"/>
      <c r="RP36" s="69"/>
      <c r="RQ36" s="69"/>
      <c r="RR36" s="69"/>
      <c r="RS36" s="69"/>
      <c r="RT36" s="69"/>
      <c r="RU36" s="69"/>
      <c r="RV36" s="69"/>
      <c r="RW36" s="69"/>
      <c r="RX36" s="69"/>
      <c r="RY36" s="69"/>
      <c r="RZ36" s="69"/>
      <c r="SA36" s="69"/>
      <c r="SB36" s="69"/>
      <c r="SC36" s="69"/>
      <c r="SD36" s="69"/>
      <c r="SE36" s="69"/>
      <c r="SF36" s="69"/>
      <c r="SG36" s="69"/>
      <c r="SH36" s="69"/>
      <c r="SI36" s="69"/>
      <c r="SJ36" s="69"/>
      <c r="SK36" s="69"/>
      <c r="SL36" s="69"/>
      <c r="SM36" s="69"/>
      <c r="SN36" s="69"/>
      <c r="SO36" s="69"/>
      <c r="SP36" s="69"/>
      <c r="SQ36" s="69"/>
      <c r="SR36" s="69"/>
      <c r="SS36" s="69"/>
      <c r="ST36" s="69"/>
      <c r="SU36" s="69"/>
      <c r="SV36" s="69"/>
      <c r="SW36" s="69"/>
      <c r="SX36" s="69"/>
      <c r="SY36" s="69"/>
      <c r="SZ36" s="69"/>
      <c r="TA36" s="69"/>
      <c r="TB36" s="69"/>
      <c r="TC36" s="69"/>
      <c r="TD36" s="69"/>
      <c r="TE36" s="69"/>
      <c r="TF36" s="69"/>
      <c r="TG36" s="69"/>
      <c r="TH36" s="69"/>
      <c r="TI36" s="69"/>
      <c r="TJ36" s="69"/>
      <c r="TK36" s="69"/>
      <c r="TL36" s="69"/>
      <c r="TM36" s="69"/>
      <c r="TN36" s="69"/>
      <c r="TO36" s="69"/>
      <c r="TP36" s="69"/>
      <c r="TQ36" s="69"/>
      <c r="TR36" s="69"/>
      <c r="TS36" s="69"/>
      <c r="TT36" s="69"/>
      <c r="TU36" s="69"/>
      <c r="TV36" s="69"/>
      <c r="TW36" s="69"/>
      <c r="TX36" s="69"/>
      <c r="TY36" s="69"/>
      <c r="TZ36" s="69"/>
      <c r="UA36" s="69"/>
      <c r="UB36" s="69"/>
      <c r="UC36" s="69"/>
      <c r="UD36" s="69"/>
      <c r="UE36" s="69"/>
      <c r="UF36" s="69"/>
      <c r="UG36" s="69"/>
      <c r="UH36" s="69"/>
      <c r="UI36" s="69"/>
      <c r="UJ36" s="69"/>
      <c r="UK36" s="69"/>
      <c r="UL36" s="69"/>
      <c r="UM36" s="69"/>
      <c r="UN36" s="69"/>
      <c r="UO36" s="69"/>
      <c r="UP36" s="69"/>
      <c r="UQ36" s="69"/>
      <c r="UR36" s="69"/>
      <c r="US36" s="69"/>
      <c r="UT36" s="69"/>
      <c r="UU36" s="69"/>
      <c r="UV36" s="69"/>
      <c r="UW36" s="69"/>
      <c r="UX36" s="69"/>
      <c r="UY36" s="69"/>
      <c r="UZ36" s="69"/>
      <c r="VA36" s="69"/>
      <c r="VB36" s="69"/>
      <c r="VC36" s="69"/>
      <c r="VD36" s="69"/>
      <c r="VE36" s="69"/>
      <c r="VF36" s="69"/>
      <c r="VG36" s="69"/>
      <c r="VH36" s="69"/>
      <c r="VI36" s="69"/>
      <c r="VJ36" s="69"/>
      <c r="VK36" s="69"/>
      <c r="VL36" s="69"/>
      <c r="VM36" s="69"/>
      <c r="VN36" s="69"/>
      <c r="VO36" s="69"/>
      <c r="VP36" s="69"/>
      <c r="VQ36" s="69"/>
      <c r="VR36" s="69"/>
      <c r="VS36" s="69"/>
      <c r="VT36" s="69"/>
      <c r="VU36" s="69"/>
      <c r="VV36" s="69"/>
      <c r="VW36" s="69"/>
      <c r="VX36" s="69"/>
      <c r="VY36" s="69"/>
      <c r="VZ36" s="69"/>
      <c r="WA36" s="69"/>
      <c r="WB36" s="69"/>
      <c r="WC36" s="69"/>
      <c r="WD36" s="69"/>
      <c r="WE36" s="69"/>
      <c r="WF36" s="69"/>
      <c r="WG36" s="69"/>
      <c r="WH36" s="69"/>
      <c r="WI36" s="69"/>
      <c r="WJ36" s="69"/>
      <c r="WK36" s="69"/>
      <c r="WL36" s="69"/>
      <c r="WM36" s="69"/>
      <c r="WN36" s="69"/>
      <c r="WO36" s="69"/>
      <c r="WP36" s="69"/>
      <c r="WQ36" s="69"/>
      <c r="WR36" s="69"/>
      <c r="WS36" s="69"/>
      <c r="WT36" s="69"/>
      <c r="WU36" s="69"/>
      <c r="WV36" s="69"/>
      <c r="WW36" s="69"/>
      <c r="WX36" s="69"/>
      <c r="WY36" s="69"/>
      <c r="WZ36" s="69"/>
      <c r="XA36" s="69"/>
      <c r="XB36" s="69"/>
      <c r="XC36" s="69"/>
      <c r="XD36" s="69"/>
      <c r="XE36" s="69"/>
      <c r="XF36" s="69"/>
      <c r="XG36" s="69"/>
      <c r="XH36" s="69"/>
      <c r="XI36" s="69"/>
      <c r="XJ36" s="69"/>
      <c r="XK36" s="69"/>
      <c r="XL36" s="69"/>
      <c r="XM36" s="69"/>
      <c r="XN36" s="69"/>
      <c r="XO36" s="69"/>
      <c r="XP36" s="69"/>
      <c r="XQ36" s="69"/>
      <c r="XR36" s="69"/>
      <c r="XS36" s="69"/>
      <c r="XT36" s="69"/>
      <c r="XU36" s="69"/>
      <c r="XV36" s="69"/>
      <c r="XW36" s="69"/>
      <c r="XX36" s="69"/>
      <c r="XY36" s="69"/>
      <c r="XZ36" s="69"/>
      <c r="YA36" s="69"/>
      <c r="YB36" s="69"/>
      <c r="YC36" s="69"/>
      <c r="YD36" s="69"/>
      <c r="YE36" s="69"/>
      <c r="YF36" s="69"/>
      <c r="YG36" s="69"/>
      <c r="YH36" s="69"/>
      <c r="YI36" s="69"/>
      <c r="YJ36" s="69"/>
      <c r="YK36" s="69"/>
      <c r="YL36" s="69"/>
      <c r="YM36" s="69"/>
      <c r="YN36" s="69"/>
      <c r="YO36" s="69"/>
      <c r="YP36" s="69"/>
      <c r="YQ36" s="69"/>
      <c r="YR36" s="69"/>
      <c r="YS36" s="69"/>
      <c r="YT36" s="69"/>
      <c r="YU36" s="69"/>
      <c r="YV36" s="69"/>
      <c r="YW36" s="69"/>
      <c r="YX36" s="69"/>
      <c r="YY36" s="69"/>
      <c r="YZ36" s="69"/>
      <c r="ZA36" s="69"/>
      <c r="ZB36" s="69"/>
      <c r="ZC36" s="69"/>
      <c r="ZD36" s="69"/>
      <c r="ZE36" s="69"/>
      <c r="ZF36" s="69"/>
      <c r="ZG36" s="69"/>
      <c r="ZH36" s="69"/>
      <c r="ZI36" s="69"/>
      <c r="ZJ36" s="69"/>
      <c r="ZK36" s="69"/>
      <c r="ZL36" s="69"/>
      <c r="ZM36" s="69"/>
      <c r="ZN36" s="69"/>
      <c r="ZO36" s="69"/>
      <c r="ZP36" s="69"/>
      <c r="ZQ36" s="69"/>
      <c r="ZR36" s="69"/>
      <c r="ZS36" s="69"/>
      <c r="ZT36" s="69"/>
      <c r="ZU36" s="69"/>
      <c r="ZV36" s="69"/>
      <c r="ZW36" s="69"/>
      <c r="ZX36" s="69"/>
      <c r="ZY36" s="69"/>
      <c r="ZZ36" s="69"/>
      <c r="AAA36" s="69"/>
      <c r="AAB36" s="69"/>
      <c r="AAC36" s="69"/>
      <c r="AAD36" s="69"/>
      <c r="AAE36" s="69"/>
      <c r="AAF36" s="69"/>
      <c r="AAG36" s="69"/>
      <c r="AAH36" s="69"/>
      <c r="AAI36" s="69"/>
      <c r="AAJ36" s="69"/>
      <c r="AAK36" s="69"/>
      <c r="AAL36" s="69"/>
      <c r="AAM36" s="69"/>
      <c r="AAN36" s="69"/>
      <c r="AAO36" s="69"/>
      <c r="AAP36" s="69"/>
      <c r="AAQ36" s="69"/>
      <c r="AAR36" s="69"/>
      <c r="AAS36" s="69"/>
      <c r="AAT36" s="69"/>
      <c r="AAU36" s="69"/>
      <c r="AAV36" s="69"/>
      <c r="AAW36" s="69"/>
      <c r="AAX36" s="69"/>
      <c r="AAY36" s="69"/>
      <c r="AAZ36" s="69"/>
      <c r="ABA36" s="69"/>
      <c r="ABB36" s="69"/>
      <c r="ABC36" s="69"/>
      <c r="ABD36" s="69"/>
      <c r="ABE36" s="69"/>
      <c r="ABF36" s="69"/>
      <c r="ABG36" s="69"/>
      <c r="ABH36" s="69"/>
      <c r="ABI36" s="69"/>
      <c r="ABJ36" s="69"/>
      <c r="ABK36" s="69"/>
      <c r="ABL36" s="69"/>
      <c r="ABM36" s="69"/>
      <c r="ABN36" s="69"/>
      <c r="ABO36" s="69"/>
      <c r="ABP36" s="69"/>
      <c r="ABQ36" s="69"/>
      <c r="ABR36" s="69"/>
      <c r="ABS36" s="69"/>
      <c r="ABT36" s="69"/>
      <c r="ABU36" s="69"/>
      <c r="ABV36" s="69"/>
      <c r="ABW36" s="69"/>
      <c r="ABX36" s="69"/>
      <c r="ABY36" s="69"/>
      <c r="ABZ36" s="69"/>
      <c r="ACA36" s="69"/>
      <c r="ACB36" s="69"/>
      <c r="ACC36" s="69"/>
      <c r="ACD36" s="69"/>
      <c r="ACE36" s="69"/>
      <c r="ACF36" s="69"/>
      <c r="ACG36" s="69"/>
      <c r="ACH36" s="69"/>
      <c r="ACI36" s="69"/>
      <c r="ACJ36" s="69"/>
      <c r="ACK36" s="69"/>
      <c r="ACL36" s="69"/>
      <c r="ACM36" s="69"/>
      <c r="ACN36" s="69"/>
      <c r="ACO36" s="69"/>
      <c r="ACP36" s="69"/>
      <c r="ACQ36" s="69"/>
      <c r="ACR36" s="69"/>
      <c r="ACS36" s="69"/>
      <c r="ACT36" s="69"/>
      <c r="ACU36" s="69"/>
      <c r="ACV36" s="69"/>
      <c r="ACW36" s="69"/>
      <c r="ACX36" s="69"/>
      <c r="ACY36" s="69"/>
      <c r="ACZ36" s="69"/>
      <c r="ADA36" s="69"/>
      <c r="ADB36" s="69"/>
      <c r="ADC36" s="69"/>
      <c r="ADD36" s="69"/>
      <c r="ADE36" s="69"/>
      <c r="ADF36" s="69"/>
      <c r="ADG36" s="69"/>
      <c r="ADH36" s="69"/>
      <c r="ADI36" s="69"/>
      <c r="ADJ36" s="69"/>
      <c r="ADK36" s="69"/>
      <c r="ADL36" s="69"/>
      <c r="ADM36" s="69"/>
      <c r="ADN36" s="69"/>
      <c r="ADO36" s="69"/>
      <c r="ADP36" s="69"/>
      <c r="ADQ36" s="69"/>
      <c r="ADR36" s="69"/>
      <c r="ADS36" s="69"/>
      <c r="ADT36" s="69"/>
      <c r="ADU36" s="69"/>
      <c r="ADV36" s="69"/>
      <c r="ADW36" s="69"/>
      <c r="ADX36" s="69"/>
      <c r="ADY36" s="69"/>
      <c r="ADZ36" s="69"/>
      <c r="AEA36" s="69"/>
      <c r="AEB36" s="69"/>
      <c r="AEC36" s="69"/>
      <c r="AED36" s="69"/>
      <c r="AEE36" s="69"/>
      <c r="AEF36" s="69"/>
      <c r="AEG36" s="69"/>
      <c r="AEH36" s="69"/>
      <c r="AEI36" s="69"/>
      <c r="AEJ36" s="69"/>
      <c r="AEK36" s="69"/>
      <c r="AEL36" s="69"/>
      <c r="AEM36" s="69"/>
      <c r="AEN36" s="69"/>
      <c r="AEO36" s="69"/>
      <c r="AEP36" s="69"/>
      <c r="AEQ36" s="69"/>
      <c r="AER36" s="69"/>
      <c r="AES36" s="69"/>
      <c r="AET36" s="69"/>
      <c r="AEU36" s="69"/>
      <c r="AEV36" s="69"/>
      <c r="AEW36" s="69"/>
      <c r="AEX36" s="69"/>
      <c r="AEY36" s="69"/>
      <c r="AEZ36" s="69"/>
      <c r="AFA36" s="69"/>
      <c r="AFB36" s="69"/>
      <c r="AFC36" s="69"/>
      <c r="AFD36" s="69"/>
      <c r="AFE36" s="69"/>
      <c r="AFF36" s="69"/>
      <c r="AFG36" s="69"/>
      <c r="AFH36" s="69"/>
      <c r="AFI36" s="69"/>
      <c r="AFJ36" s="69"/>
      <c r="AFK36" s="69"/>
      <c r="AFL36" s="69"/>
      <c r="AFM36" s="69"/>
      <c r="AFN36" s="69"/>
      <c r="AFO36" s="69"/>
      <c r="AFP36" s="69"/>
      <c r="AFQ36" s="69"/>
      <c r="AFR36" s="69"/>
      <c r="AFS36" s="69"/>
      <c r="AFT36" s="69"/>
      <c r="AFU36" s="69"/>
      <c r="AFV36" s="69"/>
      <c r="AFW36" s="69"/>
      <c r="AFX36" s="69"/>
      <c r="AFY36" s="69"/>
      <c r="AFZ36" s="69"/>
      <c r="AGA36" s="69"/>
      <c r="AGB36" s="69"/>
      <c r="AGC36" s="69"/>
      <c r="AGD36" s="69"/>
      <c r="AGE36" s="69"/>
      <c r="AGF36" s="69"/>
      <c r="AGG36" s="69"/>
      <c r="AGH36" s="69"/>
      <c r="AGI36" s="69"/>
      <c r="AGJ36" s="69"/>
      <c r="AGK36" s="69"/>
      <c r="AGL36" s="69"/>
      <c r="AGM36" s="69"/>
      <c r="AGN36" s="69"/>
      <c r="AGO36" s="69"/>
      <c r="AGP36" s="69"/>
      <c r="AGQ36" s="69"/>
      <c r="AGR36" s="69"/>
      <c r="AGS36" s="69"/>
      <c r="AGT36" s="69"/>
      <c r="AGU36" s="69"/>
      <c r="AGV36" s="69"/>
      <c r="AGW36" s="69"/>
      <c r="AGX36" s="69"/>
      <c r="AGY36" s="69"/>
      <c r="AGZ36" s="69"/>
      <c r="AHA36" s="69"/>
      <c r="AHB36" s="69"/>
      <c r="AHC36" s="69"/>
      <c r="AHD36" s="69"/>
      <c r="AHE36" s="69"/>
      <c r="AHF36" s="69"/>
      <c r="AHG36" s="69"/>
      <c r="AHH36" s="69"/>
      <c r="AHI36" s="69"/>
      <c r="AHJ36" s="69"/>
      <c r="AHK36" s="69"/>
      <c r="AHL36" s="69"/>
      <c r="AHM36" s="69"/>
      <c r="AHN36" s="69"/>
      <c r="AHO36" s="69"/>
      <c r="AHP36" s="69"/>
      <c r="AHQ36" s="69"/>
      <c r="AHR36" s="69"/>
      <c r="AHS36" s="69"/>
      <c r="AHT36" s="69"/>
      <c r="AHU36" s="69"/>
      <c r="AHV36" s="69"/>
      <c r="AHW36" s="69"/>
      <c r="AHX36" s="69"/>
      <c r="AHY36" s="69"/>
      <c r="AHZ36" s="69"/>
      <c r="AIA36" s="69"/>
      <c r="AIB36" s="69"/>
      <c r="AIC36" s="69"/>
      <c r="AID36" s="69"/>
      <c r="AIE36" s="69"/>
      <c r="AIF36" s="69"/>
      <c r="AIG36" s="69"/>
      <c r="AIH36" s="69"/>
      <c r="AII36" s="69"/>
      <c r="AIJ36" s="69"/>
      <c r="AIK36" s="69"/>
      <c r="AIL36" s="69"/>
      <c r="AIM36" s="69"/>
      <c r="AIN36" s="69"/>
      <c r="AIO36" s="69"/>
      <c r="AIP36" s="69"/>
      <c r="AIQ36" s="69"/>
      <c r="AIR36" s="69"/>
      <c r="AIS36" s="69"/>
      <c r="AIT36" s="69"/>
      <c r="AIU36" s="69"/>
      <c r="AIV36" s="69"/>
      <c r="AIW36" s="69"/>
      <c r="AIX36" s="69"/>
      <c r="AIY36" s="69"/>
      <c r="AIZ36" s="69"/>
      <c r="AJA36" s="69"/>
      <c r="AJB36" s="69"/>
      <c r="AJC36" s="69"/>
      <c r="AJD36" s="69"/>
      <c r="AJE36" s="69"/>
      <c r="AJF36" s="69"/>
      <c r="AJG36" s="69"/>
      <c r="AJH36" s="69"/>
      <c r="AJI36" s="69"/>
      <c r="AJJ36" s="69"/>
      <c r="AJK36" s="69"/>
      <c r="AJL36" s="69"/>
      <c r="AJM36" s="69"/>
      <c r="AJN36" s="69"/>
      <c r="AJO36" s="69"/>
      <c r="AJP36" s="69"/>
      <c r="AJQ36" s="69"/>
      <c r="AJR36" s="69"/>
      <c r="AJS36" s="69"/>
      <c r="AJT36" s="69"/>
      <c r="AJU36" s="69"/>
      <c r="AJV36" s="69"/>
      <c r="AJW36" s="69"/>
      <c r="AJX36" s="69"/>
      <c r="AJY36" s="69"/>
      <c r="AJZ36" s="69"/>
      <c r="AKA36" s="69"/>
      <c r="AKB36" s="69"/>
      <c r="AKC36" s="69"/>
      <c r="AKD36" s="69"/>
      <c r="AKE36" s="69"/>
      <c r="AKF36" s="69"/>
      <c r="AKG36" s="69"/>
      <c r="AKH36" s="69"/>
      <c r="AKI36" s="69"/>
      <c r="AKJ36" s="69"/>
      <c r="AKK36" s="69"/>
      <c r="AKL36" s="69"/>
      <c r="AKM36" s="69"/>
      <c r="AKN36" s="69"/>
      <c r="AKO36" s="69"/>
      <c r="AKP36" s="69"/>
      <c r="AKQ36" s="69"/>
      <c r="AKR36" s="69"/>
      <c r="AKS36" s="69"/>
      <c r="AKT36" s="69"/>
      <c r="AKU36" s="69"/>
      <c r="AKV36" s="69"/>
      <c r="AKW36" s="69"/>
      <c r="AKX36" s="69"/>
      <c r="AKY36" s="69"/>
      <c r="AKZ36" s="69"/>
      <c r="ALA36" s="69"/>
      <c r="ALB36" s="69"/>
      <c r="ALC36" s="69"/>
      <c r="ALD36" s="69"/>
      <c r="ALE36" s="69"/>
      <c r="ALF36" s="69"/>
      <c r="ALG36" s="69"/>
      <c r="ALH36" s="69"/>
      <c r="ALI36" s="69"/>
      <c r="ALJ36" s="69"/>
      <c r="ALK36" s="69"/>
      <c r="ALL36" s="69"/>
      <c r="ALM36" s="69"/>
      <c r="ALN36" s="69"/>
      <c r="ALO36" s="69"/>
      <c r="ALP36" s="69"/>
      <c r="ALQ36" s="69"/>
      <c r="ALR36" s="69"/>
      <c r="ALS36" s="69"/>
      <c r="ALT36" s="69"/>
      <c r="ALU36" s="69"/>
      <c r="ALV36" s="69"/>
      <c r="ALW36" s="69"/>
      <c r="ALX36" s="69"/>
      <c r="ALY36" s="69"/>
      <c r="ALZ36" s="69"/>
      <c r="AMA36" s="69"/>
      <c r="AMB36" s="69"/>
      <c r="AMC36" s="69"/>
      <c r="AMD36" s="69"/>
      <c r="AME36" s="69"/>
      <c r="AMF36" s="69"/>
      <c r="AMG36" s="69"/>
      <c r="AMH36" s="69"/>
      <c r="AMI36" s="69"/>
      <c r="AMJ36" s="69"/>
      <c r="AMK36" s="69"/>
      <c r="AML36" s="69"/>
      <c r="AMM36" s="69"/>
      <c r="AMN36" s="69"/>
      <c r="AMO36" s="69"/>
      <c r="AMP36" s="69"/>
      <c r="AMQ36" s="69"/>
      <c r="AMR36" s="69"/>
      <c r="AMS36" s="69"/>
      <c r="AMT36" s="69"/>
      <c r="AMU36" s="69"/>
      <c r="AMV36" s="69"/>
      <c r="AMW36" s="69"/>
      <c r="AMX36" s="69"/>
      <c r="AMY36" s="69"/>
      <c r="AMZ36" s="69"/>
      <c r="ANA36" s="69"/>
      <c r="ANB36" s="69"/>
      <c r="ANC36" s="69"/>
      <c r="AND36" s="69"/>
      <c r="ANE36" s="69"/>
      <c r="ANF36" s="69"/>
      <c r="ANG36" s="69"/>
      <c r="ANH36" s="69"/>
      <c r="ANI36" s="69"/>
      <c r="ANJ36" s="69"/>
      <c r="ANK36" s="69"/>
      <c r="ANL36" s="69"/>
      <c r="ANM36" s="69"/>
      <c r="ANN36" s="69"/>
      <c r="ANO36" s="69"/>
      <c r="ANP36" s="69"/>
      <c r="ANQ36" s="69"/>
      <c r="ANR36" s="69"/>
      <c r="ANS36" s="69"/>
      <c r="ANT36" s="69"/>
      <c r="ANU36" s="69"/>
      <c r="ANV36" s="69"/>
      <c r="ANW36" s="69"/>
      <c r="ANX36" s="69"/>
      <c r="ANY36" s="69"/>
      <c r="ANZ36" s="69"/>
      <c r="AOA36" s="69"/>
      <c r="AOB36" s="69"/>
      <c r="AOC36" s="69"/>
      <c r="AOD36" s="69"/>
      <c r="AOE36" s="69"/>
      <c r="AOF36" s="69"/>
      <c r="AOG36" s="69"/>
      <c r="AOH36" s="69"/>
      <c r="AOI36" s="69"/>
      <c r="AOJ36" s="69"/>
      <c r="AOK36" s="69"/>
      <c r="AOL36" s="69"/>
      <c r="AOM36" s="69"/>
      <c r="AON36" s="69"/>
      <c r="AOO36" s="69"/>
      <c r="AOP36" s="69"/>
      <c r="AOQ36" s="69"/>
      <c r="AOR36" s="69"/>
      <c r="AOS36" s="69"/>
      <c r="AOT36" s="69"/>
      <c r="AOU36" s="69"/>
      <c r="AOV36" s="69"/>
      <c r="AOW36" s="69"/>
      <c r="AOX36" s="69"/>
      <c r="AOY36" s="69"/>
      <c r="AOZ36" s="69"/>
      <c r="APA36" s="69"/>
      <c r="APB36" s="69"/>
      <c r="APC36" s="69"/>
      <c r="APD36" s="69"/>
      <c r="APE36" s="69"/>
      <c r="APF36" s="69"/>
      <c r="APG36" s="69"/>
      <c r="APH36" s="69"/>
      <c r="API36" s="69"/>
      <c r="APJ36" s="69"/>
      <c r="APK36" s="69"/>
      <c r="APL36" s="69"/>
      <c r="APM36" s="69"/>
      <c r="APN36" s="69"/>
      <c r="APO36" s="69"/>
      <c r="APP36" s="69"/>
      <c r="APQ36" s="69"/>
      <c r="APR36" s="69"/>
      <c r="APS36" s="69"/>
      <c r="APT36" s="69"/>
      <c r="APU36" s="69"/>
      <c r="APV36" s="69"/>
      <c r="APW36" s="69"/>
      <c r="APX36" s="69"/>
      <c r="APY36" s="69"/>
      <c r="APZ36" s="69"/>
      <c r="AQA36" s="69"/>
      <c r="AQB36" s="69"/>
      <c r="AQC36" s="69"/>
      <c r="AQD36" s="69"/>
      <c r="AQE36" s="69"/>
      <c r="AQF36" s="69"/>
      <c r="AQG36" s="69"/>
      <c r="AQH36" s="69"/>
      <c r="AQI36" s="69"/>
      <c r="AQJ36" s="69"/>
      <c r="AQK36" s="69"/>
      <c r="AQL36" s="69"/>
      <c r="AQM36" s="69"/>
      <c r="AQN36" s="69"/>
      <c r="AQO36" s="69"/>
      <c r="AQP36" s="69"/>
      <c r="AQQ36" s="69"/>
      <c r="AQR36" s="69"/>
      <c r="AQS36" s="69"/>
      <c r="AQT36" s="69"/>
      <c r="AQU36" s="69"/>
      <c r="AQV36" s="69"/>
      <c r="AQW36" s="69"/>
      <c r="AQX36" s="69"/>
      <c r="AQY36" s="69"/>
      <c r="AQZ36" s="69"/>
      <c r="ARA36" s="69"/>
      <c r="ARB36" s="69"/>
      <c r="ARC36" s="69"/>
      <c r="ARD36" s="69"/>
      <c r="ARE36" s="69"/>
      <c r="ARF36" s="69"/>
      <c r="ARG36" s="69"/>
      <c r="ARH36" s="69"/>
      <c r="ARI36" s="69"/>
      <c r="ARJ36" s="69"/>
      <c r="ARK36" s="69"/>
      <c r="ARL36" s="69"/>
      <c r="ARM36" s="69"/>
      <c r="ARN36" s="69"/>
      <c r="ARO36" s="69"/>
      <c r="ARP36" s="69"/>
      <c r="ARQ36" s="69"/>
      <c r="ARR36" s="69"/>
      <c r="ARS36" s="69"/>
      <c r="ART36" s="69"/>
      <c r="ARU36" s="69"/>
      <c r="ARV36" s="69"/>
      <c r="ARW36" s="69"/>
      <c r="ARX36" s="69"/>
      <c r="ARY36" s="69"/>
      <c r="ARZ36" s="69"/>
      <c r="ASA36" s="69"/>
      <c r="ASB36" s="69"/>
      <c r="ASC36" s="69"/>
      <c r="ASD36" s="69"/>
      <c r="ASE36" s="69"/>
      <c r="ASF36" s="69"/>
      <c r="ASG36" s="69"/>
      <c r="ASH36" s="69"/>
      <c r="ASI36" s="69"/>
      <c r="ASJ36" s="69"/>
      <c r="ASK36" s="69"/>
      <c r="ASL36" s="69"/>
      <c r="ASM36" s="69"/>
      <c r="ASN36" s="69"/>
      <c r="ASO36" s="69"/>
      <c r="ASP36" s="69"/>
      <c r="ASQ36" s="69"/>
      <c r="ASR36" s="69"/>
      <c r="ASS36" s="69"/>
      <c r="AST36" s="69"/>
      <c r="ASU36" s="69"/>
      <c r="ASV36" s="69"/>
      <c r="ASW36" s="69"/>
      <c r="ASX36" s="69"/>
      <c r="ASY36" s="69"/>
      <c r="ASZ36" s="69"/>
      <c r="ATA36" s="69"/>
      <c r="ATB36" s="69"/>
      <c r="ATC36" s="69"/>
      <c r="ATD36" s="69"/>
      <c r="ATE36" s="69"/>
      <c r="ATF36" s="69"/>
      <c r="ATG36" s="69"/>
      <c r="ATH36" s="69"/>
      <c r="ATI36" s="69"/>
      <c r="ATJ36" s="69"/>
      <c r="ATK36" s="69"/>
      <c r="ATL36" s="69"/>
      <c r="ATM36" s="69"/>
      <c r="ATN36" s="69"/>
      <c r="ATO36" s="69"/>
      <c r="ATP36" s="69"/>
      <c r="ATQ36" s="69"/>
      <c r="ATR36" s="69"/>
      <c r="ATS36" s="69"/>
      <c r="ATT36" s="69"/>
      <c r="ATU36" s="69"/>
      <c r="ATV36" s="69"/>
      <c r="ATW36" s="69"/>
      <c r="ATX36" s="69"/>
      <c r="ATY36" s="69"/>
      <c r="ATZ36" s="69"/>
      <c r="AUA36" s="69"/>
      <c r="AUB36" s="69"/>
      <c r="AUC36" s="69"/>
      <c r="AUD36" s="69"/>
      <c r="AUE36" s="69"/>
      <c r="AUF36" s="69"/>
      <c r="AUG36" s="69"/>
      <c r="AUH36" s="69"/>
      <c r="AUI36" s="69"/>
      <c r="AUJ36" s="69"/>
      <c r="AUK36" s="69"/>
      <c r="AUL36" s="69"/>
      <c r="AUM36" s="69"/>
      <c r="AUN36" s="69"/>
      <c r="AUO36" s="69"/>
      <c r="AUP36" s="69"/>
      <c r="AUQ36" s="69"/>
      <c r="AUR36" s="69"/>
      <c r="AUS36" s="69"/>
      <c r="AUT36" s="69"/>
      <c r="AUU36" s="69"/>
      <c r="AUV36" s="69"/>
      <c r="AUW36" s="69"/>
      <c r="AUX36" s="69"/>
      <c r="AUY36" s="69"/>
      <c r="AUZ36" s="69"/>
      <c r="AVA36" s="69"/>
      <c r="AVB36" s="69"/>
      <c r="AVC36" s="69"/>
      <c r="AVD36" s="69"/>
      <c r="AVE36" s="69"/>
      <c r="AVF36" s="69"/>
      <c r="AVG36" s="69"/>
      <c r="AVH36" s="69"/>
      <c r="AVI36" s="69"/>
      <c r="AVJ36" s="69"/>
      <c r="AVK36" s="69"/>
      <c r="AVL36" s="69"/>
      <c r="AVM36" s="69"/>
      <c r="AVN36" s="69"/>
      <c r="AVO36" s="69"/>
      <c r="AVP36" s="69"/>
      <c r="AVQ36" s="69"/>
      <c r="AVR36" s="69"/>
      <c r="AVS36" s="69"/>
      <c r="AVT36" s="69"/>
      <c r="AVU36" s="69"/>
      <c r="AVV36" s="69"/>
      <c r="AVW36" s="69"/>
      <c r="AVX36" s="69"/>
      <c r="AVY36" s="69"/>
      <c r="AVZ36" s="69"/>
      <c r="AWA36" s="69"/>
      <c r="AWB36" s="69"/>
      <c r="AWC36" s="69"/>
      <c r="AWD36" s="69"/>
      <c r="AWE36" s="69"/>
      <c r="AWF36" s="69"/>
      <c r="AWG36" s="69"/>
      <c r="AWH36" s="69"/>
      <c r="AWI36" s="69"/>
      <c r="AWJ36" s="69"/>
      <c r="AWK36" s="69"/>
      <c r="AWL36" s="69"/>
      <c r="AWM36" s="69"/>
      <c r="AWN36" s="69"/>
      <c r="AWO36" s="69"/>
      <c r="AWP36" s="69"/>
      <c r="AWQ36" s="69"/>
      <c r="AWR36" s="69"/>
      <c r="AWS36" s="69"/>
      <c r="AWT36" s="69"/>
      <c r="AWU36" s="69"/>
      <c r="AWV36" s="69"/>
      <c r="AWW36" s="69"/>
      <c r="AWX36" s="69"/>
      <c r="AWY36" s="69"/>
      <c r="AWZ36" s="69"/>
      <c r="AXA36" s="69"/>
      <c r="AXB36" s="69"/>
      <c r="AXC36" s="69"/>
      <c r="AXD36" s="69"/>
      <c r="AXE36" s="69"/>
      <c r="AXF36" s="69"/>
      <c r="AXG36" s="69"/>
      <c r="AXH36" s="69"/>
      <c r="AXI36" s="69"/>
      <c r="AXJ36" s="69"/>
      <c r="AXK36" s="69"/>
      <c r="AXL36" s="69"/>
      <c r="AXM36" s="69"/>
      <c r="AXN36" s="69"/>
      <c r="AXO36" s="69"/>
      <c r="AXP36" s="69"/>
      <c r="AXQ36" s="69"/>
      <c r="AXR36" s="69"/>
      <c r="AXS36" s="69"/>
      <c r="AXT36" s="69"/>
      <c r="AXU36" s="69"/>
      <c r="AXV36" s="69"/>
      <c r="AXW36" s="69"/>
      <c r="AXX36" s="69"/>
      <c r="AXY36" s="69"/>
      <c r="AXZ36" s="69"/>
      <c r="AYA36" s="69"/>
      <c r="AYB36" s="69"/>
      <c r="AYC36" s="69"/>
      <c r="AYD36" s="69"/>
      <c r="AYE36" s="69"/>
      <c r="AYF36" s="69"/>
      <c r="AYG36" s="69"/>
      <c r="AYH36" s="69"/>
      <c r="AYI36" s="69"/>
      <c r="AYJ36" s="69"/>
      <c r="AYK36" s="69"/>
      <c r="AYL36" s="69"/>
      <c r="AYM36" s="69"/>
      <c r="AYN36" s="69"/>
      <c r="AYO36" s="69"/>
      <c r="AYP36" s="69"/>
      <c r="AYQ36" s="69"/>
      <c r="AYR36" s="69"/>
      <c r="AYS36" s="69"/>
      <c r="AYT36" s="69"/>
      <c r="AYU36" s="69"/>
      <c r="AYV36" s="69"/>
      <c r="AYW36" s="69"/>
      <c r="AYX36" s="69"/>
      <c r="AYY36" s="69"/>
      <c r="AYZ36" s="69"/>
      <c r="AZA36" s="69"/>
      <c r="AZB36" s="69"/>
      <c r="AZC36" s="69"/>
      <c r="AZD36" s="69"/>
      <c r="AZE36" s="69"/>
      <c r="AZF36" s="69"/>
      <c r="AZG36" s="69"/>
      <c r="AZH36" s="69"/>
      <c r="AZI36" s="69"/>
      <c r="AZJ36" s="69"/>
      <c r="AZK36" s="69"/>
      <c r="AZL36" s="69"/>
      <c r="AZM36" s="69"/>
      <c r="AZN36" s="69"/>
      <c r="AZO36" s="69"/>
      <c r="AZP36" s="69"/>
      <c r="AZQ36" s="69"/>
      <c r="AZR36" s="69"/>
      <c r="AZS36" s="69"/>
      <c r="AZT36" s="69"/>
      <c r="AZU36" s="69"/>
      <c r="AZV36" s="69"/>
      <c r="AZW36" s="69"/>
      <c r="AZX36" s="69"/>
      <c r="AZY36" s="69"/>
      <c r="AZZ36" s="69"/>
      <c r="BAA36" s="69"/>
      <c r="BAB36" s="69"/>
      <c r="BAC36" s="69"/>
      <c r="BAD36" s="69"/>
      <c r="BAE36" s="69"/>
      <c r="BAF36" s="69"/>
      <c r="BAG36" s="69"/>
      <c r="BAH36" s="69"/>
      <c r="BAI36" s="69"/>
      <c r="BAJ36" s="69"/>
      <c r="BAK36" s="69"/>
      <c r="BAL36" s="69"/>
      <c r="BAM36" s="69"/>
      <c r="BAN36" s="69"/>
      <c r="BAO36" s="69"/>
      <c r="BAP36" s="69"/>
      <c r="BAQ36" s="69"/>
      <c r="BAR36" s="69"/>
      <c r="BAS36" s="69"/>
      <c r="BAT36" s="69"/>
      <c r="BAU36" s="69"/>
      <c r="BAV36" s="69"/>
      <c r="BAW36" s="69"/>
      <c r="BAX36" s="69"/>
      <c r="BAY36" s="69"/>
      <c r="BAZ36" s="69"/>
      <c r="BBA36" s="69"/>
      <c r="BBB36" s="69"/>
      <c r="BBC36" s="69"/>
      <c r="BBD36" s="69"/>
      <c r="BBE36" s="69"/>
      <c r="BBF36" s="69"/>
      <c r="BBG36" s="69"/>
      <c r="BBH36" s="69"/>
      <c r="BBI36" s="69"/>
      <c r="BBJ36" s="69"/>
      <c r="BBK36" s="69"/>
      <c r="BBL36" s="69"/>
      <c r="BBM36" s="69"/>
      <c r="BBN36" s="69"/>
      <c r="BBO36" s="69"/>
      <c r="BBP36" s="69"/>
      <c r="BBQ36" s="69"/>
      <c r="BBR36" s="69"/>
      <c r="BBS36" s="69"/>
      <c r="BBT36" s="69"/>
      <c r="BBU36" s="69"/>
      <c r="BBV36" s="69"/>
      <c r="BBW36" s="69"/>
      <c r="BBX36" s="69"/>
      <c r="BBY36" s="69"/>
      <c r="BBZ36" s="69"/>
      <c r="BCA36" s="69"/>
      <c r="BCB36" s="69"/>
      <c r="BCC36" s="69"/>
      <c r="BCD36" s="69"/>
      <c r="BCE36" s="69"/>
      <c r="BCF36" s="69"/>
      <c r="BCG36" s="69"/>
      <c r="BCH36" s="69"/>
      <c r="BCI36" s="69"/>
      <c r="BCJ36" s="69"/>
      <c r="BCK36" s="69"/>
      <c r="BCL36" s="69"/>
      <c r="BCM36" s="69"/>
      <c r="BCN36" s="69"/>
      <c r="BCO36" s="69"/>
      <c r="BCP36" s="69"/>
      <c r="BCQ36" s="69"/>
      <c r="BCR36" s="69"/>
      <c r="BCS36" s="69"/>
      <c r="BCT36" s="69"/>
      <c r="BCU36" s="69"/>
      <c r="BCV36" s="69"/>
      <c r="BCW36" s="69"/>
      <c r="BCX36" s="69"/>
      <c r="BCY36" s="69"/>
      <c r="BCZ36" s="69"/>
      <c r="BDA36" s="69"/>
      <c r="BDB36" s="69"/>
      <c r="BDC36" s="69"/>
      <c r="BDD36" s="69"/>
      <c r="BDE36" s="69"/>
      <c r="BDF36" s="69"/>
      <c r="BDG36" s="69"/>
      <c r="BDH36" s="69"/>
      <c r="BDI36" s="69"/>
      <c r="BDJ36" s="69"/>
      <c r="BDK36" s="69"/>
      <c r="BDL36" s="69"/>
      <c r="BDM36" s="69"/>
      <c r="BDN36" s="69"/>
      <c r="BDO36" s="69"/>
      <c r="BDP36" s="69"/>
      <c r="BDQ36" s="69"/>
      <c r="BDR36" s="69"/>
      <c r="BDS36" s="69"/>
      <c r="BDT36" s="69"/>
      <c r="BDU36" s="69"/>
      <c r="BDV36" s="69"/>
      <c r="BDW36" s="69"/>
      <c r="BDX36" s="69"/>
      <c r="BDY36" s="69"/>
      <c r="BDZ36" s="69"/>
      <c r="BEA36" s="69"/>
      <c r="BEB36" s="69"/>
      <c r="BEC36" s="69"/>
      <c r="BED36" s="69"/>
      <c r="BEE36" s="69"/>
      <c r="BEF36" s="69"/>
      <c r="BEG36" s="69"/>
      <c r="BEH36" s="69"/>
      <c r="BEI36" s="69"/>
      <c r="BEJ36" s="69"/>
      <c r="BEK36" s="69"/>
      <c r="BEL36" s="69"/>
      <c r="BEM36" s="69"/>
      <c r="BEN36" s="69"/>
      <c r="BEO36" s="69"/>
      <c r="BEP36" s="69"/>
      <c r="BEQ36" s="69"/>
      <c r="BER36" s="69"/>
      <c r="BES36" s="69"/>
      <c r="BET36" s="69"/>
      <c r="BEU36" s="69"/>
      <c r="BEV36" s="69"/>
      <c r="BEW36" s="69"/>
      <c r="BEX36" s="69"/>
      <c r="BEY36" s="69"/>
      <c r="BEZ36" s="69"/>
      <c r="BFA36" s="69"/>
      <c r="BFB36" s="69"/>
      <c r="BFC36" s="69"/>
      <c r="BFD36" s="69"/>
      <c r="BFE36" s="69"/>
      <c r="BFF36" s="69"/>
      <c r="BFG36" s="69"/>
      <c r="BFH36" s="69"/>
      <c r="BFI36" s="69"/>
      <c r="BFJ36" s="69"/>
      <c r="BFK36" s="69"/>
      <c r="BFL36" s="69"/>
      <c r="BFM36" s="69"/>
      <c r="BFN36" s="69"/>
      <c r="BFO36" s="69"/>
      <c r="BFP36" s="69"/>
      <c r="BFQ36" s="69"/>
      <c r="BFR36" s="69"/>
      <c r="BFS36" s="69"/>
      <c r="BFT36" s="69"/>
      <c r="BFU36" s="69"/>
      <c r="BFV36" s="69"/>
      <c r="BFW36" s="69"/>
      <c r="BFX36" s="69"/>
      <c r="BFY36" s="69"/>
      <c r="BFZ36" s="69"/>
      <c r="BGA36" s="69"/>
      <c r="BGB36" s="69"/>
      <c r="BGC36" s="69"/>
      <c r="BGD36" s="69"/>
      <c r="BGE36" s="69"/>
      <c r="BGF36" s="69"/>
      <c r="BGG36" s="69"/>
      <c r="BGH36" s="69"/>
      <c r="BGI36" s="69"/>
      <c r="BGJ36" s="69"/>
      <c r="BGK36" s="69"/>
      <c r="BGL36" s="69"/>
      <c r="BGM36" s="69"/>
      <c r="BGN36" s="69"/>
      <c r="BGO36" s="69"/>
      <c r="BGP36" s="69"/>
      <c r="BGQ36" s="69"/>
      <c r="BGR36" s="69"/>
      <c r="BGS36" s="69"/>
      <c r="BGT36" s="69"/>
      <c r="BGU36" s="69"/>
      <c r="BGV36" s="69"/>
      <c r="BGW36" s="69"/>
      <c r="BGX36" s="69"/>
      <c r="BGY36" s="69"/>
      <c r="BGZ36" s="69"/>
      <c r="BHA36" s="69"/>
      <c r="BHB36" s="69"/>
      <c r="BHC36" s="69"/>
      <c r="BHD36" s="69"/>
      <c r="BHE36" s="69"/>
      <c r="BHF36" s="69"/>
      <c r="BHG36" s="69"/>
      <c r="BHH36" s="69"/>
      <c r="BHI36" s="69"/>
      <c r="BHJ36" s="69"/>
      <c r="BHK36" s="69"/>
      <c r="BHL36" s="69"/>
      <c r="BHM36" s="69"/>
      <c r="BHN36" s="69"/>
      <c r="BHO36" s="69"/>
      <c r="BHP36" s="69"/>
      <c r="BHQ36" s="69"/>
      <c r="BHR36" s="69"/>
      <c r="BHS36" s="69"/>
      <c r="BHT36" s="69"/>
      <c r="BHU36" s="69"/>
      <c r="BHV36" s="69"/>
      <c r="BHW36" s="69"/>
      <c r="BHX36" s="69"/>
      <c r="BHY36" s="69"/>
      <c r="BHZ36" s="69"/>
      <c r="BIA36" s="69"/>
      <c r="BIB36" s="69"/>
      <c r="BIC36" s="69"/>
      <c r="BID36" s="69"/>
      <c r="BIE36" s="69"/>
      <c r="BIF36" s="69"/>
      <c r="BIG36" s="69"/>
      <c r="BIH36" s="69"/>
      <c r="BII36" s="69"/>
      <c r="BIJ36" s="69"/>
      <c r="BIK36" s="69"/>
      <c r="BIL36" s="69"/>
      <c r="BIM36" s="69"/>
      <c r="BIN36" s="69"/>
      <c r="BIO36" s="69"/>
      <c r="BIP36" s="69"/>
      <c r="BIQ36" s="69"/>
      <c r="BIR36" s="69"/>
      <c r="BIS36" s="69"/>
      <c r="BIT36" s="69"/>
      <c r="BIU36" s="69"/>
      <c r="BIV36" s="69"/>
      <c r="BIW36" s="69"/>
      <c r="BIX36" s="69"/>
      <c r="BIY36" s="69"/>
      <c r="BIZ36" s="69"/>
      <c r="BJA36" s="69"/>
      <c r="BJB36" s="69"/>
      <c r="BJC36" s="69"/>
      <c r="BJD36" s="69"/>
      <c r="BJE36" s="69"/>
      <c r="BJF36" s="69"/>
      <c r="BJG36" s="69"/>
      <c r="BJH36" s="69"/>
      <c r="BJI36" s="69"/>
      <c r="BJJ36" s="69"/>
      <c r="BJK36" s="69"/>
      <c r="BJL36" s="69"/>
      <c r="BJM36" s="69"/>
      <c r="BJN36" s="69"/>
      <c r="BJO36" s="69"/>
      <c r="BJP36" s="69"/>
      <c r="BJQ36" s="69"/>
      <c r="BJR36" s="69"/>
      <c r="BJS36" s="69"/>
      <c r="BJT36" s="69"/>
      <c r="BJU36" s="69"/>
      <c r="BJV36" s="69"/>
      <c r="BJW36" s="69"/>
      <c r="BJX36" s="69"/>
      <c r="BJY36" s="69"/>
      <c r="BJZ36" s="69"/>
      <c r="BKA36" s="69"/>
      <c r="BKB36" s="69"/>
      <c r="BKC36" s="69"/>
      <c r="BKD36" s="69"/>
      <c r="BKE36" s="69"/>
      <c r="BKF36" s="69"/>
      <c r="BKG36" s="69"/>
      <c r="BKH36" s="69"/>
      <c r="BKI36" s="69"/>
      <c r="BKJ36" s="69"/>
      <c r="BKK36" s="69"/>
      <c r="BKL36" s="69"/>
      <c r="BKM36" s="69"/>
      <c r="BKN36" s="69"/>
      <c r="BKO36" s="69"/>
      <c r="BKP36" s="69"/>
      <c r="BKQ36" s="69"/>
      <c r="BKR36" s="69"/>
      <c r="BKS36" s="69"/>
      <c r="BKT36" s="69"/>
      <c r="BKU36" s="69"/>
      <c r="BKV36" s="69"/>
      <c r="BKW36" s="69"/>
      <c r="BKX36" s="69"/>
      <c r="BKY36" s="69"/>
      <c r="BKZ36" s="69"/>
      <c r="BLA36" s="69"/>
      <c r="BLB36" s="69"/>
      <c r="BLC36" s="69"/>
      <c r="BLD36" s="69"/>
      <c r="BLE36" s="69"/>
      <c r="BLF36" s="69"/>
      <c r="BLG36" s="69"/>
      <c r="BLH36" s="69"/>
      <c r="BLI36" s="69"/>
      <c r="BLJ36" s="69"/>
      <c r="BLK36" s="69"/>
      <c r="BLL36" s="69"/>
      <c r="BLM36" s="69"/>
      <c r="BLN36" s="69"/>
      <c r="BLO36" s="69"/>
      <c r="BLP36" s="69"/>
      <c r="BLQ36" s="69"/>
      <c r="BLR36" s="69"/>
      <c r="BLS36" s="69"/>
      <c r="BLT36" s="69"/>
      <c r="BLU36" s="69"/>
      <c r="BLV36" s="69"/>
      <c r="BLW36" s="69"/>
      <c r="BLX36" s="69"/>
      <c r="BLY36" s="69"/>
      <c r="BLZ36" s="69"/>
      <c r="BMA36" s="69"/>
      <c r="BMB36" s="69"/>
      <c r="BMC36" s="69"/>
      <c r="BMD36" s="69"/>
      <c r="BME36" s="69"/>
      <c r="BMF36" s="69"/>
      <c r="BMG36" s="69"/>
      <c r="BMH36" s="69"/>
      <c r="BMI36" s="69"/>
      <c r="BMJ36" s="69"/>
      <c r="BMK36" s="69"/>
      <c r="BML36" s="69"/>
      <c r="BMM36" s="69"/>
      <c r="BMN36" s="69"/>
      <c r="BMO36" s="69"/>
      <c r="BMP36" s="69"/>
      <c r="BMQ36" s="69"/>
      <c r="BMR36" s="69"/>
      <c r="BMS36" s="69"/>
      <c r="BMT36" s="69"/>
      <c r="BMU36" s="69"/>
      <c r="BMV36" s="69"/>
      <c r="BMW36" s="69"/>
      <c r="BMX36" s="69"/>
      <c r="BMY36" s="69"/>
      <c r="BMZ36" s="69"/>
      <c r="BNA36" s="69"/>
      <c r="BNB36" s="69"/>
      <c r="BNC36" s="69"/>
      <c r="BND36" s="69"/>
      <c r="BNE36" s="69"/>
      <c r="BNF36" s="69"/>
      <c r="BNG36" s="69"/>
      <c r="BNH36" s="69"/>
      <c r="BNI36" s="69"/>
      <c r="BNJ36" s="69"/>
      <c r="BNK36" s="69"/>
      <c r="BNL36" s="69"/>
      <c r="BNM36" s="69"/>
      <c r="BNN36" s="69"/>
      <c r="BNO36" s="69"/>
      <c r="BNP36" s="69"/>
      <c r="BNQ36" s="69"/>
      <c r="BNR36" s="69"/>
      <c r="BNS36" s="69"/>
      <c r="BNT36" s="69"/>
      <c r="BNU36" s="69"/>
      <c r="BNV36" s="69"/>
      <c r="BNW36" s="69"/>
      <c r="BNX36" s="69"/>
      <c r="BNY36" s="69"/>
      <c r="BNZ36" s="69"/>
      <c r="BOA36" s="69"/>
      <c r="BOB36" s="69"/>
      <c r="BOC36" s="69"/>
      <c r="BOD36" s="69"/>
      <c r="BOE36" s="69"/>
      <c r="BOF36" s="69"/>
      <c r="BOG36" s="69"/>
      <c r="BOH36" s="69"/>
      <c r="BOI36" s="69"/>
      <c r="BOJ36" s="69"/>
      <c r="BOK36" s="69"/>
      <c r="BOL36" s="69"/>
      <c r="BOM36" s="69"/>
      <c r="BON36" s="69"/>
      <c r="BOO36" s="69"/>
      <c r="BOP36" s="69"/>
      <c r="BOQ36" s="69"/>
      <c r="BOR36" s="69"/>
      <c r="BOS36" s="69"/>
      <c r="BOT36" s="69"/>
      <c r="BOU36" s="69"/>
      <c r="BOV36" s="69"/>
      <c r="BOW36" s="69"/>
      <c r="BOX36" s="69"/>
      <c r="BOY36" s="69"/>
      <c r="BOZ36" s="69"/>
      <c r="BPA36" s="69"/>
      <c r="BPB36" s="69"/>
      <c r="BPC36" s="69"/>
      <c r="BPD36" s="69"/>
      <c r="BPE36" s="69"/>
      <c r="BPF36" s="69"/>
      <c r="BPG36" s="69"/>
      <c r="BPH36" s="69"/>
      <c r="BPI36" s="69"/>
      <c r="BPJ36" s="69"/>
      <c r="BPK36" s="69"/>
      <c r="BPL36" s="69"/>
      <c r="BPM36" s="69"/>
      <c r="BPN36" s="69"/>
      <c r="BPO36" s="69"/>
      <c r="BPP36" s="69"/>
      <c r="BPQ36" s="69"/>
      <c r="BPR36" s="69"/>
      <c r="BPS36" s="69"/>
      <c r="BPT36" s="69"/>
      <c r="BPU36" s="69"/>
      <c r="BPV36" s="69"/>
      <c r="BPW36" s="69"/>
      <c r="BPX36" s="69"/>
      <c r="BPY36" s="69"/>
      <c r="BPZ36" s="69"/>
      <c r="BQA36" s="69"/>
      <c r="BQB36" s="69"/>
      <c r="BQC36" s="69"/>
      <c r="BQD36" s="69"/>
      <c r="BQE36" s="69"/>
      <c r="BQF36" s="69"/>
      <c r="BQG36" s="69"/>
      <c r="BQH36" s="69"/>
      <c r="BQI36" s="69"/>
      <c r="BQJ36" s="69"/>
      <c r="BQK36" s="69"/>
      <c r="BQL36" s="69"/>
      <c r="BQM36" s="69"/>
      <c r="BQN36" s="69"/>
      <c r="BQO36" s="69"/>
      <c r="BQP36" s="69"/>
      <c r="BQQ36" s="69"/>
      <c r="BQR36" s="69"/>
      <c r="BQS36" s="69"/>
      <c r="BQT36" s="69"/>
      <c r="BQU36" s="69"/>
      <c r="BQV36" s="69"/>
      <c r="BQW36" s="69"/>
      <c r="BQX36" s="69"/>
      <c r="BQY36" s="69"/>
      <c r="BQZ36" s="69"/>
      <c r="BRA36" s="69"/>
      <c r="BRB36" s="69"/>
      <c r="BRC36" s="69"/>
      <c r="BRD36" s="69"/>
      <c r="BRE36" s="69"/>
      <c r="BRF36" s="69"/>
      <c r="BRG36" s="69"/>
      <c r="BRH36" s="69"/>
      <c r="BRI36" s="69"/>
      <c r="BRJ36" s="69"/>
      <c r="BRK36" s="69"/>
      <c r="BRL36" s="69"/>
      <c r="BRM36" s="69"/>
      <c r="BRN36" s="69"/>
      <c r="BRO36" s="69"/>
      <c r="BRP36" s="69"/>
      <c r="BRQ36" s="69"/>
      <c r="BRR36" s="69"/>
      <c r="BRS36" s="69"/>
      <c r="BRT36" s="69"/>
      <c r="BRU36" s="69"/>
      <c r="BRV36" s="69"/>
      <c r="BRW36" s="69"/>
      <c r="BRX36" s="69"/>
      <c r="BRY36" s="69"/>
      <c r="BRZ36" s="69"/>
      <c r="BSA36" s="69"/>
      <c r="BSB36" s="69"/>
      <c r="BSC36" s="69"/>
      <c r="BSD36" s="69"/>
      <c r="BSE36" s="69"/>
      <c r="BSF36" s="69"/>
      <c r="BSG36" s="69"/>
      <c r="BSH36" s="69"/>
      <c r="BSI36" s="69"/>
      <c r="BSJ36" s="69"/>
      <c r="BSK36" s="69"/>
      <c r="BSL36" s="69"/>
      <c r="BSM36" s="69"/>
      <c r="BSN36" s="69"/>
      <c r="BSO36" s="69"/>
      <c r="BSP36" s="69"/>
      <c r="BSQ36" s="69"/>
      <c r="BSR36" s="69"/>
      <c r="BSS36" s="69"/>
      <c r="BST36" s="69"/>
      <c r="BSU36" s="69"/>
      <c r="BSV36" s="69"/>
      <c r="BSW36" s="69"/>
      <c r="BSX36" s="69"/>
      <c r="BSY36" s="69"/>
      <c r="BSZ36" s="69"/>
      <c r="BTA36" s="69"/>
      <c r="BTB36" s="69"/>
      <c r="BTC36" s="69"/>
      <c r="BTD36" s="69"/>
      <c r="BTE36" s="69"/>
      <c r="BTF36" s="69"/>
      <c r="BTG36" s="69"/>
      <c r="BTH36" s="69"/>
      <c r="BTI36" s="69"/>
      <c r="BTJ36" s="69"/>
      <c r="BTK36" s="69"/>
      <c r="BTL36" s="69"/>
      <c r="BTM36" s="69"/>
      <c r="BTN36" s="69"/>
      <c r="BTO36" s="69"/>
      <c r="BTP36" s="69"/>
      <c r="BTQ36" s="69"/>
      <c r="BTR36" s="69"/>
      <c r="BTS36" s="69"/>
      <c r="BTT36" s="69"/>
      <c r="BTU36" s="69"/>
      <c r="BTV36" s="69"/>
      <c r="BTW36" s="69"/>
      <c r="BTX36" s="69"/>
      <c r="BTY36" s="69"/>
      <c r="BTZ36" s="69"/>
      <c r="BUA36" s="69"/>
      <c r="BUB36" s="69"/>
      <c r="BUC36" s="69"/>
      <c r="BUD36" s="69"/>
      <c r="BUE36" s="69"/>
      <c r="BUF36" s="69"/>
      <c r="BUG36" s="69"/>
      <c r="BUH36" s="69"/>
      <c r="BUI36" s="69"/>
      <c r="BUJ36" s="69"/>
      <c r="BUK36" s="69"/>
      <c r="BUL36" s="69"/>
      <c r="BUM36" s="69"/>
      <c r="BUN36" s="69"/>
      <c r="BUO36" s="69"/>
      <c r="BUP36" s="69"/>
      <c r="BUQ36" s="69"/>
      <c r="BUR36" s="69"/>
      <c r="BUS36" s="69"/>
      <c r="BUT36" s="69"/>
      <c r="BUU36" s="69"/>
      <c r="BUV36" s="69"/>
      <c r="BUW36" s="69"/>
      <c r="BUX36" s="69"/>
      <c r="BUY36" s="69"/>
      <c r="BUZ36" s="69"/>
      <c r="BVA36" s="69"/>
      <c r="BVB36" s="69"/>
      <c r="BVC36" s="69"/>
      <c r="BVD36" s="69"/>
      <c r="BVE36" s="69"/>
      <c r="BVF36" s="69"/>
      <c r="BVG36" s="69"/>
      <c r="BVH36" s="69"/>
      <c r="BVI36" s="69"/>
      <c r="BVJ36" s="69"/>
      <c r="BVK36" s="69"/>
      <c r="BVL36" s="69"/>
      <c r="BVM36" s="69"/>
      <c r="BVN36" s="69"/>
      <c r="BVO36" s="69"/>
      <c r="BVP36" s="69"/>
      <c r="BVQ36" s="69"/>
      <c r="BVR36" s="69"/>
      <c r="BVS36" s="69"/>
      <c r="BVT36" s="69"/>
      <c r="BVU36" s="69"/>
      <c r="BVV36" s="69"/>
      <c r="BVW36" s="69"/>
      <c r="BVX36" s="69"/>
      <c r="BVY36" s="69"/>
      <c r="BVZ36" s="69"/>
      <c r="BWA36" s="69"/>
      <c r="BWB36" s="69"/>
      <c r="BWC36" s="69"/>
      <c r="BWD36" s="69"/>
      <c r="BWE36" s="69"/>
      <c r="BWF36" s="69"/>
      <c r="BWG36" s="69"/>
      <c r="BWH36" s="69"/>
      <c r="BWI36" s="69"/>
      <c r="BWJ36" s="69"/>
      <c r="BWK36" s="69"/>
      <c r="BWL36" s="69"/>
      <c r="BWM36" s="69"/>
      <c r="BWN36" s="69"/>
      <c r="BWO36" s="69"/>
      <c r="BWP36" s="69"/>
      <c r="BWQ36" s="69"/>
      <c r="BWR36" s="69"/>
      <c r="BWS36" s="69"/>
      <c r="BWT36" s="69"/>
      <c r="BWU36" s="69"/>
      <c r="BWV36" s="69"/>
      <c r="BWW36" s="69"/>
      <c r="BWX36" s="69"/>
      <c r="BWY36" s="69"/>
      <c r="BWZ36" s="69"/>
      <c r="BXA36" s="69"/>
      <c r="BXB36" s="69"/>
      <c r="BXC36" s="69"/>
      <c r="BXD36" s="69"/>
      <c r="BXE36" s="69"/>
      <c r="BXF36" s="69"/>
      <c r="BXG36" s="69"/>
      <c r="BXH36" s="69"/>
      <c r="BXI36" s="69"/>
      <c r="BXJ36" s="69"/>
      <c r="BXK36" s="69"/>
      <c r="BXL36" s="69"/>
      <c r="BXM36" s="69"/>
      <c r="BXN36" s="69"/>
      <c r="BXO36" s="69"/>
      <c r="BXP36" s="69"/>
      <c r="BXQ36" s="69"/>
      <c r="BXR36" s="69"/>
      <c r="BXS36" s="69"/>
      <c r="BXT36" s="69"/>
      <c r="BXU36" s="69"/>
      <c r="BXV36" s="69"/>
      <c r="BXW36" s="69"/>
      <c r="BXX36" s="69"/>
      <c r="BXY36" s="69"/>
      <c r="BXZ36" s="69"/>
      <c r="BYA36" s="69"/>
      <c r="BYB36" s="69"/>
      <c r="BYC36" s="69"/>
      <c r="BYD36" s="69"/>
      <c r="BYE36" s="69"/>
      <c r="BYF36" s="69"/>
      <c r="BYG36" s="69"/>
      <c r="BYH36" s="69"/>
      <c r="BYI36" s="69"/>
      <c r="BYJ36" s="69"/>
      <c r="BYK36" s="69"/>
      <c r="BYL36" s="69"/>
      <c r="BYM36" s="69"/>
      <c r="BYN36" s="69"/>
      <c r="BYO36" s="69"/>
      <c r="BYP36" s="69"/>
      <c r="BYQ36" s="69"/>
      <c r="BYR36" s="69"/>
      <c r="BYS36" s="69"/>
      <c r="BYT36" s="69"/>
      <c r="BYU36" s="69"/>
      <c r="BYV36" s="69"/>
      <c r="BYW36" s="69"/>
      <c r="BYX36" s="69"/>
      <c r="BYY36" s="69"/>
      <c r="BYZ36" s="69"/>
      <c r="BZA36" s="69"/>
      <c r="BZB36" s="69"/>
      <c r="BZC36" s="69"/>
      <c r="BZD36" s="69"/>
      <c r="BZE36" s="69"/>
      <c r="BZF36" s="69"/>
      <c r="BZG36" s="69"/>
      <c r="BZH36" s="69"/>
      <c r="BZI36" s="69"/>
      <c r="BZJ36" s="69"/>
      <c r="BZK36" s="69"/>
      <c r="BZL36" s="69"/>
      <c r="BZM36" s="69"/>
      <c r="BZN36" s="69"/>
      <c r="BZO36" s="69"/>
      <c r="BZP36" s="69"/>
      <c r="BZQ36" s="69"/>
      <c r="BZR36" s="69"/>
      <c r="BZS36" s="69"/>
      <c r="BZT36" s="69"/>
      <c r="BZU36" s="69"/>
      <c r="BZV36" s="69"/>
      <c r="BZW36" s="69"/>
      <c r="BZX36" s="69"/>
      <c r="BZY36" s="69"/>
      <c r="BZZ36" s="69"/>
      <c r="CAA36" s="69"/>
      <c r="CAB36" s="69"/>
      <c r="CAC36" s="69"/>
      <c r="CAD36" s="69"/>
      <c r="CAE36" s="69"/>
      <c r="CAF36" s="69"/>
      <c r="CAG36" s="69"/>
      <c r="CAH36" s="69"/>
      <c r="CAI36" s="69"/>
      <c r="CAJ36" s="69"/>
      <c r="CAK36" s="69"/>
      <c r="CAL36" s="69"/>
      <c r="CAM36" s="69"/>
      <c r="CAN36" s="69"/>
      <c r="CAO36" s="69"/>
      <c r="CAP36" s="69"/>
      <c r="CAQ36" s="69"/>
      <c r="CAR36" s="69"/>
      <c r="CAS36" s="69"/>
      <c r="CAT36" s="69"/>
      <c r="CAU36" s="69"/>
      <c r="CAV36" s="69"/>
      <c r="CAW36" s="69"/>
      <c r="CAX36" s="69"/>
      <c r="CAY36" s="69"/>
      <c r="CAZ36" s="69"/>
      <c r="CBA36" s="69"/>
      <c r="CBB36" s="69"/>
      <c r="CBC36" s="69"/>
      <c r="CBD36" s="69"/>
      <c r="CBE36" s="69"/>
      <c r="CBF36" s="69"/>
      <c r="CBG36" s="69"/>
      <c r="CBH36" s="69"/>
      <c r="CBI36" s="69"/>
      <c r="CBJ36" s="69"/>
      <c r="CBK36" s="69"/>
      <c r="CBL36" s="69"/>
      <c r="CBM36" s="69"/>
      <c r="CBN36" s="69"/>
      <c r="CBO36" s="69"/>
      <c r="CBP36" s="69"/>
      <c r="CBQ36" s="69"/>
      <c r="CBR36" s="69"/>
      <c r="CBS36" s="69"/>
      <c r="CBT36" s="69"/>
      <c r="CBU36" s="69"/>
      <c r="CBV36" s="69"/>
      <c r="CBW36" s="69"/>
      <c r="CBX36" s="69"/>
      <c r="CBY36" s="69"/>
      <c r="CBZ36" s="69"/>
      <c r="CCA36" s="69"/>
      <c r="CCB36" s="69"/>
      <c r="CCC36" s="69"/>
      <c r="CCD36" s="69"/>
      <c r="CCE36" s="69"/>
      <c r="CCF36" s="69"/>
      <c r="CCG36" s="69"/>
      <c r="CCH36" s="69"/>
      <c r="CCI36" s="69"/>
      <c r="CCJ36" s="69"/>
      <c r="CCK36" s="69"/>
      <c r="CCL36" s="69"/>
      <c r="CCM36" s="69"/>
      <c r="CCN36" s="69"/>
      <c r="CCO36" s="69"/>
      <c r="CCP36" s="69"/>
      <c r="CCQ36" s="69"/>
      <c r="CCR36" s="69"/>
      <c r="CCS36" s="69"/>
      <c r="CCT36" s="69"/>
      <c r="CCU36" s="69"/>
      <c r="CCV36" s="69"/>
      <c r="CCW36" s="69"/>
      <c r="CCX36" s="69"/>
      <c r="CCY36" s="69"/>
      <c r="CCZ36" s="69"/>
      <c r="CDA36" s="69"/>
      <c r="CDB36" s="69"/>
      <c r="CDC36" s="69"/>
      <c r="CDD36" s="69"/>
      <c r="CDE36" s="69"/>
      <c r="CDF36" s="69"/>
      <c r="CDG36" s="69"/>
      <c r="CDH36" s="69"/>
      <c r="CDI36" s="69"/>
      <c r="CDJ36" s="69"/>
      <c r="CDK36" s="69"/>
      <c r="CDL36" s="69"/>
      <c r="CDM36" s="69"/>
      <c r="CDN36" s="69"/>
      <c r="CDO36" s="69"/>
      <c r="CDP36" s="69"/>
      <c r="CDQ36" s="69"/>
      <c r="CDR36" s="69"/>
      <c r="CDS36" s="69"/>
      <c r="CDT36" s="69"/>
      <c r="CDU36" s="69"/>
      <c r="CDV36" s="69"/>
      <c r="CDW36" s="69"/>
      <c r="CDX36" s="69"/>
      <c r="CDY36" s="69"/>
      <c r="CDZ36" s="69"/>
      <c r="CEA36" s="69"/>
      <c r="CEB36" s="69"/>
      <c r="CEC36" s="69"/>
      <c r="CED36" s="69"/>
      <c r="CEE36" s="69"/>
      <c r="CEF36" s="69"/>
      <c r="CEG36" s="69"/>
      <c r="CEH36" s="69"/>
      <c r="CEI36" s="69"/>
      <c r="CEJ36" s="69"/>
      <c r="CEK36" s="69"/>
      <c r="CEL36" s="69"/>
      <c r="CEM36" s="69"/>
      <c r="CEN36" s="69"/>
      <c r="CEO36" s="69"/>
      <c r="CEP36" s="69"/>
      <c r="CEQ36" s="69"/>
      <c r="CER36" s="69"/>
      <c r="CES36" s="69"/>
      <c r="CET36" s="69"/>
      <c r="CEU36" s="69"/>
      <c r="CEV36" s="69"/>
      <c r="CEW36" s="69"/>
      <c r="CEX36" s="69"/>
      <c r="CEY36" s="69"/>
      <c r="CEZ36" s="69"/>
      <c r="CFA36" s="69"/>
      <c r="CFB36" s="69"/>
      <c r="CFC36" s="69"/>
      <c r="CFD36" s="69"/>
      <c r="CFE36" s="69"/>
      <c r="CFF36" s="69"/>
      <c r="CFG36" s="69"/>
      <c r="CFH36" s="69"/>
      <c r="CFI36" s="69"/>
      <c r="CFJ36" s="69"/>
      <c r="CFK36" s="69"/>
      <c r="CFL36" s="69"/>
      <c r="CFM36" s="69"/>
      <c r="CFN36" s="69"/>
      <c r="CFO36" s="69"/>
      <c r="CFP36" s="69"/>
      <c r="CFQ36" s="69"/>
      <c r="CFR36" s="69"/>
      <c r="CFS36" s="69"/>
      <c r="CFT36" s="69"/>
      <c r="CFU36" s="69"/>
      <c r="CFV36" s="69"/>
      <c r="CFW36" s="69"/>
      <c r="CFX36" s="69"/>
      <c r="CFY36" s="69"/>
      <c r="CFZ36" s="69"/>
      <c r="CGA36" s="69"/>
      <c r="CGB36" s="69"/>
      <c r="CGC36" s="69"/>
      <c r="CGD36" s="69"/>
      <c r="CGE36" s="69"/>
      <c r="CGF36" s="69"/>
      <c r="CGG36" s="69"/>
      <c r="CGH36" s="69"/>
      <c r="CGI36" s="69"/>
      <c r="CGJ36" s="69"/>
      <c r="CGK36" s="69"/>
      <c r="CGL36" s="69"/>
      <c r="CGM36" s="69"/>
      <c r="CGN36" s="69"/>
      <c r="CGO36" s="69"/>
      <c r="CGP36" s="69"/>
      <c r="CGQ36" s="69"/>
      <c r="CGR36" s="69"/>
      <c r="CGS36" s="69"/>
      <c r="CGT36" s="69"/>
      <c r="CGU36" s="69"/>
      <c r="CGV36" s="69"/>
      <c r="CGW36" s="69"/>
      <c r="CGX36" s="69"/>
      <c r="CGY36" s="69"/>
      <c r="CGZ36" s="69"/>
      <c r="CHA36" s="69"/>
      <c r="CHB36" s="69"/>
      <c r="CHC36" s="69"/>
      <c r="CHD36" s="69"/>
      <c r="CHE36" s="69"/>
      <c r="CHF36" s="69"/>
      <c r="CHG36" s="69"/>
      <c r="CHH36" s="69"/>
      <c r="CHI36" s="69"/>
      <c r="CHJ36" s="69"/>
      <c r="CHK36" s="69"/>
      <c r="CHL36" s="69"/>
      <c r="CHM36" s="69"/>
      <c r="CHN36" s="69"/>
      <c r="CHO36" s="69"/>
      <c r="CHP36" s="69"/>
      <c r="CHQ36" s="69"/>
      <c r="CHR36" s="69"/>
      <c r="CHS36" s="69"/>
      <c r="CHT36" s="69"/>
      <c r="CHU36" s="69"/>
      <c r="CHV36" s="69"/>
      <c r="CHW36" s="69"/>
      <c r="CHX36" s="69"/>
      <c r="CHY36" s="69"/>
      <c r="CHZ36" s="69"/>
      <c r="CIA36" s="69"/>
      <c r="CIB36" s="69"/>
      <c r="CIC36" s="69"/>
      <c r="CID36" s="69"/>
      <c r="CIE36" s="69"/>
      <c r="CIF36" s="69"/>
      <c r="CIG36" s="69"/>
      <c r="CIH36" s="69"/>
      <c r="CII36" s="69"/>
      <c r="CIJ36" s="69"/>
      <c r="CIK36" s="69"/>
      <c r="CIL36" s="69"/>
      <c r="CIM36" s="69"/>
      <c r="CIN36" s="69"/>
      <c r="CIO36" s="69"/>
      <c r="CIP36" s="69"/>
      <c r="CIQ36" s="69"/>
      <c r="CIR36" s="69"/>
      <c r="CIS36" s="69"/>
      <c r="CIT36" s="69"/>
      <c r="CIU36" s="69"/>
      <c r="CIV36" s="69"/>
      <c r="CIW36" s="69"/>
      <c r="CIX36" s="69"/>
      <c r="CIY36" s="69"/>
      <c r="CIZ36" s="69"/>
      <c r="CJA36" s="69"/>
      <c r="CJB36" s="69"/>
      <c r="CJC36" s="69"/>
      <c r="CJD36" s="69"/>
      <c r="CJE36" s="69"/>
      <c r="CJF36" s="69"/>
      <c r="CJG36" s="69"/>
      <c r="CJH36" s="69"/>
      <c r="CJI36" s="69"/>
      <c r="CJJ36" s="69"/>
      <c r="CJK36" s="69"/>
      <c r="CJL36" s="69"/>
      <c r="CJM36" s="69"/>
      <c r="CJN36" s="69"/>
      <c r="CJO36" s="69"/>
      <c r="CJP36" s="69"/>
      <c r="CJQ36" s="69"/>
      <c r="CJR36" s="69"/>
      <c r="CJS36" s="69"/>
      <c r="CJT36" s="69"/>
      <c r="CJU36" s="69"/>
      <c r="CJV36" s="69"/>
      <c r="CJW36" s="69"/>
      <c r="CJX36" s="69"/>
      <c r="CJY36" s="69"/>
      <c r="CJZ36" s="69"/>
      <c r="CKA36" s="69"/>
      <c r="CKB36" s="69"/>
      <c r="CKC36" s="69"/>
      <c r="CKD36" s="69"/>
      <c r="CKE36" s="69"/>
      <c r="CKF36" s="69"/>
      <c r="CKG36" s="69"/>
      <c r="CKH36" s="69"/>
      <c r="CKI36" s="69"/>
      <c r="CKJ36" s="69"/>
      <c r="CKK36" s="69"/>
      <c r="CKL36" s="69"/>
      <c r="CKM36" s="69"/>
      <c r="CKN36" s="69"/>
      <c r="CKO36" s="69"/>
      <c r="CKP36" s="69"/>
      <c r="CKQ36" s="69"/>
      <c r="CKR36" s="69"/>
      <c r="CKS36" s="69"/>
      <c r="CKT36" s="69"/>
      <c r="CKU36" s="69"/>
      <c r="CKV36" s="69"/>
      <c r="CKW36" s="69"/>
      <c r="CKX36" s="69"/>
      <c r="CKY36" s="69"/>
      <c r="CKZ36" s="69"/>
      <c r="CLA36" s="69"/>
      <c r="CLB36" s="69"/>
      <c r="CLC36" s="69"/>
      <c r="CLD36" s="69"/>
      <c r="CLE36" s="69"/>
      <c r="CLF36" s="69"/>
      <c r="CLG36" s="69"/>
      <c r="CLH36" s="69"/>
      <c r="CLI36" s="69"/>
      <c r="CLJ36" s="69"/>
      <c r="CLK36" s="69"/>
      <c r="CLL36" s="69"/>
      <c r="CLM36" s="69"/>
      <c r="CLN36" s="69"/>
      <c r="CLO36" s="69"/>
      <c r="CLP36" s="69"/>
      <c r="CLQ36" s="69"/>
      <c r="CLR36" s="69"/>
      <c r="CLS36" s="69"/>
      <c r="CLT36" s="69"/>
      <c r="CLU36" s="69"/>
      <c r="CLV36" s="69"/>
      <c r="CLW36" s="69"/>
      <c r="CLX36" s="69"/>
      <c r="CLY36" s="69"/>
      <c r="CLZ36" s="69"/>
      <c r="CMA36" s="69"/>
      <c r="CMB36" s="69"/>
      <c r="CMC36" s="69"/>
      <c r="CMD36" s="69"/>
      <c r="CME36" s="69"/>
      <c r="CMF36" s="69"/>
      <c r="CMG36" s="69"/>
      <c r="CMH36" s="69"/>
      <c r="CMI36" s="69"/>
      <c r="CMJ36" s="69"/>
      <c r="CMK36" s="69"/>
      <c r="CML36" s="69"/>
      <c r="CMM36" s="69"/>
      <c r="CMN36" s="69"/>
      <c r="CMO36" s="69"/>
      <c r="CMP36" s="69"/>
      <c r="CMQ36" s="69"/>
      <c r="CMR36" s="69"/>
      <c r="CMS36" s="69"/>
      <c r="CMT36" s="69"/>
      <c r="CMU36" s="69"/>
      <c r="CMV36" s="69"/>
      <c r="CMW36" s="69"/>
      <c r="CMX36" s="69"/>
      <c r="CMY36" s="69"/>
      <c r="CMZ36" s="69"/>
      <c r="CNA36" s="69"/>
      <c r="CNB36" s="69"/>
      <c r="CNC36" s="69"/>
      <c r="CND36" s="69"/>
      <c r="CNE36" s="69"/>
      <c r="CNF36" s="69"/>
      <c r="CNG36" s="69"/>
      <c r="CNH36" s="69"/>
      <c r="CNI36" s="69"/>
      <c r="CNJ36" s="69"/>
      <c r="CNK36" s="69"/>
      <c r="CNL36" s="69"/>
      <c r="CNM36" s="69"/>
      <c r="CNN36" s="69"/>
      <c r="CNO36" s="69"/>
      <c r="CNP36" s="69"/>
      <c r="CNQ36" s="69"/>
      <c r="CNR36" s="69"/>
      <c r="CNS36" s="69"/>
      <c r="CNT36" s="69"/>
      <c r="CNU36" s="69"/>
      <c r="CNV36" s="69"/>
      <c r="CNW36" s="69"/>
      <c r="CNX36" s="69"/>
      <c r="CNY36" s="69"/>
      <c r="CNZ36" s="69"/>
      <c r="COA36" s="69"/>
      <c r="COB36" s="69"/>
      <c r="COC36" s="69"/>
      <c r="COD36" s="69"/>
      <c r="COE36" s="69"/>
      <c r="COF36" s="69"/>
      <c r="COG36" s="69"/>
      <c r="COH36" s="69"/>
      <c r="COI36" s="69"/>
      <c r="COJ36" s="69"/>
      <c r="COK36" s="69"/>
      <c r="COL36" s="69"/>
      <c r="COM36" s="69"/>
      <c r="CON36" s="69"/>
      <c r="COO36" s="69"/>
      <c r="COP36" s="69"/>
      <c r="COQ36" s="69"/>
      <c r="COR36" s="69"/>
      <c r="COS36" s="69"/>
      <c r="COT36" s="69"/>
      <c r="COU36" s="69"/>
      <c r="COV36" s="69"/>
      <c r="COW36" s="69"/>
      <c r="COX36" s="69"/>
      <c r="COY36" s="69"/>
      <c r="COZ36" s="69"/>
      <c r="CPA36" s="69"/>
      <c r="CPB36" s="69"/>
      <c r="CPC36" s="69"/>
      <c r="CPD36" s="69"/>
      <c r="CPE36" s="69"/>
      <c r="CPF36" s="69"/>
      <c r="CPG36" s="69"/>
      <c r="CPH36" s="69"/>
      <c r="CPI36" s="69"/>
      <c r="CPJ36" s="69"/>
      <c r="CPK36" s="69"/>
      <c r="CPL36" s="69"/>
      <c r="CPM36" s="69"/>
      <c r="CPN36" s="69"/>
      <c r="CPO36" s="69"/>
      <c r="CPP36" s="69"/>
      <c r="CPQ36" s="69"/>
      <c r="CPR36" s="69"/>
      <c r="CPS36" s="69"/>
      <c r="CPT36" s="69"/>
      <c r="CPU36" s="69"/>
      <c r="CPV36" s="69"/>
      <c r="CPW36" s="69"/>
      <c r="CPX36" s="69"/>
      <c r="CPY36" s="69"/>
      <c r="CPZ36" s="69"/>
      <c r="CQA36" s="69"/>
      <c r="CQB36" s="69"/>
      <c r="CQC36" s="69"/>
      <c r="CQD36" s="69"/>
      <c r="CQE36" s="69"/>
      <c r="CQF36" s="69"/>
      <c r="CQG36" s="69"/>
      <c r="CQH36" s="69"/>
      <c r="CQI36" s="69"/>
      <c r="CQJ36" s="69"/>
      <c r="CQK36" s="69"/>
      <c r="CQL36" s="69"/>
      <c r="CQM36" s="69"/>
      <c r="CQN36" s="69"/>
      <c r="CQO36" s="69"/>
      <c r="CQP36" s="69"/>
      <c r="CQQ36" s="69"/>
      <c r="CQR36" s="69"/>
      <c r="CQS36" s="69"/>
      <c r="CQT36" s="69"/>
      <c r="CQU36" s="69"/>
      <c r="CQV36" s="69"/>
      <c r="CQW36" s="69"/>
      <c r="CQX36" s="69"/>
      <c r="CQY36" s="69"/>
      <c r="CQZ36" s="69"/>
      <c r="CRA36" s="69"/>
      <c r="CRB36" s="69"/>
      <c r="CRC36" s="69"/>
      <c r="CRD36" s="69"/>
      <c r="CRE36" s="69"/>
      <c r="CRF36" s="69"/>
      <c r="CRG36" s="69"/>
      <c r="CRH36" s="69"/>
      <c r="CRI36" s="69"/>
      <c r="CRJ36" s="69"/>
      <c r="CRK36" s="69"/>
      <c r="CRL36" s="69"/>
      <c r="CRM36" s="69"/>
      <c r="CRN36" s="69"/>
      <c r="CRO36" s="69"/>
      <c r="CRP36" s="69"/>
      <c r="CRQ36" s="69"/>
      <c r="CRR36" s="69"/>
      <c r="CRS36" s="69"/>
      <c r="CRT36" s="69"/>
      <c r="CRU36" s="69"/>
      <c r="CRV36" s="69"/>
      <c r="CRW36" s="69"/>
      <c r="CRX36" s="69"/>
      <c r="CRY36" s="69"/>
      <c r="CRZ36" s="69"/>
      <c r="CSA36" s="69"/>
      <c r="CSB36" s="69"/>
      <c r="CSC36" s="69"/>
      <c r="CSD36" s="69"/>
      <c r="CSE36" s="69"/>
      <c r="CSF36" s="69"/>
      <c r="CSG36" s="69"/>
      <c r="CSH36" s="69"/>
      <c r="CSI36" s="69"/>
      <c r="CSJ36" s="69"/>
      <c r="CSK36" s="69"/>
      <c r="CSL36" s="69"/>
      <c r="CSM36" s="69"/>
      <c r="CSN36" s="69"/>
      <c r="CSO36" s="69"/>
      <c r="CSP36" s="69"/>
      <c r="CSQ36" s="69"/>
      <c r="CSR36" s="69"/>
      <c r="CSS36" s="69"/>
      <c r="CST36" s="69"/>
      <c r="CSU36" s="69"/>
      <c r="CSV36" s="69"/>
      <c r="CSW36" s="69"/>
      <c r="CSX36" s="69"/>
      <c r="CSY36" s="69"/>
      <c r="CSZ36" s="69"/>
      <c r="CTA36" s="69"/>
      <c r="CTB36" s="69"/>
      <c r="CTC36" s="69"/>
      <c r="CTD36" s="69"/>
      <c r="CTE36" s="69"/>
      <c r="CTF36" s="69"/>
      <c r="CTG36" s="69"/>
      <c r="CTH36" s="69"/>
      <c r="CTI36" s="69"/>
      <c r="CTJ36" s="69"/>
      <c r="CTK36" s="69"/>
      <c r="CTL36" s="69"/>
      <c r="CTM36" s="69"/>
      <c r="CTN36" s="69"/>
      <c r="CTO36" s="69"/>
      <c r="CTP36" s="69"/>
      <c r="CTQ36" s="69"/>
      <c r="CTR36" s="69"/>
      <c r="CTS36" s="69"/>
      <c r="CTT36" s="69"/>
      <c r="CTU36" s="69"/>
      <c r="CTV36" s="69"/>
      <c r="CTW36" s="69"/>
      <c r="CTX36" s="69"/>
      <c r="CTY36" s="69"/>
      <c r="CTZ36" s="69"/>
      <c r="CUA36" s="69"/>
      <c r="CUB36" s="69"/>
      <c r="CUC36" s="69"/>
      <c r="CUD36" s="69"/>
      <c r="CUE36" s="69"/>
      <c r="CUF36" s="69"/>
      <c r="CUG36" s="69"/>
      <c r="CUH36" s="69"/>
      <c r="CUI36" s="69"/>
      <c r="CUJ36" s="69"/>
      <c r="CUK36" s="69"/>
      <c r="CUL36" s="69"/>
      <c r="CUM36" s="69"/>
      <c r="CUN36" s="69"/>
      <c r="CUO36" s="69"/>
      <c r="CUP36" s="69"/>
      <c r="CUQ36" s="69"/>
      <c r="CUR36" s="69"/>
      <c r="CUS36" s="69"/>
      <c r="CUT36" s="69"/>
      <c r="CUU36" s="69"/>
      <c r="CUV36" s="69"/>
      <c r="CUW36" s="69"/>
      <c r="CUX36" s="69"/>
      <c r="CUY36" s="69"/>
      <c r="CUZ36" s="69"/>
      <c r="CVA36" s="69"/>
      <c r="CVB36" s="69"/>
      <c r="CVC36" s="69"/>
      <c r="CVD36" s="69"/>
      <c r="CVE36" s="69"/>
      <c r="CVF36" s="69"/>
      <c r="CVG36" s="69"/>
      <c r="CVH36" s="69"/>
      <c r="CVI36" s="69"/>
      <c r="CVJ36" s="69"/>
      <c r="CVK36" s="69"/>
      <c r="CVL36" s="69"/>
      <c r="CVM36" s="69"/>
      <c r="CVN36" s="69"/>
      <c r="CVO36" s="69"/>
      <c r="CVP36" s="69"/>
      <c r="CVQ36" s="69"/>
      <c r="CVR36" s="69"/>
      <c r="CVS36" s="69"/>
      <c r="CVT36" s="69"/>
      <c r="CVU36" s="69"/>
      <c r="CVV36" s="69"/>
      <c r="CVW36" s="69"/>
      <c r="CVX36" s="69"/>
      <c r="CVY36" s="69"/>
      <c r="CVZ36" s="69"/>
      <c r="CWA36" s="69"/>
      <c r="CWB36" s="69"/>
      <c r="CWC36" s="69"/>
      <c r="CWD36" s="69"/>
      <c r="CWE36" s="69"/>
      <c r="CWF36" s="69"/>
      <c r="CWG36" s="69"/>
      <c r="CWH36" s="69"/>
      <c r="CWI36" s="69"/>
      <c r="CWJ36" s="69"/>
      <c r="CWK36" s="69"/>
      <c r="CWL36" s="69"/>
      <c r="CWM36" s="69"/>
      <c r="CWN36" s="69"/>
      <c r="CWO36" s="69"/>
      <c r="CWP36" s="69"/>
      <c r="CWQ36" s="69"/>
      <c r="CWR36" s="69"/>
      <c r="CWS36" s="69"/>
      <c r="CWT36" s="69"/>
      <c r="CWU36" s="69"/>
      <c r="CWV36" s="69"/>
      <c r="CWW36" s="69"/>
      <c r="CWX36" s="69"/>
      <c r="CWY36" s="69"/>
      <c r="CWZ36" s="69"/>
      <c r="CXA36" s="69"/>
      <c r="CXB36" s="69"/>
      <c r="CXC36" s="69"/>
      <c r="CXD36" s="69"/>
      <c r="CXE36" s="69"/>
      <c r="CXF36" s="69"/>
      <c r="CXG36" s="69"/>
      <c r="CXH36" s="69"/>
      <c r="CXI36" s="69"/>
      <c r="CXJ36" s="69"/>
      <c r="CXK36" s="69"/>
      <c r="CXL36" s="69"/>
      <c r="CXM36" s="69"/>
      <c r="CXN36" s="69"/>
      <c r="CXO36" s="69"/>
      <c r="CXP36" s="69"/>
      <c r="CXQ36" s="69"/>
      <c r="CXR36" s="69"/>
      <c r="CXS36" s="69"/>
      <c r="CXT36" s="69"/>
      <c r="CXU36" s="69"/>
      <c r="CXV36" s="69"/>
      <c r="CXW36" s="69"/>
      <c r="CXX36" s="69"/>
      <c r="CXY36" s="69"/>
      <c r="CXZ36" s="69"/>
      <c r="CYA36" s="69"/>
      <c r="CYB36" s="69"/>
      <c r="CYC36" s="69"/>
      <c r="CYD36" s="69"/>
      <c r="CYE36" s="69"/>
      <c r="CYF36" s="69"/>
      <c r="CYG36" s="69"/>
      <c r="CYH36" s="69"/>
      <c r="CYI36" s="69"/>
      <c r="CYJ36" s="69"/>
      <c r="CYK36" s="69"/>
      <c r="CYL36" s="69"/>
      <c r="CYM36" s="69"/>
      <c r="CYN36" s="69"/>
      <c r="CYO36" s="69"/>
      <c r="CYP36" s="69"/>
      <c r="CYQ36" s="69"/>
      <c r="CYR36" s="69"/>
      <c r="CYS36" s="69"/>
      <c r="CYT36" s="69"/>
      <c r="CYU36" s="69"/>
      <c r="CYV36" s="69"/>
      <c r="CYW36" s="69"/>
      <c r="CYX36" s="69"/>
      <c r="CYY36" s="69"/>
      <c r="CYZ36" s="69"/>
      <c r="CZA36" s="69"/>
      <c r="CZB36" s="69"/>
      <c r="CZC36" s="69"/>
      <c r="CZD36" s="69"/>
      <c r="CZE36" s="69"/>
      <c r="CZF36" s="69"/>
      <c r="CZG36" s="69"/>
      <c r="CZH36" s="69"/>
      <c r="CZI36" s="69"/>
      <c r="CZJ36" s="69"/>
      <c r="CZK36" s="69"/>
      <c r="CZL36" s="69"/>
      <c r="CZM36" s="69"/>
      <c r="CZN36" s="69"/>
      <c r="CZO36" s="69"/>
      <c r="CZP36" s="69"/>
      <c r="CZQ36" s="69"/>
      <c r="CZR36" s="69"/>
      <c r="CZS36" s="69"/>
      <c r="CZT36" s="69"/>
      <c r="CZU36" s="69"/>
      <c r="CZV36" s="69"/>
      <c r="CZW36" s="69"/>
      <c r="CZX36" s="69"/>
      <c r="CZY36" s="69"/>
      <c r="CZZ36" s="69"/>
      <c r="DAA36" s="69"/>
      <c r="DAB36" s="69"/>
      <c r="DAC36" s="69"/>
      <c r="DAD36" s="69"/>
      <c r="DAE36" s="69"/>
      <c r="DAF36" s="69"/>
      <c r="DAG36" s="69"/>
      <c r="DAH36" s="69"/>
      <c r="DAI36" s="69"/>
      <c r="DAJ36" s="69"/>
      <c r="DAK36" s="69"/>
      <c r="DAL36" s="69"/>
      <c r="DAM36" s="69"/>
      <c r="DAN36" s="69"/>
      <c r="DAO36" s="69"/>
      <c r="DAP36" s="69"/>
      <c r="DAQ36" s="69"/>
      <c r="DAR36" s="69"/>
      <c r="DAS36" s="69"/>
      <c r="DAT36" s="69"/>
      <c r="DAU36" s="69"/>
      <c r="DAV36" s="69"/>
      <c r="DAW36" s="69"/>
      <c r="DAX36" s="69"/>
      <c r="DAY36" s="69"/>
      <c r="DAZ36" s="69"/>
      <c r="DBA36" s="69"/>
      <c r="DBB36" s="69"/>
      <c r="DBC36" s="69"/>
      <c r="DBD36" s="69"/>
      <c r="DBE36" s="69"/>
      <c r="DBF36" s="69"/>
      <c r="DBG36" s="69"/>
      <c r="DBH36" s="69"/>
      <c r="DBI36" s="69"/>
      <c r="DBJ36" s="69"/>
      <c r="DBK36" s="69"/>
      <c r="DBL36" s="69"/>
      <c r="DBM36" s="69"/>
      <c r="DBN36" s="69"/>
      <c r="DBO36" s="69"/>
      <c r="DBP36" s="69"/>
      <c r="DBQ36" s="69"/>
      <c r="DBR36" s="69"/>
      <c r="DBS36" s="69"/>
      <c r="DBT36" s="69"/>
      <c r="DBU36" s="69"/>
      <c r="DBV36" s="69"/>
      <c r="DBW36" s="69"/>
      <c r="DBX36" s="69"/>
      <c r="DBY36" s="69"/>
      <c r="DBZ36" s="69"/>
      <c r="DCA36" s="69"/>
      <c r="DCB36" s="69"/>
      <c r="DCC36" s="69"/>
      <c r="DCD36" s="69"/>
      <c r="DCE36" s="69"/>
      <c r="DCF36" s="69"/>
      <c r="DCG36" s="69"/>
      <c r="DCH36" s="69"/>
      <c r="DCI36" s="69"/>
      <c r="DCJ36" s="69"/>
      <c r="DCK36" s="69"/>
      <c r="DCL36" s="69"/>
      <c r="DCM36" s="69"/>
      <c r="DCN36" s="69"/>
      <c r="DCO36" s="69"/>
      <c r="DCP36" s="69"/>
      <c r="DCQ36" s="69"/>
      <c r="DCR36" s="69"/>
      <c r="DCS36" s="69"/>
      <c r="DCT36" s="69"/>
      <c r="DCU36" s="69"/>
      <c r="DCV36" s="69"/>
      <c r="DCW36" s="69"/>
      <c r="DCX36" s="69"/>
      <c r="DCY36" s="69"/>
      <c r="DCZ36" s="69"/>
      <c r="DDA36" s="69"/>
      <c r="DDB36" s="69"/>
      <c r="DDC36" s="69"/>
      <c r="DDD36" s="69"/>
      <c r="DDE36" s="69"/>
      <c r="DDF36" s="69"/>
      <c r="DDG36" s="69"/>
      <c r="DDH36" s="69"/>
      <c r="DDI36" s="69"/>
      <c r="DDJ36" s="69"/>
      <c r="DDK36" s="69"/>
      <c r="DDL36" s="69"/>
      <c r="DDM36" s="69"/>
      <c r="DDN36" s="69"/>
      <c r="DDO36" s="69"/>
      <c r="DDP36" s="69"/>
      <c r="DDQ36" s="69"/>
      <c r="DDR36" s="69"/>
      <c r="DDS36" s="69"/>
      <c r="DDT36" s="69"/>
      <c r="DDU36" s="69"/>
      <c r="DDV36" s="69"/>
      <c r="DDW36" s="69"/>
      <c r="DDX36" s="69"/>
      <c r="DDY36" s="69"/>
      <c r="DDZ36" s="69"/>
      <c r="DEA36" s="69"/>
      <c r="DEB36" s="69"/>
      <c r="DEC36" s="69"/>
      <c r="DED36" s="69"/>
      <c r="DEE36" s="69"/>
      <c r="DEF36" s="69"/>
      <c r="DEG36" s="69"/>
      <c r="DEH36" s="69"/>
      <c r="DEI36" s="69"/>
      <c r="DEJ36" s="69"/>
      <c r="DEK36" s="69"/>
      <c r="DEL36" s="69"/>
      <c r="DEM36" s="69"/>
      <c r="DEN36" s="69"/>
      <c r="DEO36" s="69"/>
      <c r="DEP36" s="69"/>
      <c r="DEQ36" s="69"/>
      <c r="DER36" s="69"/>
      <c r="DES36" s="69"/>
      <c r="DET36" s="69"/>
      <c r="DEU36" s="69"/>
      <c r="DEV36" s="69"/>
      <c r="DEW36" s="69"/>
      <c r="DEX36" s="69"/>
      <c r="DEY36" s="69"/>
      <c r="DEZ36" s="69"/>
      <c r="DFA36" s="69"/>
      <c r="DFB36" s="69"/>
      <c r="DFC36" s="69"/>
      <c r="DFD36" s="69"/>
      <c r="DFE36" s="69"/>
      <c r="DFF36" s="69"/>
      <c r="DFG36" s="69"/>
      <c r="DFH36" s="69"/>
      <c r="DFI36" s="69"/>
      <c r="DFJ36" s="69"/>
      <c r="DFK36" s="69"/>
      <c r="DFL36" s="69"/>
      <c r="DFM36" s="69"/>
      <c r="DFN36" s="69"/>
      <c r="DFO36" s="69"/>
      <c r="DFP36" s="69"/>
      <c r="DFQ36" s="69"/>
      <c r="DFR36" s="69"/>
      <c r="DFS36" s="69"/>
      <c r="DFT36" s="69"/>
      <c r="DFU36" s="69"/>
      <c r="DFV36" s="69"/>
      <c r="DFW36" s="69"/>
      <c r="DFX36" s="69"/>
      <c r="DFY36" s="69"/>
      <c r="DFZ36" s="69"/>
      <c r="DGA36" s="69"/>
      <c r="DGB36" s="69"/>
      <c r="DGC36" s="69"/>
      <c r="DGD36" s="69"/>
      <c r="DGE36" s="69"/>
      <c r="DGF36" s="69"/>
      <c r="DGG36" s="69"/>
      <c r="DGH36" s="69"/>
      <c r="DGI36" s="69"/>
      <c r="DGJ36" s="69"/>
      <c r="DGK36" s="69"/>
      <c r="DGL36" s="69"/>
      <c r="DGM36" s="69"/>
      <c r="DGN36" s="69"/>
      <c r="DGO36" s="69"/>
      <c r="DGP36" s="69"/>
      <c r="DGQ36" s="69"/>
      <c r="DGR36" s="69"/>
      <c r="DGS36" s="69"/>
      <c r="DGT36" s="69"/>
      <c r="DGU36" s="69"/>
      <c r="DGV36" s="69"/>
      <c r="DGW36" s="69"/>
      <c r="DGX36" s="69"/>
      <c r="DGY36" s="69"/>
      <c r="DGZ36" s="69"/>
      <c r="DHA36" s="69"/>
      <c r="DHB36" s="69"/>
      <c r="DHC36" s="69"/>
      <c r="DHD36" s="69"/>
      <c r="DHE36" s="69"/>
      <c r="DHF36" s="69"/>
      <c r="DHG36" s="69"/>
      <c r="DHH36" s="69"/>
      <c r="DHI36" s="69"/>
      <c r="DHJ36" s="69"/>
      <c r="DHK36" s="69"/>
      <c r="DHL36" s="69"/>
      <c r="DHM36" s="69"/>
      <c r="DHN36" s="69"/>
      <c r="DHO36" s="69"/>
      <c r="DHP36" s="69"/>
      <c r="DHQ36" s="69"/>
      <c r="DHR36" s="69"/>
      <c r="DHS36" s="69"/>
      <c r="DHT36" s="69"/>
      <c r="DHU36" s="69"/>
      <c r="DHV36" s="69"/>
      <c r="DHW36" s="69"/>
      <c r="DHX36" s="69"/>
      <c r="DHY36" s="69"/>
      <c r="DHZ36" s="69"/>
      <c r="DIA36" s="69"/>
      <c r="DIB36" s="69"/>
      <c r="DIC36" s="69"/>
      <c r="DID36" s="69"/>
      <c r="DIE36" s="69"/>
      <c r="DIF36" s="69"/>
      <c r="DIG36" s="69"/>
      <c r="DIH36" s="69"/>
      <c r="DII36" s="69"/>
      <c r="DIJ36" s="69"/>
      <c r="DIK36" s="69"/>
      <c r="DIL36" s="69"/>
      <c r="DIM36" s="69"/>
      <c r="DIN36" s="69"/>
      <c r="DIO36" s="69"/>
      <c r="DIP36" s="69"/>
      <c r="DIQ36" s="69"/>
      <c r="DIR36" s="69"/>
      <c r="DIS36" s="69"/>
      <c r="DIT36" s="69"/>
      <c r="DIU36" s="69"/>
      <c r="DIV36" s="69"/>
      <c r="DIW36" s="69"/>
      <c r="DIX36" s="69"/>
      <c r="DIY36" s="69"/>
      <c r="DIZ36" s="69"/>
      <c r="DJA36" s="69"/>
      <c r="DJB36" s="69"/>
      <c r="DJC36" s="69"/>
      <c r="DJD36" s="69"/>
      <c r="DJE36" s="69"/>
      <c r="DJF36" s="69"/>
      <c r="DJG36" s="69"/>
      <c r="DJH36" s="69"/>
      <c r="DJI36" s="69"/>
      <c r="DJJ36" s="69"/>
      <c r="DJK36" s="69"/>
      <c r="DJL36" s="69"/>
      <c r="DJM36" s="69"/>
      <c r="DJN36" s="69"/>
      <c r="DJO36" s="69"/>
      <c r="DJP36" s="69"/>
      <c r="DJQ36" s="69"/>
      <c r="DJR36" s="69"/>
      <c r="DJS36" s="69"/>
      <c r="DJT36" s="69"/>
      <c r="DJU36" s="69"/>
      <c r="DJV36" s="69"/>
      <c r="DJW36" s="69"/>
      <c r="DJX36" s="69"/>
      <c r="DJY36" s="69"/>
      <c r="DJZ36" s="69"/>
      <c r="DKA36" s="69"/>
      <c r="DKB36" s="69"/>
      <c r="DKC36" s="69"/>
      <c r="DKD36" s="69"/>
      <c r="DKE36" s="69"/>
      <c r="DKF36" s="69"/>
      <c r="DKG36" s="69"/>
      <c r="DKH36" s="69"/>
      <c r="DKI36" s="69"/>
      <c r="DKJ36" s="69"/>
      <c r="DKK36" s="69"/>
      <c r="DKL36" s="69"/>
      <c r="DKM36" s="69"/>
      <c r="DKN36" s="69"/>
      <c r="DKO36" s="69"/>
      <c r="DKP36" s="69"/>
      <c r="DKQ36" s="69"/>
      <c r="DKR36" s="69"/>
      <c r="DKS36" s="69"/>
      <c r="DKT36" s="69"/>
      <c r="DKU36" s="69"/>
      <c r="DKV36" s="69"/>
      <c r="DKW36" s="69"/>
      <c r="DKX36" s="69"/>
      <c r="DKY36" s="69"/>
      <c r="DKZ36" s="69"/>
      <c r="DLA36" s="69"/>
      <c r="DLB36" s="69"/>
      <c r="DLC36" s="69"/>
      <c r="DLD36" s="69"/>
      <c r="DLE36" s="69"/>
      <c r="DLF36" s="69"/>
      <c r="DLG36" s="69"/>
      <c r="DLH36" s="69"/>
      <c r="DLI36" s="69"/>
      <c r="DLJ36" s="69"/>
      <c r="DLK36" s="69"/>
      <c r="DLL36" s="69"/>
      <c r="DLM36" s="69"/>
      <c r="DLN36" s="69"/>
      <c r="DLO36" s="69"/>
      <c r="DLP36" s="69"/>
      <c r="DLQ36" s="69"/>
      <c r="DLR36" s="69"/>
      <c r="DLS36" s="69"/>
      <c r="DLT36" s="69"/>
      <c r="DLU36" s="69"/>
      <c r="DLV36" s="69"/>
      <c r="DLW36" s="69"/>
      <c r="DLX36" s="69"/>
      <c r="DLY36" s="69"/>
      <c r="DLZ36" s="69"/>
      <c r="DMA36" s="69"/>
      <c r="DMB36" s="69"/>
      <c r="DMC36" s="69"/>
      <c r="DMD36" s="69"/>
      <c r="DME36" s="69"/>
      <c r="DMF36" s="69"/>
      <c r="DMG36" s="69"/>
      <c r="DMH36" s="69"/>
      <c r="DMI36" s="69"/>
      <c r="DMJ36" s="69"/>
      <c r="DMK36" s="69"/>
      <c r="DML36" s="69"/>
      <c r="DMM36" s="69"/>
      <c r="DMN36" s="69"/>
      <c r="DMO36" s="69"/>
      <c r="DMP36" s="69"/>
      <c r="DMQ36" s="69"/>
      <c r="DMR36" s="69"/>
      <c r="DMS36" s="69"/>
      <c r="DMT36" s="69"/>
      <c r="DMU36" s="69"/>
      <c r="DMV36" s="69"/>
      <c r="DMW36" s="69"/>
      <c r="DMX36" s="69"/>
      <c r="DMY36" s="69"/>
      <c r="DMZ36" s="69"/>
      <c r="DNA36" s="69"/>
      <c r="DNB36" s="69"/>
      <c r="DNC36" s="69"/>
      <c r="DND36" s="69"/>
      <c r="DNE36" s="69"/>
      <c r="DNF36" s="69"/>
      <c r="DNG36" s="69"/>
      <c r="DNH36" s="69"/>
      <c r="DNI36" s="69"/>
      <c r="DNJ36" s="69"/>
      <c r="DNK36" s="69"/>
      <c r="DNL36" s="69"/>
      <c r="DNM36" s="69"/>
      <c r="DNN36" s="69"/>
      <c r="DNO36" s="69"/>
      <c r="DNP36" s="69"/>
      <c r="DNQ36" s="69"/>
      <c r="DNR36" s="69"/>
      <c r="DNS36" s="69"/>
      <c r="DNT36" s="69"/>
      <c r="DNU36" s="69"/>
      <c r="DNV36" s="69"/>
      <c r="DNW36" s="69"/>
      <c r="DNX36" s="69"/>
      <c r="DNY36" s="69"/>
      <c r="DNZ36" s="69"/>
      <c r="DOA36" s="69"/>
      <c r="DOB36" s="69"/>
      <c r="DOC36" s="69"/>
      <c r="DOD36" s="69"/>
      <c r="DOE36" s="69"/>
      <c r="DOF36" s="69"/>
      <c r="DOG36" s="69"/>
      <c r="DOH36" s="69"/>
      <c r="DOI36" s="69"/>
      <c r="DOJ36" s="69"/>
      <c r="DOK36" s="69"/>
      <c r="DOL36" s="69"/>
      <c r="DOM36" s="69"/>
      <c r="DON36" s="69"/>
      <c r="DOO36" s="69"/>
      <c r="DOP36" s="69"/>
      <c r="DOQ36" s="69"/>
      <c r="DOR36" s="69"/>
      <c r="DOS36" s="69"/>
      <c r="DOT36" s="69"/>
      <c r="DOU36" s="69"/>
      <c r="DOV36" s="69"/>
      <c r="DOW36" s="69"/>
      <c r="DOX36" s="69"/>
      <c r="DOY36" s="69"/>
      <c r="DOZ36" s="69"/>
      <c r="DPA36" s="69"/>
      <c r="DPB36" s="69"/>
      <c r="DPC36" s="69"/>
      <c r="DPD36" s="69"/>
      <c r="DPE36" s="69"/>
      <c r="DPF36" s="69"/>
      <c r="DPG36" s="69"/>
      <c r="DPH36" s="69"/>
      <c r="DPI36" s="69"/>
      <c r="DPJ36" s="69"/>
      <c r="DPK36" s="69"/>
      <c r="DPL36" s="69"/>
      <c r="DPM36" s="69"/>
      <c r="DPN36" s="69"/>
      <c r="DPO36" s="69"/>
      <c r="DPP36" s="69"/>
      <c r="DPQ36" s="69"/>
      <c r="DPR36" s="69"/>
      <c r="DPS36" s="69"/>
      <c r="DPT36" s="69"/>
      <c r="DPU36" s="69"/>
      <c r="DPV36" s="69"/>
      <c r="DPW36" s="69"/>
      <c r="DPX36" s="69"/>
      <c r="DPY36" s="69"/>
      <c r="DPZ36" s="69"/>
      <c r="DQA36" s="69"/>
      <c r="DQB36" s="69"/>
      <c r="DQC36" s="69"/>
      <c r="DQD36" s="69"/>
      <c r="DQE36" s="69"/>
      <c r="DQF36" s="69"/>
      <c r="DQG36" s="69"/>
      <c r="DQH36" s="69"/>
      <c r="DQI36" s="69"/>
      <c r="DQJ36" s="69"/>
      <c r="DQK36" s="69"/>
      <c r="DQL36" s="69"/>
      <c r="DQM36" s="69"/>
      <c r="DQN36" s="69"/>
      <c r="DQO36" s="69"/>
      <c r="DQP36" s="69"/>
      <c r="DQQ36" s="69"/>
      <c r="DQR36" s="69"/>
      <c r="DQS36" s="69"/>
      <c r="DQT36" s="69"/>
      <c r="DQU36" s="69"/>
      <c r="DQV36" s="69"/>
      <c r="DQW36" s="69"/>
      <c r="DQX36" s="69"/>
      <c r="DQY36" s="69"/>
      <c r="DQZ36" s="69"/>
      <c r="DRA36" s="69"/>
      <c r="DRB36" s="69"/>
      <c r="DRC36" s="69"/>
      <c r="DRD36" s="69"/>
      <c r="DRE36" s="69"/>
      <c r="DRF36" s="69"/>
      <c r="DRG36" s="69"/>
      <c r="DRH36" s="69"/>
      <c r="DRI36" s="69"/>
      <c r="DRJ36" s="69"/>
      <c r="DRK36" s="69"/>
      <c r="DRL36" s="69"/>
      <c r="DRM36" s="69"/>
      <c r="DRN36" s="69"/>
      <c r="DRO36" s="69"/>
      <c r="DRP36" s="69"/>
      <c r="DRQ36" s="69"/>
      <c r="DRR36" s="69"/>
      <c r="DRS36" s="69"/>
      <c r="DRT36" s="69"/>
      <c r="DRU36" s="69"/>
      <c r="DRV36" s="69"/>
      <c r="DRW36" s="69"/>
      <c r="DRX36" s="69"/>
      <c r="DRY36" s="69"/>
      <c r="DRZ36" s="69"/>
      <c r="DSA36" s="69"/>
      <c r="DSB36" s="69"/>
      <c r="DSC36" s="69"/>
      <c r="DSD36" s="69"/>
      <c r="DSE36" s="69"/>
      <c r="DSF36" s="69"/>
      <c r="DSG36" s="69"/>
      <c r="DSH36" s="69"/>
      <c r="DSI36" s="69"/>
      <c r="DSJ36" s="69"/>
      <c r="DSK36" s="69"/>
      <c r="DSL36" s="69"/>
      <c r="DSM36" s="69"/>
      <c r="DSN36" s="69"/>
      <c r="DSO36" s="69"/>
      <c r="DSP36" s="69"/>
      <c r="DSQ36" s="69"/>
      <c r="DSR36" s="69"/>
      <c r="DSS36" s="69"/>
      <c r="DST36" s="69"/>
      <c r="DSU36" s="69"/>
      <c r="DSV36" s="69"/>
      <c r="DSW36" s="69"/>
      <c r="DSX36" s="69"/>
      <c r="DSY36" s="69"/>
      <c r="DSZ36" s="69"/>
      <c r="DTA36" s="69"/>
      <c r="DTB36" s="69"/>
      <c r="DTC36" s="69"/>
      <c r="DTD36" s="69"/>
      <c r="DTE36" s="69"/>
      <c r="DTF36" s="69"/>
      <c r="DTG36" s="69"/>
      <c r="DTH36" s="69"/>
      <c r="DTI36" s="69"/>
      <c r="DTJ36" s="69"/>
      <c r="DTK36" s="69"/>
      <c r="DTL36" s="69"/>
      <c r="DTM36" s="69"/>
      <c r="DTN36" s="69"/>
      <c r="DTO36" s="69"/>
      <c r="DTP36" s="69"/>
      <c r="DTQ36" s="69"/>
      <c r="DTR36" s="69"/>
      <c r="DTS36" s="69"/>
      <c r="DTT36" s="69"/>
      <c r="DTU36" s="69"/>
      <c r="DTV36" s="69"/>
      <c r="DTW36" s="69"/>
      <c r="DTX36" s="69"/>
      <c r="DTY36" s="69"/>
      <c r="DTZ36" s="69"/>
      <c r="DUA36" s="69"/>
      <c r="DUB36" s="69"/>
      <c r="DUC36" s="69"/>
      <c r="DUD36" s="69"/>
      <c r="DUE36" s="69"/>
      <c r="DUF36" s="69"/>
      <c r="DUG36" s="69"/>
      <c r="DUH36" s="69"/>
      <c r="DUI36" s="69"/>
      <c r="DUJ36" s="69"/>
      <c r="DUK36" s="69"/>
      <c r="DUL36" s="69"/>
      <c r="DUM36" s="69"/>
      <c r="DUN36" s="69"/>
      <c r="DUO36" s="69"/>
      <c r="DUP36" s="69"/>
      <c r="DUQ36" s="69"/>
      <c r="DUR36" s="69"/>
      <c r="DUS36" s="69"/>
      <c r="DUT36" s="69"/>
      <c r="DUU36" s="69"/>
      <c r="DUV36" s="69"/>
      <c r="DUW36" s="69"/>
      <c r="DUX36" s="69"/>
      <c r="DUY36" s="69"/>
      <c r="DUZ36" s="69"/>
      <c r="DVA36" s="69"/>
      <c r="DVB36" s="69"/>
      <c r="DVC36" s="69"/>
      <c r="DVD36" s="69"/>
      <c r="DVE36" s="69"/>
      <c r="DVF36" s="69"/>
      <c r="DVG36" s="69"/>
      <c r="DVH36" s="69"/>
      <c r="DVI36" s="69"/>
      <c r="DVJ36" s="69"/>
      <c r="DVK36" s="69"/>
      <c r="DVL36" s="69"/>
      <c r="DVM36" s="69"/>
      <c r="DVN36" s="69"/>
      <c r="DVO36" s="69"/>
      <c r="DVP36" s="69"/>
      <c r="DVQ36" s="69"/>
      <c r="DVR36" s="69"/>
      <c r="DVS36" s="69"/>
      <c r="DVT36" s="69"/>
      <c r="DVU36" s="69"/>
      <c r="DVV36" s="69"/>
      <c r="DVW36" s="69"/>
      <c r="DVX36" s="69"/>
      <c r="DVY36" s="69"/>
      <c r="DVZ36" s="69"/>
      <c r="DWA36" s="69"/>
      <c r="DWB36" s="69"/>
      <c r="DWC36" s="69"/>
      <c r="DWD36" s="69"/>
      <c r="DWE36" s="69"/>
      <c r="DWF36" s="69"/>
      <c r="DWG36" s="69"/>
      <c r="DWH36" s="69"/>
      <c r="DWI36" s="69"/>
      <c r="DWJ36" s="69"/>
      <c r="DWK36" s="69"/>
      <c r="DWL36" s="69"/>
      <c r="DWM36" s="69"/>
      <c r="DWN36" s="69"/>
      <c r="DWO36" s="69"/>
      <c r="DWP36" s="69"/>
      <c r="DWQ36" s="69"/>
      <c r="DWR36" s="69"/>
      <c r="DWS36" s="69"/>
      <c r="DWT36" s="69"/>
      <c r="DWU36" s="69"/>
      <c r="DWV36" s="69"/>
      <c r="DWW36" s="69"/>
      <c r="DWX36" s="69"/>
      <c r="DWY36" s="69"/>
      <c r="DWZ36" s="69"/>
      <c r="DXA36" s="69"/>
      <c r="DXB36" s="69"/>
      <c r="DXC36" s="69"/>
      <c r="DXD36" s="69"/>
      <c r="DXE36" s="69"/>
      <c r="DXF36" s="69"/>
      <c r="DXG36" s="69"/>
      <c r="DXH36" s="69"/>
      <c r="DXI36" s="69"/>
      <c r="DXJ36" s="69"/>
      <c r="DXK36" s="69"/>
      <c r="DXL36" s="69"/>
      <c r="DXM36" s="69"/>
      <c r="DXN36" s="69"/>
      <c r="DXO36" s="69"/>
      <c r="DXP36" s="69"/>
      <c r="DXQ36" s="69"/>
      <c r="DXR36" s="69"/>
      <c r="DXS36" s="69"/>
      <c r="DXT36" s="69"/>
      <c r="DXU36" s="69"/>
      <c r="DXV36" s="69"/>
      <c r="DXW36" s="69"/>
      <c r="DXX36" s="69"/>
      <c r="DXY36" s="69"/>
      <c r="DXZ36" s="69"/>
      <c r="DYA36" s="69"/>
      <c r="DYB36" s="69"/>
      <c r="DYC36" s="69"/>
      <c r="DYD36" s="69"/>
      <c r="DYE36" s="69"/>
      <c r="DYF36" s="69"/>
      <c r="DYG36" s="69"/>
      <c r="DYH36" s="69"/>
      <c r="DYI36" s="69"/>
      <c r="DYJ36" s="69"/>
      <c r="DYK36" s="69"/>
      <c r="DYL36" s="69"/>
      <c r="DYM36" s="69"/>
      <c r="DYN36" s="69"/>
      <c r="DYO36" s="69"/>
      <c r="DYP36" s="69"/>
      <c r="DYQ36" s="69"/>
      <c r="DYR36" s="69"/>
      <c r="DYS36" s="69"/>
      <c r="DYT36" s="69"/>
      <c r="DYU36" s="69"/>
      <c r="DYV36" s="69"/>
      <c r="DYW36" s="69"/>
      <c r="DYX36" s="69"/>
      <c r="DYY36" s="69"/>
      <c r="DYZ36" s="69"/>
      <c r="DZA36" s="69"/>
      <c r="DZB36" s="69"/>
      <c r="DZC36" s="69"/>
      <c r="DZD36" s="69"/>
      <c r="DZE36" s="69"/>
      <c r="DZF36" s="69"/>
      <c r="DZG36" s="69"/>
      <c r="DZH36" s="69"/>
      <c r="DZI36" s="69"/>
      <c r="DZJ36" s="69"/>
      <c r="DZK36" s="69"/>
      <c r="DZL36" s="69"/>
      <c r="DZM36" s="69"/>
      <c r="DZN36" s="69"/>
      <c r="DZO36" s="69"/>
      <c r="DZP36" s="69"/>
      <c r="DZQ36" s="69"/>
      <c r="DZR36" s="69"/>
      <c r="DZS36" s="69"/>
      <c r="DZT36" s="69"/>
      <c r="DZU36" s="69"/>
      <c r="DZV36" s="69"/>
      <c r="DZW36" s="69"/>
      <c r="DZX36" s="69"/>
      <c r="DZY36" s="69"/>
      <c r="DZZ36" s="69"/>
      <c r="EAA36" s="69"/>
      <c r="EAB36" s="69"/>
      <c r="EAC36" s="69"/>
      <c r="EAD36" s="69"/>
      <c r="EAE36" s="69"/>
      <c r="EAF36" s="69"/>
      <c r="EAG36" s="69"/>
      <c r="EAH36" s="69"/>
      <c r="EAI36" s="69"/>
      <c r="EAJ36" s="69"/>
      <c r="EAK36" s="69"/>
      <c r="EAL36" s="69"/>
      <c r="EAM36" s="69"/>
      <c r="EAN36" s="69"/>
      <c r="EAO36" s="69"/>
      <c r="EAP36" s="69"/>
      <c r="EAQ36" s="69"/>
      <c r="EAR36" s="69"/>
      <c r="EAS36" s="69"/>
      <c r="EAT36" s="69"/>
      <c r="EAU36" s="69"/>
      <c r="EAV36" s="69"/>
      <c r="EAW36" s="69"/>
      <c r="EAX36" s="69"/>
      <c r="EAY36" s="69"/>
      <c r="EAZ36" s="69"/>
      <c r="EBA36" s="69"/>
      <c r="EBB36" s="69"/>
      <c r="EBC36" s="69"/>
      <c r="EBD36" s="69"/>
      <c r="EBE36" s="69"/>
      <c r="EBF36" s="69"/>
      <c r="EBG36" s="69"/>
      <c r="EBH36" s="69"/>
      <c r="EBI36" s="69"/>
      <c r="EBJ36" s="69"/>
      <c r="EBK36" s="69"/>
      <c r="EBL36" s="69"/>
      <c r="EBM36" s="69"/>
      <c r="EBN36" s="69"/>
      <c r="EBO36" s="69"/>
      <c r="EBP36" s="69"/>
      <c r="EBQ36" s="69"/>
      <c r="EBR36" s="69"/>
      <c r="EBS36" s="69"/>
      <c r="EBT36" s="69"/>
      <c r="EBU36" s="69"/>
      <c r="EBV36" s="69"/>
      <c r="EBW36" s="69"/>
      <c r="EBX36" s="69"/>
      <c r="EBY36" s="69"/>
      <c r="EBZ36" s="69"/>
      <c r="ECA36" s="69"/>
      <c r="ECB36" s="69"/>
      <c r="ECC36" s="69"/>
      <c r="ECD36" s="69"/>
      <c r="ECE36" s="69"/>
      <c r="ECF36" s="69"/>
      <c r="ECG36" s="69"/>
      <c r="ECH36" s="69"/>
      <c r="ECI36" s="69"/>
      <c r="ECJ36" s="69"/>
      <c r="ECK36" s="69"/>
      <c r="ECL36" s="69"/>
      <c r="ECM36" s="69"/>
      <c r="ECN36" s="69"/>
      <c r="ECO36" s="69"/>
      <c r="ECP36" s="69"/>
      <c r="ECQ36" s="69"/>
      <c r="ECR36" s="69"/>
      <c r="ECS36" s="69"/>
      <c r="ECT36" s="69"/>
      <c r="ECU36" s="69"/>
      <c r="ECV36" s="69"/>
      <c r="ECW36" s="69"/>
      <c r="ECX36" s="69"/>
      <c r="ECY36" s="69"/>
      <c r="ECZ36" s="69"/>
      <c r="EDA36" s="69"/>
      <c r="EDB36" s="69"/>
      <c r="EDC36" s="69"/>
      <c r="EDD36" s="69"/>
      <c r="EDE36" s="69"/>
      <c r="EDF36" s="69"/>
      <c r="EDG36" s="69"/>
      <c r="EDH36" s="69"/>
      <c r="EDI36" s="69"/>
      <c r="EDJ36" s="69"/>
      <c r="EDK36" s="69"/>
      <c r="EDL36" s="69"/>
      <c r="EDM36" s="69"/>
      <c r="EDN36" s="69"/>
      <c r="EDO36" s="69"/>
      <c r="EDP36" s="69"/>
      <c r="EDQ36" s="69"/>
      <c r="EDR36" s="69"/>
      <c r="EDS36" s="69"/>
      <c r="EDT36" s="69"/>
      <c r="EDU36" s="69"/>
      <c r="EDV36" s="69"/>
      <c r="EDW36" s="69"/>
      <c r="EDX36" s="69"/>
      <c r="EDY36" s="69"/>
      <c r="EDZ36" s="69"/>
      <c r="EEA36" s="69"/>
      <c r="EEB36" s="69"/>
      <c r="EEC36" s="69"/>
      <c r="EED36" s="69"/>
      <c r="EEE36" s="69"/>
      <c r="EEF36" s="69"/>
      <c r="EEG36" s="69"/>
      <c r="EEH36" s="69"/>
      <c r="EEI36" s="69"/>
      <c r="EEJ36" s="69"/>
      <c r="EEK36" s="69"/>
      <c r="EEL36" s="69"/>
      <c r="EEM36" s="69"/>
      <c r="EEN36" s="69"/>
      <c r="EEO36" s="69"/>
      <c r="EEP36" s="69"/>
      <c r="EEQ36" s="69"/>
      <c r="EER36" s="69"/>
      <c r="EES36" s="69"/>
      <c r="EET36" s="69"/>
      <c r="EEU36" s="69"/>
      <c r="EEV36" s="69"/>
      <c r="EEW36" s="69"/>
      <c r="EEX36" s="69"/>
      <c r="EEY36" s="69"/>
      <c r="EEZ36" s="69"/>
      <c r="EFA36" s="69"/>
      <c r="EFB36" s="69"/>
      <c r="EFC36" s="69"/>
      <c r="EFD36" s="69"/>
      <c r="EFE36" s="69"/>
      <c r="EFF36" s="69"/>
      <c r="EFG36" s="69"/>
      <c r="EFH36" s="69"/>
      <c r="EFI36" s="69"/>
      <c r="EFJ36" s="69"/>
      <c r="EFK36" s="69"/>
      <c r="EFL36" s="69"/>
      <c r="EFM36" s="69"/>
      <c r="EFN36" s="69"/>
      <c r="EFO36" s="69"/>
      <c r="EFP36" s="69"/>
      <c r="EFQ36" s="69"/>
      <c r="EFR36" s="69"/>
      <c r="EFS36" s="69"/>
      <c r="EFT36" s="69"/>
      <c r="EFU36" s="69"/>
      <c r="EFV36" s="69"/>
      <c r="EFW36" s="69"/>
      <c r="EFX36" s="69"/>
      <c r="EFY36" s="69"/>
      <c r="EFZ36" s="69"/>
      <c r="EGA36" s="69"/>
      <c r="EGB36" s="69"/>
      <c r="EGC36" s="69"/>
      <c r="EGD36" s="69"/>
      <c r="EGE36" s="69"/>
      <c r="EGF36" s="69"/>
      <c r="EGG36" s="69"/>
      <c r="EGH36" s="69"/>
      <c r="EGI36" s="69"/>
      <c r="EGJ36" s="69"/>
      <c r="EGK36" s="69"/>
      <c r="EGL36" s="69"/>
      <c r="EGM36" s="69"/>
      <c r="EGN36" s="69"/>
      <c r="EGO36" s="69"/>
      <c r="EGP36" s="69"/>
      <c r="EGQ36" s="69"/>
      <c r="EGR36" s="69"/>
      <c r="EGS36" s="69"/>
      <c r="EGT36" s="69"/>
      <c r="EGU36" s="69"/>
      <c r="EGV36" s="69"/>
      <c r="EGW36" s="69"/>
      <c r="EGX36" s="69"/>
      <c r="EGY36" s="69"/>
      <c r="EGZ36" s="69"/>
      <c r="EHA36" s="69"/>
      <c r="EHB36" s="69"/>
      <c r="EHC36" s="69"/>
      <c r="EHD36" s="69"/>
      <c r="EHE36" s="69"/>
      <c r="EHF36" s="69"/>
      <c r="EHG36" s="69"/>
      <c r="EHH36" s="69"/>
      <c r="EHI36" s="69"/>
      <c r="EHJ36" s="69"/>
      <c r="EHK36" s="69"/>
      <c r="EHL36" s="69"/>
      <c r="EHM36" s="69"/>
      <c r="EHN36" s="69"/>
      <c r="EHO36" s="69"/>
      <c r="EHP36" s="69"/>
      <c r="EHQ36" s="69"/>
      <c r="EHR36" s="69"/>
      <c r="EHS36" s="69"/>
      <c r="EHT36" s="69"/>
      <c r="EHU36" s="69"/>
      <c r="EHV36" s="69"/>
      <c r="EHW36" s="69"/>
      <c r="EHX36" s="69"/>
      <c r="EHY36" s="69"/>
      <c r="EHZ36" s="69"/>
      <c r="EIA36" s="69"/>
      <c r="EIB36" s="69"/>
      <c r="EIC36" s="69"/>
      <c r="EID36" s="69"/>
      <c r="EIE36" s="69"/>
      <c r="EIF36" s="69"/>
      <c r="EIG36" s="69"/>
      <c r="EIH36" s="69"/>
      <c r="EII36" s="69"/>
      <c r="EIJ36" s="69"/>
      <c r="EIK36" s="69"/>
      <c r="EIL36" s="69"/>
      <c r="EIM36" s="69"/>
      <c r="EIN36" s="69"/>
      <c r="EIO36" s="69"/>
      <c r="EIP36" s="69"/>
      <c r="EIQ36" s="69"/>
      <c r="EIR36" s="69"/>
      <c r="EIS36" s="69"/>
      <c r="EIT36" s="69"/>
      <c r="EIU36" s="69"/>
      <c r="EIV36" s="69"/>
      <c r="EIW36" s="69"/>
      <c r="EIX36" s="69"/>
      <c r="EIY36" s="69"/>
      <c r="EIZ36" s="69"/>
      <c r="EJA36" s="69"/>
      <c r="EJB36" s="69"/>
      <c r="EJC36" s="69"/>
      <c r="EJD36" s="69"/>
      <c r="EJE36" s="69"/>
      <c r="EJF36" s="69"/>
      <c r="EJG36" s="69"/>
      <c r="EJH36" s="69"/>
      <c r="EJI36" s="69"/>
      <c r="EJJ36" s="69"/>
      <c r="EJK36" s="69"/>
      <c r="EJL36" s="69"/>
      <c r="EJM36" s="69"/>
      <c r="EJN36" s="69"/>
      <c r="EJO36" s="69"/>
      <c r="EJP36" s="69"/>
      <c r="EJQ36" s="69"/>
      <c r="EJR36" s="69"/>
      <c r="EJS36" s="69"/>
      <c r="EJT36" s="69"/>
      <c r="EJU36" s="69"/>
      <c r="EJV36" s="69"/>
      <c r="EJW36" s="69"/>
      <c r="EJX36" s="69"/>
      <c r="EJY36" s="69"/>
      <c r="EJZ36" s="69"/>
      <c r="EKA36" s="69"/>
      <c r="EKB36" s="69"/>
      <c r="EKC36" s="69"/>
      <c r="EKD36" s="69"/>
      <c r="EKE36" s="69"/>
      <c r="EKF36" s="69"/>
      <c r="EKG36" s="69"/>
      <c r="EKH36" s="69"/>
      <c r="EKI36" s="69"/>
      <c r="EKJ36" s="69"/>
      <c r="EKK36" s="69"/>
      <c r="EKL36" s="69"/>
      <c r="EKM36" s="69"/>
      <c r="EKN36" s="69"/>
      <c r="EKO36" s="69"/>
      <c r="EKP36" s="69"/>
      <c r="EKQ36" s="69"/>
      <c r="EKR36" s="69"/>
      <c r="EKS36" s="69"/>
      <c r="EKT36" s="69"/>
      <c r="EKU36" s="69"/>
      <c r="EKV36" s="69"/>
      <c r="EKW36" s="69"/>
      <c r="EKX36" s="69"/>
      <c r="EKY36" s="69"/>
      <c r="EKZ36" s="69"/>
      <c r="ELA36" s="69"/>
      <c r="ELB36" s="69"/>
      <c r="ELC36" s="69"/>
      <c r="ELD36" s="69"/>
      <c r="ELE36" s="69"/>
      <c r="ELF36" s="69"/>
      <c r="ELG36" s="69"/>
      <c r="ELH36" s="69"/>
      <c r="ELI36" s="69"/>
      <c r="ELJ36" s="69"/>
      <c r="ELK36" s="69"/>
      <c r="ELL36" s="69"/>
      <c r="ELM36" s="69"/>
      <c r="ELN36" s="69"/>
      <c r="ELO36" s="69"/>
      <c r="ELP36" s="69"/>
      <c r="ELQ36" s="69"/>
      <c r="ELR36" s="69"/>
      <c r="ELS36" s="69"/>
      <c r="ELT36" s="69"/>
      <c r="ELU36" s="69"/>
      <c r="ELV36" s="69"/>
      <c r="ELW36" s="69"/>
      <c r="ELX36" s="69"/>
      <c r="ELY36" s="69"/>
      <c r="ELZ36" s="69"/>
      <c r="EMA36" s="69"/>
      <c r="EMB36" s="69"/>
      <c r="EMC36" s="69"/>
      <c r="EMD36" s="69"/>
      <c r="EME36" s="69"/>
      <c r="EMF36" s="69"/>
      <c r="EMG36" s="69"/>
      <c r="EMH36" s="69"/>
      <c r="EMI36" s="69"/>
      <c r="EMJ36" s="69"/>
      <c r="EMK36" s="69"/>
      <c r="EML36" s="69"/>
      <c r="EMM36" s="69"/>
      <c r="EMN36" s="69"/>
      <c r="EMO36" s="69"/>
      <c r="EMP36" s="69"/>
      <c r="EMQ36" s="69"/>
      <c r="EMR36" s="69"/>
      <c r="EMS36" s="69"/>
      <c r="EMT36" s="69"/>
      <c r="EMU36" s="69"/>
      <c r="EMV36" s="69"/>
      <c r="EMW36" s="69"/>
      <c r="EMX36" s="69"/>
      <c r="EMY36" s="69"/>
      <c r="EMZ36" s="69"/>
      <c r="ENA36" s="69"/>
      <c r="ENB36" s="69"/>
      <c r="ENC36" s="69"/>
      <c r="END36" s="69"/>
      <c r="ENE36" s="69"/>
      <c r="ENF36" s="69"/>
      <c r="ENG36" s="69"/>
      <c r="ENH36" s="69"/>
      <c r="ENI36" s="69"/>
      <c r="ENJ36" s="69"/>
      <c r="ENK36" s="69"/>
      <c r="ENL36" s="69"/>
      <c r="ENM36" s="69"/>
      <c r="ENN36" s="69"/>
      <c r="ENO36" s="69"/>
      <c r="ENP36" s="69"/>
      <c r="ENQ36" s="69"/>
      <c r="ENR36" s="69"/>
      <c r="ENS36" s="69"/>
      <c r="ENT36" s="69"/>
      <c r="ENU36" s="69"/>
      <c r="ENV36" s="69"/>
      <c r="ENW36" s="69"/>
      <c r="ENX36" s="69"/>
      <c r="ENY36" s="69"/>
      <c r="ENZ36" s="69"/>
      <c r="EOA36" s="69"/>
      <c r="EOB36" s="69"/>
      <c r="EOC36" s="69"/>
      <c r="EOD36" s="69"/>
      <c r="EOE36" s="69"/>
      <c r="EOF36" s="69"/>
      <c r="EOG36" s="69"/>
      <c r="EOH36" s="69"/>
      <c r="EOI36" s="69"/>
      <c r="EOJ36" s="69"/>
      <c r="EOK36" s="69"/>
      <c r="EOL36" s="69"/>
      <c r="EOM36" s="69"/>
      <c r="EON36" s="69"/>
      <c r="EOO36" s="69"/>
      <c r="EOP36" s="69"/>
      <c r="EOQ36" s="69"/>
      <c r="EOR36" s="69"/>
      <c r="EOS36" s="69"/>
      <c r="EOT36" s="69"/>
      <c r="EOU36" s="69"/>
      <c r="EOV36" s="69"/>
      <c r="EOW36" s="69"/>
      <c r="EOX36" s="69"/>
      <c r="EOY36" s="69"/>
      <c r="EOZ36" s="69"/>
      <c r="EPA36" s="69"/>
      <c r="EPB36" s="69"/>
      <c r="EPC36" s="69"/>
      <c r="EPD36" s="69"/>
      <c r="EPE36" s="69"/>
      <c r="EPF36" s="69"/>
      <c r="EPG36" s="69"/>
      <c r="EPH36" s="69"/>
      <c r="EPI36" s="69"/>
      <c r="EPJ36" s="69"/>
      <c r="EPK36" s="69"/>
      <c r="EPL36" s="69"/>
      <c r="EPM36" s="69"/>
      <c r="EPN36" s="69"/>
      <c r="EPO36" s="69"/>
      <c r="EPP36" s="69"/>
      <c r="EPQ36" s="69"/>
      <c r="EPR36" s="69"/>
      <c r="EPS36" s="69"/>
      <c r="EPT36" s="69"/>
      <c r="EPU36" s="69"/>
      <c r="EPV36" s="69"/>
      <c r="EPW36" s="69"/>
      <c r="EPX36" s="69"/>
      <c r="EPY36" s="69"/>
      <c r="EPZ36" s="69"/>
      <c r="EQA36" s="69"/>
      <c r="EQB36" s="69"/>
      <c r="EQC36" s="69"/>
      <c r="EQD36" s="69"/>
      <c r="EQE36" s="69"/>
      <c r="EQF36" s="69"/>
      <c r="EQG36" s="69"/>
      <c r="EQH36" s="69"/>
      <c r="EQI36" s="69"/>
      <c r="EQJ36" s="69"/>
      <c r="EQK36" s="69"/>
      <c r="EQL36" s="69"/>
      <c r="EQM36" s="69"/>
      <c r="EQN36" s="69"/>
      <c r="EQO36" s="69"/>
      <c r="EQP36" s="69"/>
      <c r="EQQ36" s="69"/>
      <c r="EQR36" s="69"/>
      <c r="EQS36" s="69"/>
      <c r="EQT36" s="69"/>
      <c r="EQU36" s="69"/>
      <c r="EQV36" s="69"/>
      <c r="EQW36" s="69"/>
      <c r="EQX36" s="69"/>
      <c r="EQY36" s="69"/>
      <c r="EQZ36" s="69"/>
      <c r="ERA36" s="69"/>
      <c r="ERB36" s="69"/>
      <c r="ERC36" s="69"/>
      <c r="ERD36" s="69"/>
      <c r="ERE36" s="69"/>
      <c r="ERF36" s="69"/>
      <c r="ERG36" s="69"/>
      <c r="ERH36" s="69"/>
      <c r="ERI36" s="69"/>
      <c r="ERJ36" s="69"/>
      <c r="ERK36" s="69"/>
      <c r="ERL36" s="69"/>
      <c r="ERM36" s="69"/>
      <c r="ERN36" s="69"/>
      <c r="ERO36" s="69"/>
      <c r="ERP36" s="69"/>
      <c r="ERQ36" s="69"/>
      <c r="ERR36" s="69"/>
      <c r="ERS36" s="69"/>
      <c r="ERT36" s="69"/>
      <c r="ERU36" s="69"/>
      <c r="ERV36" s="69"/>
      <c r="ERW36" s="69"/>
      <c r="ERX36" s="69"/>
      <c r="ERY36" s="69"/>
      <c r="ERZ36" s="69"/>
      <c r="ESA36" s="69"/>
      <c r="ESB36" s="69"/>
      <c r="ESC36" s="69"/>
      <c r="ESD36" s="69"/>
      <c r="ESE36" s="69"/>
      <c r="ESF36" s="69"/>
      <c r="ESG36" s="69"/>
      <c r="ESH36" s="69"/>
      <c r="ESI36" s="69"/>
      <c r="ESJ36" s="69"/>
      <c r="ESK36" s="69"/>
      <c r="ESL36" s="69"/>
      <c r="ESM36" s="69"/>
      <c r="ESN36" s="69"/>
      <c r="ESO36" s="69"/>
      <c r="ESP36" s="69"/>
      <c r="ESQ36" s="69"/>
      <c r="ESR36" s="69"/>
      <c r="ESS36" s="69"/>
      <c r="EST36" s="69"/>
      <c r="ESU36" s="69"/>
      <c r="ESV36" s="69"/>
      <c r="ESW36" s="69"/>
      <c r="ESX36" s="69"/>
      <c r="ESY36" s="69"/>
      <c r="ESZ36" s="69"/>
      <c r="ETA36" s="69"/>
      <c r="ETB36" s="69"/>
      <c r="ETC36" s="69"/>
      <c r="ETD36" s="69"/>
      <c r="ETE36" s="69"/>
      <c r="ETF36" s="69"/>
      <c r="ETG36" s="69"/>
      <c r="ETH36" s="69"/>
      <c r="ETI36" s="69"/>
      <c r="ETJ36" s="69"/>
      <c r="ETK36" s="69"/>
      <c r="ETL36" s="69"/>
      <c r="ETM36" s="69"/>
      <c r="ETN36" s="69"/>
      <c r="ETO36" s="69"/>
      <c r="ETP36" s="69"/>
      <c r="ETQ36" s="69"/>
      <c r="ETR36" s="69"/>
      <c r="ETS36" s="69"/>
      <c r="ETT36" s="69"/>
      <c r="ETU36" s="69"/>
      <c r="ETV36" s="69"/>
      <c r="ETW36" s="69"/>
      <c r="ETX36" s="69"/>
      <c r="ETY36" s="69"/>
      <c r="ETZ36" s="69"/>
      <c r="EUA36" s="69"/>
      <c r="EUB36" s="69"/>
      <c r="EUC36" s="69"/>
      <c r="EUD36" s="69"/>
      <c r="EUE36" s="69"/>
      <c r="EUF36" s="69"/>
      <c r="EUG36" s="69"/>
      <c r="EUH36" s="69"/>
      <c r="EUI36" s="69"/>
      <c r="EUJ36" s="69"/>
      <c r="EUK36" s="69"/>
      <c r="EUL36" s="69"/>
      <c r="EUM36" s="69"/>
      <c r="EUN36" s="69"/>
      <c r="EUO36" s="69"/>
      <c r="EUP36" s="69"/>
      <c r="EUQ36" s="69"/>
      <c r="EUR36" s="69"/>
      <c r="EUS36" s="69"/>
      <c r="EUT36" s="69"/>
      <c r="EUU36" s="69"/>
      <c r="EUV36" s="69"/>
      <c r="EUW36" s="69"/>
      <c r="EUX36" s="69"/>
      <c r="EUY36" s="69"/>
      <c r="EUZ36" s="69"/>
      <c r="EVA36" s="69"/>
      <c r="EVB36" s="69"/>
      <c r="EVC36" s="69"/>
      <c r="EVD36" s="69"/>
      <c r="EVE36" s="69"/>
      <c r="EVF36" s="69"/>
      <c r="EVG36" s="69"/>
      <c r="EVH36" s="69"/>
      <c r="EVI36" s="69"/>
      <c r="EVJ36" s="69"/>
      <c r="EVK36" s="69"/>
      <c r="EVL36" s="69"/>
      <c r="EVM36" s="69"/>
      <c r="EVN36" s="69"/>
      <c r="EVO36" s="69"/>
      <c r="EVP36" s="69"/>
      <c r="EVQ36" s="69"/>
      <c r="EVR36" s="69"/>
      <c r="EVS36" s="69"/>
      <c r="EVT36" s="69"/>
      <c r="EVU36" s="69"/>
      <c r="EVV36" s="69"/>
      <c r="EVW36" s="69"/>
      <c r="EVX36" s="69"/>
      <c r="EVY36" s="69"/>
      <c r="EVZ36" s="69"/>
      <c r="EWA36" s="69"/>
      <c r="EWB36" s="69"/>
      <c r="EWC36" s="69"/>
      <c r="EWD36" s="69"/>
      <c r="EWE36" s="69"/>
      <c r="EWF36" s="69"/>
      <c r="EWG36" s="69"/>
      <c r="EWH36" s="69"/>
      <c r="EWI36" s="69"/>
      <c r="EWJ36" s="69"/>
      <c r="EWK36" s="69"/>
      <c r="EWL36" s="69"/>
      <c r="EWM36" s="69"/>
      <c r="EWN36" s="69"/>
      <c r="EWO36" s="69"/>
      <c r="EWP36" s="69"/>
      <c r="EWQ36" s="69"/>
      <c r="EWR36" s="69"/>
      <c r="EWS36" s="69"/>
      <c r="EWT36" s="69"/>
      <c r="EWU36" s="69"/>
      <c r="EWV36" s="69"/>
      <c r="EWW36" s="69"/>
      <c r="EWX36" s="69"/>
      <c r="EWY36" s="69"/>
      <c r="EWZ36" s="69"/>
      <c r="EXA36" s="69"/>
      <c r="EXB36" s="69"/>
      <c r="EXC36" s="69"/>
      <c r="EXD36" s="69"/>
      <c r="EXE36" s="69"/>
      <c r="EXF36" s="69"/>
      <c r="EXG36" s="69"/>
      <c r="EXH36" s="69"/>
      <c r="EXI36" s="69"/>
      <c r="EXJ36" s="69"/>
      <c r="EXK36" s="69"/>
      <c r="EXL36" s="69"/>
      <c r="EXM36" s="69"/>
      <c r="EXN36" s="69"/>
      <c r="EXO36" s="69"/>
      <c r="EXP36" s="69"/>
      <c r="EXQ36" s="69"/>
      <c r="EXR36" s="69"/>
      <c r="EXS36" s="69"/>
      <c r="EXT36" s="69"/>
      <c r="EXU36" s="69"/>
      <c r="EXV36" s="69"/>
      <c r="EXW36" s="69"/>
      <c r="EXX36" s="69"/>
      <c r="EXY36" s="69"/>
      <c r="EXZ36" s="69"/>
      <c r="EYA36" s="69"/>
      <c r="EYB36" s="69"/>
      <c r="EYC36" s="69"/>
      <c r="EYD36" s="69"/>
      <c r="EYE36" s="69"/>
      <c r="EYF36" s="69"/>
      <c r="EYG36" s="69"/>
      <c r="EYH36" s="69"/>
      <c r="EYI36" s="69"/>
      <c r="EYJ36" s="69"/>
      <c r="EYK36" s="69"/>
      <c r="EYL36" s="69"/>
      <c r="EYM36" s="69"/>
      <c r="EYN36" s="69"/>
      <c r="EYO36" s="69"/>
      <c r="EYP36" s="69"/>
      <c r="EYQ36" s="69"/>
      <c r="EYR36" s="69"/>
      <c r="EYS36" s="69"/>
      <c r="EYT36" s="69"/>
      <c r="EYU36" s="69"/>
      <c r="EYV36" s="69"/>
      <c r="EYW36" s="69"/>
      <c r="EYX36" s="69"/>
      <c r="EYY36" s="69"/>
      <c r="EYZ36" s="69"/>
      <c r="EZA36" s="69"/>
      <c r="EZB36" s="69"/>
      <c r="EZC36" s="69"/>
      <c r="EZD36" s="69"/>
      <c r="EZE36" s="69"/>
      <c r="EZF36" s="69"/>
      <c r="EZG36" s="69"/>
      <c r="EZH36" s="69"/>
      <c r="EZI36" s="69"/>
      <c r="EZJ36" s="69"/>
      <c r="EZK36" s="69"/>
      <c r="EZL36" s="69"/>
      <c r="EZM36" s="69"/>
      <c r="EZN36" s="69"/>
      <c r="EZO36" s="69"/>
      <c r="EZP36" s="69"/>
      <c r="EZQ36" s="69"/>
      <c r="EZR36" s="69"/>
      <c r="EZS36" s="69"/>
      <c r="EZT36" s="69"/>
      <c r="EZU36" s="69"/>
      <c r="EZV36" s="69"/>
      <c r="EZW36" s="69"/>
      <c r="EZX36" s="69"/>
      <c r="EZY36" s="69"/>
      <c r="EZZ36" s="69"/>
      <c r="FAA36" s="69"/>
      <c r="FAB36" s="69"/>
      <c r="FAC36" s="69"/>
      <c r="FAD36" s="69"/>
      <c r="FAE36" s="69"/>
      <c r="FAF36" s="69"/>
      <c r="FAG36" s="69"/>
      <c r="FAH36" s="69"/>
      <c r="FAI36" s="69"/>
      <c r="FAJ36" s="69"/>
      <c r="FAK36" s="69"/>
      <c r="FAL36" s="69"/>
      <c r="FAM36" s="69"/>
      <c r="FAN36" s="69"/>
      <c r="FAO36" s="69"/>
      <c r="FAP36" s="69"/>
      <c r="FAQ36" s="69"/>
      <c r="FAR36" s="69"/>
      <c r="FAS36" s="69"/>
      <c r="FAT36" s="69"/>
      <c r="FAU36" s="69"/>
      <c r="FAV36" s="69"/>
      <c r="FAW36" s="69"/>
      <c r="FAX36" s="69"/>
      <c r="FAY36" s="69"/>
      <c r="FAZ36" s="69"/>
      <c r="FBA36" s="69"/>
      <c r="FBB36" s="69"/>
      <c r="FBC36" s="69"/>
      <c r="FBD36" s="69"/>
      <c r="FBE36" s="69"/>
      <c r="FBF36" s="69"/>
      <c r="FBG36" s="69"/>
      <c r="FBH36" s="69"/>
      <c r="FBI36" s="69"/>
      <c r="FBJ36" s="69"/>
      <c r="FBK36" s="69"/>
      <c r="FBL36" s="69"/>
      <c r="FBM36" s="69"/>
      <c r="FBN36" s="69"/>
      <c r="FBO36" s="69"/>
      <c r="FBP36" s="69"/>
      <c r="FBQ36" s="69"/>
      <c r="FBR36" s="69"/>
      <c r="FBS36" s="69"/>
      <c r="FBT36" s="69"/>
      <c r="FBU36" s="69"/>
      <c r="FBV36" s="69"/>
      <c r="FBW36" s="69"/>
      <c r="FBX36" s="69"/>
      <c r="FBY36" s="69"/>
      <c r="FBZ36" s="69"/>
      <c r="FCA36" s="69"/>
      <c r="FCB36" s="69"/>
      <c r="FCC36" s="69"/>
      <c r="FCD36" s="69"/>
      <c r="FCE36" s="69"/>
      <c r="FCF36" s="69"/>
      <c r="FCG36" s="69"/>
      <c r="FCH36" s="69"/>
      <c r="FCI36" s="69"/>
      <c r="FCJ36" s="69"/>
      <c r="FCK36" s="69"/>
      <c r="FCL36" s="69"/>
      <c r="FCM36" s="69"/>
      <c r="FCN36" s="69"/>
      <c r="FCO36" s="69"/>
      <c r="FCP36" s="69"/>
      <c r="FCQ36" s="69"/>
      <c r="FCR36" s="69"/>
      <c r="FCS36" s="69"/>
      <c r="FCT36" s="69"/>
      <c r="FCU36" s="69"/>
      <c r="FCV36" s="69"/>
      <c r="FCW36" s="69"/>
      <c r="FCX36" s="69"/>
      <c r="FCY36" s="69"/>
      <c r="FCZ36" s="69"/>
      <c r="FDA36" s="69"/>
      <c r="FDB36" s="69"/>
      <c r="FDC36" s="69"/>
      <c r="FDD36" s="69"/>
      <c r="FDE36" s="69"/>
      <c r="FDF36" s="69"/>
      <c r="FDG36" s="69"/>
      <c r="FDH36" s="69"/>
      <c r="FDI36" s="69"/>
      <c r="FDJ36" s="69"/>
      <c r="FDK36" s="69"/>
      <c r="FDL36" s="69"/>
      <c r="FDM36" s="69"/>
      <c r="FDN36" s="69"/>
      <c r="FDO36" s="69"/>
      <c r="FDP36" s="69"/>
      <c r="FDQ36" s="69"/>
      <c r="FDR36" s="69"/>
      <c r="FDS36" s="69"/>
      <c r="FDT36" s="69"/>
      <c r="FDU36" s="69"/>
      <c r="FDV36" s="69"/>
      <c r="FDW36" s="69"/>
      <c r="FDX36" s="69"/>
      <c r="FDY36" s="69"/>
      <c r="FDZ36" s="69"/>
      <c r="FEA36" s="69"/>
      <c r="FEB36" s="69"/>
      <c r="FEC36" s="69"/>
      <c r="FED36" s="69"/>
      <c r="FEE36" s="69"/>
      <c r="FEF36" s="69"/>
      <c r="FEG36" s="69"/>
      <c r="FEH36" s="69"/>
      <c r="FEI36" s="69"/>
      <c r="FEJ36" s="69"/>
      <c r="FEK36" s="69"/>
      <c r="FEL36" s="69"/>
      <c r="FEM36" s="69"/>
      <c r="FEN36" s="69"/>
      <c r="FEO36" s="69"/>
      <c r="FEP36" s="69"/>
      <c r="FEQ36" s="69"/>
      <c r="FER36" s="69"/>
      <c r="FES36" s="69"/>
      <c r="FET36" s="69"/>
      <c r="FEU36" s="69"/>
      <c r="FEV36" s="69"/>
      <c r="FEW36" s="69"/>
      <c r="FEX36" s="69"/>
      <c r="FEY36" s="69"/>
      <c r="FEZ36" s="69"/>
      <c r="FFA36" s="69"/>
      <c r="FFB36" s="69"/>
      <c r="FFC36" s="69"/>
      <c r="FFD36" s="69"/>
      <c r="FFE36" s="69"/>
      <c r="FFF36" s="69"/>
      <c r="FFG36" s="69"/>
      <c r="FFH36" s="69"/>
      <c r="FFI36" s="69"/>
      <c r="FFJ36" s="69"/>
      <c r="FFK36" s="69"/>
      <c r="FFL36" s="69"/>
      <c r="FFM36" s="69"/>
      <c r="FFN36" s="69"/>
      <c r="FFO36" s="69"/>
      <c r="FFP36" s="69"/>
      <c r="FFQ36" s="69"/>
      <c r="FFR36" s="69"/>
      <c r="FFS36" s="69"/>
      <c r="FFT36" s="69"/>
      <c r="FFU36" s="69"/>
      <c r="FFV36" s="69"/>
      <c r="FFW36" s="69"/>
      <c r="FFX36" s="69"/>
      <c r="FFY36" s="69"/>
      <c r="FFZ36" s="69"/>
      <c r="FGA36" s="69"/>
      <c r="FGB36" s="69"/>
      <c r="FGC36" s="69"/>
      <c r="FGD36" s="69"/>
      <c r="FGE36" s="69"/>
      <c r="FGF36" s="69"/>
      <c r="FGG36" s="69"/>
      <c r="FGH36" s="69"/>
      <c r="FGI36" s="69"/>
      <c r="FGJ36" s="69"/>
      <c r="FGK36" s="69"/>
      <c r="FGL36" s="69"/>
      <c r="FGM36" s="69"/>
      <c r="FGN36" s="69"/>
      <c r="FGO36" s="69"/>
      <c r="FGP36" s="69"/>
      <c r="FGQ36" s="69"/>
      <c r="FGR36" s="69"/>
      <c r="FGS36" s="69"/>
      <c r="FGT36" s="69"/>
      <c r="FGU36" s="69"/>
      <c r="FGV36" s="69"/>
      <c r="FGW36" s="69"/>
      <c r="FGX36" s="69"/>
      <c r="FGY36" s="69"/>
      <c r="FGZ36" s="69"/>
      <c r="FHA36" s="69"/>
      <c r="FHB36" s="69"/>
      <c r="FHC36" s="69"/>
      <c r="FHD36" s="69"/>
      <c r="FHE36" s="69"/>
      <c r="FHF36" s="69"/>
      <c r="FHG36" s="69"/>
      <c r="FHH36" s="69"/>
      <c r="FHI36" s="69"/>
      <c r="FHJ36" s="69"/>
      <c r="FHK36" s="69"/>
      <c r="FHL36" s="69"/>
      <c r="FHM36" s="69"/>
      <c r="FHN36" s="69"/>
      <c r="FHO36" s="69"/>
      <c r="FHP36" s="69"/>
      <c r="FHQ36" s="69"/>
      <c r="FHR36" s="69"/>
      <c r="FHS36" s="69"/>
      <c r="FHT36" s="69"/>
      <c r="FHU36" s="69"/>
      <c r="FHV36" s="69"/>
      <c r="FHW36" s="69"/>
      <c r="FHX36" s="69"/>
      <c r="FHY36" s="69"/>
      <c r="FHZ36" s="69"/>
      <c r="FIA36" s="69"/>
      <c r="FIB36" s="69"/>
      <c r="FIC36" s="69"/>
      <c r="FID36" s="69"/>
      <c r="FIE36" s="69"/>
      <c r="FIF36" s="69"/>
      <c r="FIG36" s="69"/>
      <c r="FIH36" s="69"/>
      <c r="FII36" s="69"/>
      <c r="FIJ36" s="69"/>
      <c r="FIK36" s="69"/>
      <c r="FIL36" s="69"/>
      <c r="FIM36" s="69"/>
      <c r="FIN36" s="69"/>
      <c r="FIO36" s="69"/>
      <c r="FIP36" s="69"/>
      <c r="FIQ36" s="69"/>
      <c r="FIR36" s="69"/>
      <c r="FIS36" s="69"/>
      <c r="FIT36" s="69"/>
      <c r="FIU36" s="69"/>
      <c r="FIV36" s="69"/>
      <c r="FIW36" s="69"/>
      <c r="FIX36" s="69"/>
      <c r="FIY36" s="69"/>
      <c r="FIZ36" s="69"/>
      <c r="FJA36" s="69"/>
      <c r="FJB36" s="69"/>
      <c r="FJC36" s="69"/>
      <c r="FJD36" s="69"/>
      <c r="FJE36" s="69"/>
      <c r="FJF36" s="69"/>
      <c r="FJG36" s="69"/>
      <c r="FJH36" s="69"/>
      <c r="FJI36" s="69"/>
      <c r="FJJ36" s="69"/>
      <c r="FJK36" s="69"/>
      <c r="FJL36" s="69"/>
      <c r="FJM36" s="69"/>
      <c r="FJN36" s="69"/>
      <c r="FJO36" s="69"/>
      <c r="FJP36" s="69"/>
      <c r="FJQ36" s="69"/>
      <c r="FJR36" s="69"/>
      <c r="FJS36" s="69"/>
      <c r="FJT36" s="69"/>
      <c r="FJU36" s="69"/>
      <c r="FJV36" s="69"/>
      <c r="FJW36" s="69"/>
      <c r="FJX36" s="69"/>
      <c r="FJY36" s="69"/>
      <c r="FJZ36" s="69"/>
      <c r="FKA36" s="69"/>
      <c r="FKB36" s="69"/>
      <c r="FKC36" s="69"/>
      <c r="FKD36" s="69"/>
      <c r="FKE36" s="69"/>
      <c r="FKF36" s="69"/>
      <c r="FKG36" s="69"/>
      <c r="FKH36" s="69"/>
      <c r="FKI36" s="69"/>
      <c r="FKJ36" s="69"/>
      <c r="FKK36" s="69"/>
      <c r="FKL36" s="69"/>
      <c r="FKM36" s="69"/>
      <c r="FKN36" s="69"/>
      <c r="FKO36" s="69"/>
      <c r="FKP36" s="69"/>
      <c r="FKQ36" s="69"/>
      <c r="FKR36" s="69"/>
      <c r="FKS36" s="69"/>
      <c r="FKT36" s="69"/>
      <c r="FKU36" s="69"/>
      <c r="FKV36" s="69"/>
      <c r="FKW36" s="69"/>
      <c r="FKX36" s="69"/>
      <c r="FKY36" s="69"/>
      <c r="FKZ36" s="69"/>
      <c r="FLA36" s="69"/>
      <c r="FLB36" s="69"/>
      <c r="FLC36" s="69"/>
      <c r="FLD36" s="69"/>
      <c r="FLE36" s="69"/>
      <c r="FLF36" s="69"/>
      <c r="FLG36" s="69"/>
      <c r="FLH36" s="69"/>
      <c r="FLI36" s="69"/>
      <c r="FLJ36" s="69"/>
      <c r="FLK36" s="69"/>
      <c r="FLL36" s="69"/>
      <c r="FLM36" s="69"/>
      <c r="FLN36" s="69"/>
      <c r="FLO36" s="69"/>
      <c r="FLP36" s="69"/>
      <c r="FLQ36" s="69"/>
      <c r="FLR36" s="69"/>
      <c r="FLS36" s="69"/>
      <c r="FLT36" s="69"/>
      <c r="FLU36" s="69"/>
      <c r="FLV36" s="69"/>
      <c r="FLW36" s="69"/>
      <c r="FLX36" s="69"/>
      <c r="FLY36" s="69"/>
      <c r="FLZ36" s="69"/>
      <c r="FMA36" s="69"/>
      <c r="FMB36" s="69"/>
      <c r="FMC36" s="69"/>
      <c r="FMD36" s="69"/>
      <c r="FME36" s="69"/>
      <c r="FMF36" s="69"/>
      <c r="FMG36" s="69"/>
      <c r="FMH36" s="69"/>
      <c r="FMI36" s="69"/>
      <c r="FMJ36" s="69"/>
      <c r="FMK36" s="69"/>
      <c r="FML36" s="69"/>
      <c r="FMM36" s="69"/>
      <c r="FMN36" s="69"/>
      <c r="FMO36" s="69"/>
      <c r="FMP36" s="69"/>
      <c r="FMQ36" s="69"/>
      <c r="FMR36" s="69"/>
      <c r="FMS36" s="69"/>
      <c r="FMT36" s="69"/>
      <c r="FMU36" s="69"/>
      <c r="FMV36" s="69"/>
      <c r="FMW36" s="69"/>
      <c r="FMX36" s="69"/>
      <c r="FMY36" s="69"/>
      <c r="FMZ36" s="69"/>
      <c r="FNA36" s="69"/>
      <c r="FNB36" s="69"/>
      <c r="FNC36" s="69"/>
      <c r="FND36" s="69"/>
      <c r="FNE36" s="69"/>
      <c r="FNF36" s="69"/>
      <c r="FNG36" s="69"/>
      <c r="FNH36" s="69"/>
      <c r="FNI36" s="69"/>
      <c r="FNJ36" s="69"/>
      <c r="FNK36" s="69"/>
      <c r="FNL36" s="69"/>
      <c r="FNM36" s="69"/>
      <c r="FNN36" s="69"/>
      <c r="FNO36" s="69"/>
      <c r="FNP36" s="69"/>
      <c r="FNQ36" s="69"/>
      <c r="FNR36" s="69"/>
      <c r="FNS36" s="69"/>
      <c r="FNT36" s="69"/>
      <c r="FNU36" s="69"/>
      <c r="FNV36" s="69"/>
      <c r="FNW36" s="69"/>
      <c r="FNX36" s="69"/>
      <c r="FNY36" s="69"/>
      <c r="FNZ36" s="69"/>
      <c r="FOA36" s="69"/>
      <c r="FOB36" s="69"/>
      <c r="FOC36" s="69"/>
      <c r="FOD36" s="69"/>
      <c r="FOE36" s="69"/>
      <c r="FOF36" s="69"/>
      <c r="FOG36" s="69"/>
      <c r="FOH36" s="69"/>
      <c r="FOI36" s="69"/>
      <c r="FOJ36" s="69"/>
      <c r="FOK36" s="69"/>
      <c r="FOL36" s="69"/>
      <c r="FOM36" s="69"/>
      <c r="FON36" s="69"/>
      <c r="FOO36" s="69"/>
      <c r="FOP36" s="69"/>
      <c r="FOQ36" s="69"/>
      <c r="FOR36" s="69"/>
      <c r="FOS36" s="69"/>
      <c r="FOT36" s="69"/>
      <c r="FOU36" s="69"/>
      <c r="FOV36" s="69"/>
      <c r="FOW36" s="69"/>
      <c r="FOX36" s="69"/>
      <c r="FOY36" s="69"/>
      <c r="FOZ36" s="69"/>
      <c r="FPA36" s="69"/>
      <c r="FPB36" s="69"/>
      <c r="FPC36" s="69"/>
      <c r="FPD36" s="69"/>
      <c r="FPE36" s="69"/>
      <c r="FPF36" s="69"/>
      <c r="FPG36" s="69"/>
      <c r="FPH36" s="69"/>
      <c r="FPI36" s="69"/>
      <c r="FPJ36" s="69"/>
      <c r="FPK36" s="69"/>
      <c r="FPL36" s="69"/>
      <c r="FPM36" s="69"/>
      <c r="FPN36" s="69"/>
      <c r="FPO36" s="69"/>
      <c r="FPP36" s="69"/>
      <c r="FPQ36" s="69"/>
      <c r="FPR36" s="69"/>
      <c r="FPS36" s="69"/>
      <c r="FPT36" s="69"/>
      <c r="FPU36" s="69"/>
      <c r="FPV36" s="69"/>
      <c r="FPW36" s="69"/>
      <c r="FPX36" s="69"/>
      <c r="FPY36" s="69"/>
      <c r="FPZ36" s="69"/>
      <c r="FQA36" s="69"/>
      <c r="FQB36" s="69"/>
      <c r="FQC36" s="69"/>
      <c r="FQD36" s="69"/>
      <c r="FQE36" s="69"/>
      <c r="FQF36" s="69"/>
      <c r="FQG36" s="69"/>
      <c r="FQH36" s="69"/>
      <c r="FQI36" s="69"/>
      <c r="FQJ36" s="69"/>
      <c r="FQK36" s="69"/>
      <c r="FQL36" s="69"/>
      <c r="FQM36" s="69"/>
      <c r="FQN36" s="69"/>
      <c r="FQO36" s="69"/>
      <c r="FQP36" s="69"/>
      <c r="FQQ36" s="69"/>
      <c r="FQR36" s="69"/>
      <c r="FQS36" s="69"/>
      <c r="FQT36" s="69"/>
      <c r="FQU36" s="69"/>
      <c r="FQV36" s="69"/>
      <c r="FQW36" s="69"/>
      <c r="FQX36" s="69"/>
      <c r="FQY36" s="69"/>
      <c r="FQZ36" s="69"/>
      <c r="FRA36" s="69"/>
      <c r="FRB36" s="69"/>
      <c r="FRC36" s="69"/>
      <c r="FRD36" s="69"/>
      <c r="FRE36" s="69"/>
      <c r="FRF36" s="69"/>
      <c r="FRG36" s="69"/>
      <c r="FRH36" s="69"/>
      <c r="FRI36" s="69"/>
      <c r="FRJ36" s="69"/>
      <c r="FRK36" s="69"/>
      <c r="FRL36" s="69"/>
      <c r="FRM36" s="69"/>
      <c r="FRN36" s="69"/>
      <c r="FRO36" s="69"/>
      <c r="FRP36" s="69"/>
      <c r="FRQ36" s="69"/>
      <c r="FRR36" s="69"/>
      <c r="FRS36" s="69"/>
      <c r="FRT36" s="69"/>
      <c r="FRU36" s="69"/>
      <c r="FRV36" s="69"/>
      <c r="FRW36" s="69"/>
      <c r="FRX36" s="69"/>
      <c r="FRY36" s="69"/>
      <c r="FRZ36" s="69"/>
      <c r="FSA36" s="69"/>
      <c r="FSB36" s="69"/>
      <c r="FSC36" s="69"/>
      <c r="FSD36" s="69"/>
      <c r="FSE36" s="69"/>
      <c r="FSF36" s="69"/>
      <c r="FSG36" s="69"/>
      <c r="FSH36" s="69"/>
      <c r="FSI36" s="69"/>
      <c r="FSJ36" s="69"/>
      <c r="FSK36" s="69"/>
      <c r="FSL36" s="69"/>
      <c r="FSM36" s="69"/>
      <c r="FSN36" s="69"/>
      <c r="FSO36" s="69"/>
      <c r="FSP36" s="69"/>
      <c r="FSQ36" s="69"/>
      <c r="FSR36" s="69"/>
      <c r="FSS36" s="69"/>
      <c r="FST36" s="69"/>
      <c r="FSU36" s="69"/>
      <c r="FSV36" s="69"/>
      <c r="FSW36" s="69"/>
      <c r="FSX36" s="69"/>
      <c r="FSY36" s="69"/>
      <c r="FSZ36" s="69"/>
      <c r="FTA36" s="69"/>
      <c r="FTB36" s="69"/>
      <c r="FTC36" s="69"/>
      <c r="FTD36" s="69"/>
      <c r="FTE36" s="69"/>
      <c r="FTF36" s="69"/>
      <c r="FTG36" s="69"/>
      <c r="FTH36" s="69"/>
      <c r="FTI36" s="69"/>
      <c r="FTJ36" s="69"/>
      <c r="FTK36" s="69"/>
      <c r="FTL36" s="69"/>
      <c r="FTM36" s="69"/>
      <c r="FTN36" s="69"/>
      <c r="FTO36" s="69"/>
      <c r="FTP36" s="69"/>
      <c r="FTQ36" s="69"/>
      <c r="FTR36" s="69"/>
      <c r="FTS36" s="69"/>
      <c r="FTT36" s="69"/>
      <c r="FTU36" s="69"/>
      <c r="FTV36" s="69"/>
      <c r="FTW36" s="69"/>
      <c r="FTX36" s="69"/>
      <c r="FTY36" s="69"/>
      <c r="FTZ36" s="69"/>
      <c r="FUA36" s="69"/>
      <c r="FUB36" s="69"/>
      <c r="FUC36" s="69"/>
      <c r="FUD36" s="69"/>
      <c r="FUE36" s="69"/>
      <c r="FUF36" s="69"/>
      <c r="FUG36" s="69"/>
      <c r="FUH36" s="69"/>
      <c r="FUI36" s="69"/>
      <c r="FUJ36" s="69"/>
      <c r="FUK36" s="69"/>
      <c r="FUL36" s="69"/>
      <c r="FUM36" s="69"/>
      <c r="FUN36" s="69"/>
      <c r="FUO36" s="69"/>
      <c r="FUP36" s="69"/>
      <c r="FUQ36" s="69"/>
      <c r="FUR36" s="69"/>
      <c r="FUS36" s="69"/>
      <c r="FUT36" s="69"/>
      <c r="FUU36" s="69"/>
      <c r="FUV36" s="69"/>
      <c r="FUW36" s="69"/>
      <c r="FUX36" s="69"/>
      <c r="FUY36" s="69"/>
      <c r="FUZ36" s="69"/>
      <c r="FVA36" s="69"/>
      <c r="FVB36" s="69"/>
      <c r="FVC36" s="69"/>
      <c r="FVD36" s="69"/>
      <c r="FVE36" s="69"/>
      <c r="FVF36" s="69"/>
      <c r="FVG36" s="69"/>
      <c r="FVH36" s="69"/>
      <c r="FVI36" s="69"/>
      <c r="FVJ36" s="69"/>
      <c r="FVK36" s="69"/>
      <c r="FVL36" s="69"/>
      <c r="FVM36" s="69"/>
      <c r="FVN36" s="69"/>
      <c r="FVO36" s="69"/>
      <c r="FVP36" s="69"/>
      <c r="FVQ36" s="69"/>
      <c r="FVR36" s="69"/>
      <c r="FVS36" s="69"/>
      <c r="FVT36" s="69"/>
      <c r="FVU36" s="69"/>
      <c r="FVV36" s="69"/>
      <c r="FVW36" s="69"/>
      <c r="FVX36" s="69"/>
      <c r="FVY36" s="69"/>
      <c r="FVZ36" s="69"/>
      <c r="FWA36" s="69"/>
      <c r="FWB36" s="69"/>
      <c r="FWC36" s="69"/>
      <c r="FWD36" s="69"/>
      <c r="FWE36" s="69"/>
      <c r="FWF36" s="69"/>
      <c r="FWG36" s="69"/>
      <c r="FWH36" s="69"/>
      <c r="FWI36" s="69"/>
      <c r="FWJ36" s="69"/>
      <c r="FWK36" s="69"/>
      <c r="FWL36" s="69"/>
      <c r="FWM36" s="69"/>
      <c r="FWN36" s="69"/>
      <c r="FWO36" s="69"/>
      <c r="FWP36" s="69"/>
      <c r="FWQ36" s="69"/>
      <c r="FWR36" s="69"/>
      <c r="FWS36" s="69"/>
      <c r="FWT36" s="69"/>
      <c r="FWU36" s="69"/>
      <c r="FWV36" s="69"/>
      <c r="FWW36" s="69"/>
      <c r="FWX36" s="69"/>
      <c r="FWY36" s="69"/>
      <c r="FWZ36" s="69"/>
      <c r="FXA36" s="69"/>
      <c r="FXB36" s="69"/>
      <c r="FXC36" s="69"/>
      <c r="FXD36" s="69"/>
      <c r="FXE36" s="69"/>
      <c r="FXF36" s="69"/>
      <c r="FXG36" s="69"/>
      <c r="FXH36" s="69"/>
      <c r="FXI36" s="69"/>
      <c r="FXJ36" s="69"/>
      <c r="FXK36" s="69"/>
      <c r="FXL36" s="69"/>
      <c r="FXM36" s="69"/>
      <c r="FXN36" s="69"/>
      <c r="FXO36" s="69"/>
      <c r="FXP36" s="69"/>
      <c r="FXQ36" s="69"/>
      <c r="FXR36" s="69"/>
      <c r="FXS36" s="69"/>
      <c r="FXT36" s="69"/>
      <c r="FXU36" s="69"/>
      <c r="FXV36" s="69"/>
      <c r="FXW36" s="69"/>
      <c r="FXX36" s="69"/>
      <c r="FXY36" s="69"/>
      <c r="FXZ36" s="69"/>
      <c r="FYA36" s="69"/>
      <c r="FYB36" s="69"/>
      <c r="FYC36" s="69"/>
      <c r="FYD36" s="69"/>
      <c r="FYE36" s="69"/>
      <c r="FYF36" s="69"/>
      <c r="FYG36" s="69"/>
      <c r="FYH36" s="69"/>
      <c r="FYI36" s="69"/>
      <c r="FYJ36" s="69"/>
      <c r="FYK36" s="69"/>
      <c r="FYL36" s="69"/>
      <c r="FYM36" s="69"/>
      <c r="FYN36" s="69"/>
      <c r="FYO36" s="69"/>
      <c r="FYP36" s="69"/>
      <c r="FYQ36" s="69"/>
      <c r="FYR36" s="69"/>
      <c r="FYS36" s="69"/>
      <c r="FYT36" s="69"/>
      <c r="FYU36" s="69"/>
      <c r="FYV36" s="69"/>
      <c r="FYW36" s="69"/>
      <c r="FYX36" s="69"/>
      <c r="FYY36" s="69"/>
      <c r="FYZ36" s="69"/>
      <c r="FZA36" s="69"/>
      <c r="FZB36" s="69"/>
      <c r="FZC36" s="69"/>
      <c r="FZD36" s="69"/>
      <c r="FZE36" s="69"/>
      <c r="FZF36" s="69"/>
      <c r="FZG36" s="69"/>
      <c r="FZH36" s="69"/>
      <c r="FZI36" s="69"/>
      <c r="FZJ36" s="69"/>
      <c r="FZK36" s="69"/>
      <c r="FZL36" s="69"/>
      <c r="FZM36" s="69"/>
      <c r="FZN36" s="69"/>
      <c r="FZO36" s="69"/>
      <c r="FZP36" s="69"/>
      <c r="FZQ36" s="69"/>
      <c r="FZR36" s="69"/>
      <c r="FZS36" s="69"/>
      <c r="FZT36" s="69"/>
      <c r="FZU36" s="69"/>
      <c r="FZV36" s="69"/>
      <c r="FZW36" s="69"/>
      <c r="FZX36" s="69"/>
      <c r="FZY36" s="69"/>
      <c r="FZZ36" s="69"/>
      <c r="GAA36" s="69"/>
      <c r="GAB36" s="69"/>
      <c r="GAC36" s="69"/>
      <c r="GAD36" s="69"/>
      <c r="GAE36" s="69"/>
      <c r="GAF36" s="69"/>
      <c r="GAG36" s="69"/>
      <c r="GAH36" s="69"/>
      <c r="GAI36" s="69"/>
      <c r="GAJ36" s="69"/>
      <c r="GAK36" s="69"/>
      <c r="GAL36" s="69"/>
      <c r="GAM36" s="69"/>
      <c r="GAN36" s="69"/>
      <c r="GAO36" s="69"/>
      <c r="GAP36" s="69"/>
      <c r="GAQ36" s="69"/>
      <c r="GAR36" s="69"/>
      <c r="GAS36" s="69"/>
      <c r="GAT36" s="69"/>
      <c r="GAU36" s="69"/>
      <c r="GAV36" s="69"/>
      <c r="GAW36" s="69"/>
      <c r="GAX36" s="69"/>
      <c r="GAY36" s="69"/>
      <c r="GAZ36" s="69"/>
      <c r="GBA36" s="69"/>
      <c r="GBB36" s="69"/>
      <c r="GBC36" s="69"/>
      <c r="GBD36" s="69"/>
      <c r="GBE36" s="69"/>
      <c r="GBF36" s="69"/>
      <c r="GBG36" s="69"/>
      <c r="GBH36" s="69"/>
      <c r="GBI36" s="69"/>
      <c r="GBJ36" s="69"/>
      <c r="GBK36" s="69"/>
      <c r="GBL36" s="69"/>
      <c r="GBM36" s="69"/>
      <c r="GBN36" s="69"/>
      <c r="GBO36" s="69"/>
      <c r="GBP36" s="69"/>
      <c r="GBQ36" s="69"/>
      <c r="GBR36" s="69"/>
      <c r="GBS36" s="69"/>
      <c r="GBT36" s="69"/>
      <c r="GBU36" s="69"/>
      <c r="GBV36" s="69"/>
      <c r="GBW36" s="69"/>
      <c r="GBX36" s="69"/>
      <c r="GBY36" s="69"/>
      <c r="GBZ36" s="69"/>
      <c r="GCA36" s="69"/>
      <c r="GCB36" s="69"/>
      <c r="GCC36" s="69"/>
      <c r="GCD36" s="69"/>
      <c r="GCE36" s="69"/>
      <c r="GCF36" s="69"/>
      <c r="GCG36" s="69"/>
      <c r="GCH36" s="69"/>
      <c r="GCI36" s="69"/>
      <c r="GCJ36" s="69"/>
      <c r="GCK36" s="69"/>
      <c r="GCL36" s="69"/>
      <c r="GCM36" s="69"/>
      <c r="GCN36" s="69"/>
      <c r="GCO36" s="69"/>
      <c r="GCP36" s="69"/>
      <c r="GCQ36" s="69"/>
      <c r="GCR36" s="69"/>
      <c r="GCS36" s="69"/>
      <c r="GCT36" s="69"/>
      <c r="GCU36" s="69"/>
      <c r="GCV36" s="69"/>
      <c r="GCW36" s="69"/>
      <c r="GCX36" s="69"/>
      <c r="GCY36" s="69"/>
      <c r="GCZ36" s="69"/>
      <c r="GDA36" s="69"/>
      <c r="GDB36" s="69"/>
      <c r="GDC36" s="69"/>
      <c r="GDD36" s="69"/>
      <c r="GDE36" s="69"/>
      <c r="GDF36" s="69"/>
      <c r="GDG36" s="69"/>
      <c r="GDH36" s="69"/>
      <c r="GDI36" s="69"/>
      <c r="GDJ36" s="69"/>
      <c r="GDK36" s="69"/>
      <c r="GDL36" s="69"/>
      <c r="GDM36" s="69"/>
      <c r="GDN36" s="69"/>
      <c r="GDO36" s="69"/>
      <c r="GDP36" s="69"/>
      <c r="GDQ36" s="69"/>
      <c r="GDR36" s="69"/>
      <c r="GDS36" s="69"/>
      <c r="GDT36" s="69"/>
      <c r="GDU36" s="69"/>
      <c r="GDV36" s="69"/>
      <c r="GDW36" s="69"/>
      <c r="GDX36" s="69"/>
      <c r="GDY36" s="69"/>
      <c r="GDZ36" s="69"/>
      <c r="GEA36" s="69"/>
      <c r="GEB36" s="69"/>
      <c r="GEC36" s="69"/>
      <c r="GED36" s="69"/>
      <c r="GEE36" s="69"/>
      <c r="GEF36" s="69"/>
      <c r="GEG36" s="69"/>
      <c r="GEH36" s="69"/>
      <c r="GEI36" s="69"/>
      <c r="GEJ36" s="69"/>
      <c r="GEK36" s="69"/>
      <c r="GEL36" s="69"/>
      <c r="GEM36" s="69"/>
      <c r="GEN36" s="69"/>
      <c r="GEO36" s="69"/>
      <c r="GEP36" s="69"/>
      <c r="GEQ36" s="69"/>
      <c r="GER36" s="69"/>
      <c r="GES36" s="69"/>
      <c r="GET36" s="69"/>
      <c r="GEU36" s="69"/>
      <c r="GEV36" s="69"/>
      <c r="GEW36" s="69"/>
      <c r="GEX36" s="69"/>
      <c r="GEY36" s="69"/>
      <c r="GEZ36" s="69"/>
      <c r="GFA36" s="69"/>
      <c r="GFB36" s="69"/>
      <c r="GFC36" s="69"/>
      <c r="GFD36" s="69"/>
      <c r="GFE36" s="69"/>
      <c r="GFF36" s="69"/>
      <c r="GFG36" s="69"/>
      <c r="GFH36" s="69"/>
      <c r="GFI36" s="69"/>
      <c r="GFJ36" s="69"/>
      <c r="GFK36" s="69"/>
      <c r="GFL36" s="69"/>
      <c r="GFM36" s="69"/>
      <c r="GFN36" s="69"/>
      <c r="GFO36" s="69"/>
      <c r="GFP36" s="69"/>
      <c r="GFQ36" s="69"/>
      <c r="GFR36" s="69"/>
      <c r="GFS36" s="69"/>
      <c r="GFT36" s="69"/>
      <c r="GFU36" s="69"/>
      <c r="GFV36" s="69"/>
      <c r="GFW36" s="69"/>
      <c r="GFX36" s="69"/>
      <c r="GFY36" s="69"/>
      <c r="GFZ36" s="69"/>
      <c r="GGA36" s="69"/>
      <c r="GGB36" s="69"/>
      <c r="GGC36" s="69"/>
      <c r="GGD36" s="69"/>
      <c r="GGE36" s="69"/>
      <c r="GGF36" s="69"/>
      <c r="GGG36" s="69"/>
      <c r="GGH36" s="69"/>
      <c r="GGI36" s="69"/>
      <c r="GGJ36" s="69"/>
      <c r="GGK36" s="69"/>
      <c r="GGL36" s="69"/>
      <c r="GGM36" s="69"/>
      <c r="GGN36" s="69"/>
      <c r="GGO36" s="69"/>
      <c r="GGP36" s="69"/>
      <c r="GGQ36" s="69"/>
      <c r="GGR36" s="69"/>
      <c r="GGS36" s="69"/>
      <c r="GGT36" s="69"/>
      <c r="GGU36" s="69"/>
      <c r="GGV36" s="69"/>
      <c r="GGW36" s="69"/>
      <c r="GGX36" s="69"/>
      <c r="GGY36" s="69"/>
      <c r="GGZ36" s="69"/>
      <c r="GHA36" s="69"/>
      <c r="GHB36" s="69"/>
      <c r="GHC36" s="69"/>
      <c r="GHD36" s="69"/>
      <c r="GHE36" s="69"/>
      <c r="GHF36" s="69"/>
      <c r="GHG36" s="69"/>
      <c r="GHH36" s="69"/>
      <c r="GHI36" s="69"/>
      <c r="GHJ36" s="69"/>
      <c r="GHK36" s="69"/>
      <c r="GHL36" s="69"/>
      <c r="GHM36" s="69"/>
      <c r="GHN36" s="69"/>
      <c r="GHO36" s="69"/>
      <c r="GHP36" s="69"/>
      <c r="GHQ36" s="69"/>
      <c r="GHR36" s="69"/>
      <c r="GHS36" s="69"/>
      <c r="GHT36" s="69"/>
      <c r="GHU36" s="69"/>
      <c r="GHV36" s="69"/>
      <c r="GHW36" s="69"/>
      <c r="GHX36" s="69"/>
      <c r="GHY36" s="69"/>
      <c r="GHZ36" s="69"/>
      <c r="GIA36" s="69"/>
      <c r="GIB36" s="69"/>
      <c r="GIC36" s="69"/>
      <c r="GID36" s="69"/>
      <c r="GIE36" s="69"/>
      <c r="GIF36" s="69"/>
      <c r="GIG36" s="69"/>
      <c r="GIH36" s="69"/>
      <c r="GII36" s="69"/>
      <c r="GIJ36" s="69"/>
      <c r="GIK36" s="69"/>
      <c r="GIL36" s="69"/>
      <c r="GIM36" s="69"/>
      <c r="GIN36" s="69"/>
      <c r="GIO36" s="69"/>
      <c r="GIP36" s="69"/>
      <c r="GIQ36" s="69"/>
      <c r="GIR36" s="69"/>
      <c r="GIS36" s="69"/>
      <c r="GIT36" s="69"/>
      <c r="GIU36" s="69"/>
      <c r="GIV36" s="69"/>
      <c r="GIW36" s="69"/>
      <c r="GIX36" s="69"/>
      <c r="GIY36" s="69"/>
      <c r="GIZ36" s="69"/>
      <c r="GJA36" s="69"/>
      <c r="GJB36" s="69"/>
      <c r="GJC36" s="69"/>
      <c r="GJD36" s="69"/>
      <c r="GJE36" s="69"/>
      <c r="GJF36" s="69"/>
      <c r="GJG36" s="69"/>
      <c r="GJH36" s="69"/>
      <c r="GJI36" s="69"/>
      <c r="GJJ36" s="69"/>
      <c r="GJK36" s="69"/>
      <c r="GJL36" s="69"/>
      <c r="GJM36" s="69"/>
      <c r="GJN36" s="69"/>
      <c r="GJO36" s="69"/>
      <c r="GJP36" s="69"/>
      <c r="GJQ36" s="69"/>
      <c r="GJR36" s="69"/>
      <c r="GJS36" s="69"/>
      <c r="GJT36" s="69"/>
      <c r="GJU36" s="69"/>
      <c r="GJV36" s="69"/>
      <c r="GJW36" s="69"/>
      <c r="GJX36" s="69"/>
      <c r="GJY36" s="69"/>
      <c r="GJZ36" s="69"/>
      <c r="GKA36" s="69"/>
      <c r="GKB36" s="69"/>
      <c r="GKC36" s="69"/>
      <c r="GKD36" s="69"/>
      <c r="GKE36" s="69"/>
      <c r="GKF36" s="69"/>
      <c r="GKG36" s="69"/>
      <c r="GKH36" s="69"/>
      <c r="GKI36" s="69"/>
      <c r="GKJ36" s="69"/>
      <c r="GKK36" s="69"/>
      <c r="GKL36" s="69"/>
      <c r="GKM36" s="69"/>
      <c r="GKN36" s="69"/>
      <c r="GKO36" s="69"/>
      <c r="GKP36" s="69"/>
      <c r="GKQ36" s="69"/>
      <c r="GKR36" s="69"/>
      <c r="GKS36" s="69"/>
      <c r="GKT36" s="69"/>
      <c r="GKU36" s="69"/>
      <c r="GKV36" s="69"/>
      <c r="GKW36" s="69"/>
      <c r="GKX36" s="69"/>
      <c r="GKY36" s="69"/>
      <c r="GKZ36" s="69"/>
      <c r="GLA36" s="69"/>
      <c r="GLB36" s="69"/>
      <c r="GLC36" s="69"/>
      <c r="GLD36" s="69"/>
      <c r="GLE36" s="69"/>
      <c r="GLF36" s="69"/>
      <c r="GLG36" s="69"/>
      <c r="GLH36" s="69"/>
      <c r="GLI36" s="69"/>
      <c r="GLJ36" s="69"/>
      <c r="GLK36" s="69"/>
      <c r="GLL36" s="69"/>
      <c r="GLM36" s="69"/>
      <c r="GLN36" s="69"/>
      <c r="GLO36" s="69"/>
      <c r="GLP36" s="69"/>
      <c r="GLQ36" s="69"/>
      <c r="GLR36" s="69"/>
      <c r="GLS36" s="69"/>
      <c r="GLT36" s="69"/>
      <c r="GLU36" s="69"/>
      <c r="GLV36" s="69"/>
      <c r="GLW36" s="69"/>
      <c r="GLX36" s="69"/>
      <c r="GLY36" s="69"/>
      <c r="GLZ36" s="69"/>
      <c r="GMA36" s="69"/>
      <c r="GMB36" s="69"/>
      <c r="GMC36" s="69"/>
      <c r="GMD36" s="69"/>
      <c r="GME36" s="69"/>
      <c r="GMF36" s="69"/>
      <c r="GMG36" s="69"/>
      <c r="GMH36" s="69"/>
      <c r="GMI36" s="69"/>
      <c r="GMJ36" s="69"/>
      <c r="GMK36" s="69"/>
      <c r="GML36" s="69"/>
      <c r="GMM36" s="69"/>
      <c r="GMN36" s="69"/>
      <c r="GMO36" s="69"/>
      <c r="GMP36" s="69"/>
      <c r="GMQ36" s="69"/>
      <c r="GMR36" s="69"/>
      <c r="GMS36" s="69"/>
      <c r="GMT36" s="69"/>
      <c r="GMU36" s="69"/>
      <c r="GMV36" s="69"/>
      <c r="GMW36" s="69"/>
      <c r="GMX36" s="69"/>
      <c r="GMY36" s="69"/>
      <c r="GMZ36" s="69"/>
      <c r="GNA36" s="69"/>
      <c r="GNB36" s="69"/>
      <c r="GNC36" s="69"/>
      <c r="GND36" s="69"/>
      <c r="GNE36" s="69"/>
      <c r="GNF36" s="69"/>
      <c r="GNG36" s="69"/>
      <c r="GNH36" s="69"/>
      <c r="GNI36" s="69"/>
      <c r="GNJ36" s="69"/>
      <c r="GNK36" s="69"/>
      <c r="GNL36" s="69"/>
      <c r="GNM36" s="69"/>
      <c r="GNN36" s="69"/>
      <c r="GNO36" s="69"/>
      <c r="GNP36" s="69"/>
      <c r="GNQ36" s="69"/>
      <c r="GNR36" s="69"/>
      <c r="GNS36" s="69"/>
      <c r="GNT36" s="69"/>
      <c r="GNU36" s="69"/>
      <c r="GNV36" s="69"/>
      <c r="GNW36" s="69"/>
      <c r="GNX36" s="69"/>
      <c r="GNY36" s="69"/>
      <c r="GNZ36" s="69"/>
      <c r="GOA36" s="69"/>
      <c r="GOB36" s="69"/>
      <c r="GOC36" s="69"/>
      <c r="GOD36" s="69"/>
      <c r="GOE36" s="69"/>
      <c r="GOF36" s="69"/>
      <c r="GOG36" s="69"/>
      <c r="GOH36" s="69"/>
      <c r="GOI36" s="69"/>
      <c r="GOJ36" s="69"/>
      <c r="GOK36" s="69"/>
      <c r="GOL36" s="69"/>
      <c r="GOM36" s="69"/>
      <c r="GON36" s="69"/>
      <c r="GOO36" s="69"/>
      <c r="GOP36" s="69"/>
      <c r="GOQ36" s="69"/>
      <c r="GOR36" s="69"/>
      <c r="GOS36" s="69"/>
      <c r="GOT36" s="69"/>
      <c r="GOU36" s="69"/>
      <c r="GOV36" s="69"/>
      <c r="GOW36" s="69"/>
      <c r="GOX36" s="69"/>
      <c r="GOY36" s="69"/>
      <c r="GOZ36" s="69"/>
      <c r="GPA36" s="69"/>
      <c r="GPB36" s="69"/>
      <c r="GPC36" s="69"/>
      <c r="GPD36" s="69"/>
      <c r="GPE36" s="69"/>
      <c r="GPF36" s="69"/>
      <c r="GPG36" s="69"/>
      <c r="GPH36" s="69"/>
      <c r="GPI36" s="69"/>
      <c r="GPJ36" s="69"/>
      <c r="GPK36" s="69"/>
      <c r="GPL36" s="69"/>
      <c r="GPM36" s="69"/>
      <c r="GPN36" s="69"/>
      <c r="GPO36" s="69"/>
      <c r="GPP36" s="69"/>
      <c r="GPQ36" s="69"/>
      <c r="GPR36" s="69"/>
      <c r="GPS36" s="69"/>
      <c r="GPT36" s="69"/>
      <c r="GPU36" s="69"/>
      <c r="GPV36" s="69"/>
      <c r="GPW36" s="69"/>
      <c r="GPX36" s="69"/>
      <c r="GPY36" s="69"/>
      <c r="GPZ36" s="69"/>
      <c r="GQA36" s="69"/>
      <c r="GQB36" s="69"/>
      <c r="GQC36" s="69"/>
      <c r="GQD36" s="69"/>
      <c r="GQE36" s="69"/>
      <c r="GQF36" s="69"/>
      <c r="GQG36" s="69"/>
      <c r="GQH36" s="69"/>
      <c r="GQI36" s="69"/>
      <c r="GQJ36" s="69"/>
      <c r="GQK36" s="69"/>
      <c r="GQL36" s="69"/>
      <c r="GQM36" s="69"/>
      <c r="GQN36" s="69"/>
      <c r="GQO36" s="69"/>
      <c r="GQP36" s="69"/>
      <c r="GQQ36" s="69"/>
      <c r="GQR36" s="69"/>
      <c r="GQS36" s="69"/>
      <c r="GQT36" s="69"/>
      <c r="GQU36" s="69"/>
      <c r="GQV36" s="69"/>
      <c r="GQW36" s="69"/>
      <c r="GQX36" s="69"/>
      <c r="GQY36" s="69"/>
      <c r="GQZ36" s="69"/>
      <c r="GRA36" s="69"/>
      <c r="GRB36" s="69"/>
      <c r="GRC36" s="69"/>
      <c r="GRD36" s="69"/>
      <c r="GRE36" s="69"/>
      <c r="GRF36" s="69"/>
      <c r="GRG36" s="69"/>
      <c r="GRH36" s="69"/>
      <c r="GRI36" s="69"/>
      <c r="GRJ36" s="69"/>
      <c r="GRK36" s="69"/>
      <c r="GRL36" s="69"/>
      <c r="GRM36" s="69"/>
      <c r="GRN36" s="69"/>
      <c r="GRO36" s="69"/>
      <c r="GRP36" s="69"/>
      <c r="GRQ36" s="69"/>
      <c r="GRR36" s="69"/>
      <c r="GRS36" s="69"/>
      <c r="GRT36" s="69"/>
      <c r="GRU36" s="69"/>
      <c r="GRV36" s="69"/>
      <c r="GRW36" s="69"/>
      <c r="GRX36" s="69"/>
      <c r="GRY36" s="69"/>
      <c r="GRZ36" s="69"/>
      <c r="GSA36" s="69"/>
      <c r="GSB36" s="69"/>
      <c r="GSC36" s="69"/>
      <c r="GSD36" s="69"/>
      <c r="GSE36" s="69"/>
      <c r="GSF36" s="69"/>
      <c r="GSG36" s="69"/>
      <c r="GSH36" s="69"/>
      <c r="GSI36" s="69"/>
      <c r="GSJ36" s="69"/>
      <c r="GSK36" s="69"/>
      <c r="GSL36" s="69"/>
      <c r="GSM36" s="69"/>
      <c r="GSN36" s="69"/>
      <c r="GSO36" s="69"/>
      <c r="GSP36" s="69"/>
      <c r="GSQ36" s="69"/>
      <c r="GSR36" s="69"/>
      <c r="GSS36" s="69"/>
      <c r="GST36" s="69"/>
      <c r="GSU36" s="69"/>
      <c r="GSV36" s="69"/>
      <c r="GSW36" s="69"/>
      <c r="GSX36" s="69"/>
      <c r="GSY36" s="69"/>
      <c r="GSZ36" s="69"/>
      <c r="GTA36" s="69"/>
      <c r="GTB36" s="69"/>
      <c r="GTC36" s="69"/>
      <c r="GTD36" s="69"/>
      <c r="GTE36" s="69"/>
      <c r="GTF36" s="69"/>
      <c r="GTG36" s="69"/>
      <c r="GTH36" s="69"/>
      <c r="GTI36" s="69"/>
      <c r="GTJ36" s="69"/>
      <c r="GTK36" s="69"/>
      <c r="GTL36" s="69"/>
      <c r="GTM36" s="69"/>
      <c r="GTN36" s="69"/>
      <c r="GTO36" s="69"/>
      <c r="GTP36" s="69"/>
      <c r="GTQ36" s="69"/>
      <c r="GTR36" s="69"/>
      <c r="GTS36" s="69"/>
      <c r="GTT36" s="69"/>
      <c r="GTU36" s="69"/>
      <c r="GTV36" s="69"/>
      <c r="GTW36" s="69"/>
      <c r="GTX36" s="69"/>
      <c r="GTY36" s="69"/>
      <c r="GTZ36" s="69"/>
      <c r="GUA36" s="69"/>
      <c r="GUB36" s="69"/>
      <c r="GUC36" s="69"/>
      <c r="GUD36" s="69"/>
      <c r="GUE36" s="69"/>
      <c r="GUF36" s="69"/>
      <c r="GUG36" s="69"/>
      <c r="GUH36" s="69"/>
      <c r="GUI36" s="69"/>
      <c r="GUJ36" s="69"/>
      <c r="GUK36" s="69"/>
      <c r="GUL36" s="69"/>
      <c r="GUM36" s="69"/>
      <c r="GUN36" s="69"/>
      <c r="GUO36" s="69"/>
      <c r="GUP36" s="69"/>
      <c r="GUQ36" s="69"/>
      <c r="GUR36" s="69"/>
      <c r="GUS36" s="69"/>
      <c r="GUT36" s="69"/>
      <c r="GUU36" s="69"/>
      <c r="GUV36" s="69"/>
      <c r="GUW36" s="69"/>
      <c r="GUX36" s="69"/>
      <c r="GUY36" s="69"/>
      <c r="GUZ36" s="69"/>
      <c r="GVA36" s="69"/>
      <c r="GVB36" s="69"/>
      <c r="GVC36" s="69"/>
      <c r="GVD36" s="69"/>
      <c r="GVE36" s="69"/>
      <c r="GVF36" s="69"/>
      <c r="GVG36" s="69"/>
      <c r="GVH36" s="69"/>
      <c r="GVI36" s="69"/>
      <c r="GVJ36" s="69"/>
      <c r="GVK36" s="69"/>
      <c r="GVL36" s="69"/>
      <c r="GVM36" s="69"/>
      <c r="GVN36" s="69"/>
      <c r="GVO36" s="69"/>
      <c r="GVP36" s="69"/>
      <c r="GVQ36" s="69"/>
      <c r="GVR36" s="69"/>
      <c r="GVS36" s="69"/>
      <c r="GVT36" s="69"/>
      <c r="GVU36" s="69"/>
      <c r="GVV36" s="69"/>
      <c r="GVW36" s="69"/>
      <c r="GVX36" s="69"/>
      <c r="GVY36" s="69"/>
      <c r="GVZ36" s="69"/>
      <c r="GWA36" s="69"/>
      <c r="GWB36" s="69"/>
      <c r="GWC36" s="69"/>
      <c r="GWD36" s="69"/>
      <c r="GWE36" s="69"/>
      <c r="GWF36" s="69"/>
      <c r="GWG36" s="69"/>
      <c r="GWH36" s="69"/>
      <c r="GWI36" s="69"/>
      <c r="GWJ36" s="69"/>
      <c r="GWK36" s="69"/>
      <c r="GWL36" s="69"/>
      <c r="GWM36" s="69"/>
      <c r="GWN36" s="69"/>
      <c r="GWO36" s="69"/>
      <c r="GWP36" s="69"/>
      <c r="GWQ36" s="69"/>
      <c r="GWR36" s="69"/>
      <c r="GWS36" s="69"/>
      <c r="GWT36" s="69"/>
      <c r="GWU36" s="69"/>
      <c r="GWV36" s="69"/>
      <c r="GWW36" s="69"/>
      <c r="GWX36" s="69"/>
      <c r="GWY36" s="69"/>
      <c r="GWZ36" s="69"/>
      <c r="GXA36" s="69"/>
      <c r="GXB36" s="69"/>
      <c r="GXC36" s="69"/>
      <c r="GXD36" s="69"/>
      <c r="GXE36" s="69"/>
      <c r="GXF36" s="69"/>
      <c r="GXG36" s="69"/>
      <c r="GXH36" s="69"/>
      <c r="GXI36" s="69"/>
      <c r="GXJ36" s="69"/>
      <c r="GXK36" s="69"/>
      <c r="GXL36" s="69"/>
      <c r="GXM36" s="69"/>
      <c r="GXN36" s="69"/>
      <c r="GXO36" s="69"/>
      <c r="GXP36" s="69"/>
      <c r="GXQ36" s="69"/>
      <c r="GXR36" s="69"/>
      <c r="GXS36" s="69"/>
      <c r="GXT36" s="69"/>
      <c r="GXU36" s="69"/>
      <c r="GXV36" s="69"/>
      <c r="GXW36" s="69"/>
      <c r="GXX36" s="69"/>
      <c r="GXY36" s="69"/>
      <c r="GXZ36" s="69"/>
      <c r="GYA36" s="69"/>
      <c r="GYB36" s="69"/>
      <c r="GYC36" s="69"/>
      <c r="GYD36" s="69"/>
      <c r="GYE36" s="69"/>
      <c r="GYF36" s="69"/>
      <c r="GYG36" s="69"/>
      <c r="GYH36" s="69"/>
      <c r="GYI36" s="69"/>
      <c r="GYJ36" s="69"/>
      <c r="GYK36" s="69"/>
      <c r="GYL36" s="69"/>
      <c r="GYM36" s="69"/>
      <c r="GYN36" s="69"/>
      <c r="GYO36" s="69"/>
      <c r="GYP36" s="69"/>
      <c r="GYQ36" s="69"/>
      <c r="GYR36" s="69"/>
      <c r="GYS36" s="69"/>
      <c r="GYT36" s="69"/>
      <c r="GYU36" s="69"/>
      <c r="GYV36" s="69"/>
      <c r="GYW36" s="69"/>
      <c r="GYX36" s="69"/>
      <c r="GYY36" s="69"/>
      <c r="GYZ36" s="69"/>
      <c r="GZA36" s="69"/>
      <c r="GZB36" s="69"/>
      <c r="GZC36" s="69"/>
      <c r="GZD36" s="69"/>
      <c r="GZE36" s="69"/>
      <c r="GZF36" s="69"/>
      <c r="GZG36" s="69"/>
      <c r="GZH36" s="69"/>
      <c r="GZI36" s="69"/>
      <c r="GZJ36" s="69"/>
      <c r="GZK36" s="69"/>
      <c r="GZL36" s="69"/>
      <c r="GZM36" s="69"/>
      <c r="GZN36" s="69"/>
      <c r="GZO36" s="69"/>
      <c r="GZP36" s="69"/>
      <c r="GZQ36" s="69"/>
      <c r="GZR36" s="69"/>
      <c r="GZS36" s="69"/>
      <c r="GZT36" s="69"/>
      <c r="GZU36" s="69"/>
      <c r="GZV36" s="69"/>
      <c r="GZW36" s="69"/>
      <c r="GZX36" s="69"/>
      <c r="GZY36" s="69"/>
      <c r="GZZ36" s="69"/>
      <c r="HAA36" s="69"/>
      <c r="HAB36" s="69"/>
      <c r="HAC36" s="69"/>
      <c r="HAD36" s="69"/>
      <c r="HAE36" s="69"/>
      <c r="HAF36" s="69"/>
      <c r="HAG36" s="69"/>
      <c r="HAH36" s="69"/>
      <c r="HAI36" s="69"/>
      <c r="HAJ36" s="69"/>
      <c r="HAK36" s="69"/>
      <c r="HAL36" s="69"/>
      <c r="HAM36" s="69"/>
      <c r="HAN36" s="69"/>
      <c r="HAO36" s="69"/>
      <c r="HAP36" s="69"/>
      <c r="HAQ36" s="69"/>
      <c r="HAR36" s="69"/>
      <c r="HAS36" s="69"/>
      <c r="HAT36" s="69"/>
      <c r="HAU36" s="69"/>
      <c r="HAV36" s="69"/>
      <c r="HAW36" s="69"/>
      <c r="HAX36" s="69"/>
      <c r="HAY36" s="69"/>
      <c r="HAZ36" s="69"/>
      <c r="HBA36" s="69"/>
      <c r="HBB36" s="69"/>
      <c r="HBC36" s="69"/>
      <c r="HBD36" s="69"/>
      <c r="HBE36" s="69"/>
      <c r="HBF36" s="69"/>
      <c r="HBG36" s="69"/>
      <c r="HBH36" s="69"/>
      <c r="HBI36" s="69"/>
      <c r="HBJ36" s="69"/>
      <c r="HBK36" s="69"/>
      <c r="HBL36" s="69"/>
      <c r="HBM36" s="69"/>
      <c r="HBN36" s="69"/>
      <c r="HBO36" s="69"/>
      <c r="HBP36" s="69"/>
      <c r="HBQ36" s="69"/>
      <c r="HBR36" s="69"/>
      <c r="HBS36" s="69"/>
      <c r="HBT36" s="69"/>
      <c r="HBU36" s="69"/>
      <c r="HBV36" s="69"/>
      <c r="HBW36" s="69"/>
      <c r="HBX36" s="69"/>
      <c r="HBY36" s="69"/>
      <c r="HBZ36" s="69"/>
      <c r="HCA36" s="69"/>
      <c r="HCB36" s="69"/>
      <c r="HCC36" s="69"/>
      <c r="HCD36" s="69"/>
      <c r="HCE36" s="69"/>
      <c r="HCF36" s="69"/>
      <c r="HCG36" s="69"/>
      <c r="HCH36" s="69"/>
      <c r="HCI36" s="69"/>
      <c r="HCJ36" s="69"/>
      <c r="HCK36" s="69"/>
      <c r="HCL36" s="69"/>
      <c r="HCM36" s="69"/>
      <c r="HCN36" s="69"/>
      <c r="HCO36" s="69"/>
      <c r="HCP36" s="69"/>
      <c r="HCQ36" s="69"/>
      <c r="HCR36" s="69"/>
      <c r="HCS36" s="69"/>
      <c r="HCT36" s="69"/>
      <c r="HCU36" s="69"/>
      <c r="HCV36" s="69"/>
      <c r="HCW36" s="69"/>
      <c r="HCX36" s="69"/>
      <c r="HCY36" s="69"/>
      <c r="HCZ36" s="69"/>
      <c r="HDA36" s="69"/>
      <c r="HDB36" s="69"/>
      <c r="HDC36" s="69"/>
      <c r="HDD36" s="69"/>
      <c r="HDE36" s="69"/>
      <c r="HDF36" s="69"/>
      <c r="HDG36" s="69"/>
      <c r="HDH36" s="69"/>
      <c r="HDI36" s="69"/>
      <c r="HDJ36" s="69"/>
      <c r="HDK36" s="69"/>
      <c r="HDL36" s="69"/>
      <c r="HDM36" s="69"/>
      <c r="HDN36" s="69"/>
      <c r="HDO36" s="69"/>
      <c r="HDP36" s="69"/>
      <c r="HDQ36" s="69"/>
      <c r="HDR36" s="69"/>
      <c r="HDS36" s="69"/>
      <c r="HDT36" s="69"/>
      <c r="HDU36" s="69"/>
      <c r="HDV36" s="69"/>
      <c r="HDW36" s="69"/>
      <c r="HDX36" s="69"/>
      <c r="HDY36" s="69"/>
      <c r="HDZ36" s="69"/>
      <c r="HEA36" s="69"/>
      <c r="HEB36" s="69"/>
      <c r="HEC36" s="69"/>
      <c r="HED36" s="69"/>
      <c r="HEE36" s="69"/>
      <c r="HEF36" s="69"/>
      <c r="HEG36" s="69"/>
      <c r="HEH36" s="69"/>
      <c r="HEI36" s="69"/>
      <c r="HEJ36" s="69"/>
      <c r="HEK36" s="69"/>
      <c r="HEL36" s="69"/>
      <c r="HEM36" s="69"/>
      <c r="HEN36" s="69"/>
      <c r="HEO36" s="69"/>
      <c r="HEP36" s="69"/>
      <c r="HEQ36" s="69"/>
      <c r="HER36" s="69"/>
      <c r="HES36" s="69"/>
      <c r="HET36" s="69"/>
      <c r="HEU36" s="69"/>
      <c r="HEV36" s="69"/>
      <c r="HEW36" s="69"/>
      <c r="HEX36" s="69"/>
      <c r="HEY36" s="69"/>
      <c r="HEZ36" s="69"/>
      <c r="HFA36" s="69"/>
      <c r="HFB36" s="69"/>
      <c r="HFC36" s="69"/>
      <c r="HFD36" s="69"/>
      <c r="HFE36" s="69"/>
      <c r="HFF36" s="69"/>
      <c r="HFG36" s="69"/>
      <c r="HFH36" s="69"/>
      <c r="HFI36" s="69"/>
      <c r="HFJ36" s="69"/>
      <c r="HFK36" s="69"/>
      <c r="HFL36" s="69"/>
      <c r="HFM36" s="69"/>
      <c r="HFN36" s="69"/>
      <c r="HFO36" s="69"/>
      <c r="HFP36" s="69"/>
      <c r="HFQ36" s="69"/>
      <c r="HFR36" s="69"/>
      <c r="HFS36" s="69"/>
      <c r="HFT36" s="69"/>
      <c r="HFU36" s="69"/>
      <c r="HFV36" s="69"/>
      <c r="HFW36" s="69"/>
      <c r="HFX36" s="69"/>
      <c r="HFY36" s="69"/>
      <c r="HFZ36" s="69"/>
      <c r="HGA36" s="69"/>
      <c r="HGB36" s="69"/>
      <c r="HGC36" s="69"/>
      <c r="HGD36" s="69"/>
      <c r="HGE36" s="69"/>
      <c r="HGF36" s="69"/>
      <c r="HGG36" s="69"/>
      <c r="HGH36" s="69"/>
      <c r="HGI36" s="69"/>
      <c r="HGJ36" s="69"/>
      <c r="HGK36" s="69"/>
      <c r="HGL36" s="69"/>
      <c r="HGM36" s="69"/>
      <c r="HGN36" s="69"/>
      <c r="HGO36" s="69"/>
      <c r="HGP36" s="69"/>
      <c r="HGQ36" s="69"/>
      <c r="HGR36" s="69"/>
      <c r="HGS36" s="69"/>
      <c r="HGT36" s="69"/>
      <c r="HGU36" s="69"/>
      <c r="HGV36" s="69"/>
      <c r="HGW36" s="69"/>
      <c r="HGX36" s="69"/>
      <c r="HGY36" s="69"/>
      <c r="HGZ36" s="69"/>
      <c r="HHA36" s="69"/>
      <c r="HHB36" s="69"/>
      <c r="HHC36" s="69"/>
      <c r="HHD36" s="69"/>
      <c r="HHE36" s="69"/>
      <c r="HHF36" s="69"/>
      <c r="HHG36" s="69"/>
      <c r="HHH36" s="69"/>
      <c r="HHI36" s="69"/>
      <c r="HHJ36" s="69"/>
      <c r="HHK36" s="69"/>
      <c r="HHL36" s="69"/>
      <c r="HHM36" s="69"/>
      <c r="HHN36" s="69"/>
      <c r="HHO36" s="69"/>
      <c r="HHP36" s="69"/>
      <c r="HHQ36" s="69"/>
      <c r="HHR36" s="69"/>
      <c r="HHS36" s="69"/>
      <c r="HHT36" s="69"/>
      <c r="HHU36" s="69"/>
      <c r="HHV36" s="69"/>
      <c r="HHW36" s="69"/>
      <c r="HHX36" s="69"/>
      <c r="HHY36" s="69"/>
      <c r="HHZ36" s="69"/>
      <c r="HIA36" s="69"/>
      <c r="HIB36" s="69"/>
      <c r="HIC36" s="69"/>
      <c r="HID36" s="69"/>
      <c r="HIE36" s="69"/>
      <c r="HIF36" s="69"/>
      <c r="HIG36" s="69"/>
      <c r="HIH36" s="69"/>
      <c r="HII36" s="69"/>
      <c r="HIJ36" s="69"/>
      <c r="HIK36" s="69"/>
      <c r="HIL36" s="69"/>
      <c r="HIM36" s="69"/>
      <c r="HIN36" s="69"/>
      <c r="HIO36" s="69"/>
      <c r="HIP36" s="69"/>
      <c r="HIQ36" s="69"/>
      <c r="HIR36" s="69"/>
      <c r="HIS36" s="69"/>
      <c r="HIT36" s="69"/>
      <c r="HIU36" s="69"/>
      <c r="HIV36" s="69"/>
      <c r="HIW36" s="69"/>
      <c r="HIX36" s="69"/>
      <c r="HIY36" s="69"/>
      <c r="HIZ36" s="69"/>
      <c r="HJA36" s="69"/>
      <c r="HJB36" s="69"/>
      <c r="HJC36" s="69"/>
      <c r="HJD36" s="69"/>
      <c r="HJE36" s="69"/>
      <c r="HJF36" s="69"/>
      <c r="HJG36" s="69"/>
      <c r="HJH36" s="69"/>
      <c r="HJI36" s="69"/>
      <c r="HJJ36" s="69"/>
      <c r="HJK36" s="69"/>
      <c r="HJL36" s="69"/>
      <c r="HJM36" s="69"/>
      <c r="HJN36" s="69"/>
      <c r="HJO36" s="69"/>
      <c r="HJP36" s="69"/>
      <c r="HJQ36" s="69"/>
      <c r="HJR36" s="69"/>
      <c r="HJS36" s="69"/>
      <c r="HJT36" s="69"/>
      <c r="HJU36" s="69"/>
      <c r="HJV36" s="69"/>
      <c r="HJW36" s="69"/>
      <c r="HJX36" s="69"/>
      <c r="HJY36" s="69"/>
      <c r="HJZ36" s="69"/>
      <c r="HKA36" s="69"/>
      <c r="HKB36" s="69"/>
      <c r="HKC36" s="69"/>
      <c r="HKD36" s="69"/>
      <c r="HKE36" s="69"/>
      <c r="HKF36" s="69"/>
      <c r="HKG36" s="69"/>
      <c r="HKH36" s="69"/>
      <c r="HKI36" s="69"/>
      <c r="HKJ36" s="69"/>
      <c r="HKK36" s="69"/>
      <c r="HKL36" s="69"/>
      <c r="HKM36" s="69"/>
      <c r="HKN36" s="69"/>
      <c r="HKO36" s="69"/>
      <c r="HKP36" s="69"/>
      <c r="HKQ36" s="69"/>
      <c r="HKR36" s="69"/>
      <c r="HKS36" s="69"/>
      <c r="HKT36" s="69"/>
      <c r="HKU36" s="69"/>
      <c r="HKV36" s="69"/>
      <c r="HKW36" s="69"/>
      <c r="HKX36" s="69"/>
      <c r="HKY36" s="69"/>
      <c r="HKZ36" s="69"/>
      <c r="HLA36" s="69"/>
      <c r="HLB36" s="69"/>
      <c r="HLC36" s="69"/>
      <c r="HLD36" s="69"/>
      <c r="HLE36" s="69"/>
      <c r="HLF36" s="69"/>
      <c r="HLG36" s="69"/>
      <c r="HLH36" s="69"/>
      <c r="HLI36" s="69"/>
      <c r="HLJ36" s="69"/>
      <c r="HLK36" s="69"/>
      <c r="HLL36" s="69"/>
      <c r="HLM36" s="69"/>
      <c r="HLN36" s="69"/>
      <c r="HLO36" s="69"/>
      <c r="HLP36" s="69"/>
      <c r="HLQ36" s="69"/>
      <c r="HLR36" s="69"/>
      <c r="HLS36" s="69"/>
      <c r="HLT36" s="69"/>
      <c r="HLU36" s="69"/>
      <c r="HLV36" s="69"/>
      <c r="HLW36" s="69"/>
      <c r="HLX36" s="69"/>
      <c r="HLY36" s="69"/>
      <c r="HLZ36" s="69"/>
      <c r="HMA36" s="69"/>
      <c r="HMB36" s="69"/>
      <c r="HMC36" s="69"/>
      <c r="HMD36" s="69"/>
      <c r="HME36" s="69"/>
      <c r="HMF36" s="69"/>
      <c r="HMG36" s="69"/>
      <c r="HMH36" s="69"/>
      <c r="HMI36" s="69"/>
      <c r="HMJ36" s="69"/>
      <c r="HMK36" s="69"/>
      <c r="HML36" s="69"/>
      <c r="HMM36" s="69"/>
      <c r="HMN36" s="69"/>
      <c r="HMO36" s="69"/>
      <c r="HMP36" s="69"/>
      <c r="HMQ36" s="69"/>
      <c r="HMR36" s="69"/>
      <c r="HMS36" s="69"/>
      <c r="HMT36" s="69"/>
      <c r="HMU36" s="69"/>
      <c r="HMV36" s="69"/>
      <c r="HMW36" s="69"/>
      <c r="HMX36" s="69"/>
      <c r="HMY36" s="69"/>
      <c r="HMZ36" s="69"/>
      <c r="HNA36" s="69"/>
      <c r="HNB36" s="69"/>
      <c r="HNC36" s="69"/>
      <c r="HND36" s="69"/>
      <c r="HNE36" s="69"/>
      <c r="HNF36" s="69"/>
      <c r="HNG36" s="69"/>
      <c r="HNH36" s="69"/>
      <c r="HNI36" s="69"/>
      <c r="HNJ36" s="69"/>
      <c r="HNK36" s="69"/>
      <c r="HNL36" s="69"/>
      <c r="HNM36" s="69"/>
      <c r="HNN36" s="69"/>
      <c r="HNO36" s="69"/>
      <c r="HNP36" s="69"/>
      <c r="HNQ36" s="69"/>
      <c r="HNR36" s="69"/>
      <c r="HNS36" s="69"/>
      <c r="HNT36" s="69"/>
      <c r="HNU36" s="69"/>
      <c r="HNV36" s="69"/>
      <c r="HNW36" s="69"/>
      <c r="HNX36" s="69"/>
      <c r="HNY36" s="69"/>
      <c r="HNZ36" s="69"/>
      <c r="HOA36" s="69"/>
      <c r="HOB36" s="69"/>
      <c r="HOC36" s="69"/>
      <c r="HOD36" s="69"/>
      <c r="HOE36" s="69"/>
      <c r="HOF36" s="69"/>
      <c r="HOG36" s="69"/>
      <c r="HOH36" s="69"/>
      <c r="HOI36" s="69"/>
      <c r="HOJ36" s="69"/>
      <c r="HOK36" s="69"/>
      <c r="HOL36" s="69"/>
      <c r="HOM36" s="69"/>
      <c r="HON36" s="69"/>
      <c r="HOO36" s="69"/>
      <c r="HOP36" s="69"/>
      <c r="HOQ36" s="69"/>
      <c r="HOR36" s="69"/>
      <c r="HOS36" s="69"/>
      <c r="HOT36" s="69"/>
      <c r="HOU36" s="69"/>
      <c r="HOV36" s="69"/>
      <c r="HOW36" s="69"/>
      <c r="HOX36" s="69"/>
      <c r="HOY36" s="69"/>
      <c r="HOZ36" s="69"/>
      <c r="HPA36" s="69"/>
      <c r="HPB36" s="69"/>
      <c r="HPC36" s="69"/>
      <c r="HPD36" s="69"/>
      <c r="HPE36" s="69"/>
      <c r="HPF36" s="69"/>
      <c r="HPG36" s="69"/>
      <c r="HPH36" s="69"/>
      <c r="HPI36" s="69"/>
      <c r="HPJ36" s="69"/>
      <c r="HPK36" s="69"/>
      <c r="HPL36" s="69"/>
      <c r="HPM36" s="69"/>
      <c r="HPN36" s="69"/>
      <c r="HPO36" s="69"/>
      <c r="HPP36" s="69"/>
      <c r="HPQ36" s="69"/>
      <c r="HPR36" s="69"/>
      <c r="HPS36" s="69"/>
      <c r="HPT36" s="69"/>
      <c r="HPU36" s="69"/>
      <c r="HPV36" s="69"/>
      <c r="HPW36" s="69"/>
      <c r="HPX36" s="69"/>
      <c r="HPY36" s="69"/>
      <c r="HPZ36" s="69"/>
      <c r="HQA36" s="69"/>
      <c r="HQB36" s="69"/>
      <c r="HQC36" s="69"/>
      <c r="HQD36" s="69"/>
      <c r="HQE36" s="69"/>
      <c r="HQF36" s="69"/>
      <c r="HQG36" s="69"/>
      <c r="HQH36" s="69"/>
      <c r="HQI36" s="69"/>
      <c r="HQJ36" s="69"/>
      <c r="HQK36" s="69"/>
      <c r="HQL36" s="69"/>
      <c r="HQM36" s="69"/>
      <c r="HQN36" s="69"/>
      <c r="HQO36" s="69"/>
      <c r="HQP36" s="69"/>
      <c r="HQQ36" s="69"/>
      <c r="HQR36" s="69"/>
      <c r="HQS36" s="69"/>
      <c r="HQT36" s="69"/>
      <c r="HQU36" s="69"/>
      <c r="HQV36" s="69"/>
      <c r="HQW36" s="69"/>
      <c r="HQX36" s="69"/>
      <c r="HQY36" s="69"/>
      <c r="HQZ36" s="69"/>
      <c r="HRA36" s="69"/>
      <c r="HRB36" s="69"/>
      <c r="HRC36" s="69"/>
      <c r="HRD36" s="69"/>
      <c r="HRE36" s="69"/>
      <c r="HRF36" s="69"/>
      <c r="HRG36" s="69"/>
      <c r="HRH36" s="69"/>
      <c r="HRI36" s="69"/>
      <c r="HRJ36" s="69"/>
      <c r="HRK36" s="69"/>
      <c r="HRL36" s="69"/>
      <c r="HRM36" s="69"/>
      <c r="HRN36" s="69"/>
      <c r="HRO36" s="69"/>
      <c r="HRP36" s="69"/>
      <c r="HRQ36" s="69"/>
      <c r="HRR36" s="69"/>
      <c r="HRS36" s="69"/>
      <c r="HRT36" s="69"/>
      <c r="HRU36" s="69"/>
      <c r="HRV36" s="69"/>
      <c r="HRW36" s="69"/>
      <c r="HRX36" s="69"/>
      <c r="HRY36" s="69"/>
      <c r="HRZ36" s="69"/>
      <c r="HSA36" s="69"/>
      <c r="HSB36" s="69"/>
      <c r="HSC36" s="69"/>
      <c r="HSD36" s="69"/>
      <c r="HSE36" s="69"/>
      <c r="HSF36" s="69"/>
      <c r="HSG36" s="69"/>
      <c r="HSH36" s="69"/>
      <c r="HSI36" s="69"/>
      <c r="HSJ36" s="69"/>
      <c r="HSK36" s="69"/>
      <c r="HSL36" s="69"/>
      <c r="HSM36" s="69"/>
      <c r="HSN36" s="69"/>
      <c r="HSO36" s="69"/>
      <c r="HSP36" s="69"/>
      <c r="HSQ36" s="69"/>
      <c r="HSR36" s="69"/>
      <c r="HSS36" s="69"/>
      <c r="HST36" s="69"/>
      <c r="HSU36" s="69"/>
      <c r="HSV36" s="69"/>
      <c r="HSW36" s="69"/>
      <c r="HSX36" s="69"/>
      <c r="HSY36" s="69"/>
      <c r="HSZ36" s="69"/>
      <c r="HTA36" s="69"/>
      <c r="HTB36" s="69"/>
      <c r="HTC36" s="69"/>
      <c r="HTD36" s="69"/>
      <c r="HTE36" s="69"/>
      <c r="HTF36" s="69"/>
      <c r="HTG36" s="69"/>
      <c r="HTH36" s="69"/>
      <c r="HTI36" s="69"/>
      <c r="HTJ36" s="69"/>
      <c r="HTK36" s="69"/>
      <c r="HTL36" s="69"/>
      <c r="HTM36" s="69"/>
      <c r="HTN36" s="69"/>
      <c r="HTO36" s="69"/>
      <c r="HTP36" s="69"/>
      <c r="HTQ36" s="69"/>
      <c r="HTR36" s="69"/>
      <c r="HTS36" s="69"/>
      <c r="HTT36" s="69"/>
      <c r="HTU36" s="69"/>
      <c r="HTV36" s="69"/>
      <c r="HTW36" s="69"/>
      <c r="HTX36" s="69"/>
      <c r="HTY36" s="69"/>
      <c r="HTZ36" s="69"/>
      <c r="HUA36" s="69"/>
      <c r="HUB36" s="69"/>
      <c r="HUC36" s="69"/>
      <c r="HUD36" s="69"/>
      <c r="HUE36" s="69"/>
      <c r="HUF36" s="69"/>
      <c r="HUG36" s="69"/>
      <c r="HUH36" s="69"/>
      <c r="HUI36" s="69"/>
      <c r="HUJ36" s="69"/>
      <c r="HUK36" s="69"/>
      <c r="HUL36" s="69"/>
      <c r="HUM36" s="69"/>
      <c r="HUN36" s="69"/>
      <c r="HUO36" s="69"/>
      <c r="HUP36" s="69"/>
      <c r="HUQ36" s="69"/>
      <c r="HUR36" s="69"/>
      <c r="HUS36" s="69"/>
      <c r="HUT36" s="69"/>
      <c r="HUU36" s="69"/>
      <c r="HUV36" s="69"/>
      <c r="HUW36" s="69"/>
      <c r="HUX36" s="69"/>
      <c r="HUY36" s="69"/>
      <c r="HUZ36" s="69"/>
      <c r="HVA36" s="69"/>
      <c r="HVB36" s="69"/>
      <c r="HVC36" s="69"/>
      <c r="HVD36" s="69"/>
      <c r="HVE36" s="69"/>
      <c r="HVF36" s="69"/>
      <c r="HVG36" s="69"/>
      <c r="HVH36" s="69"/>
      <c r="HVI36" s="69"/>
      <c r="HVJ36" s="69"/>
      <c r="HVK36" s="69"/>
      <c r="HVL36" s="69"/>
      <c r="HVM36" s="69"/>
      <c r="HVN36" s="69"/>
      <c r="HVO36" s="69"/>
      <c r="HVP36" s="69"/>
      <c r="HVQ36" s="69"/>
      <c r="HVR36" s="69"/>
      <c r="HVS36" s="69"/>
      <c r="HVT36" s="69"/>
      <c r="HVU36" s="69"/>
      <c r="HVV36" s="69"/>
      <c r="HVW36" s="69"/>
      <c r="HVX36" s="69"/>
      <c r="HVY36" s="69"/>
      <c r="HVZ36" s="69"/>
      <c r="HWA36" s="69"/>
      <c r="HWB36" s="69"/>
      <c r="HWC36" s="69"/>
      <c r="HWD36" s="69"/>
      <c r="HWE36" s="69"/>
      <c r="HWF36" s="69"/>
      <c r="HWG36" s="69"/>
      <c r="HWH36" s="69"/>
      <c r="HWI36" s="69"/>
      <c r="HWJ36" s="69"/>
      <c r="HWK36" s="69"/>
      <c r="HWL36" s="69"/>
      <c r="HWM36" s="69"/>
      <c r="HWN36" s="69"/>
      <c r="HWO36" s="69"/>
      <c r="HWP36" s="69"/>
      <c r="HWQ36" s="69"/>
      <c r="HWR36" s="69"/>
      <c r="HWS36" s="69"/>
      <c r="HWT36" s="69"/>
      <c r="HWU36" s="69"/>
      <c r="HWV36" s="69"/>
      <c r="HWW36" s="69"/>
      <c r="HWX36" s="69"/>
      <c r="HWY36" s="69"/>
      <c r="HWZ36" s="69"/>
      <c r="HXA36" s="69"/>
      <c r="HXB36" s="69"/>
      <c r="HXC36" s="69"/>
      <c r="HXD36" s="69"/>
      <c r="HXE36" s="69"/>
      <c r="HXF36" s="69"/>
      <c r="HXG36" s="69"/>
      <c r="HXH36" s="69"/>
      <c r="HXI36" s="69"/>
      <c r="HXJ36" s="69"/>
      <c r="HXK36" s="69"/>
      <c r="HXL36" s="69"/>
      <c r="HXM36" s="69"/>
      <c r="HXN36" s="69"/>
      <c r="HXO36" s="69"/>
      <c r="HXP36" s="69"/>
      <c r="HXQ36" s="69"/>
      <c r="HXR36" s="69"/>
      <c r="HXS36" s="69"/>
      <c r="HXT36" s="69"/>
      <c r="HXU36" s="69"/>
      <c r="HXV36" s="69"/>
      <c r="HXW36" s="69"/>
      <c r="HXX36" s="69"/>
      <c r="HXY36" s="69"/>
      <c r="HXZ36" s="69"/>
      <c r="HYA36" s="69"/>
      <c r="HYB36" s="69"/>
      <c r="HYC36" s="69"/>
      <c r="HYD36" s="69"/>
      <c r="HYE36" s="69"/>
      <c r="HYF36" s="69"/>
      <c r="HYG36" s="69"/>
      <c r="HYH36" s="69"/>
      <c r="HYI36" s="69"/>
      <c r="HYJ36" s="69"/>
      <c r="HYK36" s="69"/>
      <c r="HYL36" s="69"/>
      <c r="HYM36" s="69"/>
      <c r="HYN36" s="69"/>
      <c r="HYO36" s="69"/>
      <c r="HYP36" s="69"/>
      <c r="HYQ36" s="69"/>
      <c r="HYR36" s="69"/>
      <c r="HYS36" s="69"/>
      <c r="HYT36" s="69"/>
      <c r="HYU36" s="69"/>
      <c r="HYV36" s="69"/>
      <c r="HYW36" s="69"/>
      <c r="HYX36" s="69"/>
      <c r="HYY36" s="69"/>
      <c r="HYZ36" s="69"/>
      <c r="HZA36" s="69"/>
      <c r="HZB36" s="69"/>
      <c r="HZC36" s="69"/>
      <c r="HZD36" s="69"/>
      <c r="HZE36" s="69"/>
      <c r="HZF36" s="69"/>
      <c r="HZG36" s="69"/>
      <c r="HZH36" s="69"/>
      <c r="HZI36" s="69"/>
      <c r="HZJ36" s="69"/>
      <c r="HZK36" s="69"/>
      <c r="HZL36" s="69"/>
      <c r="HZM36" s="69"/>
      <c r="HZN36" s="69"/>
      <c r="HZO36" s="69"/>
      <c r="HZP36" s="69"/>
      <c r="HZQ36" s="69"/>
      <c r="HZR36" s="69"/>
      <c r="HZS36" s="69"/>
      <c r="HZT36" s="69"/>
      <c r="HZU36" s="69"/>
      <c r="HZV36" s="69"/>
      <c r="HZW36" s="69"/>
      <c r="HZX36" s="69"/>
      <c r="HZY36" s="69"/>
      <c r="HZZ36" s="69"/>
      <c r="IAA36" s="69"/>
      <c r="IAB36" s="69"/>
      <c r="IAC36" s="69"/>
      <c r="IAD36" s="69"/>
      <c r="IAE36" s="69"/>
      <c r="IAF36" s="69"/>
      <c r="IAG36" s="69"/>
      <c r="IAH36" s="69"/>
      <c r="IAI36" s="69"/>
      <c r="IAJ36" s="69"/>
      <c r="IAK36" s="69"/>
      <c r="IAL36" s="69"/>
      <c r="IAM36" s="69"/>
      <c r="IAN36" s="69"/>
      <c r="IAO36" s="69"/>
      <c r="IAP36" s="69"/>
      <c r="IAQ36" s="69"/>
      <c r="IAR36" s="69"/>
      <c r="IAS36" s="69"/>
      <c r="IAT36" s="69"/>
      <c r="IAU36" s="69"/>
      <c r="IAV36" s="69"/>
      <c r="IAW36" s="69"/>
      <c r="IAX36" s="69"/>
      <c r="IAY36" s="69"/>
      <c r="IAZ36" s="69"/>
      <c r="IBA36" s="69"/>
      <c r="IBB36" s="69"/>
      <c r="IBC36" s="69"/>
      <c r="IBD36" s="69"/>
      <c r="IBE36" s="69"/>
      <c r="IBF36" s="69"/>
      <c r="IBG36" s="69"/>
      <c r="IBH36" s="69"/>
      <c r="IBI36" s="69"/>
      <c r="IBJ36" s="69"/>
      <c r="IBK36" s="69"/>
      <c r="IBL36" s="69"/>
      <c r="IBM36" s="69"/>
      <c r="IBN36" s="69"/>
      <c r="IBO36" s="69"/>
      <c r="IBP36" s="69"/>
      <c r="IBQ36" s="69"/>
      <c r="IBR36" s="69"/>
      <c r="IBS36" s="69"/>
      <c r="IBT36" s="69"/>
      <c r="IBU36" s="69"/>
      <c r="IBV36" s="69"/>
      <c r="IBW36" s="69"/>
      <c r="IBX36" s="69"/>
      <c r="IBY36" s="69"/>
      <c r="IBZ36" s="69"/>
      <c r="ICA36" s="69"/>
      <c r="ICB36" s="69"/>
      <c r="ICC36" s="69"/>
      <c r="ICD36" s="69"/>
      <c r="ICE36" s="69"/>
      <c r="ICF36" s="69"/>
      <c r="ICG36" s="69"/>
      <c r="ICH36" s="69"/>
      <c r="ICI36" s="69"/>
      <c r="ICJ36" s="69"/>
      <c r="ICK36" s="69"/>
      <c r="ICL36" s="69"/>
      <c r="ICM36" s="69"/>
      <c r="ICN36" s="69"/>
      <c r="ICO36" s="69"/>
      <c r="ICP36" s="69"/>
      <c r="ICQ36" s="69"/>
      <c r="ICR36" s="69"/>
      <c r="ICS36" s="69"/>
      <c r="ICT36" s="69"/>
      <c r="ICU36" s="69"/>
      <c r="ICV36" s="69"/>
      <c r="ICW36" s="69"/>
      <c r="ICX36" s="69"/>
      <c r="ICY36" s="69"/>
      <c r="ICZ36" s="69"/>
      <c r="IDA36" s="69"/>
      <c r="IDB36" s="69"/>
      <c r="IDC36" s="69"/>
      <c r="IDD36" s="69"/>
      <c r="IDE36" s="69"/>
      <c r="IDF36" s="69"/>
      <c r="IDG36" s="69"/>
      <c r="IDH36" s="69"/>
      <c r="IDI36" s="69"/>
      <c r="IDJ36" s="69"/>
      <c r="IDK36" s="69"/>
      <c r="IDL36" s="69"/>
      <c r="IDM36" s="69"/>
      <c r="IDN36" s="69"/>
      <c r="IDO36" s="69"/>
      <c r="IDP36" s="69"/>
      <c r="IDQ36" s="69"/>
      <c r="IDR36" s="69"/>
      <c r="IDS36" s="69"/>
      <c r="IDT36" s="69"/>
      <c r="IDU36" s="69"/>
      <c r="IDV36" s="69"/>
      <c r="IDW36" s="69"/>
      <c r="IDX36" s="69"/>
      <c r="IDY36" s="69"/>
      <c r="IDZ36" s="69"/>
      <c r="IEA36" s="69"/>
      <c r="IEB36" s="69"/>
      <c r="IEC36" s="69"/>
      <c r="IED36" s="69"/>
      <c r="IEE36" s="69"/>
      <c r="IEF36" s="69"/>
      <c r="IEG36" s="69"/>
      <c r="IEH36" s="69"/>
      <c r="IEI36" s="69"/>
      <c r="IEJ36" s="69"/>
      <c r="IEK36" s="69"/>
      <c r="IEL36" s="69"/>
      <c r="IEM36" s="69"/>
      <c r="IEN36" s="69"/>
      <c r="IEO36" s="69"/>
      <c r="IEP36" s="69"/>
      <c r="IEQ36" s="69"/>
      <c r="IER36" s="69"/>
      <c r="IES36" s="69"/>
      <c r="IET36" s="69"/>
      <c r="IEU36" s="69"/>
      <c r="IEV36" s="69"/>
      <c r="IEW36" s="69"/>
      <c r="IEX36" s="69"/>
      <c r="IEY36" s="69"/>
      <c r="IEZ36" s="69"/>
      <c r="IFA36" s="69"/>
      <c r="IFB36" s="69"/>
      <c r="IFC36" s="69"/>
      <c r="IFD36" s="69"/>
      <c r="IFE36" s="69"/>
      <c r="IFF36" s="69"/>
      <c r="IFG36" s="69"/>
      <c r="IFH36" s="69"/>
      <c r="IFI36" s="69"/>
      <c r="IFJ36" s="69"/>
      <c r="IFK36" s="69"/>
      <c r="IFL36" s="69"/>
      <c r="IFM36" s="69"/>
      <c r="IFN36" s="69"/>
      <c r="IFO36" s="69"/>
      <c r="IFP36" s="69"/>
      <c r="IFQ36" s="69"/>
      <c r="IFR36" s="69"/>
      <c r="IFS36" s="69"/>
      <c r="IFT36" s="69"/>
      <c r="IFU36" s="69"/>
      <c r="IFV36" s="69"/>
      <c r="IFW36" s="69"/>
      <c r="IFX36" s="69"/>
      <c r="IFY36" s="69"/>
      <c r="IFZ36" s="69"/>
      <c r="IGA36" s="69"/>
      <c r="IGB36" s="69"/>
      <c r="IGC36" s="69"/>
      <c r="IGD36" s="69"/>
      <c r="IGE36" s="69"/>
      <c r="IGF36" s="69"/>
      <c r="IGG36" s="69"/>
      <c r="IGH36" s="69"/>
      <c r="IGI36" s="69"/>
      <c r="IGJ36" s="69"/>
      <c r="IGK36" s="69"/>
      <c r="IGL36" s="69"/>
      <c r="IGM36" s="69"/>
      <c r="IGN36" s="69"/>
      <c r="IGO36" s="69"/>
      <c r="IGP36" s="69"/>
      <c r="IGQ36" s="69"/>
      <c r="IGR36" s="69"/>
      <c r="IGS36" s="69"/>
      <c r="IGT36" s="69"/>
      <c r="IGU36" s="69"/>
      <c r="IGV36" s="69"/>
      <c r="IGW36" s="69"/>
      <c r="IGX36" s="69"/>
      <c r="IGY36" s="69"/>
      <c r="IGZ36" s="69"/>
      <c r="IHA36" s="69"/>
      <c r="IHB36" s="69"/>
      <c r="IHC36" s="69"/>
      <c r="IHD36" s="69"/>
      <c r="IHE36" s="69"/>
      <c r="IHF36" s="69"/>
      <c r="IHG36" s="69"/>
      <c r="IHH36" s="69"/>
      <c r="IHI36" s="69"/>
      <c r="IHJ36" s="69"/>
      <c r="IHK36" s="69"/>
      <c r="IHL36" s="69"/>
      <c r="IHM36" s="69"/>
      <c r="IHN36" s="69"/>
      <c r="IHO36" s="69"/>
      <c r="IHP36" s="69"/>
      <c r="IHQ36" s="69"/>
      <c r="IHR36" s="69"/>
      <c r="IHS36" s="69"/>
      <c r="IHT36" s="69"/>
      <c r="IHU36" s="69"/>
      <c r="IHV36" s="69"/>
      <c r="IHW36" s="69"/>
      <c r="IHX36" s="69"/>
      <c r="IHY36" s="69"/>
      <c r="IHZ36" s="69"/>
      <c r="IIA36" s="69"/>
      <c r="IIB36" s="69"/>
      <c r="IIC36" s="69"/>
      <c r="IID36" s="69"/>
      <c r="IIE36" s="69"/>
      <c r="IIF36" s="69"/>
      <c r="IIG36" s="69"/>
      <c r="IIH36" s="69"/>
      <c r="III36" s="69"/>
      <c r="IIJ36" s="69"/>
      <c r="IIK36" s="69"/>
      <c r="IIL36" s="69"/>
      <c r="IIM36" s="69"/>
      <c r="IIN36" s="69"/>
      <c r="IIO36" s="69"/>
      <c r="IIP36" s="69"/>
      <c r="IIQ36" s="69"/>
      <c r="IIR36" s="69"/>
      <c r="IIS36" s="69"/>
      <c r="IIT36" s="69"/>
      <c r="IIU36" s="69"/>
      <c r="IIV36" s="69"/>
      <c r="IIW36" s="69"/>
      <c r="IIX36" s="69"/>
      <c r="IIY36" s="69"/>
      <c r="IIZ36" s="69"/>
      <c r="IJA36" s="69"/>
      <c r="IJB36" s="69"/>
      <c r="IJC36" s="69"/>
      <c r="IJD36" s="69"/>
      <c r="IJE36" s="69"/>
      <c r="IJF36" s="69"/>
      <c r="IJG36" s="69"/>
      <c r="IJH36" s="69"/>
      <c r="IJI36" s="69"/>
      <c r="IJJ36" s="69"/>
      <c r="IJK36" s="69"/>
      <c r="IJL36" s="69"/>
      <c r="IJM36" s="69"/>
      <c r="IJN36" s="69"/>
      <c r="IJO36" s="69"/>
      <c r="IJP36" s="69"/>
      <c r="IJQ36" s="69"/>
      <c r="IJR36" s="69"/>
      <c r="IJS36" s="69"/>
      <c r="IJT36" s="69"/>
      <c r="IJU36" s="69"/>
      <c r="IJV36" s="69"/>
      <c r="IJW36" s="69"/>
      <c r="IJX36" s="69"/>
      <c r="IJY36" s="69"/>
      <c r="IJZ36" s="69"/>
      <c r="IKA36" s="69"/>
      <c r="IKB36" s="69"/>
      <c r="IKC36" s="69"/>
      <c r="IKD36" s="69"/>
      <c r="IKE36" s="69"/>
      <c r="IKF36" s="69"/>
      <c r="IKG36" s="69"/>
      <c r="IKH36" s="69"/>
      <c r="IKI36" s="69"/>
      <c r="IKJ36" s="69"/>
      <c r="IKK36" s="69"/>
      <c r="IKL36" s="69"/>
      <c r="IKM36" s="69"/>
      <c r="IKN36" s="69"/>
      <c r="IKO36" s="69"/>
      <c r="IKP36" s="69"/>
      <c r="IKQ36" s="69"/>
      <c r="IKR36" s="69"/>
      <c r="IKS36" s="69"/>
      <c r="IKT36" s="69"/>
      <c r="IKU36" s="69"/>
      <c r="IKV36" s="69"/>
      <c r="IKW36" s="69"/>
      <c r="IKX36" s="69"/>
      <c r="IKY36" s="69"/>
      <c r="IKZ36" s="69"/>
      <c r="ILA36" s="69"/>
      <c r="ILB36" s="69"/>
      <c r="ILC36" s="69"/>
      <c r="ILD36" s="69"/>
      <c r="ILE36" s="69"/>
      <c r="ILF36" s="69"/>
      <c r="ILG36" s="69"/>
      <c r="ILH36" s="69"/>
      <c r="ILI36" s="69"/>
      <c r="ILJ36" s="69"/>
      <c r="ILK36" s="69"/>
      <c r="ILL36" s="69"/>
      <c r="ILM36" s="69"/>
      <c r="ILN36" s="69"/>
      <c r="ILO36" s="69"/>
      <c r="ILP36" s="69"/>
      <c r="ILQ36" s="69"/>
      <c r="ILR36" s="69"/>
      <c r="ILS36" s="69"/>
      <c r="ILT36" s="69"/>
      <c r="ILU36" s="69"/>
      <c r="ILV36" s="69"/>
      <c r="ILW36" s="69"/>
      <c r="ILX36" s="69"/>
      <c r="ILY36" s="69"/>
      <c r="ILZ36" s="69"/>
      <c r="IMA36" s="69"/>
      <c r="IMB36" s="69"/>
      <c r="IMC36" s="69"/>
      <c r="IMD36" s="69"/>
      <c r="IME36" s="69"/>
      <c r="IMF36" s="69"/>
      <c r="IMG36" s="69"/>
      <c r="IMH36" s="69"/>
      <c r="IMI36" s="69"/>
      <c r="IMJ36" s="69"/>
      <c r="IMK36" s="69"/>
      <c r="IML36" s="69"/>
      <c r="IMM36" s="69"/>
      <c r="IMN36" s="69"/>
      <c r="IMO36" s="69"/>
      <c r="IMP36" s="69"/>
      <c r="IMQ36" s="69"/>
      <c r="IMR36" s="69"/>
      <c r="IMS36" s="69"/>
      <c r="IMT36" s="69"/>
      <c r="IMU36" s="69"/>
      <c r="IMV36" s="69"/>
      <c r="IMW36" s="69"/>
      <c r="IMX36" s="69"/>
      <c r="IMY36" s="69"/>
      <c r="IMZ36" s="69"/>
      <c r="INA36" s="69"/>
      <c r="INB36" s="69"/>
      <c r="INC36" s="69"/>
      <c r="IND36" s="69"/>
      <c r="INE36" s="69"/>
      <c r="INF36" s="69"/>
      <c r="ING36" s="69"/>
      <c r="INH36" s="69"/>
      <c r="INI36" s="69"/>
      <c r="INJ36" s="69"/>
      <c r="INK36" s="69"/>
      <c r="INL36" s="69"/>
      <c r="INM36" s="69"/>
      <c r="INN36" s="69"/>
      <c r="INO36" s="69"/>
      <c r="INP36" s="69"/>
      <c r="INQ36" s="69"/>
      <c r="INR36" s="69"/>
      <c r="INS36" s="69"/>
      <c r="INT36" s="69"/>
      <c r="INU36" s="69"/>
      <c r="INV36" s="69"/>
      <c r="INW36" s="69"/>
      <c r="INX36" s="69"/>
      <c r="INY36" s="69"/>
      <c r="INZ36" s="69"/>
      <c r="IOA36" s="69"/>
      <c r="IOB36" s="69"/>
      <c r="IOC36" s="69"/>
      <c r="IOD36" s="69"/>
      <c r="IOE36" s="69"/>
      <c r="IOF36" s="69"/>
      <c r="IOG36" s="69"/>
      <c r="IOH36" s="69"/>
      <c r="IOI36" s="69"/>
      <c r="IOJ36" s="69"/>
      <c r="IOK36" s="69"/>
      <c r="IOL36" s="69"/>
      <c r="IOM36" s="69"/>
      <c r="ION36" s="69"/>
      <c r="IOO36" s="69"/>
      <c r="IOP36" s="69"/>
      <c r="IOQ36" s="69"/>
      <c r="IOR36" s="69"/>
      <c r="IOS36" s="69"/>
      <c r="IOT36" s="69"/>
      <c r="IOU36" s="69"/>
      <c r="IOV36" s="69"/>
      <c r="IOW36" s="69"/>
      <c r="IOX36" s="69"/>
      <c r="IOY36" s="69"/>
      <c r="IOZ36" s="69"/>
      <c r="IPA36" s="69"/>
      <c r="IPB36" s="69"/>
      <c r="IPC36" s="69"/>
      <c r="IPD36" s="69"/>
      <c r="IPE36" s="69"/>
      <c r="IPF36" s="69"/>
      <c r="IPG36" s="69"/>
      <c r="IPH36" s="69"/>
      <c r="IPI36" s="69"/>
      <c r="IPJ36" s="69"/>
      <c r="IPK36" s="69"/>
      <c r="IPL36" s="69"/>
      <c r="IPM36" s="69"/>
      <c r="IPN36" s="69"/>
      <c r="IPO36" s="69"/>
      <c r="IPP36" s="69"/>
      <c r="IPQ36" s="69"/>
      <c r="IPR36" s="69"/>
      <c r="IPS36" s="69"/>
      <c r="IPT36" s="69"/>
      <c r="IPU36" s="69"/>
      <c r="IPV36" s="69"/>
      <c r="IPW36" s="69"/>
      <c r="IPX36" s="69"/>
      <c r="IPY36" s="69"/>
      <c r="IPZ36" s="69"/>
      <c r="IQA36" s="69"/>
      <c r="IQB36" s="69"/>
      <c r="IQC36" s="69"/>
      <c r="IQD36" s="69"/>
      <c r="IQE36" s="69"/>
      <c r="IQF36" s="69"/>
      <c r="IQG36" s="69"/>
      <c r="IQH36" s="69"/>
      <c r="IQI36" s="69"/>
      <c r="IQJ36" s="69"/>
      <c r="IQK36" s="69"/>
      <c r="IQL36" s="69"/>
      <c r="IQM36" s="69"/>
      <c r="IQN36" s="69"/>
      <c r="IQO36" s="69"/>
      <c r="IQP36" s="69"/>
      <c r="IQQ36" s="69"/>
      <c r="IQR36" s="69"/>
      <c r="IQS36" s="69"/>
      <c r="IQT36" s="69"/>
      <c r="IQU36" s="69"/>
      <c r="IQV36" s="69"/>
      <c r="IQW36" s="69"/>
      <c r="IQX36" s="69"/>
      <c r="IQY36" s="69"/>
      <c r="IQZ36" s="69"/>
      <c r="IRA36" s="69"/>
      <c r="IRB36" s="69"/>
      <c r="IRC36" s="69"/>
      <c r="IRD36" s="69"/>
      <c r="IRE36" s="69"/>
      <c r="IRF36" s="69"/>
      <c r="IRG36" s="69"/>
      <c r="IRH36" s="69"/>
      <c r="IRI36" s="69"/>
      <c r="IRJ36" s="69"/>
      <c r="IRK36" s="69"/>
      <c r="IRL36" s="69"/>
      <c r="IRM36" s="69"/>
      <c r="IRN36" s="69"/>
      <c r="IRO36" s="69"/>
      <c r="IRP36" s="69"/>
      <c r="IRQ36" s="69"/>
      <c r="IRR36" s="69"/>
      <c r="IRS36" s="69"/>
      <c r="IRT36" s="69"/>
      <c r="IRU36" s="69"/>
      <c r="IRV36" s="69"/>
      <c r="IRW36" s="69"/>
      <c r="IRX36" s="69"/>
      <c r="IRY36" s="69"/>
      <c r="IRZ36" s="69"/>
      <c r="ISA36" s="69"/>
      <c r="ISB36" s="69"/>
      <c r="ISC36" s="69"/>
      <c r="ISD36" s="69"/>
      <c r="ISE36" s="69"/>
      <c r="ISF36" s="69"/>
      <c r="ISG36" s="69"/>
      <c r="ISH36" s="69"/>
      <c r="ISI36" s="69"/>
      <c r="ISJ36" s="69"/>
      <c r="ISK36" s="69"/>
      <c r="ISL36" s="69"/>
      <c r="ISM36" s="69"/>
      <c r="ISN36" s="69"/>
      <c r="ISO36" s="69"/>
      <c r="ISP36" s="69"/>
      <c r="ISQ36" s="69"/>
      <c r="ISR36" s="69"/>
      <c r="ISS36" s="69"/>
      <c r="IST36" s="69"/>
      <c r="ISU36" s="69"/>
      <c r="ISV36" s="69"/>
      <c r="ISW36" s="69"/>
      <c r="ISX36" s="69"/>
      <c r="ISY36" s="69"/>
      <c r="ISZ36" s="69"/>
      <c r="ITA36" s="69"/>
      <c r="ITB36" s="69"/>
      <c r="ITC36" s="69"/>
      <c r="ITD36" s="69"/>
      <c r="ITE36" s="69"/>
      <c r="ITF36" s="69"/>
      <c r="ITG36" s="69"/>
      <c r="ITH36" s="69"/>
      <c r="ITI36" s="69"/>
      <c r="ITJ36" s="69"/>
      <c r="ITK36" s="69"/>
      <c r="ITL36" s="69"/>
      <c r="ITM36" s="69"/>
      <c r="ITN36" s="69"/>
      <c r="ITO36" s="69"/>
      <c r="ITP36" s="69"/>
      <c r="ITQ36" s="69"/>
      <c r="ITR36" s="69"/>
      <c r="ITS36" s="69"/>
      <c r="ITT36" s="69"/>
      <c r="ITU36" s="69"/>
      <c r="ITV36" s="69"/>
      <c r="ITW36" s="69"/>
      <c r="ITX36" s="69"/>
      <c r="ITY36" s="69"/>
      <c r="ITZ36" s="69"/>
      <c r="IUA36" s="69"/>
      <c r="IUB36" s="69"/>
      <c r="IUC36" s="69"/>
      <c r="IUD36" s="69"/>
      <c r="IUE36" s="69"/>
      <c r="IUF36" s="69"/>
      <c r="IUG36" s="69"/>
      <c r="IUH36" s="69"/>
      <c r="IUI36" s="69"/>
      <c r="IUJ36" s="69"/>
      <c r="IUK36" s="69"/>
      <c r="IUL36" s="69"/>
      <c r="IUM36" s="69"/>
      <c r="IUN36" s="69"/>
      <c r="IUO36" s="69"/>
      <c r="IUP36" s="69"/>
      <c r="IUQ36" s="69"/>
      <c r="IUR36" s="69"/>
      <c r="IUS36" s="69"/>
      <c r="IUT36" s="69"/>
      <c r="IUU36" s="69"/>
      <c r="IUV36" s="69"/>
      <c r="IUW36" s="69"/>
      <c r="IUX36" s="69"/>
      <c r="IUY36" s="69"/>
      <c r="IUZ36" s="69"/>
      <c r="IVA36" s="69"/>
      <c r="IVB36" s="69"/>
      <c r="IVC36" s="69"/>
      <c r="IVD36" s="69"/>
      <c r="IVE36" s="69"/>
      <c r="IVF36" s="69"/>
      <c r="IVG36" s="69"/>
      <c r="IVH36" s="69"/>
      <c r="IVI36" s="69"/>
      <c r="IVJ36" s="69"/>
      <c r="IVK36" s="69"/>
      <c r="IVL36" s="69"/>
      <c r="IVM36" s="69"/>
      <c r="IVN36" s="69"/>
      <c r="IVO36" s="69"/>
      <c r="IVP36" s="69"/>
      <c r="IVQ36" s="69"/>
      <c r="IVR36" s="69"/>
      <c r="IVS36" s="69"/>
      <c r="IVT36" s="69"/>
      <c r="IVU36" s="69"/>
      <c r="IVV36" s="69"/>
      <c r="IVW36" s="69"/>
      <c r="IVX36" s="69"/>
      <c r="IVY36" s="69"/>
      <c r="IVZ36" s="69"/>
      <c r="IWA36" s="69"/>
      <c r="IWB36" s="69"/>
      <c r="IWC36" s="69"/>
      <c r="IWD36" s="69"/>
      <c r="IWE36" s="69"/>
      <c r="IWF36" s="69"/>
      <c r="IWG36" s="69"/>
      <c r="IWH36" s="69"/>
      <c r="IWI36" s="69"/>
      <c r="IWJ36" s="69"/>
      <c r="IWK36" s="69"/>
      <c r="IWL36" s="69"/>
      <c r="IWM36" s="69"/>
      <c r="IWN36" s="69"/>
      <c r="IWO36" s="69"/>
      <c r="IWP36" s="69"/>
      <c r="IWQ36" s="69"/>
      <c r="IWR36" s="69"/>
      <c r="IWS36" s="69"/>
      <c r="IWT36" s="69"/>
      <c r="IWU36" s="69"/>
      <c r="IWV36" s="69"/>
      <c r="IWW36" s="69"/>
      <c r="IWX36" s="69"/>
      <c r="IWY36" s="69"/>
      <c r="IWZ36" s="69"/>
      <c r="IXA36" s="69"/>
      <c r="IXB36" s="69"/>
      <c r="IXC36" s="69"/>
      <c r="IXD36" s="69"/>
      <c r="IXE36" s="69"/>
      <c r="IXF36" s="69"/>
      <c r="IXG36" s="69"/>
      <c r="IXH36" s="69"/>
      <c r="IXI36" s="69"/>
      <c r="IXJ36" s="69"/>
      <c r="IXK36" s="69"/>
      <c r="IXL36" s="69"/>
      <c r="IXM36" s="69"/>
      <c r="IXN36" s="69"/>
      <c r="IXO36" s="69"/>
      <c r="IXP36" s="69"/>
      <c r="IXQ36" s="69"/>
      <c r="IXR36" s="69"/>
      <c r="IXS36" s="69"/>
      <c r="IXT36" s="69"/>
      <c r="IXU36" s="69"/>
      <c r="IXV36" s="69"/>
      <c r="IXW36" s="69"/>
      <c r="IXX36" s="69"/>
      <c r="IXY36" s="69"/>
      <c r="IXZ36" s="69"/>
      <c r="IYA36" s="69"/>
      <c r="IYB36" s="69"/>
      <c r="IYC36" s="69"/>
      <c r="IYD36" s="69"/>
      <c r="IYE36" s="69"/>
      <c r="IYF36" s="69"/>
      <c r="IYG36" s="69"/>
      <c r="IYH36" s="69"/>
      <c r="IYI36" s="69"/>
      <c r="IYJ36" s="69"/>
      <c r="IYK36" s="69"/>
      <c r="IYL36" s="69"/>
      <c r="IYM36" s="69"/>
      <c r="IYN36" s="69"/>
      <c r="IYO36" s="69"/>
      <c r="IYP36" s="69"/>
      <c r="IYQ36" s="69"/>
      <c r="IYR36" s="69"/>
      <c r="IYS36" s="69"/>
      <c r="IYT36" s="69"/>
      <c r="IYU36" s="69"/>
      <c r="IYV36" s="69"/>
      <c r="IYW36" s="69"/>
      <c r="IYX36" s="69"/>
      <c r="IYY36" s="69"/>
      <c r="IYZ36" s="69"/>
      <c r="IZA36" s="69"/>
      <c r="IZB36" s="69"/>
      <c r="IZC36" s="69"/>
      <c r="IZD36" s="69"/>
      <c r="IZE36" s="69"/>
      <c r="IZF36" s="69"/>
      <c r="IZG36" s="69"/>
      <c r="IZH36" s="69"/>
      <c r="IZI36" s="69"/>
      <c r="IZJ36" s="69"/>
      <c r="IZK36" s="69"/>
      <c r="IZL36" s="69"/>
      <c r="IZM36" s="69"/>
      <c r="IZN36" s="69"/>
      <c r="IZO36" s="69"/>
      <c r="IZP36" s="69"/>
      <c r="IZQ36" s="69"/>
      <c r="IZR36" s="69"/>
      <c r="IZS36" s="69"/>
      <c r="IZT36" s="69"/>
      <c r="IZU36" s="69"/>
      <c r="IZV36" s="69"/>
      <c r="IZW36" s="69"/>
      <c r="IZX36" s="69"/>
      <c r="IZY36" s="69"/>
      <c r="IZZ36" s="69"/>
      <c r="JAA36" s="69"/>
      <c r="JAB36" s="69"/>
      <c r="JAC36" s="69"/>
      <c r="JAD36" s="69"/>
      <c r="JAE36" s="69"/>
      <c r="JAF36" s="69"/>
      <c r="JAG36" s="69"/>
      <c r="JAH36" s="69"/>
      <c r="JAI36" s="69"/>
      <c r="JAJ36" s="69"/>
      <c r="JAK36" s="69"/>
      <c r="JAL36" s="69"/>
      <c r="JAM36" s="69"/>
      <c r="JAN36" s="69"/>
      <c r="JAO36" s="69"/>
      <c r="JAP36" s="69"/>
      <c r="JAQ36" s="69"/>
      <c r="JAR36" s="69"/>
      <c r="JAS36" s="69"/>
      <c r="JAT36" s="69"/>
      <c r="JAU36" s="69"/>
      <c r="JAV36" s="69"/>
      <c r="JAW36" s="69"/>
      <c r="JAX36" s="69"/>
      <c r="JAY36" s="69"/>
      <c r="JAZ36" s="69"/>
      <c r="JBA36" s="69"/>
      <c r="JBB36" s="69"/>
      <c r="JBC36" s="69"/>
      <c r="JBD36" s="69"/>
      <c r="JBE36" s="69"/>
      <c r="JBF36" s="69"/>
      <c r="JBG36" s="69"/>
      <c r="JBH36" s="69"/>
      <c r="JBI36" s="69"/>
      <c r="JBJ36" s="69"/>
      <c r="JBK36" s="69"/>
      <c r="JBL36" s="69"/>
      <c r="JBM36" s="69"/>
      <c r="JBN36" s="69"/>
      <c r="JBO36" s="69"/>
      <c r="JBP36" s="69"/>
      <c r="JBQ36" s="69"/>
      <c r="JBR36" s="69"/>
      <c r="JBS36" s="69"/>
      <c r="JBT36" s="69"/>
      <c r="JBU36" s="69"/>
      <c r="JBV36" s="69"/>
      <c r="JBW36" s="69"/>
      <c r="JBX36" s="69"/>
      <c r="JBY36" s="69"/>
      <c r="JBZ36" s="69"/>
      <c r="JCA36" s="69"/>
      <c r="JCB36" s="69"/>
      <c r="JCC36" s="69"/>
      <c r="JCD36" s="69"/>
      <c r="JCE36" s="69"/>
      <c r="JCF36" s="69"/>
      <c r="JCG36" s="69"/>
      <c r="JCH36" s="69"/>
      <c r="JCI36" s="69"/>
      <c r="JCJ36" s="69"/>
      <c r="JCK36" s="69"/>
      <c r="JCL36" s="69"/>
      <c r="JCM36" s="69"/>
      <c r="JCN36" s="69"/>
      <c r="JCO36" s="69"/>
      <c r="JCP36" s="69"/>
      <c r="JCQ36" s="69"/>
      <c r="JCR36" s="69"/>
      <c r="JCS36" s="69"/>
      <c r="JCT36" s="69"/>
      <c r="JCU36" s="69"/>
      <c r="JCV36" s="69"/>
      <c r="JCW36" s="69"/>
      <c r="JCX36" s="69"/>
      <c r="JCY36" s="69"/>
      <c r="JCZ36" s="69"/>
      <c r="JDA36" s="69"/>
      <c r="JDB36" s="69"/>
      <c r="JDC36" s="69"/>
      <c r="JDD36" s="69"/>
      <c r="JDE36" s="69"/>
      <c r="JDF36" s="69"/>
      <c r="JDG36" s="69"/>
      <c r="JDH36" s="69"/>
      <c r="JDI36" s="69"/>
      <c r="JDJ36" s="69"/>
      <c r="JDK36" s="69"/>
      <c r="JDL36" s="69"/>
      <c r="JDM36" s="69"/>
      <c r="JDN36" s="69"/>
      <c r="JDO36" s="69"/>
      <c r="JDP36" s="69"/>
      <c r="JDQ36" s="69"/>
      <c r="JDR36" s="69"/>
      <c r="JDS36" s="69"/>
      <c r="JDT36" s="69"/>
      <c r="JDU36" s="69"/>
      <c r="JDV36" s="69"/>
      <c r="JDW36" s="69"/>
      <c r="JDX36" s="69"/>
      <c r="JDY36" s="69"/>
      <c r="JDZ36" s="69"/>
      <c r="JEA36" s="69"/>
      <c r="JEB36" s="69"/>
      <c r="JEC36" s="69"/>
      <c r="JED36" s="69"/>
      <c r="JEE36" s="69"/>
      <c r="JEF36" s="69"/>
      <c r="JEG36" s="69"/>
      <c r="JEH36" s="69"/>
      <c r="JEI36" s="69"/>
      <c r="JEJ36" s="69"/>
      <c r="JEK36" s="69"/>
      <c r="JEL36" s="69"/>
      <c r="JEM36" s="69"/>
      <c r="JEN36" s="69"/>
      <c r="JEO36" s="69"/>
      <c r="JEP36" s="69"/>
      <c r="JEQ36" s="69"/>
      <c r="JER36" s="69"/>
      <c r="JES36" s="69"/>
      <c r="JET36" s="69"/>
      <c r="JEU36" s="69"/>
      <c r="JEV36" s="69"/>
      <c r="JEW36" s="69"/>
      <c r="JEX36" s="69"/>
      <c r="JEY36" s="69"/>
      <c r="JEZ36" s="69"/>
      <c r="JFA36" s="69"/>
      <c r="JFB36" s="69"/>
      <c r="JFC36" s="69"/>
      <c r="JFD36" s="69"/>
      <c r="JFE36" s="69"/>
      <c r="JFF36" s="69"/>
      <c r="JFG36" s="69"/>
      <c r="JFH36" s="69"/>
      <c r="JFI36" s="69"/>
      <c r="JFJ36" s="69"/>
      <c r="JFK36" s="69"/>
      <c r="JFL36" s="69"/>
      <c r="JFM36" s="69"/>
      <c r="JFN36" s="69"/>
      <c r="JFO36" s="69"/>
      <c r="JFP36" s="69"/>
      <c r="JFQ36" s="69"/>
      <c r="JFR36" s="69"/>
      <c r="JFS36" s="69"/>
      <c r="JFT36" s="69"/>
      <c r="JFU36" s="69"/>
      <c r="JFV36" s="69"/>
      <c r="JFW36" s="69"/>
      <c r="JFX36" s="69"/>
      <c r="JFY36" s="69"/>
      <c r="JFZ36" s="69"/>
      <c r="JGA36" s="69"/>
      <c r="JGB36" s="69"/>
      <c r="JGC36" s="69"/>
      <c r="JGD36" s="69"/>
      <c r="JGE36" s="69"/>
      <c r="JGF36" s="69"/>
      <c r="JGG36" s="69"/>
      <c r="JGH36" s="69"/>
      <c r="JGI36" s="69"/>
      <c r="JGJ36" s="69"/>
      <c r="JGK36" s="69"/>
      <c r="JGL36" s="69"/>
      <c r="JGM36" s="69"/>
      <c r="JGN36" s="69"/>
      <c r="JGO36" s="69"/>
      <c r="JGP36" s="69"/>
      <c r="JGQ36" s="69"/>
      <c r="JGR36" s="69"/>
      <c r="JGS36" s="69"/>
      <c r="JGT36" s="69"/>
      <c r="JGU36" s="69"/>
      <c r="JGV36" s="69"/>
      <c r="JGW36" s="69"/>
      <c r="JGX36" s="69"/>
      <c r="JGY36" s="69"/>
      <c r="JGZ36" s="69"/>
      <c r="JHA36" s="69"/>
      <c r="JHB36" s="69"/>
      <c r="JHC36" s="69"/>
      <c r="JHD36" s="69"/>
      <c r="JHE36" s="69"/>
      <c r="JHF36" s="69"/>
      <c r="JHG36" s="69"/>
      <c r="JHH36" s="69"/>
      <c r="JHI36" s="69"/>
      <c r="JHJ36" s="69"/>
      <c r="JHK36" s="69"/>
      <c r="JHL36" s="69"/>
      <c r="JHM36" s="69"/>
      <c r="JHN36" s="69"/>
      <c r="JHO36" s="69"/>
      <c r="JHP36" s="69"/>
      <c r="JHQ36" s="69"/>
      <c r="JHR36" s="69"/>
      <c r="JHS36" s="69"/>
      <c r="JHT36" s="69"/>
      <c r="JHU36" s="69"/>
      <c r="JHV36" s="69"/>
      <c r="JHW36" s="69"/>
      <c r="JHX36" s="69"/>
      <c r="JHY36" s="69"/>
      <c r="JHZ36" s="69"/>
      <c r="JIA36" s="69"/>
      <c r="JIB36" s="69"/>
      <c r="JIC36" s="69"/>
      <c r="JID36" s="69"/>
      <c r="JIE36" s="69"/>
      <c r="JIF36" s="69"/>
      <c r="JIG36" s="69"/>
      <c r="JIH36" s="69"/>
      <c r="JII36" s="69"/>
      <c r="JIJ36" s="69"/>
      <c r="JIK36" s="69"/>
      <c r="JIL36" s="69"/>
      <c r="JIM36" s="69"/>
      <c r="JIN36" s="69"/>
      <c r="JIO36" s="69"/>
      <c r="JIP36" s="69"/>
      <c r="JIQ36" s="69"/>
      <c r="JIR36" s="69"/>
      <c r="JIS36" s="69"/>
      <c r="JIT36" s="69"/>
      <c r="JIU36" s="69"/>
      <c r="JIV36" s="69"/>
      <c r="JIW36" s="69"/>
      <c r="JIX36" s="69"/>
      <c r="JIY36" s="69"/>
      <c r="JIZ36" s="69"/>
      <c r="JJA36" s="69"/>
      <c r="JJB36" s="69"/>
      <c r="JJC36" s="69"/>
      <c r="JJD36" s="69"/>
      <c r="JJE36" s="69"/>
      <c r="JJF36" s="69"/>
      <c r="JJG36" s="69"/>
      <c r="JJH36" s="69"/>
      <c r="JJI36" s="69"/>
      <c r="JJJ36" s="69"/>
      <c r="JJK36" s="69"/>
      <c r="JJL36" s="69"/>
      <c r="JJM36" s="69"/>
      <c r="JJN36" s="69"/>
      <c r="JJO36" s="69"/>
      <c r="JJP36" s="69"/>
      <c r="JJQ36" s="69"/>
      <c r="JJR36" s="69"/>
      <c r="JJS36" s="69"/>
      <c r="JJT36" s="69"/>
      <c r="JJU36" s="69"/>
      <c r="JJV36" s="69"/>
      <c r="JJW36" s="69"/>
      <c r="JJX36" s="69"/>
      <c r="JJY36" s="69"/>
      <c r="JJZ36" s="69"/>
      <c r="JKA36" s="69"/>
      <c r="JKB36" s="69"/>
      <c r="JKC36" s="69"/>
      <c r="JKD36" s="69"/>
      <c r="JKE36" s="69"/>
      <c r="JKF36" s="69"/>
      <c r="JKG36" s="69"/>
      <c r="JKH36" s="69"/>
      <c r="JKI36" s="69"/>
      <c r="JKJ36" s="69"/>
      <c r="JKK36" s="69"/>
      <c r="JKL36" s="69"/>
      <c r="JKM36" s="69"/>
      <c r="JKN36" s="69"/>
      <c r="JKO36" s="69"/>
      <c r="JKP36" s="69"/>
      <c r="JKQ36" s="69"/>
      <c r="JKR36" s="69"/>
      <c r="JKS36" s="69"/>
      <c r="JKT36" s="69"/>
      <c r="JKU36" s="69"/>
      <c r="JKV36" s="69"/>
      <c r="JKW36" s="69"/>
      <c r="JKX36" s="69"/>
      <c r="JKY36" s="69"/>
      <c r="JKZ36" s="69"/>
      <c r="JLA36" s="69"/>
      <c r="JLB36" s="69"/>
      <c r="JLC36" s="69"/>
      <c r="JLD36" s="69"/>
      <c r="JLE36" s="69"/>
      <c r="JLF36" s="69"/>
      <c r="JLG36" s="69"/>
      <c r="JLH36" s="69"/>
      <c r="JLI36" s="69"/>
      <c r="JLJ36" s="69"/>
      <c r="JLK36" s="69"/>
      <c r="JLL36" s="69"/>
      <c r="JLM36" s="69"/>
      <c r="JLN36" s="69"/>
      <c r="JLO36" s="69"/>
      <c r="JLP36" s="69"/>
      <c r="JLQ36" s="69"/>
      <c r="JLR36" s="69"/>
      <c r="JLS36" s="69"/>
      <c r="JLT36" s="69"/>
      <c r="JLU36" s="69"/>
      <c r="JLV36" s="69"/>
      <c r="JLW36" s="69"/>
      <c r="JLX36" s="69"/>
      <c r="JLY36" s="69"/>
      <c r="JLZ36" s="69"/>
      <c r="JMA36" s="69"/>
      <c r="JMB36" s="69"/>
      <c r="JMC36" s="69"/>
      <c r="JMD36" s="69"/>
      <c r="JME36" s="69"/>
      <c r="JMF36" s="69"/>
      <c r="JMG36" s="69"/>
      <c r="JMH36" s="69"/>
      <c r="JMI36" s="69"/>
      <c r="JMJ36" s="69"/>
      <c r="JMK36" s="69"/>
      <c r="JML36" s="69"/>
      <c r="JMM36" s="69"/>
      <c r="JMN36" s="69"/>
      <c r="JMO36" s="69"/>
      <c r="JMP36" s="69"/>
      <c r="JMQ36" s="69"/>
      <c r="JMR36" s="69"/>
      <c r="JMS36" s="69"/>
      <c r="JMT36" s="69"/>
      <c r="JMU36" s="69"/>
      <c r="JMV36" s="69"/>
      <c r="JMW36" s="69"/>
      <c r="JMX36" s="69"/>
      <c r="JMY36" s="69"/>
      <c r="JMZ36" s="69"/>
      <c r="JNA36" s="69"/>
      <c r="JNB36" s="69"/>
      <c r="JNC36" s="69"/>
      <c r="JND36" s="69"/>
      <c r="JNE36" s="69"/>
      <c r="JNF36" s="69"/>
      <c r="JNG36" s="69"/>
      <c r="JNH36" s="69"/>
      <c r="JNI36" s="69"/>
      <c r="JNJ36" s="69"/>
      <c r="JNK36" s="69"/>
      <c r="JNL36" s="69"/>
      <c r="JNM36" s="69"/>
      <c r="JNN36" s="69"/>
      <c r="JNO36" s="69"/>
      <c r="JNP36" s="69"/>
      <c r="JNQ36" s="69"/>
      <c r="JNR36" s="69"/>
      <c r="JNS36" s="69"/>
      <c r="JNT36" s="69"/>
      <c r="JNU36" s="69"/>
      <c r="JNV36" s="69"/>
      <c r="JNW36" s="69"/>
      <c r="JNX36" s="69"/>
      <c r="JNY36" s="69"/>
      <c r="JNZ36" s="69"/>
      <c r="JOA36" s="69"/>
      <c r="JOB36" s="69"/>
      <c r="JOC36" s="69"/>
      <c r="JOD36" s="69"/>
      <c r="JOE36" s="69"/>
      <c r="JOF36" s="69"/>
      <c r="JOG36" s="69"/>
      <c r="JOH36" s="69"/>
      <c r="JOI36" s="69"/>
      <c r="JOJ36" s="69"/>
      <c r="JOK36" s="69"/>
      <c r="JOL36" s="69"/>
      <c r="JOM36" s="69"/>
      <c r="JON36" s="69"/>
      <c r="JOO36" s="69"/>
      <c r="JOP36" s="69"/>
      <c r="JOQ36" s="69"/>
      <c r="JOR36" s="69"/>
      <c r="JOS36" s="69"/>
      <c r="JOT36" s="69"/>
      <c r="JOU36" s="69"/>
      <c r="JOV36" s="69"/>
      <c r="JOW36" s="69"/>
      <c r="JOX36" s="69"/>
      <c r="JOY36" s="69"/>
      <c r="JOZ36" s="69"/>
      <c r="JPA36" s="69"/>
      <c r="JPB36" s="69"/>
      <c r="JPC36" s="69"/>
      <c r="JPD36" s="69"/>
      <c r="JPE36" s="69"/>
      <c r="JPF36" s="69"/>
      <c r="JPG36" s="69"/>
      <c r="JPH36" s="69"/>
      <c r="JPI36" s="69"/>
      <c r="JPJ36" s="69"/>
      <c r="JPK36" s="69"/>
      <c r="JPL36" s="69"/>
      <c r="JPM36" s="69"/>
      <c r="JPN36" s="69"/>
      <c r="JPO36" s="69"/>
      <c r="JPP36" s="69"/>
      <c r="JPQ36" s="69"/>
      <c r="JPR36" s="69"/>
      <c r="JPS36" s="69"/>
      <c r="JPT36" s="69"/>
      <c r="JPU36" s="69"/>
      <c r="JPV36" s="69"/>
      <c r="JPW36" s="69"/>
      <c r="JPX36" s="69"/>
      <c r="JPY36" s="69"/>
      <c r="JPZ36" s="69"/>
      <c r="JQA36" s="69"/>
      <c r="JQB36" s="69"/>
      <c r="JQC36" s="69"/>
      <c r="JQD36" s="69"/>
      <c r="JQE36" s="69"/>
      <c r="JQF36" s="69"/>
      <c r="JQG36" s="69"/>
      <c r="JQH36" s="69"/>
      <c r="JQI36" s="69"/>
      <c r="JQJ36" s="69"/>
      <c r="JQK36" s="69"/>
      <c r="JQL36" s="69"/>
      <c r="JQM36" s="69"/>
      <c r="JQN36" s="69"/>
      <c r="JQO36" s="69"/>
      <c r="JQP36" s="69"/>
      <c r="JQQ36" s="69"/>
      <c r="JQR36" s="69"/>
      <c r="JQS36" s="69"/>
      <c r="JQT36" s="69"/>
      <c r="JQU36" s="69"/>
      <c r="JQV36" s="69"/>
      <c r="JQW36" s="69"/>
      <c r="JQX36" s="69"/>
      <c r="JQY36" s="69"/>
      <c r="JQZ36" s="69"/>
      <c r="JRA36" s="69"/>
      <c r="JRB36" s="69"/>
      <c r="JRC36" s="69"/>
      <c r="JRD36" s="69"/>
      <c r="JRE36" s="69"/>
      <c r="JRF36" s="69"/>
      <c r="JRG36" s="69"/>
      <c r="JRH36" s="69"/>
      <c r="JRI36" s="69"/>
      <c r="JRJ36" s="69"/>
      <c r="JRK36" s="69"/>
      <c r="JRL36" s="69"/>
      <c r="JRM36" s="69"/>
      <c r="JRN36" s="69"/>
      <c r="JRO36" s="69"/>
      <c r="JRP36" s="69"/>
      <c r="JRQ36" s="69"/>
      <c r="JRR36" s="69"/>
      <c r="JRS36" s="69"/>
      <c r="JRT36" s="69"/>
      <c r="JRU36" s="69"/>
      <c r="JRV36" s="69"/>
      <c r="JRW36" s="69"/>
      <c r="JRX36" s="69"/>
      <c r="JRY36" s="69"/>
      <c r="JRZ36" s="69"/>
      <c r="JSA36" s="69"/>
      <c r="JSB36" s="69"/>
      <c r="JSC36" s="69"/>
      <c r="JSD36" s="69"/>
      <c r="JSE36" s="69"/>
      <c r="JSF36" s="69"/>
      <c r="JSG36" s="69"/>
      <c r="JSH36" s="69"/>
      <c r="JSI36" s="69"/>
      <c r="JSJ36" s="69"/>
      <c r="JSK36" s="69"/>
      <c r="JSL36" s="69"/>
      <c r="JSM36" s="69"/>
      <c r="JSN36" s="69"/>
      <c r="JSO36" s="69"/>
      <c r="JSP36" s="69"/>
      <c r="JSQ36" s="69"/>
      <c r="JSR36" s="69"/>
      <c r="JSS36" s="69"/>
      <c r="JST36" s="69"/>
      <c r="JSU36" s="69"/>
      <c r="JSV36" s="69"/>
      <c r="JSW36" s="69"/>
      <c r="JSX36" s="69"/>
      <c r="JSY36" s="69"/>
      <c r="JSZ36" s="69"/>
      <c r="JTA36" s="69"/>
      <c r="JTB36" s="69"/>
      <c r="JTC36" s="69"/>
      <c r="JTD36" s="69"/>
      <c r="JTE36" s="69"/>
      <c r="JTF36" s="69"/>
      <c r="JTG36" s="69"/>
      <c r="JTH36" s="69"/>
      <c r="JTI36" s="69"/>
      <c r="JTJ36" s="69"/>
      <c r="JTK36" s="69"/>
      <c r="JTL36" s="69"/>
      <c r="JTM36" s="69"/>
      <c r="JTN36" s="69"/>
      <c r="JTO36" s="69"/>
      <c r="JTP36" s="69"/>
      <c r="JTQ36" s="69"/>
      <c r="JTR36" s="69"/>
      <c r="JTS36" s="69"/>
      <c r="JTT36" s="69"/>
      <c r="JTU36" s="69"/>
      <c r="JTV36" s="69"/>
      <c r="JTW36" s="69"/>
      <c r="JTX36" s="69"/>
      <c r="JTY36" s="69"/>
      <c r="JTZ36" s="69"/>
      <c r="JUA36" s="69"/>
      <c r="JUB36" s="69"/>
      <c r="JUC36" s="69"/>
      <c r="JUD36" s="69"/>
      <c r="JUE36" s="69"/>
      <c r="JUF36" s="69"/>
      <c r="JUG36" s="69"/>
      <c r="JUH36" s="69"/>
      <c r="JUI36" s="69"/>
      <c r="JUJ36" s="69"/>
      <c r="JUK36" s="69"/>
      <c r="JUL36" s="69"/>
      <c r="JUM36" s="69"/>
      <c r="JUN36" s="69"/>
      <c r="JUO36" s="69"/>
      <c r="JUP36" s="69"/>
      <c r="JUQ36" s="69"/>
      <c r="JUR36" s="69"/>
      <c r="JUS36" s="69"/>
      <c r="JUT36" s="69"/>
      <c r="JUU36" s="69"/>
      <c r="JUV36" s="69"/>
      <c r="JUW36" s="69"/>
      <c r="JUX36" s="69"/>
      <c r="JUY36" s="69"/>
      <c r="JUZ36" s="69"/>
      <c r="JVA36" s="69"/>
      <c r="JVB36" s="69"/>
      <c r="JVC36" s="69"/>
      <c r="JVD36" s="69"/>
      <c r="JVE36" s="69"/>
      <c r="JVF36" s="69"/>
      <c r="JVG36" s="69"/>
      <c r="JVH36" s="69"/>
      <c r="JVI36" s="69"/>
      <c r="JVJ36" s="69"/>
      <c r="JVK36" s="69"/>
      <c r="JVL36" s="69"/>
      <c r="JVM36" s="69"/>
      <c r="JVN36" s="69"/>
      <c r="JVO36" s="69"/>
      <c r="JVP36" s="69"/>
      <c r="JVQ36" s="69"/>
      <c r="JVR36" s="69"/>
      <c r="JVS36" s="69"/>
      <c r="JVT36" s="69"/>
      <c r="JVU36" s="69"/>
      <c r="JVV36" s="69"/>
      <c r="JVW36" s="69"/>
      <c r="JVX36" s="69"/>
      <c r="JVY36" s="69"/>
      <c r="JVZ36" s="69"/>
      <c r="JWA36" s="69"/>
      <c r="JWB36" s="69"/>
      <c r="JWC36" s="69"/>
      <c r="JWD36" s="69"/>
      <c r="JWE36" s="69"/>
      <c r="JWF36" s="69"/>
      <c r="JWG36" s="69"/>
      <c r="JWH36" s="69"/>
      <c r="JWI36" s="69"/>
      <c r="JWJ36" s="69"/>
      <c r="JWK36" s="69"/>
      <c r="JWL36" s="69"/>
      <c r="JWM36" s="69"/>
      <c r="JWN36" s="69"/>
      <c r="JWO36" s="69"/>
      <c r="JWP36" s="69"/>
      <c r="JWQ36" s="69"/>
      <c r="JWR36" s="69"/>
      <c r="JWS36" s="69"/>
      <c r="JWT36" s="69"/>
      <c r="JWU36" s="69"/>
      <c r="JWV36" s="69"/>
      <c r="JWW36" s="69"/>
      <c r="JWX36" s="69"/>
      <c r="JWY36" s="69"/>
      <c r="JWZ36" s="69"/>
      <c r="JXA36" s="69"/>
      <c r="JXB36" s="69"/>
      <c r="JXC36" s="69"/>
      <c r="JXD36" s="69"/>
      <c r="JXE36" s="69"/>
      <c r="JXF36" s="69"/>
      <c r="JXG36" s="69"/>
      <c r="JXH36" s="69"/>
      <c r="JXI36" s="69"/>
      <c r="JXJ36" s="69"/>
      <c r="JXK36" s="69"/>
      <c r="JXL36" s="69"/>
      <c r="JXM36" s="69"/>
      <c r="JXN36" s="69"/>
      <c r="JXO36" s="69"/>
      <c r="JXP36" s="69"/>
      <c r="JXQ36" s="69"/>
      <c r="JXR36" s="69"/>
      <c r="JXS36" s="69"/>
      <c r="JXT36" s="69"/>
      <c r="JXU36" s="69"/>
      <c r="JXV36" s="69"/>
      <c r="JXW36" s="69"/>
      <c r="JXX36" s="69"/>
      <c r="JXY36" s="69"/>
      <c r="JXZ36" s="69"/>
      <c r="JYA36" s="69"/>
      <c r="JYB36" s="69"/>
      <c r="JYC36" s="69"/>
      <c r="JYD36" s="69"/>
      <c r="JYE36" s="69"/>
      <c r="JYF36" s="69"/>
      <c r="JYG36" s="69"/>
      <c r="JYH36" s="69"/>
      <c r="JYI36" s="69"/>
      <c r="JYJ36" s="69"/>
      <c r="JYK36" s="69"/>
      <c r="JYL36" s="69"/>
      <c r="JYM36" s="69"/>
      <c r="JYN36" s="69"/>
      <c r="JYO36" s="69"/>
      <c r="JYP36" s="69"/>
      <c r="JYQ36" s="69"/>
      <c r="JYR36" s="69"/>
      <c r="JYS36" s="69"/>
      <c r="JYT36" s="69"/>
      <c r="JYU36" s="69"/>
      <c r="JYV36" s="69"/>
      <c r="JYW36" s="69"/>
      <c r="JYX36" s="69"/>
      <c r="JYY36" s="69"/>
      <c r="JYZ36" s="69"/>
      <c r="JZA36" s="69"/>
      <c r="JZB36" s="69"/>
      <c r="JZC36" s="69"/>
      <c r="JZD36" s="69"/>
      <c r="JZE36" s="69"/>
      <c r="JZF36" s="69"/>
      <c r="JZG36" s="69"/>
      <c r="JZH36" s="69"/>
      <c r="JZI36" s="69"/>
      <c r="JZJ36" s="69"/>
      <c r="JZK36" s="69"/>
      <c r="JZL36" s="69"/>
      <c r="JZM36" s="69"/>
      <c r="JZN36" s="69"/>
      <c r="JZO36" s="69"/>
      <c r="JZP36" s="69"/>
      <c r="JZQ36" s="69"/>
      <c r="JZR36" s="69"/>
      <c r="JZS36" s="69"/>
      <c r="JZT36" s="69"/>
      <c r="JZU36" s="69"/>
      <c r="JZV36" s="69"/>
      <c r="JZW36" s="69"/>
      <c r="JZX36" s="69"/>
      <c r="JZY36" s="69"/>
      <c r="JZZ36" s="69"/>
      <c r="KAA36" s="69"/>
      <c r="KAB36" s="69"/>
      <c r="KAC36" s="69"/>
      <c r="KAD36" s="69"/>
      <c r="KAE36" s="69"/>
      <c r="KAF36" s="69"/>
      <c r="KAG36" s="69"/>
      <c r="KAH36" s="69"/>
      <c r="KAI36" s="69"/>
      <c r="KAJ36" s="69"/>
      <c r="KAK36" s="69"/>
      <c r="KAL36" s="69"/>
      <c r="KAM36" s="69"/>
      <c r="KAN36" s="69"/>
      <c r="KAO36" s="69"/>
      <c r="KAP36" s="69"/>
      <c r="KAQ36" s="69"/>
      <c r="KAR36" s="69"/>
      <c r="KAS36" s="69"/>
      <c r="KAT36" s="69"/>
      <c r="KAU36" s="69"/>
      <c r="KAV36" s="69"/>
      <c r="KAW36" s="69"/>
      <c r="KAX36" s="69"/>
      <c r="KAY36" s="69"/>
      <c r="KAZ36" s="69"/>
      <c r="KBA36" s="69"/>
      <c r="KBB36" s="69"/>
      <c r="KBC36" s="69"/>
      <c r="KBD36" s="69"/>
      <c r="KBE36" s="69"/>
      <c r="KBF36" s="69"/>
      <c r="KBG36" s="69"/>
      <c r="KBH36" s="69"/>
      <c r="KBI36" s="69"/>
      <c r="KBJ36" s="69"/>
      <c r="KBK36" s="69"/>
      <c r="KBL36" s="69"/>
      <c r="KBM36" s="69"/>
      <c r="KBN36" s="69"/>
      <c r="KBO36" s="69"/>
      <c r="KBP36" s="69"/>
      <c r="KBQ36" s="69"/>
      <c r="KBR36" s="69"/>
      <c r="KBS36" s="69"/>
      <c r="KBT36" s="69"/>
      <c r="KBU36" s="69"/>
      <c r="KBV36" s="69"/>
      <c r="KBW36" s="69"/>
      <c r="KBX36" s="69"/>
      <c r="KBY36" s="69"/>
      <c r="KBZ36" s="69"/>
      <c r="KCA36" s="69"/>
      <c r="KCB36" s="69"/>
      <c r="KCC36" s="69"/>
      <c r="KCD36" s="69"/>
      <c r="KCE36" s="69"/>
      <c r="KCF36" s="69"/>
      <c r="KCG36" s="69"/>
      <c r="KCH36" s="69"/>
      <c r="KCI36" s="69"/>
      <c r="KCJ36" s="69"/>
      <c r="KCK36" s="69"/>
      <c r="KCL36" s="69"/>
      <c r="KCM36" s="69"/>
      <c r="KCN36" s="69"/>
      <c r="KCO36" s="69"/>
      <c r="KCP36" s="69"/>
      <c r="KCQ36" s="69"/>
      <c r="KCR36" s="69"/>
      <c r="KCS36" s="69"/>
      <c r="KCT36" s="69"/>
      <c r="KCU36" s="69"/>
      <c r="KCV36" s="69"/>
      <c r="KCW36" s="69"/>
      <c r="KCX36" s="69"/>
      <c r="KCY36" s="69"/>
      <c r="KCZ36" s="69"/>
      <c r="KDA36" s="69"/>
      <c r="KDB36" s="69"/>
      <c r="KDC36" s="69"/>
      <c r="KDD36" s="69"/>
      <c r="KDE36" s="69"/>
      <c r="KDF36" s="69"/>
      <c r="KDG36" s="69"/>
      <c r="KDH36" s="69"/>
      <c r="KDI36" s="69"/>
      <c r="KDJ36" s="69"/>
      <c r="KDK36" s="69"/>
      <c r="KDL36" s="69"/>
      <c r="KDM36" s="69"/>
      <c r="KDN36" s="69"/>
      <c r="KDO36" s="69"/>
      <c r="KDP36" s="69"/>
      <c r="KDQ36" s="69"/>
      <c r="KDR36" s="69"/>
      <c r="KDS36" s="69"/>
      <c r="KDT36" s="69"/>
      <c r="KDU36" s="69"/>
      <c r="KDV36" s="69"/>
      <c r="KDW36" s="69"/>
      <c r="KDX36" s="69"/>
      <c r="KDY36" s="69"/>
      <c r="KDZ36" s="69"/>
      <c r="KEA36" s="69"/>
      <c r="KEB36" s="69"/>
      <c r="KEC36" s="69"/>
      <c r="KED36" s="69"/>
      <c r="KEE36" s="69"/>
      <c r="KEF36" s="69"/>
      <c r="KEG36" s="69"/>
      <c r="KEH36" s="69"/>
      <c r="KEI36" s="69"/>
      <c r="KEJ36" s="69"/>
      <c r="KEK36" s="69"/>
      <c r="KEL36" s="69"/>
      <c r="KEM36" s="69"/>
      <c r="KEN36" s="69"/>
      <c r="KEO36" s="69"/>
      <c r="KEP36" s="69"/>
      <c r="KEQ36" s="69"/>
      <c r="KER36" s="69"/>
      <c r="KES36" s="69"/>
      <c r="KET36" s="69"/>
      <c r="KEU36" s="69"/>
      <c r="KEV36" s="69"/>
      <c r="KEW36" s="69"/>
      <c r="KEX36" s="69"/>
      <c r="KEY36" s="69"/>
      <c r="KEZ36" s="69"/>
      <c r="KFA36" s="69"/>
      <c r="KFB36" s="69"/>
      <c r="KFC36" s="69"/>
      <c r="KFD36" s="69"/>
      <c r="KFE36" s="69"/>
      <c r="KFF36" s="69"/>
      <c r="KFG36" s="69"/>
      <c r="KFH36" s="69"/>
      <c r="KFI36" s="69"/>
      <c r="KFJ36" s="69"/>
      <c r="KFK36" s="69"/>
      <c r="KFL36" s="69"/>
      <c r="KFM36" s="69"/>
      <c r="KFN36" s="69"/>
      <c r="KFO36" s="69"/>
      <c r="KFP36" s="69"/>
      <c r="KFQ36" s="69"/>
      <c r="KFR36" s="69"/>
      <c r="KFS36" s="69"/>
      <c r="KFT36" s="69"/>
      <c r="KFU36" s="69"/>
      <c r="KFV36" s="69"/>
      <c r="KFW36" s="69"/>
      <c r="KFX36" s="69"/>
      <c r="KFY36" s="69"/>
      <c r="KFZ36" s="69"/>
      <c r="KGA36" s="69"/>
      <c r="KGB36" s="69"/>
      <c r="KGC36" s="69"/>
      <c r="KGD36" s="69"/>
      <c r="KGE36" s="69"/>
      <c r="KGF36" s="69"/>
      <c r="KGG36" s="69"/>
      <c r="KGH36" s="69"/>
      <c r="KGI36" s="69"/>
      <c r="KGJ36" s="69"/>
      <c r="KGK36" s="69"/>
      <c r="KGL36" s="69"/>
      <c r="KGM36" s="69"/>
      <c r="KGN36" s="69"/>
      <c r="KGO36" s="69"/>
      <c r="KGP36" s="69"/>
      <c r="KGQ36" s="69"/>
      <c r="KGR36" s="69"/>
      <c r="KGS36" s="69"/>
      <c r="KGT36" s="69"/>
      <c r="KGU36" s="69"/>
      <c r="KGV36" s="69"/>
      <c r="KGW36" s="69"/>
      <c r="KGX36" s="69"/>
      <c r="KGY36" s="69"/>
      <c r="KGZ36" s="69"/>
      <c r="KHA36" s="69"/>
      <c r="KHB36" s="69"/>
      <c r="KHC36" s="69"/>
      <c r="KHD36" s="69"/>
      <c r="KHE36" s="69"/>
      <c r="KHF36" s="69"/>
      <c r="KHG36" s="69"/>
      <c r="KHH36" s="69"/>
      <c r="KHI36" s="69"/>
      <c r="KHJ36" s="69"/>
      <c r="KHK36" s="69"/>
      <c r="KHL36" s="69"/>
      <c r="KHM36" s="69"/>
      <c r="KHN36" s="69"/>
      <c r="KHO36" s="69"/>
      <c r="KHP36" s="69"/>
      <c r="KHQ36" s="69"/>
      <c r="KHR36" s="69"/>
      <c r="KHS36" s="69"/>
      <c r="KHT36" s="69"/>
      <c r="KHU36" s="69"/>
      <c r="KHV36" s="69"/>
      <c r="KHW36" s="69"/>
      <c r="KHX36" s="69"/>
      <c r="KHY36" s="69"/>
      <c r="KHZ36" s="69"/>
      <c r="KIA36" s="69"/>
      <c r="KIB36" s="69"/>
      <c r="KIC36" s="69"/>
      <c r="KID36" s="69"/>
      <c r="KIE36" s="69"/>
      <c r="KIF36" s="69"/>
      <c r="KIG36" s="69"/>
      <c r="KIH36" s="69"/>
      <c r="KII36" s="69"/>
      <c r="KIJ36" s="69"/>
      <c r="KIK36" s="69"/>
      <c r="KIL36" s="69"/>
      <c r="KIM36" s="69"/>
      <c r="KIN36" s="69"/>
      <c r="KIO36" s="69"/>
      <c r="KIP36" s="69"/>
      <c r="KIQ36" s="69"/>
      <c r="KIR36" s="69"/>
      <c r="KIS36" s="69"/>
      <c r="KIT36" s="69"/>
      <c r="KIU36" s="69"/>
      <c r="KIV36" s="69"/>
      <c r="KIW36" s="69"/>
      <c r="KIX36" s="69"/>
      <c r="KIY36" s="69"/>
      <c r="KIZ36" s="69"/>
      <c r="KJA36" s="69"/>
      <c r="KJB36" s="69"/>
      <c r="KJC36" s="69"/>
      <c r="KJD36" s="69"/>
      <c r="KJE36" s="69"/>
      <c r="KJF36" s="69"/>
      <c r="KJG36" s="69"/>
      <c r="KJH36" s="69"/>
      <c r="KJI36" s="69"/>
      <c r="KJJ36" s="69"/>
      <c r="KJK36" s="69"/>
      <c r="KJL36" s="69"/>
      <c r="KJM36" s="69"/>
      <c r="KJN36" s="69"/>
      <c r="KJO36" s="69"/>
      <c r="KJP36" s="69"/>
      <c r="KJQ36" s="69"/>
      <c r="KJR36" s="69"/>
      <c r="KJS36" s="69"/>
      <c r="KJT36" s="69"/>
      <c r="KJU36" s="69"/>
      <c r="KJV36" s="69"/>
      <c r="KJW36" s="69"/>
      <c r="KJX36" s="69"/>
      <c r="KJY36" s="69"/>
      <c r="KJZ36" s="69"/>
      <c r="KKA36" s="69"/>
      <c r="KKB36" s="69"/>
      <c r="KKC36" s="69"/>
      <c r="KKD36" s="69"/>
      <c r="KKE36" s="69"/>
      <c r="KKF36" s="69"/>
      <c r="KKG36" s="69"/>
      <c r="KKH36" s="69"/>
      <c r="KKI36" s="69"/>
      <c r="KKJ36" s="69"/>
      <c r="KKK36" s="69"/>
      <c r="KKL36" s="69"/>
      <c r="KKM36" s="69"/>
      <c r="KKN36" s="69"/>
      <c r="KKO36" s="69"/>
      <c r="KKP36" s="69"/>
      <c r="KKQ36" s="69"/>
      <c r="KKR36" s="69"/>
      <c r="KKS36" s="69"/>
      <c r="KKT36" s="69"/>
      <c r="KKU36" s="69"/>
      <c r="KKV36" s="69"/>
      <c r="KKW36" s="69"/>
      <c r="KKX36" s="69"/>
      <c r="KKY36" s="69"/>
      <c r="KKZ36" s="69"/>
      <c r="KLA36" s="69"/>
      <c r="KLB36" s="69"/>
      <c r="KLC36" s="69"/>
      <c r="KLD36" s="69"/>
      <c r="KLE36" s="69"/>
      <c r="KLF36" s="69"/>
      <c r="KLG36" s="69"/>
      <c r="KLH36" s="69"/>
      <c r="KLI36" s="69"/>
      <c r="KLJ36" s="69"/>
      <c r="KLK36" s="69"/>
      <c r="KLL36" s="69"/>
      <c r="KLM36" s="69"/>
      <c r="KLN36" s="69"/>
      <c r="KLO36" s="69"/>
      <c r="KLP36" s="69"/>
      <c r="KLQ36" s="69"/>
      <c r="KLR36" s="69"/>
      <c r="KLS36" s="69"/>
      <c r="KLT36" s="69"/>
      <c r="KLU36" s="69"/>
      <c r="KLV36" s="69"/>
      <c r="KLW36" s="69"/>
      <c r="KLX36" s="69"/>
      <c r="KLY36" s="69"/>
      <c r="KLZ36" s="69"/>
      <c r="KMA36" s="69"/>
      <c r="KMB36" s="69"/>
      <c r="KMC36" s="69"/>
      <c r="KMD36" s="69"/>
      <c r="KME36" s="69"/>
      <c r="KMF36" s="69"/>
      <c r="KMG36" s="69"/>
      <c r="KMH36" s="69"/>
      <c r="KMI36" s="69"/>
      <c r="KMJ36" s="69"/>
      <c r="KMK36" s="69"/>
      <c r="KML36" s="69"/>
      <c r="KMM36" s="69"/>
      <c r="KMN36" s="69"/>
      <c r="KMO36" s="69"/>
      <c r="KMP36" s="69"/>
      <c r="KMQ36" s="69"/>
      <c r="KMR36" s="69"/>
      <c r="KMS36" s="69"/>
      <c r="KMT36" s="69"/>
      <c r="KMU36" s="69"/>
      <c r="KMV36" s="69"/>
      <c r="KMW36" s="69"/>
      <c r="KMX36" s="69"/>
      <c r="KMY36" s="69"/>
      <c r="KMZ36" s="69"/>
      <c r="KNA36" s="69"/>
      <c r="KNB36" s="69"/>
      <c r="KNC36" s="69"/>
      <c r="KND36" s="69"/>
      <c r="KNE36" s="69"/>
      <c r="KNF36" s="69"/>
      <c r="KNG36" s="69"/>
      <c r="KNH36" s="69"/>
      <c r="KNI36" s="69"/>
      <c r="KNJ36" s="69"/>
      <c r="KNK36" s="69"/>
      <c r="KNL36" s="69"/>
      <c r="KNM36" s="69"/>
      <c r="KNN36" s="69"/>
      <c r="KNO36" s="69"/>
      <c r="KNP36" s="69"/>
      <c r="KNQ36" s="69"/>
      <c r="KNR36" s="69"/>
      <c r="KNS36" s="69"/>
      <c r="KNT36" s="69"/>
      <c r="KNU36" s="69"/>
      <c r="KNV36" s="69"/>
      <c r="KNW36" s="69"/>
      <c r="KNX36" s="69"/>
      <c r="KNY36" s="69"/>
      <c r="KNZ36" s="69"/>
      <c r="KOA36" s="69"/>
      <c r="KOB36" s="69"/>
      <c r="KOC36" s="69"/>
      <c r="KOD36" s="69"/>
      <c r="KOE36" s="69"/>
      <c r="KOF36" s="69"/>
      <c r="KOG36" s="69"/>
      <c r="KOH36" s="69"/>
      <c r="KOI36" s="69"/>
      <c r="KOJ36" s="69"/>
      <c r="KOK36" s="69"/>
      <c r="KOL36" s="69"/>
      <c r="KOM36" s="69"/>
      <c r="KON36" s="69"/>
      <c r="KOO36" s="69"/>
      <c r="KOP36" s="69"/>
      <c r="KOQ36" s="69"/>
      <c r="KOR36" s="69"/>
      <c r="KOS36" s="69"/>
      <c r="KOT36" s="69"/>
      <c r="KOU36" s="69"/>
      <c r="KOV36" s="69"/>
      <c r="KOW36" s="69"/>
      <c r="KOX36" s="69"/>
      <c r="KOY36" s="69"/>
      <c r="KOZ36" s="69"/>
      <c r="KPA36" s="69"/>
      <c r="KPB36" s="69"/>
      <c r="KPC36" s="69"/>
      <c r="KPD36" s="69"/>
      <c r="KPE36" s="69"/>
      <c r="KPF36" s="69"/>
      <c r="KPG36" s="69"/>
      <c r="KPH36" s="69"/>
      <c r="KPI36" s="69"/>
      <c r="KPJ36" s="69"/>
      <c r="KPK36" s="69"/>
      <c r="KPL36" s="69"/>
      <c r="KPM36" s="69"/>
      <c r="KPN36" s="69"/>
      <c r="KPO36" s="69"/>
      <c r="KPP36" s="69"/>
      <c r="KPQ36" s="69"/>
      <c r="KPR36" s="69"/>
      <c r="KPS36" s="69"/>
      <c r="KPT36" s="69"/>
      <c r="KPU36" s="69"/>
      <c r="KPV36" s="69"/>
      <c r="KPW36" s="69"/>
      <c r="KPX36" s="69"/>
      <c r="KPY36" s="69"/>
      <c r="KPZ36" s="69"/>
      <c r="KQA36" s="69"/>
      <c r="KQB36" s="69"/>
      <c r="KQC36" s="69"/>
      <c r="KQD36" s="69"/>
      <c r="KQE36" s="69"/>
      <c r="KQF36" s="69"/>
      <c r="KQG36" s="69"/>
      <c r="KQH36" s="69"/>
      <c r="KQI36" s="69"/>
      <c r="KQJ36" s="69"/>
      <c r="KQK36" s="69"/>
      <c r="KQL36" s="69"/>
      <c r="KQM36" s="69"/>
      <c r="KQN36" s="69"/>
      <c r="KQO36" s="69"/>
      <c r="KQP36" s="69"/>
      <c r="KQQ36" s="69"/>
      <c r="KQR36" s="69"/>
      <c r="KQS36" s="69"/>
      <c r="KQT36" s="69"/>
      <c r="KQU36" s="69"/>
      <c r="KQV36" s="69"/>
      <c r="KQW36" s="69"/>
      <c r="KQX36" s="69"/>
      <c r="KQY36" s="69"/>
      <c r="KQZ36" s="69"/>
      <c r="KRA36" s="69"/>
      <c r="KRB36" s="69"/>
      <c r="KRC36" s="69"/>
      <c r="KRD36" s="69"/>
      <c r="KRE36" s="69"/>
      <c r="KRF36" s="69"/>
      <c r="KRG36" s="69"/>
      <c r="KRH36" s="69"/>
      <c r="KRI36" s="69"/>
      <c r="KRJ36" s="69"/>
      <c r="KRK36" s="69"/>
      <c r="KRL36" s="69"/>
      <c r="KRM36" s="69"/>
      <c r="KRN36" s="69"/>
      <c r="KRO36" s="69"/>
      <c r="KRP36" s="69"/>
      <c r="KRQ36" s="69"/>
      <c r="KRR36" s="69"/>
      <c r="KRS36" s="69"/>
      <c r="KRT36" s="69"/>
      <c r="KRU36" s="69"/>
      <c r="KRV36" s="69"/>
      <c r="KRW36" s="69"/>
      <c r="KRX36" s="69"/>
      <c r="KRY36" s="69"/>
      <c r="KRZ36" s="69"/>
      <c r="KSA36" s="69"/>
      <c r="KSB36" s="69"/>
      <c r="KSC36" s="69"/>
      <c r="KSD36" s="69"/>
      <c r="KSE36" s="69"/>
      <c r="KSF36" s="69"/>
      <c r="KSG36" s="69"/>
      <c r="KSH36" s="69"/>
      <c r="KSI36" s="69"/>
      <c r="KSJ36" s="69"/>
      <c r="KSK36" s="69"/>
      <c r="KSL36" s="69"/>
      <c r="KSM36" s="69"/>
      <c r="KSN36" s="69"/>
      <c r="KSO36" s="69"/>
      <c r="KSP36" s="69"/>
      <c r="KSQ36" s="69"/>
      <c r="KSR36" s="69"/>
      <c r="KSS36" s="69"/>
      <c r="KST36" s="69"/>
      <c r="KSU36" s="69"/>
      <c r="KSV36" s="69"/>
      <c r="KSW36" s="69"/>
      <c r="KSX36" s="69"/>
      <c r="KSY36" s="69"/>
      <c r="KSZ36" s="69"/>
      <c r="KTA36" s="69"/>
      <c r="KTB36" s="69"/>
      <c r="KTC36" s="69"/>
      <c r="KTD36" s="69"/>
      <c r="KTE36" s="69"/>
      <c r="KTF36" s="69"/>
      <c r="KTG36" s="69"/>
      <c r="KTH36" s="69"/>
      <c r="KTI36" s="69"/>
      <c r="KTJ36" s="69"/>
      <c r="KTK36" s="69"/>
      <c r="KTL36" s="69"/>
      <c r="KTM36" s="69"/>
      <c r="KTN36" s="69"/>
      <c r="KTO36" s="69"/>
      <c r="KTP36" s="69"/>
      <c r="KTQ36" s="69"/>
      <c r="KTR36" s="69"/>
      <c r="KTS36" s="69"/>
      <c r="KTT36" s="69"/>
      <c r="KTU36" s="69"/>
      <c r="KTV36" s="69"/>
      <c r="KTW36" s="69"/>
      <c r="KTX36" s="69"/>
      <c r="KTY36" s="69"/>
      <c r="KTZ36" s="69"/>
      <c r="KUA36" s="69"/>
      <c r="KUB36" s="69"/>
      <c r="KUC36" s="69"/>
      <c r="KUD36" s="69"/>
      <c r="KUE36" s="69"/>
      <c r="KUF36" s="69"/>
      <c r="KUG36" s="69"/>
      <c r="KUH36" s="69"/>
      <c r="KUI36" s="69"/>
      <c r="KUJ36" s="69"/>
      <c r="KUK36" s="69"/>
      <c r="KUL36" s="69"/>
      <c r="KUM36" s="69"/>
      <c r="KUN36" s="69"/>
      <c r="KUO36" s="69"/>
      <c r="KUP36" s="69"/>
      <c r="KUQ36" s="69"/>
      <c r="KUR36" s="69"/>
      <c r="KUS36" s="69"/>
      <c r="KUT36" s="69"/>
      <c r="KUU36" s="69"/>
      <c r="KUV36" s="69"/>
      <c r="KUW36" s="69"/>
      <c r="KUX36" s="69"/>
      <c r="KUY36" s="69"/>
      <c r="KUZ36" s="69"/>
      <c r="KVA36" s="69"/>
      <c r="KVB36" s="69"/>
      <c r="KVC36" s="69"/>
      <c r="KVD36" s="69"/>
      <c r="KVE36" s="69"/>
      <c r="KVF36" s="69"/>
      <c r="KVG36" s="69"/>
      <c r="KVH36" s="69"/>
      <c r="KVI36" s="69"/>
      <c r="KVJ36" s="69"/>
      <c r="KVK36" s="69"/>
      <c r="KVL36" s="69"/>
      <c r="KVM36" s="69"/>
      <c r="KVN36" s="69"/>
      <c r="KVO36" s="69"/>
      <c r="KVP36" s="69"/>
      <c r="KVQ36" s="69"/>
      <c r="KVR36" s="69"/>
      <c r="KVS36" s="69"/>
      <c r="KVT36" s="69"/>
      <c r="KVU36" s="69"/>
      <c r="KVV36" s="69"/>
      <c r="KVW36" s="69"/>
      <c r="KVX36" s="69"/>
      <c r="KVY36" s="69"/>
      <c r="KVZ36" s="69"/>
      <c r="KWA36" s="69"/>
      <c r="KWB36" s="69"/>
      <c r="KWC36" s="69"/>
      <c r="KWD36" s="69"/>
      <c r="KWE36" s="69"/>
      <c r="KWF36" s="69"/>
      <c r="KWG36" s="69"/>
      <c r="KWH36" s="69"/>
      <c r="KWI36" s="69"/>
      <c r="KWJ36" s="69"/>
      <c r="KWK36" s="69"/>
      <c r="KWL36" s="69"/>
      <c r="KWM36" s="69"/>
      <c r="KWN36" s="69"/>
      <c r="KWO36" s="69"/>
      <c r="KWP36" s="69"/>
      <c r="KWQ36" s="69"/>
      <c r="KWR36" s="69"/>
      <c r="KWS36" s="69"/>
      <c r="KWT36" s="69"/>
      <c r="KWU36" s="69"/>
      <c r="KWV36" s="69"/>
      <c r="KWW36" s="69"/>
      <c r="KWX36" s="69"/>
      <c r="KWY36" s="69"/>
      <c r="KWZ36" s="69"/>
      <c r="KXA36" s="69"/>
      <c r="KXB36" s="69"/>
      <c r="KXC36" s="69"/>
      <c r="KXD36" s="69"/>
      <c r="KXE36" s="69"/>
      <c r="KXF36" s="69"/>
      <c r="KXG36" s="69"/>
      <c r="KXH36" s="69"/>
      <c r="KXI36" s="69"/>
      <c r="KXJ36" s="69"/>
      <c r="KXK36" s="69"/>
      <c r="KXL36" s="69"/>
      <c r="KXM36" s="69"/>
      <c r="KXN36" s="69"/>
      <c r="KXO36" s="69"/>
      <c r="KXP36" s="69"/>
      <c r="KXQ36" s="69"/>
      <c r="KXR36" s="69"/>
      <c r="KXS36" s="69"/>
      <c r="KXT36" s="69"/>
      <c r="KXU36" s="69"/>
      <c r="KXV36" s="69"/>
      <c r="KXW36" s="69"/>
      <c r="KXX36" s="69"/>
      <c r="KXY36" s="69"/>
      <c r="KXZ36" s="69"/>
      <c r="KYA36" s="69"/>
      <c r="KYB36" s="69"/>
      <c r="KYC36" s="69"/>
      <c r="KYD36" s="69"/>
      <c r="KYE36" s="69"/>
      <c r="KYF36" s="69"/>
      <c r="KYG36" s="69"/>
      <c r="KYH36" s="69"/>
      <c r="KYI36" s="69"/>
      <c r="KYJ36" s="69"/>
      <c r="KYK36" s="69"/>
      <c r="KYL36" s="69"/>
      <c r="KYM36" s="69"/>
      <c r="KYN36" s="69"/>
      <c r="KYO36" s="69"/>
      <c r="KYP36" s="69"/>
      <c r="KYQ36" s="69"/>
      <c r="KYR36" s="69"/>
      <c r="KYS36" s="69"/>
      <c r="KYT36" s="69"/>
      <c r="KYU36" s="69"/>
      <c r="KYV36" s="69"/>
      <c r="KYW36" s="69"/>
      <c r="KYX36" s="69"/>
      <c r="KYY36" s="69"/>
      <c r="KYZ36" s="69"/>
      <c r="KZA36" s="69"/>
      <c r="KZB36" s="69"/>
      <c r="KZC36" s="69"/>
      <c r="KZD36" s="69"/>
      <c r="KZE36" s="69"/>
      <c r="KZF36" s="69"/>
      <c r="KZG36" s="69"/>
      <c r="KZH36" s="69"/>
      <c r="KZI36" s="69"/>
      <c r="KZJ36" s="69"/>
      <c r="KZK36" s="69"/>
      <c r="KZL36" s="69"/>
      <c r="KZM36" s="69"/>
      <c r="KZN36" s="69"/>
      <c r="KZO36" s="69"/>
      <c r="KZP36" s="69"/>
      <c r="KZQ36" s="69"/>
      <c r="KZR36" s="69"/>
      <c r="KZS36" s="69"/>
      <c r="KZT36" s="69"/>
      <c r="KZU36" s="69"/>
      <c r="KZV36" s="69"/>
      <c r="KZW36" s="69"/>
      <c r="KZX36" s="69"/>
      <c r="KZY36" s="69"/>
      <c r="KZZ36" s="69"/>
      <c r="LAA36" s="69"/>
      <c r="LAB36" s="69"/>
      <c r="LAC36" s="69"/>
      <c r="LAD36" s="69"/>
      <c r="LAE36" s="69"/>
      <c r="LAF36" s="69"/>
      <c r="LAG36" s="69"/>
      <c r="LAH36" s="69"/>
      <c r="LAI36" s="69"/>
      <c r="LAJ36" s="69"/>
      <c r="LAK36" s="69"/>
      <c r="LAL36" s="69"/>
      <c r="LAM36" s="69"/>
      <c r="LAN36" s="69"/>
      <c r="LAO36" s="69"/>
      <c r="LAP36" s="69"/>
      <c r="LAQ36" s="69"/>
      <c r="LAR36" s="69"/>
      <c r="LAS36" s="69"/>
      <c r="LAT36" s="69"/>
      <c r="LAU36" s="69"/>
      <c r="LAV36" s="69"/>
      <c r="LAW36" s="69"/>
      <c r="LAX36" s="69"/>
      <c r="LAY36" s="69"/>
      <c r="LAZ36" s="69"/>
      <c r="LBA36" s="69"/>
      <c r="LBB36" s="69"/>
      <c r="LBC36" s="69"/>
      <c r="LBD36" s="69"/>
      <c r="LBE36" s="69"/>
      <c r="LBF36" s="69"/>
      <c r="LBG36" s="69"/>
      <c r="LBH36" s="69"/>
      <c r="LBI36" s="69"/>
      <c r="LBJ36" s="69"/>
      <c r="LBK36" s="69"/>
      <c r="LBL36" s="69"/>
      <c r="LBM36" s="69"/>
      <c r="LBN36" s="69"/>
      <c r="LBO36" s="69"/>
      <c r="LBP36" s="69"/>
      <c r="LBQ36" s="69"/>
      <c r="LBR36" s="69"/>
      <c r="LBS36" s="69"/>
      <c r="LBT36" s="69"/>
      <c r="LBU36" s="69"/>
      <c r="LBV36" s="69"/>
      <c r="LBW36" s="69"/>
      <c r="LBX36" s="69"/>
      <c r="LBY36" s="69"/>
      <c r="LBZ36" s="69"/>
      <c r="LCA36" s="69"/>
      <c r="LCB36" s="69"/>
      <c r="LCC36" s="69"/>
      <c r="LCD36" s="69"/>
      <c r="LCE36" s="69"/>
      <c r="LCF36" s="69"/>
      <c r="LCG36" s="69"/>
      <c r="LCH36" s="69"/>
      <c r="LCI36" s="69"/>
      <c r="LCJ36" s="69"/>
      <c r="LCK36" s="69"/>
      <c r="LCL36" s="69"/>
      <c r="LCM36" s="69"/>
      <c r="LCN36" s="69"/>
      <c r="LCO36" s="69"/>
      <c r="LCP36" s="69"/>
      <c r="LCQ36" s="69"/>
      <c r="LCR36" s="69"/>
      <c r="LCS36" s="69"/>
      <c r="LCT36" s="69"/>
      <c r="LCU36" s="69"/>
      <c r="LCV36" s="69"/>
      <c r="LCW36" s="69"/>
      <c r="LCX36" s="69"/>
      <c r="LCY36" s="69"/>
      <c r="LCZ36" s="69"/>
      <c r="LDA36" s="69"/>
      <c r="LDB36" s="69"/>
      <c r="LDC36" s="69"/>
      <c r="LDD36" s="69"/>
      <c r="LDE36" s="69"/>
      <c r="LDF36" s="69"/>
      <c r="LDG36" s="69"/>
      <c r="LDH36" s="69"/>
      <c r="LDI36" s="69"/>
      <c r="LDJ36" s="69"/>
      <c r="LDK36" s="69"/>
      <c r="LDL36" s="69"/>
      <c r="LDM36" s="69"/>
      <c r="LDN36" s="69"/>
      <c r="LDO36" s="69"/>
      <c r="LDP36" s="69"/>
      <c r="LDQ36" s="69"/>
      <c r="LDR36" s="69"/>
      <c r="LDS36" s="69"/>
      <c r="LDT36" s="69"/>
      <c r="LDU36" s="69"/>
      <c r="LDV36" s="69"/>
      <c r="LDW36" s="69"/>
      <c r="LDX36" s="69"/>
      <c r="LDY36" s="69"/>
      <c r="LDZ36" s="69"/>
      <c r="LEA36" s="69"/>
      <c r="LEB36" s="69"/>
      <c r="LEC36" s="69"/>
      <c r="LED36" s="69"/>
      <c r="LEE36" s="69"/>
      <c r="LEF36" s="69"/>
      <c r="LEG36" s="69"/>
      <c r="LEH36" s="69"/>
      <c r="LEI36" s="69"/>
      <c r="LEJ36" s="69"/>
      <c r="LEK36" s="69"/>
      <c r="LEL36" s="69"/>
      <c r="LEM36" s="69"/>
      <c r="LEN36" s="69"/>
      <c r="LEO36" s="69"/>
      <c r="LEP36" s="69"/>
      <c r="LEQ36" s="69"/>
      <c r="LER36" s="69"/>
      <c r="LES36" s="69"/>
      <c r="LET36" s="69"/>
      <c r="LEU36" s="69"/>
      <c r="LEV36" s="69"/>
      <c r="LEW36" s="69"/>
      <c r="LEX36" s="69"/>
      <c r="LEY36" s="69"/>
      <c r="LEZ36" s="69"/>
      <c r="LFA36" s="69"/>
      <c r="LFB36" s="69"/>
      <c r="LFC36" s="69"/>
      <c r="LFD36" s="69"/>
      <c r="LFE36" s="69"/>
      <c r="LFF36" s="69"/>
      <c r="LFG36" s="69"/>
      <c r="LFH36" s="69"/>
      <c r="LFI36" s="69"/>
      <c r="LFJ36" s="69"/>
      <c r="LFK36" s="69"/>
      <c r="LFL36" s="69"/>
      <c r="LFM36" s="69"/>
      <c r="LFN36" s="69"/>
      <c r="LFO36" s="69"/>
      <c r="LFP36" s="69"/>
      <c r="LFQ36" s="69"/>
      <c r="LFR36" s="69"/>
      <c r="LFS36" s="69"/>
      <c r="LFT36" s="69"/>
      <c r="LFU36" s="69"/>
      <c r="LFV36" s="69"/>
      <c r="LFW36" s="69"/>
      <c r="LFX36" s="69"/>
      <c r="LFY36" s="69"/>
      <c r="LFZ36" s="69"/>
      <c r="LGA36" s="69"/>
      <c r="LGB36" s="69"/>
      <c r="LGC36" s="69"/>
      <c r="LGD36" s="69"/>
      <c r="LGE36" s="69"/>
      <c r="LGF36" s="69"/>
      <c r="LGG36" s="69"/>
      <c r="LGH36" s="69"/>
      <c r="LGI36" s="69"/>
      <c r="LGJ36" s="69"/>
      <c r="LGK36" s="69"/>
      <c r="LGL36" s="69"/>
      <c r="LGM36" s="69"/>
      <c r="LGN36" s="69"/>
      <c r="LGO36" s="69"/>
      <c r="LGP36" s="69"/>
      <c r="LGQ36" s="69"/>
      <c r="LGR36" s="69"/>
      <c r="LGS36" s="69"/>
      <c r="LGT36" s="69"/>
      <c r="LGU36" s="69"/>
      <c r="LGV36" s="69"/>
      <c r="LGW36" s="69"/>
      <c r="LGX36" s="69"/>
      <c r="LGY36" s="69"/>
      <c r="LGZ36" s="69"/>
      <c r="LHA36" s="69"/>
      <c r="LHB36" s="69"/>
      <c r="LHC36" s="69"/>
      <c r="LHD36" s="69"/>
      <c r="LHE36" s="69"/>
      <c r="LHF36" s="69"/>
      <c r="LHG36" s="69"/>
      <c r="LHH36" s="69"/>
      <c r="LHI36" s="69"/>
      <c r="LHJ36" s="69"/>
      <c r="LHK36" s="69"/>
      <c r="LHL36" s="69"/>
      <c r="LHM36" s="69"/>
      <c r="LHN36" s="69"/>
      <c r="LHO36" s="69"/>
      <c r="LHP36" s="69"/>
      <c r="LHQ36" s="69"/>
      <c r="LHR36" s="69"/>
      <c r="LHS36" s="69"/>
      <c r="LHT36" s="69"/>
      <c r="LHU36" s="69"/>
      <c r="LHV36" s="69"/>
      <c r="LHW36" s="69"/>
      <c r="LHX36" s="69"/>
      <c r="LHY36" s="69"/>
      <c r="LHZ36" s="69"/>
      <c r="LIA36" s="69"/>
      <c r="LIB36" s="69"/>
      <c r="LIC36" s="69"/>
      <c r="LID36" s="69"/>
      <c r="LIE36" s="69"/>
      <c r="LIF36" s="69"/>
      <c r="LIG36" s="69"/>
      <c r="LIH36" s="69"/>
      <c r="LII36" s="69"/>
      <c r="LIJ36" s="69"/>
      <c r="LIK36" s="69"/>
      <c r="LIL36" s="69"/>
      <c r="LIM36" s="69"/>
      <c r="LIN36" s="69"/>
      <c r="LIO36" s="69"/>
      <c r="LIP36" s="69"/>
      <c r="LIQ36" s="69"/>
      <c r="LIR36" s="69"/>
      <c r="LIS36" s="69"/>
      <c r="LIT36" s="69"/>
      <c r="LIU36" s="69"/>
      <c r="LIV36" s="69"/>
      <c r="LIW36" s="69"/>
      <c r="LIX36" s="69"/>
      <c r="LIY36" s="69"/>
      <c r="LIZ36" s="69"/>
      <c r="LJA36" s="69"/>
      <c r="LJB36" s="69"/>
      <c r="LJC36" s="69"/>
      <c r="LJD36" s="69"/>
      <c r="LJE36" s="69"/>
      <c r="LJF36" s="69"/>
      <c r="LJG36" s="69"/>
      <c r="LJH36" s="69"/>
      <c r="LJI36" s="69"/>
      <c r="LJJ36" s="69"/>
      <c r="LJK36" s="69"/>
      <c r="LJL36" s="69"/>
      <c r="LJM36" s="69"/>
      <c r="LJN36" s="69"/>
      <c r="LJO36" s="69"/>
      <c r="LJP36" s="69"/>
      <c r="LJQ36" s="69"/>
      <c r="LJR36" s="69"/>
      <c r="LJS36" s="69"/>
      <c r="LJT36" s="69"/>
      <c r="LJU36" s="69"/>
      <c r="LJV36" s="69"/>
      <c r="LJW36" s="69"/>
      <c r="LJX36" s="69"/>
      <c r="LJY36" s="69"/>
      <c r="LJZ36" s="69"/>
      <c r="LKA36" s="69"/>
      <c r="LKB36" s="69"/>
      <c r="LKC36" s="69"/>
      <c r="LKD36" s="69"/>
      <c r="LKE36" s="69"/>
      <c r="LKF36" s="69"/>
      <c r="LKG36" s="69"/>
      <c r="LKH36" s="69"/>
      <c r="LKI36" s="69"/>
      <c r="LKJ36" s="69"/>
      <c r="LKK36" s="69"/>
      <c r="LKL36" s="69"/>
      <c r="LKM36" s="69"/>
      <c r="LKN36" s="69"/>
      <c r="LKO36" s="69"/>
      <c r="LKP36" s="69"/>
      <c r="LKQ36" s="69"/>
      <c r="LKR36" s="69"/>
      <c r="LKS36" s="69"/>
      <c r="LKT36" s="69"/>
      <c r="LKU36" s="69"/>
      <c r="LKV36" s="69"/>
      <c r="LKW36" s="69"/>
      <c r="LKX36" s="69"/>
      <c r="LKY36" s="69"/>
      <c r="LKZ36" s="69"/>
      <c r="LLA36" s="69"/>
      <c r="LLB36" s="69"/>
      <c r="LLC36" s="69"/>
      <c r="LLD36" s="69"/>
      <c r="LLE36" s="69"/>
      <c r="LLF36" s="69"/>
      <c r="LLG36" s="69"/>
      <c r="LLH36" s="69"/>
      <c r="LLI36" s="69"/>
      <c r="LLJ36" s="69"/>
      <c r="LLK36" s="69"/>
      <c r="LLL36" s="69"/>
      <c r="LLM36" s="69"/>
      <c r="LLN36" s="69"/>
      <c r="LLO36" s="69"/>
      <c r="LLP36" s="69"/>
      <c r="LLQ36" s="69"/>
      <c r="LLR36" s="69"/>
      <c r="LLS36" s="69"/>
      <c r="LLT36" s="69"/>
      <c r="LLU36" s="69"/>
      <c r="LLV36" s="69"/>
      <c r="LLW36" s="69"/>
      <c r="LLX36" s="69"/>
      <c r="LLY36" s="69"/>
      <c r="LLZ36" s="69"/>
      <c r="LMA36" s="69"/>
      <c r="LMB36" s="69"/>
      <c r="LMC36" s="69"/>
      <c r="LMD36" s="69"/>
      <c r="LME36" s="69"/>
      <c r="LMF36" s="69"/>
      <c r="LMG36" s="69"/>
      <c r="LMH36" s="69"/>
      <c r="LMI36" s="69"/>
      <c r="LMJ36" s="69"/>
      <c r="LMK36" s="69"/>
      <c r="LML36" s="69"/>
      <c r="LMM36" s="69"/>
      <c r="LMN36" s="69"/>
      <c r="LMO36" s="69"/>
      <c r="LMP36" s="69"/>
      <c r="LMQ36" s="69"/>
      <c r="LMR36" s="69"/>
      <c r="LMS36" s="69"/>
      <c r="LMT36" s="69"/>
      <c r="LMU36" s="69"/>
      <c r="LMV36" s="69"/>
      <c r="LMW36" s="69"/>
      <c r="LMX36" s="69"/>
      <c r="LMY36" s="69"/>
      <c r="LMZ36" s="69"/>
      <c r="LNA36" s="69"/>
      <c r="LNB36" s="69"/>
      <c r="LNC36" s="69"/>
      <c r="LND36" s="69"/>
      <c r="LNE36" s="69"/>
      <c r="LNF36" s="69"/>
      <c r="LNG36" s="69"/>
      <c r="LNH36" s="69"/>
      <c r="LNI36" s="69"/>
      <c r="LNJ36" s="69"/>
      <c r="LNK36" s="69"/>
      <c r="LNL36" s="69"/>
      <c r="LNM36" s="69"/>
      <c r="LNN36" s="69"/>
      <c r="LNO36" s="69"/>
      <c r="LNP36" s="69"/>
      <c r="LNQ36" s="69"/>
      <c r="LNR36" s="69"/>
      <c r="LNS36" s="69"/>
      <c r="LNT36" s="69"/>
      <c r="LNU36" s="69"/>
      <c r="LNV36" s="69"/>
      <c r="LNW36" s="69"/>
      <c r="LNX36" s="69"/>
      <c r="LNY36" s="69"/>
      <c r="LNZ36" s="69"/>
      <c r="LOA36" s="69"/>
      <c r="LOB36" s="69"/>
      <c r="LOC36" s="69"/>
      <c r="LOD36" s="69"/>
      <c r="LOE36" s="69"/>
      <c r="LOF36" s="69"/>
      <c r="LOG36" s="69"/>
      <c r="LOH36" s="69"/>
      <c r="LOI36" s="69"/>
      <c r="LOJ36" s="69"/>
      <c r="LOK36" s="69"/>
      <c r="LOL36" s="69"/>
      <c r="LOM36" s="69"/>
      <c r="LON36" s="69"/>
      <c r="LOO36" s="69"/>
      <c r="LOP36" s="69"/>
      <c r="LOQ36" s="69"/>
      <c r="LOR36" s="69"/>
      <c r="LOS36" s="69"/>
      <c r="LOT36" s="69"/>
      <c r="LOU36" s="69"/>
      <c r="LOV36" s="69"/>
      <c r="LOW36" s="69"/>
      <c r="LOX36" s="69"/>
      <c r="LOY36" s="69"/>
      <c r="LOZ36" s="69"/>
      <c r="LPA36" s="69"/>
      <c r="LPB36" s="69"/>
      <c r="LPC36" s="69"/>
      <c r="LPD36" s="69"/>
      <c r="LPE36" s="69"/>
      <c r="LPF36" s="69"/>
      <c r="LPG36" s="69"/>
      <c r="LPH36" s="69"/>
      <c r="LPI36" s="69"/>
      <c r="LPJ36" s="69"/>
      <c r="LPK36" s="69"/>
      <c r="LPL36" s="69"/>
      <c r="LPM36" s="69"/>
      <c r="LPN36" s="69"/>
      <c r="LPO36" s="69"/>
      <c r="LPP36" s="69"/>
      <c r="LPQ36" s="69"/>
      <c r="LPR36" s="69"/>
      <c r="LPS36" s="69"/>
      <c r="LPT36" s="69"/>
      <c r="LPU36" s="69"/>
      <c r="LPV36" s="69"/>
      <c r="LPW36" s="69"/>
      <c r="LPX36" s="69"/>
      <c r="LPY36" s="69"/>
      <c r="LPZ36" s="69"/>
      <c r="LQA36" s="69"/>
      <c r="LQB36" s="69"/>
      <c r="LQC36" s="69"/>
      <c r="LQD36" s="69"/>
      <c r="LQE36" s="69"/>
      <c r="LQF36" s="69"/>
      <c r="LQG36" s="69"/>
      <c r="LQH36" s="69"/>
      <c r="LQI36" s="69"/>
      <c r="LQJ36" s="69"/>
      <c r="LQK36" s="69"/>
      <c r="LQL36" s="69"/>
      <c r="LQM36" s="69"/>
      <c r="LQN36" s="69"/>
      <c r="LQO36" s="69"/>
      <c r="LQP36" s="69"/>
      <c r="LQQ36" s="69"/>
      <c r="LQR36" s="69"/>
      <c r="LQS36" s="69"/>
      <c r="LQT36" s="69"/>
      <c r="LQU36" s="69"/>
      <c r="LQV36" s="69"/>
      <c r="LQW36" s="69"/>
      <c r="LQX36" s="69"/>
      <c r="LQY36" s="69"/>
      <c r="LQZ36" s="69"/>
      <c r="LRA36" s="69"/>
      <c r="LRB36" s="69"/>
      <c r="LRC36" s="69"/>
      <c r="LRD36" s="69"/>
      <c r="LRE36" s="69"/>
      <c r="LRF36" s="69"/>
      <c r="LRG36" s="69"/>
      <c r="LRH36" s="69"/>
      <c r="LRI36" s="69"/>
      <c r="LRJ36" s="69"/>
      <c r="LRK36" s="69"/>
      <c r="LRL36" s="69"/>
      <c r="LRM36" s="69"/>
      <c r="LRN36" s="69"/>
      <c r="LRO36" s="69"/>
      <c r="LRP36" s="69"/>
      <c r="LRQ36" s="69"/>
      <c r="LRR36" s="69"/>
      <c r="LRS36" s="69"/>
      <c r="LRT36" s="69"/>
      <c r="LRU36" s="69"/>
      <c r="LRV36" s="69"/>
      <c r="LRW36" s="69"/>
      <c r="LRX36" s="69"/>
      <c r="LRY36" s="69"/>
      <c r="LRZ36" s="69"/>
      <c r="LSA36" s="69"/>
      <c r="LSB36" s="69"/>
      <c r="LSC36" s="69"/>
      <c r="LSD36" s="69"/>
      <c r="LSE36" s="69"/>
      <c r="LSF36" s="69"/>
      <c r="LSG36" s="69"/>
      <c r="LSH36" s="69"/>
      <c r="LSI36" s="69"/>
      <c r="LSJ36" s="69"/>
      <c r="LSK36" s="69"/>
      <c r="LSL36" s="69"/>
      <c r="LSM36" s="69"/>
      <c r="LSN36" s="69"/>
      <c r="LSO36" s="69"/>
      <c r="LSP36" s="69"/>
      <c r="LSQ36" s="69"/>
      <c r="LSR36" s="69"/>
      <c r="LSS36" s="69"/>
      <c r="LST36" s="69"/>
      <c r="LSU36" s="69"/>
      <c r="LSV36" s="69"/>
      <c r="LSW36" s="69"/>
      <c r="LSX36" s="69"/>
      <c r="LSY36" s="69"/>
      <c r="LSZ36" s="69"/>
      <c r="LTA36" s="69"/>
      <c r="LTB36" s="69"/>
      <c r="LTC36" s="69"/>
      <c r="LTD36" s="69"/>
      <c r="LTE36" s="69"/>
      <c r="LTF36" s="69"/>
      <c r="LTG36" s="69"/>
      <c r="LTH36" s="69"/>
      <c r="LTI36" s="69"/>
      <c r="LTJ36" s="69"/>
      <c r="LTK36" s="69"/>
      <c r="LTL36" s="69"/>
      <c r="LTM36" s="69"/>
      <c r="LTN36" s="69"/>
      <c r="LTO36" s="69"/>
      <c r="LTP36" s="69"/>
      <c r="LTQ36" s="69"/>
      <c r="LTR36" s="69"/>
      <c r="LTS36" s="69"/>
      <c r="LTT36" s="69"/>
      <c r="LTU36" s="69"/>
      <c r="LTV36" s="69"/>
      <c r="LTW36" s="69"/>
      <c r="LTX36" s="69"/>
      <c r="LTY36" s="69"/>
      <c r="LTZ36" s="69"/>
      <c r="LUA36" s="69"/>
      <c r="LUB36" s="69"/>
      <c r="LUC36" s="69"/>
      <c r="LUD36" s="69"/>
      <c r="LUE36" s="69"/>
      <c r="LUF36" s="69"/>
      <c r="LUG36" s="69"/>
      <c r="LUH36" s="69"/>
      <c r="LUI36" s="69"/>
      <c r="LUJ36" s="69"/>
      <c r="LUK36" s="69"/>
      <c r="LUL36" s="69"/>
      <c r="LUM36" s="69"/>
      <c r="LUN36" s="69"/>
      <c r="LUO36" s="69"/>
      <c r="LUP36" s="69"/>
      <c r="LUQ36" s="69"/>
      <c r="LUR36" s="69"/>
      <c r="LUS36" s="69"/>
      <c r="LUT36" s="69"/>
      <c r="LUU36" s="69"/>
      <c r="LUV36" s="69"/>
      <c r="LUW36" s="69"/>
      <c r="LUX36" s="69"/>
      <c r="LUY36" s="69"/>
      <c r="LUZ36" s="69"/>
      <c r="LVA36" s="69"/>
      <c r="LVB36" s="69"/>
      <c r="LVC36" s="69"/>
      <c r="LVD36" s="69"/>
      <c r="LVE36" s="69"/>
      <c r="LVF36" s="69"/>
      <c r="LVG36" s="69"/>
      <c r="LVH36" s="69"/>
      <c r="LVI36" s="69"/>
      <c r="LVJ36" s="69"/>
      <c r="LVK36" s="69"/>
      <c r="LVL36" s="69"/>
      <c r="LVM36" s="69"/>
      <c r="LVN36" s="69"/>
      <c r="LVO36" s="69"/>
      <c r="LVP36" s="69"/>
      <c r="LVQ36" s="69"/>
      <c r="LVR36" s="69"/>
      <c r="LVS36" s="69"/>
      <c r="LVT36" s="69"/>
      <c r="LVU36" s="69"/>
      <c r="LVV36" s="69"/>
      <c r="LVW36" s="69"/>
      <c r="LVX36" s="69"/>
      <c r="LVY36" s="69"/>
      <c r="LVZ36" s="69"/>
      <c r="LWA36" s="69"/>
      <c r="LWB36" s="69"/>
      <c r="LWC36" s="69"/>
      <c r="LWD36" s="69"/>
      <c r="LWE36" s="69"/>
      <c r="LWF36" s="69"/>
      <c r="LWG36" s="69"/>
      <c r="LWH36" s="69"/>
      <c r="LWI36" s="69"/>
      <c r="LWJ36" s="69"/>
      <c r="LWK36" s="69"/>
      <c r="LWL36" s="69"/>
      <c r="LWM36" s="69"/>
      <c r="LWN36" s="69"/>
      <c r="LWO36" s="69"/>
      <c r="LWP36" s="69"/>
      <c r="LWQ36" s="69"/>
      <c r="LWR36" s="69"/>
      <c r="LWS36" s="69"/>
      <c r="LWT36" s="69"/>
      <c r="LWU36" s="69"/>
      <c r="LWV36" s="69"/>
      <c r="LWW36" s="69"/>
      <c r="LWX36" s="69"/>
      <c r="LWY36" s="69"/>
      <c r="LWZ36" s="69"/>
      <c r="LXA36" s="69"/>
      <c r="LXB36" s="69"/>
      <c r="LXC36" s="69"/>
      <c r="LXD36" s="69"/>
      <c r="LXE36" s="69"/>
      <c r="LXF36" s="69"/>
      <c r="LXG36" s="69"/>
      <c r="LXH36" s="69"/>
      <c r="LXI36" s="69"/>
      <c r="LXJ36" s="69"/>
      <c r="LXK36" s="69"/>
      <c r="LXL36" s="69"/>
      <c r="LXM36" s="69"/>
      <c r="LXN36" s="69"/>
      <c r="LXO36" s="69"/>
      <c r="LXP36" s="69"/>
      <c r="LXQ36" s="69"/>
      <c r="LXR36" s="69"/>
      <c r="LXS36" s="69"/>
      <c r="LXT36" s="69"/>
      <c r="LXU36" s="69"/>
      <c r="LXV36" s="69"/>
      <c r="LXW36" s="69"/>
      <c r="LXX36" s="69"/>
      <c r="LXY36" s="69"/>
      <c r="LXZ36" s="69"/>
      <c r="LYA36" s="69"/>
      <c r="LYB36" s="69"/>
      <c r="LYC36" s="69"/>
      <c r="LYD36" s="69"/>
      <c r="LYE36" s="69"/>
      <c r="LYF36" s="69"/>
      <c r="LYG36" s="69"/>
      <c r="LYH36" s="69"/>
      <c r="LYI36" s="69"/>
      <c r="LYJ36" s="69"/>
      <c r="LYK36" s="69"/>
      <c r="LYL36" s="69"/>
      <c r="LYM36" s="69"/>
      <c r="LYN36" s="69"/>
      <c r="LYO36" s="69"/>
      <c r="LYP36" s="69"/>
      <c r="LYQ36" s="69"/>
      <c r="LYR36" s="69"/>
      <c r="LYS36" s="69"/>
      <c r="LYT36" s="69"/>
      <c r="LYU36" s="69"/>
      <c r="LYV36" s="69"/>
      <c r="LYW36" s="69"/>
      <c r="LYX36" s="69"/>
      <c r="LYY36" s="69"/>
      <c r="LYZ36" s="69"/>
      <c r="LZA36" s="69"/>
      <c r="LZB36" s="69"/>
      <c r="LZC36" s="69"/>
      <c r="LZD36" s="69"/>
      <c r="LZE36" s="69"/>
      <c r="LZF36" s="69"/>
      <c r="LZG36" s="69"/>
      <c r="LZH36" s="69"/>
      <c r="LZI36" s="69"/>
      <c r="LZJ36" s="69"/>
      <c r="LZK36" s="69"/>
      <c r="LZL36" s="69"/>
      <c r="LZM36" s="69"/>
      <c r="LZN36" s="69"/>
      <c r="LZO36" s="69"/>
      <c r="LZP36" s="69"/>
      <c r="LZQ36" s="69"/>
      <c r="LZR36" s="69"/>
      <c r="LZS36" s="69"/>
      <c r="LZT36" s="69"/>
      <c r="LZU36" s="69"/>
      <c r="LZV36" s="69"/>
      <c r="LZW36" s="69"/>
      <c r="LZX36" s="69"/>
      <c r="LZY36" s="69"/>
      <c r="LZZ36" s="69"/>
      <c r="MAA36" s="69"/>
      <c r="MAB36" s="69"/>
      <c r="MAC36" s="69"/>
      <c r="MAD36" s="69"/>
      <c r="MAE36" s="69"/>
      <c r="MAF36" s="69"/>
      <c r="MAG36" s="69"/>
      <c r="MAH36" s="69"/>
      <c r="MAI36" s="69"/>
      <c r="MAJ36" s="69"/>
      <c r="MAK36" s="69"/>
      <c r="MAL36" s="69"/>
      <c r="MAM36" s="69"/>
      <c r="MAN36" s="69"/>
      <c r="MAO36" s="69"/>
      <c r="MAP36" s="69"/>
      <c r="MAQ36" s="69"/>
      <c r="MAR36" s="69"/>
      <c r="MAS36" s="69"/>
      <c r="MAT36" s="69"/>
      <c r="MAU36" s="69"/>
      <c r="MAV36" s="69"/>
      <c r="MAW36" s="69"/>
      <c r="MAX36" s="69"/>
      <c r="MAY36" s="69"/>
      <c r="MAZ36" s="69"/>
      <c r="MBA36" s="69"/>
      <c r="MBB36" s="69"/>
      <c r="MBC36" s="69"/>
      <c r="MBD36" s="69"/>
      <c r="MBE36" s="69"/>
      <c r="MBF36" s="69"/>
      <c r="MBG36" s="69"/>
      <c r="MBH36" s="69"/>
      <c r="MBI36" s="69"/>
      <c r="MBJ36" s="69"/>
      <c r="MBK36" s="69"/>
      <c r="MBL36" s="69"/>
      <c r="MBM36" s="69"/>
      <c r="MBN36" s="69"/>
      <c r="MBO36" s="69"/>
      <c r="MBP36" s="69"/>
      <c r="MBQ36" s="69"/>
      <c r="MBR36" s="69"/>
      <c r="MBS36" s="69"/>
      <c r="MBT36" s="69"/>
      <c r="MBU36" s="69"/>
      <c r="MBV36" s="69"/>
      <c r="MBW36" s="69"/>
      <c r="MBX36" s="69"/>
      <c r="MBY36" s="69"/>
      <c r="MBZ36" s="69"/>
      <c r="MCA36" s="69"/>
      <c r="MCB36" s="69"/>
      <c r="MCC36" s="69"/>
      <c r="MCD36" s="69"/>
      <c r="MCE36" s="69"/>
      <c r="MCF36" s="69"/>
      <c r="MCG36" s="69"/>
      <c r="MCH36" s="69"/>
      <c r="MCI36" s="69"/>
      <c r="MCJ36" s="69"/>
      <c r="MCK36" s="69"/>
      <c r="MCL36" s="69"/>
      <c r="MCM36" s="69"/>
      <c r="MCN36" s="69"/>
      <c r="MCO36" s="69"/>
      <c r="MCP36" s="69"/>
      <c r="MCQ36" s="69"/>
      <c r="MCR36" s="69"/>
      <c r="MCS36" s="69"/>
      <c r="MCT36" s="69"/>
      <c r="MCU36" s="69"/>
      <c r="MCV36" s="69"/>
      <c r="MCW36" s="69"/>
      <c r="MCX36" s="69"/>
      <c r="MCY36" s="69"/>
      <c r="MCZ36" s="69"/>
      <c r="MDA36" s="69"/>
      <c r="MDB36" s="69"/>
      <c r="MDC36" s="69"/>
      <c r="MDD36" s="69"/>
      <c r="MDE36" s="69"/>
      <c r="MDF36" s="69"/>
      <c r="MDG36" s="69"/>
      <c r="MDH36" s="69"/>
      <c r="MDI36" s="69"/>
      <c r="MDJ36" s="69"/>
      <c r="MDK36" s="69"/>
      <c r="MDL36" s="69"/>
      <c r="MDM36" s="69"/>
      <c r="MDN36" s="69"/>
      <c r="MDO36" s="69"/>
      <c r="MDP36" s="69"/>
      <c r="MDQ36" s="69"/>
      <c r="MDR36" s="69"/>
      <c r="MDS36" s="69"/>
      <c r="MDT36" s="69"/>
      <c r="MDU36" s="69"/>
      <c r="MDV36" s="69"/>
      <c r="MDW36" s="69"/>
      <c r="MDX36" s="69"/>
      <c r="MDY36" s="69"/>
      <c r="MDZ36" s="69"/>
      <c r="MEA36" s="69"/>
      <c r="MEB36" s="69"/>
      <c r="MEC36" s="69"/>
      <c r="MED36" s="69"/>
      <c r="MEE36" s="69"/>
      <c r="MEF36" s="69"/>
      <c r="MEG36" s="69"/>
      <c r="MEH36" s="69"/>
      <c r="MEI36" s="69"/>
      <c r="MEJ36" s="69"/>
      <c r="MEK36" s="69"/>
      <c r="MEL36" s="69"/>
      <c r="MEM36" s="69"/>
      <c r="MEN36" s="69"/>
      <c r="MEO36" s="69"/>
      <c r="MEP36" s="69"/>
      <c r="MEQ36" s="69"/>
      <c r="MER36" s="69"/>
      <c r="MES36" s="69"/>
      <c r="MET36" s="69"/>
      <c r="MEU36" s="69"/>
      <c r="MEV36" s="69"/>
      <c r="MEW36" s="69"/>
      <c r="MEX36" s="69"/>
      <c r="MEY36" s="69"/>
      <c r="MEZ36" s="69"/>
      <c r="MFA36" s="69"/>
      <c r="MFB36" s="69"/>
      <c r="MFC36" s="69"/>
      <c r="MFD36" s="69"/>
      <c r="MFE36" s="69"/>
      <c r="MFF36" s="69"/>
      <c r="MFG36" s="69"/>
      <c r="MFH36" s="69"/>
      <c r="MFI36" s="69"/>
      <c r="MFJ36" s="69"/>
      <c r="MFK36" s="69"/>
      <c r="MFL36" s="69"/>
      <c r="MFM36" s="69"/>
      <c r="MFN36" s="69"/>
      <c r="MFO36" s="69"/>
      <c r="MFP36" s="69"/>
      <c r="MFQ36" s="69"/>
      <c r="MFR36" s="69"/>
      <c r="MFS36" s="69"/>
      <c r="MFT36" s="69"/>
      <c r="MFU36" s="69"/>
      <c r="MFV36" s="69"/>
      <c r="MFW36" s="69"/>
      <c r="MFX36" s="69"/>
      <c r="MFY36" s="69"/>
      <c r="MFZ36" s="69"/>
      <c r="MGA36" s="69"/>
      <c r="MGB36" s="69"/>
      <c r="MGC36" s="69"/>
      <c r="MGD36" s="69"/>
      <c r="MGE36" s="69"/>
      <c r="MGF36" s="69"/>
      <c r="MGG36" s="69"/>
      <c r="MGH36" s="69"/>
      <c r="MGI36" s="69"/>
      <c r="MGJ36" s="69"/>
      <c r="MGK36" s="69"/>
      <c r="MGL36" s="69"/>
      <c r="MGM36" s="69"/>
      <c r="MGN36" s="69"/>
      <c r="MGO36" s="69"/>
      <c r="MGP36" s="69"/>
      <c r="MGQ36" s="69"/>
      <c r="MGR36" s="69"/>
      <c r="MGS36" s="69"/>
      <c r="MGT36" s="69"/>
      <c r="MGU36" s="69"/>
      <c r="MGV36" s="69"/>
      <c r="MGW36" s="69"/>
      <c r="MGX36" s="69"/>
      <c r="MGY36" s="69"/>
      <c r="MGZ36" s="69"/>
      <c r="MHA36" s="69"/>
      <c r="MHB36" s="69"/>
      <c r="MHC36" s="69"/>
      <c r="MHD36" s="69"/>
      <c r="MHE36" s="69"/>
      <c r="MHF36" s="69"/>
      <c r="MHG36" s="69"/>
      <c r="MHH36" s="69"/>
      <c r="MHI36" s="69"/>
      <c r="MHJ36" s="69"/>
      <c r="MHK36" s="69"/>
      <c r="MHL36" s="69"/>
      <c r="MHM36" s="69"/>
      <c r="MHN36" s="69"/>
      <c r="MHO36" s="69"/>
      <c r="MHP36" s="69"/>
      <c r="MHQ36" s="69"/>
      <c r="MHR36" s="69"/>
      <c r="MHS36" s="69"/>
      <c r="MHT36" s="69"/>
      <c r="MHU36" s="69"/>
      <c r="MHV36" s="69"/>
      <c r="MHW36" s="69"/>
      <c r="MHX36" s="69"/>
      <c r="MHY36" s="69"/>
      <c r="MHZ36" s="69"/>
      <c r="MIA36" s="69"/>
      <c r="MIB36" s="69"/>
      <c r="MIC36" s="69"/>
      <c r="MID36" s="69"/>
      <c r="MIE36" s="69"/>
      <c r="MIF36" s="69"/>
      <c r="MIG36" s="69"/>
      <c r="MIH36" s="69"/>
      <c r="MII36" s="69"/>
      <c r="MIJ36" s="69"/>
      <c r="MIK36" s="69"/>
      <c r="MIL36" s="69"/>
      <c r="MIM36" s="69"/>
      <c r="MIN36" s="69"/>
      <c r="MIO36" s="69"/>
      <c r="MIP36" s="69"/>
      <c r="MIQ36" s="69"/>
      <c r="MIR36" s="69"/>
      <c r="MIS36" s="69"/>
      <c r="MIT36" s="69"/>
      <c r="MIU36" s="69"/>
      <c r="MIV36" s="69"/>
      <c r="MIW36" s="69"/>
      <c r="MIX36" s="69"/>
      <c r="MIY36" s="69"/>
      <c r="MIZ36" s="69"/>
      <c r="MJA36" s="69"/>
      <c r="MJB36" s="69"/>
      <c r="MJC36" s="69"/>
      <c r="MJD36" s="69"/>
      <c r="MJE36" s="69"/>
      <c r="MJF36" s="69"/>
      <c r="MJG36" s="69"/>
      <c r="MJH36" s="69"/>
      <c r="MJI36" s="69"/>
      <c r="MJJ36" s="69"/>
      <c r="MJK36" s="69"/>
      <c r="MJL36" s="69"/>
      <c r="MJM36" s="69"/>
      <c r="MJN36" s="69"/>
      <c r="MJO36" s="69"/>
      <c r="MJP36" s="69"/>
      <c r="MJQ36" s="69"/>
      <c r="MJR36" s="69"/>
      <c r="MJS36" s="69"/>
      <c r="MJT36" s="69"/>
      <c r="MJU36" s="69"/>
      <c r="MJV36" s="69"/>
      <c r="MJW36" s="69"/>
      <c r="MJX36" s="69"/>
      <c r="MJY36" s="69"/>
      <c r="MJZ36" s="69"/>
      <c r="MKA36" s="69"/>
      <c r="MKB36" s="69"/>
      <c r="MKC36" s="69"/>
      <c r="MKD36" s="69"/>
      <c r="MKE36" s="69"/>
      <c r="MKF36" s="69"/>
      <c r="MKG36" s="69"/>
      <c r="MKH36" s="69"/>
      <c r="MKI36" s="69"/>
      <c r="MKJ36" s="69"/>
      <c r="MKK36" s="69"/>
      <c r="MKL36" s="69"/>
      <c r="MKM36" s="69"/>
      <c r="MKN36" s="69"/>
      <c r="MKO36" s="69"/>
      <c r="MKP36" s="69"/>
      <c r="MKQ36" s="69"/>
      <c r="MKR36" s="69"/>
      <c r="MKS36" s="69"/>
      <c r="MKT36" s="69"/>
      <c r="MKU36" s="69"/>
      <c r="MKV36" s="69"/>
      <c r="MKW36" s="69"/>
      <c r="MKX36" s="69"/>
      <c r="MKY36" s="69"/>
      <c r="MKZ36" s="69"/>
      <c r="MLA36" s="69"/>
      <c r="MLB36" s="69"/>
      <c r="MLC36" s="69"/>
      <c r="MLD36" s="69"/>
      <c r="MLE36" s="69"/>
      <c r="MLF36" s="69"/>
      <c r="MLG36" s="69"/>
      <c r="MLH36" s="69"/>
      <c r="MLI36" s="69"/>
      <c r="MLJ36" s="69"/>
      <c r="MLK36" s="69"/>
      <c r="MLL36" s="69"/>
      <c r="MLM36" s="69"/>
      <c r="MLN36" s="69"/>
      <c r="MLO36" s="69"/>
      <c r="MLP36" s="69"/>
      <c r="MLQ36" s="69"/>
      <c r="MLR36" s="69"/>
      <c r="MLS36" s="69"/>
      <c r="MLT36" s="69"/>
      <c r="MLU36" s="69"/>
      <c r="MLV36" s="69"/>
      <c r="MLW36" s="69"/>
      <c r="MLX36" s="69"/>
      <c r="MLY36" s="69"/>
      <c r="MLZ36" s="69"/>
      <c r="MMA36" s="69"/>
      <c r="MMB36" s="69"/>
      <c r="MMC36" s="69"/>
      <c r="MMD36" s="69"/>
      <c r="MME36" s="69"/>
      <c r="MMF36" s="69"/>
      <c r="MMG36" s="69"/>
      <c r="MMH36" s="69"/>
      <c r="MMI36" s="69"/>
      <c r="MMJ36" s="69"/>
      <c r="MMK36" s="69"/>
      <c r="MML36" s="69"/>
      <c r="MMM36" s="69"/>
      <c r="MMN36" s="69"/>
      <c r="MMO36" s="69"/>
      <c r="MMP36" s="69"/>
      <c r="MMQ36" s="69"/>
      <c r="MMR36" s="69"/>
      <c r="MMS36" s="69"/>
      <c r="MMT36" s="69"/>
      <c r="MMU36" s="69"/>
      <c r="MMV36" s="69"/>
      <c r="MMW36" s="69"/>
      <c r="MMX36" s="69"/>
      <c r="MMY36" s="69"/>
      <c r="MMZ36" s="69"/>
      <c r="MNA36" s="69"/>
      <c r="MNB36" s="69"/>
      <c r="MNC36" s="69"/>
      <c r="MND36" s="69"/>
      <c r="MNE36" s="69"/>
      <c r="MNF36" s="69"/>
      <c r="MNG36" s="69"/>
      <c r="MNH36" s="69"/>
      <c r="MNI36" s="69"/>
      <c r="MNJ36" s="69"/>
      <c r="MNK36" s="69"/>
      <c r="MNL36" s="69"/>
      <c r="MNM36" s="69"/>
      <c r="MNN36" s="69"/>
      <c r="MNO36" s="69"/>
      <c r="MNP36" s="69"/>
      <c r="MNQ36" s="69"/>
      <c r="MNR36" s="69"/>
      <c r="MNS36" s="69"/>
      <c r="MNT36" s="69"/>
      <c r="MNU36" s="69"/>
      <c r="MNV36" s="69"/>
      <c r="MNW36" s="69"/>
      <c r="MNX36" s="69"/>
      <c r="MNY36" s="69"/>
      <c r="MNZ36" s="69"/>
      <c r="MOA36" s="69"/>
      <c r="MOB36" s="69"/>
      <c r="MOC36" s="69"/>
      <c r="MOD36" s="69"/>
      <c r="MOE36" s="69"/>
      <c r="MOF36" s="69"/>
      <c r="MOG36" s="69"/>
      <c r="MOH36" s="69"/>
      <c r="MOI36" s="69"/>
      <c r="MOJ36" s="69"/>
      <c r="MOK36" s="69"/>
      <c r="MOL36" s="69"/>
      <c r="MOM36" s="69"/>
      <c r="MON36" s="69"/>
      <c r="MOO36" s="69"/>
      <c r="MOP36" s="69"/>
      <c r="MOQ36" s="69"/>
      <c r="MOR36" s="69"/>
      <c r="MOS36" s="69"/>
      <c r="MOT36" s="69"/>
      <c r="MOU36" s="69"/>
      <c r="MOV36" s="69"/>
      <c r="MOW36" s="69"/>
      <c r="MOX36" s="69"/>
      <c r="MOY36" s="69"/>
      <c r="MOZ36" s="69"/>
      <c r="MPA36" s="69"/>
      <c r="MPB36" s="69"/>
      <c r="MPC36" s="69"/>
      <c r="MPD36" s="69"/>
      <c r="MPE36" s="69"/>
      <c r="MPF36" s="69"/>
      <c r="MPG36" s="69"/>
      <c r="MPH36" s="69"/>
      <c r="MPI36" s="69"/>
      <c r="MPJ36" s="69"/>
      <c r="MPK36" s="69"/>
      <c r="MPL36" s="69"/>
      <c r="MPM36" s="69"/>
      <c r="MPN36" s="69"/>
      <c r="MPO36" s="69"/>
      <c r="MPP36" s="69"/>
      <c r="MPQ36" s="69"/>
      <c r="MPR36" s="69"/>
      <c r="MPS36" s="69"/>
      <c r="MPT36" s="69"/>
      <c r="MPU36" s="69"/>
      <c r="MPV36" s="69"/>
      <c r="MPW36" s="69"/>
      <c r="MPX36" s="69"/>
      <c r="MPY36" s="69"/>
      <c r="MPZ36" s="69"/>
      <c r="MQA36" s="69"/>
      <c r="MQB36" s="69"/>
      <c r="MQC36" s="69"/>
      <c r="MQD36" s="69"/>
      <c r="MQE36" s="69"/>
      <c r="MQF36" s="69"/>
      <c r="MQG36" s="69"/>
      <c r="MQH36" s="69"/>
      <c r="MQI36" s="69"/>
      <c r="MQJ36" s="69"/>
      <c r="MQK36" s="69"/>
      <c r="MQL36" s="69"/>
      <c r="MQM36" s="69"/>
      <c r="MQN36" s="69"/>
      <c r="MQO36" s="69"/>
      <c r="MQP36" s="69"/>
      <c r="MQQ36" s="69"/>
      <c r="MQR36" s="69"/>
      <c r="MQS36" s="69"/>
      <c r="MQT36" s="69"/>
      <c r="MQU36" s="69"/>
      <c r="MQV36" s="69"/>
      <c r="MQW36" s="69"/>
      <c r="MQX36" s="69"/>
      <c r="MQY36" s="69"/>
      <c r="MQZ36" s="69"/>
      <c r="MRA36" s="69"/>
      <c r="MRB36" s="69"/>
      <c r="MRC36" s="69"/>
      <c r="MRD36" s="69"/>
      <c r="MRE36" s="69"/>
      <c r="MRF36" s="69"/>
      <c r="MRG36" s="69"/>
      <c r="MRH36" s="69"/>
      <c r="MRI36" s="69"/>
      <c r="MRJ36" s="69"/>
      <c r="MRK36" s="69"/>
      <c r="MRL36" s="69"/>
      <c r="MRM36" s="69"/>
      <c r="MRN36" s="69"/>
      <c r="MRO36" s="69"/>
      <c r="MRP36" s="69"/>
      <c r="MRQ36" s="69"/>
      <c r="MRR36" s="69"/>
      <c r="MRS36" s="69"/>
      <c r="MRT36" s="69"/>
      <c r="MRU36" s="69"/>
      <c r="MRV36" s="69"/>
      <c r="MRW36" s="69"/>
      <c r="MRX36" s="69"/>
      <c r="MRY36" s="69"/>
      <c r="MRZ36" s="69"/>
      <c r="MSA36" s="69"/>
      <c r="MSB36" s="69"/>
      <c r="MSC36" s="69"/>
      <c r="MSD36" s="69"/>
      <c r="MSE36" s="69"/>
      <c r="MSF36" s="69"/>
      <c r="MSG36" s="69"/>
      <c r="MSH36" s="69"/>
      <c r="MSI36" s="69"/>
      <c r="MSJ36" s="69"/>
      <c r="MSK36" s="69"/>
      <c r="MSL36" s="69"/>
      <c r="MSM36" s="69"/>
      <c r="MSN36" s="69"/>
      <c r="MSO36" s="69"/>
      <c r="MSP36" s="69"/>
      <c r="MSQ36" s="69"/>
      <c r="MSR36" s="69"/>
      <c r="MSS36" s="69"/>
      <c r="MST36" s="69"/>
      <c r="MSU36" s="69"/>
      <c r="MSV36" s="69"/>
      <c r="MSW36" s="69"/>
      <c r="MSX36" s="69"/>
      <c r="MSY36" s="69"/>
      <c r="MSZ36" s="69"/>
      <c r="MTA36" s="69"/>
      <c r="MTB36" s="69"/>
      <c r="MTC36" s="69"/>
      <c r="MTD36" s="69"/>
      <c r="MTE36" s="69"/>
      <c r="MTF36" s="69"/>
      <c r="MTG36" s="69"/>
      <c r="MTH36" s="69"/>
      <c r="MTI36" s="69"/>
      <c r="MTJ36" s="69"/>
      <c r="MTK36" s="69"/>
      <c r="MTL36" s="69"/>
      <c r="MTM36" s="69"/>
      <c r="MTN36" s="69"/>
      <c r="MTO36" s="69"/>
      <c r="MTP36" s="69"/>
      <c r="MTQ36" s="69"/>
      <c r="MTR36" s="69"/>
      <c r="MTS36" s="69"/>
      <c r="MTT36" s="69"/>
      <c r="MTU36" s="69"/>
      <c r="MTV36" s="69"/>
      <c r="MTW36" s="69"/>
      <c r="MTX36" s="69"/>
      <c r="MTY36" s="69"/>
      <c r="MTZ36" s="69"/>
      <c r="MUA36" s="69"/>
      <c r="MUB36" s="69"/>
      <c r="MUC36" s="69"/>
      <c r="MUD36" s="69"/>
      <c r="MUE36" s="69"/>
      <c r="MUF36" s="69"/>
      <c r="MUG36" s="69"/>
      <c r="MUH36" s="69"/>
      <c r="MUI36" s="69"/>
      <c r="MUJ36" s="69"/>
      <c r="MUK36" s="69"/>
      <c r="MUL36" s="69"/>
      <c r="MUM36" s="69"/>
      <c r="MUN36" s="69"/>
      <c r="MUO36" s="69"/>
      <c r="MUP36" s="69"/>
      <c r="MUQ36" s="69"/>
      <c r="MUR36" s="69"/>
      <c r="MUS36" s="69"/>
      <c r="MUT36" s="69"/>
      <c r="MUU36" s="69"/>
      <c r="MUV36" s="69"/>
      <c r="MUW36" s="69"/>
      <c r="MUX36" s="69"/>
      <c r="MUY36" s="69"/>
      <c r="MUZ36" s="69"/>
      <c r="MVA36" s="69"/>
      <c r="MVB36" s="69"/>
      <c r="MVC36" s="69"/>
      <c r="MVD36" s="69"/>
      <c r="MVE36" s="69"/>
      <c r="MVF36" s="69"/>
      <c r="MVG36" s="69"/>
      <c r="MVH36" s="69"/>
      <c r="MVI36" s="69"/>
      <c r="MVJ36" s="69"/>
      <c r="MVK36" s="69"/>
      <c r="MVL36" s="69"/>
      <c r="MVM36" s="69"/>
      <c r="MVN36" s="69"/>
      <c r="MVO36" s="69"/>
      <c r="MVP36" s="69"/>
      <c r="MVQ36" s="69"/>
      <c r="MVR36" s="69"/>
      <c r="MVS36" s="69"/>
      <c r="MVT36" s="69"/>
      <c r="MVU36" s="69"/>
      <c r="MVV36" s="69"/>
      <c r="MVW36" s="69"/>
      <c r="MVX36" s="69"/>
      <c r="MVY36" s="69"/>
      <c r="MVZ36" s="69"/>
      <c r="MWA36" s="69"/>
      <c r="MWB36" s="69"/>
      <c r="MWC36" s="69"/>
      <c r="MWD36" s="69"/>
      <c r="MWE36" s="69"/>
      <c r="MWF36" s="69"/>
      <c r="MWG36" s="69"/>
      <c r="MWH36" s="69"/>
      <c r="MWI36" s="69"/>
      <c r="MWJ36" s="69"/>
      <c r="MWK36" s="69"/>
      <c r="MWL36" s="69"/>
      <c r="MWM36" s="69"/>
      <c r="MWN36" s="69"/>
      <c r="MWO36" s="69"/>
      <c r="MWP36" s="69"/>
      <c r="MWQ36" s="69"/>
      <c r="MWR36" s="69"/>
      <c r="MWS36" s="69"/>
      <c r="MWT36" s="69"/>
      <c r="MWU36" s="69"/>
      <c r="MWV36" s="69"/>
      <c r="MWW36" s="69"/>
      <c r="MWX36" s="69"/>
      <c r="MWY36" s="69"/>
      <c r="MWZ36" s="69"/>
      <c r="MXA36" s="69"/>
      <c r="MXB36" s="69"/>
      <c r="MXC36" s="69"/>
      <c r="MXD36" s="69"/>
      <c r="MXE36" s="69"/>
      <c r="MXF36" s="69"/>
      <c r="MXG36" s="69"/>
      <c r="MXH36" s="69"/>
      <c r="MXI36" s="69"/>
      <c r="MXJ36" s="69"/>
      <c r="MXK36" s="69"/>
      <c r="MXL36" s="69"/>
      <c r="MXM36" s="69"/>
      <c r="MXN36" s="69"/>
      <c r="MXO36" s="69"/>
      <c r="MXP36" s="69"/>
      <c r="MXQ36" s="69"/>
      <c r="MXR36" s="69"/>
      <c r="MXS36" s="69"/>
      <c r="MXT36" s="69"/>
      <c r="MXU36" s="69"/>
      <c r="MXV36" s="69"/>
      <c r="MXW36" s="69"/>
      <c r="MXX36" s="69"/>
      <c r="MXY36" s="69"/>
      <c r="MXZ36" s="69"/>
      <c r="MYA36" s="69"/>
      <c r="MYB36" s="69"/>
      <c r="MYC36" s="69"/>
      <c r="MYD36" s="69"/>
      <c r="MYE36" s="69"/>
      <c r="MYF36" s="69"/>
      <c r="MYG36" s="69"/>
      <c r="MYH36" s="69"/>
      <c r="MYI36" s="69"/>
      <c r="MYJ36" s="69"/>
      <c r="MYK36" s="69"/>
      <c r="MYL36" s="69"/>
      <c r="MYM36" s="69"/>
      <c r="MYN36" s="69"/>
      <c r="MYO36" s="69"/>
      <c r="MYP36" s="69"/>
      <c r="MYQ36" s="69"/>
      <c r="MYR36" s="69"/>
      <c r="MYS36" s="69"/>
      <c r="MYT36" s="69"/>
      <c r="MYU36" s="69"/>
      <c r="MYV36" s="69"/>
      <c r="MYW36" s="69"/>
      <c r="MYX36" s="69"/>
      <c r="MYY36" s="69"/>
      <c r="MYZ36" s="69"/>
      <c r="MZA36" s="69"/>
      <c r="MZB36" s="69"/>
      <c r="MZC36" s="69"/>
      <c r="MZD36" s="69"/>
      <c r="MZE36" s="69"/>
      <c r="MZF36" s="69"/>
      <c r="MZG36" s="69"/>
      <c r="MZH36" s="69"/>
      <c r="MZI36" s="69"/>
      <c r="MZJ36" s="69"/>
      <c r="MZK36" s="69"/>
      <c r="MZL36" s="69"/>
      <c r="MZM36" s="69"/>
      <c r="MZN36" s="69"/>
      <c r="MZO36" s="69"/>
      <c r="MZP36" s="69"/>
      <c r="MZQ36" s="69"/>
      <c r="MZR36" s="69"/>
      <c r="MZS36" s="69"/>
      <c r="MZT36" s="69"/>
      <c r="MZU36" s="69"/>
      <c r="MZV36" s="69"/>
      <c r="MZW36" s="69"/>
      <c r="MZX36" s="69"/>
      <c r="MZY36" s="69"/>
      <c r="MZZ36" s="69"/>
      <c r="NAA36" s="69"/>
      <c r="NAB36" s="69"/>
      <c r="NAC36" s="69"/>
      <c r="NAD36" s="69"/>
      <c r="NAE36" s="69"/>
      <c r="NAF36" s="69"/>
      <c r="NAG36" s="69"/>
      <c r="NAH36" s="69"/>
      <c r="NAI36" s="69"/>
      <c r="NAJ36" s="69"/>
      <c r="NAK36" s="69"/>
      <c r="NAL36" s="69"/>
      <c r="NAM36" s="69"/>
      <c r="NAN36" s="69"/>
      <c r="NAO36" s="69"/>
      <c r="NAP36" s="69"/>
      <c r="NAQ36" s="69"/>
      <c r="NAR36" s="69"/>
      <c r="NAS36" s="69"/>
      <c r="NAT36" s="69"/>
      <c r="NAU36" s="69"/>
      <c r="NAV36" s="69"/>
      <c r="NAW36" s="69"/>
      <c r="NAX36" s="69"/>
      <c r="NAY36" s="69"/>
      <c r="NAZ36" s="69"/>
      <c r="NBA36" s="69"/>
      <c r="NBB36" s="69"/>
      <c r="NBC36" s="69"/>
      <c r="NBD36" s="69"/>
      <c r="NBE36" s="69"/>
      <c r="NBF36" s="69"/>
      <c r="NBG36" s="69"/>
      <c r="NBH36" s="69"/>
      <c r="NBI36" s="69"/>
      <c r="NBJ36" s="69"/>
      <c r="NBK36" s="69"/>
      <c r="NBL36" s="69"/>
      <c r="NBM36" s="69"/>
      <c r="NBN36" s="69"/>
      <c r="NBO36" s="69"/>
      <c r="NBP36" s="69"/>
      <c r="NBQ36" s="69"/>
      <c r="NBR36" s="69"/>
      <c r="NBS36" s="69"/>
      <c r="NBT36" s="69"/>
      <c r="NBU36" s="69"/>
      <c r="NBV36" s="69"/>
      <c r="NBW36" s="69"/>
      <c r="NBX36" s="69"/>
      <c r="NBY36" s="69"/>
      <c r="NBZ36" s="69"/>
      <c r="NCA36" s="69"/>
      <c r="NCB36" s="69"/>
      <c r="NCC36" s="69"/>
      <c r="NCD36" s="69"/>
      <c r="NCE36" s="69"/>
      <c r="NCF36" s="69"/>
      <c r="NCG36" s="69"/>
      <c r="NCH36" s="69"/>
      <c r="NCI36" s="69"/>
      <c r="NCJ36" s="69"/>
      <c r="NCK36" s="69"/>
      <c r="NCL36" s="69"/>
      <c r="NCM36" s="69"/>
      <c r="NCN36" s="69"/>
      <c r="NCO36" s="69"/>
      <c r="NCP36" s="69"/>
      <c r="NCQ36" s="69"/>
      <c r="NCR36" s="69"/>
      <c r="NCS36" s="69"/>
      <c r="NCT36" s="69"/>
      <c r="NCU36" s="69"/>
      <c r="NCV36" s="69"/>
      <c r="NCW36" s="69"/>
      <c r="NCX36" s="69"/>
      <c r="NCY36" s="69"/>
      <c r="NCZ36" s="69"/>
      <c r="NDA36" s="69"/>
      <c r="NDB36" s="69"/>
      <c r="NDC36" s="69"/>
      <c r="NDD36" s="69"/>
      <c r="NDE36" s="69"/>
      <c r="NDF36" s="69"/>
      <c r="NDG36" s="69"/>
      <c r="NDH36" s="69"/>
      <c r="NDI36" s="69"/>
      <c r="NDJ36" s="69"/>
      <c r="NDK36" s="69"/>
      <c r="NDL36" s="69"/>
      <c r="NDM36" s="69"/>
      <c r="NDN36" s="69"/>
      <c r="NDO36" s="69"/>
      <c r="NDP36" s="69"/>
      <c r="NDQ36" s="69"/>
      <c r="NDR36" s="69"/>
      <c r="NDS36" s="69"/>
      <c r="NDT36" s="69"/>
      <c r="NDU36" s="69"/>
      <c r="NDV36" s="69"/>
      <c r="NDW36" s="69"/>
      <c r="NDX36" s="69"/>
      <c r="NDY36" s="69"/>
      <c r="NDZ36" s="69"/>
      <c r="NEA36" s="69"/>
      <c r="NEB36" s="69"/>
      <c r="NEC36" s="69"/>
      <c r="NED36" s="69"/>
      <c r="NEE36" s="69"/>
      <c r="NEF36" s="69"/>
      <c r="NEG36" s="69"/>
      <c r="NEH36" s="69"/>
      <c r="NEI36" s="69"/>
      <c r="NEJ36" s="69"/>
      <c r="NEK36" s="69"/>
      <c r="NEL36" s="69"/>
      <c r="NEM36" s="69"/>
      <c r="NEN36" s="69"/>
      <c r="NEO36" s="69"/>
      <c r="NEP36" s="69"/>
      <c r="NEQ36" s="69"/>
      <c r="NER36" s="69"/>
      <c r="NES36" s="69"/>
      <c r="NET36" s="69"/>
      <c r="NEU36" s="69"/>
      <c r="NEV36" s="69"/>
      <c r="NEW36" s="69"/>
      <c r="NEX36" s="69"/>
      <c r="NEY36" s="69"/>
      <c r="NEZ36" s="69"/>
      <c r="NFA36" s="69"/>
      <c r="NFB36" s="69"/>
      <c r="NFC36" s="69"/>
      <c r="NFD36" s="69"/>
      <c r="NFE36" s="69"/>
      <c r="NFF36" s="69"/>
      <c r="NFG36" s="69"/>
      <c r="NFH36" s="69"/>
      <c r="NFI36" s="69"/>
      <c r="NFJ36" s="69"/>
      <c r="NFK36" s="69"/>
      <c r="NFL36" s="69"/>
      <c r="NFM36" s="69"/>
      <c r="NFN36" s="69"/>
      <c r="NFO36" s="69"/>
      <c r="NFP36" s="69"/>
      <c r="NFQ36" s="69"/>
      <c r="NFR36" s="69"/>
      <c r="NFS36" s="69"/>
      <c r="NFT36" s="69"/>
      <c r="NFU36" s="69"/>
      <c r="NFV36" s="69"/>
      <c r="NFW36" s="69"/>
      <c r="NFX36" s="69"/>
      <c r="NFY36" s="69"/>
      <c r="NFZ36" s="69"/>
      <c r="NGA36" s="69"/>
      <c r="NGB36" s="69"/>
      <c r="NGC36" s="69"/>
      <c r="NGD36" s="69"/>
      <c r="NGE36" s="69"/>
      <c r="NGF36" s="69"/>
      <c r="NGG36" s="69"/>
      <c r="NGH36" s="69"/>
      <c r="NGI36" s="69"/>
      <c r="NGJ36" s="69"/>
      <c r="NGK36" s="69"/>
      <c r="NGL36" s="69"/>
      <c r="NGM36" s="69"/>
      <c r="NGN36" s="69"/>
      <c r="NGO36" s="69"/>
      <c r="NGP36" s="69"/>
      <c r="NGQ36" s="69"/>
      <c r="NGR36" s="69"/>
      <c r="NGS36" s="69"/>
      <c r="NGT36" s="69"/>
      <c r="NGU36" s="69"/>
      <c r="NGV36" s="69"/>
      <c r="NGW36" s="69"/>
      <c r="NGX36" s="69"/>
      <c r="NGY36" s="69"/>
      <c r="NGZ36" s="69"/>
      <c r="NHA36" s="69"/>
      <c r="NHB36" s="69"/>
      <c r="NHC36" s="69"/>
      <c r="NHD36" s="69"/>
      <c r="NHE36" s="69"/>
      <c r="NHF36" s="69"/>
      <c r="NHG36" s="69"/>
      <c r="NHH36" s="69"/>
      <c r="NHI36" s="69"/>
      <c r="NHJ36" s="69"/>
      <c r="NHK36" s="69"/>
      <c r="NHL36" s="69"/>
      <c r="NHM36" s="69"/>
      <c r="NHN36" s="69"/>
      <c r="NHO36" s="69"/>
      <c r="NHP36" s="69"/>
      <c r="NHQ36" s="69"/>
      <c r="NHR36" s="69"/>
      <c r="NHS36" s="69"/>
      <c r="NHT36" s="69"/>
      <c r="NHU36" s="69"/>
      <c r="NHV36" s="69"/>
      <c r="NHW36" s="69"/>
      <c r="NHX36" s="69"/>
      <c r="NHY36" s="69"/>
      <c r="NHZ36" s="69"/>
      <c r="NIA36" s="69"/>
      <c r="NIB36" s="69"/>
      <c r="NIC36" s="69"/>
      <c r="NID36" s="69"/>
      <c r="NIE36" s="69"/>
      <c r="NIF36" s="69"/>
      <c r="NIG36" s="69"/>
      <c r="NIH36" s="69"/>
      <c r="NII36" s="69"/>
      <c r="NIJ36" s="69"/>
      <c r="NIK36" s="69"/>
      <c r="NIL36" s="69"/>
      <c r="NIM36" s="69"/>
      <c r="NIN36" s="69"/>
      <c r="NIO36" s="69"/>
      <c r="NIP36" s="69"/>
      <c r="NIQ36" s="69"/>
      <c r="NIR36" s="69"/>
      <c r="NIS36" s="69"/>
      <c r="NIT36" s="69"/>
      <c r="NIU36" s="69"/>
      <c r="NIV36" s="69"/>
      <c r="NIW36" s="69"/>
      <c r="NIX36" s="69"/>
      <c r="NIY36" s="69"/>
      <c r="NIZ36" s="69"/>
      <c r="NJA36" s="69"/>
      <c r="NJB36" s="69"/>
      <c r="NJC36" s="69"/>
      <c r="NJD36" s="69"/>
      <c r="NJE36" s="69"/>
      <c r="NJF36" s="69"/>
      <c r="NJG36" s="69"/>
      <c r="NJH36" s="69"/>
      <c r="NJI36" s="69"/>
      <c r="NJJ36" s="69"/>
      <c r="NJK36" s="69"/>
      <c r="NJL36" s="69"/>
      <c r="NJM36" s="69"/>
      <c r="NJN36" s="69"/>
      <c r="NJO36" s="69"/>
      <c r="NJP36" s="69"/>
      <c r="NJQ36" s="69"/>
      <c r="NJR36" s="69"/>
      <c r="NJS36" s="69"/>
      <c r="NJT36" s="69"/>
      <c r="NJU36" s="69"/>
      <c r="NJV36" s="69"/>
      <c r="NJW36" s="69"/>
      <c r="NJX36" s="69"/>
      <c r="NJY36" s="69"/>
      <c r="NJZ36" s="69"/>
      <c r="NKA36" s="69"/>
      <c r="NKB36" s="69"/>
      <c r="NKC36" s="69"/>
      <c r="NKD36" s="69"/>
      <c r="NKE36" s="69"/>
      <c r="NKF36" s="69"/>
      <c r="NKG36" s="69"/>
      <c r="NKH36" s="69"/>
      <c r="NKI36" s="69"/>
      <c r="NKJ36" s="69"/>
      <c r="NKK36" s="69"/>
      <c r="NKL36" s="69"/>
      <c r="NKM36" s="69"/>
      <c r="NKN36" s="69"/>
      <c r="NKO36" s="69"/>
      <c r="NKP36" s="69"/>
      <c r="NKQ36" s="69"/>
      <c r="NKR36" s="69"/>
      <c r="NKS36" s="69"/>
      <c r="NKT36" s="69"/>
      <c r="NKU36" s="69"/>
      <c r="NKV36" s="69"/>
      <c r="NKW36" s="69"/>
      <c r="NKX36" s="69"/>
      <c r="NKY36" s="69"/>
      <c r="NKZ36" s="69"/>
      <c r="NLA36" s="69"/>
      <c r="NLB36" s="69"/>
      <c r="NLC36" s="69"/>
      <c r="NLD36" s="69"/>
      <c r="NLE36" s="69"/>
      <c r="NLF36" s="69"/>
      <c r="NLG36" s="69"/>
      <c r="NLH36" s="69"/>
      <c r="NLI36" s="69"/>
      <c r="NLJ36" s="69"/>
      <c r="NLK36" s="69"/>
      <c r="NLL36" s="69"/>
      <c r="NLM36" s="69"/>
      <c r="NLN36" s="69"/>
      <c r="NLO36" s="69"/>
      <c r="NLP36" s="69"/>
      <c r="NLQ36" s="69"/>
      <c r="NLR36" s="69"/>
      <c r="NLS36" s="69"/>
      <c r="NLT36" s="69"/>
      <c r="NLU36" s="69"/>
      <c r="NLV36" s="69"/>
      <c r="NLW36" s="69"/>
      <c r="NLX36" s="69"/>
      <c r="NLY36" s="69"/>
      <c r="NLZ36" s="69"/>
      <c r="NMA36" s="69"/>
      <c r="NMB36" s="69"/>
      <c r="NMC36" s="69"/>
      <c r="NMD36" s="69"/>
      <c r="NME36" s="69"/>
      <c r="NMF36" s="69"/>
      <c r="NMG36" s="69"/>
      <c r="NMH36" s="69"/>
      <c r="NMI36" s="69"/>
      <c r="NMJ36" s="69"/>
      <c r="NMK36" s="69"/>
      <c r="NML36" s="69"/>
      <c r="NMM36" s="69"/>
      <c r="NMN36" s="69"/>
      <c r="NMO36" s="69"/>
      <c r="NMP36" s="69"/>
      <c r="NMQ36" s="69"/>
      <c r="NMR36" s="69"/>
      <c r="NMS36" s="69"/>
      <c r="NMT36" s="69"/>
      <c r="NMU36" s="69"/>
      <c r="NMV36" s="69"/>
      <c r="NMW36" s="69"/>
      <c r="NMX36" s="69"/>
      <c r="NMY36" s="69"/>
      <c r="NMZ36" s="69"/>
      <c r="NNA36" s="69"/>
      <c r="NNB36" s="69"/>
      <c r="NNC36" s="69"/>
      <c r="NND36" s="69"/>
      <c r="NNE36" s="69"/>
      <c r="NNF36" s="69"/>
      <c r="NNG36" s="69"/>
      <c r="NNH36" s="69"/>
      <c r="NNI36" s="69"/>
      <c r="NNJ36" s="69"/>
      <c r="NNK36" s="69"/>
      <c r="NNL36" s="69"/>
      <c r="NNM36" s="69"/>
      <c r="NNN36" s="69"/>
      <c r="NNO36" s="69"/>
      <c r="NNP36" s="69"/>
      <c r="NNQ36" s="69"/>
      <c r="NNR36" s="69"/>
      <c r="NNS36" s="69"/>
      <c r="NNT36" s="69"/>
      <c r="NNU36" s="69"/>
      <c r="NNV36" s="69"/>
      <c r="NNW36" s="69"/>
      <c r="NNX36" s="69"/>
      <c r="NNY36" s="69"/>
      <c r="NNZ36" s="69"/>
      <c r="NOA36" s="69"/>
      <c r="NOB36" s="69"/>
      <c r="NOC36" s="69"/>
      <c r="NOD36" s="69"/>
      <c r="NOE36" s="69"/>
      <c r="NOF36" s="69"/>
      <c r="NOG36" s="69"/>
      <c r="NOH36" s="69"/>
      <c r="NOI36" s="69"/>
      <c r="NOJ36" s="69"/>
      <c r="NOK36" s="69"/>
      <c r="NOL36" s="69"/>
      <c r="NOM36" s="69"/>
      <c r="NON36" s="69"/>
      <c r="NOO36" s="69"/>
      <c r="NOP36" s="69"/>
      <c r="NOQ36" s="69"/>
      <c r="NOR36" s="69"/>
      <c r="NOS36" s="69"/>
      <c r="NOT36" s="69"/>
      <c r="NOU36" s="69"/>
      <c r="NOV36" s="69"/>
      <c r="NOW36" s="69"/>
      <c r="NOX36" s="69"/>
      <c r="NOY36" s="69"/>
      <c r="NOZ36" s="69"/>
      <c r="NPA36" s="69"/>
      <c r="NPB36" s="69"/>
      <c r="NPC36" s="69"/>
      <c r="NPD36" s="69"/>
      <c r="NPE36" s="69"/>
      <c r="NPF36" s="69"/>
      <c r="NPG36" s="69"/>
      <c r="NPH36" s="69"/>
      <c r="NPI36" s="69"/>
      <c r="NPJ36" s="69"/>
      <c r="NPK36" s="69"/>
      <c r="NPL36" s="69"/>
      <c r="NPM36" s="69"/>
      <c r="NPN36" s="69"/>
      <c r="NPO36" s="69"/>
      <c r="NPP36" s="69"/>
      <c r="NPQ36" s="69"/>
      <c r="NPR36" s="69"/>
      <c r="NPS36" s="69"/>
      <c r="NPT36" s="69"/>
      <c r="NPU36" s="69"/>
      <c r="NPV36" s="69"/>
      <c r="NPW36" s="69"/>
      <c r="NPX36" s="69"/>
      <c r="NPY36" s="69"/>
      <c r="NPZ36" s="69"/>
      <c r="NQA36" s="69"/>
      <c r="NQB36" s="69"/>
      <c r="NQC36" s="69"/>
      <c r="NQD36" s="69"/>
      <c r="NQE36" s="69"/>
      <c r="NQF36" s="69"/>
      <c r="NQG36" s="69"/>
      <c r="NQH36" s="69"/>
      <c r="NQI36" s="69"/>
      <c r="NQJ36" s="69"/>
      <c r="NQK36" s="69"/>
      <c r="NQL36" s="69"/>
      <c r="NQM36" s="69"/>
      <c r="NQN36" s="69"/>
      <c r="NQO36" s="69"/>
      <c r="NQP36" s="69"/>
      <c r="NQQ36" s="69"/>
      <c r="NQR36" s="69"/>
      <c r="NQS36" s="69"/>
      <c r="NQT36" s="69"/>
      <c r="NQU36" s="69"/>
      <c r="NQV36" s="69"/>
      <c r="NQW36" s="69"/>
      <c r="NQX36" s="69"/>
      <c r="NQY36" s="69"/>
      <c r="NQZ36" s="69"/>
      <c r="NRA36" s="69"/>
      <c r="NRB36" s="69"/>
      <c r="NRC36" s="69"/>
      <c r="NRD36" s="69"/>
      <c r="NRE36" s="69"/>
      <c r="NRF36" s="69"/>
      <c r="NRG36" s="69"/>
      <c r="NRH36" s="69"/>
      <c r="NRI36" s="69"/>
      <c r="NRJ36" s="69"/>
      <c r="NRK36" s="69"/>
      <c r="NRL36" s="69"/>
      <c r="NRM36" s="69"/>
      <c r="NRN36" s="69"/>
      <c r="NRO36" s="69"/>
      <c r="NRP36" s="69"/>
      <c r="NRQ36" s="69"/>
      <c r="NRR36" s="69"/>
      <c r="NRS36" s="69"/>
      <c r="NRT36" s="69"/>
      <c r="NRU36" s="69"/>
      <c r="NRV36" s="69"/>
      <c r="NRW36" s="69"/>
      <c r="NRX36" s="69"/>
      <c r="NRY36" s="69"/>
      <c r="NRZ36" s="69"/>
      <c r="NSA36" s="69"/>
      <c r="NSB36" s="69"/>
      <c r="NSC36" s="69"/>
      <c r="NSD36" s="69"/>
      <c r="NSE36" s="69"/>
      <c r="NSF36" s="69"/>
      <c r="NSG36" s="69"/>
      <c r="NSH36" s="69"/>
      <c r="NSI36" s="69"/>
      <c r="NSJ36" s="69"/>
      <c r="NSK36" s="69"/>
      <c r="NSL36" s="69"/>
      <c r="NSM36" s="69"/>
      <c r="NSN36" s="69"/>
      <c r="NSO36" s="69"/>
      <c r="NSP36" s="69"/>
      <c r="NSQ36" s="69"/>
      <c r="NSR36" s="69"/>
      <c r="NSS36" s="69"/>
      <c r="NST36" s="69"/>
      <c r="NSU36" s="69"/>
      <c r="NSV36" s="69"/>
      <c r="NSW36" s="69"/>
      <c r="NSX36" s="69"/>
      <c r="NSY36" s="69"/>
      <c r="NSZ36" s="69"/>
      <c r="NTA36" s="69"/>
      <c r="NTB36" s="69"/>
      <c r="NTC36" s="69"/>
      <c r="NTD36" s="69"/>
      <c r="NTE36" s="69"/>
      <c r="NTF36" s="69"/>
      <c r="NTG36" s="69"/>
      <c r="NTH36" s="69"/>
      <c r="NTI36" s="69"/>
      <c r="NTJ36" s="69"/>
      <c r="NTK36" s="69"/>
      <c r="NTL36" s="69"/>
      <c r="NTM36" s="69"/>
      <c r="NTN36" s="69"/>
      <c r="NTO36" s="69"/>
      <c r="NTP36" s="69"/>
      <c r="NTQ36" s="69"/>
      <c r="NTR36" s="69"/>
      <c r="NTS36" s="69"/>
      <c r="NTT36" s="69"/>
      <c r="NTU36" s="69"/>
      <c r="NTV36" s="69"/>
      <c r="NTW36" s="69"/>
      <c r="NTX36" s="69"/>
      <c r="NTY36" s="69"/>
      <c r="NTZ36" s="69"/>
      <c r="NUA36" s="69"/>
      <c r="NUB36" s="69"/>
      <c r="NUC36" s="69"/>
      <c r="NUD36" s="69"/>
      <c r="NUE36" s="69"/>
      <c r="NUF36" s="69"/>
      <c r="NUG36" s="69"/>
      <c r="NUH36" s="69"/>
      <c r="NUI36" s="69"/>
      <c r="NUJ36" s="69"/>
      <c r="NUK36" s="69"/>
      <c r="NUL36" s="69"/>
      <c r="NUM36" s="69"/>
      <c r="NUN36" s="69"/>
      <c r="NUO36" s="69"/>
      <c r="NUP36" s="69"/>
      <c r="NUQ36" s="69"/>
      <c r="NUR36" s="69"/>
      <c r="NUS36" s="69"/>
      <c r="NUT36" s="69"/>
      <c r="NUU36" s="69"/>
      <c r="NUV36" s="69"/>
      <c r="NUW36" s="69"/>
      <c r="NUX36" s="69"/>
      <c r="NUY36" s="69"/>
      <c r="NUZ36" s="69"/>
      <c r="NVA36" s="69"/>
      <c r="NVB36" s="69"/>
      <c r="NVC36" s="69"/>
      <c r="NVD36" s="69"/>
      <c r="NVE36" s="69"/>
      <c r="NVF36" s="69"/>
      <c r="NVG36" s="69"/>
      <c r="NVH36" s="69"/>
      <c r="NVI36" s="69"/>
      <c r="NVJ36" s="69"/>
      <c r="NVK36" s="69"/>
      <c r="NVL36" s="69"/>
      <c r="NVM36" s="69"/>
      <c r="NVN36" s="69"/>
      <c r="NVO36" s="69"/>
      <c r="NVP36" s="69"/>
      <c r="NVQ36" s="69"/>
      <c r="NVR36" s="69"/>
      <c r="NVS36" s="69"/>
      <c r="NVT36" s="69"/>
      <c r="NVU36" s="69"/>
      <c r="NVV36" s="69"/>
      <c r="NVW36" s="69"/>
      <c r="NVX36" s="69"/>
      <c r="NVY36" s="69"/>
      <c r="NVZ36" s="69"/>
      <c r="NWA36" s="69"/>
      <c r="NWB36" s="69"/>
      <c r="NWC36" s="69"/>
      <c r="NWD36" s="69"/>
      <c r="NWE36" s="69"/>
      <c r="NWF36" s="69"/>
      <c r="NWG36" s="69"/>
      <c r="NWH36" s="69"/>
      <c r="NWI36" s="69"/>
      <c r="NWJ36" s="69"/>
      <c r="NWK36" s="69"/>
      <c r="NWL36" s="69"/>
      <c r="NWM36" s="69"/>
      <c r="NWN36" s="69"/>
      <c r="NWO36" s="69"/>
      <c r="NWP36" s="69"/>
      <c r="NWQ36" s="69"/>
      <c r="NWR36" s="69"/>
      <c r="NWS36" s="69"/>
      <c r="NWT36" s="69"/>
      <c r="NWU36" s="69"/>
      <c r="NWV36" s="69"/>
      <c r="NWW36" s="69"/>
      <c r="NWX36" s="69"/>
      <c r="NWY36" s="69"/>
      <c r="NWZ36" s="69"/>
      <c r="NXA36" s="69"/>
      <c r="NXB36" s="69"/>
      <c r="NXC36" s="69"/>
      <c r="NXD36" s="69"/>
      <c r="NXE36" s="69"/>
      <c r="NXF36" s="69"/>
      <c r="NXG36" s="69"/>
      <c r="NXH36" s="69"/>
      <c r="NXI36" s="69"/>
      <c r="NXJ36" s="69"/>
      <c r="NXK36" s="69"/>
      <c r="NXL36" s="69"/>
      <c r="NXM36" s="69"/>
      <c r="NXN36" s="69"/>
      <c r="NXO36" s="69"/>
      <c r="NXP36" s="69"/>
      <c r="NXQ36" s="69"/>
      <c r="NXR36" s="69"/>
      <c r="NXS36" s="69"/>
      <c r="NXT36" s="69"/>
      <c r="NXU36" s="69"/>
      <c r="NXV36" s="69"/>
      <c r="NXW36" s="69"/>
      <c r="NXX36" s="69"/>
      <c r="NXY36" s="69"/>
      <c r="NXZ36" s="69"/>
      <c r="NYA36" s="69"/>
      <c r="NYB36" s="69"/>
      <c r="NYC36" s="69"/>
      <c r="NYD36" s="69"/>
      <c r="NYE36" s="69"/>
      <c r="NYF36" s="69"/>
      <c r="NYG36" s="69"/>
      <c r="NYH36" s="69"/>
      <c r="NYI36" s="69"/>
      <c r="NYJ36" s="69"/>
      <c r="NYK36" s="69"/>
      <c r="NYL36" s="69"/>
      <c r="NYM36" s="69"/>
      <c r="NYN36" s="69"/>
      <c r="NYO36" s="69"/>
      <c r="NYP36" s="69"/>
      <c r="NYQ36" s="69"/>
      <c r="NYR36" s="69"/>
      <c r="NYS36" s="69"/>
      <c r="NYT36" s="69"/>
      <c r="NYU36" s="69"/>
      <c r="NYV36" s="69"/>
      <c r="NYW36" s="69"/>
      <c r="NYX36" s="69"/>
      <c r="NYY36" s="69"/>
      <c r="NYZ36" s="69"/>
      <c r="NZA36" s="69"/>
      <c r="NZB36" s="69"/>
      <c r="NZC36" s="69"/>
      <c r="NZD36" s="69"/>
      <c r="NZE36" s="69"/>
      <c r="NZF36" s="69"/>
      <c r="NZG36" s="69"/>
      <c r="NZH36" s="69"/>
      <c r="NZI36" s="69"/>
      <c r="NZJ36" s="69"/>
      <c r="NZK36" s="69"/>
      <c r="NZL36" s="69"/>
      <c r="NZM36" s="69"/>
      <c r="NZN36" s="69"/>
      <c r="NZO36" s="69"/>
      <c r="NZP36" s="69"/>
      <c r="NZQ36" s="69"/>
      <c r="NZR36" s="69"/>
      <c r="NZS36" s="69"/>
      <c r="NZT36" s="69"/>
      <c r="NZU36" s="69"/>
      <c r="NZV36" s="69"/>
      <c r="NZW36" s="69"/>
      <c r="NZX36" s="69"/>
      <c r="NZY36" s="69"/>
      <c r="NZZ36" s="69"/>
      <c r="OAA36" s="69"/>
      <c r="OAB36" s="69"/>
      <c r="OAC36" s="69"/>
      <c r="OAD36" s="69"/>
      <c r="OAE36" s="69"/>
      <c r="OAF36" s="69"/>
      <c r="OAG36" s="69"/>
      <c r="OAH36" s="69"/>
      <c r="OAI36" s="69"/>
      <c r="OAJ36" s="69"/>
      <c r="OAK36" s="69"/>
      <c r="OAL36" s="69"/>
      <c r="OAM36" s="69"/>
      <c r="OAN36" s="69"/>
      <c r="OAO36" s="69"/>
      <c r="OAP36" s="69"/>
      <c r="OAQ36" s="69"/>
      <c r="OAR36" s="69"/>
      <c r="OAS36" s="69"/>
      <c r="OAT36" s="69"/>
      <c r="OAU36" s="69"/>
      <c r="OAV36" s="69"/>
      <c r="OAW36" s="69"/>
      <c r="OAX36" s="69"/>
      <c r="OAY36" s="69"/>
      <c r="OAZ36" s="69"/>
      <c r="OBA36" s="69"/>
      <c r="OBB36" s="69"/>
      <c r="OBC36" s="69"/>
      <c r="OBD36" s="69"/>
      <c r="OBE36" s="69"/>
      <c r="OBF36" s="69"/>
      <c r="OBG36" s="69"/>
      <c r="OBH36" s="69"/>
      <c r="OBI36" s="69"/>
      <c r="OBJ36" s="69"/>
      <c r="OBK36" s="69"/>
      <c r="OBL36" s="69"/>
      <c r="OBM36" s="69"/>
      <c r="OBN36" s="69"/>
      <c r="OBO36" s="69"/>
      <c r="OBP36" s="69"/>
      <c r="OBQ36" s="69"/>
      <c r="OBR36" s="69"/>
      <c r="OBS36" s="69"/>
      <c r="OBT36" s="69"/>
      <c r="OBU36" s="69"/>
      <c r="OBV36" s="69"/>
      <c r="OBW36" s="69"/>
      <c r="OBX36" s="69"/>
      <c r="OBY36" s="69"/>
      <c r="OBZ36" s="69"/>
      <c r="OCA36" s="69"/>
      <c r="OCB36" s="69"/>
      <c r="OCC36" s="69"/>
      <c r="OCD36" s="69"/>
      <c r="OCE36" s="69"/>
      <c r="OCF36" s="69"/>
      <c r="OCG36" s="69"/>
      <c r="OCH36" s="69"/>
      <c r="OCI36" s="69"/>
      <c r="OCJ36" s="69"/>
      <c r="OCK36" s="69"/>
      <c r="OCL36" s="69"/>
      <c r="OCM36" s="69"/>
      <c r="OCN36" s="69"/>
      <c r="OCO36" s="69"/>
      <c r="OCP36" s="69"/>
      <c r="OCQ36" s="69"/>
      <c r="OCR36" s="69"/>
      <c r="OCS36" s="69"/>
      <c r="OCT36" s="69"/>
      <c r="OCU36" s="69"/>
      <c r="OCV36" s="69"/>
      <c r="OCW36" s="69"/>
      <c r="OCX36" s="69"/>
      <c r="OCY36" s="69"/>
      <c r="OCZ36" s="69"/>
      <c r="ODA36" s="69"/>
      <c r="ODB36" s="69"/>
      <c r="ODC36" s="69"/>
      <c r="ODD36" s="69"/>
      <c r="ODE36" s="69"/>
      <c r="ODF36" s="69"/>
      <c r="ODG36" s="69"/>
      <c r="ODH36" s="69"/>
      <c r="ODI36" s="69"/>
      <c r="ODJ36" s="69"/>
      <c r="ODK36" s="69"/>
      <c r="ODL36" s="69"/>
      <c r="ODM36" s="69"/>
      <c r="ODN36" s="69"/>
      <c r="ODO36" s="69"/>
      <c r="ODP36" s="69"/>
      <c r="ODQ36" s="69"/>
      <c r="ODR36" s="69"/>
      <c r="ODS36" s="69"/>
      <c r="ODT36" s="69"/>
      <c r="ODU36" s="69"/>
      <c r="ODV36" s="69"/>
      <c r="ODW36" s="69"/>
      <c r="ODX36" s="69"/>
      <c r="ODY36" s="69"/>
      <c r="ODZ36" s="69"/>
      <c r="OEA36" s="69"/>
      <c r="OEB36" s="69"/>
      <c r="OEC36" s="69"/>
      <c r="OED36" s="69"/>
      <c r="OEE36" s="69"/>
      <c r="OEF36" s="69"/>
      <c r="OEG36" s="69"/>
      <c r="OEH36" s="69"/>
      <c r="OEI36" s="69"/>
      <c r="OEJ36" s="69"/>
      <c r="OEK36" s="69"/>
      <c r="OEL36" s="69"/>
      <c r="OEM36" s="69"/>
      <c r="OEN36" s="69"/>
      <c r="OEO36" s="69"/>
      <c r="OEP36" s="69"/>
      <c r="OEQ36" s="69"/>
      <c r="OER36" s="69"/>
      <c r="OES36" s="69"/>
      <c r="OET36" s="69"/>
      <c r="OEU36" s="69"/>
      <c r="OEV36" s="69"/>
      <c r="OEW36" s="69"/>
      <c r="OEX36" s="69"/>
      <c r="OEY36" s="69"/>
      <c r="OEZ36" s="69"/>
      <c r="OFA36" s="69"/>
      <c r="OFB36" s="69"/>
      <c r="OFC36" s="69"/>
      <c r="OFD36" s="69"/>
      <c r="OFE36" s="69"/>
      <c r="OFF36" s="69"/>
      <c r="OFG36" s="69"/>
      <c r="OFH36" s="69"/>
      <c r="OFI36" s="69"/>
      <c r="OFJ36" s="69"/>
      <c r="OFK36" s="69"/>
      <c r="OFL36" s="69"/>
      <c r="OFM36" s="69"/>
      <c r="OFN36" s="69"/>
      <c r="OFO36" s="69"/>
      <c r="OFP36" s="69"/>
      <c r="OFQ36" s="69"/>
      <c r="OFR36" s="69"/>
      <c r="OFS36" s="69"/>
      <c r="OFT36" s="69"/>
      <c r="OFU36" s="69"/>
      <c r="OFV36" s="69"/>
      <c r="OFW36" s="69"/>
      <c r="OFX36" s="69"/>
      <c r="OFY36" s="69"/>
      <c r="OFZ36" s="69"/>
      <c r="OGA36" s="69"/>
      <c r="OGB36" s="69"/>
      <c r="OGC36" s="69"/>
      <c r="OGD36" s="69"/>
      <c r="OGE36" s="69"/>
      <c r="OGF36" s="69"/>
      <c r="OGG36" s="69"/>
      <c r="OGH36" s="69"/>
      <c r="OGI36" s="69"/>
      <c r="OGJ36" s="69"/>
      <c r="OGK36" s="69"/>
      <c r="OGL36" s="69"/>
      <c r="OGM36" s="69"/>
      <c r="OGN36" s="69"/>
      <c r="OGO36" s="69"/>
      <c r="OGP36" s="69"/>
      <c r="OGQ36" s="69"/>
      <c r="OGR36" s="69"/>
      <c r="OGS36" s="69"/>
      <c r="OGT36" s="69"/>
      <c r="OGU36" s="69"/>
      <c r="OGV36" s="69"/>
      <c r="OGW36" s="69"/>
      <c r="OGX36" s="69"/>
      <c r="OGY36" s="69"/>
      <c r="OGZ36" s="69"/>
      <c r="OHA36" s="69"/>
      <c r="OHB36" s="69"/>
      <c r="OHC36" s="69"/>
      <c r="OHD36" s="69"/>
      <c r="OHE36" s="69"/>
      <c r="OHF36" s="69"/>
      <c r="OHG36" s="69"/>
      <c r="OHH36" s="69"/>
      <c r="OHI36" s="69"/>
      <c r="OHJ36" s="69"/>
      <c r="OHK36" s="69"/>
      <c r="OHL36" s="69"/>
      <c r="OHM36" s="69"/>
      <c r="OHN36" s="69"/>
      <c r="OHO36" s="69"/>
      <c r="OHP36" s="69"/>
      <c r="OHQ36" s="69"/>
      <c r="OHR36" s="69"/>
      <c r="OHS36" s="69"/>
      <c r="OHT36" s="69"/>
      <c r="OHU36" s="69"/>
      <c r="OHV36" s="69"/>
      <c r="OHW36" s="69"/>
      <c r="OHX36" s="69"/>
      <c r="OHY36" s="69"/>
      <c r="OHZ36" s="69"/>
      <c r="OIA36" s="69"/>
      <c r="OIB36" s="69"/>
      <c r="OIC36" s="69"/>
      <c r="OID36" s="69"/>
      <c r="OIE36" s="69"/>
      <c r="OIF36" s="69"/>
      <c r="OIG36" s="69"/>
      <c r="OIH36" s="69"/>
      <c r="OII36" s="69"/>
      <c r="OIJ36" s="69"/>
      <c r="OIK36" s="69"/>
      <c r="OIL36" s="69"/>
      <c r="OIM36" s="69"/>
      <c r="OIN36" s="69"/>
      <c r="OIO36" s="69"/>
      <c r="OIP36" s="69"/>
      <c r="OIQ36" s="69"/>
      <c r="OIR36" s="69"/>
      <c r="OIS36" s="69"/>
      <c r="OIT36" s="69"/>
      <c r="OIU36" s="69"/>
      <c r="OIV36" s="69"/>
      <c r="OIW36" s="69"/>
      <c r="OIX36" s="69"/>
      <c r="OIY36" s="69"/>
      <c r="OIZ36" s="69"/>
      <c r="OJA36" s="69"/>
      <c r="OJB36" s="69"/>
      <c r="OJC36" s="69"/>
      <c r="OJD36" s="69"/>
      <c r="OJE36" s="69"/>
      <c r="OJF36" s="69"/>
      <c r="OJG36" s="69"/>
      <c r="OJH36" s="69"/>
      <c r="OJI36" s="69"/>
      <c r="OJJ36" s="69"/>
      <c r="OJK36" s="69"/>
      <c r="OJL36" s="69"/>
      <c r="OJM36" s="69"/>
      <c r="OJN36" s="69"/>
      <c r="OJO36" s="69"/>
      <c r="OJP36" s="69"/>
      <c r="OJQ36" s="69"/>
      <c r="OJR36" s="69"/>
      <c r="OJS36" s="69"/>
      <c r="OJT36" s="69"/>
      <c r="OJU36" s="69"/>
      <c r="OJV36" s="69"/>
      <c r="OJW36" s="69"/>
      <c r="OJX36" s="69"/>
      <c r="OJY36" s="69"/>
      <c r="OJZ36" s="69"/>
      <c r="OKA36" s="69"/>
      <c r="OKB36" s="69"/>
      <c r="OKC36" s="69"/>
      <c r="OKD36" s="69"/>
      <c r="OKE36" s="69"/>
      <c r="OKF36" s="69"/>
      <c r="OKG36" s="69"/>
      <c r="OKH36" s="69"/>
      <c r="OKI36" s="69"/>
      <c r="OKJ36" s="69"/>
      <c r="OKK36" s="69"/>
      <c r="OKL36" s="69"/>
      <c r="OKM36" s="69"/>
      <c r="OKN36" s="69"/>
      <c r="OKO36" s="69"/>
      <c r="OKP36" s="69"/>
      <c r="OKQ36" s="69"/>
      <c r="OKR36" s="69"/>
      <c r="OKS36" s="69"/>
      <c r="OKT36" s="69"/>
      <c r="OKU36" s="69"/>
      <c r="OKV36" s="69"/>
      <c r="OKW36" s="69"/>
      <c r="OKX36" s="69"/>
      <c r="OKY36" s="69"/>
      <c r="OKZ36" s="69"/>
      <c r="OLA36" s="69"/>
      <c r="OLB36" s="69"/>
      <c r="OLC36" s="69"/>
      <c r="OLD36" s="69"/>
      <c r="OLE36" s="69"/>
      <c r="OLF36" s="69"/>
      <c r="OLG36" s="69"/>
      <c r="OLH36" s="69"/>
      <c r="OLI36" s="69"/>
      <c r="OLJ36" s="69"/>
      <c r="OLK36" s="69"/>
      <c r="OLL36" s="69"/>
      <c r="OLM36" s="69"/>
      <c r="OLN36" s="69"/>
      <c r="OLO36" s="69"/>
      <c r="OLP36" s="69"/>
      <c r="OLQ36" s="69"/>
      <c r="OLR36" s="69"/>
      <c r="OLS36" s="69"/>
      <c r="OLT36" s="69"/>
      <c r="OLU36" s="69"/>
      <c r="OLV36" s="69"/>
      <c r="OLW36" s="69"/>
      <c r="OLX36" s="69"/>
      <c r="OLY36" s="69"/>
      <c r="OLZ36" s="69"/>
      <c r="OMA36" s="69"/>
      <c r="OMB36" s="69"/>
      <c r="OMC36" s="69"/>
      <c r="OMD36" s="69"/>
      <c r="OME36" s="69"/>
      <c r="OMF36" s="69"/>
      <c r="OMG36" s="69"/>
      <c r="OMH36" s="69"/>
      <c r="OMI36" s="69"/>
      <c r="OMJ36" s="69"/>
      <c r="OMK36" s="69"/>
      <c r="OML36" s="69"/>
      <c r="OMM36" s="69"/>
      <c r="OMN36" s="69"/>
      <c r="OMO36" s="69"/>
      <c r="OMP36" s="69"/>
      <c r="OMQ36" s="69"/>
      <c r="OMR36" s="69"/>
      <c r="OMS36" s="69"/>
      <c r="OMT36" s="69"/>
      <c r="OMU36" s="69"/>
      <c r="OMV36" s="69"/>
      <c r="OMW36" s="69"/>
      <c r="OMX36" s="69"/>
      <c r="OMY36" s="69"/>
      <c r="OMZ36" s="69"/>
      <c r="ONA36" s="69"/>
      <c r="ONB36" s="69"/>
      <c r="ONC36" s="69"/>
      <c r="OND36" s="69"/>
      <c r="ONE36" s="69"/>
      <c r="ONF36" s="69"/>
      <c r="ONG36" s="69"/>
      <c r="ONH36" s="69"/>
      <c r="ONI36" s="69"/>
      <c r="ONJ36" s="69"/>
      <c r="ONK36" s="69"/>
      <c r="ONL36" s="69"/>
      <c r="ONM36" s="69"/>
      <c r="ONN36" s="69"/>
      <c r="ONO36" s="69"/>
      <c r="ONP36" s="69"/>
      <c r="ONQ36" s="69"/>
      <c r="ONR36" s="69"/>
      <c r="ONS36" s="69"/>
      <c r="ONT36" s="69"/>
      <c r="ONU36" s="69"/>
      <c r="ONV36" s="69"/>
      <c r="ONW36" s="69"/>
      <c r="ONX36" s="69"/>
      <c r="ONY36" s="69"/>
      <c r="ONZ36" s="69"/>
      <c r="OOA36" s="69"/>
      <c r="OOB36" s="69"/>
      <c r="OOC36" s="69"/>
      <c r="OOD36" s="69"/>
      <c r="OOE36" s="69"/>
      <c r="OOF36" s="69"/>
      <c r="OOG36" s="69"/>
      <c r="OOH36" s="69"/>
      <c r="OOI36" s="69"/>
      <c r="OOJ36" s="69"/>
      <c r="OOK36" s="69"/>
      <c r="OOL36" s="69"/>
      <c r="OOM36" s="69"/>
      <c r="OON36" s="69"/>
      <c r="OOO36" s="69"/>
      <c r="OOP36" s="69"/>
      <c r="OOQ36" s="69"/>
      <c r="OOR36" s="69"/>
      <c r="OOS36" s="69"/>
      <c r="OOT36" s="69"/>
      <c r="OOU36" s="69"/>
      <c r="OOV36" s="69"/>
      <c r="OOW36" s="69"/>
      <c r="OOX36" s="69"/>
      <c r="OOY36" s="69"/>
      <c r="OOZ36" s="69"/>
      <c r="OPA36" s="69"/>
      <c r="OPB36" s="69"/>
      <c r="OPC36" s="69"/>
      <c r="OPD36" s="69"/>
      <c r="OPE36" s="69"/>
      <c r="OPF36" s="69"/>
      <c r="OPG36" s="69"/>
      <c r="OPH36" s="69"/>
      <c r="OPI36" s="69"/>
      <c r="OPJ36" s="69"/>
      <c r="OPK36" s="69"/>
      <c r="OPL36" s="69"/>
      <c r="OPM36" s="69"/>
      <c r="OPN36" s="69"/>
      <c r="OPO36" s="69"/>
      <c r="OPP36" s="69"/>
      <c r="OPQ36" s="69"/>
      <c r="OPR36" s="69"/>
      <c r="OPS36" s="69"/>
      <c r="OPT36" s="69"/>
      <c r="OPU36" s="69"/>
      <c r="OPV36" s="69"/>
      <c r="OPW36" s="69"/>
      <c r="OPX36" s="69"/>
      <c r="OPY36" s="69"/>
      <c r="OPZ36" s="69"/>
      <c r="OQA36" s="69"/>
      <c r="OQB36" s="69"/>
      <c r="OQC36" s="69"/>
      <c r="OQD36" s="69"/>
      <c r="OQE36" s="69"/>
      <c r="OQF36" s="69"/>
      <c r="OQG36" s="69"/>
      <c r="OQH36" s="69"/>
      <c r="OQI36" s="69"/>
      <c r="OQJ36" s="69"/>
      <c r="OQK36" s="69"/>
      <c r="OQL36" s="69"/>
      <c r="OQM36" s="69"/>
      <c r="OQN36" s="69"/>
      <c r="OQO36" s="69"/>
      <c r="OQP36" s="69"/>
      <c r="OQQ36" s="69"/>
      <c r="OQR36" s="69"/>
      <c r="OQS36" s="69"/>
      <c r="OQT36" s="69"/>
      <c r="OQU36" s="69"/>
      <c r="OQV36" s="69"/>
      <c r="OQW36" s="69"/>
      <c r="OQX36" s="69"/>
      <c r="OQY36" s="69"/>
      <c r="OQZ36" s="69"/>
      <c r="ORA36" s="69"/>
      <c r="ORB36" s="69"/>
      <c r="ORC36" s="69"/>
      <c r="ORD36" s="69"/>
      <c r="ORE36" s="69"/>
      <c r="ORF36" s="69"/>
      <c r="ORG36" s="69"/>
      <c r="ORH36" s="69"/>
      <c r="ORI36" s="69"/>
      <c r="ORJ36" s="69"/>
      <c r="ORK36" s="69"/>
      <c r="ORL36" s="69"/>
      <c r="ORM36" s="69"/>
      <c r="ORN36" s="69"/>
      <c r="ORO36" s="69"/>
      <c r="ORP36" s="69"/>
      <c r="ORQ36" s="69"/>
      <c r="ORR36" s="69"/>
      <c r="ORS36" s="69"/>
      <c r="ORT36" s="69"/>
      <c r="ORU36" s="69"/>
      <c r="ORV36" s="69"/>
      <c r="ORW36" s="69"/>
      <c r="ORX36" s="69"/>
      <c r="ORY36" s="69"/>
      <c r="ORZ36" s="69"/>
      <c r="OSA36" s="69"/>
      <c r="OSB36" s="69"/>
      <c r="OSC36" s="69"/>
      <c r="OSD36" s="69"/>
      <c r="OSE36" s="69"/>
      <c r="OSF36" s="69"/>
      <c r="OSG36" s="69"/>
      <c r="OSH36" s="69"/>
      <c r="OSI36" s="69"/>
      <c r="OSJ36" s="69"/>
      <c r="OSK36" s="69"/>
      <c r="OSL36" s="69"/>
      <c r="OSM36" s="69"/>
      <c r="OSN36" s="69"/>
      <c r="OSO36" s="69"/>
      <c r="OSP36" s="69"/>
      <c r="OSQ36" s="69"/>
      <c r="OSR36" s="69"/>
      <c r="OSS36" s="69"/>
      <c r="OST36" s="69"/>
      <c r="OSU36" s="69"/>
      <c r="OSV36" s="69"/>
      <c r="OSW36" s="69"/>
      <c r="OSX36" s="69"/>
      <c r="OSY36" s="69"/>
      <c r="OSZ36" s="69"/>
      <c r="OTA36" s="69"/>
      <c r="OTB36" s="69"/>
      <c r="OTC36" s="69"/>
      <c r="OTD36" s="69"/>
      <c r="OTE36" s="69"/>
      <c r="OTF36" s="69"/>
      <c r="OTG36" s="69"/>
      <c r="OTH36" s="69"/>
      <c r="OTI36" s="69"/>
      <c r="OTJ36" s="69"/>
      <c r="OTK36" s="69"/>
      <c r="OTL36" s="69"/>
      <c r="OTM36" s="69"/>
      <c r="OTN36" s="69"/>
      <c r="OTO36" s="69"/>
      <c r="OTP36" s="69"/>
      <c r="OTQ36" s="69"/>
      <c r="OTR36" s="69"/>
      <c r="OTS36" s="69"/>
      <c r="OTT36" s="69"/>
      <c r="OTU36" s="69"/>
      <c r="OTV36" s="69"/>
      <c r="OTW36" s="69"/>
      <c r="OTX36" s="69"/>
      <c r="OTY36" s="69"/>
      <c r="OTZ36" s="69"/>
      <c r="OUA36" s="69"/>
      <c r="OUB36" s="69"/>
      <c r="OUC36" s="69"/>
      <c r="OUD36" s="69"/>
      <c r="OUE36" s="69"/>
      <c r="OUF36" s="69"/>
      <c r="OUG36" s="69"/>
      <c r="OUH36" s="69"/>
      <c r="OUI36" s="69"/>
      <c r="OUJ36" s="69"/>
      <c r="OUK36" s="69"/>
      <c r="OUL36" s="69"/>
      <c r="OUM36" s="69"/>
      <c r="OUN36" s="69"/>
      <c r="OUO36" s="69"/>
      <c r="OUP36" s="69"/>
      <c r="OUQ36" s="69"/>
      <c r="OUR36" s="69"/>
      <c r="OUS36" s="69"/>
      <c r="OUT36" s="69"/>
      <c r="OUU36" s="69"/>
      <c r="OUV36" s="69"/>
      <c r="OUW36" s="69"/>
      <c r="OUX36" s="69"/>
      <c r="OUY36" s="69"/>
      <c r="OUZ36" s="69"/>
      <c r="OVA36" s="69"/>
      <c r="OVB36" s="69"/>
      <c r="OVC36" s="69"/>
      <c r="OVD36" s="69"/>
      <c r="OVE36" s="69"/>
      <c r="OVF36" s="69"/>
      <c r="OVG36" s="69"/>
      <c r="OVH36" s="69"/>
      <c r="OVI36" s="69"/>
      <c r="OVJ36" s="69"/>
      <c r="OVK36" s="69"/>
      <c r="OVL36" s="69"/>
      <c r="OVM36" s="69"/>
      <c r="OVN36" s="69"/>
      <c r="OVO36" s="69"/>
      <c r="OVP36" s="69"/>
      <c r="OVQ36" s="69"/>
      <c r="OVR36" s="69"/>
      <c r="OVS36" s="69"/>
      <c r="OVT36" s="69"/>
      <c r="OVU36" s="69"/>
      <c r="OVV36" s="69"/>
      <c r="OVW36" s="69"/>
      <c r="OVX36" s="69"/>
      <c r="OVY36" s="69"/>
      <c r="OVZ36" s="69"/>
      <c r="OWA36" s="69"/>
      <c r="OWB36" s="69"/>
      <c r="OWC36" s="69"/>
      <c r="OWD36" s="69"/>
      <c r="OWE36" s="69"/>
      <c r="OWF36" s="69"/>
      <c r="OWG36" s="69"/>
      <c r="OWH36" s="69"/>
      <c r="OWI36" s="69"/>
      <c r="OWJ36" s="69"/>
      <c r="OWK36" s="69"/>
      <c r="OWL36" s="69"/>
      <c r="OWM36" s="69"/>
      <c r="OWN36" s="69"/>
      <c r="OWO36" s="69"/>
      <c r="OWP36" s="69"/>
      <c r="OWQ36" s="69"/>
      <c r="OWR36" s="69"/>
      <c r="OWS36" s="69"/>
      <c r="OWT36" s="69"/>
      <c r="OWU36" s="69"/>
      <c r="OWV36" s="69"/>
      <c r="OWW36" s="69"/>
      <c r="OWX36" s="69"/>
      <c r="OWY36" s="69"/>
      <c r="OWZ36" s="69"/>
      <c r="OXA36" s="69"/>
      <c r="OXB36" s="69"/>
      <c r="OXC36" s="69"/>
      <c r="OXD36" s="69"/>
      <c r="OXE36" s="69"/>
      <c r="OXF36" s="69"/>
      <c r="OXG36" s="69"/>
      <c r="OXH36" s="69"/>
      <c r="OXI36" s="69"/>
      <c r="OXJ36" s="69"/>
      <c r="OXK36" s="69"/>
      <c r="OXL36" s="69"/>
      <c r="OXM36" s="69"/>
      <c r="OXN36" s="69"/>
      <c r="OXO36" s="69"/>
      <c r="OXP36" s="69"/>
      <c r="OXQ36" s="69"/>
      <c r="OXR36" s="69"/>
      <c r="OXS36" s="69"/>
      <c r="OXT36" s="69"/>
      <c r="OXU36" s="69"/>
      <c r="OXV36" s="69"/>
      <c r="OXW36" s="69"/>
      <c r="OXX36" s="69"/>
      <c r="OXY36" s="69"/>
      <c r="OXZ36" s="69"/>
      <c r="OYA36" s="69"/>
      <c r="OYB36" s="69"/>
      <c r="OYC36" s="69"/>
      <c r="OYD36" s="69"/>
      <c r="OYE36" s="69"/>
      <c r="OYF36" s="69"/>
      <c r="OYG36" s="69"/>
      <c r="OYH36" s="69"/>
      <c r="OYI36" s="69"/>
      <c r="OYJ36" s="69"/>
      <c r="OYK36" s="69"/>
      <c r="OYL36" s="69"/>
      <c r="OYM36" s="69"/>
      <c r="OYN36" s="69"/>
      <c r="OYO36" s="69"/>
      <c r="OYP36" s="69"/>
      <c r="OYQ36" s="69"/>
      <c r="OYR36" s="69"/>
      <c r="OYS36" s="69"/>
      <c r="OYT36" s="69"/>
      <c r="OYU36" s="69"/>
      <c r="OYV36" s="69"/>
      <c r="OYW36" s="69"/>
      <c r="OYX36" s="69"/>
      <c r="OYY36" s="69"/>
      <c r="OYZ36" s="69"/>
      <c r="OZA36" s="69"/>
      <c r="OZB36" s="69"/>
      <c r="OZC36" s="69"/>
      <c r="OZD36" s="69"/>
      <c r="OZE36" s="69"/>
      <c r="OZF36" s="69"/>
      <c r="OZG36" s="69"/>
      <c r="OZH36" s="69"/>
      <c r="OZI36" s="69"/>
      <c r="OZJ36" s="69"/>
      <c r="OZK36" s="69"/>
      <c r="OZL36" s="69"/>
      <c r="OZM36" s="69"/>
      <c r="OZN36" s="69"/>
      <c r="OZO36" s="69"/>
      <c r="OZP36" s="69"/>
      <c r="OZQ36" s="69"/>
      <c r="OZR36" s="69"/>
      <c r="OZS36" s="69"/>
      <c r="OZT36" s="69"/>
      <c r="OZU36" s="69"/>
      <c r="OZV36" s="69"/>
      <c r="OZW36" s="69"/>
      <c r="OZX36" s="69"/>
      <c r="OZY36" s="69"/>
      <c r="OZZ36" s="69"/>
      <c r="PAA36" s="69"/>
      <c r="PAB36" s="69"/>
      <c r="PAC36" s="69"/>
      <c r="PAD36" s="69"/>
      <c r="PAE36" s="69"/>
      <c r="PAF36" s="69"/>
      <c r="PAG36" s="69"/>
      <c r="PAH36" s="69"/>
      <c r="PAI36" s="69"/>
      <c r="PAJ36" s="69"/>
      <c r="PAK36" s="69"/>
      <c r="PAL36" s="69"/>
      <c r="PAM36" s="69"/>
      <c r="PAN36" s="69"/>
      <c r="PAO36" s="69"/>
      <c r="PAP36" s="69"/>
      <c r="PAQ36" s="69"/>
      <c r="PAR36" s="69"/>
      <c r="PAS36" s="69"/>
      <c r="PAT36" s="69"/>
      <c r="PAU36" s="69"/>
      <c r="PAV36" s="69"/>
      <c r="PAW36" s="69"/>
      <c r="PAX36" s="69"/>
      <c r="PAY36" s="69"/>
      <c r="PAZ36" s="69"/>
      <c r="PBA36" s="69"/>
      <c r="PBB36" s="69"/>
      <c r="PBC36" s="69"/>
      <c r="PBD36" s="69"/>
      <c r="PBE36" s="69"/>
      <c r="PBF36" s="69"/>
      <c r="PBG36" s="69"/>
      <c r="PBH36" s="69"/>
      <c r="PBI36" s="69"/>
      <c r="PBJ36" s="69"/>
      <c r="PBK36" s="69"/>
      <c r="PBL36" s="69"/>
      <c r="PBM36" s="69"/>
      <c r="PBN36" s="69"/>
      <c r="PBO36" s="69"/>
      <c r="PBP36" s="69"/>
      <c r="PBQ36" s="69"/>
      <c r="PBR36" s="69"/>
      <c r="PBS36" s="69"/>
      <c r="PBT36" s="69"/>
      <c r="PBU36" s="69"/>
      <c r="PBV36" s="69"/>
      <c r="PBW36" s="69"/>
      <c r="PBX36" s="69"/>
      <c r="PBY36" s="69"/>
      <c r="PBZ36" s="69"/>
      <c r="PCA36" s="69"/>
      <c r="PCB36" s="69"/>
      <c r="PCC36" s="69"/>
      <c r="PCD36" s="69"/>
      <c r="PCE36" s="69"/>
      <c r="PCF36" s="69"/>
      <c r="PCG36" s="69"/>
      <c r="PCH36" s="69"/>
      <c r="PCI36" s="69"/>
      <c r="PCJ36" s="69"/>
      <c r="PCK36" s="69"/>
      <c r="PCL36" s="69"/>
      <c r="PCM36" s="69"/>
      <c r="PCN36" s="69"/>
      <c r="PCO36" s="69"/>
      <c r="PCP36" s="69"/>
      <c r="PCQ36" s="69"/>
      <c r="PCR36" s="69"/>
      <c r="PCS36" s="69"/>
      <c r="PCT36" s="69"/>
      <c r="PCU36" s="69"/>
      <c r="PCV36" s="69"/>
      <c r="PCW36" s="69"/>
      <c r="PCX36" s="69"/>
      <c r="PCY36" s="69"/>
      <c r="PCZ36" s="69"/>
      <c r="PDA36" s="69"/>
      <c r="PDB36" s="69"/>
      <c r="PDC36" s="69"/>
      <c r="PDD36" s="69"/>
      <c r="PDE36" s="69"/>
      <c r="PDF36" s="69"/>
      <c r="PDG36" s="69"/>
      <c r="PDH36" s="69"/>
      <c r="PDI36" s="69"/>
      <c r="PDJ36" s="69"/>
      <c r="PDK36" s="69"/>
      <c r="PDL36" s="69"/>
      <c r="PDM36" s="69"/>
      <c r="PDN36" s="69"/>
      <c r="PDO36" s="69"/>
      <c r="PDP36" s="69"/>
      <c r="PDQ36" s="69"/>
      <c r="PDR36" s="69"/>
      <c r="PDS36" s="69"/>
      <c r="PDT36" s="69"/>
      <c r="PDU36" s="69"/>
      <c r="PDV36" s="69"/>
      <c r="PDW36" s="69"/>
      <c r="PDX36" s="69"/>
      <c r="PDY36" s="69"/>
      <c r="PDZ36" s="69"/>
      <c r="PEA36" s="69"/>
      <c r="PEB36" s="69"/>
      <c r="PEC36" s="69"/>
      <c r="PED36" s="69"/>
      <c r="PEE36" s="69"/>
      <c r="PEF36" s="69"/>
      <c r="PEG36" s="69"/>
      <c r="PEH36" s="69"/>
      <c r="PEI36" s="69"/>
      <c r="PEJ36" s="69"/>
      <c r="PEK36" s="69"/>
      <c r="PEL36" s="69"/>
      <c r="PEM36" s="69"/>
      <c r="PEN36" s="69"/>
      <c r="PEO36" s="69"/>
      <c r="PEP36" s="69"/>
      <c r="PEQ36" s="69"/>
      <c r="PER36" s="69"/>
      <c r="PES36" s="69"/>
      <c r="PET36" s="69"/>
      <c r="PEU36" s="69"/>
      <c r="PEV36" s="69"/>
      <c r="PEW36" s="69"/>
      <c r="PEX36" s="69"/>
      <c r="PEY36" s="69"/>
      <c r="PEZ36" s="69"/>
      <c r="PFA36" s="69"/>
      <c r="PFB36" s="69"/>
      <c r="PFC36" s="69"/>
      <c r="PFD36" s="69"/>
      <c r="PFE36" s="69"/>
      <c r="PFF36" s="69"/>
      <c r="PFG36" s="69"/>
      <c r="PFH36" s="69"/>
      <c r="PFI36" s="69"/>
      <c r="PFJ36" s="69"/>
      <c r="PFK36" s="69"/>
      <c r="PFL36" s="69"/>
      <c r="PFM36" s="69"/>
      <c r="PFN36" s="69"/>
      <c r="PFO36" s="69"/>
      <c r="PFP36" s="69"/>
      <c r="PFQ36" s="69"/>
      <c r="PFR36" s="69"/>
      <c r="PFS36" s="69"/>
      <c r="PFT36" s="69"/>
      <c r="PFU36" s="69"/>
      <c r="PFV36" s="69"/>
      <c r="PFW36" s="69"/>
      <c r="PFX36" s="69"/>
      <c r="PFY36" s="69"/>
      <c r="PFZ36" s="69"/>
      <c r="PGA36" s="69"/>
      <c r="PGB36" s="69"/>
      <c r="PGC36" s="69"/>
      <c r="PGD36" s="69"/>
      <c r="PGE36" s="69"/>
      <c r="PGF36" s="69"/>
      <c r="PGG36" s="69"/>
      <c r="PGH36" s="69"/>
      <c r="PGI36" s="69"/>
      <c r="PGJ36" s="69"/>
      <c r="PGK36" s="69"/>
      <c r="PGL36" s="69"/>
      <c r="PGM36" s="69"/>
      <c r="PGN36" s="69"/>
      <c r="PGO36" s="69"/>
      <c r="PGP36" s="69"/>
      <c r="PGQ36" s="69"/>
      <c r="PGR36" s="69"/>
      <c r="PGS36" s="69"/>
      <c r="PGT36" s="69"/>
      <c r="PGU36" s="69"/>
      <c r="PGV36" s="69"/>
      <c r="PGW36" s="69"/>
      <c r="PGX36" s="69"/>
      <c r="PGY36" s="69"/>
      <c r="PGZ36" s="69"/>
      <c r="PHA36" s="69"/>
      <c r="PHB36" s="69"/>
      <c r="PHC36" s="69"/>
      <c r="PHD36" s="69"/>
      <c r="PHE36" s="69"/>
      <c r="PHF36" s="69"/>
      <c r="PHG36" s="69"/>
      <c r="PHH36" s="69"/>
      <c r="PHI36" s="69"/>
      <c r="PHJ36" s="69"/>
      <c r="PHK36" s="69"/>
      <c r="PHL36" s="69"/>
      <c r="PHM36" s="69"/>
      <c r="PHN36" s="69"/>
      <c r="PHO36" s="69"/>
      <c r="PHP36" s="69"/>
      <c r="PHQ36" s="69"/>
      <c r="PHR36" s="69"/>
      <c r="PHS36" s="69"/>
      <c r="PHT36" s="69"/>
      <c r="PHU36" s="69"/>
      <c r="PHV36" s="69"/>
      <c r="PHW36" s="69"/>
      <c r="PHX36" s="69"/>
      <c r="PHY36" s="69"/>
      <c r="PHZ36" s="69"/>
      <c r="PIA36" s="69"/>
      <c r="PIB36" s="69"/>
      <c r="PIC36" s="69"/>
      <c r="PID36" s="69"/>
      <c r="PIE36" s="69"/>
      <c r="PIF36" s="69"/>
      <c r="PIG36" s="69"/>
      <c r="PIH36" s="69"/>
      <c r="PII36" s="69"/>
      <c r="PIJ36" s="69"/>
      <c r="PIK36" s="69"/>
      <c r="PIL36" s="69"/>
      <c r="PIM36" s="69"/>
      <c r="PIN36" s="69"/>
      <c r="PIO36" s="69"/>
      <c r="PIP36" s="69"/>
      <c r="PIQ36" s="69"/>
      <c r="PIR36" s="69"/>
      <c r="PIS36" s="69"/>
      <c r="PIT36" s="69"/>
      <c r="PIU36" s="69"/>
      <c r="PIV36" s="69"/>
      <c r="PIW36" s="69"/>
      <c r="PIX36" s="69"/>
      <c r="PIY36" s="69"/>
      <c r="PIZ36" s="69"/>
      <c r="PJA36" s="69"/>
      <c r="PJB36" s="69"/>
      <c r="PJC36" s="69"/>
      <c r="PJD36" s="69"/>
      <c r="PJE36" s="69"/>
      <c r="PJF36" s="69"/>
      <c r="PJG36" s="69"/>
      <c r="PJH36" s="69"/>
      <c r="PJI36" s="69"/>
      <c r="PJJ36" s="69"/>
      <c r="PJK36" s="69"/>
      <c r="PJL36" s="69"/>
      <c r="PJM36" s="69"/>
      <c r="PJN36" s="69"/>
      <c r="PJO36" s="69"/>
      <c r="PJP36" s="69"/>
      <c r="PJQ36" s="69"/>
      <c r="PJR36" s="69"/>
      <c r="PJS36" s="69"/>
      <c r="PJT36" s="69"/>
      <c r="PJU36" s="69"/>
      <c r="PJV36" s="69"/>
      <c r="PJW36" s="69"/>
      <c r="PJX36" s="69"/>
      <c r="PJY36" s="69"/>
      <c r="PJZ36" s="69"/>
      <c r="PKA36" s="69"/>
      <c r="PKB36" s="69"/>
      <c r="PKC36" s="69"/>
      <c r="PKD36" s="69"/>
      <c r="PKE36" s="69"/>
      <c r="PKF36" s="69"/>
      <c r="PKG36" s="69"/>
      <c r="PKH36" s="69"/>
      <c r="PKI36" s="69"/>
      <c r="PKJ36" s="69"/>
      <c r="PKK36" s="69"/>
      <c r="PKL36" s="69"/>
      <c r="PKM36" s="69"/>
      <c r="PKN36" s="69"/>
      <c r="PKO36" s="69"/>
      <c r="PKP36" s="69"/>
      <c r="PKQ36" s="69"/>
      <c r="PKR36" s="69"/>
      <c r="PKS36" s="69"/>
      <c r="PKT36" s="69"/>
      <c r="PKU36" s="69"/>
      <c r="PKV36" s="69"/>
      <c r="PKW36" s="69"/>
      <c r="PKX36" s="69"/>
      <c r="PKY36" s="69"/>
      <c r="PKZ36" s="69"/>
      <c r="PLA36" s="69"/>
      <c r="PLB36" s="69"/>
      <c r="PLC36" s="69"/>
      <c r="PLD36" s="69"/>
      <c r="PLE36" s="69"/>
      <c r="PLF36" s="69"/>
      <c r="PLG36" s="69"/>
      <c r="PLH36" s="69"/>
      <c r="PLI36" s="69"/>
      <c r="PLJ36" s="69"/>
      <c r="PLK36" s="69"/>
      <c r="PLL36" s="69"/>
      <c r="PLM36" s="69"/>
      <c r="PLN36" s="69"/>
      <c r="PLO36" s="69"/>
      <c r="PLP36" s="69"/>
      <c r="PLQ36" s="69"/>
      <c r="PLR36" s="69"/>
      <c r="PLS36" s="69"/>
      <c r="PLT36" s="69"/>
      <c r="PLU36" s="69"/>
      <c r="PLV36" s="69"/>
      <c r="PLW36" s="69"/>
      <c r="PLX36" s="69"/>
      <c r="PLY36" s="69"/>
      <c r="PLZ36" s="69"/>
      <c r="PMA36" s="69"/>
      <c r="PMB36" s="69"/>
      <c r="PMC36" s="69"/>
      <c r="PMD36" s="69"/>
      <c r="PME36" s="69"/>
      <c r="PMF36" s="69"/>
      <c r="PMG36" s="69"/>
      <c r="PMH36" s="69"/>
      <c r="PMI36" s="69"/>
      <c r="PMJ36" s="69"/>
      <c r="PMK36" s="69"/>
      <c r="PML36" s="69"/>
      <c r="PMM36" s="69"/>
      <c r="PMN36" s="69"/>
      <c r="PMO36" s="69"/>
      <c r="PMP36" s="69"/>
      <c r="PMQ36" s="69"/>
      <c r="PMR36" s="69"/>
      <c r="PMS36" s="69"/>
      <c r="PMT36" s="69"/>
      <c r="PMU36" s="69"/>
      <c r="PMV36" s="69"/>
      <c r="PMW36" s="69"/>
      <c r="PMX36" s="69"/>
      <c r="PMY36" s="69"/>
      <c r="PMZ36" s="69"/>
      <c r="PNA36" s="69"/>
      <c r="PNB36" s="69"/>
      <c r="PNC36" s="69"/>
      <c r="PND36" s="69"/>
      <c r="PNE36" s="69"/>
      <c r="PNF36" s="69"/>
      <c r="PNG36" s="69"/>
      <c r="PNH36" s="69"/>
      <c r="PNI36" s="69"/>
      <c r="PNJ36" s="69"/>
      <c r="PNK36" s="69"/>
      <c r="PNL36" s="69"/>
      <c r="PNM36" s="69"/>
      <c r="PNN36" s="69"/>
      <c r="PNO36" s="69"/>
      <c r="PNP36" s="69"/>
      <c r="PNQ36" s="69"/>
      <c r="PNR36" s="69"/>
      <c r="PNS36" s="69"/>
      <c r="PNT36" s="69"/>
      <c r="PNU36" s="69"/>
      <c r="PNV36" s="69"/>
      <c r="PNW36" s="69"/>
      <c r="PNX36" s="69"/>
      <c r="PNY36" s="69"/>
      <c r="PNZ36" s="69"/>
      <c r="POA36" s="69"/>
      <c r="POB36" s="69"/>
      <c r="POC36" s="69"/>
      <c r="POD36" s="69"/>
      <c r="POE36" s="69"/>
      <c r="POF36" s="69"/>
      <c r="POG36" s="69"/>
      <c r="POH36" s="69"/>
      <c r="POI36" s="69"/>
      <c r="POJ36" s="69"/>
      <c r="POK36" s="69"/>
      <c r="POL36" s="69"/>
      <c r="POM36" s="69"/>
      <c r="PON36" s="69"/>
      <c r="POO36" s="69"/>
      <c r="POP36" s="69"/>
      <c r="POQ36" s="69"/>
      <c r="POR36" s="69"/>
      <c r="POS36" s="69"/>
      <c r="POT36" s="69"/>
      <c r="POU36" s="69"/>
      <c r="POV36" s="69"/>
      <c r="POW36" s="69"/>
      <c r="POX36" s="69"/>
      <c r="POY36" s="69"/>
      <c r="POZ36" s="69"/>
      <c r="PPA36" s="69"/>
      <c r="PPB36" s="69"/>
      <c r="PPC36" s="69"/>
      <c r="PPD36" s="69"/>
      <c r="PPE36" s="69"/>
      <c r="PPF36" s="69"/>
      <c r="PPG36" s="69"/>
      <c r="PPH36" s="69"/>
      <c r="PPI36" s="69"/>
      <c r="PPJ36" s="69"/>
      <c r="PPK36" s="69"/>
      <c r="PPL36" s="69"/>
      <c r="PPM36" s="69"/>
      <c r="PPN36" s="69"/>
      <c r="PPO36" s="69"/>
      <c r="PPP36" s="69"/>
      <c r="PPQ36" s="69"/>
      <c r="PPR36" s="69"/>
      <c r="PPS36" s="69"/>
      <c r="PPT36" s="69"/>
      <c r="PPU36" s="69"/>
      <c r="PPV36" s="69"/>
      <c r="PPW36" s="69"/>
      <c r="PPX36" s="69"/>
      <c r="PPY36" s="69"/>
      <c r="PPZ36" s="69"/>
      <c r="PQA36" s="69"/>
      <c r="PQB36" s="69"/>
      <c r="PQC36" s="69"/>
      <c r="PQD36" s="69"/>
      <c r="PQE36" s="69"/>
      <c r="PQF36" s="69"/>
      <c r="PQG36" s="69"/>
      <c r="PQH36" s="69"/>
      <c r="PQI36" s="69"/>
      <c r="PQJ36" s="69"/>
      <c r="PQK36" s="69"/>
      <c r="PQL36" s="69"/>
      <c r="PQM36" s="69"/>
      <c r="PQN36" s="69"/>
      <c r="PQO36" s="69"/>
      <c r="PQP36" s="69"/>
      <c r="PQQ36" s="69"/>
      <c r="PQR36" s="69"/>
      <c r="PQS36" s="69"/>
      <c r="PQT36" s="69"/>
      <c r="PQU36" s="69"/>
      <c r="PQV36" s="69"/>
      <c r="PQW36" s="69"/>
      <c r="PQX36" s="69"/>
      <c r="PQY36" s="69"/>
      <c r="PQZ36" s="69"/>
      <c r="PRA36" s="69"/>
      <c r="PRB36" s="69"/>
      <c r="PRC36" s="69"/>
      <c r="PRD36" s="69"/>
      <c r="PRE36" s="69"/>
      <c r="PRF36" s="69"/>
      <c r="PRG36" s="69"/>
      <c r="PRH36" s="69"/>
      <c r="PRI36" s="69"/>
      <c r="PRJ36" s="69"/>
      <c r="PRK36" s="69"/>
      <c r="PRL36" s="69"/>
      <c r="PRM36" s="69"/>
      <c r="PRN36" s="69"/>
      <c r="PRO36" s="69"/>
      <c r="PRP36" s="69"/>
      <c r="PRQ36" s="69"/>
      <c r="PRR36" s="69"/>
      <c r="PRS36" s="69"/>
      <c r="PRT36" s="69"/>
      <c r="PRU36" s="69"/>
      <c r="PRV36" s="69"/>
      <c r="PRW36" s="69"/>
      <c r="PRX36" s="69"/>
      <c r="PRY36" s="69"/>
      <c r="PRZ36" s="69"/>
      <c r="PSA36" s="69"/>
      <c r="PSB36" s="69"/>
      <c r="PSC36" s="69"/>
      <c r="PSD36" s="69"/>
      <c r="PSE36" s="69"/>
      <c r="PSF36" s="69"/>
      <c r="PSG36" s="69"/>
      <c r="PSH36" s="69"/>
      <c r="PSI36" s="69"/>
      <c r="PSJ36" s="69"/>
      <c r="PSK36" s="69"/>
      <c r="PSL36" s="69"/>
      <c r="PSM36" s="69"/>
      <c r="PSN36" s="69"/>
      <c r="PSO36" s="69"/>
      <c r="PSP36" s="69"/>
      <c r="PSQ36" s="69"/>
      <c r="PSR36" s="69"/>
      <c r="PSS36" s="69"/>
      <c r="PST36" s="69"/>
      <c r="PSU36" s="69"/>
      <c r="PSV36" s="69"/>
      <c r="PSW36" s="69"/>
      <c r="PSX36" s="69"/>
      <c r="PSY36" s="69"/>
      <c r="PSZ36" s="69"/>
      <c r="PTA36" s="69"/>
      <c r="PTB36" s="69"/>
      <c r="PTC36" s="69"/>
      <c r="PTD36" s="69"/>
      <c r="PTE36" s="69"/>
      <c r="PTF36" s="69"/>
      <c r="PTG36" s="69"/>
      <c r="PTH36" s="69"/>
      <c r="PTI36" s="69"/>
      <c r="PTJ36" s="69"/>
      <c r="PTK36" s="69"/>
      <c r="PTL36" s="69"/>
      <c r="PTM36" s="69"/>
      <c r="PTN36" s="69"/>
      <c r="PTO36" s="69"/>
      <c r="PTP36" s="69"/>
      <c r="PTQ36" s="69"/>
      <c r="PTR36" s="69"/>
      <c r="PTS36" s="69"/>
      <c r="PTT36" s="69"/>
      <c r="PTU36" s="69"/>
      <c r="PTV36" s="69"/>
      <c r="PTW36" s="69"/>
      <c r="PTX36" s="69"/>
      <c r="PTY36" s="69"/>
      <c r="PTZ36" s="69"/>
      <c r="PUA36" s="69"/>
      <c r="PUB36" s="69"/>
      <c r="PUC36" s="69"/>
      <c r="PUD36" s="69"/>
      <c r="PUE36" s="69"/>
      <c r="PUF36" s="69"/>
      <c r="PUG36" s="69"/>
      <c r="PUH36" s="69"/>
      <c r="PUI36" s="69"/>
      <c r="PUJ36" s="69"/>
      <c r="PUK36" s="69"/>
      <c r="PUL36" s="69"/>
      <c r="PUM36" s="69"/>
      <c r="PUN36" s="69"/>
      <c r="PUO36" s="69"/>
      <c r="PUP36" s="69"/>
      <c r="PUQ36" s="69"/>
      <c r="PUR36" s="69"/>
      <c r="PUS36" s="69"/>
      <c r="PUT36" s="69"/>
      <c r="PUU36" s="69"/>
      <c r="PUV36" s="69"/>
      <c r="PUW36" s="69"/>
      <c r="PUX36" s="69"/>
      <c r="PUY36" s="69"/>
      <c r="PUZ36" s="69"/>
      <c r="PVA36" s="69"/>
      <c r="PVB36" s="69"/>
      <c r="PVC36" s="69"/>
      <c r="PVD36" s="69"/>
      <c r="PVE36" s="69"/>
      <c r="PVF36" s="69"/>
      <c r="PVG36" s="69"/>
      <c r="PVH36" s="69"/>
      <c r="PVI36" s="69"/>
      <c r="PVJ36" s="69"/>
      <c r="PVK36" s="69"/>
      <c r="PVL36" s="69"/>
      <c r="PVM36" s="69"/>
      <c r="PVN36" s="69"/>
      <c r="PVO36" s="69"/>
      <c r="PVP36" s="69"/>
      <c r="PVQ36" s="69"/>
      <c r="PVR36" s="69"/>
      <c r="PVS36" s="69"/>
      <c r="PVT36" s="69"/>
      <c r="PVU36" s="69"/>
      <c r="PVV36" s="69"/>
      <c r="PVW36" s="69"/>
      <c r="PVX36" s="69"/>
      <c r="PVY36" s="69"/>
      <c r="PVZ36" s="69"/>
      <c r="PWA36" s="69"/>
      <c r="PWB36" s="69"/>
      <c r="PWC36" s="69"/>
      <c r="PWD36" s="69"/>
      <c r="PWE36" s="69"/>
      <c r="PWF36" s="69"/>
      <c r="PWG36" s="69"/>
      <c r="PWH36" s="69"/>
      <c r="PWI36" s="69"/>
      <c r="PWJ36" s="69"/>
      <c r="PWK36" s="69"/>
      <c r="PWL36" s="69"/>
      <c r="PWM36" s="69"/>
      <c r="PWN36" s="69"/>
      <c r="PWO36" s="69"/>
      <c r="PWP36" s="69"/>
      <c r="PWQ36" s="69"/>
      <c r="PWR36" s="69"/>
      <c r="PWS36" s="69"/>
      <c r="PWT36" s="69"/>
      <c r="PWU36" s="69"/>
      <c r="PWV36" s="69"/>
      <c r="PWW36" s="69"/>
      <c r="PWX36" s="69"/>
      <c r="PWY36" s="69"/>
      <c r="PWZ36" s="69"/>
      <c r="PXA36" s="69"/>
      <c r="PXB36" s="69"/>
      <c r="PXC36" s="69"/>
      <c r="PXD36" s="69"/>
      <c r="PXE36" s="69"/>
      <c r="PXF36" s="69"/>
      <c r="PXG36" s="69"/>
      <c r="PXH36" s="69"/>
      <c r="PXI36" s="69"/>
      <c r="PXJ36" s="69"/>
      <c r="PXK36" s="69"/>
      <c r="PXL36" s="69"/>
      <c r="PXM36" s="69"/>
      <c r="PXN36" s="69"/>
      <c r="PXO36" s="69"/>
      <c r="PXP36" s="69"/>
      <c r="PXQ36" s="69"/>
      <c r="PXR36" s="69"/>
      <c r="PXS36" s="69"/>
      <c r="PXT36" s="69"/>
      <c r="PXU36" s="69"/>
      <c r="PXV36" s="69"/>
      <c r="PXW36" s="69"/>
      <c r="PXX36" s="69"/>
      <c r="PXY36" s="69"/>
      <c r="PXZ36" s="69"/>
      <c r="PYA36" s="69"/>
      <c r="PYB36" s="69"/>
      <c r="PYC36" s="69"/>
      <c r="PYD36" s="69"/>
      <c r="PYE36" s="69"/>
      <c r="PYF36" s="69"/>
      <c r="PYG36" s="69"/>
      <c r="PYH36" s="69"/>
      <c r="PYI36" s="69"/>
      <c r="PYJ36" s="69"/>
      <c r="PYK36" s="69"/>
      <c r="PYL36" s="69"/>
      <c r="PYM36" s="69"/>
      <c r="PYN36" s="69"/>
      <c r="PYO36" s="69"/>
      <c r="PYP36" s="69"/>
      <c r="PYQ36" s="69"/>
      <c r="PYR36" s="69"/>
      <c r="PYS36" s="69"/>
      <c r="PYT36" s="69"/>
      <c r="PYU36" s="69"/>
      <c r="PYV36" s="69"/>
      <c r="PYW36" s="69"/>
      <c r="PYX36" s="69"/>
      <c r="PYY36" s="69"/>
      <c r="PYZ36" s="69"/>
      <c r="PZA36" s="69"/>
      <c r="PZB36" s="69"/>
      <c r="PZC36" s="69"/>
      <c r="PZD36" s="69"/>
      <c r="PZE36" s="69"/>
      <c r="PZF36" s="69"/>
      <c r="PZG36" s="69"/>
      <c r="PZH36" s="69"/>
      <c r="PZI36" s="69"/>
      <c r="PZJ36" s="69"/>
      <c r="PZK36" s="69"/>
      <c r="PZL36" s="69"/>
      <c r="PZM36" s="69"/>
      <c r="PZN36" s="69"/>
      <c r="PZO36" s="69"/>
      <c r="PZP36" s="69"/>
      <c r="PZQ36" s="69"/>
      <c r="PZR36" s="69"/>
      <c r="PZS36" s="69"/>
      <c r="PZT36" s="69"/>
      <c r="PZU36" s="69"/>
      <c r="PZV36" s="69"/>
      <c r="PZW36" s="69"/>
      <c r="PZX36" s="69"/>
      <c r="PZY36" s="69"/>
      <c r="PZZ36" s="69"/>
      <c r="QAA36" s="69"/>
      <c r="QAB36" s="69"/>
      <c r="QAC36" s="69"/>
      <c r="QAD36" s="69"/>
      <c r="QAE36" s="69"/>
      <c r="QAF36" s="69"/>
      <c r="QAG36" s="69"/>
      <c r="QAH36" s="69"/>
      <c r="QAI36" s="69"/>
      <c r="QAJ36" s="69"/>
      <c r="QAK36" s="69"/>
      <c r="QAL36" s="69"/>
      <c r="QAM36" s="69"/>
      <c r="QAN36" s="69"/>
      <c r="QAO36" s="69"/>
      <c r="QAP36" s="69"/>
      <c r="QAQ36" s="69"/>
      <c r="QAR36" s="69"/>
      <c r="QAS36" s="69"/>
      <c r="QAT36" s="69"/>
      <c r="QAU36" s="69"/>
      <c r="QAV36" s="69"/>
      <c r="QAW36" s="69"/>
      <c r="QAX36" s="69"/>
      <c r="QAY36" s="69"/>
      <c r="QAZ36" s="69"/>
      <c r="QBA36" s="69"/>
      <c r="QBB36" s="69"/>
      <c r="QBC36" s="69"/>
      <c r="QBD36" s="69"/>
      <c r="QBE36" s="69"/>
      <c r="QBF36" s="69"/>
      <c r="QBG36" s="69"/>
      <c r="QBH36" s="69"/>
      <c r="QBI36" s="69"/>
      <c r="QBJ36" s="69"/>
      <c r="QBK36" s="69"/>
      <c r="QBL36" s="69"/>
      <c r="QBM36" s="69"/>
      <c r="QBN36" s="69"/>
      <c r="QBO36" s="69"/>
      <c r="QBP36" s="69"/>
      <c r="QBQ36" s="69"/>
      <c r="QBR36" s="69"/>
      <c r="QBS36" s="69"/>
      <c r="QBT36" s="69"/>
      <c r="QBU36" s="69"/>
      <c r="QBV36" s="69"/>
      <c r="QBW36" s="69"/>
      <c r="QBX36" s="69"/>
      <c r="QBY36" s="69"/>
      <c r="QBZ36" s="69"/>
      <c r="QCA36" s="69"/>
      <c r="QCB36" s="69"/>
      <c r="QCC36" s="69"/>
      <c r="QCD36" s="69"/>
      <c r="QCE36" s="69"/>
      <c r="QCF36" s="69"/>
      <c r="QCG36" s="69"/>
      <c r="QCH36" s="69"/>
      <c r="QCI36" s="69"/>
      <c r="QCJ36" s="69"/>
      <c r="QCK36" s="69"/>
      <c r="QCL36" s="69"/>
      <c r="QCM36" s="69"/>
      <c r="QCN36" s="69"/>
      <c r="QCO36" s="69"/>
      <c r="QCP36" s="69"/>
      <c r="QCQ36" s="69"/>
      <c r="QCR36" s="69"/>
      <c r="QCS36" s="69"/>
      <c r="QCT36" s="69"/>
      <c r="QCU36" s="69"/>
      <c r="QCV36" s="69"/>
      <c r="QCW36" s="69"/>
      <c r="QCX36" s="69"/>
      <c r="QCY36" s="69"/>
      <c r="QCZ36" s="69"/>
      <c r="QDA36" s="69"/>
      <c r="QDB36" s="69"/>
      <c r="QDC36" s="69"/>
      <c r="QDD36" s="69"/>
      <c r="QDE36" s="69"/>
      <c r="QDF36" s="69"/>
      <c r="QDG36" s="69"/>
      <c r="QDH36" s="69"/>
      <c r="QDI36" s="69"/>
      <c r="QDJ36" s="69"/>
      <c r="QDK36" s="69"/>
      <c r="QDL36" s="69"/>
      <c r="QDM36" s="69"/>
      <c r="QDN36" s="69"/>
      <c r="QDO36" s="69"/>
      <c r="QDP36" s="69"/>
      <c r="QDQ36" s="69"/>
      <c r="QDR36" s="69"/>
      <c r="QDS36" s="69"/>
      <c r="QDT36" s="69"/>
      <c r="QDU36" s="69"/>
      <c r="QDV36" s="69"/>
      <c r="QDW36" s="69"/>
      <c r="QDX36" s="69"/>
      <c r="QDY36" s="69"/>
      <c r="QDZ36" s="69"/>
      <c r="QEA36" s="69"/>
      <c r="QEB36" s="69"/>
      <c r="QEC36" s="69"/>
      <c r="QED36" s="69"/>
      <c r="QEE36" s="69"/>
      <c r="QEF36" s="69"/>
      <c r="QEG36" s="69"/>
      <c r="QEH36" s="69"/>
      <c r="QEI36" s="69"/>
      <c r="QEJ36" s="69"/>
      <c r="QEK36" s="69"/>
      <c r="QEL36" s="69"/>
      <c r="QEM36" s="69"/>
      <c r="QEN36" s="69"/>
      <c r="QEO36" s="69"/>
      <c r="QEP36" s="69"/>
      <c r="QEQ36" s="69"/>
      <c r="QER36" s="69"/>
      <c r="QES36" s="69"/>
      <c r="QET36" s="69"/>
      <c r="QEU36" s="69"/>
      <c r="QEV36" s="69"/>
      <c r="QEW36" s="69"/>
      <c r="QEX36" s="69"/>
      <c r="QEY36" s="69"/>
      <c r="QEZ36" s="69"/>
      <c r="QFA36" s="69"/>
      <c r="QFB36" s="69"/>
      <c r="QFC36" s="69"/>
      <c r="QFD36" s="69"/>
      <c r="QFE36" s="69"/>
      <c r="QFF36" s="69"/>
      <c r="QFG36" s="69"/>
      <c r="QFH36" s="69"/>
      <c r="QFI36" s="69"/>
      <c r="QFJ36" s="69"/>
      <c r="QFK36" s="69"/>
      <c r="QFL36" s="69"/>
      <c r="QFM36" s="69"/>
      <c r="QFN36" s="69"/>
      <c r="QFO36" s="69"/>
      <c r="QFP36" s="69"/>
      <c r="QFQ36" s="69"/>
      <c r="QFR36" s="69"/>
      <c r="QFS36" s="69"/>
      <c r="QFT36" s="69"/>
      <c r="QFU36" s="69"/>
      <c r="QFV36" s="69"/>
      <c r="QFW36" s="69"/>
      <c r="QFX36" s="69"/>
      <c r="QFY36" s="69"/>
      <c r="QFZ36" s="69"/>
      <c r="QGA36" s="69"/>
      <c r="QGB36" s="69"/>
      <c r="QGC36" s="69"/>
      <c r="QGD36" s="69"/>
      <c r="QGE36" s="69"/>
      <c r="QGF36" s="69"/>
      <c r="QGG36" s="69"/>
      <c r="QGH36" s="69"/>
      <c r="QGI36" s="69"/>
      <c r="QGJ36" s="69"/>
      <c r="QGK36" s="69"/>
      <c r="QGL36" s="69"/>
      <c r="QGM36" s="69"/>
      <c r="QGN36" s="69"/>
      <c r="QGO36" s="69"/>
      <c r="QGP36" s="69"/>
      <c r="QGQ36" s="69"/>
      <c r="QGR36" s="69"/>
      <c r="QGS36" s="69"/>
      <c r="QGT36" s="69"/>
      <c r="QGU36" s="69"/>
      <c r="QGV36" s="69"/>
      <c r="QGW36" s="69"/>
      <c r="QGX36" s="69"/>
      <c r="QGY36" s="69"/>
      <c r="QGZ36" s="69"/>
      <c r="QHA36" s="69"/>
      <c r="QHB36" s="69"/>
      <c r="QHC36" s="69"/>
      <c r="QHD36" s="69"/>
      <c r="QHE36" s="69"/>
      <c r="QHF36" s="69"/>
      <c r="QHG36" s="69"/>
      <c r="QHH36" s="69"/>
      <c r="QHI36" s="69"/>
      <c r="QHJ36" s="69"/>
      <c r="QHK36" s="69"/>
      <c r="QHL36" s="69"/>
      <c r="QHM36" s="69"/>
      <c r="QHN36" s="69"/>
      <c r="QHO36" s="69"/>
      <c r="QHP36" s="69"/>
      <c r="QHQ36" s="69"/>
      <c r="QHR36" s="69"/>
      <c r="QHS36" s="69"/>
      <c r="QHT36" s="69"/>
      <c r="QHU36" s="69"/>
      <c r="QHV36" s="69"/>
      <c r="QHW36" s="69"/>
      <c r="QHX36" s="69"/>
      <c r="QHY36" s="69"/>
      <c r="QHZ36" s="69"/>
      <c r="QIA36" s="69"/>
      <c r="QIB36" s="69"/>
      <c r="QIC36" s="69"/>
      <c r="QID36" s="69"/>
      <c r="QIE36" s="69"/>
      <c r="QIF36" s="69"/>
      <c r="QIG36" s="69"/>
      <c r="QIH36" s="69"/>
      <c r="QII36" s="69"/>
      <c r="QIJ36" s="69"/>
      <c r="QIK36" s="69"/>
      <c r="QIL36" s="69"/>
      <c r="QIM36" s="69"/>
      <c r="QIN36" s="69"/>
      <c r="QIO36" s="69"/>
      <c r="QIP36" s="69"/>
      <c r="QIQ36" s="69"/>
      <c r="QIR36" s="69"/>
      <c r="QIS36" s="69"/>
      <c r="QIT36" s="69"/>
      <c r="QIU36" s="69"/>
      <c r="QIV36" s="69"/>
      <c r="QIW36" s="69"/>
      <c r="QIX36" s="69"/>
      <c r="QIY36" s="69"/>
      <c r="QIZ36" s="69"/>
      <c r="QJA36" s="69"/>
      <c r="QJB36" s="69"/>
      <c r="QJC36" s="69"/>
      <c r="QJD36" s="69"/>
      <c r="QJE36" s="69"/>
      <c r="QJF36" s="69"/>
      <c r="QJG36" s="69"/>
      <c r="QJH36" s="69"/>
      <c r="QJI36" s="69"/>
      <c r="QJJ36" s="69"/>
      <c r="QJK36" s="69"/>
      <c r="QJL36" s="69"/>
      <c r="QJM36" s="69"/>
      <c r="QJN36" s="69"/>
      <c r="QJO36" s="69"/>
      <c r="QJP36" s="69"/>
      <c r="QJQ36" s="69"/>
      <c r="QJR36" s="69"/>
      <c r="QJS36" s="69"/>
      <c r="QJT36" s="69"/>
      <c r="QJU36" s="69"/>
      <c r="QJV36" s="69"/>
      <c r="QJW36" s="69"/>
      <c r="QJX36" s="69"/>
      <c r="QJY36" s="69"/>
      <c r="QJZ36" s="69"/>
      <c r="QKA36" s="69"/>
      <c r="QKB36" s="69"/>
      <c r="QKC36" s="69"/>
      <c r="QKD36" s="69"/>
      <c r="QKE36" s="69"/>
      <c r="QKF36" s="69"/>
      <c r="QKG36" s="69"/>
      <c r="QKH36" s="69"/>
      <c r="QKI36" s="69"/>
      <c r="QKJ36" s="69"/>
      <c r="QKK36" s="69"/>
      <c r="QKL36" s="69"/>
      <c r="QKM36" s="69"/>
      <c r="QKN36" s="69"/>
      <c r="QKO36" s="69"/>
      <c r="QKP36" s="69"/>
      <c r="QKQ36" s="69"/>
      <c r="QKR36" s="69"/>
      <c r="QKS36" s="69"/>
      <c r="QKT36" s="69"/>
      <c r="QKU36" s="69"/>
      <c r="QKV36" s="69"/>
      <c r="QKW36" s="69"/>
      <c r="QKX36" s="69"/>
      <c r="QKY36" s="69"/>
      <c r="QKZ36" s="69"/>
      <c r="QLA36" s="69"/>
      <c r="QLB36" s="69"/>
      <c r="QLC36" s="69"/>
      <c r="QLD36" s="69"/>
      <c r="QLE36" s="69"/>
      <c r="QLF36" s="69"/>
      <c r="QLG36" s="69"/>
      <c r="QLH36" s="69"/>
      <c r="QLI36" s="69"/>
      <c r="QLJ36" s="69"/>
      <c r="QLK36" s="69"/>
      <c r="QLL36" s="69"/>
      <c r="QLM36" s="69"/>
      <c r="QLN36" s="69"/>
      <c r="QLO36" s="69"/>
      <c r="QLP36" s="69"/>
      <c r="QLQ36" s="69"/>
      <c r="QLR36" s="69"/>
      <c r="QLS36" s="69"/>
      <c r="QLT36" s="69"/>
      <c r="QLU36" s="69"/>
      <c r="QLV36" s="69"/>
      <c r="QLW36" s="69"/>
      <c r="QLX36" s="69"/>
      <c r="QLY36" s="69"/>
      <c r="QLZ36" s="69"/>
      <c r="QMA36" s="69"/>
      <c r="QMB36" s="69"/>
      <c r="QMC36" s="69"/>
      <c r="QMD36" s="69"/>
      <c r="QME36" s="69"/>
      <c r="QMF36" s="69"/>
      <c r="QMG36" s="69"/>
      <c r="QMH36" s="69"/>
      <c r="QMI36" s="69"/>
      <c r="QMJ36" s="69"/>
      <c r="QMK36" s="69"/>
      <c r="QML36" s="69"/>
      <c r="QMM36" s="69"/>
      <c r="QMN36" s="69"/>
      <c r="QMO36" s="69"/>
      <c r="QMP36" s="69"/>
      <c r="QMQ36" s="69"/>
      <c r="QMR36" s="69"/>
      <c r="QMS36" s="69"/>
      <c r="QMT36" s="69"/>
      <c r="QMU36" s="69"/>
      <c r="QMV36" s="69"/>
      <c r="QMW36" s="69"/>
      <c r="QMX36" s="69"/>
      <c r="QMY36" s="69"/>
      <c r="QMZ36" s="69"/>
      <c r="QNA36" s="69"/>
      <c r="QNB36" s="69"/>
      <c r="QNC36" s="69"/>
      <c r="QND36" s="69"/>
      <c r="QNE36" s="69"/>
      <c r="QNF36" s="69"/>
      <c r="QNG36" s="69"/>
      <c r="QNH36" s="69"/>
      <c r="QNI36" s="69"/>
      <c r="QNJ36" s="69"/>
      <c r="QNK36" s="69"/>
      <c r="QNL36" s="69"/>
      <c r="QNM36" s="69"/>
      <c r="QNN36" s="69"/>
      <c r="QNO36" s="69"/>
      <c r="QNP36" s="69"/>
      <c r="QNQ36" s="69"/>
      <c r="QNR36" s="69"/>
      <c r="QNS36" s="69"/>
      <c r="QNT36" s="69"/>
      <c r="QNU36" s="69"/>
      <c r="QNV36" s="69"/>
      <c r="QNW36" s="69"/>
      <c r="QNX36" s="69"/>
      <c r="QNY36" s="69"/>
      <c r="QNZ36" s="69"/>
      <c r="QOA36" s="69"/>
      <c r="QOB36" s="69"/>
      <c r="QOC36" s="69"/>
      <c r="QOD36" s="69"/>
      <c r="QOE36" s="69"/>
      <c r="QOF36" s="69"/>
      <c r="QOG36" s="69"/>
      <c r="QOH36" s="69"/>
      <c r="QOI36" s="69"/>
      <c r="QOJ36" s="69"/>
      <c r="QOK36" s="69"/>
      <c r="QOL36" s="69"/>
      <c r="QOM36" s="69"/>
      <c r="QON36" s="69"/>
      <c r="QOO36" s="69"/>
      <c r="QOP36" s="69"/>
      <c r="QOQ36" s="69"/>
      <c r="QOR36" s="69"/>
      <c r="QOS36" s="69"/>
      <c r="QOT36" s="69"/>
      <c r="QOU36" s="69"/>
      <c r="QOV36" s="69"/>
      <c r="QOW36" s="69"/>
      <c r="QOX36" s="69"/>
      <c r="QOY36" s="69"/>
      <c r="QOZ36" s="69"/>
      <c r="QPA36" s="69"/>
      <c r="QPB36" s="69"/>
      <c r="QPC36" s="69"/>
      <c r="QPD36" s="69"/>
      <c r="QPE36" s="69"/>
      <c r="QPF36" s="69"/>
      <c r="QPG36" s="69"/>
      <c r="QPH36" s="69"/>
      <c r="QPI36" s="69"/>
      <c r="QPJ36" s="69"/>
      <c r="QPK36" s="69"/>
      <c r="QPL36" s="69"/>
      <c r="QPM36" s="69"/>
      <c r="QPN36" s="69"/>
      <c r="QPO36" s="69"/>
      <c r="QPP36" s="69"/>
      <c r="QPQ36" s="69"/>
      <c r="QPR36" s="69"/>
      <c r="QPS36" s="69"/>
      <c r="QPT36" s="69"/>
      <c r="QPU36" s="69"/>
      <c r="QPV36" s="69"/>
      <c r="QPW36" s="69"/>
      <c r="QPX36" s="69"/>
      <c r="QPY36" s="69"/>
      <c r="QPZ36" s="69"/>
      <c r="QQA36" s="69"/>
      <c r="QQB36" s="69"/>
      <c r="QQC36" s="69"/>
      <c r="QQD36" s="69"/>
      <c r="QQE36" s="69"/>
      <c r="QQF36" s="69"/>
      <c r="QQG36" s="69"/>
      <c r="QQH36" s="69"/>
      <c r="QQI36" s="69"/>
      <c r="QQJ36" s="69"/>
      <c r="QQK36" s="69"/>
      <c r="QQL36" s="69"/>
      <c r="QQM36" s="69"/>
      <c r="QQN36" s="69"/>
      <c r="QQO36" s="69"/>
      <c r="QQP36" s="69"/>
      <c r="QQQ36" s="69"/>
      <c r="QQR36" s="69"/>
      <c r="QQS36" s="69"/>
      <c r="QQT36" s="69"/>
      <c r="QQU36" s="69"/>
      <c r="QQV36" s="69"/>
      <c r="QQW36" s="69"/>
      <c r="QQX36" s="69"/>
      <c r="QQY36" s="69"/>
      <c r="QQZ36" s="69"/>
      <c r="QRA36" s="69"/>
      <c r="QRB36" s="69"/>
      <c r="QRC36" s="69"/>
      <c r="QRD36" s="69"/>
      <c r="QRE36" s="69"/>
      <c r="QRF36" s="69"/>
      <c r="QRG36" s="69"/>
      <c r="QRH36" s="69"/>
      <c r="QRI36" s="69"/>
      <c r="QRJ36" s="69"/>
      <c r="QRK36" s="69"/>
      <c r="QRL36" s="69"/>
      <c r="QRM36" s="69"/>
      <c r="QRN36" s="69"/>
      <c r="QRO36" s="69"/>
      <c r="QRP36" s="69"/>
      <c r="QRQ36" s="69"/>
      <c r="QRR36" s="69"/>
      <c r="QRS36" s="69"/>
      <c r="QRT36" s="69"/>
      <c r="QRU36" s="69"/>
      <c r="QRV36" s="69"/>
      <c r="QRW36" s="69"/>
      <c r="QRX36" s="69"/>
      <c r="QRY36" s="69"/>
      <c r="QRZ36" s="69"/>
      <c r="QSA36" s="69"/>
      <c r="QSB36" s="69"/>
      <c r="QSC36" s="69"/>
      <c r="QSD36" s="69"/>
      <c r="QSE36" s="69"/>
      <c r="QSF36" s="69"/>
      <c r="QSG36" s="69"/>
      <c r="QSH36" s="69"/>
      <c r="QSI36" s="69"/>
      <c r="QSJ36" s="69"/>
      <c r="QSK36" s="69"/>
      <c r="QSL36" s="69"/>
      <c r="QSM36" s="69"/>
      <c r="QSN36" s="69"/>
      <c r="QSO36" s="69"/>
      <c r="QSP36" s="69"/>
      <c r="QSQ36" s="69"/>
      <c r="QSR36" s="69"/>
      <c r="QSS36" s="69"/>
      <c r="QST36" s="69"/>
      <c r="QSU36" s="69"/>
      <c r="QSV36" s="69"/>
      <c r="QSW36" s="69"/>
      <c r="QSX36" s="69"/>
      <c r="QSY36" s="69"/>
      <c r="QSZ36" s="69"/>
      <c r="QTA36" s="69"/>
      <c r="QTB36" s="69"/>
      <c r="QTC36" s="69"/>
      <c r="QTD36" s="69"/>
      <c r="QTE36" s="69"/>
      <c r="QTF36" s="69"/>
      <c r="QTG36" s="69"/>
      <c r="QTH36" s="69"/>
      <c r="QTI36" s="69"/>
      <c r="QTJ36" s="69"/>
      <c r="QTK36" s="69"/>
      <c r="QTL36" s="69"/>
      <c r="QTM36" s="69"/>
      <c r="QTN36" s="69"/>
      <c r="QTO36" s="69"/>
      <c r="QTP36" s="69"/>
      <c r="QTQ36" s="69"/>
      <c r="QTR36" s="69"/>
      <c r="QTS36" s="69"/>
      <c r="QTT36" s="69"/>
      <c r="QTU36" s="69"/>
      <c r="QTV36" s="69"/>
      <c r="QTW36" s="69"/>
      <c r="QTX36" s="69"/>
      <c r="QTY36" s="69"/>
      <c r="QTZ36" s="69"/>
      <c r="QUA36" s="69"/>
      <c r="QUB36" s="69"/>
      <c r="QUC36" s="69"/>
      <c r="QUD36" s="69"/>
      <c r="QUE36" s="69"/>
      <c r="QUF36" s="69"/>
      <c r="QUG36" s="69"/>
      <c r="QUH36" s="69"/>
      <c r="QUI36" s="69"/>
      <c r="QUJ36" s="69"/>
      <c r="QUK36" s="69"/>
      <c r="QUL36" s="69"/>
      <c r="QUM36" s="69"/>
      <c r="QUN36" s="69"/>
      <c r="QUO36" s="69"/>
      <c r="QUP36" s="69"/>
      <c r="QUQ36" s="69"/>
      <c r="QUR36" s="69"/>
      <c r="QUS36" s="69"/>
      <c r="QUT36" s="69"/>
      <c r="QUU36" s="69"/>
      <c r="QUV36" s="69"/>
      <c r="QUW36" s="69"/>
      <c r="QUX36" s="69"/>
      <c r="QUY36" s="69"/>
      <c r="QUZ36" s="69"/>
      <c r="QVA36" s="69"/>
      <c r="QVB36" s="69"/>
      <c r="QVC36" s="69"/>
      <c r="QVD36" s="69"/>
      <c r="QVE36" s="69"/>
      <c r="QVF36" s="69"/>
      <c r="QVG36" s="69"/>
      <c r="QVH36" s="69"/>
      <c r="QVI36" s="69"/>
      <c r="QVJ36" s="69"/>
      <c r="QVK36" s="69"/>
      <c r="QVL36" s="69"/>
      <c r="QVM36" s="69"/>
      <c r="QVN36" s="69"/>
      <c r="QVO36" s="69"/>
      <c r="QVP36" s="69"/>
      <c r="QVQ36" s="69"/>
      <c r="QVR36" s="69"/>
      <c r="QVS36" s="69"/>
      <c r="QVT36" s="69"/>
      <c r="QVU36" s="69"/>
      <c r="QVV36" s="69"/>
      <c r="QVW36" s="69"/>
      <c r="QVX36" s="69"/>
      <c r="QVY36" s="69"/>
      <c r="QVZ36" s="69"/>
      <c r="QWA36" s="69"/>
      <c r="QWB36" s="69"/>
      <c r="QWC36" s="69"/>
      <c r="QWD36" s="69"/>
      <c r="QWE36" s="69"/>
      <c r="QWF36" s="69"/>
      <c r="QWG36" s="69"/>
      <c r="QWH36" s="69"/>
      <c r="QWI36" s="69"/>
      <c r="QWJ36" s="69"/>
      <c r="QWK36" s="69"/>
      <c r="QWL36" s="69"/>
      <c r="QWM36" s="69"/>
      <c r="QWN36" s="69"/>
      <c r="QWO36" s="69"/>
      <c r="QWP36" s="69"/>
      <c r="QWQ36" s="69"/>
      <c r="QWR36" s="69"/>
      <c r="QWS36" s="69"/>
      <c r="QWT36" s="69"/>
      <c r="QWU36" s="69"/>
      <c r="QWV36" s="69"/>
      <c r="QWW36" s="69"/>
      <c r="QWX36" s="69"/>
      <c r="QWY36" s="69"/>
      <c r="QWZ36" s="69"/>
      <c r="QXA36" s="69"/>
      <c r="QXB36" s="69"/>
      <c r="QXC36" s="69"/>
      <c r="QXD36" s="69"/>
      <c r="QXE36" s="69"/>
      <c r="QXF36" s="69"/>
      <c r="QXG36" s="69"/>
      <c r="QXH36" s="69"/>
      <c r="QXI36" s="69"/>
      <c r="QXJ36" s="69"/>
      <c r="QXK36" s="69"/>
      <c r="QXL36" s="69"/>
      <c r="QXM36" s="69"/>
      <c r="QXN36" s="69"/>
      <c r="QXO36" s="69"/>
      <c r="QXP36" s="69"/>
      <c r="QXQ36" s="69"/>
      <c r="QXR36" s="69"/>
      <c r="QXS36" s="69"/>
      <c r="QXT36" s="69"/>
      <c r="QXU36" s="69"/>
      <c r="QXV36" s="69"/>
      <c r="QXW36" s="69"/>
      <c r="QXX36" s="69"/>
      <c r="QXY36" s="69"/>
      <c r="QXZ36" s="69"/>
      <c r="QYA36" s="69"/>
      <c r="QYB36" s="69"/>
      <c r="QYC36" s="69"/>
      <c r="QYD36" s="69"/>
      <c r="QYE36" s="69"/>
      <c r="QYF36" s="69"/>
      <c r="QYG36" s="69"/>
      <c r="QYH36" s="69"/>
      <c r="QYI36" s="69"/>
      <c r="QYJ36" s="69"/>
      <c r="QYK36" s="69"/>
      <c r="QYL36" s="69"/>
      <c r="QYM36" s="69"/>
      <c r="QYN36" s="69"/>
      <c r="QYO36" s="69"/>
      <c r="QYP36" s="69"/>
      <c r="QYQ36" s="69"/>
      <c r="QYR36" s="69"/>
      <c r="QYS36" s="69"/>
      <c r="QYT36" s="69"/>
      <c r="QYU36" s="69"/>
      <c r="QYV36" s="69"/>
      <c r="QYW36" s="69"/>
      <c r="QYX36" s="69"/>
      <c r="QYY36" s="69"/>
      <c r="QYZ36" s="69"/>
      <c r="QZA36" s="69"/>
      <c r="QZB36" s="69"/>
      <c r="QZC36" s="69"/>
      <c r="QZD36" s="69"/>
      <c r="QZE36" s="69"/>
      <c r="QZF36" s="69"/>
      <c r="QZG36" s="69"/>
      <c r="QZH36" s="69"/>
      <c r="QZI36" s="69"/>
      <c r="QZJ36" s="69"/>
      <c r="QZK36" s="69"/>
      <c r="QZL36" s="69"/>
      <c r="QZM36" s="69"/>
      <c r="QZN36" s="69"/>
      <c r="QZO36" s="69"/>
      <c r="QZP36" s="69"/>
      <c r="QZQ36" s="69"/>
      <c r="QZR36" s="69"/>
      <c r="QZS36" s="69"/>
      <c r="QZT36" s="69"/>
      <c r="QZU36" s="69"/>
      <c r="QZV36" s="69"/>
      <c r="QZW36" s="69"/>
      <c r="QZX36" s="69"/>
      <c r="QZY36" s="69"/>
      <c r="QZZ36" s="69"/>
      <c r="RAA36" s="69"/>
      <c r="RAB36" s="69"/>
      <c r="RAC36" s="69"/>
      <c r="RAD36" s="69"/>
      <c r="RAE36" s="69"/>
      <c r="RAF36" s="69"/>
      <c r="RAG36" s="69"/>
      <c r="RAH36" s="69"/>
      <c r="RAI36" s="69"/>
      <c r="RAJ36" s="69"/>
      <c r="RAK36" s="69"/>
      <c r="RAL36" s="69"/>
      <c r="RAM36" s="69"/>
      <c r="RAN36" s="69"/>
      <c r="RAO36" s="69"/>
      <c r="RAP36" s="69"/>
      <c r="RAQ36" s="69"/>
      <c r="RAR36" s="69"/>
      <c r="RAS36" s="69"/>
      <c r="RAT36" s="69"/>
      <c r="RAU36" s="69"/>
      <c r="RAV36" s="69"/>
      <c r="RAW36" s="69"/>
      <c r="RAX36" s="69"/>
      <c r="RAY36" s="69"/>
      <c r="RAZ36" s="69"/>
      <c r="RBA36" s="69"/>
      <c r="RBB36" s="69"/>
      <c r="RBC36" s="69"/>
      <c r="RBD36" s="69"/>
      <c r="RBE36" s="69"/>
      <c r="RBF36" s="69"/>
      <c r="RBG36" s="69"/>
      <c r="RBH36" s="69"/>
      <c r="RBI36" s="69"/>
      <c r="RBJ36" s="69"/>
      <c r="RBK36" s="69"/>
      <c r="RBL36" s="69"/>
      <c r="RBM36" s="69"/>
      <c r="RBN36" s="69"/>
      <c r="RBO36" s="69"/>
      <c r="RBP36" s="69"/>
      <c r="RBQ36" s="69"/>
      <c r="RBR36" s="69"/>
      <c r="RBS36" s="69"/>
      <c r="RBT36" s="69"/>
      <c r="RBU36" s="69"/>
      <c r="RBV36" s="69"/>
      <c r="RBW36" s="69"/>
      <c r="RBX36" s="69"/>
      <c r="RBY36" s="69"/>
      <c r="RBZ36" s="69"/>
      <c r="RCA36" s="69"/>
      <c r="RCB36" s="69"/>
      <c r="RCC36" s="69"/>
      <c r="RCD36" s="69"/>
      <c r="RCE36" s="69"/>
      <c r="RCF36" s="69"/>
      <c r="RCG36" s="69"/>
      <c r="RCH36" s="69"/>
      <c r="RCI36" s="69"/>
      <c r="RCJ36" s="69"/>
      <c r="RCK36" s="69"/>
      <c r="RCL36" s="69"/>
      <c r="RCM36" s="69"/>
      <c r="RCN36" s="69"/>
      <c r="RCO36" s="69"/>
      <c r="RCP36" s="69"/>
      <c r="RCQ36" s="69"/>
      <c r="RCR36" s="69"/>
      <c r="RCS36" s="69"/>
      <c r="RCT36" s="69"/>
      <c r="RCU36" s="69"/>
      <c r="RCV36" s="69"/>
      <c r="RCW36" s="69"/>
      <c r="RCX36" s="69"/>
      <c r="RCY36" s="69"/>
      <c r="RCZ36" s="69"/>
      <c r="RDA36" s="69"/>
      <c r="RDB36" s="69"/>
      <c r="RDC36" s="69"/>
      <c r="RDD36" s="69"/>
      <c r="RDE36" s="69"/>
      <c r="RDF36" s="69"/>
      <c r="RDG36" s="69"/>
      <c r="RDH36" s="69"/>
      <c r="RDI36" s="69"/>
      <c r="RDJ36" s="69"/>
      <c r="RDK36" s="69"/>
      <c r="RDL36" s="69"/>
      <c r="RDM36" s="69"/>
      <c r="RDN36" s="69"/>
      <c r="RDO36" s="69"/>
      <c r="RDP36" s="69"/>
      <c r="RDQ36" s="69"/>
      <c r="RDR36" s="69"/>
      <c r="RDS36" s="69"/>
      <c r="RDT36" s="69"/>
      <c r="RDU36" s="69"/>
      <c r="RDV36" s="69"/>
      <c r="RDW36" s="69"/>
      <c r="RDX36" s="69"/>
      <c r="RDY36" s="69"/>
      <c r="RDZ36" s="69"/>
      <c r="REA36" s="69"/>
      <c r="REB36" s="69"/>
      <c r="REC36" s="69"/>
      <c r="RED36" s="69"/>
      <c r="REE36" s="69"/>
      <c r="REF36" s="69"/>
      <c r="REG36" s="69"/>
      <c r="REH36" s="69"/>
      <c r="REI36" s="69"/>
      <c r="REJ36" s="69"/>
      <c r="REK36" s="69"/>
      <c r="REL36" s="69"/>
      <c r="REM36" s="69"/>
      <c r="REN36" s="69"/>
      <c r="REO36" s="69"/>
      <c r="REP36" s="69"/>
      <c r="REQ36" s="69"/>
      <c r="RER36" s="69"/>
      <c r="RES36" s="69"/>
      <c r="RET36" s="69"/>
      <c r="REU36" s="69"/>
      <c r="REV36" s="69"/>
      <c r="REW36" s="69"/>
      <c r="REX36" s="69"/>
      <c r="REY36" s="69"/>
      <c r="REZ36" s="69"/>
      <c r="RFA36" s="69"/>
      <c r="RFB36" s="69"/>
      <c r="RFC36" s="69"/>
      <c r="RFD36" s="69"/>
      <c r="RFE36" s="69"/>
      <c r="RFF36" s="69"/>
      <c r="RFG36" s="69"/>
      <c r="RFH36" s="69"/>
      <c r="RFI36" s="69"/>
      <c r="RFJ36" s="69"/>
      <c r="RFK36" s="69"/>
      <c r="RFL36" s="69"/>
      <c r="RFM36" s="69"/>
      <c r="RFN36" s="69"/>
      <c r="RFO36" s="69"/>
      <c r="RFP36" s="69"/>
      <c r="RFQ36" s="69"/>
      <c r="RFR36" s="69"/>
      <c r="RFS36" s="69"/>
      <c r="RFT36" s="69"/>
      <c r="RFU36" s="69"/>
      <c r="RFV36" s="69"/>
      <c r="RFW36" s="69"/>
      <c r="RFX36" s="69"/>
      <c r="RFY36" s="69"/>
      <c r="RFZ36" s="69"/>
      <c r="RGA36" s="69"/>
      <c r="RGB36" s="69"/>
      <c r="RGC36" s="69"/>
      <c r="RGD36" s="69"/>
      <c r="RGE36" s="69"/>
      <c r="RGF36" s="69"/>
      <c r="RGG36" s="69"/>
      <c r="RGH36" s="69"/>
      <c r="RGI36" s="69"/>
      <c r="RGJ36" s="69"/>
      <c r="RGK36" s="69"/>
      <c r="RGL36" s="69"/>
      <c r="RGM36" s="69"/>
      <c r="RGN36" s="69"/>
      <c r="RGO36" s="69"/>
      <c r="RGP36" s="69"/>
      <c r="RGQ36" s="69"/>
      <c r="RGR36" s="69"/>
      <c r="RGS36" s="69"/>
      <c r="RGT36" s="69"/>
      <c r="RGU36" s="69"/>
      <c r="RGV36" s="69"/>
      <c r="RGW36" s="69"/>
      <c r="RGX36" s="69"/>
      <c r="RGY36" s="69"/>
      <c r="RGZ36" s="69"/>
      <c r="RHA36" s="69"/>
      <c r="RHB36" s="69"/>
      <c r="RHC36" s="69"/>
      <c r="RHD36" s="69"/>
      <c r="RHE36" s="69"/>
      <c r="RHF36" s="69"/>
      <c r="RHG36" s="69"/>
      <c r="RHH36" s="69"/>
      <c r="RHI36" s="69"/>
      <c r="RHJ36" s="69"/>
      <c r="RHK36" s="69"/>
      <c r="RHL36" s="69"/>
      <c r="RHM36" s="69"/>
      <c r="RHN36" s="69"/>
      <c r="RHO36" s="69"/>
      <c r="RHP36" s="69"/>
      <c r="RHQ36" s="69"/>
      <c r="RHR36" s="69"/>
      <c r="RHS36" s="69"/>
      <c r="RHT36" s="69"/>
      <c r="RHU36" s="69"/>
      <c r="RHV36" s="69"/>
      <c r="RHW36" s="69"/>
      <c r="RHX36" s="69"/>
      <c r="RHY36" s="69"/>
      <c r="RHZ36" s="69"/>
      <c r="RIA36" s="69"/>
      <c r="RIB36" s="69"/>
      <c r="RIC36" s="69"/>
      <c r="RID36" s="69"/>
      <c r="RIE36" s="69"/>
      <c r="RIF36" s="69"/>
      <c r="RIG36" s="69"/>
      <c r="RIH36" s="69"/>
      <c r="RII36" s="69"/>
      <c r="RIJ36" s="69"/>
      <c r="RIK36" s="69"/>
      <c r="RIL36" s="69"/>
      <c r="RIM36" s="69"/>
      <c r="RIN36" s="69"/>
      <c r="RIO36" s="69"/>
      <c r="RIP36" s="69"/>
      <c r="RIQ36" s="69"/>
      <c r="RIR36" s="69"/>
      <c r="RIS36" s="69"/>
      <c r="RIT36" s="69"/>
      <c r="RIU36" s="69"/>
      <c r="RIV36" s="69"/>
      <c r="RIW36" s="69"/>
      <c r="RIX36" s="69"/>
      <c r="RIY36" s="69"/>
      <c r="RIZ36" s="69"/>
      <c r="RJA36" s="69"/>
      <c r="RJB36" s="69"/>
      <c r="RJC36" s="69"/>
      <c r="RJD36" s="69"/>
      <c r="RJE36" s="69"/>
      <c r="RJF36" s="69"/>
      <c r="RJG36" s="69"/>
      <c r="RJH36" s="69"/>
      <c r="RJI36" s="69"/>
      <c r="RJJ36" s="69"/>
      <c r="RJK36" s="69"/>
      <c r="RJL36" s="69"/>
      <c r="RJM36" s="69"/>
      <c r="RJN36" s="69"/>
      <c r="RJO36" s="69"/>
      <c r="RJP36" s="69"/>
      <c r="RJQ36" s="69"/>
      <c r="RJR36" s="69"/>
      <c r="RJS36" s="69"/>
      <c r="RJT36" s="69"/>
      <c r="RJU36" s="69"/>
      <c r="RJV36" s="69"/>
      <c r="RJW36" s="69"/>
      <c r="RJX36" s="69"/>
      <c r="RJY36" s="69"/>
      <c r="RJZ36" s="69"/>
      <c r="RKA36" s="69"/>
      <c r="RKB36" s="69"/>
      <c r="RKC36" s="69"/>
      <c r="RKD36" s="69"/>
      <c r="RKE36" s="69"/>
      <c r="RKF36" s="69"/>
      <c r="RKG36" s="69"/>
      <c r="RKH36" s="69"/>
      <c r="RKI36" s="69"/>
      <c r="RKJ36" s="69"/>
      <c r="RKK36" s="69"/>
      <c r="RKL36" s="69"/>
      <c r="RKM36" s="69"/>
      <c r="RKN36" s="69"/>
      <c r="RKO36" s="69"/>
      <c r="RKP36" s="69"/>
      <c r="RKQ36" s="69"/>
      <c r="RKR36" s="69"/>
      <c r="RKS36" s="69"/>
      <c r="RKT36" s="69"/>
      <c r="RKU36" s="69"/>
      <c r="RKV36" s="69"/>
      <c r="RKW36" s="69"/>
      <c r="RKX36" s="69"/>
      <c r="RKY36" s="69"/>
      <c r="RKZ36" s="69"/>
      <c r="RLA36" s="69"/>
      <c r="RLB36" s="69"/>
      <c r="RLC36" s="69"/>
      <c r="RLD36" s="69"/>
      <c r="RLE36" s="69"/>
      <c r="RLF36" s="69"/>
      <c r="RLG36" s="69"/>
      <c r="RLH36" s="69"/>
      <c r="RLI36" s="69"/>
      <c r="RLJ36" s="69"/>
      <c r="RLK36" s="69"/>
      <c r="RLL36" s="69"/>
      <c r="RLM36" s="69"/>
      <c r="RLN36" s="69"/>
      <c r="RLO36" s="69"/>
      <c r="RLP36" s="69"/>
      <c r="RLQ36" s="69"/>
      <c r="RLR36" s="69"/>
      <c r="RLS36" s="69"/>
      <c r="RLT36" s="69"/>
      <c r="RLU36" s="69"/>
      <c r="RLV36" s="69"/>
      <c r="RLW36" s="69"/>
      <c r="RLX36" s="69"/>
      <c r="RLY36" s="69"/>
      <c r="RLZ36" s="69"/>
      <c r="RMA36" s="69"/>
      <c r="RMB36" s="69"/>
      <c r="RMC36" s="69"/>
      <c r="RMD36" s="69"/>
      <c r="RME36" s="69"/>
      <c r="RMF36" s="69"/>
      <c r="RMG36" s="69"/>
      <c r="RMH36" s="69"/>
      <c r="RMI36" s="69"/>
      <c r="RMJ36" s="69"/>
      <c r="RMK36" s="69"/>
      <c r="RML36" s="69"/>
      <c r="RMM36" s="69"/>
      <c r="RMN36" s="69"/>
      <c r="RMO36" s="69"/>
      <c r="RMP36" s="69"/>
      <c r="RMQ36" s="69"/>
      <c r="RMR36" s="69"/>
      <c r="RMS36" s="69"/>
      <c r="RMT36" s="69"/>
      <c r="RMU36" s="69"/>
      <c r="RMV36" s="69"/>
      <c r="RMW36" s="69"/>
      <c r="RMX36" s="69"/>
      <c r="RMY36" s="69"/>
      <c r="RMZ36" s="69"/>
      <c r="RNA36" s="69"/>
      <c r="RNB36" s="69"/>
      <c r="RNC36" s="69"/>
      <c r="RND36" s="69"/>
      <c r="RNE36" s="69"/>
      <c r="RNF36" s="69"/>
      <c r="RNG36" s="69"/>
      <c r="RNH36" s="69"/>
      <c r="RNI36" s="69"/>
      <c r="RNJ36" s="69"/>
      <c r="RNK36" s="69"/>
      <c r="RNL36" s="69"/>
      <c r="RNM36" s="69"/>
      <c r="RNN36" s="69"/>
      <c r="RNO36" s="69"/>
      <c r="RNP36" s="69"/>
      <c r="RNQ36" s="69"/>
      <c r="RNR36" s="69"/>
      <c r="RNS36" s="69"/>
      <c r="RNT36" s="69"/>
      <c r="RNU36" s="69"/>
      <c r="RNV36" s="69"/>
      <c r="RNW36" s="69"/>
      <c r="RNX36" s="69"/>
      <c r="RNY36" s="69"/>
      <c r="RNZ36" s="69"/>
      <c r="ROA36" s="69"/>
      <c r="ROB36" s="69"/>
      <c r="ROC36" s="69"/>
      <c r="ROD36" s="69"/>
      <c r="ROE36" s="69"/>
      <c r="ROF36" s="69"/>
      <c r="ROG36" s="69"/>
      <c r="ROH36" s="69"/>
      <c r="ROI36" s="69"/>
      <c r="ROJ36" s="69"/>
      <c r="ROK36" s="69"/>
      <c r="ROL36" s="69"/>
      <c r="ROM36" s="69"/>
      <c r="RON36" s="69"/>
      <c r="ROO36" s="69"/>
      <c r="ROP36" s="69"/>
      <c r="ROQ36" s="69"/>
      <c r="ROR36" s="69"/>
      <c r="ROS36" s="69"/>
      <c r="ROT36" s="69"/>
      <c r="ROU36" s="69"/>
      <c r="ROV36" s="69"/>
      <c r="ROW36" s="69"/>
      <c r="ROX36" s="69"/>
      <c r="ROY36" s="69"/>
      <c r="ROZ36" s="69"/>
      <c r="RPA36" s="69"/>
      <c r="RPB36" s="69"/>
      <c r="RPC36" s="69"/>
      <c r="RPD36" s="69"/>
      <c r="RPE36" s="69"/>
      <c r="RPF36" s="69"/>
      <c r="RPG36" s="69"/>
      <c r="RPH36" s="69"/>
      <c r="RPI36" s="69"/>
      <c r="RPJ36" s="69"/>
      <c r="RPK36" s="69"/>
      <c r="RPL36" s="69"/>
      <c r="RPM36" s="69"/>
      <c r="RPN36" s="69"/>
      <c r="RPO36" s="69"/>
      <c r="RPP36" s="69"/>
      <c r="RPQ36" s="69"/>
      <c r="RPR36" s="69"/>
      <c r="RPS36" s="69"/>
      <c r="RPT36" s="69"/>
      <c r="RPU36" s="69"/>
      <c r="RPV36" s="69"/>
      <c r="RPW36" s="69"/>
      <c r="RPX36" s="69"/>
      <c r="RPY36" s="69"/>
      <c r="RPZ36" s="69"/>
      <c r="RQA36" s="69"/>
      <c r="RQB36" s="69"/>
      <c r="RQC36" s="69"/>
      <c r="RQD36" s="69"/>
      <c r="RQE36" s="69"/>
      <c r="RQF36" s="69"/>
      <c r="RQG36" s="69"/>
      <c r="RQH36" s="69"/>
      <c r="RQI36" s="69"/>
      <c r="RQJ36" s="69"/>
      <c r="RQK36" s="69"/>
      <c r="RQL36" s="69"/>
      <c r="RQM36" s="69"/>
      <c r="RQN36" s="69"/>
      <c r="RQO36" s="69"/>
      <c r="RQP36" s="69"/>
      <c r="RQQ36" s="69"/>
      <c r="RQR36" s="69"/>
      <c r="RQS36" s="69"/>
      <c r="RQT36" s="69"/>
      <c r="RQU36" s="69"/>
      <c r="RQV36" s="69"/>
      <c r="RQW36" s="69"/>
      <c r="RQX36" s="69"/>
      <c r="RQY36" s="69"/>
      <c r="RQZ36" s="69"/>
      <c r="RRA36" s="69"/>
      <c r="RRB36" s="69"/>
      <c r="RRC36" s="69"/>
      <c r="RRD36" s="69"/>
      <c r="RRE36" s="69"/>
      <c r="RRF36" s="69"/>
      <c r="RRG36" s="69"/>
      <c r="RRH36" s="69"/>
      <c r="RRI36" s="69"/>
      <c r="RRJ36" s="69"/>
      <c r="RRK36" s="69"/>
      <c r="RRL36" s="69"/>
      <c r="RRM36" s="69"/>
      <c r="RRN36" s="69"/>
      <c r="RRO36" s="69"/>
      <c r="RRP36" s="69"/>
      <c r="RRQ36" s="69"/>
      <c r="RRR36" s="69"/>
      <c r="RRS36" s="69"/>
      <c r="RRT36" s="69"/>
      <c r="RRU36" s="69"/>
      <c r="RRV36" s="69"/>
      <c r="RRW36" s="69"/>
      <c r="RRX36" s="69"/>
      <c r="RRY36" s="69"/>
      <c r="RRZ36" s="69"/>
      <c r="RSA36" s="69"/>
      <c r="RSB36" s="69"/>
      <c r="RSC36" s="69"/>
      <c r="RSD36" s="69"/>
      <c r="RSE36" s="69"/>
      <c r="RSF36" s="69"/>
      <c r="RSG36" s="69"/>
      <c r="RSH36" s="69"/>
      <c r="RSI36" s="69"/>
      <c r="RSJ36" s="69"/>
      <c r="RSK36" s="69"/>
      <c r="RSL36" s="69"/>
      <c r="RSM36" s="69"/>
      <c r="RSN36" s="69"/>
      <c r="RSO36" s="69"/>
      <c r="RSP36" s="69"/>
      <c r="RSQ36" s="69"/>
      <c r="RSR36" s="69"/>
      <c r="RSS36" s="69"/>
      <c r="RST36" s="69"/>
      <c r="RSU36" s="69"/>
      <c r="RSV36" s="69"/>
      <c r="RSW36" s="69"/>
      <c r="RSX36" s="69"/>
      <c r="RSY36" s="69"/>
      <c r="RSZ36" s="69"/>
      <c r="RTA36" s="69"/>
      <c r="RTB36" s="69"/>
      <c r="RTC36" s="69"/>
      <c r="RTD36" s="69"/>
      <c r="RTE36" s="69"/>
      <c r="RTF36" s="69"/>
      <c r="RTG36" s="69"/>
      <c r="RTH36" s="69"/>
      <c r="RTI36" s="69"/>
      <c r="RTJ36" s="69"/>
      <c r="RTK36" s="69"/>
      <c r="RTL36" s="69"/>
      <c r="RTM36" s="69"/>
      <c r="RTN36" s="69"/>
      <c r="RTO36" s="69"/>
      <c r="RTP36" s="69"/>
      <c r="RTQ36" s="69"/>
      <c r="RTR36" s="69"/>
      <c r="RTS36" s="69"/>
      <c r="RTT36" s="69"/>
      <c r="RTU36" s="69"/>
      <c r="RTV36" s="69"/>
      <c r="RTW36" s="69"/>
      <c r="RTX36" s="69"/>
      <c r="RTY36" s="69"/>
      <c r="RTZ36" s="69"/>
      <c r="RUA36" s="69"/>
      <c r="RUB36" s="69"/>
      <c r="RUC36" s="69"/>
      <c r="RUD36" s="69"/>
      <c r="RUE36" s="69"/>
      <c r="RUF36" s="69"/>
      <c r="RUG36" s="69"/>
      <c r="RUH36" s="69"/>
      <c r="RUI36" s="69"/>
      <c r="RUJ36" s="69"/>
      <c r="RUK36" s="69"/>
      <c r="RUL36" s="69"/>
      <c r="RUM36" s="69"/>
      <c r="RUN36" s="69"/>
      <c r="RUO36" s="69"/>
      <c r="RUP36" s="69"/>
      <c r="RUQ36" s="69"/>
      <c r="RUR36" s="69"/>
      <c r="RUS36" s="69"/>
      <c r="RUT36" s="69"/>
      <c r="RUU36" s="69"/>
      <c r="RUV36" s="69"/>
      <c r="RUW36" s="69"/>
      <c r="RUX36" s="69"/>
      <c r="RUY36" s="69"/>
      <c r="RUZ36" s="69"/>
      <c r="RVA36" s="69"/>
      <c r="RVB36" s="69"/>
      <c r="RVC36" s="69"/>
      <c r="RVD36" s="69"/>
      <c r="RVE36" s="69"/>
      <c r="RVF36" s="69"/>
      <c r="RVG36" s="69"/>
      <c r="RVH36" s="69"/>
      <c r="RVI36" s="69"/>
      <c r="RVJ36" s="69"/>
      <c r="RVK36" s="69"/>
      <c r="RVL36" s="69"/>
      <c r="RVM36" s="69"/>
      <c r="RVN36" s="69"/>
      <c r="RVO36" s="69"/>
      <c r="RVP36" s="69"/>
      <c r="RVQ36" s="69"/>
      <c r="RVR36" s="69"/>
      <c r="RVS36" s="69"/>
      <c r="RVT36" s="69"/>
      <c r="RVU36" s="69"/>
      <c r="RVV36" s="69"/>
      <c r="RVW36" s="69"/>
      <c r="RVX36" s="69"/>
      <c r="RVY36" s="69"/>
      <c r="RVZ36" s="69"/>
      <c r="RWA36" s="69"/>
      <c r="RWB36" s="69"/>
      <c r="RWC36" s="69"/>
      <c r="RWD36" s="69"/>
      <c r="RWE36" s="69"/>
      <c r="RWF36" s="69"/>
      <c r="RWG36" s="69"/>
      <c r="RWH36" s="69"/>
      <c r="RWI36" s="69"/>
      <c r="RWJ36" s="69"/>
      <c r="RWK36" s="69"/>
      <c r="RWL36" s="69"/>
      <c r="RWM36" s="69"/>
      <c r="RWN36" s="69"/>
      <c r="RWO36" s="69"/>
      <c r="RWP36" s="69"/>
      <c r="RWQ36" s="69"/>
      <c r="RWR36" s="69"/>
      <c r="RWS36" s="69"/>
      <c r="RWT36" s="69"/>
      <c r="RWU36" s="69"/>
      <c r="RWV36" s="69"/>
      <c r="RWW36" s="69"/>
      <c r="RWX36" s="69"/>
      <c r="RWY36" s="69"/>
      <c r="RWZ36" s="69"/>
      <c r="RXA36" s="69"/>
      <c r="RXB36" s="69"/>
      <c r="RXC36" s="69"/>
      <c r="RXD36" s="69"/>
      <c r="RXE36" s="69"/>
      <c r="RXF36" s="69"/>
      <c r="RXG36" s="69"/>
      <c r="RXH36" s="69"/>
      <c r="RXI36" s="69"/>
      <c r="RXJ36" s="69"/>
      <c r="RXK36" s="69"/>
      <c r="RXL36" s="69"/>
      <c r="RXM36" s="69"/>
      <c r="RXN36" s="69"/>
      <c r="RXO36" s="69"/>
      <c r="RXP36" s="69"/>
      <c r="RXQ36" s="69"/>
      <c r="RXR36" s="69"/>
      <c r="RXS36" s="69"/>
      <c r="RXT36" s="69"/>
      <c r="RXU36" s="69"/>
      <c r="RXV36" s="69"/>
      <c r="RXW36" s="69"/>
      <c r="RXX36" s="69"/>
      <c r="RXY36" s="69"/>
      <c r="RXZ36" s="69"/>
      <c r="RYA36" s="69"/>
      <c r="RYB36" s="69"/>
      <c r="RYC36" s="69"/>
      <c r="RYD36" s="69"/>
      <c r="RYE36" s="69"/>
      <c r="RYF36" s="69"/>
      <c r="RYG36" s="69"/>
      <c r="RYH36" s="69"/>
      <c r="RYI36" s="69"/>
      <c r="RYJ36" s="69"/>
      <c r="RYK36" s="69"/>
      <c r="RYL36" s="69"/>
      <c r="RYM36" s="69"/>
      <c r="RYN36" s="69"/>
      <c r="RYO36" s="69"/>
      <c r="RYP36" s="69"/>
      <c r="RYQ36" s="69"/>
      <c r="RYR36" s="69"/>
      <c r="RYS36" s="69"/>
      <c r="RYT36" s="69"/>
      <c r="RYU36" s="69"/>
      <c r="RYV36" s="69"/>
      <c r="RYW36" s="69"/>
      <c r="RYX36" s="69"/>
      <c r="RYY36" s="69"/>
      <c r="RYZ36" s="69"/>
      <c r="RZA36" s="69"/>
      <c r="RZB36" s="69"/>
      <c r="RZC36" s="69"/>
      <c r="RZD36" s="69"/>
      <c r="RZE36" s="69"/>
      <c r="RZF36" s="69"/>
      <c r="RZG36" s="69"/>
      <c r="RZH36" s="69"/>
      <c r="RZI36" s="69"/>
      <c r="RZJ36" s="69"/>
      <c r="RZK36" s="69"/>
      <c r="RZL36" s="69"/>
      <c r="RZM36" s="69"/>
      <c r="RZN36" s="69"/>
      <c r="RZO36" s="69"/>
      <c r="RZP36" s="69"/>
      <c r="RZQ36" s="69"/>
      <c r="RZR36" s="69"/>
      <c r="RZS36" s="69"/>
      <c r="RZT36" s="69"/>
      <c r="RZU36" s="69"/>
      <c r="RZV36" s="69"/>
      <c r="RZW36" s="69"/>
      <c r="RZX36" s="69"/>
      <c r="RZY36" s="69"/>
      <c r="RZZ36" s="69"/>
      <c r="SAA36" s="69"/>
      <c r="SAB36" s="69"/>
      <c r="SAC36" s="69"/>
      <c r="SAD36" s="69"/>
      <c r="SAE36" s="69"/>
      <c r="SAF36" s="69"/>
      <c r="SAG36" s="69"/>
      <c r="SAH36" s="69"/>
      <c r="SAI36" s="69"/>
      <c r="SAJ36" s="69"/>
      <c r="SAK36" s="69"/>
      <c r="SAL36" s="69"/>
      <c r="SAM36" s="69"/>
      <c r="SAN36" s="69"/>
      <c r="SAO36" s="69"/>
      <c r="SAP36" s="69"/>
      <c r="SAQ36" s="69"/>
      <c r="SAR36" s="69"/>
      <c r="SAS36" s="69"/>
      <c r="SAT36" s="69"/>
      <c r="SAU36" s="69"/>
      <c r="SAV36" s="69"/>
      <c r="SAW36" s="69"/>
      <c r="SAX36" s="69"/>
      <c r="SAY36" s="69"/>
      <c r="SAZ36" s="69"/>
      <c r="SBA36" s="69"/>
      <c r="SBB36" s="69"/>
      <c r="SBC36" s="69"/>
      <c r="SBD36" s="69"/>
      <c r="SBE36" s="69"/>
      <c r="SBF36" s="69"/>
      <c r="SBG36" s="69"/>
      <c r="SBH36" s="69"/>
      <c r="SBI36" s="69"/>
      <c r="SBJ36" s="69"/>
      <c r="SBK36" s="69"/>
      <c r="SBL36" s="69"/>
      <c r="SBM36" s="69"/>
      <c r="SBN36" s="69"/>
      <c r="SBO36" s="69"/>
      <c r="SBP36" s="69"/>
      <c r="SBQ36" s="69"/>
      <c r="SBR36" s="69"/>
      <c r="SBS36" s="69"/>
      <c r="SBT36" s="69"/>
      <c r="SBU36" s="69"/>
      <c r="SBV36" s="69"/>
      <c r="SBW36" s="69"/>
      <c r="SBX36" s="69"/>
      <c r="SBY36" s="69"/>
      <c r="SBZ36" s="69"/>
      <c r="SCA36" s="69"/>
      <c r="SCB36" s="69"/>
      <c r="SCC36" s="69"/>
      <c r="SCD36" s="69"/>
      <c r="SCE36" s="69"/>
      <c r="SCF36" s="69"/>
      <c r="SCG36" s="69"/>
      <c r="SCH36" s="69"/>
      <c r="SCI36" s="69"/>
      <c r="SCJ36" s="69"/>
      <c r="SCK36" s="69"/>
      <c r="SCL36" s="69"/>
      <c r="SCM36" s="69"/>
      <c r="SCN36" s="69"/>
      <c r="SCO36" s="69"/>
      <c r="SCP36" s="69"/>
      <c r="SCQ36" s="69"/>
      <c r="SCR36" s="69"/>
      <c r="SCS36" s="69"/>
      <c r="SCT36" s="69"/>
      <c r="SCU36" s="69"/>
      <c r="SCV36" s="69"/>
      <c r="SCW36" s="69"/>
      <c r="SCX36" s="69"/>
      <c r="SCY36" s="69"/>
      <c r="SCZ36" s="69"/>
      <c r="SDA36" s="69"/>
      <c r="SDB36" s="69"/>
      <c r="SDC36" s="69"/>
      <c r="SDD36" s="69"/>
      <c r="SDE36" s="69"/>
      <c r="SDF36" s="69"/>
      <c r="SDG36" s="69"/>
      <c r="SDH36" s="69"/>
      <c r="SDI36" s="69"/>
      <c r="SDJ36" s="69"/>
      <c r="SDK36" s="69"/>
      <c r="SDL36" s="69"/>
      <c r="SDM36" s="69"/>
      <c r="SDN36" s="69"/>
      <c r="SDO36" s="69"/>
      <c r="SDP36" s="69"/>
      <c r="SDQ36" s="69"/>
      <c r="SDR36" s="69"/>
      <c r="SDS36" s="69"/>
      <c r="SDT36" s="69"/>
      <c r="SDU36" s="69"/>
      <c r="SDV36" s="69"/>
      <c r="SDW36" s="69"/>
      <c r="SDX36" s="69"/>
      <c r="SDY36" s="69"/>
      <c r="SDZ36" s="69"/>
      <c r="SEA36" s="69"/>
      <c r="SEB36" s="69"/>
      <c r="SEC36" s="69"/>
      <c r="SED36" s="69"/>
      <c r="SEE36" s="69"/>
      <c r="SEF36" s="69"/>
      <c r="SEG36" s="69"/>
      <c r="SEH36" s="69"/>
      <c r="SEI36" s="69"/>
      <c r="SEJ36" s="69"/>
      <c r="SEK36" s="69"/>
      <c r="SEL36" s="69"/>
      <c r="SEM36" s="69"/>
      <c r="SEN36" s="69"/>
      <c r="SEO36" s="69"/>
      <c r="SEP36" s="69"/>
      <c r="SEQ36" s="69"/>
      <c r="SER36" s="69"/>
      <c r="SES36" s="69"/>
      <c r="SET36" s="69"/>
      <c r="SEU36" s="69"/>
      <c r="SEV36" s="69"/>
      <c r="SEW36" s="69"/>
      <c r="SEX36" s="69"/>
      <c r="SEY36" s="69"/>
      <c r="SEZ36" s="69"/>
      <c r="SFA36" s="69"/>
      <c r="SFB36" s="69"/>
      <c r="SFC36" s="69"/>
      <c r="SFD36" s="69"/>
      <c r="SFE36" s="69"/>
      <c r="SFF36" s="69"/>
      <c r="SFG36" s="69"/>
      <c r="SFH36" s="69"/>
      <c r="SFI36" s="69"/>
      <c r="SFJ36" s="69"/>
      <c r="SFK36" s="69"/>
      <c r="SFL36" s="69"/>
      <c r="SFM36" s="69"/>
      <c r="SFN36" s="69"/>
      <c r="SFO36" s="69"/>
      <c r="SFP36" s="69"/>
      <c r="SFQ36" s="69"/>
      <c r="SFR36" s="69"/>
      <c r="SFS36" s="69"/>
      <c r="SFT36" s="69"/>
      <c r="SFU36" s="69"/>
      <c r="SFV36" s="69"/>
      <c r="SFW36" s="69"/>
      <c r="SFX36" s="69"/>
      <c r="SFY36" s="69"/>
      <c r="SFZ36" s="69"/>
      <c r="SGA36" s="69"/>
      <c r="SGB36" s="69"/>
      <c r="SGC36" s="69"/>
      <c r="SGD36" s="69"/>
      <c r="SGE36" s="69"/>
      <c r="SGF36" s="69"/>
      <c r="SGG36" s="69"/>
      <c r="SGH36" s="69"/>
      <c r="SGI36" s="69"/>
      <c r="SGJ36" s="69"/>
      <c r="SGK36" s="69"/>
      <c r="SGL36" s="69"/>
      <c r="SGM36" s="69"/>
      <c r="SGN36" s="69"/>
      <c r="SGO36" s="69"/>
      <c r="SGP36" s="69"/>
      <c r="SGQ36" s="69"/>
      <c r="SGR36" s="69"/>
      <c r="SGS36" s="69"/>
      <c r="SGT36" s="69"/>
      <c r="SGU36" s="69"/>
      <c r="SGV36" s="69"/>
      <c r="SGW36" s="69"/>
      <c r="SGX36" s="69"/>
      <c r="SGY36" s="69"/>
      <c r="SGZ36" s="69"/>
      <c r="SHA36" s="69"/>
      <c r="SHB36" s="69"/>
      <c r="SHC36" s="69"/>
      <c r="SHD36" s="69"/>
      <c r="SHE36" s="69"/>
      <c r="SHF36" s="69"/>
      <c r="SHG36" s="69"/>
      <c r="SHH36" s="69"/>
      <c r="SHI36" s="69"/>
      <c r="SHJ36" s="69"/>
      <c r="SHK36" s="69"/>
      <c r="SHL36" s="69"/>
      <c r="SHM36" s="69"/>
      <c r="SHN36" s="69"/>
      <c r="SHO36" s="69"/>
      <c r="SHP36" s="69"/>
      <c r="SHQ36" s="69"/>
      <c r="SHR36" s="69"/>
      <c r="SHS36" s="69"/>
      <c r="SHT36" s="69"/>
      <c r="SHU36" s="69"/>
      <c r="SHV36" s="69"/>
      <c r="SHW36" s="69"/>
      <c r="SHX36" s="69"/>
      <c r="SHY36" s="69"/>
      <c r="SHZ36" s="69"/>
      <c r="SIA36" s="69"/>
      <c r="SIB36" s="69"/>
      <c r="SIC36" s="69"/>
      <c r="SID36" s="69"/>
      <c r="SIE36" s="69"/>
      <c r="SIF36" s="69"/>
      <c r="SIG36" s="69"/>
      <c r="SIH36" s="69"/>
      <c r="SII36" s="69"/>
      <c r="SIJ36" s="69"/>
      <c r="SIK36" s="69"/>
      <c r="SIL36" s="69"/>
      <c r="SIM36" s="69"/>
      <c r="SIN36" s="69"/>
      <c r="SIO36" s="69"/>
      <c r="SIP36" s="69"/>
      <c r="SIQ36" s="69"/>
      <c r="SIR36" s="69"/>
      <c r="SIS36" s="69"/>
      <c r="SIT36" s="69"/>
      <c r="SIU36" s="69"/>
      <c r="SIV36" s="69"/>
      <c r="SIW36" s="69"/>
      <c r="SIX36" s="69"/>
      <c r="SIY36" s="69"/>
      <c r="SIZ36" s="69"/>
      <c r="SJA36" s="69"/>
      <c r="SJB36" s="69"/>
      <c r="SJC36" s="69"/>
      <c r="SJD36" s="69"/>
      <c r="SJE36" s="69"/>
      <c r="SJF36" s="69"/>
      <c r="SJG36" s="69"/>
      <c r="SJH36" s="69"/>
      <c r="SJI36" s="69"/>
      <c r="SJJ36" s="69"/>
      <c r="SJK36" s="69"/>
      <c r="SJL36" s="69"/>
      <c r="SJM36" s="69"/>
      <c r="SJN36" s="69"/>
      <c r="SJO36" s="69"/>
      <c r="SJP36" s="69"/>
      <c r="SJQ36" s="69"/>
      <c r="SJR36" s="69"/>
      <c r="SJS36" s="69"/>
      <c r="SJT36" s="69"/>
      <c r="SJU36" s="69"/>
      <c r="SJV36" s="69"/>
      <c r="SJW36" s="69"/>
      <c r="SJX36" s="69"/>
      <c r="SJY36" s="69"/>
      <c r="SJZ36" s="69"/>
      <c r="SKA36" s="69"/>
      <c r="SKB36" s="69"/>
      <c r="SKC36" s="69"/>
      <c r="SKD36" s="69"/>
      <c r="SKE36" s="69"/>
      <c r="SKF36" s="69"/>
      <c r="SKG36" s="69"/>
      <c r="SKH36" s="69"/>
      <c r="SKI36" s="69"/>
      <c r="SKJ36" s="69"/>
      <c r="SKK36" s="69"/>
      <c r="SKL36" s="69"/>
      <c r="SKM36" s="69"/>
      <c r="SKN36" s="69"/>
      <c r="SKO36" s="69"/>
      <c r="SKP36" s="69"/>
      <c r="SKQ36" s="69"/>
      <c r="SKR36" s="69"/>
      <c r="SKS36" s="69"/>
      <c r="SKT36" s="69"/>
      <c r="SKU36" s="69"/>
      <c r="SKV36" s="69"/>
      <c r="SKW36" s="69"/>
      <c r="SKX36" s="69"/>
      <c r="SKY36" s="69"/>
      <c r="SKZ36" s="69"/>
      <c r="SLA36" s="69"/>
      <c r="SLB36" s="69"/>
      <c r="SLC36" s="69"/>
      <c r="SLD36" s="69"/>
      <c r="SLE36" s="69"/>
      <c r="SLF36" s="69"/>
      <c r="SLG36" s="69"/>
      <c r="SLH36" s="69"/>
      <c r="SLI36" s="69"/>
      <c r="SLJ36" s="69"/>
      <c r="SLK36" s="69"/>
      <c r="SLL36" s="69"/>
      <c r="SLM36" s="69"/>
      <c r="SLN36" s="69"/>
      <c r="SLO36" s="69"/>
      <c r="SLP36" s="69"/>
      <c r="SLQ36" s="69"/>
      <c r="SLR36" s="69"/>
      <c r="SLS36" s="69"/>
      <c r="SLT36" s="69"/>
      <c r="SLU36" s="69"/>
      <c r="SLV36" s="69"/>
      <c r="SLW36" s="69"/>
      <c r="SLX36" s="69"/>
      <c r="SLY36" s="69"/>
      <c r="SLZ36" s="69"/>
      <c r="SMA36" s="69"/>
      <c r="SMB36" s="69"/>
      <c r="SMC36" s="69"/>
      <c r="SMD36" s="69"/>
      <c r="SME36" s="69"/>
      <c r="SMF36" s="69"/>
      <c r="SMG36" s="69"/>
      <c r="SMH36" s="69"/>
      <c r="SMI36" s="69"/>
      <c r="SMJ36" s="69"/>
      <c r="SMK36" s="69"/>
      <c r="SML36" s="69"/>
      <c r="SMM36" s="69"/>
      <c r="SMN36" s="69"/>
      <c r="SMO36" s="69"/>
      <c r="SMP36" s="69"/>
      <c r="SMQ36" s="69"/>
      <c r="SMR36" s="69"/>
      <c r="SMS36" s="69"/>
      <c r="SMT36" s="69"/>
      <c r="SMU36" s="69"/>
      <c r="SMV36" s="69"/>
      <c r="SMW36" s="69"/>
      <c r="SMX36" s="69"/>
      <c r="SMY36" s="69"/>
      <c r="SMZ36" s="69"/>
      <c r="SNA36" s="69"/>
      <c r="SNB36" s="69"/>
      <c r="SNC36" s="69"/>
      <c r="SND36" s="69"/>
      <c r="SNE36" s="69"/>
      <c r="SNF36" s="69"/>
      <c r="SNG36" s="69"/>
      <c r="SNH36" s="69"/>
      <c r="SNI36" s="69"/>
      <c r="SNJ36" s="69"/>
      <c r="SNK36" s="69"/>
      <c r="SNL36" s="69"/>
      <c r="SNM36" s="69"/>
      <c r="SNN36" s="69"/>
      <c r="SNO36" s="69"/>
      <c r="SNP36" s="69"/>
      <c r="SNQ36" s="69"/>
      <c r="SNR36" s="69"/>
      <c r="SNS36" s="69"/>
      <c r="SNT36" s="69"/>
      <c r="SNU36" s="69"/>
      <c r="SNV36" s="69"/>
      <c r="SNW36" s="69"/>
      <c r="SNX36" s="69"/>
      <c r="SNY36" s="69"/>
      <c r="SNZ36" s="69"/>
      <c r="SOA36" s="69"/>
      <c r="SOB36" s="69"/>
      <c r="SOC36" s="69"/>
      <c r="SOD36" s="69"/>
      <c r="SOE36" s="69"/>
      <c r="SOF36" s="69"/>
      <c r="SOG36" s="69"/>
      <c r="SOH36" s="69"/>
      <c r="SOI36" s="69"/>
      <c r="SOJ36" s="69"/>
      <c r="SOK36" s="69"/>
      <c r="SOL36" s="69"/>
      <c r="SOM36" s="69"/>
      <c r="SON36" s="69"/>
      <c r="SOO36" s="69"/>
      <c r="SOP36" s="69"/>
      <c r="SOQ36" s="69"/>
      <c r="SOR36" s="69"/>
      <c r="SOS36" s="69"/>
      <c r="SOT36" s="69"/>
      <c r="SOU36" s="69"/>
      <c r="SOV36" s="69"/>
      <c r="SOW36" s="69"/>
      <c r="SOX36" s="69"/>
      <c r="SOY36" s="69"/>
      <c r="SOZ36" s="69"/>
      <c r="SPA36" s="69"/>
      <c r="SPB36" s="69"/>
      <c r="SPC36" s="69"/>
      <c r="SPD36" s="69"/>
      <c r="SPE36" s="69"/>
      <c r="SPF36" s="69"/>
      <c r="SPG36" s="69"/>
      <c r="SPH36" s="69"/>
      <c r="SPI36" s="69"/>
      <c r="SPJ36" s="69"/>
      <c r="SPK36" s="69"/>
      <c r="SPL36" s="69"/>
      <c r="SPM36" s="69"/>
      <c r="SPN36" s="69"/>
      <c r="SPO36" s="69"/>
      <c r="SPP36" s="69"/>
      <c r="SPQ36" s="69"/>
      <c r="SPR36" s="69"/>
      <c r="SPS36" s="69"/>
      <c r="SPT36" s="69"/>
      <c r="SPU36" s="69"/>
      <c r="SPV36" s="69"/>
      <c r="SPW36" s="69"/>
      <c r="SPX36" s="69"/>
      <c r="SPY36" s="69"/>
      <c r="SPZ36" s="69"/>
      <c r="SQA36" s="69"/>
      <c r="SQB36" s="69"/>
      <c r="SQC36" s="69"/>
      <c r="SQD36" s="69"/>
      <c r="SQE36" s="69"/>
      <c r="SQF36" s="69"/>
      <c r="SQG36" s="69"/>
      <c r="SQH36" s="69"/>
      <c r="SQI36" s="69"/>
      <c r="SQJ36" s="69"/>
      <c r="SQK36" s="69"/>
      <c r="SQL36" s="69"/>
      <c r="SQM36" s="69"/>
      <c r="SQN36" s="69"/>
      <c r="SQO36" s="69"/>
      <c r="SQP36" s="69"/>
      <c r="SQQ36" s="69"/>
      <c r="SQR36" s="69"/>
      <c r="SQS36" s="69"/>
      <c r="SQT36" s="69"/>
      <c r="SQU36" s="69"/>
      <c r="SQV36" s="69"/>
      <c r="SQW36" s="69"/>
      <c r="SQX36" s="69"/>
      <c r="SQY36" s="69"/>
      <c r="SQZ36" s="69"/>
      <c r="SRA36" s="69"/>
      <c r="SRB36" s="69"/>
      <c r="SRC36" s="69"/>
      <c r="SRD36" s="69"/>
      <c r="SRE36" s="69"/>
      <c r="SRF36" s="69"/>
      <c r="SRG36" s="69"/>
      <c r="SRH36" s="69"/>
      <c r="SRI36" s="69"/>
      <c r="SRJ36" s="69"/>
      <c r="SRK36" s="69"/>
      <c r="SRL36" s="69"/>
      <c r="SRM36" s="69"/>
      <c r="SRN36" s="69"/>
      <c r="SRO36" s="69"/>
      <c r="SRP36" s="69"/>
      <c r="SRQ36" s="69"/>
      <c r="SRR36" s="69"/>
      <c r="SRS36" s="69"/>
      <c r="SRT36" s="69"/>
      <c r="SRU36" s="69"/>
      <c r="SRV36" s="69"/>
      <c r="SRW36" s="69"/>
      <c r="SRX36" s="69"/>
      <c r="SRY36" s="69"/>
      <c r="SRZ36" s="69"/>
      <c r="SSA36" s="69"/>
      <c r="SSB36" s="69"/>
      <c r="SSC36" s="69"/>
      <c r="SSD36" s="69"/>
      <c r="SSE36" s="69"/>
      <c r="SSF36" s="69"/>
      <c r="SSG36" s="69"/>
      <c r="SSH36" s="69"/>
      <c r="SSI36" s="69"/>
      <c r="SSJ36" s="69"/>
      <c r="SSK36" s="69"/>
      <c r="SSL36" s="69"/>
      <c r="SSM36" s="69"/>
      <c r="SSN36" s="69"/>
      <c r="SSO36" s="69"/>
      <c r="SSP36" s="69"/>
      <c r="SSQ36" s="69"/>
      <c r="SSR36" s="69"/>
      <c r="SSS36" s="69"/>
      <c r="SST36" s="69"/>
      <c r="SSU36" s="69"/>
      <c r="SSV36" s="69"/>
      <c r="SSW36" s="69"/>
      <c r="SSX36" s="69"/>
      <c r="SSY36" s="69"/>
      <c r="SSZ36" s="69"/>
      <c r="STA36" s="69"/>
      <c r="STB36" s="69"/>
      <c r="STC36" s="69"/>
      <c r="STD36" s="69"/>
      <c r="STE36" s="69"/>
      <c r="STF36" s="69"/>
      <c r="STG36" s="69"/>
      <c r="STH36" s="69"/>
      <c r="STI36" s="69"/>
      <c r="STJ36" s="69"/>
      <c r="STK36" s="69"/>
      <c r="STL36" s="69"/>
      <c r="STM36" s="69"/>
      <c r="STN36" s="69"/>
      <c r="STO36" s="69"/>
      <c r="STP36" s="69"/>
      <c r="STQ36" s="69"/>
      <c r="STR36" s="69"/>
      <c r="STS36" s="69"/>
      <c r="STT36" s="69"/>
      <c r="STU36" s="69"/>
      <c r="STV36" s="69"/>
      <c r="STW36" s="69"/>
      <c r="STX36" s="69"/>
      <c r="STY36" s="69"/>
      <c r="STZ36" s="69"/>
      <c r="SUA36" s="69"/>
      <c r="SUB36" s="69"/>
      <c r="SUC36" s="69"/>
      <c r="SUD36" s="69"/>
      <c r="SUE36" s="69"/>
      <c r="SUF36" s="69"/>
      <c r="SUG36" s="69"/>
      <c r="SUH36" s="69"/>
      <c r="SUI36" s="69"/>
      <c r="SUJ36" s="69"/>
      <c r="SUK36" s="69"/>
      <c r="SUL36" s="69"/>
      <c r="SUM36" s="69"/>
      <c r="SUN36" s="69"/>
      <c r="SUO36" s="69"/>
      <c r="SUP36" s="69"/>
      <c r="SUQ36" s="69"/>
      <c r="SUR36" s="69"/>
      <c r="SUS36" s="69"/>
      <c r="SUT36" s="69"/>
      <c r="SUU36" s="69"/>
      <c r="SUV36" s="69"/>
      <c r="SUW36" s="69"/>
      <c r="SUX36" s="69"/>
      <c r="SUY36" s="69"/>
      <c r="SUZ36" s="69"/>
      <c r="SVA36" s="69"/>
      <c r="SVB36" s="69"/>
      <c r="SVC36" s="69"/>
      <c r="SVD36" s="69"/>
      <c r="SVE36" s="69"/>
      <c r="SVF36" s="69"/>
      <c r="SVG36" s="69"/>
      <c r="SVH36" s="69"/>
      <c r="SVI36" s="69"/>
      <c r="SVJ36" s="69"/>
      <c r="SVK36" s="69"/>
      <c r="SVL36" s="69"/>
      <c r="SVM36" s="69"/>
      <c r="SVN36" s="69"/>
      <c r="SVO36" s="69"/>
      <c r="SVP36" s="69"/>
      <c r="SVQ36" s="69"/>
      <c r="SVR36" s="69"/>
      <c r="SVS36" s="69"/>
      <c r="SVT36" s="69"/>
      <c r="SVU36" s="69"/>
      <c r="SVV36" s="69"/>
      <c r="SVW36" s="69"/>
      <c r="SVX36" s="69"/>
      <c r="SVY36" s="69"/>
      <c r="SVZ36" s="69"/>
      <c r="SWA36" s="69"/>
      <c r="SWB36" s="69"/>
      <c r="SWC36" s="69"/>
      <c r="SWD36" s="69"/>
      <c r="SWE36" s="69"/>
      <c r="SWF36" s="69"/>
      <c r="SWG36" s="69"/>
      <c r="SWH36" s="69"/>
      <c r="SWI36" s="69"/>
      <c r="SWJ36" s="69"/>
      <c r="SWK36" s="69"/>
      <c r="SWL36" s="69"/>
      <c r="SWM36" s="69"/>
      <c r="SWN36" s="69"/>
      <c r="SWO36" s="69"/>
      <c r="SWP36" s="69"/>
      <c r="SWQ36" s="69"/>
      <c r="SWR36" s="69"/>
      <c r="SWS36" s="69"/>
      <c r="SWT36" s="69"/>
      <c r="SWU36" s="69"/>
      <c r="SWV36" s="69"/>
      <c r="SWW36" s="69"/>
      <c r="SWX36" s="69"/>
      <c r="SWY36" s="69"/>
      <c r="SWZ36" s="69"/>
      <c r="SXA36" s="69"/>
      <c r="SXB36" s="69"/>
      <c r="SXC36" s="69"/>
      <c r="SXD36" s="69"/>
      <c r="SXE36" s="69"/>
      <c r="SXF36" s="69"/>
      <c r="SXG36" s="69"/>
      <c r="SXH36" s="69"/>
      <c r="SXI36" s="69"/>
      <c r="SXJ36" s="69"/>
      <c r="SXK36" s="69"/>
      <c r="SXL36" s="69"/>
      <c r="SXM36" s="69"/>
      <c r="SXN36" s="69"/>
      <c r="SXO36" s="69"/>
      <c r="SXP36" s="69"/>
      <c r="SXQ36" s="69"/>
      <c r="SXR36" s="69"/>
      <c r="SXS36" s="69"/>
      <c r="SXT36" s="69"/>
      <c r="SXU36" s="69"/>
      <c r="SXV36" s="69"/>
      <c r="SXW36" s="69"/>
      <c r="SXX36" s="69"/>
      <c r="SXY36" s="69"/>
      <c r="SXZ36" s="69"/>
      <c r="SYA36" s="69"/>
      <c r="SYB36" s="69"/>
      <c r="SYC36" s="69"/>
      <c r="SYD36" s="69"/>
      <c r="SYE36" s="69"/>
      <c r="SYF36" s="69"/>
      <c r="SYG36" s="69"/>
      <c r="SYH36" s="69"/>
      <c r="SYI36" s="69"/>
      <c r="SYJ36" s="69"/>
      <c r="SYK36" s="69"/>
      <c r="SYL36" s="69"/>
      <c r="SYM36" s="69"/>
      <c r="SYN36" s="69"/>
      <c r="SYO36" s="69"/>
      <c r="SYP36" s="69"/>
      <c r="SYQ36" s="69"/>
      <c r="SYR36" s="69"/>
      <c r="SYS36" s="69"/>
      <c r="SYT36" s="69"/>
      <c r="SYU36" s="69"/>
      <c r="SYV36" s="69"/>
      <c r="SYW36" s="69"/>
      <c r="SYX36" s="69"/>
      <c r="SYY36" s="69"/>
      <c r="SYZ36" s="69"/>
      <c r="SZA36" s="69"/>
      <c r="SZB36" s="69"/>
      <c r="SZC36" s="69"/>
      <c r="SZD36" s="69"/>
      <c r="SZE36" s="69"/>
      <c r="SZF36" s="69"/>
      <c r="SZG36" s="69"/>
      <c r="SZH36" s="69"/>
      <c r="SZI36" s="69"/>
      <c r="SZJ36" s="69"/>
      <c r="SZK36" s="69"/>
      <c r="SZL36" s="69"/>
      <c r="SZM36" s="69"/>
      <c r="SZN36" s="69"/>
      <c r="SZO36" s="69"/>
      <c r="SZP36" s="69"/>
      <c r="SZQ36" s="69"/>
      <c r="SZR36" s="69"/>
      <c r="SZS36" s="69"/>
      <c r="SZT36" s="69"/>
      <c r="SZU36" s="69"/>
      <c r="SZV36" s="69"/>
      <c r="SZW36" s="69"/>
      <c r="SZX36" s="69"/>
      <c r="SZY36" s="69"/>
      <c r="SZZ36" s="69"/>
      <c r="TAA36" s="69"/>
      <c r="TAB36" s="69"/>
      <c r="TAC36" s="69"/>
      <c r="TAD36" s="69"/>
      <c r="TAE36" s="69"/>
      <c r="TAF36" s="69"/>
      <c r="TAG36" s="69"/>
      <c r="TAH36" s="69"/>
      <c r="TAI36" s="69"/>
      <c r="TAJ36" s="69"/>
      <c r="TAK36" s="69"/>
      <c r="TAL36" s="69"/>
      <c r="TAM36" s="69"/>
      <c r="TAN36" s="69"/>
      <c r="TAO36" s="69"/>
      <c r="TAP36" s="69"/>
      <c r="TAQ36" s="69"/>
      <c r="TAR36" s="69"/>
      <c r="TAS36" s="69"/>
      <c r="TAT36" s="69"/>
      <c r="TAU36" s="69"/>
      <c r="TAV36" s="69"/>
      <c r="TAW36" s="69"/>
      <c r="TAX36" s="69"/>
      <c r="TAY36" s="69"/>
      <c r="TAZ36" s="69"/>
      <c r="TBA36" s="69"/>
      <c r="TBB36" s="69"/>
      <c r="TBC36" s="69"/>
      <c r="TBD36" s="69"/>
      <c r="TBE36" s="69"/>
      <c r="TBF36" s="69"/>
      <c r="TBG36" s="69"/>
      <c r="TBH36" s="69"/>
      <c r="TBI36" s="69"/>
      <c r="TBJ36" s="69"/>
      <c r="TBK36" s="69"/>
      <c r="TBL36" s="69"/>
      <c r="TBM36" s="69"/>
      <c r="TBN36" s="69"/>
      <c r="TBO36" s="69"/>
      <c r="TBP36" s="69"/>
      <c r="TBQ36" s="69"/>
      <c r="TBR36" s="69"/>
      <c r="TBS36" s="69"/>
      <c r="TBT36" s="69"/>
      <c r="TBU36" s="69"/>
      <c r="TBV36" s="69"/>
      <c r="TBW36" s="69"/>
      <c r="TBX36" s="69"/>
      <c r="TBY36" s="69"/>
      <c r="TBZ36" s="69"/>
      <c r="TCA36" s="69"/>
      <c r="TCB36" s="69"/>
      <c r="TCC36" s="69"/>
      <c r="TCD36" s="69"/>
      <c r="TCE36" s="69"/>
      <c r="TCF36" s="69"/>
      <c r="TCG36" s="69"/>
      <c r="TCH36" s="69"/>
      <c r="TCI36" s="69"/>
      <c r="TCJ36" s="69"/>
      <c r="TCK36" s="69"/>
      <c r="TCL36" s="69"/>
      <c r="TCM36" s="69"/>
      <c r="TCN36" s="69"/>
      <c r="TCO36" s="69"/>
      <c r="TCP36" s="69"/>
      <c r="TCQ36" s="69"/>
      <c r="TCR36" s="69"/>
      <c r="TCS36" s="69"/>
      <c r="TCT36" s="69"/>
      <c r="TCU36" s="69"/>
      <c r="TCV36" s="69"/>
      <c r="TCW36" s="69"/>
      <c r="TCX36" s="69"/>
      <c r="TCY36" s="69"/>
      <c r="TCZ36" s="69"/>
      <c r="TDA36" s="69"/>
      <c r="TDB36" s="69"/>
      <c r="TDC36" s="69"/>
      <c r="TDD36" s="69"/>
      <c r="TDE36" s="69"/>
      <c r="TDF36" s="69"/>
      <c r="TDG36" s="69"/>
      <c r="TDH36" s="69"/>
      <c r="TDI36" s="69"/>
      <c r="TDJ36" s="69"/>
      <c r="TDK36" s="69"/>
      <c r="TDL36" s="69"/>
      <c r="TDM36" s="69"/>
      <c r="TDN36" s="69"/>
      <c r="TDO36" s="69"/>
      <c r="TDP36" s="69"/>
      <c r="TDQ36" s="69"/>
      <c r="TDR36" s="69"/>
      <c r="TDS36" s="69"/>
      <c r="TDT36" s="69"/>
      <c r="TDU36" s="69"/>
      <c r="TDV36" s="69"/>
      <c r="TDW36" s="69"/>
      <c r="TDX36" s="69"/>
      <c r="TDY36" s="69"/>
      <c r="TDZ36" s="69"/>
      <c r="TEA36" s="69"/>
      <c r="TEB36" s="69"/>
      <c r="TEC36" s="69"/>
      <c r="TED36" s="69"/>
      <c r="TEE36" s="69"/>
      <c r="TEF36" s="69"/>
      <c r="TEG36" s="69"/>
      <c r="TEH36" s="69"/>
      <c r="TEI36" s="69"/>
      <c r="TEJ36" s="69"/>
      <c r="TEK36" s="69"/>
      <c r="TEL36" s="69"/>
      <c r="TEM36" s="69"/>
      <c r="TEN36" s="69"/>
      <c r="TEO36" s="69"/>
      <c r="TEP36" s="69"/>
      <c r="TEQ36" s="69"/>
      <c r="TER36" s="69"/>
      <c r="TES36" s="69"/>
      <c r="TET36" s="69"/>
      <c r="TEU36" s="69"/>
      <c r="TEV36" s="69"/>
      <c r="TEW36" s="69"/>
      <c r="TEX36" s="69"/>
      <c r="TEY36" s="69"/>
      <c r="TEZ36" s="69"/>
      <c r="TFA36" s="69"/>
      <c r="TFB36" s="69"/>
      <c r="TFC36" s="69"/>
      <c r="TFD36" s="69"/>
      <c r="TFE36" s="69"/>
      <c r="TFF36" s="69"/>
      <c r="TFG36" s="69"/>
      <c r="TFH36" s="69"/>
      <c r="TFI36" s="69"/>
      <c r="TFJ36" s="69"/>
      <c r="TFK36" s="69"/>
      <c r="TFL36" s="69"/>
      <c r="TFM36" s="69"/>
      <c r="TFN36" s="69"/>
      <c r="TFO36" s="69"/>
      <c r="TFP36" s="69"/>
      <c r="TFQ36" s="69"/>
      <c r="TFR36" s="69"/>
      <c r="TFS36" s="69"/>
      <c r="TFT36" s="69"/>
      <c r="TFU36" s="69"/>
      <c r="TFV36" s="69"/>
      <c r="TFW36" s="69"/>
      <c r="TFX36" s="69"/>
      <c r="TFY36" s="69"/>
      <c r="TFZ36" s="69"/>
      <c r="TGA36" s="69"/>
      <c r="TGB36" s="69"/>
      <c r="TGC36" s="69"/>
      <c r="TGD36" s="69"/>
      <c r="TGE36" s="69"/>
      <c r="TGF36" s="69"/>
      <c r="TGG36" s="69"/>
      <c r="TGH36" s="69"/>
      <c r="TGI36" s="69"/>
      <c r="TGJ36" s="69"/>
      <c r="TGK36" s="69"/>
      <c r="TGL36" s="69"/>
      <c r="TGM36" s="69"/>
      <c r="TGN36" s="69"/>
      <c r="TGO36" s="69"/>
      <c r="TGP36" s="69"/>
      <c r="TGQ36" s="69"/>
      <c r="TGR36" s="69"/>
      <c r="TGS36" s="69"/>
      <c r="TGT36" s="69"/>
      <c r="TGU36" s="69"/>
      <c r="TGV36" s="69"/>
      <c r="TGW36" s="69"/>
      <c r="TGX36" s="69"/>
      <c r="TGY36" s="69"/>
      <c r="TGZ36" s="69"/>
      <c r="THA36" s="69"/>
      <c r="THB36" s="69"/>
      <c r="THC36" s="69"/>
      <c r="THD36" s="69"/>
      <c r="THE36" s="69"/>
      <c r="THF36" s="69"/>
      <c r="THG36" s="69"/>
      <c r="THH36" s="69"/>
      <c r="THI36" s="69"/>
      <c r="THJ36" s="69"/>
      <c r="THK36" s="69"/>
      <c r="THL36" s="69"/>
      <c r="THM36" s="69"/>
      <c r="THN36" s="69"/>
      <c r="THO36" s="69"/>
      <c r="THP36" s="69"/>
      <c r="THQ36" s="69"/>
      <c r="THR36" s="69"/>
      <c r="THS36" s="69"/>
      <c r="THT36" s="69"/>
      <c r="THU36" s="69"/>
      <c r="THV36" s="69"/>
      <c r="THW36" s="69"/>
      <c r="THX36" s="69"/>
      <c r="THY36" s="69"/>
      <c r="THZ36" s="69"/>
      <c r="TIA36" s="69"/>
      <c r="TIB36" s="69"/>
      <c r="TIC36" s="69"/>
      <c r="TID36" s="69"/>
      <c r="TIE36" s="69"/>
      <c r="TIF36" s="69"/>
      <c r="TIG36" s="69"/>
      <c r="TIH36" s="69"/>
      <c r="TII36" s="69"/>
      <c r="TIJ36" s="69"/>
      <c r="TIK36" s="69"/>
      <c r="TIL36" s="69"/>
      <c r="TIM36" s="69"/>
      <c r="TIN36" s="69"/>
      <c r="TIO36" s="69"/>
      <c r="TIP36" s="69"/>
      <c r="TIQ36" s="69"/>
      <c r="TIR36" s="69"/>
      <c r="TIS36" s="69"/>
      <c r="TIT36" s="69"/>
      <c r="TIU36" s="69"/>
      <c r="TIV36" s="69"/>
      <c r="TIW36" s="69"/>
      <c r="TIX36" s="69"/>
      <c r="TIY36" s="69"/>
      <c r="TIZ36" s="69"/>
      <c r="TJA36" s="69"/>
      <c r="TJB36" s="69"/>
      <c r="TJC36" s="69"/>
      <c r="TJD36" s="69"/>
      <c r="TJE36" s="69"/>
      <c r="TJF36" s="69"/>
      <c r="TJG36" s="69"/>
      <c r="TJH36" s="69"/>
      <c r="TJI36" s="69"/>
      <c r="TJJ36" s="69"/>
      <c r="TJK36" s="69"/>
      <c r="TJL36" s="69"/>
      <c r="TJM36" s="69"/>
      <c r="TJN36" s="69"/>
      <c r="TJO36" s="69"/>
      <c r="TJP36" s="69"/>
      <c r="TJQ36" s="69"/>
      <c r="TJR36" s="69"/>
      <c r="TJS36" s="69"/>
      <c r="TJT36" s="69"/>
      <c r="TJU36" s="69"/>
      <c r="TJV36" s="69"/>
      <c r="TJW36" s="69"/>
      <c r="TJX36" s="69"/>
      <c r="TJY36" s="69"/>
      <c r="TJZ36" s="69"/>
      <c r="TKA36" s="69"/>
      <c r="TKB36" s="69"/>
      <c r="TKC36" s="69"/>
      <c r="TKD36" s="69"/>
      <c r="TKE36" s="69"/>
      <c r="TKF36" s="69"/>
      <c r="TKG36" s="69"/>
      <c r="TKH36" s="69"/>
      <c r="TKI36" s="69"/>
      <c r="TKJ36" s="69"/>
      <c r="TKK36" s="69"/>
      <c r="TKL36" s="69"/>
      <c r="TKM36" s="69"/>
      <c r="TKN36" s="69"/>
      <c r="TKO36" s="69"/>
      <c r="TKP36" s="69"/>
      <c r="TKQ36" s="69"/>
      <c r="TKR36" s="69"/>
      <c r="TKS36" s="69"/>
      <c r="TKT36" s="69"/>
      <c r="TKU36" s="69"/>
      <c r="TKV36" s="69"/>
      <c r="TKW36" s="69"/>
      <c r="TKX36" s="69"/>
      <c r="TKY36" s="69"/>
      <c r="TKZ36" s="69"/>
      <c r="TLA36" s="69"/>
      <c r="TLB36" s="69"/>
      <c r="TLC36" s="69"/>
      <c r="TLD36" s="69"/>
      <c r="TLE36" s="69"/>
      <c r="TLF36" s="69"/>
      <c r="TLG36" s="69"/>
      <c r="TLH36" s="69"/>
      <c r="TLI36" s="69"/>
      <c r="TLJ36" s="69"/>
      <c r="TLK36" s="69"/>
      <c r="TLL36" s="69"/>
      <c r="TLM36" s="69"/>
      <c r="TLN36" s="69"/>
      <c r="TLO36" s="69"/>
      <c r="TLP36" s="69"/>
      <c r="TLQ36" s="69"/>
      <c r="TLR36" s="69"/>
      <c r="TLS36" s="69"/>
      <c r="TLT36" s="69"/>
      <c r="TLU36" s="69"/>
      <c r="TLV36" s="69"/>
      <c r="TLW36" s="69"/>
      <c r="TLX36" s="69"/>
      <c r="TLY36" s="69"/>
      <c r="TLZ36" s="69"/>
      <c r="TMA36" s="69"/>
      <c r="TMB36" s="69"/>
      <c r="TMC36" s="69"/>
      <c r="TMD36" s="69"/>
      <c r="TME36" s="69"/>
      <c r="TMF36" s="69"/>
      <c r="TMG36" s="69"/>
      <c r="TMH36" s="69"/>
      <c r="TMI36" s="69"/>
      <c r="TMJ36" s="69"/>
      <c r="TMK36" s="69"/>
      <c r="TML36" s="69"/>
      <c r="TMM36" s="69"/>
      <c r="TMN36" s="69"/>
      <c r="TMO36" s="69"/>
      <c r="TMP36" s="69"/>
      <c r="TMQ36" s="69"/>
      <c r="TMR36" s="69"/>
      <c r="TMS36" s="69"/>
      <c r="TMT36" s="69"/>
      <c r="TMU36" s="69"/>
      <c r="TMV36" s="69"/>
      <c r="TMW36" s="69"/>
      <c r="TMX36" s="69"/>
      <c r="TMY36" s="69"/>
      <c r="TMZ36" s="69"/>
      <c r="TNA36" s="69"/>
      <c r="TNB36" s="69"/>
      <c r="TNC36" s="69"/>
      <c r="TND36" s="69"/>
      <c r="TNE36" s="69"/>
      <c r="TNF36" s="69"/>
      <c r="TNG36" s="69"/>
      <c r="TNH36" s="69"/>
      <c r="TNI36" s="69"/>
      <c r="TNJ36" s="69"/>
      <c r="TNK36" s="69"/>
      <c r="TNL36" s="69"/>
      <c r="TNM36" s="69"/>
      <c r="TNN36" s="69"/>
      <c r="TNO36" s="69"/>
      <c r="TNP36" s="69"/>
      <c r="TNQ36" s="69"/>
      <c r="TNR36" s="69"/>
      <c r="TNS36" s="69"/>
      <c r="TNT36" s="69"/>
      <c r="TNU36" s="69"/>
      <c r="TNV36" s="69"/>
      <c r="TNW36" s="69"/>
      <c r="TNX36" s="69"/>
      <c r="TNY36" s="69"/>
      <c r="TNZ36" s="69"/>
      <c r="TOA36" s="69"/>
      <c r="TOB36" s="69"/>
      <c r="TOC36" s="69"/>
      <c r="TOD36" s="69"/>
      <c r="TOE36" s="69"/>
      <c r="TOF36" s="69"/>
      <c r="TOG36" s="69"/>
      <c r="TOH36" s="69"/>
      <c r="TOI36" s="69"/>
      <c r="TOJ36" s="69"/>
      <c r="TOK36" s="69"/>
      <c r="TOL36" s="69"/>
      <c r="TOM36" s="69"/>
      <c r="TON36" s="69"/>
      <c r="TOO36" s="69"/>
      <c r="TOP36" s="69"/>
      <c r="TOQ36" s="69"/>
      <c r="TOR36" s="69"/>
      <c r="TOS36" s="69"/>
      <c r="TOT36" s="69"/>
      <c r="TOU36" s="69"/>
      <c r="TOV36" s="69"/>
      <c r="TOW36" s="69"/>
      <c r="TOX36" s="69"/>
      <c r="TOY36" s="69"/>
      <c r="TOZ36" s="69"/>
      <c r="TPA36" s="69"/>
      <c r="TPB36" s="69"/>
      <c r="TPC36" s="69"/>
      <c r="TPD36" s="69"/>
      <c r="TPE36" s="69"/>
      <c r="TPF36" s="69"/>
      <c r="TPG36" s="69"/>
      <c r="TPH36" s="69"/>
      <c r="TPI36" s="69"/>
      <c r="TPJ36" s="69"/>
      <c r="TPK36" s="69"/>
      <c r="TPL36" s="69"/>
      <c r="TPM36" s="69"/>
      <c r="TPN36" s="69"/>
      <c r="TPO36" s="69"/>
      <c r="TPP36" s="69"/>
      <c r="TPQ36" s="69"/>
      <c r="TPR36" s="69"/>
      <c r="TPS36" s="69"/>
      <c r="TPT36" s="69"/>
      <c r="TPU36" s="69"/>
      <c r="TPV36" s="69"/>
      <c r="TPW36" s="69"/>
      <c r="TPX36" s="69"/>
      <c r="TPY36" s="69"/>
      <c r="TPZ36" s="69"/>
      <c r="TQA36" s="69"/>
      <c r="TQB36" s="69"/>
      <c r="TQC36" s="69"/>
      <c r="TQD36" s="69"/>
      <c r="TQE36" s="69"/>
      <c r="TQF36" s="69"/>
      <c r="TQG36" s="69"/>
      <c r="TQH36" s="69"/>
      <c r="TQI36" s="69"/>
      <c r="TQJ36" s="69"/>
      <c r="TQK36" s="69"/>
      <c r="TQL36" s="69"/>
      <c r="TQM36" s="69"/>
      <c r="TQN36" s="69"/>
      <c r="TQO36" s="69"/>
      <c r="TQP36" s="69"/>
      <c r="TQQ36" s="69"/>
      <c r="TQR36" s="69"/>
      <c r="TQS36" s="69"/>
      <c r="TQT36" s="69"/>
      <c r="TQU36" s="69"/>
      <c r="TQV36" s="69"/>
      <c r="TQW36" s="69"/>
      <c r="TQX36" s="69"/>
      <c r="TQY36" s="69"/>
      <c r="TQZ36" s="69"/>
      <c r="TRA36" s="69"/>
      <c r="TRB36" s="69"/>
      <c r="TRC36" s="69"/>
      <c r="TRD36" s="69"/>
      <c r="TRE36" s="69"/>
      <c r="TRF36" s="69"/>
      <c r="TRG36" s="69"/>
      <c r="TRH36" s="69"/>
      <c r="TRI36" s="69"/>
      <c r="TRJ36" s="69"/>
      <c r="TRK36" s="69"/>
      <c r="TRL36" s="69"/>
      <c r="TRM36" s="69"/>
      <c r="TRN36" s="69"/>
      <c r="TRO36" s="69"/>
      <c r="TRP36" s="69"/>
      <c r="TRQ36" s="69"/>
      <c r="TRR36" s="69"/>
      <c r="TRS36" s="69"/>
      <c r="TRT36" s="69"/>
      <c r="TRU36" s="69"/>
      <c r="TRV36" s="69"/>
      <c r="TRW36" s="69"/>
      <c r="TRX36" s="69"/>
      <c r="TRY36" s="69"/>
      <c r="TRZ36" s="69"/>
      <c r="TSA36" s="69"/>
      <c r="TSB36" s="69"/>
      <c r="TSC36" s="69"/>
      <c r="TSD36" s="69"/>
      <c r="TSE36" s="69"/>
      <c r="TSF36" s="69"/>
      <c r="TSG36" s="69"/>
      <c r="TSH36" s="69"/>
      <c r="TSI36" s="69"/>
      <c r="TSJ36" s="69"/>
      <c r="TSK36" s="69"/>
      <c r="TSL36" s="69"/>
      <c r="TSM36" s="69"/>
      <c r="TSN36" s="69"/>
      <c r="TSO36" s="69"/>
      <c r="TSP36" s="69"/>
      <c r="TSQ36" s="69"/>
      <c r="TSR36" s="69"/>
      <c r="TSS36" s="69"/>
      <c r="TST36" s="69"/>
      <c r="TSU36" s="69"/>
      <c r="TSV36" s="69"/>
      <c r="TSW36" s="69"/>
      <c r="TSX36" s="69"/>
      <c r="TSY36" s="69"/>
      <c r="TSZ36" s="69"/>
      <c r="TTA36" s="69"/>
      <c r="TTB36" s="69"/>
      <c r="TTC36" s="69"/>
      <c r="TTD36" s="69"/>
      <c r="TTE36" s="69"/>
      <c r="TTF36" s="69"/>
      <c r="TTG36" s="69"/>
      <c r="TTH36" s="69"/>
      <c r="TTI36" s="69"/>
      <c r="TTJ36" s="69"/>
      <c r="TTK36" s="69"/>
      <c r="TTL36" s="69"/>
      <c r="TTM36" s="69"/>
      <c r="TTN36" s="69"/>
      <c r="TTO36" s="69"/>
      <c r="TTP36" s="69"/>
      <c r="TTQ36" s="69"/>
      <c r="TTR36" s="69"/>
      <c r="TTS36" s="69"/>
      <c r="TTT36" s="69"/>
      <c r="TTU36" s="69"/>
      <c r="TTV36" s="69"/>
      <c r="TTW36" s="69"/>
      <c r="TTX36" s="69"/>
      <c r="TTY36" s="69"/>
      <c r="TTZ36" s="69"/>
      <c r="TUA36" s="69"/>
      <c r="TUB36" s="69"/>
      <c r="TUC36" s="69"/>
      <c r="TUD36" s="69"/>
      <c r="TUE36" s="69"/>
      <c r="TUF36" s="69"/>
      <c r="TUG36" s="69"/>
      <c r="TUH36" s="69"/>
      <c r="TUI36" s="69"/>
      <c r="TUJ36" s="69"/>
      <c r="TUK36" s="69"/>
      <c r="TUL36" s="69"/>
      <c r="TUM36" s="69"/>
      <c r="TUN36" s="69"/>
      <c r="TUO36" s="69"/>
      <c r="TUP36" s="69"/>
      <c r="TUQ36" s="69"/>
      <c r="TUR36" s="69"/>
      <c r="TUS36" s="69"/>
      <c r="TUT36" s="69"/>
      <c r="TUU36" s="69"/>
      <c r="TUV36" s="69"/>
      <c r="TUW36" s="69"/>
      <c r="TUX36" s="69"/>
      <c r="TUY36" s="69"/>
      <c r="TUZ36" s="69"/>
      <c r="TVA36" s="69"/>
      <c r="TVB36" s="69"/>
      <c r="TVC36" s="69"/>
      <c r="TVD36" s="69"/>
      <c r="TVE36" s="69"/>
      <c r="TVF36" s="69"/>
      <c r="TVG36" s="69"/>
      <c r="TVH36" s="69"/>
      <c r="TVI36" s="69"/>
      <c r="TVJ36" s="69"/>
      <c r="TVK36" s="69"/>
      <c r="TVL36" s="69"/>
      <c r="TVM36" s="69"/>
      <c r="TVN36" s="69"/>
      <c r="TVO36" s="69"/>
      <c r="TVP36" s="69"/>
      <c r="TVQ36" s="69"/>
      <c r="TVR36" s="69"/>
      <c r="TVS36" s="69"/>
      <c r="TVT36" s="69"/>
      <c r="TVU36" s="69"/>
      <c r="TVV36" s="69"/>
      <c r="TVW36" s="69"/>
      <c r="TVX36" s="69"/>
      <c r="TVY36" s="69"/>
      <c r="TVZ36" s="69"/>
      <c r="TWA36" s="69"/>
      <c r="TWB36" s="69"/>
      <c r="TWC36" s="69"/>
      <c r="TWD36" s="69"/>
      <c r="TWE36" s="69"/>
      <c r="TWF36" s="69"/>
      <c r="TWG36" s="69"/>
      <c r="TWH36" s="69"/>
      <c r="TWI36" s="69"/>
      <c r="TWJ36" s="69"/>
      <c r="TWK36" s="69"/>
      <c r="TWL36" s="69"/>
      <c r="TWM36" s="69"/>
      <c r="TWN36" s="69"/>
      <c r="TWO36" s="69"/>
      <c r="TWP36" s="69"/>
      <c r="TWQ36" s="69"/>
      <c r="TWR36" s="69"/>
      <c r="TWS36" s="69"/>
      <c r="TWT36" s="69"/>
      <c r="TWU36" s="69"/>
      <c r="TWV36" s="69"/>
      <c r="TWW36" s="69"/>
      <c r="TWX36" s="69"/>
      <c r="TWY36" s="69"/>
      <c r="TWZ36" s="69"/>
      <c r="TXA36" s="69"/>
      <c r="TXB36" s="69"/>
      <c r="TXC36" s="69"/>
      <c r="TXD36" s="69"/>
      <c r="TXE36" s="69"/>
      <c r="TXF36" s="69"/>
      <c r="TXG36" s="69"/>
      <c r="TXH36" s="69"/>
      <c r="TXI36" s="69"/>
      <c r="TXJ36" s="69"/>
      <c r="TXK36" s="69"/>
      <c r="TXL36" s="69"/>
      <c r="TXM36" s="69"/>
      <c r="TXN36" s="69"/>
      <c r="TXO36" s="69"/>
      <c r="TXP36" s="69"/>
      <c r="TXQ36" s="69"/>
      <c r="TXR36" s="69"/>
      <c r="TXS36" s="69"/>
      <c r="TXT36" s="69"/>
      <c r="TXU36" s="69"/>
      <c r="TXV36" s="69"/>
      <c r="TXW36" s="69"/>
      <c r="TXX36" s="69"/>
      <c r="TXY36" s="69"/>
      <c r="TXZ36" s="69"/>
      <c r="TYA36" s="69"/>
      <c r="TYB36" s="69"/>
      <c r="TYC36" s="69"/>
      <c r="TYD36" s="69"/>
      <c r="TYE36" s="69"/>
      <c r="TYF36" s="69"/>
      <c r="TYG36" s="69"/>
      <c r="TYH36" s="69"/>
      <c r="TYI36" s="69"/>
      <c r="TYJ36" s="69"/>
      <c r="TYK36" s="69"/>
      <c r="TYL36" s="69"/>
      <c r="TYM36" s="69"/>
      <c r="TYN36" s="69"/>
      <c r="TYO36" s="69"/>
      <c r="TYP36" s="69"/>
      <c r="TYQ36" s="69"/>
      <c r="TYR36" s="69"/>
      <c r="TYS36" s="69"/>
      <c r="TYT36" s="69"/>
      <c r="TYU36" s="69"/>
      <c r="TYV36" s="69"/>
      <c r="TYW36" s="69"/>
      <c r="TYX36" s="69"/>
      <c r="TYY36" s="69"/>
      <c r="TYZ36" s="69"/>
      <c r="TZA36" s="69"/>
      <c r="TZB36" s="69"/>
      <c r="TZC36" s="69"/>
      <c r="TZD36" s="69"/>
      <c r="TZE36" s="69"/>
      <c r="TZF36" s="69"/>
      <c r="TZG36" s="69"/>
      <c r="TZH36" s="69"/>
      <c r="TZI36" s="69"/>
      <c r="TZJ36" s="69"/>
      <c r="TZK36" s="69"/>
      <c r="TZL36" s="69"/>
      <c r="TZM36" s="69"/>
      <c r="TZN36" s="69"/>
      <c r="TZO36" s="69"/>
      <c r="TZP36" s="69"/>
      <c r="TZQ36" s="69"/>
      <c r="TZR36" s="69"/>
      <c r="TZS36" s="69"/>
      <c r="TZT36" s="69"/>
      <c r="TZU36" s="69"/>
      <c r="TZV36" s="69"/>
      <c r="TZW36" s="69"/>
      <c r="TZX36" s="69"/>
      <c r="TZY36" s="69"/>
      <c r="TZZ36" s="69"/>
      <c r="UAA36" s="69"/>
      <c r="UAB36" s="69"/>
      <c r="UAC36" s="69"/>
      <c r="UAD36" s="69"/>
      <c r="UAE36" s="69"/>
      <c r="UAF36" s="69"/>
      <c r="UAG36" s="69"/>
      <c r="UAH36" s="69"/>
      <c r="UAI36" s="69"/>
      <c r="UAJ36" s="69"/>
      <c r="UAK36" s="69"/>
      <c r="UAL36" s="69"/>
      <c r="UAM36" s="69"/>
      <c r="UAN36" s="69"/>
      <c r="UAO36" s="69"/>
      <c r="UAP36" s="69"/>
      <c r="UAQ36" s="69"/>
      <c r="UAR36" s="69"/>
      <c r="UAS36" s="69"/>
      <c r="UAT36" s="69"/>
      <c r="UAU36" s="69"/>
      <c r="UAV36" s="69"/>
      <c r="UAW36" s="69"/>
      <c r="UAX36" s="69"/>
      <c r="UAY36" s="69"/>
      <c r="UAZ36" s="69"/>
      <c r="UBA36" s="69"/>
      <c r="UBB36" s="69"/>
      <c r="UBC36" s="69"/>
      <c r="UBD36" s="69"/>
      <c r="UBE36" s="69"/>
      <c r="UBF36" s="69"/>
      <c r="UBG36" s="69"/>
      <c r="UBH36" s="69"/>
      <c r="UBI36" s="69"/>
      <c r="UBJ36" s="69"/>
      <c r="UBK36" s="69"/>
      <c r="UBL36" s="69"/>
      <c r="UBM36" s="69"/>
      <c r="UBN36" s="69"/>
      <c r="UBO36" s="69"/>
      <c r="UBP36" s="69"/>
      <c r="UBQ36" s="69"/>
      <c r="UBR36" s="69"/>
      <c r="UBS36" s="69"/>
      <c r="UBT36" s="69"/>
      <c r="UBU36" s="69"/>
      <c r="UBV36" s="69"/>
      <c r="UBW36" s="69"/>
      <c r="UBX36" s="69"/>
      <c r="UBY36" s="69"/>
      <c r="UBZ36" s="69"/>
      <c r="UCA36" s="69"/>
      <c r="UCB36" s="69"/>
      <c r="UCC36" s="69"/>
      <c r="UCD36" s="69"/>
      <c r="UCE36" s="69"/>
      <c r="UCF36" s="69"/>
      <c r="UCG36" s="69"/>
      <c r="UCH36" s="69"/>
      <c r="UCI36" s="69"/>
      <c r="UCJ36" s="69"/>
      <c r="UCK36" s="69"/>
      <c r="UCL36" s="69"/>
      <c r="UCM36" s="69"/>
      <c r="UCN36" s="69"/>
      <c r="UCO36" s="69"/>
      <c r="UCP36" s="69"/>
      <c r="UCQ36" s="69"/>
      <c r="UCR36" s="69"/>
      <c r="UCS36" s="69"/>
      <c r="UCT36" s="69"/>
      <c r="UCU36" s="69"/>
      <c r="UCV36" s="69"/>
      <c r="UCW36" s="69"/>
      <c r="UCX36" s="69"/>
      <c r="UCY36" s="69"/>
      <c r="UCZ36" s="69"/>
      <c r="UDA36" s="69"/>
      <c r="UDB36" s="69"/>
      <c r="UDC36" s="69"/>
      <c r="UDD36" s="69"/>
      <c r="UDE36" s="69"/>
      <c r="UDF36" s="69"/>
      <c r="UDG36" s="69"/>
      <c r="UDH36" s="69"/>
      <c r="UDI36" s="69"/>
      <c r="UDJ36" s="69"/>
      <c r="UDK36" s="69"/>
      <c r="UDL36" s="69"/>
      <c r="UDM36" s="69"/>
      <c r="UDN36" s="69"/>
      <c r="UDO36" s="69"/>
      <c r="UDP36" s="69"/>
      <c r="UDQ36" s="69"/>
      <c r="UDR36" s="69"/>
      <c r="UDS36" s="69"/>
      <c r="UDT36" s="69"/>
      <c r="UDU36" s="69"/>
      <c r="UDV36" s="69"/>
      <c r="UDW36" s="69"/>
      <c r="UDX36" s="69"/>
      <c r="UDY36" s="69"/>
      <c r="UDZ36" s="69"/>
      <c r="UEA36" s="69"/>
      <c r="UEB36" s="69"/>
      <c r="UEC36" s="69"/>
      <c r="UED36" s="69"/>
      <c r="UEE36" s="69"/>
      <c r="UEF36" s="69"/>
      <c r="UEG36" s="69"/>
      <c r="UEH36" s="69"/>
      <c r="UEI36" s="69"/>
      <c r="UEJ36" s="69"/>
      <c r="UEK36" s="69"/>
      <c r="UEL36" s="69"/>
      <c r="UEM36" s="69"/>
      <c r="UEN36" s="69"/>
      <c r="UEO36" s="69"/>
      <c r="UEP36" s="69"/>
      <c r="UEQ36" s="69"/>
      <c r="UER36" s="69"/>
      <c r="UES36" s="69"/>
      <c r="UET36" s="69"/>
      <c r="UEU36" s="69"/>
      <c r="UEV36" s="69"/>
      <c r="UEW36" s="69"/>
      <c r="UEX36" s="69"/>
      <c r="UEY36" s="69"/>
      <c r="UEZ36" s="69"/>
      <c r="UFA36" s="69"/>
      <c r="UFB36" s="69"/>
      <c r="UFC36" s="69"/>
      <c r="UFD36" s="69"/>
      <c r="UFE36" s="69"/>
      <c r="UFF36" s="69"/>
      <c r="UFG36" s="69"/>
      <c r="UFH36" s="69"/>
      <c r="UFI36" s="69"/>
      <c r="UFJ36" s="69"/>
      <c r="UFK36" s="69"/>
      <c r="UFL36" s="69"/>
      <c r="UFM36" s="69"/>
      <c r="UFN36" s="69"/>
      <c r="UFO36" s="69"/>
      <c r="UFP36" s="69"/>
      <c r="UFQ36" s="69"/>
      <c r="UFR36" s="69"/>
      <c r="UFS36" s="69"/>
      <c r="UFT36" s="69"/>
      <c r="UFU36" s="69"/>
      <c r="UFV36" s="69"/>
      <c r="UFW36" s="69"/>
      <c r="UFX36" s="69"/>
      <c r="UFY36" s="69"/>
      <c r="UFZ36" s="69"/>
      <c r="UGA36" s="69"/>
      <c r="UGB36" s="69"/>
      <c r="UGC36" s="69"/>
      <c r="UGD36" s="69"/>
      <c r="UGE36" s="69"/>
      <c r="UGF36" s="69"/>
      <c r="UGG36" s="69"/>
      <c r="UGH36" s="69"/>
      <c r="UGI36" s="69"/>
      <c r="UGJ36" s="69"/>
      <c r="UGK36" s="69"/>
      <c r="UGL36" s="69"/>
      <c r="UGM36" s="69"/>
      <c r="UGN36" s="69"/>
      <c r="UGO36" s="69"/>
      <c r="UGP36" s="69"/>
      <c r="UGQ36" s="69"/>
      <c r="UGR36" s="69"/>
      <c r="UGS36" s="69"/>
      <c r="UGT36" s="69"/>
      <c r="UGU36" s="69"/>
      <c r="UGV36" s="69"/>
      <c r="UGW36" s="69"/>
      <c r="UGX36" s="69"/>
      <c r="UGY36" s="69"/>
      <c r="UGZ36" s="69"/>
      <c r="UHA36" s="69"/>
      <c r="UHB36" s="69"/>
      <c r="UHC36" s="69"/>
      <c r="UHD36" s="69"/>
      <c r="UHE36" s="69"/>
      <c r="UHF36" s="69"/>
      <c r="UHG36" s="69"/>
      <c r="UHH36" s="69"/>
      <c r="UHI36" s="69"/>
      <c r="UHJ36" s="69"/>
      <c r="UHK36" s="69"/>
      <c r="UHL36" s="69"/>
      <c r="UHM36" s="69"/>
      <c r="UHN36" s="69"/>
      <c r="UHO36" s="69"/>
      <c r="UHP36" s="69"/>
      <c r="UHQ36" s="69"/>
      <c r="UHR36" s="69"/>
      <c r="UHS36" s="69"/>
      <c r="UHT36" s="69"/>
      <c r="UHU36" s="69"/>
      <c r="UHV36" s="69"/>
      <c r="UHW36" s="69"/>
      <c r="UHX36" s="69"/>
      <c r="UHY36" s="69"/>
      <c r="UHZ36" s="69"/>
      <c r="UIA36" s="69"/>
      <c r="UIB36" s="69"/>
      <c r="UIC36" s="69"/>
      <c r="UID36" s="69"/>
      <c r="UIE36" s="69"/>
      <c r="UIF36" s="69"/>
      <c r="UIG36" s="69"/>
      <c r="UIH36" s="69"/>
      <c r="UII36" s="69"/>
      <c r="UIJ36" s="69"/>
      <c r="UIK36" s="69"/>
      <c r="UIL36" s="69"/>
      <c r="UIM36" s="69"/>
      <c r="UIN36" s="69"/>
      <c r="UIO36" s="69"/>
      <c r="UIP36" s="69"/>
      <c r="UIQ36" s="69"/>
      <c r="UIR36" s="69"/>
      <c r="UIS36" s="69"/>
      <c r="UIT36" s="69"/>
      <c r="UIU36" s="69"/>
      <c r="UIV36" s="69"/>
      <c r="UIW36" s="69"/>
      <c r="UIX36" s="69"/>
      <c r="UIY36" s="69"/>
      <c r="UIZ36" s="69"/>
      <c r="UJA36" s="69"/>
      <c r="UJB36" s="69"/>
      <c r="UJC36" s="69"/>
      <c r="UJD36" s="69"/>
      <c r="UJE36" s="69"/>
      <c r="UJF36" s="69"/>
      <c r="UJG36" s="69"/>
      <c r="UJH36" s="69"/>
      <c r="UJI36" s="69"/>
      <c r="UJJ36" s="69"/>
      <c r="UJK36" s="69"/>
      <c r="UJL36" s="69"/>
      <c r="UJM36" s="69"/>
      <c r="UJN36" s="69"/>
      <c r="UJO36" s="69"/>
      <c r="UJP36" s="69"/>
      <c r="UJQ36" s="69"/>
      <c r="UJR36" s="69"/>
      <c r="UJS36" s="69"/>
      <c r="UJT36" s="69"/>
      <c r="UJU36" s="69"/>
      <c r="UJV36" s="69"/>
      <c r="UJW36" s="69"/>
      <c r="UJX36" s="69"/>
      <c r="UJY36" s="69"/>
      <c r="UJZ36" s="69"/>
      <c r="UKA36" s="69"/>
      <c r="UKB36" s="69"/>
      <c r="UKC36" s="69"/>
      <c r="UKD36" s="69"/>
      <c r="UKE36" s="69"/>
      <c r="UKF36" s="69"/>
      <c r="UKG36" s="69"/>
      <c r="UKH36" s="69"/>
      <c r="UKI36" s="69"/>
      <c r="UKJ36" s="69"/>
      <c r="UKK36" s="69"/>
      <c r="UKL36" s="69"/>
      <c r="UKM36" s="69"/>
      <c r="UKN36" s="69"/>
      <c r="UKO36" s="69"/>
      <c r="UKP36" s="69"/>
      <c r="UKQ36" s="69"/>
      <c r="UKR36" s="69"/>
      <c r="UKS36" s="69"/>
      <c r="UKT36" s="69"/>
      <c r="UKU36" s="69"/>
      <c r="UKV36" s="69"/>
      <c r="UKW36" s="69"/>
      <c r="UKX36" s="69"/>
      <c r="UKY36" s="69"/>
      <c r="UKZ36" s="69"/>
      <c r="ULA36" s="69"/>
      <c r="ULB36" s="69"/>
      <c r="ULC36" s="69"/>
      <c r="ULD36" s="69"/>
      <c r="ULE36" s="69"/>
      <c r="ULF36" s="69"/>
      <c r="ULG36" s="69"/>
      <c r="ULH36" s="69"/>
      <c r="ULI36" s="69"/>
      <c r="ULJ36" s="69"/>
      <c r="ULK36" s="69"/>
      <c r="ULL36" s="69"/>
      <c r="ULM36" s="69"/>
      <c r="ULN36" s="69"/>
      <c r="ULO36" s="69"/>
      <c r="ULP36" s="69"/>
      <c r="ULQ36" s="69"/>
      <c r="ULR36" s="69"/>
      <c r="ULS36" s="69"/>
      <c r="ULT36" s="69"/>
      <c r="ULU36" s="69"/>
      <c r="ULV36" s="69"/>
      <c r="ULW36" s="69"/>
      <c r="ULX36" s="69"/>
      <c r="ULY36" s="69"/>
      <c r="ULZ36" s="69"/>
      <c r="UMA36" s="69"/>
      <c r="UMB36" s="69"/>
      <c r="UMC36" s="69"/>
      <c r="UMD36" s="69"/>
      <c r="UME36" s="69"/>
      <c r="UMF36" s="69"/>
      <c r="UMG36" s="69"/>
      <c r="UMH36" s="69"/>
      <c r="UMI36" s="69"/>
      <c r="UMJ36" s="69"/>
      <c r="UMK36" s="69"/>
      <c r="UML36" s="69"/>
      <c r="UMM36" s="69"/>
      <c r="UMN36" s="69"/>
      <c r="UMO36" s="69"/>
      <c r="UMP36" s="69"/>
      <c r="UMQ36" s="69"/>
      <c r="UMR36" s="69"/>
      <c r="UMS36" s="69"/>
      <c r="UMT36" s="69"/>
      <c r="UMU36" s="69"/>
      <c r="UMV36" s="69"/>
      <c r="UMW36" s="69"/>
      <c r="UMX36" s="69"/>
      <c r="UMY36" s="69"/>
      <c r="UMZ36" s="69"/>
      <c r="UNA36" s="69"/>
      <c r="UNB36" s="69"/>
      <c r="UNC36" s="69"/>
      <c r="UND36" s="69"/>
      <c r="UNE36" s="69"/>
      <c r="UNF36" s="69"/>
      <c r="UNG36" s="69"/>
      <c r="UNH36" s="69"/>
      <c r="UNI36" s="69"/>
      <c r="UNJ36" s="69"/>
      <c r="UNK36" s="69"/>
      <c r="UNL36" s="69"/>
      <c r="UNM36" s="69"/>
      <c r="UNN36" s="69"/>
      <c r="UNO36" s="69"/>
      <c r="UNP36" s="69"/>
      <c r="UNQ36" s="69"/>
      <c r="UNR36" s="69"/>
      <c r="UNS36" s="69"/>
      <c r="UNT36" s="69"/>
      <c r="UNU36" s="69"/>
      <c r="UNV36" s="69"/>
      <c r="UNW36" s="69"/>
      <c r="UNX36" s="69"/>
      <c r="UNY36" s="69"/>
      <c r="UNZ36" s="69"/>
      <c r="UOA36" s="69"/>
      <c r="UOB36" s="69"/>
      <c r="UOC36" s="69"/>
      <c r="UOD36" s="69"/>
      <c r="UOE36" s="69"/>
      <c r="UOF36" s="69"/>
      <c r="UOG36" s="69"/>
      <c r="UOH36" s="69"/>
      <c r="UOI36" s="69"/>
      <c r="UOJ36" s="69"/>
      <c r="UOK36" s="69"/>
      <c r="UOL36" s="69"/>
      <c r="UOM36" s="69"/>
      <c r="UON36" s="69"/>
      <c r="UOO36" s="69"/>
      <c r="UOP36" s="69"/>
      <c r="UOQ36" s="69"/>
      <c r="UOR36" s="69"/>
      <c r="UOS36" s="69"/>
      <c r="UOT36" s="69"/>
      <c r="UOU36" s="69"/>
      <c r="UOV36" s="69"/>
      <c r="UOW36" s="69"/>
      <c r="UOX36" s="69"/>
      <c r="UOY36" s="69"/>
      <c r="UOZ36" s="69"/>
      <c r="UPA36" s="69"/>
      <c r="UPB36" s="69"/>
      <c r="UPC36" s="69"/>
      <c r="UPD36" s="69"/>
      <c r="UPE36" s="69"/>
      <c r="UPF36" s="69"/>
      <c r="UPG36" s="69"/>
      <c r="UPH36" s="69"/>
      <c r="UPI36" s="69"/>
      <c r="UPJ36" s="69"/>
      <c r="UPK36" s="69"/>
      <c r="UPL36" s="69"/>
      <c r="UPM36" s="69"/>
      <c r="UPN36" s="69"/>
      <c r="UPO36" s="69"/>
      <c r="UPP36" s="69"/>
      <c r="UPQ36" s="69"/>
      <c r="UPR36" s="69"/>
      <c r="UPS36" s="69"/>
      <c r="UPT36" s="69"/>
      <c r="UPU36" s="69"/>
      <c r="UPV36" s="69"/>
      <c r="UPW36" s="69"/>
      <c r="UPX36" s="69"/>
      <c r="UPY36" s="69"/>
      <c r="UPZ36" s="69"/>
      <c r="UQA36" s="69"/>
      <c r="UQB36" s="69"/>
      <c r="UQC36" s="69"/>
      <c r="UQD36" s="69"/>
      <c r="UQE36" s="69"/>
      <c r="UQF36" s="69"/>
      <c r="UQG36" s="69"/>
      <c r="UQH36" s="69"/>
      <c r="UQI36" s="69"/>
      <c r="UQJ36" s="69"/>
      <c r="UQK36" s="69"/>
      <c r="UQL36" s="69"/>
      <c r="UQM36" s="69"/>
      <c r="UQN36" s="69"/>
      <c r="UQO36" s="69"/>
      <c r="UQP36" s="69"/>
      <c r="UQQ36" s="69"/>
      <c r="UQR36" s="69"/>
      <c r="UQS36" s="69"/>
      <c r="UQT36" s="69"/>
      <c r="UQU36" s="69"/>
      <c r="UQV36" s="69"/>
      <c r="UQW36" s="69"/>
      <c r="UQX36" s="69"/>
      <c r="UQY36" s="69"/>
      <c r="UQZ36" s="69"/>
      <c r="URA36" s="69"/>
      <c r="URB36" s="69"/>
      <c r="URC36" s="69"/>
      <c r="URD36" s="69"/>
      <c r="URE36" s="69"/>
      <c r="URF36" s="69"/>
      <c r="URG36" s="69"/>
      <c r="URH36" s="69"/>
      <c r="URI36" s="69"/>
      <c r="URJ36" s="69"/>
      <c r="URK36" s="69"/>
      <c r="URL36" s="69"/>
      <c r="URM36" s="69"/>
      <c r="URN36" s="69"/>
      <c r="URO36" s="69"/>
      <c r="URP36" s="69"/>
      <c r="URQ36" s="69"/>
      <c r="URR36" s="69"/>
      <c r="URS36" s="69"/>
      <c r="URT36" s="69"/>
      <c r="URU36" s="69"/>
      <c r="URV36" s="69"/>
      <c r="URW36" s="69"/>
      <c r="URX36" s="69"/>
      <c r="URY36" s="69"/>
      <c r="URZ36" s="69"/>
      <c r="USA36" s="69"/>
      <c r="USB36" s="69"/>
      <c r="USC36" s="69"/>
      <c r="USD36" s="69"/>
      <c r="USE36" s="69"/>
      <c r="USF36" s="69"/>
      <c r="USG36" s="69"/>
      <c r="USH36" s="69"/>
      <c r="USI36" s="69"/>
      <c r="USJ36" s="69"/>
      <c r="USK36" s="69"/>
      <c r="USL36" s="69"/>
      <c r="USM36" s="69"/>
      <c r="USN36" s="69"/>
      <c r="USO36" s="69"/>
      <c r="USP36" s="69"/>
      <c r="USQ36" s="69"/>
      <c r="USR36" s="69"/>
      <c r="USS36" s="69"/>
      <c r="UST36" s="69"/>
      <c r="USU36" s="69"/>
      <c r="USV36" s="69"/>
      <c r="USW36" s="69"/>
      <c r="USX36" s="69"/>
      <c r="USY36" s="69"/>
      <c r="USZ36" s="69"/>
      <c r="UTA36" s="69"/>
      <c r="UTB36" s="69"/>
      <c r="UTC36" s="69"/>
      <c r="UTD36" s="69"/>
      <c r="UTE36" s="69"/>
      <c r="UTF36" s="69"/>
      <c r="UTG36" s="69"/>
      <c r="UTH36" s="69"/>
      <c r="UTI36" s="69"/>
      <c r="UTJ36" s="69"/>
      <c r="UTK36" s="69"/>
      <c r="UTL36" s="69"/>
      <c r="UTM36" s="69"/>
      <c r="UTN36" s="69"/>
      <c r="UTO36" s="69"/>
      <c r="UTP36" s="69"/>
      <c r="UTQ36" s="69"/>
      <c r="UTR36" s="69"/>
      <c r="UTS36" s="69"/>
      <c r="UTT36" s="69"/>
      <c r="UTU36" s="69"/>
      <c r="UTV36" s="69"/>
      <c r="UTW36" s="69"/>
      <c r="UTX36" s="69"/>
      <c r="UTY36" s="69"/>
      <c r="UTZ36" s="69"/>
      <c r="UUA36" s="69"/>
      <c r="UUB36" s="69"/>
      <c r="UUC36" s="69"/>
      <c r="UUD36" s="69"/>
      <c r="UUE36" s="69"/>
      <c r="UUF36" s="69"/>
      <c r="UUG36" s="69"/>
      <c r="UUH36" s="69"/>
      <c r="UUI36" s="69"/>
      <c r="UUJ36" s="69"/>
      <c r="UUK36" s="69"/>
      <c r="UUL36" s="69"/>
      <c r="UUM36" s="69"/>
      <c r="UUN36" s="69"/>
      <c r="UUO36" s="69"/>
      <c r="UUP36" s="69"/>
      <c r="UUQ36" s="69"/>
      <c r="UUR36" s="69"/>
      <c r="UUS36" s="69"/>
      <c r="UUT36" s="69"/>
      <c r="UUU36" s="69"/>
      <c r="UUV36" s="69"/>
      <c r="UUW36" s="69"/>
      <c r="UUX36" s="69"/>
      <c r="UUY36" s="69"/>
      <c r="UUZ36" s="69"/>
      <c r="UVA36" s="69"/>
      <c r="UVB36" s="69"/>
      <c r="UVC36" s="69"/>
      <c r="UVD36" s="69"/>
      <c r="UVE36" s="69"/>
      <c r="UVF36" s="69"/>
      <c r="UVG36" s="69"/>
      <c r="UVH36" s="69"/>
      <c r="UVI36" s="69"/>
      <c r="UVJ36" s="69"/>
      <c r="UVK36" s="69"/>
      <c r="UVL36" s="69"/>
      <c r="UVM36" s="69"/>
      <c r="UVN36" s="69"/>
      <c r="UVO36" s="69"/>
      <c r="UVP36" s="69"/>
      <c r="UVQ36" s="69"/>
      <c r="UVR36" s="69"/>
      <c r="UVS36" s="69"/>
      <c r="UVT36" s="69"/>
      <c r="UVU36" s="69"/>
      <c r="UVV36" s="69"/>
      <c r="UVW36" s="69"/>
      <c r="UVX36" s="69"/>
      <c r="UVY36" s="69"/>
      <c r="UVZ36" s="69"/>
      <c r="UWA36" s="69"/>
      <c r="UWB36" s="69"/>
      <c r="UWC36" s="69"/>
      <c r="UWD36" s="69"/>
      <c r="UWE36" s="69"/>
      <c r="UWF36" s="69"/>
      <c r="UWG36" s="69"/>
      <c r="UWH36" s="69"/>
      <c r="UWI36" s="69"/>
      <c r="UWJ36" s="69"/>
      <c r="UWK36" s="69"/>
      <c r="UWL36" s="69"/>
      <c r="UWM36" s="69"/>
      <c r="UWN36" s="69"/>
      <c r="UWO36" s="69"/>
      <c r="UWP36" s="69"/>
      <c r="UWQ36" s="69"/>
      <c r="UWR36" s="69"/>
      <c r="UWS36" s="69"/>
      <c r="UWT36" s="69"/>
      <c r="UWU36" s="69"/>
      <c r="UWV36" s="69"/>
      <c r="UWW36" s="69"/>
      <c r="UWX36" s="69"/>
      <c r="UWY36" s="69"/>
      <c r="UWZ36" s="69"/>
      <c r="UXA36" s="69"/>
      <c r="UXB36" s="69"/>
      <c r="UXC36" s="69"/>
      <c r="UXD36" s="69"/>
      <c r="UXE36" s="69"/>
      <c r="UXF36" s="69"/>
      <c r="UXG36" s="69"/>
      <c r="UXH36" s="69"/>
      <c r="UXI36" s="69"/>
      <c r="UXJ36" s="69"/>
      <c r="UXK36" s="69"/>
      <c r="UXL36" s="69"/>
      <c r="UXM36" s="69"/>
      <c r="UXN36" s="69"/>
      <c r="UXO36" s="69"/>
      <c r="UXP36" s="69"/>
      <c r="UXQ36" s="69"/>
      <c r="UXR36" s="69"/>
      <c r="UXS36" s="69"/>
      <c r="UXT36" s="69"/>
      <c r="UXU36" s="69"/>
      <c r="UXV36" s="69"/>
      <c r="UXW36" s="69"/>
      <c r="UXX36" s="69"/>
      <c r="UXY36" s="69"/>
      <c r="UXZ36" s="69"/>
      <c r="UYA36" s="69"/>
      <c r="UYB36" s="69"/>
      <c r="UYC36" s="69"/>
      <c r="UYD36" s="69"/>
      <c r="UYE36" s="69"/>
      <c r="UYF36" s="69"/>
      <c r="UYG36" s="69"/>
      <c r="UYH36" s="69"/>
      <c r="UYI36" s="69"/>
      <c r="UYJ36" s="69"/>
      <c r="UYK36" s="69"/>
      <c r="UYL36" s="69"/>
      <c r="UYM36" s="69"/>
      <c r="UYN36" s="69"/>
      <c r="UYO36" s="69"/>
      <c r="UYP36" s="69"/>
      <c r="UYQ36" s="69"/>
      <c r="UYR36" s="69"/>
      <c r="UYS36" s="69"/>
      <c r="UYT36" s="69"/>
      <c r="UYU36" s="69"/>
      <c r="UYV36" s="69"/>
      <c r="UYW36" s="69"/>
      <c r="UYX36" s="69"/>
      <c r="UYY36" s="69"/>
      <c r="UYZ36" s="69"/>
      <c r="UZA36" s="69"/>
      <c r="UZB36" s="69"/>
      <c r="UZC36" s="69"/>
      <c r="UZD36" s="69"/>
      <c r="UZE36" s="69"/>
      <c r="UZF36" s="69"/>
      <c r="UZG36" s="69"/>
      <c r="UZH36" s="69"/>
      <c r="UZI36" s="69"/>
      <c r="UZJ36" s="69"/>
      <c r="UZK36" s="69"/>
      <c r="UZL36" s="69"/>
      <c r="UZM36" s="69"/>
      <c r="UZN36" s="69"/>
      <c r="UZO36" s="69"/>
      <c r="UZP36" s="69"/>
      <c r="UZQ36" s="69"/>
      <c r="UZR36" s="69"/>
      <c r="UZS36" s="69"/>
      <c r="UZT36" s="69"/>
      <c r="UZU36" s="69"/>
      <c r="UZV36" s="69"/>
      <c r="UZW36" s="69"/>
      <c r="UZX36" s="69"/>
      <c r="UZY36" s="69"/>
      <c r="UZZ36" s="69"/>
      <c r="VAA36" s="69"/>
      <c r="VAB36" s="69"/>
      <c r="VAC36" s="69"/>
      <c r="VAD36" s="69"/>
      <c r="VAE36" s="69"/>
      <c r="VAF36" s="69"/>
      <c r="VAG36" s="69"/>
      <c r="VAH36" s="69"/>
      <c r="VAI36" s="69"/>
      <c r="VAJ36" s="69"/>
      <c r="VAK36" s="69"/>
      <c r="VAL36" s="69"/>
      <c r="VAM36" s="69"/>
      <c r="VAN36" s="69"/>
      <c r="VAO36" s="69"/>
      <c r="VAP36" s="69"/>
      <c r="VAQ36" s="69"/>
      <c r="VAR36" s="69"/>
      <c r="VAS36" s="69"/>
      <c r="VAT36" s="69"/>
      <c r="VAU36" s="69"/>
      <c r="VAV36" s="69"/>
      <c r="VAW36" s="69"/>
      <c r="VAX36" s="69"/>
      <c r="VAY36" s="69"/>
      <c r="VAZ36" s="69"/>
      <c r="VBA36" s="69"/>
      <c r="VBB36" s="69"/>
      <c r="VBC36" s="69"/>
      <c r="VBD36" s="69"/>
      <c r="VBE36" s="69"/>
      <c r="VBF36" s="69"/>
      <c r="VBG36" s="69"/>
      <c r="VBH36" s="69"/>
      <c r="VBI36" s="69"/>
      <c r="VBJ36" s="69"/>
      <c r="VBK36" s="69"/>
      <c r="VBL36" s="69"/>
      <c r="VBM36" s="69"/>
      <c r="VBN36" s="69"/>
      <c r="VBO36" s="69"/>
      <c r="VBP36" s="69"/>
      <c r="VBQ36" s="69"/>
      <c r="VBR36" s="69"/>
      <c r="VBS36" s="69"/>
      <c r="VBT36" s="69"/>
      <c r="VBU36" s="69"/>
      <c r="VBV36" s="69"/>
      <c r="VBW36" s="69"/>
      <c r="VBX36" s="69"/>
      <c r="VBY36" s="69"/>
      <c r="VBZ36" s="69"/>
      <c r="VCA36" s="69"/>
      <c r="VCB36" s="69"/>
      <c r="VCC36" s="69"/>
      <c r="VCD36" s="69"/>
      <c r="VCE36" s="69"/>
      <c r="VCF36" s="69"/>
      <c r="VCG36" s="69"/>
      <c r="VCH36" s="69"/>
      <c r="VCI36" s="69"/>
      <c r="VCJ36" s="69"/>
      <c r="VCK36" s="69"/>
      <c r="VCL36" s="69"/>
      <c r="VCM36" s="69"/>
      <c r="VCN36" s="69"/>
      <c r="VCO36" s="69"/>
      <c r="VCP36" s="69"/>
      <c r="VCQ36" s="69"/>
      <c r="VCR36" s="69"/>
      <c r="VCS36" s="69"/>
      <c r="VCT36" s="69"/>
      <c r="VCU36" s="69"/>
      <c r="VCV36" s="69"/>
      <c r="VCW36" s="69"/>
      <c r="VCX36" s="69"/>
      <c r="VCY36" s="69"/>
      <c r="VCZ36" s="69"/>
      <c r="VDA36" s="69"/>
      <c r="VDB36" s="69"/>
      <c r="VDC36" s="69"/>
      <c r="VDD36" s="69"/>
      <c r="VDE36" s="69"/>
      <c r="VDF36" s="69"/>
      <c r="VDG36" s="69"/>
      <c r="VDH36" s="69"/>
      <c r="VDI36" s="69"/>
      <c r="VDJ36" s="69"/>
      <c r="VDK36" s="69"/>
      <c r="VDL36" s="69"/>
      <c r="VDM36" s="69"/>
      <c r="VDN36" s="69"/>
      <c r="VDO36" s="69"/>
      <c r="VDP36" s="69"/>
      <c r="VDQ36" s="69"/>
      <c r="VDR36" s="69"/>
      <c r="VDS36" s="69"/>
      <c r="VDT36" s="69"/>
      <c r="VDU36" s="69"/>
      <c r="VDV36" s="69"/>
      <c r="VDW36" s="69"/>
      <c r="VDX36" s="69"/>
      <c r="VDY36" s="69"/>
      <c r="VDZ36" s="69"/>
      <c r="VEA36" s="69"/>
      <c r="VEB36" s="69"/>
      <c r="VEC36" s="69"/>
      <c r="VED36" s="69"/>
      <c r="VEE36" s="69"/>
      <c r="VEF36" s="69"/>
      <c r="VEG36" s="69"/>
      <c r="VEH36" s="69"/>
      <c r="VEI36" s="69"/>
      <c r="VEJ36" s="69"/>
      <c r="VEK36" s="69"/>
      <c r="VEL36" s="69"/>
      <c r="VEM36" s="69"/>
      <c r="VEN36" s="69"/>
      <c r="VEO36" s="69"/>
      <c r="VEP36" s="69"/>
      <c r="VEQ36" s="69"/>
      <c r="VER36" s="69"/>
      <c r="VES36" s="69"/>
      <c r="VET36" s="69"/>
      <c r="VEU36" s="69"/>
      <c r="VEV36" s="69"/>
      <c r="VEW36" s="69"/>
      <c r="VEX36" s="69"/>
      <c r="VEY36" s="69"/>
      <c r="VEZ36" s="69"/>
      <c r="VFA36" s="69"/>
      <c r="VFB36" s="69"/>
      <c r="VFC36" s="69"/>
      <c r="VFD36" s="69"/>
      <c r="VFE36" s="69"/>
      <c r="VFF36" s="69"/>
      <c r="VFG36" s="69"/>
      <c r="VFH36" s="69"/>
      <c r="VFI36" s="69"/>
      <c r="VFJ36" s="69"/>
      <c r="VFK36" s="69"/>
      <c r="VFL36" s="69"/>
      <c r="VFM36" s="69"/>
      <c r="VFN36" s="69"/>
      <c r="VFO36" s="69"/>
      <c r="VFP36" s="69"/>
      <c r="VFQ36" s="69"/>
      <c r="VFR36" s="69"/>
      <c r="VFS36" s="69"/>
      <c r="VFT36" s="69"/>
      <c r="VFU36" s="69"/>
      <c r="VFV36" s="69"/>
      <c r="VFW36" s="69"/>
      <c r="VFX36" s="69"/>
      <c r="VFY36" s="69"/>
      <c r="VFZ36" s="69"/>
      <c r="VGA36" s="69"/>
      <c r="VGB36" s="69"/>
      <c r="VGC36" s="69"/>
      <c r="VGD36" s="69"/>
      <c r="VGE36" s="69"/>
      <c r="VGF36" s="69"/>
      <c r="VGG36" s="69"/>
      <c r="VGH36" s="69"/>
      <c r="VGI36" s="69"/>
      <c r="VGJ36" s="69"/>
      <c r="VGK36" s="69"/>
      <c r="VGL36" s="69"/>
      <c r="VGM36" s="69"/>
      <c r="VGN36" s="69"/>
      <c r="VGO36" s="69"/>
      <c r="VGP36" s="69"/>
      <c r="VGQ36" s="69"/>
      <c r="VGR36" s="69"/>
      <c r="VGS36" s="69"/>
      <c r="VGT36" s="69"/>
      <c r="VGU36" s="69"/>
      <c r="VGV36" s="69"/>
      <c r="VGW36" s="69"/>
      <c r="VGX36" s="69"/>
      <c r="VGY36" s="69"/>
      <c r="VGZ36" s="69"/>
      <c r="VHA36" s="69"/>
      <c r="VHB36" s="69"/>
      <c r="VHC36" s="69"/>
      <c r="VHD36" s="69"/>
      <c r="VHE36" s="69"/>
      <c r="VHF36" s="69"/>
      <c r="VHG36" s="69"/>
      <c r="VHH36" s="69"/>
      <c r="VHI36" s="69"/>
      <c r="VHJ36" s="69"/>
      <c r="VHK36" s="69"/>
      <c r="VHL36" s="69"/>
      <c r="VHM36" s="69"/>
      <c r="VHN36" s="69"/>
      <c r="VHO36" s="69"/>
      <c r="VHP36" s="69"/>
      <c r="VHQ36" s="69"/>
      <c r="VHR36" s="69"/>
      <c r="VHS36" s="69"/>
      <c r="VHT36" s="69"/>
      <c r="VHU36" s="69"/>
      <c r="VHV36" s="69"/>
      <c r="VHW36" s="69"/>
      <c r="VHX36" s="69"/>
      <c r="VHY36" s="69"/>
      <c r="VHZ36" s="69"/>
      <c r="VIA36" s="69"/>
      <c r="VIB36" s="69"/>
      <c r="VIC36" s="69"/>
      <c r="VID36" s="69"/>
      <c r="VIE36" s="69"/>
      <c r="VIF36" s="69"/>
      <c r="VIG36" s="69"/>
      <c r="VIH36" s="69"/>
      <c r="VII36" s="69"/>
      <c r="VIJ36" s="69"/>
      <c r="VIK36" s="69"/>
      <c r="VIL36" s="69"/>
      <c r="VIM36" s="69"/>
      <c r="VIN36" s="69"/>
      <c r="VIO36" s="69"/>
      <c r="VIP36" s="69"/>
      <c r="VIQ36" s="69"/>
      <c r="VIR36" s="69"/>
      <c r="VIS36" s="69"/>
      <c r="VIT36" s="69"/>
      <c r="VIU36" s="69"/>
      <c r="VIV36" s="69"/>
      <c r="VIW36" s="69"/>
      <c r="VIX36" s="69"/>
      <c r="VIY36" s="69"/>
      <c r="VIZ36" s="69"/>
      <c r="VJA36" s="69"/>
      <c r="VJB36" s="69"/>
      <c r="VJC36" s="69"/>
      <c r="VJD36" s="69"/>
      <c r="VJE36" s="69"/>
      <c r="VJF36" s="69"/>
      <c r="VJG36" s="69"/>
      <c r="VJH36" s="69"/>
      <c r="VJI36" s="69"/>
      <c r="VJJ36" s="69"/>
      <c r="VJK36" s="69"/>
      <c r="VJL36" s="69"/>
      <c r="VJM36" s="69"/>
      <c r="VJN36" s="69"/>
      <c r="VJO36" s="69"/>
      <c r="VJP36" s="69"/>
      <c r="VJQ36" s="69"/>
      <c r="VJR36" s="69"/>
      <c r="VJS36" s="69"/>
      <c r="VJT36" s="69"/>
      <c r="VJU36" s="69"/>
      <c r="VJV36" s="69"/>
      <c r="VJW36" s="69"/>
      <c r="VJX36" s="69"/>
      <c r="VJY36" s="69"/>
      <c r="VJZ36" s="69"/>
      <c r="VKA36" s="69"/>
      <c r="VKB36" s="69"/>
      <c r="VKC36" s="69"/>
      <c r="VKD36" s="69"/>
      <c r="VKE36" s="69"/>
      <c r="VKF36" s="69"/>
      <c r="VKG36" s="69"/>
      <c r="VKH36" s="69"/>
      <c r="VKI36" s="69"/>
      <c r="VKJ36" s="69"/>
      <c r="VKK36" s="69"/>
      <c r="VKL36" s="69"/>
      <c r="VKM36" s="69"/>
      <c r="VKN36" s="69"/>
      <c r="VKO36" s="69"/>
      <c r="VKP36" s="69"/>
      <c r="VKQ36" s="69"/>
      <c r="VKR36" s="69"/>
      <c r="VKS36" s="69"/>
      <c r="VKT36" s="69"/>
      <c r="VKU36" s="69"/>
      <c r="VKV36" s="69"/>
      <c r="VKW36" s="69"/>
      <c r="VKX36" s="69"/>
      <c r="VKY36" s="69"/>
      <c r="VKZ36" s="69"/>
      <c r="VLA36" s="69"/>
      <c r="VLB36" s="69"/>
      <c r="VLC36" s="69"/>
      <c r="VLD36" s="69"/>
      <c r="VLE36" s="69"/>
      <c r="VLF36" s="69"/>
      <c r="VLG36" s="69"/>
      <c r="VLH36" s="69"/>
      <c r="VLI36" s="69"/>
      <c r="VLJ36" s="69"/>
      <c r="VLK36" s="69"/>
      <c r="VLL36" s="69"/>
      <c r="VLM36" s="69"/>
      <c r="VLN36" s="69"/>
      <c r="VLO36" s="69"/>
      <c r="VLP36" s="69"/>
      <c r="VLQ36" s="69"/>
      <c r="VLR36" s="69"/>
      <c r="VLS36" s="69"/>
      <c r="VLT36" s="69"/>
      <c r="VLU36" s="69"/>
      <c r="VLV36" s="69"/>
      <c r="VLW36" s="69"/>
      <c r="VLX36" s="69"/>
      <c r="VLY36" s="69"/>
      <c r="VLZ36" s="69"/>
      <c r="VMA36" s="69"/>
      <c r="VMB36" s="69"/>
      <c r="VMC36" s="69"/>
      <c r="VMD36" s="69"/>
      <c r="VME36" s="69"/>
      <c r="VMF36" s="69"/>
      <c r="VMG36" s="69"/>
      <c r="VMH36" s="69"/>
      <c r="VMI36" s="69"/>
      <c r="VMJ36" s="69"/>
      <c r="VMK36" s="69"/>
      <c r="VML36" s="69"/>
      <c r="VMM36" s="69"/>
      <c r="VMN36" s="69"/>
      <c r="VMO36" s="69"/>
      <c r="VMP36" s="69"/>
      <c r="VMQ36" s="69"/>
      <c r="VMR36" s="69"/>
      <c r="VMS36" s="69"/>
      <c r="VMT36" s="69"/>
      <c r="VMU36" s="69"/>
      <c r="VMV36" s="69"/>
      <c r="VMW36" s="69"/>
      <c r="VMX36" s="69"/>
      <c r="VMY36" s="69"/>
      <c r="VMZ36" s="69"/>
      <c r="VNA36" s="69"/>
      <c r="VNB36" s="69"/>
      <c r="VNC36" s="69"/>
      <c r="VND36" s="69"/>
      <c r="VNE36" s="69"/>
      <c r="VNF36" s="69"/>
      <c r="VNG36" s="69"/>
      <c r="VNH36" s="69"/>
      <c r="VNI36" s="69"/>
      <c r="VNJ36" s="69"/>
      <c r="VNK36" s="69"/>
      <c r="VNL36" s="69"/>
      <c r="VNM36" s="69"/>
      <c r="VNN36" s="69"/>
      <c r="VNO36" s="69"/>
      <c r="VNP36" s="69"/>
      <c r="VNQ36" s="69"/>
      <c r="VNR36" s="69"/>
      <c r="VNS36" s="69"/>
      <c r="VNT36" s="69"/>
      <c r="VNU36" s="69"/>
      <c r="VNV36" s="69"/>
      <c r="VNW36" s="69"/>
      <c r="VNX36" s="69"/>
      <c r="VNY36" s="69"/>
      <c r="VNZ36" s="69"/>
      <c r="VOA36" s="69"/>
      <c r="VOB36" s="69"/>
      <c r="VOC36" s="69"/>
      <c r="VOD36" s="69"/>
      <c r="VOE36" s="69"/>
      <c r="VOF36" s="69"/>
      <c r="VOG36" s="69"/>
      <c r="VOH36" s="69"/>
      <c r="VOI36" s="69"/>
      <c r="VOJ36" s="69"/>
      <c r="VOK36" s="69"/>
      <c r="VOL36" s="69"/>
      <c r="VOM36" s="69"/>
      <c r="VON36" s="69"/>
      <c r="VOO36" s="69"/>
      <c r="VOP36" s="69"/>
      <c r="VOQ36" s="69"/>
      <c r="VOR36" s="69"/>
      <c r="VOS36" s="69"/>
      <c r="VOT36" s="69"/>
      <c r="VOU36" s="69"/>
      <c r="VOV36" s="69"/>
      <c r="VOW36" s="69"/>
      <c r="VOX36" s="69"/>
      <c r="VOY36" s="69"/>
      <c r="VOZ36" s="69"/>
      <c r="VPA36" s="69"/>
      <c r="VPB36" s="69"/>
      <c r="VPC36" s="69"/>
      <c r="VPD36" s="69"/>
      <c r="VPE36" s="69"/>
      <c r="VPF36" s="69"/>
      <c r="VPG36" s="69"/>
      <c r="VPH36" s="69"/>
      <c r="VPI36" s="69"/>
      <c r="VPJ36" s="69"/>
      <c r="VPK36" s="69"/>
      <c r="VPL36" s="69"/>
      <c r="VPM36" s="69"/>
      <c r="VPN36" s="69"/>
      <c r="VPO36" s="69"/>
      <c r="VPP36" s="69"/>
      <c r="VPQ36" s="69"/>
      <c r="VPR36" s="69"/>
      <c r="VPS36" s="69"/>
      <c r="VPT36" s="69"/>
      <c r="VPU36" s="69"/>
      <c r="VPV36" s="69"/>
      <c r="VPW36" s="69"/>
      <c r="VPX36" s="69"/>
      <c r="VPY36" s="69"/>
      <c r="VPZ36" s="69"/>
      <c r="VQA36" s="69"/>
      <c r="VQB36" s="69"/>
      <c r="VQC36" s="69"/>
      <c r="VQD36" s="69"/>
      <c r="VQE36" s="69"/>
      <c r="VQF36" s="69"/>
      <c r="VQG36" s="69"/>
      <c r="VQH36" s="69"/>
      <c r="VQI36" s="69"/>
      <c r="VQJ36" s="69"/>
      <c r="VQK36" s="69"/>
      <c r="VQL36" s="69"/>
      <c r="VQM36" s="69"/>
      <c r="VQN36" s="69"/>
      <c r="VQO36" s="69"/>
      <c r="VQP36" s="69"/>
      <c r="VQQ36" s="69"/>
      <c r="VQR36" s="69"/>
      <c r="VQS36" s="69"/>
      <c r="VQT36" s="69"/>
      <c r="VQU36" s="69"/>
      <c r="VQV36" s="69"/>
      <c r="VQW36" s="69"/>
      <c r="VQX36" s="69"/>
      <c r="VQY36" s="69"/>
      <c r="VQZ36" s="69"/>
      <c r="VRA36" s="69"/>
      <c r="VRB36" s="69"/>
      <c r="VRC36" s="69"/>
      <c r="VRD36" s="69"/>
      <c r="VRE36" s="69"/>
      <c r="VRF36" s="69"/>
      <c r="VRG36" s="69"/>
      <c r="VRH36" s="69"/>
      <c r="VRI36" s="69"/>
      <c r="VRJ36" s="69"/>
      <c r="VRK36" s="69"/>
      <c r="VRL36" s="69"/>
      <c r="VRM36" s="69"/>
      <c r="VRN36" s="69"/>
      <c r="VRO36" s="69"/>
      <c r="VRP36" s="69"/>
      <c r="VRQ36" s="69"/>
      <c r="VRR36" s="69"/>
      <c r="VRS36" s="69"/>
      <c r="VRT36" s="69"/>
      <c r="VRU36" s="69"/>
      <c r="VRV36" s="69"/>
      <c r="VRW36" s="69"/>
      <c r="VRX36" s="69"/>
      <c r="VRY36" s="69"/>
      <c r="VRZ36" s="69"/>
      <c r="VSA36" s="69"/>
      <c r="VSB36" s="69"/>
      <c r="VSC36" s="69"/>
      <c r="VSD36" s="69"/>
      <c r="VSE36" s="69"/>
      <c r="VSF36" s="69"/>
      <c r="VSG36" s="69"/>
      <c r="VSH36" s="69"/>
      <c r="VSI36" s="69"/>
      <c r="VSJ36" s="69"/>
      <c r="VSK36" s="69"/>
      <c r="VSL36" s="69"/>
      <c r="VSM36" s="69"/>
      <c r="VSN36" s="69"/>
      <c r="VSO36" s="69"/>
      <c r="VSP36" s="69"/>
      <c r="VSQ36" s="69"/>
      <c r="VSR36" s="69"/>
      <c r="VSS36" s="69"/>
      <c r="VST36" s="69"/>
      <c r="VSU36" s="69"/>
      <c r="VSV36" s="69"/>
      <c r="VSW36" s="69"/>
      <c r="VSX36" s="69"/>
      <c r="VSY36" s="69"/>
      <c r="VSZ36" s="69"/>
      <c r="VTA36" s="69"/>
      <c r="VTB36" s="69"/>
      <c r="VTC36" s="69"/>
      <c r="VTD36" s="69"/>
      <c r="VTE36" s="69"/>
      <c r="VTF36" s="69"/>
      <c r="VTG36" s="69"/>
      <c r="VTH36" s="69"/>
      <c r="VTI36" s="69"/>
      <c r="VTJ36" s="69"/>
      <c r="VTK36" s="69"/>
      <c r="VTL36" s="69"/>
      <c r="VTM36" s="69"/>
      <c r="VTN36" s="69"/>
      <c r="VTO36" s="69"/>
      <c r="VTP36" s="69"/>
      <c r="VTQ36" s="69"/>
      <c r="VTR36" s="69"/>
      <c r="VTS36" s="69"/>
      <c r="VTT36" s="69"/>
      <c r="VTU36" s="69"/>
      <c r="VTV36" s="69"/>
      <c r="VTW36" s="69"/>
      <c r="VTX36" s="69"/>
      <c r="VTY36" s="69"/>
      <c r="VTZ36" s="69"/>
      <c r="VUA36" s="69"/>
      <c r="VUB36" s="69"/>
      <c r="VUC36" s="69"/>
      <c r="VUD36" s="69"/>
      <c r="VUE36" s="69"/>
      <c r="VUF36" s="69"/>
      <c r="VUG36" s="69"/>
      <c r="VUH36" s="69"/>
      <c r="VUI36" s="69"/>
      <c r="VUJ36" s="69"/>
      <c r="VUK36" s="69"/>
      <c r="VUL36" s="69"/>
      <c r="VUM36" s="69"/>
      <c r="VUN36" s="69"/>
      <c r="VUO36" s="69"/>
      <c r="VUP36" s="69"/>
      <c r="VUQ36" s="69"/>
      <c r="VUR36" s="69"/>
      <c r="VUS36" s="69"/>
      <c r="VUT36" s="69"/>
      <c r="VUU36" s="69"/>
      <c r="VUV36" s="69"/>
      <c r="VUW36" s="69"/>
      <c r="VUX36" s="69"/>
      <c r="VUY36" s="69"/>
      <c r="VUZ36" s="69"/>
      <c r="VVA36" s="69"/>
      <c r="VVB36" s="69"/>
      <c r="VVC36" s="69"/>
      <c r="VVD36" s="69"/>
      <c r="VVE36" s="69"/>
      <c r="VVF36" s="69"/>
      <c r="VVG36" s="69"/>
      <c r="VVH36" s="69"/>
      <c r="VVI36" s="69"/>
      <c r="VVJ36" s="69"/>
      <c r="VVK36" s="69"/>
      <c r="VVL36" s="69"/>
      <c r="VVM36" s="69"/>
      <c r="VVN36" s="69"/>
      <c r="VVO36" s="69"/>
      <c r="VVP36" s="69"/>
      <c r="VVQ36" s="69"/>
      <c r="VVR36" s="69"/>
      <c r="VVS36" s="69"/>
      <c r="VVT36" s="69"/>
      <c r="VVU36" s="69"/>
      <c r="VVV36" s="69"/>
      <c r="VVW36" s="69"/>
      <c r="VVX36" s="69"/>
      <c r="VVY36" s="69"/>
      <c r="VVZ36" s="69"/>
      <c r="VWA36" s="69"/>
      <c r="VWB36" s="69"/>
      <c r="VWC36" s="69"/>
      <c r="VWD36" s="69"/>
      <c r="VWE36" s="69"/>
      <c r="VWF36" s="69"/>
      <c r="VWG36" s="69"/>
      <c r="VWH36" s="69"/>
      <c r="VWI36" s="69"/>
      <c r="VWJ36" s="69"/>
      <c r="VWK36" s="69"/>
      <c r="VWL36" s="69"/>
      <c r="VWM36" s="69"/>
      <c r="VWN36" s="69"/>
      <c r="VWO36" s="69"/>
      <c r="VWP36" s="69"/>
      <c r="VWQ36" s="69"/>
      <c r="VWR36" s="69"/>
      <c r="VWS36" s="69"/>
      <c r="VWT36" s="69"/>
      <c r="VWU36" s="69"/>
      <c r="VWV36" s="69"/>
      <c r="VWW36" s="69"/>
      <c r="VWX36" s="69"/>
      <c r="VWY36" s="69"/>
      <c r="VWZ36" s="69"/>
      <c r="VXA36" s="69"/>
      <c r="VXB36" s="69"/>
      <c r="VXC36" s="69"/>
      <c r="VXD36" s="69"/>
      <c r="VXE36" s="69"/>
      <c r="VXF36" s="69"/>
      <c r="VXG36" s="69"/>
      <c r="VXH36" s="69"/>
      <c r="VXI36" s="69"/>
      <c r="VXJ36" s="69"/>
      <c r="VXK36" s="69"/>
      <c r="VXL36" s="69"/>
      <c r="VXM36" s="69"/>
      <c r="VXN36" s="69"/>
      <c r="VXO36" s="69"/>
      <c r="VXP36" s="69"/>
      <c r="VXQ36" s="69"/>
      <c r="VXR36" s="69"/>
      <c r="VXS36" s="69"/>
      <c r="VXT36" s="69"/>
      <c r="VXU36" s="69"/>
      <c r="VXV36" s="69"/>
      <c r="VXW36" s="69"/>
      <c r="VXX36" s="69"/>
      <c r="VXY36" s="69"/>
      <c r="VXZ36" s="69"/>
      <c r="VYA36" s="69"/>
      <c r="VYB36" s="69"/>
      <c r="VYC36" s="69"/>
      <c r="VYD36" s="69"/>
      <c r="VYE36" s="69"/>
      <c r="VYF36" s="69"/>
      <c r="VYG36" s="69"/>
      <c r="VYH36" s="69"/>
      <c r="VYI36" s="69"/>
      <c r="VYJ36" s="69"/>
      <c r="VYK36" s="69"/>
      <c r="VYL36" s="69"/>
      <c r="VYM36" s="69"/>
      <c r="VYN36" s="69"/>
      <c r="VYO36" s="69"/>
      <c r="VYP36" s="69"/>
      <c r="VYQ36" s="69"/>
      <c r="VYR36" s="69"/>
      <c r="VYS36" s="69"/>
      <c r="VYT36" s="69"/>
      <c r="VYU36" s="69"/>
      <c r="VYV36" s="69"/>
      <c r="VYW36" s="69"/>
      <c r="VYX36" s="69"/>
      <c r="VYY36" s="69"/>
      <c r="VYZ36" s="69"/>
      <c r="VZA36" s="69"/>
      <c r="VZB36" s="69"/>
      <c r="VZC36" s="69"/>
      <c r="VZD36" s="69"/>
      <c r="VZE36" s="69"/>
      <c r="VZF36" s="69"/>
      <c r="VZG36" s="69"/>
      <c r="VZH36" s="69"/>
      <c r="VZI36" s="69"/>
      <c r="VZJ36" s="69"/>
      <c r="VZK36" s="69"/>
      <c r="VZL36" s="69"/>
      <c r="VZM36" s="69"/>
      <c r="VZN36" s="69"/>
      <c r="VZO36" s="69"/>
      <c r="VZP36" s="69"/>
      <c r="VZQ36" s="69"/>
      <c r="VZR36" s="69"/>
      <c r="VZS36" s="69"/>
      <c r="VZT36" s="69"/>
      <c r="VZU36" s="69"/>
      <c r="VZV36" s="69"/>
      <c r="VZW36" s="69"/>
      <c r="VZX36" s="69"/>
      <c r="VZY36" s="69"/>
      <c r="VZZ36" s="69"/>
      <c r="WAA36" s="69"/>
      <c r="WAB36" s="69"/>
      <c r="WAC36" s="69"/>
      <c r="WAD36" s="69"/>
      <c r="WAE36" s="69"/>
      <c r="WAF36" s="69"/>
      <c r="WAG36" s="69"/>
      <c r="WAH36" s="69"/>
      <c r="WAI36" s="69"/>
      <c r="WAJ36" s="69"/>
      <c r="WAK36" s="69"/>
      <c r="WAL36" s="69"/>
      <c r="WAM36" s="69"/>
      <c r="WAN36" s="69"/>
      <c r="WAO36" s="69"/>
      <c r="WAP36" s="69"/>
      <c r="WAQ36" s="69"/>
      <c r="WAR36" s="69"/>
      <c r="WAS36" s="69"/>
      <c r="WAT36" s="69"/>
      <c r="WAU36" s="69"/>
      <c r="WAV36" s="69"/>
      <c r="WAW36" s="69"/>
      <c r="WAX36" s="69"/>
      <c r="WAY36" s="69"/>
      <c r="WAZ36" s="69"/>
      <c r="WBA36" s="69"/>
      <c r="WBB36" s="69"/>
      <c r="WBC36" s="69"/>
      <c r="WBD36" s="69"/>
      <c r="WBE36" s="69"/>
      <c r="WBF36" s="69"/>
      <c r="WBG36" s="69"/>
      <c r="WBH36" s="69"/>
      <c r="WBI36" s="69"/>
      <c r="WBJ36" s="69"/>
      <c r="WBK36" s="69"/>
      <c r="WBL36" s="69"/>
      <c r="WBM36" s="69"/>
      <c r="WBN36" s="69"/>
      <c r="WBO36" s="69"/>
      <c r="WBP36" s="69"/>
      <c r="WBQ36" s="69"/>
      <c r="WBR36" s="69"/>
      <c r="WBS36" s="69"/>
      <c r="WBT36" s="69"/>
      <c r="WBU36" s="69"/>
      <c r="WBV36" s="69"/>
      <c r="WBW36" s="69"/>
      <c r="WBX36" s="69"/>
      <c r="WBY36" s="69"/>
      <c r="WBZ36" s="69"/>
      <c r="WCA36" s="69"/>
      <c r="WCB36" s="69"/>
      <c r="WCC36" s="69"/>
      <c r="WCD36" s="69"/>
      <c r="WCE36" s="69"/>
      <c r="WCF36" s="69"/>
      <c r="WCG36" s="69"/>
      <c r="WCH36" s="69"/>
      <c r="WCI36" s="69"/>
      <c r="WCJ36" s="69"/>
      <c r="WCK36" s="69"/>
      <c r="WCL36" s="69"/>
      <c r="WCM36" s="69"/>
      <c r="WCN36" s="69"/>
      <c r="WCO36" s="69"/>
      <c r="WCP36" s="69"/>
      <c r="WCQ36" s="69"/>
      <c r="WCR36" s="69"/>
      <c r="WCS36" s="69"/>
      <c r="WCT36" s="69"/>
      <c r="WCU36" s="69"/>
      <c r="WCV36" s="69"/>
      <c r="WCW36" s="69"/>
      <c r="WCX36" s="69"/>
      <c r="WCY36" s="69"/>
      <c r="WCZ36" s="69"/>
      <c r="WDA36" s="69"/>
      <c r="WDB36" s="69"/>
      <c r="WDC36" s="69"/>
      <c r="WDD36" s="69"/>
      <c r="WDE36" s="69"/>
      <c r="WDF36" s="69"/>
      <c r="WDG36" s="69"/>
      <c r="WDH36" s="69"/>
      <c r="WDI36" s="69"/>
      <c r="WDJ36" s="69"/>
      <c r="WDK36" s="69"/>
      <c r="WDL36" s="69"/>
      <c r="WDM36" s="69"/>
      <c r="WDN36" s="69"/>
      <c r="WDO36" s="69"/>
      <c r="WDP36" s="69"/>
      <c r="WDQ36" s="69"/>
      <c r="WDR36" s="69"/>
      <c r="WDS36" s="69"/>
      <c r="WDT36" s="69"/>
      <c r="WDU36" s="69"/>
      <c r="WDV36" s="69"/>
      <c r="WDW36" s="69"/>
      <c r="WDX36" s="69"/>
      <c r="WDY36" s="69"/>
      <c r="WDZ36" s="69"/>
      <c r="WEA36" s="69"/>
      <c r="WEB36" s="69"/>
      <c r="WEC36" s="69"/>
      <c r="WED36" s="69"/>
      <c r="WEE36" s="69"/>
      <c r="WEF36" s="69"/>
      <c r="WEG36" s="69"/>
      <c r="WEH36" s="69"/>
      <c r="WEI36" s="69"/>
      <c r="WEJ36" s="69"/>
      <c r="WEK36" s="69"/>
      <c r="WEL36" s="69"/>
      <c r="WEM36" s="69"/>
      <c r="WEN36" s="69"/>
      <c r="WEO36" s="69"/>
      <c r="WEP36" s="69"/>
      <c r="WEQ36" s="69"/>
      <c r="WER36" s="69"/>
      <c r="WES36" s="69"/>
      <c r="WET36" s="69"/>
      <c r="WEU36" s="69"/>
      <c r="WEV36" s="69"/>
      <c r="WEW36" s="69"/>
      <c r="WEX36" s="69"/>
      <c r="WEY36" s="69"/>
      <c r="WEZ36" s="69"/>
      <c r="WFA36" s="69"/>
      <c r="WFB36" s="69"/>
      <c r="WFC36" s="69"/>
      <c r="WFD36" s="69"/>
      <c r="WFE36" s="69"/>
      <c r="WFF36" s="69"/>
      <c r="WFG36" s="69"/>
      <c r="WFH36" s="69"/>
      <c r="WFI36" s="69"/>
      <c r="WFJ36" s="69"/>
      <c r="WFK36" s="69"/>
      <c r="WFL36" s="69"/>
      <c r="WFM36" s="69"/>
      <c r="WFN36" s="69"/>
      <c r="WFO36" s="69"/>
      <c r="WFP36" s="69"/>
      <c r="WFQ36" s="69"/>
      <c r="WFR36" s="69"/>
      <c r="WFS36" s="69"/>
      <c r="WFT36" s="69"/>
      <c r="WFU36" s="69"/>
      <c r="WFV36" s="69"/>
      <c r="WFW36" s="69"/>
      <c r="WFX36" s="69"/>
      <c r="WFY36" s="69"/>
      <c r="WFZ36" s="69"/>
      <c r="WGA36" s="69"/>
      <c r="WGB36" s="69"/>
      <c r="WGC36" s="69"/>
      <c r="WGD36" s="69"/>
      <c r="WGE36" s="69"/>
      <c r="WGF36" s="69"/>
      <c r="WGG36" s="69"/>
      <c r="WGH36" s="69"/>
      <c r="WGI36" s="69"/>
      <c r="WGJ36" s="69"/>
      <c r="WGK36" s="69"/>
      <c r="WGL36" s="69"/>
      <c r="WGM36" s="69"/>
      <c r="WGN36" s="69"/>
      <c r="WGO36" s="69"/>
      <c r="WGP36" s="69"/>
      <c r="WGQ36" s="69"/>
      <c r="WGR36" s="69"/>
      <c r="WGS36" s="69"/>
      <c r="WGT36" s="69"/>
      <c r="WGU36" s="69"/>
      <c r="WGV36" s="69"/>
      <c r="WGW36" s="69"/>
      <c r="WGX36" s="69"/>
      <c r="WGY36" s="69"/>
      <c r="WGZ36" s="69"/>
      <c r="WHA36" s="69"/>
      <c r="WHB36" s="69"/>
      <c r="WHC36" s="69"/>
      <c r="WHD36" s="69"/>
      <c r="WHE36" s="69"/>
      <c r="WHF36" s="69"/>
      <c r="WHG36" s="69"/>
      <c r="WHH36" s="69"/>
      <c r="WHI36" s="69"/>
      <c r="WHJ36" s="69"/>
      <c r="WHK36" s="69"/>
      <c r="WHL36" s="69"/>
      <c r="WHM36" s="69"/>
      <c r="WHN36" s="69"/>
      <c r="WHO36" s="69"/>
      <c r="WHP36" s="69"/>
      <c r="WHQ36" s="69"/>
      <c r="WHR36" s="69"/>
      <c r="WHS36" s="69"/>
      <c r="WHT36" s="69"/>
      <c r="WHU36" s="69"/>
      <c r="WHV36" s="69"/>
      <c r="WHW36" s="69"/>
      <c r="WHX36" s="69"/>
      <c r="WHY36" s="69"/>
      <c r="WHZ36" s="69"/>
      <c r="WIA36" s="69"/>
      <c r="WIB36" s="69"/>
      <c r="WIC36" s="69"/>
      <c r="WID36" s="69"/>
      <c r="WIE36" s="69"/>
      <c r="WIF36" s="69"/>
      <c r="WIG36" s="69"/>
      <c r="WIH36" s="69"/>
      <c r="WII36" s="69"/>
      <c r="WIJ36" s="69"/>
      <c r="WIK36" s="69"/>
      <c r="WIL36" s="69"/>
      <c r="WIM36" s="69"/>
      <c r="WIN36" s="69"/>
      <c r="WIO36" s="69"/>
      <c r="WIP36" s="69"/>
      <c r="WIQ36" s="69"/>
      <c r="WIR36" s="69"/>
      <c r="WIS36" s="69"/>
      <c r="WIT36" s="69"/>
      <c r="WIU36" s="69"/>
      <c r="WIV36" s="69"/>
      <c r="WIW36" s="69"/>
      <c r="WIX36" s="69"/>
      <c r="WIY36" s="69"/>
      <c r="WIZ36" s="69"/>
      <c r="WJA36" s="69"/>
      <c r="WJB36" s="69"/>
      <c r="WJC36" s="69"/>
      <c r="WJD36" s="69"/>
      <c r="WJE36" s="69"/>
      <c r="WJF36" s="69"/>
      <c r="WJG36" s="69"/>
      <c r="WJH36" s="69"/>
      <c r="WJI36" s="69"/>
      <c r="WJJ36" s="69"/>
      <c r="WJK36" s="69"/>
      <c r="WJL36" s="69"/>
      <c r="WJM36" s="69"/>
      <c r="WJN36" s="69"/>
      <c r="WJO36" s="69"/>
      <c r="WJP36" s="69"/>
      <c r="WJQ36" s="69"/>
      <c r="WJR36" s="69"/>
      <c r="WJS36" s="69"/>
      <c r="WJT36" s="69"/>
      <c r="WJU36" s="69"/>
      <c r="WJV36" s="69"/>
      <c r="WJW36" s="69"/>
      <c r="WJX36" s="69"/>
      <c r="WJY36" s="69"/>
      <c r="WJZ36" s="69"/>
      <c r="WKA36" s="69"/>
      <c r="WKB36" s="69"/>
      <c r="WKC36" s="69"/>
      <c r="WKD36" s="69"/>
      <c r="WKE36" s="69"/>
      <c r="WKF36" s="69"/>
      <c r="WKG36" s="69"/>
      <c r="WKH36" s="69"/>
      <c r="WKI36" s="69"/>
      <c r="WKJ36" s="69"/>
      <c r="WKK36" s="69"/>
      <c r="WKL36" s="69"/>
      <c r="WKM36" s="69"/>
      <c r="WKN36" s="69"/>
      <c r="WKO36" s="69"/>
      <c r="WKP36" s="69"/>
      <c r="WKQ36" s="69"/>
      <c r="WKR36" s="69"/>
      <c r="WKS36" s="69"/>
      <c r="WKT36" s="69"/>
      <c r="WKU36" s="69"/>
      <c r="WKV36" s="69"/>
      <c r="WKW36" s="69"/>
      <c r="WKX36" s="69"/>
      <c r="WKY36" s="69"/>
      <c r="WKZ36" s="69"/>
      <c r="WLA36" s="69"/>
      <c r="WLB36" s="69"/>
      <c r="WLC36" s="69"/>
      <c r="WLD36" s="69"/>
      <c r="WLE36" s="69"/>
      <c r="WLF36" s="69"/>
      <c r="WLG36" s="69"/>
      <c r="WLH36" s="69"/>
      <c r="WLI36" s="69"/>
      <c r="WLJ36" s="69"/>
      <c r="WLK36" s="69"/>
      <c r="WLL36" s="69"/>
      <c r="WLM36" s="69"/>
      <c r="WLN36" s="69"/>
      <c r="WLO36" s="69"/>
      <c r="WLP36" s="69"/>
      <c r="WLQ36" s="69"/>
      <c r="WLR36" s="69"/>
      <c r="WLS36" s="69"/>
      <c r="WLT36" s="69"/>
      <c r="WLU36" s="69"/>
      <c r="WLV36" s="69"/>
      <c r="WLW36" s="69"/>
      <c r="WLX36" s="69"/>
      <c r="WLY36" s="69"/>
      <c r="WLZ36" s="69"/>
      <c r="WMA36" s="69"/>
      <c r="WMB36" s="69"/>
      <c r="WMC36" s="69"/>
      <c r="WMD36" s="69"/>
      <c r="WME36" s="69"/>
      <c r="WMF36" s="69"/>
      <c r="WMG36" s="69"/>
      <c r="WMH36" s="69"/>
      <c r="WMI36" s="69"/>
      <c r="WMJ36" s="69"/>
      <c r="WMK36" s="69"/>
      <c r="WML36" s="69"/>
      <c r="WMM36" s="69"/>
      <c r="WMN36" s="69"/>
      <c r="WMO36" s="69"/>
      <c r="WMP36" s="69"/>
      <c r="WMQ36" s="69"/>
      <c r="WMR36" s="69"/>
      <c r="WMS36" s="69"/>
      <c r="WMT36" s="69"/>
      <c r="WMU36" s="69"/>
      <c r="WMV36" s="69"/>
      <c r="WMW36" s="69"/>
      <c r="WMX36" s="69"/>
      <c r="WMY36" s="69"/>
      <c r="WMZ36" s="69"/>
      <c r="WNA36" s="69"/>
      <c r="WNB36" s="69"/>
      <c r="WNC36" s="69"/>
      <c r="WND36" s="69"/>
      <c r="WNE36" s="69"/>
      <c r="WNF36" s="69"/>
      <c r="WNG36" s="69"/>
      <c r="WNH36" s="69"/>
      <c r="WNI36" s="69"/>
      <c r="WNJ36" s="69"/>
      <c r="WNK36" s="69"/>
      <c r="WNL36" s="69"/>
      <c r="WNM36" s="69"/>
      <c r="WNN36" s="69"/>
      <c r="WNO36" s="69"/>
      <c r="WNP36" s="69"/>
      <c r="WNQ36" s="69"/>
      <c r="WNR36" s="69"/>
      <c r="WNS36" s="69"/>
      <c r="WNT36" s="69"/>
      <c r="WNU36" s="69"/>
      <c r="WNV36" s="69"/>
      <c r="WNW36" s="69"/>
      <c r="WNX36" s="69"/>
      <c r="WNY36" s="69"/>
      <c r="WNZ36" s="69"/>
      <c r="WOA36" s="69"/>
      <c r="WOB36" s="69"/>
      <c r="WOC36" s="69"/>
      <c r="WOD36" s="69"/>
      <c r="WOE36" s="69"/>
      <c r="WOF36" s="69"/>
      <c r="WOG36" s="69"/>
      <c r="WOH36" s="69"/>
      <c r="WOI36" s="69"/>
      <c r="WOJ36" s="69"/>
      <c r="WOK36" s="69"/>
      <c r="WOL36" s="69"/>
      <c r="WOM36" s="69"/>
      <c r="WON36" s="69"/>
      <c r="WOO36" s="69"/>
      <c r="WOP36" s="69"/>
      <c r="WOQ36" s="69"/>
      <c r="WOR36" s="69"/>
      <c r="WOS36" s="69"/>
      <c r="WOT36" s="69"/>
      <c r="WOU36" s="69"/>
      <c r="WOV36" s="69"/>
      <c r="WOW36" s="69"/>
      <c r="WOX36" s="69"/>
      <c r="WOY36" s="69"/>
      <c r="WOZ36" s="69"/>
      <c r="WPA36" s="69"/>
      <c r="WPB36" s="69"/>
      <c r="WPC36" s="69"/>
      <c r="WPD36" s="69"/>
      <c r="WPE36" s="69"/>
      <c r="WPF36" s="69"/>
      <c r="WPG36" s="69"/>
      <c r="WPH36" s="69"/>
      <c r="WPI36" s="69"/>
      <c r="WPJ36" s="69"/>
      <c r="WPK36" s="69"/>
      <c r="WPL36" s="69"/>
      <c r="WPM36" s="69"/>
      <c r="WPN36" s="69"/>
      <c r="WPO36" s="69"/>
      <c r="WPP36" s="69"/>
      <c r="WPQ36" s="69"/>
      <c r="WPR36" s="69"/>
      <c r="WPS36" s="69"/>
      <c r="WPT36" s="69"/>
      <c r="WPU36" s="69"/>
      <c r="WPV36" s="69"/>
      <c r="WPW36" s="69"/>
      <c r="WPX36" s="69"/>
      <c r="WPY36" s="69"/>
      <c r="WPZ36" s="69"/>
      <c r="WQA36" s="69"/>
      <c r="WQB36" s="69"/>
      <c r="WQC36" s="69"/>
      <c r="WQD36" s="69"/>
      <c r="WQE36" s="69"/>
      <c r="WQF36" s="69"/>
      <c r="WQG36" s="69"/>
      <c r="WQH36" s="69"/>
      <c r="WQI36" s="69"/>
      <c r="WQJ36" s="69"/>
      <c r="WQK36" s="69"/>
      <c r="WQL36" s="69"/>
      <c r="WQM36" s="69"/>
      <c r="WQN36" s="69"/>
      <c r="WQO36" s="69"/>
      <c r="WQP36" s="69"/>
      <c r="WQQ36" s="69"/>
      <c r="WQR36" s="69"/>
      <c r="WQS36" s="69"/>
      <c r="WQT36" s="69"/>
      <c r="WQU36" s="69"/>
      <c r="WQV36" s="69"/>
      <c r="WQW36" s="69"/>
      <c r="WQX36" s="69"/>
      <c r="WQY36" s="69"/>
      <c r="WQZ36" s="69"/>
      <c r="WRA36" s="69"/>
      <c r="WRB36" s="69"/>
      <c r="WRC36" s="69"/>
      <c r="WRD36" s="69"/>
      <c r="WRE36" s="69"/>
      <c r="WRF36" s="69"/>
      <c r="WRG36" s="69"/>
      <c r="WRH36" s="69"/>
      <c r="WRI36" s="69"/>
      <c r="WRJ36" s="69"/>
      <c r="WRK36" s="69"/>
      <c r="WRL36" s="69"/>
      <c r="WRM36" s="69"/>
      <c r="WRN36" s="69"/>
      <c r="WRO36" s="69"/>
      <c r="WRP36" s="69"/>
      <c r="WRQ36" s="69"/>
      <c r="WRR36" s="69"/>
      <c r="WRS36" s="69"/>
      <c r="WRT36" s="69"/>
      <c r="WRU36" s="69"/>
      <c r="WRV36" s="69"/>
      <c r="WRW36" s="69"/>
      <c r="WRX36" s="69"/>
      <c r="WRY36" s="69"/>
      <c r="WRZ36" s="69"/>
      <c r="WSA36" s="69"/>
      <c r="WSB36" s="69"/>
      <c r="WSC36" s="69"/>
      <c r="WSD36" s="69"/>
      <c r="WSE36" s="69"/>
      <c r="WSF36" s="69"/>
      <c r="WSG36" s="69"/>
      <c r="WSH36" s="69"/>
      <c r="WSI36" s="69"/>
      <c r="WSJ36" s="69"/>
      <c r="WSK36" s="69"/>
      <c r="WSL36" s="69"/>
      <c r="WSM36" s="69"/>
      <c r="WSN36" s="69"/>
      <c r="WSO36" s="69"/>
      <c r="WSP36" s="69"/>
      <c r="WSQ36" s="69"/>
      <c r="WSR36" s="69"/>
      <c r="WSS36" s="69"/>
      <c r="WST36" s="69"/>
      <c r="WSU36" s="69"/>
      <c r="WSV36" s="69"/>
      <c r="WSW36" s="69"/>
      <c r="WSX36" s="69"/>
      <c r="WSY36" s="69"/>
      <c r="WSZ36" s="69"/>
      <c r="WTA36" s="69"/>
      <c r="WTB36" s="69"/>
      <c r="WTC36" s="69"/>
      <c r="WTD36" s="69"/>
      <c r="WTE36" s="69"/>
      <c r="WTF36" s="69"/>
      <c r="WTG36" s="69"/>
      <c r="WTH36" s="69"/>
      <c r="WTI36" s="69"/>
      <c r="WTJ36" s="69"/>
      <c r="WTK36" s="69"/>
      <c r="WTL36" s="69"/>
      <c r="WTM36" s="69"/>
      <c r="WTN36" s="69"/>
      <c r="WTO36" s="69"/>
      <c r="WTP36" s="69"/>
      <c r="WTQ36" s="69"/>
      <c r="WTR36" s="69"/>
      <c r="WTS36" s="69"/>
      <c r="WTT36" s="69"/>
      <c r="WTU36" s="69"/>
      <c r="WTV36" s="69"/>
      <c r="WTW36" s="69"/>
      <c r="WTX36" s="69"/>
      <c r="WTY36" s="69"/>
      <c r="WTZ36" s="69"/>
      <c r="WUA36" s="69"/>
      <c r="WUB36" s="69"/>
      <c r="WUC36" s="69"/>
      <c r="WUD36" s="69"/>
      <c r="WUE36" s="69"/>
      <c r="WUF36" s="69"/>
      <c r="WUG36" s="69"/>
      <c r="WUH36" s="69"/>
      <c r="WUI36" s="69"/>
      <c r="WUJ36" s="69"/>
      <c r="WUK36" s="69"/>
      <c r="WUL36" s="69"/>
      <c r="WUM36" s="69"/>
      <c r="WUN36" s="69"/>
      <c r="WUO36" s="69"/>
      <c r="WUP36" s="69"/>
      <c r="WUQ36" s="69"/>
      <c r="WUR36" s="69"/>
      <c r="WUS36" s="69"/>
      <c r="WUT36" s="69"/>
      <c r="WUU36" s="69"/>
      <c r="WUV36" s="69"/>
      <c r="WUW36" s="69"/>
      <c r="WUX36" s="69"/>
      <c r="WUY36" s="69"/>
      <c r="WUZ36" s="69"/>
      <c r="WVA36" s="69"/>
      <c r="WVB36" s="69"/>
      <c r="WVC36" s="69"/>
      <c r="WVD36" s="69"/>
      <c r="WVE36" s="69"/>
      <c r="WVF36" s="69"/>
      <c r="WVG36" s="69"/>
      <c r="WVH36" s="69"/>
      <c r="WVI36" s="69"/>
      <c r="WVJ36" s="69"/>
      <c r="WVK36" s="69"/>
      <c r="WVL36" s="69"/>
      <c r="WVM36" s="69"/>
      <c r="WVN36" s="69"/>
      <c r="WVO36" s="69"/>
      <c r="WVP36" s="69"/>
      <c r="WVQ36" s="69"/>
      <c r="WVR36" s="69"/>
      <c r="WVS36" s="69"/>
      <c r="WVT36" s="69"/>
      <c r="WVU36" s="69"/>
      <c r="WVV36" s="69"/>
      <c r="WVW36" s="69"/>
      <c r="WVX36" s="69"/>
      <c r="WVY36" s="69"/>
      <c r="WVZ36" s="69"/>
      <c r="WWA36" s="69"/>
      <c r="WWB36" s="69"/>
      <c r="WWC36" s="69"/>
      <c r="WWD36" s="69"/>
      <c r="WWE36" s="69"/>
      <c r="WWF36" s="69"/>
      <c r="WWG36" s="69"/>
      <c r="WWH36" s="69"/>
      <c r="WWI36" s="69"/>
      <c r="WWJ36" s="69"/>
      <c r="WWK36" s="69"/>
      <c r="WWL36" s="69"/>
      <c r="WWM36" s="69"/>
      <c r="WWN36" s="69"/>
      <c r="WWO36" s="69"/>
      <c r="WWP36" s="69"/>
      <c r="WWQ36" s="69"/>
      <c r="WWR36" s="69"/>
      <c r="WWS36" s="69"/>
      <c r="WWT36" s="69"/>
      <c r="WWU36" s="69"/>
      <c r="WWV36" s="69"/>
      <c r="WWW36" s="69"/>
      <c r="WWX36" s="69"/>
      <c r="WWY36" s="69"/>
      <c r="WWZ36" s="69"/>
      <c r="WXA36" s="69"/>
      <c r="WXB36" s="69"/>
      <c r="WXC36" s="69"/>
      <c r="WXD36" s="69"/>
      <c r="WXE36" s="69"/>
      <c r="WXF36" s="69"/>
      <c r="WXG36" s="69"/>
      <c r="WXH36" s="69"/>
      <c r="WXI36" s="69"/>
      <c r="WXJ36" s="69"/>
      <c r="WXK36" s="69"/>
      <c r="WXL36" s="69"/>
      <c r="WXM36" s="69"/>
      <c r="WXN36" s="69"/>
      <c r="WXO36" s="69"/>
      <c r="WXP36" s="69"/>
      <c r="WXQ36" s="69"/>
      <c r="WXR36" s="69"/>
      <c r="WXS36" s="69"/>
      <c r="WXT36" s="69"/>
      <c r="WXU36" s="69"/>
      <c r="WXV36" s="69"/>
      <c r="WXW36" s="69"/>
      <c r="WXX36" s="69"/>
      <c r="WXY36" s="69"/>
      <c r="WXZ36" s="69"/>
      <c r="WYA36" s="69"/>
      <c r="WYB36" s="69"/>
      <c r="WYC36" s="69"/>
      <c r="WYD36" s="69"/>
      <c r="WYE36" s="69"/>
      <c r="WYF36" s="69"/>
      <c r="WYG36" s="69"/>
      <c r="WYH36" s="69"/>
      <c r="WYI36" s="69"/>
      <c r="WYJ36" s="69"/>
      <c r="WYK36" s="69"/>
      <c r="WYL36" s="69"/>
      <c r="WYM36" s="69"/>
      <c r="WYN36" s="69"/>
      <c r="WYO36" s="69"/>
      <c r="WYP36" s="69"/>
      <c r="WYQ36" s="69"/>
      <c r="WYR36" s="69"/>
      <c r="WYS36" s="69"/>
      <c r="WYT36" s="69"/>
      <c r="WYU36" s="69"/>
      <c r="WYV36" s="69"/>
      <c r="WYW36" s="69"/>
      <c r="WYX36" s="69"/>
      <c r="WYY36" s="69"/>
      <c r="WYZ36" s="69"/>
      <c r="WZA36" s="69"/>
      <c r="WZB36" s="69"/>
      <c r="WZC36" s="69"/>
      <c r="WZD36" s="69"/>
      <c r="WZE36" s="69"/>
      <c r="WZF36" s="69"/>
      <c r="WZG36" s="69"/>
      <c r="WZH36" s="69"/>
      <c r="WZI36" s="69"/>
      <c r="WZJ36" s="69"/>
      <c r="WZK36" s="69"/>
      <c r="WZL36" s="69"/>
      <c r="WZM36" s="69"/>
      <c r="WZN36" s="69"/>
      <c r="WZO36" s="69"/>
      <c r="WZP36" s="69"/>
      <c r="WZQ36" s="69"/>
      <c r="WZR36" s="69"/>
      <c r="WZS36" s="69"/>
      <c r="WZT36" s="69"/>
      <c r="WZU36" s="69"/>
      <c r="WZV36" s="69"/>
      <c r="WZW36" s="69"/>
      <c r="WZX36" s="69"/>
      <c r="WZY36" s="69"/>
      <c r="WZZ36" s="69"/>
      <c r="XAA36" s="69"/>
      <c r="XAB36" s="69"/>
      <c r="XAC36" s="69"/>
      <c r="XAD36" s="69"/>
      <c r="XAE36" s="69"/>
      <c r="XAF36" s="69"/>
      <c r="XAG36" s="69"/>
      <c r="XAH36" s="69"/>
      <c r="XAI36" s="69"/>
      <c r="XAJ36" s="69"/>
      <c r="XAK36" s="69"/>
      <c r="XAL36" s="69"/>
      <c r="XAM36" s="69"/>
      <c r="XAN36" s="69"/>
      <c r="XAO36" s="69"/>
      <c r="XAP36" s="69"/>
      <c r="XAQ36" s="69"/>
      <c r="XAR36" s="69"/>
      <c r="XAS36" s="69"/>
      <c r="XAT36" s="69"/>
      <c r="XAU36" s="69"/>
      <c r="XAV36" s="69"/>
      <c r="XAW36" s="69"/>
      <c r="XAX36" s="69"/>
      <c r="XAY36" s="69"/>
      <c r="XAZ36" s="69"/>
      <c r="XBA36" s="69"/>
      <c r="XBB36" s="69"/>
      <c r="XBC36" s="69"/>
      <c r="XBD36" s="69"/>
      <c r="XBE36" s="69"/>
      <c r="XBF36" s="69"/>
      <c r="XBG36" s="69"/>
      <c r="XBH36" s="69"/>
      <c r="XBI36" s="69"/>
      <c r="XBJ36" s="69"/>
      <c r="XBK36" s="69"/>
      <c r="XBL36" s="69"/>
      <c r="XBM36" s="69"/>
      <c r="XBN36" s="69"/>
      <c r="XBO36" s="69"/>
      <c r="XBP36" s="69"/>
      <c r="XBQ36" s="69"/>
      <c r="XBR36" s="69"/>
      <c r="XBS36" s="69"/>
      <c r="XBT36" s="69"/>
      <c r="XBU36" s="69"/>
      <c r="XBV36" s="69"/>
      <c r="XBW36" s="69"/>
      <c r="XBX36" s="69"/>
      <c r="XBY36" s="69"/>
      <c r="XBZ36" s="69"/>
      <c r="XCA36" s="69"/>
      <c r="XCB36" s="69"/>
      <c r="XCC36" s="69"/>
      <c r="XCD36" s="69"/>
      <c r="XCE36" s="69"/>
      <c r="XCF36" s="69"/>
      <c r="XCG36" s="69"/>
      <c r="XCH36" s="69"/>
      <c r="XCI36" s="69"/>
      <c r="XCJ36" s="69"/>
      <c r="XCK36" s="69"/>
      <c r="XCL36" s="69"/>
      <c r="XCM36" s="69"/>
      <c r="XCN36" s="69"/>
      <c r="XCO36" s="69"/>
      <c r="XCP36" s="69"/>
      <c r="XCQ36" s="69"/>
      <c r="XCR36" s="69"/>
      <c r="XCS36" s="69"/>
      <c r="XCT36" s="69"/>
      <c r="XCU36" s="69"/>
      <c r="XCV36" s="69"/>
      <c r="XCW36" s="69"/>
      <c r="XCX36" s="69"/>
      <c r="XCY36" s="69"/>
      <c r="XCZ36" s="69"/>
      <c r="XDA36" s="69"/>
      <c r="XDB36" s="69"/>
      <c r="XDC36" s="69"/>
      <c r="XDD36" s="69"/>
      <c r="XDE36" s="69"/>
      <c r="XDF36" s="69"/>
      <c r="XDG36" s="69"/>
      <c r="XDH36" s="69"/>
      <c r="XDI36" s="69"/>
      <c r="XDJ36" s="69"/>
      <c r="XDK36" s="69"/>
      <c r="XDL36" s="69"/>
      <c r="XDM36" s="69"/>
      <c r="XDN36" s="69"/>
      <c r="XDO36" s="69"/>
      <c r="XDP36" s="69"/>
      <c r="XDQ36" s="69"/>
      <c r="XDR36" s="69"/>
      <c r="XDS36" s="69"/>
      <c r="XDT36" s="69"/>
      <c r="XDU36" s="69"/>
      <c r="XDV36" s="69"/>
      <c r="XDW36" s="69"/>
      <c r="XDX36" s="69"/>
      <c r="XDY36" s="69"/>
      <c r="XDZ36" s="69"/>
      <c r="XEA36" s="69"/>
      <c r="XEB36" s="69"/>
      <c r="XEC36" s="69"/>
      <c r="XED36" s="69"/>
      <c r="XEE36" s="69"/>
      <c r="XEF36" s="69"/>
      <c r="XEG36" s="69"/>
      <c r="XEH36" s="69"/>
      <c r="XEI36" s="69"/>
      <c r="XEJ36" s="69"/>
      <c r="XEK36" s="69"/>
      <c r="XEL36" s="69"/>
      <c r="XEM36" s="69"/>
      <c r="XEN36" s="69"/>
      <c r="XEO36" s="69"/>
      <c r="XEP36" s="69"/>
    </row>
    <row r="37" spans="1:16370" hidden="1" outlineLevel="1">
      <c r="A37" s="70" t="s">
        <v>123</v>
      </c>
      <c r="B37" s="85" t="s">
        <v>85</v>
      </c>
      <c r="C37" s="72"/>
      <c r="D37" s="77">
        <f>'0'!D12</f>
        <v>15</v>
      </c>
      <c r="E37" s="77">
        <f>'0'!E12</f>
        <v>16</v>
      </c>
      <c r="F37" s="77">
        <f>'0'!F12</f>
        <v>17</v>
      </c>
      <c r="G37" s="77">
        <f>'0'!G12</f>
        <v>18</v>
      </c>
      <c r="H37" s="77">
        <f>'0'!H12</f>
        <v>19</v>
      </c>
      <c r="I37" s="77">
        <f>'0'!I12</f>
        <v>20</v>
      </c>
      <c r="J37" s="77">
        <f>'0'!J12</f>
        <v>20</v>
      </c>
      <c r="K37" s="77">
        <f>'0'!K12</f>
        <v>22</v>
      </c>
      <c r="L37" s="77">
        <f>'0'!L12</f>
        <v>24</v>
      </c>
      <c r="M37" s="77">
        <f>'0'!M12</f>
        <v>26</v>
      </c>
      <c r="N37" s="77">
        <f>'0'!N12</f>
        <v>28</v>
      </c>
      <c r="O37" s="77">
        <f>'0'!O12</f>
        <v>30</v>
      </c>
      <c r="P37" s="77">
        <f>'0'!P12</f>
        <v>30</v>
      </c>
      <c r="Q37" s="77">
        <f>'0'!Q12</f>
        <v>30</v>
      </c>
      <c r="R37" s="77">
        <f>'0'!R12</f>
        <v>30</v>
      </c>
      <c r="S37" s="77">
        <f>'0'!S12</f>
        <v>30</v>
      </c>
      <c r="T37" s="77">
        <f>'0'!T12</f>
        <v>30</v>
      </c>
      <c r="U37" s="77">
        <f>'0'!U12</f>
        <v>30</v>
      </c>
      <c r="V37" s="77">
        <f>'0'!V12</f>
        <v>30</v>
      </c>
      <c r="W37" s="77">
        <f>'0'!W12</f>
        <v>30</v>
      </c>
      <c r="X37" s="77">
        <f>'0'!X12</f>
        <v>30</v>
      </c>
      <c r="Y37" s="77">
        <f>'0'!Y12</f>
        <v>30</v>
      </c>
      <c r="Z37" s="77">
        <f>'0'!Z12</f>
        <v>30</v>
      </c>
      <c r="AA37" s="77">
        <f>'0'!AA12</f>
        <v>30</v>
      </c>
      <c r="AB37" s="77">
        <f>'0'!AB12</f>
        <v>30</v>
      </c>
      <c r="AC37" s="77">
        <f>'0'!AC12</f>
        <v>30</v>
      </c>
      <c r="AD37" s="77">
        <f>'0'!AD12</f>
        <v>30</v>
      </c>
      <c r="AE37" s="77">
        <f>'0'!AE12</f>
        <v>30</v>
      </c>
      <c r="AF37" s="77">
        <f>'0'!AF12</f>
        <v>30</v>
      </c>
      <c r="AG37" s="77">
        <f>'0'!AG12</f>
        <v>30</v>
      </c>
      <c r="AH37" s="77">
        <f>'0'!AH12</f>
        <v>30</v>
      </c>
      <c r="AI37" s="77">
        <f>'0'!AI12</f>
        <v>30</v>
      </c>
      <c r="AJ37" s="77">
        <f>'0'!AJ12</f>
        <v>30</v>
      </c>
      <c r="AK37" s="77">
        <f>'0'!AK12</f>
        <v>30</v>
      </c>
      <c r="AL37" s="77">
        <f>'0'!AL12</f>
        <v>30</v>
      </c>
      <c r="AM37" s="77">
        <f>'0'!AM12</f>
        <v>30</v>
      </c>
      <c r="AN37" s="81"/>
      <c r="AO37" s="75">
        <f>O37</f>
        <v>30</v>
      </c>
      <c r="AP37" s="75">
        <f>AA37</f>
        <v>30</v>
      </c>
      <c r="AQ37" s="75">
        <f>AM37</f>
        <v>30</v>
      </c>
    </row>
    <row r="38" spans="1:16370" hidden="1" outlineLevel="1">
      <c r="A38" s="70" t="s">
        <v>147</v>
      </c>
      <c r="B38" s="85" t="s">
        <v>85</v>
      </c>
      <c r="C38" s="72"/>
      <c r="D38" s="86">
        <v>30</v>
      </c>
      <c r="E38" s="86">
        <v>30</v>
      </c>
      <c r="F38" s="86">
        <v>30</v>
      </c>
      <c r="G38" s="86">
        <v>30</v>
      </c>
      <c r="H38" s="86">
        <v>30</v>
      </c>
      <c r="I38" s="86">
        <v>30</v>
      </c>
      <c r="J38" s="86">
        <v>30</v>
      </c>
      <c r="K38" s="86">
        <v>30</v>
      </c>
      <c r="L38" s="86">
        <v>30</v>
      </c>
      <c r="M38" s="86">
        <v>30</v>
      </c>
      <c r="N38" s="86">
        <v>30</v>
      </c>
      <c r="O38" s="86">
        <v>30</v>
      </c>
      <c r="P38" s="86">
        <v>30</v>
      </c>
      <c r="Q38" s="86">
        <v>30</v>
      </c>
      <c r="R38" s="86">
        <v>30</v>
      </c>
      <c r="S38" s="86">
        <v>30</v>
      </c>
      <c r="T38" s="86">
        <v>30</v>
      </c>
      <c r="U38" s="86">
        <v>30</v>
      </c>
      <c r="V38" s="86">
        <v>30</v>
      </c>
      <c r="W38" s="86">
        <v>30</v>
      </c>
      <c r="X38" s="86">
        <v>30</v>
      </c>
      <c r="Y38" s="86">
        <v>30</v>
      </c>
      <c r="Z38" s="86">
        <v>30</v>
      </c>
      <c r="AA38" s="86">
        <v>30</v>
      </c>
      <c r="AB38" s="86">
        <v>30</v>
      </c>
      <c r="AC38" s="86">
        <v>30</v>
      </c>
      <c r="AD38" s="86">
        <v>30</v>
      </c>
      <c r="AE38" s="86">
        <v>30</v>
      </c>
      <c r="AF38" s="86">
        <v>30</v>
      </c>
      <c r="AG38" s="86">
        <v>30</v>
      </c>
      <c r="AH38" s="86">
        <v>30</v>
      </c>
      <c r="AI38" s="86">
        <v>30</v>
      </c>
      <c r="AJ38" s="86">
        <v>30</v>
      </c>
      <c r="AK38" s="86">
        <v>30</v>
      </c>
      <c r="AL38" s="86">
        <v>30</v>
      </c>
      <c r="AM38" s="86">
        <v>30</v>
      </c>
      <c r="AN38" s="81"/>
      <c r="AO38" s="75">
        <f>AVERAGE(D38:O38)</f>
        <v>30</v>
      </c>
      <c r="AP38" s="75">
        <f>AVERAGE(P38:AA38)</f>
        <v>30</v>
      </c>
      <c r="AQ38" s="75">
        <f>AVERAGE(AB38:AM38)</f>
        <v>30</v>
      </c>
    </row>
    <row r="39" spans="1:16370" hidden="1" outlineLevel="1">
      <c r="A39" s="70" t="s">
        <v>148</v>
      </c>
      <c r="B39" s="85" t="s">
        <v>85</v>
      </c>
      <c r="C39" s="72"/>
      <c r="D39" s="77">
        <f t="shared" ref="D39:AM39" si="24">D37*D38</f>
        <v>450</v>
      </c>
      <c r="E39" s="77">
        <f t="shared" si="24"/>
        <v>480</v>
      </c>
      <c r="F39" s="77">
        <f t="shared" si="24"/>
        <v>510</v>
      </c>
      <c r="G39" s="77">
        <f t="shared" si="24"/>
        <v>540</v>
      </c>
      <c r="H39" s="77">
        <f t="shared" si="24"/>
        <v>570</v>
      </c>
      <c r="I39" s="77">
        <f t="shared" si="24"/>
        <v>600</v>
      </c>
      <c r="J39" s="77">
        <f t="shared" si="24"/>
        <v>600</v>
      </c>
      <c r="K39" s="77">
        <f t="shared" si="24"/>
        <v>660</v>
      </c>
      <c r="L39" s="77">
        <f t="shared" si="24"/>
        <v>720</v>
      </c>
      <c r="M39" s="77">
        <f t="shared" si="24"/>
        <v>780</v>
      </c>
      <c r="N39" s="77">
        <f t="shared" si="24"/>
        <v>840</v>
      </c>
      <c r="O39" s="77">
        <f t="shared" si="24"/>
        <v>900</v>
      </c>
      <c r="P39" s="77">
        <f t="shared" si="24"/>
        <v>900</v>
      </c>
      <c r="Q39" s="77">
        <f t="shared" si="24"/>
        <v>900</v>
      </c>
      <c r="R39" s="77">
        <f t="shared" si="24"/>
        <v>900</v>
      </c>
      <c r="S39" s="77">
        <f t="shared" si="24"/>
        <v>900</v>
      </c>
      <c r="T39" s="77">
        <f t="shared" si="24"/>
        <v>900</v>
      </c>
      <c r="U39" s="77">
        <f t="shared" si="24"/>
        <v>900</v>
      </c>
      <c r="V39" s="77">
        <f t="shared" si="24"/>
        <v>900</v>
      </c>
      <c r="W39" s="77">
        <f t="shared" si="24"/>
        <v>900</v>
      </c>
      <c r="X39" s="77">
        <f t="shared" si="24"/>
        <v>900</v>
      </c>
      <c r="Y39" s="77">
        <f t="shared" si="24"/>
        <v>900</v>
      </c>
      <c r="Z39" s="77">
        <f t="shared" si="24"/>
        <v>900</v>
      </c>
      <c r="AA39" s="77">
        <f t="shared" si="24"/>
        <v>900</v>
      </c>
      <c r="AB39" s="77">
        <f t="shared" si="24"/>
        <v>900</v>
      </c>
      <c r="AC39" s="77">
        <f t="shared" si="24"/>
        <v>900</v>
      </c>
      <c r="AD39" s="77">
        <f t="shared" si="24"/>
        <v>900</v>
      </c>
      <c r="AE39" s="77">
        <f t="shared" si="24"/>
        <v>900</v>
      </c>
      <c r="AF39" s="77">
        <f t="shared" si="24"/>
        <v>900</v>
      </c>
      <c r="AG39" s="77">
        <f t="shared" si="24"/>
        <v>900</v>
      </c>
      <c r="AH39" s="77">
        <f t="shared" si="24"/>
        <v>900</v>
      </c>
      <c r="AI39" s="77">
        <f t="shared" si="24"/>
        <v>900</v>
      </c>
      <c r="AJ39" s="77">
        <f t="shared" si="24"/>
        <v>900</v>
      </c>
      <c r="AK39" s="77">
        <f t="shared" si="24"/>
        <v>900</v>
      </c>
      <c r="AL39" s="77">
        <f t="shared" si="24"/>
        <v>900</v>
      </c>
      <c r="AM39" s="77">
        <f t="shared" si="24"/>
        <v>900</v>
      </c>
      <c r="AN39" s="81"/>
      <c r="AO39" s="75">
        <f>SUM(D39:O39)</f>
        <v>7650</v>
      </c>
      <c r="AP39" s="75">
        <f>SUM(P39:AA39)</f>
        <v>10800</v>
      </c>
      <c r="AQ39" s="75">
        <f>SUM(AB39:AM39)</f>
        <v>10800</v>
      </c>
    </row>
    <row r="40" spans="1:16370" hidden="1" outlineLevel="1">
      <c r="A40" s="70" t="s">
        <v>149</v>
      </c>
      <c r="B40" s="71" t="s">
        <v>157</v>
      </c>
      <c r="C40" s="72"/>
      <c r="D40" s="86">
        <v>50</v>
      </c>
      <c r="E40" s="86">
        <v>50</v>
      </c>
      <c r="F40" s="86">
        <v>50</v>
      </c>
      <c r="G40" s="86">
        <v>50</v>
      </c>
      <c r="H40" s="86">
        <v>50</v>
      </c>
      <c r="I40" s="86">
        <v>50</v>
      </c>
      <c r="J40" s="86">
        <v>50</v>
      </c>
      <c r="K40" s="86">
        <v>50</v>
      </c>
      <c r="L40" s="86">
        <v>50</v>
      </c>
      <c r="M40" s="86">
        <v>50</v>
      </c>
      <c r="N40" s="86">
        <v>50</v>
      </c>
      <c r="O40" s="86">
        <v>50</v>
      </c>
      <c r="P40" s="86">
        <v>50</v>
      </c>
      <c r="Q40" s="86">
        <v>50</v>
      </c>
      <c r="R40" s="86">
        <v>50</v>
      </c>
      <c r="S40" s="86">
        <v>50</v>
      </c>
      <c r="T40" s="86">
        <v>50</v>
      </c>
      <c r="U40" s="86">
        <v>50</v>
      </c>
      <c r="V40" s="86">
        <v>50</v>
      </c>
      <c r="W40" s="86">
        <v>50</v>
      </c>
      <c r="X40" s="86">
        <v>50</v>
      </c>
      <c r="Y40" s="86">
        <v>50</v>
      </c>
      <c r="Z40" s="86">
        <v>50</v>
      </c>
      <c r="AA40" s="86">
        <v>50</v>
      </c>
      <c r="AB40" s="86">
        <v>50</v>
      </c>
      <c r="AC40" s="86">
        <v>50</v>
      </c>
      <c r="AD40" s="86">
        <v>50</v>
      </c>
      <c r="AE40" s="86">
        <v>50</v>
      </c>
      <c r="AF40" s="86">
        <v>50</v>
      </c>
      <c r="AG40" s="86">
        <v>50</v>
      </c>
      <c r="AH40" s="86">
        <v>50</v>
      </c>
      <c r="AI40" s="86">
        <v>50</v>
      </c>
      <c r="AJ40" s="86">
        <v>50</v>
      </c>
      <c r="AK40" s="86">
        <v>50</v>
      </c>
      <c r="AL40" s="86">
        <v>50</v>
      </c>
      <c r="AM40" s="86">
        <v>50</v>
      </c>
      <c r="AN40" s="81"/>
      <c r="AO40" s="75">
        <f>AVERAGE(D40:O40)</f>
        <v>50</v>
      </c>
      <c r="AP40" s="75">
        <f>AVERAGE(P40:AA40)</f>
        <v>50</v>
      </c>
      <c r="AQ40" s="75">
        <f>AVERAGE(AB40:AM40)</f>
        <v>50</v>
      </c>
    </row>
    <row r="41" spans="1:16370" hidden="1" outlineLevel="1">
      <c r="A41" s="70" t="s">
        <v>150</v>
      </c>
      <c r="B41" s="71" t="s">
        <v>157</v>
      </c>
      <c r="C41" s="72"/>
      <c r="D41" s="77">
        <f t="shared" ref="D41:AM41" si="25">D39*D40</f>
        <v>22500</v>
      </c>
      <c r="E41" s="77">
        <f t="shared" si="25"/>
        <v>24000</v>
      </c>
      <c r="F41" s="77">
        <f t="shared" si="25"/>
        <v>25500</v>
      </c>
      <c r="G41" s="77">
        <f t="shared" si="25"/>
        <v>27000</v>
      </c>
      <c r="H41" s="77">
        <f t="shared" si="25"/>
        <v>28500</v>
      </c>
      <c r="I41" s="77">
        <f t="shared" si="25"/>
        <v>30000</v>
      </c>
      <c r="J41" s="77">
        <f t="shared" si="25"/>
        <v>30000</v>
      </c>
      <c r="K41" s="77">
        <f t="shared" si="25"/>
        <v>33000</v>
      </c>
      <c r="L41" s="77">
        <f t="shared" si="25"/>
        <v>36000</v>
      </c>
      <c r="M41" s="77">
        <f t="shared" si="25"/>
        <v>39000</v>
      </c>
      <c r="N41" s="77">
        <f t="shared" si="25"/>
        <v>42000</v>
      </c>
      <c r="O41" s="77">
        <f t="shared" si="25"/>
        <v>45000</v>
      </c>
      <c r="P41" s="77">
        <f t="shared" si="25"/>
        <v>45000</v>
      </c>
      <c r="Q41" s="77">
        <f t="shared" si="25"/>
        <v>45000</v>
      </c>
      <c r="R41" s="77">
        <f t="shared" si="25"/>
        <v>45000</v>
      </c>
      <c r="S41" s="77">
        <f t="shared" si="25"/>
        <v>45000</v>
      </c>
      <c r="T41" s="77">
        <f t="shared" si="25"/>
        <v>45000</v>
      </c>
      <c r="U41" s="77">
        <f t="shared" si="25"/>
        <v>45000</v>
      </c>
      <c r="V41" s="77">
        <f t="shared" si="25"/>
        <v>45000</v>
      </c>
      <c r="W41" s="77">
        <f t="shared" si="25"/>
        <v>45000</v>
      </c>
      <c r="X41" s="77">
        <f t="shared" si="25"/>
        <v>45000</v>
      </c>
      <c r="Y41" s="77">
        <f t="shared" si="25"/>
        <v>45000</v>
      </c>
      <c r="Z41" s="77">
        <f t="shared" si="25"/>
        <v>45000</v>
      </c>
      <c r="AA41" s="77">
        <f t="shared" si="25"/>
        <v>45000</v>
      </c>
      <c r="AB41" s="77">
        <f t="shared" si="25"/>
        <v>45000</v>
      </c>
      <c r="AC41" s="77">
        <f t="shared" si="25"/>
        <v>45000</v>
      </c>
      <c r="AD41" s="77">
        <f t="shared" si="25"/>
        <v>45000</v>
      </c>
      <c r="AE41" s="77">
        <f t="shared" si="25"/>
        <v>45000</v>
      </c>
      <c r="AF41" s="77">
        <f t="shared" si="25"/>
        <v>45000</v>
      </c>
      <c r="AG41" s="77">
        <f t="shared" si="25"/>
        <v>45000</v>
      </c>
      <c r="AH41" s="77">
        <f t="shared" si="25"/>
        <v>45000</v>
      </c>
      <c r="AI41" s="77">
        <f t="shared" si="25"/>
        <v>45000</v>
      </c>
      <c r="AJ41" s="77">
        <f t="shared" si="25"/>
        <v>45000</v>
      </c>
      <c r="AK41" s="77">
        <f t="shared" si="25"/>
        <v>45000</v>
      </c>
      <c r="AL41" s="77">
        <f t="shared" si="25"/>
        <v>45000</v>
      </c>
      <c r="AM41" s="77">
        <f t="shared" si="25"/>
        <v>45000</v>
      </c>
      <c r="AN41" s="81"/>
      <c r="AO41" s="75">
        <f>SUM(D41:O41)</f>
        <v>382500</v>
      </c>
      <c r="AP41" s="75">
        <f>SUM(P41:AA41)</f>
        <v>540000</v>
      </c>
      <c r="AQ41" s="75">
        <f>SUM(AB41:AM41)</f>
        <v>540000</v>
      </c>
    </row>
    <row r="42" spans="1:16370" hidden="1" outlineLevel="1">
      <c r="A42" s="70" t="s">
        <v>153</v>
      </c>
      <c r="B42" s="71" t="s">
        <v>157</v>
      </c>
      <c r="C42" s="72"/>
      <c r="D42" s="77"/>
      <c r="E42" s="77">
        <f t="shared" ref="E42:AM42" si="26">-D49/2</f>
        <v>65.625000000000014</v>
      </c>
      <c r="F42" s="77">
        <f t="shared" si="26"/>
        <v>195.97265625</v>
      </c>
      <c r="G42" s="77">
        <f t="shared" si="26"/>
        <v>324.77959472656249</v>
      </c>
      <c r="H42" s="77">
        <f t="shared" si="26"/>
        <v>452.35848923136399</v>
      </c>
      <c r="I42" s="77">
        <f t="shared" si="26"/>
        <v>578.80360120696093</v>
      </c>
      <c r="J42" s="77">
        <f t="shared" si="26"/>
        <v>704.20252387015933</v>
      </c>
      <c r="K42" s="77">
        <f t="shared" si="26"/>
        <v>824.26108141245413</v>
      </c>
      <c r="L42" s="77">
        <f t="shared" si="26"/>
        <v>943.78067681015739</v>
      </c>
      <c r="M42" s="77">
        <f t="shared" si="26"/>
        <v>1071.5390755374603</v>
      </c>
      <c r="N42" s="77">
        <f t="shared" si="26"/>
        <v>1206.8721685203527</v>
      </c>
      <c r="O42" s="77">
        <f t="shared" si="26"/>
        <v>1349.1948539388252</v>
      </c>
      <c r="P42" s="77">
        <f t="shared" si="26"/>
        <v>1497.9671449260959</v>
      </c>
      <c r="Q42" s="77">
        <f t="shared" si="26"/>
        <v>1643.9407720122774</v>
      </c>
      <c r="R42" s="77">
        <f t="shared" si="26"/>
        <v>1778.6096057689913</v>
      </c>
      <c r="S42" s="77">
        <f t="shared" si="26"/>
        <v>1902.874577223437</v>
      </c>
      <c r="T42" s="77">
        <f t="shared" si="26"/>
        <v>2017.5393579885451</v>
      </c>
      <c r="U42" s="77">
        <f t="shared" si="26"/>
        <v>2123.3456188005352</v>
      </c>
      <c r="V42" s="77">
        <f t="shared" si="26"/>
        <v>2220.9777317494586</v>
      </c>
      <c r="W42" s="77">
        <f t="shared" si="26"/>
        <v>2311.067197209441</v>
      </c>
      <c r="X42" s="77">
        <f t="shared" si="26"/>
        <v>2394.1967284847847</v>
      </c>
      <c r="Y42" s="77">
        <f t="shared" si="26"/>
        <v>2470.9040208943275</v>
      </c>
      <c r="Z42" s="77">
        <f t="shared" si="26"/>
        <v>2541.6852296721563</v>
      </c>
      <c r="AA42" s="77">
        <f t="shared" si="26"/>
        <v>2606.9981791802952</v>
      </c>
      <c r="AB42" s="77">
        <f t="shared" si="26"/>
        <v>2667.2653241910903</v>
      </c>
      <c r="AC42" s="77">
        <f t="shared" si="26"/>
        <v>2722.8764823933329</v>
      </c>
      <c r="AD42" s="77">
        <f t="shared" si="26"/>
        <v>2774.1913557964258</v>
      </c>
      <c r="AE42" s="77">
        <f t="shared" si="26"/>
        <v>2821.5418573414445</v>
      </c>
      <c r="AF42" s="77">
        <f t="shared" si="26"/>
        <v>2865.2342577679756</v>
      </c>
      <c r="AG42" s="77">
        <f t="shared" si="26"/>
        <v>2905.5511666230468</v>
      </c>
      <c r="AH42" s="77">
        <f t="shared" si="26"/>
        <v>2942.7533602256003</v>
      </c>
      <c r="AI42" s="77">
        <f t="shared" si="26"/>
        <v>2977.0814684101083</v>
      </c>
      <c r="AJ42" s="77">
        <f t="shared" si="26"/>
        <v>3008.7575309594536</v>
      </c>
      <c r="AK42" s="77">
        <f t="shared" si="26"/>
        <v>3037.9864337943268</v>
      </c>
      <c r="AL42" s="77">
        <f t="shared" si="26"/>
        <v>3064.9572342086649</v>
      </c>
      <c r="AM42" s="77">
        <f t="shared" si="26"/>
        <v>3089.8443837229515</v>
      </c>
      <c r="AN42" s="81"/>
      <c r="AO42" s="75">
        <f>SUM(D42:O42)</f>
        <v>7717.3897215042962</v>
      </c>
      <c r="AP42" s="75">
        <f>SUM(P42:AA42)</f>
        <v>25510.106163910343</v>
      </c>
      <c r="AQ42" s="75">
        <f>SUM(AB42:AM42)</f>
        <v>34878.040855434425</v>
      </c>
    </row>
    <row r="43" spans="1:16370" s="90" customFormat="1" hidden="1" outlineLevel="1">
      <c r="A43" s="70" t="s">
        <v>88</v>
      </c>
      <c r="B43" s="71" t="s">
        <v>89</v>
      </c>
      <c r="C43" s="87"/>
      <c r="D43" s="86">
        <v>12</v>
      </c>
      <c r="E43" s="86">
        <v>12</v>
      </c>
      <c r="F43" s="86">
        <v>12</v>
      </c>
      <c r="G43" s="86">
        <v>12</v>
      </c>
      <c r="H43" s="86">
        <v>12</v>
      </c>
      <c r="I43" s="86">
        <v>12</v>
      </c>
      <c r="J43" s="86">
        <v>12</v>
      </c>
      <c r="K43" s="86">
        <v>12</v>
      </c>
      <c r="L43" s="86">
        <v>12</v>
      </c>
      <c r="M43" s="86">
        <v>12</v>
      </c>
      <c r="N43" s="86">
        <v>12</v>
      </c>
      <c r="O43" s="86">
        <v>12</v>
      </c>
      <c r="P43" s="86">
        <v>12</v>
      </c>
      <c r="Q43" s="86">
        <v>12</v>
      </c>
      <c r="R43" s="86">
        <v>12</v>
      </c>
      <c r="S43" s="86">
        <v>12</v>
      </c>
      <c r="T43" s="86">
        <v>12</v>
      </c>
      <c r="U43" s="86">
        <v>12</v>
      </c>
      <c r="V43" s="86">
        <v>12</v>
      </c>
      <c r="W43" s="86">
        <v>12</v>
      </c>
      <c r="X43" s="86">
        <v>12</v>
      </c>
      <c r="Y43" s="86">
        <v>12</v>
      </c>
      <c r="Z43" s="86">
        <v>12</v>
      </c>
      <c r="AA43" s="86">
        <v>12</v>
      </c>
      <c r="AB43" s="86">
        <v>12</v>
      </c>
      <c r="AC43" s="86">
        <v>12</v>
      </c>
      <c r="AD43" s="86">
        <v>12</v>
      </c>
      <c r="AE43" s="86">
        <v>12</v>
      </c>
      <c r="AF43" s="86">
        <v>12</v>
      </c>
      <c r="AG43" s="86">
        <v>12</v>
      </c>
      <c r="AH43" s="86">
        <v>12</v>
      </c>
      <c r="AI43" s="86">
        <v>12</v>
      </c>
      <c r="AJ43" s="86">
        <v>12</v>
      </c>
      <c r="AK43" s="86">
        <v>12</v>
      </c>
      <c r="AL43" s="86">
        <v>12</v>
      </c>
      <c r="AM43" s="86">
        <v>12</v>
      </c>
      <c r="AN43" s="88"/>
      <c r="AO43" s="75">
        <f>AVERAGE(D43:O43)</f>
        <v>12</v>
      </c>
      <c r="AP43" s="75">
        <f>AVERAGE(P43:AA43)</f>
        <v>12</v>
      </c>
      <c r="AQ43" s="75">
        <f>AVERAGE(AB43:AM43)</f>
        <v>12</v>
      </c>
    </row>
    <row r="44" spans="1:16370" hidden="1" outlineLevel="1">
      <c r="A44" s="91" t="s">
        <v>151</v>
      </c>
      <c r="B44" s="71" t="s">
        <v>157</v>
      </c>
      <c r="C44" s="72"/>
      <c r="D44" s="78">
        <v>0</v>
      </c>
      <c r="E44" s="81">
        <f t="shared" ref="E44:AM44" si="27">D45/E43</f>
        <v>1875</v>
      </c>
      <c r="F44" s="81">
        <f t="shared" si="27"/>
        <v>3724.21875</v>
      </c>
      <c r="G44" s="81">
        <f t="shared" si="27"/>
        <v>5555.1982421875</v>
      </c>
      <c r="H44" s="81">
        <f t="shared" si="27"/>
        <v>7369.3300215657555</v>
      </c>
      <c r="I44" s="81">
        <f t="shared" si="27"/>
        <v>9167.9157272045577</v>
      </c>
      <c r="J44" s="81">
        <f t="shared" si="27"/>
        <v>10952.156383371423</v>
      </c>
      <c r="K44" s="81">
        <f t="shared" si="27"/>
        <v>12598.160228412984</v>
      </c>
      <c r="L44" s="81">
        <f t="shared" si="27"/>
        <v>14367.001966162941</v>
      </c>
      <c r="M44" s="81">
        <f t="shared" si="27"/>
        <v>16248.400192050211</v>
      </c>
      <c r="N44" s="81">
        <f t="shared" si="27"/>
        <v>18233.661765674147</v>
      </c>
      <c r="O44" s="81">
        <f t="shared" si="27"/>
        <v>20314.762632577997</v>
      </c>
      <c r="P44" s="81">
        <f t="shared" si="27"/>
        <v>22484.298651024739</v>
      </c>
      <c r="Q44" s="81">
        <f t="shared" si="27"/>
        <v>24485.437692183183</v>
      </c>
      <c r="R44" s="81">
        <f t="shared" si="27"/>
        <v>26331.979615502274</v>
      </c>
      <c r="S44" s="81">
        <f t="shared" si="27"/>
        <v>28035.865448024499</v>
      </c>
      <c r="T44" s="81">
        <f t="shared" si="27"/>
        <v>29608.116208791078</v>
      </c>
      <c r="U44" s="81">
        <f t="shared" si="27"/>
        <v>31058.901471224202</v>
      </c>
      <c r="V44" s="81">
        <f t="shared" si="27"/>
        <v>32397.605150188898</v>
      </c>
      <c r="W44" s="81">
        <f t="shared" si="27"/>
        <v>33632.886198652275</v>
      </c>
      <c r="X44" s="81">
        <f t="shared" si="27"/>
        <v>34772.734615198708</v>
      </c>
      <c r="Y44" s="81">
        <f t="shared" si="27"/>
        <v>35824.523124639214</v>
      </c>
      <c r="Z44" s="81">
        <f t="shared" si="27"/>
        <v>36795.054865993807</v>
      </c>
      <c r="AA44" s="81">
        <f t="shared" si="27"/>
        <v>37690.607396300336</v>
      </c>
      <c r="AB44" s="81">
        <f t="shared" si="27"/>
        <v>38516.973294873671</v>
      </c>
      <c r="AC44" s="81">
        <f t="shared" si="27"/>
        <v>39279.497630650119</v>
      </c>
      <c r="AD44" s="81">
        <f t="shared" si="27"/>
        <v>39983.112534962056</v>
      </c>
      <c r="AE44" s="81">
        <f t="shared" si="27"/>
        <v>40632.369103364916</v>
      </c>
      <c r="AF44" s="81">
        <f t="shared" si="27"/>
        <v>41231.466832862956</v>
      </c>
      <c r="AG44" s="81">
        <f t="shared" si="27"/>
        <v>41784.280784938375</v>
      </c>
      <c r="AH44" s="81">
        <f t="shared" si="27"/>
        <v>42294.386650078763</v>
      </c>
      <c r="AI44" s="81">
        <f t="shared" si="27"/>
        <v>42765.083875924327</v>
      </c>
      <c r="AJ44" s="81">
        <f t="shared" si="27"/>
        <v>43199.417008631477</v>
      </c>
      <c r="AK44" s="81">
        <f t="shared" si="27"/>
        <v>43600.195385492138</v>
      </c>
      <c r="AL44" s="81">
        <f t="shared" si="27"/>
        <v>43970.011306183987</v>
      </c>
      <c r="AM44" s="81">
        <f t="shared" si="27"/>
        <v>44311.256800186042</v>
      </c>
      <c r="AN44" s="81"/>
      <c r="AO44" s="75">
        <f>SUM(D44:O44)</f>
        <v>120405.80590920751</v>
      </c>
      <c r="AP44" s="75">
        <f>SUM(P44:AA44)</f>
        <v>373118.01043772325</v>
      </c>
      <c r="AQ44" s="75">
        <f>SUM(AB44:AM44)</f>
        <v>501568.05120814883</v>
      </c>
    </row>
    <row r="45" spans="1:16370" s="69" customFormat="1" hidden="1" outlineLevel="1">
      <c r="A45" s="70" t="s">
        <v>152</v>
      </c>
      <c r="B45" s="71" t="s">
        <v>157</v>
      </c>
      <c r="C45" s="72"/>
      <c r="D45" s="73">
        <f>D41-D44</f>
        <v>22500</v>
      </c>
      <c r="E45" s="73">
        <f t="shared" ref="E45:AM45" si="28">D45+E41-E44+E42</f>
        <v>44690.625</v>
      </c>
      <c r="F45" s="73">
        <f t="shared" si="28"/>
        <v>66662.37890625</v>
      </c>
      <c r="G45" s="73">
        <f t="shared" si="28"/>
        <v>88431.960258789069</v>
      </c>
      <c r="H45" s="73">
        <f t="shared" si="28"/>
        <v>110014.98872645469</v>
      </c>
      <c r="I45" s="73">
        <f t="shared" si="28"/>
        <v>131425.87660045706</v>
      </c>
      <c r="J45" s="73">
        <f t="shared" si="28"/>
        <v>151177.92274095581</v>
      </c>
      <c r="K45" s="73">
        <f t="shared" si="28"/>
        <v>172404.02359395529</v>
      </c>
      <c r="L45" s="73">
        <f t="shared" si="28"/>
        <v>194980.80230460252</v>
      </c>
      <c r="M45" s="73">
        <f t="shared" si="28"/>
        <v>218803.94118808978</v>
      </c>
      <c r="N45" s="73">
        <f t="shared" si="28"/>
        <v>243777.15159093597</v>
      </c>
      <c r="O45" s="73">
        <f t="shared" si="28"/>
        <v>269811.58381229686</v>
      </c>
      <c r="P45" s="73">
        <f t="shared" si="28"/>
        <v>293825.25230619818</v>
      </c>
      <c r="Q45" s="73">
        <f t="shared" si="28"/>
        <v>315983.75538602727</v>
      </c>
      <c r="R45" s="73">
        <f t="shared" si="28"/>
        <v>336430.38537629397</v>
      </c>
      <c r="S45" s="73">
        <f t="shared" si="28"/>
        <v>355297.39450549294</v>
      </c>
      <c r="T45" s="73">
        <f t="shared" si="28"/>
        <v>372706.81765469041</v>
      </c>
      <c r="U45" s="73">
        <f t="shared" si="28"/>
        <v>388771.26180226676</v>
      </c>
      <c r="V45" s="73">
        <f t="shared" si="28"/>
        <v>403594.63438382733</v>
      </c>
      <c r="W45" s="73">
        <f t="shared" si="28"/>
        <v>417272.81538238452</v>
      </c>
      <c r="X45" s="73">
        <f t="shared" si="28"/>
        <v>429894.2774956706</v>
      </c>
      <c r="Y45" s="73">
        <f t="shared" si="28"/>
        <v>441540.65839192568</v>
      </c>
      <c r="Z45" s="73">
        <f t="shared" si="28"/>
        <v>452287.28875560407</v>
      </c>
      <c r="AA45" s="73">
        <f t="shared" si="28"/>
        <v>462203.67953848402</v>
      </c>
      <c r="AB45" s="73">
        <f t="shared" si="28"/>
        <v>471353.97156780143</v>
      </c>
      <c r="AC45" s="73">
        <f t="shared" si="28"/>
        <v>479797.35041954467</v>
      </c>
      <c r="AD45" s="73">
        <f t="shared" si="28"/>
        <v>487588.42924037896</v>
      </c>
      <c r="AE45" s="73">
        <f t="shared" si="28"/>
        <v>494777.6019943555</v>
      </c>
      <c r="AF45" s="73">
        <f t="shared" si="28"/>
        <v>501411.36941926047</v>
      </c>
      <c r="AG45" s="73">
        <f t="shared" si="28"/>
        <v>507532.63980094512</v>
      </c>
      <c r="AH45" s="73">
        <f t="shared" si="28"/>
        <v>513181.00651109189</v>
      </c>
      <c r="AI45" s="73">
        <f t="shared" si="28"/>
        <v>518393.0041035777</v>
      </c>
      <c r="AJ45" s="73">
        <f t="shared" si="28"/>
        <v>523202.34462590568</v>
      </c>
      <c r="AK45" s="73">
        <f t="shared" si="28"/>
        <v>527640.13567420782</v>
      </c>
      <c r="AL45" s="73">
        <f t="shared" si="28"/>
        <v>531735.08160223253</v>
      </c>
      <c r="AM45" s="73">
        <f t="shared" si="28"/>
        <v>535513.66918576951</v>
      </c>
      <c r="AN45" s="74"/>
      <c r="AO45" s="75">
        <f>O45</f>
        <v>269811.58381229686</v>
      </c>
      <c r="AP45" s="75">
        <f>AA45</f>
        <v>462203.67953848402</v>
      </c>
      <c r="AQ45" s="75">
        <f>AM45</f>
        <v>535513.66918576951</v>
      </c>
    </row>
    <row r="46" spans="1:16370" s="69" customFormat="1" hidden="1" outlineLevel="1">
      <c r="A46" s="70" t="s">
        <v>99</v>
      </c>
      <c r="B46" s="71" t="s">
        <v>79</v>
      </c>
      <c r="C46" s="72"/>
      <c r="D46" s="92">
        <v>0.01</v>
      </c>
      <c r="E46" s="92">
        <v>0.01</v>
      </c>
      <c r="F46" s="92">
        <v>0.01</v>
      </c>
      <c r="G46" s="92">
        <v>0.01</v>
      </c>
      <c r="H46" s="92">
        <v>0.01</v>
      </c>
      <c r="I46" s="92">
        <v>0.01</v>
      </c>
      <c r="J46" s="92">
        <v>0.01</v>
      </c>
      <c r="K46" s="92">
        <v>0.01</v>
      </c>
      <c r="L46" s="92">
        <v>0.01</v>
      </c>
      <c r="M46" s="92">
        <v>0.01</v>
      </c>
      <c r="N46" s="92">
        <v>0.01</v>
      </c>
      <c r="O46" s="92">
        <v>0.01</v>
      </c>
      <c r="P46" s="92">
        <v>0.01</v>
      </c>
      <c r="Q46" s="92">
        <v>0.01</v>
      </c>
      <c r="R46" s="92">
        <v>0.01</v>
      </c>
      <c r="S46" s="92">
        <v>0.01</v>
      </c>
      <c r="T46" s="92">
        <v>0.01</v>
      </c>
      <c r="U46" s="92">
        <v>0.01</v>
      </c>
      <c r="V46" s="92">
        <v>0.01</v>
      </c>
      <c r="W46" s="92">
        <v>0.01</v>
      </c>
      <c r="X46" s="92">
        <v>0.01</v>
      </c>
      <c r="Y46" s="92">
        <v>0.01</v>
      </c>
      <c r="Z46" s="92">
        <v>0.01</v>
      </c>
      <c r="AA46" s="92">
        <v>0.01</v>
      </c>
      <c r="AB46" s="92">
        <v>0.01</v>
      </c>
      <c r="AC46" s="92">
        <v>0.01</v>
      </c>
      <c r="AD46" s="92">
        <v>0.01</v>
      </c>
      <c r="AE46" s="92">
        <v>0.01</v>
      </c>
      <c r="AF46" s="92">
        <v>0.01</v>
      </c>
      <c r="AG46" s="92">
        <v>0.01</v>
      </c>
      <c r="AH46" s="92">
        <v>0.01</v>
      </c>
      <c r="AI46" s="92">
        <v>0.01</v>
      </c>
      <c r="AJ46" s="92">
        <v>0.01</v>
      </c>
      <c r="AK46" s="92">
        <v>0.01</v>
      </c>
      <c r="AL46" s="92">
        <v>0.01</v>
      </c>
      <c r="AM46" s="92">
        <v>0.01</v>
      </c>
      <c r="AN46" s="74"/>
      <c r="AO46" s="93">
        <f>AVERAGE(D46:O46)</f>
        <v>9.9999999999999985E-3</v>
      </c>
      <c r="AP46" s="93">
        <f>AVERAGE(P46:AA46)</f>
        <v>9.9999999999999985E-3</v>
      </c>
      <c r="AQ46" s="93">
        <f>AVERAGE(AB46:AM46)</f>
        <v>9.9999999999999985E-3</v>
      </c>
    </row>
    <row r="47" spans="1:16370" hidden="1" outlineLevel="1">
      <c r="A47" s="70" t="s">
        <v>91</v>
      </c>
      <c r="B47" s="71" t="s">
        <v>79</v>
      </c>
      <c r="C47" s="72"/>
      <c r="D47" s="92">
        <v>0.14000000000000001</v>
      </c>
      <c r="E47" s="92">
        <v>0.14000000000000001</v>
      </c>
      <c r="F47" s="92">
        <v>0.14000000000000001</v>
      </c>
      <c r="G47" s="92">
        <v>0.14000000000000001</v>
      </c>
      <c r="H47" s="92">
        <v>0.14000000000000001</v>
      </c>
      <c r="I47" s="92">
        <v>0.14000000000000001</v>
      </c>
      <c r="J47" s="92">
        <v>0.14000000000000001</v>
      </c>
      <c r="K47" s="92">
        <v>0.14000000000000001</v>
      </c>
      <c r="L47" s="92">
        <v>0.14000000000000001</v>
      </c>
      <c r="M47" s="92">
        <v>0.14000000000000001</v>
      </c>
      <c r="N47" s="92">
        <v>0.14000000000000001</v>
      </c>
      <c r="O47" s="92">
        <v>0.14000000000000001</v>
      </c>
      <c r="P47" s="92">
        <v>0.14000000000000001</v>
      </c>
      <c r="Q47" s="92">
        <v>0.14000000000000001</v>
      </c>
      <c r="R47" s="92">
        <v>0.14000000000000001</v>
      </c>
      <c r="S47" s="92">
        <v>0.14000000000000001</v>
      </c>
      <c r="T47" s="92">
        <v>0.14000000000000001</v>
      </c>
      <c r="U47" s="92">
        <v>0.14000000000000001</v>
      </c>
      <c r="V47" s="92">
        <v>0.14000000000000001</v>
      </c>
      <c r="W47" s="92">
        <v>0.14000000000000001</v>
      </c>
      <c r="X47" s="92">
        <v>0.14000000000000001</v>
      </c>
      <c r="Y47" s="92">
        <v>0.14000000000000001</v>
      </c>
      <c r="Z47" s="92">
        <v>0.14000000000000001</v>
      </c>
      <c r="AA47" s="92">
        <v>0.14000000000000001</v>
      </c>
      <c r="AB47" s="92">
        <v>0.14000000000000001</v>
      </c>
      <c r="AC47" s="92">
        <v>0.14000000000000001</v>
      </c>
      <c r="AD47" s="92">
        <v>0.14000000000000001</v>
      </c>
      <c r="AE47" s="92">
        <v>0.14000000000000001</v>
      </c>
      <c r="AF47" s="92">
        <v>0.14000000000000001</v>
      </c>
      <c r="AG47" s="92">
        <v>0.14000000000000001</v>
      </c>
      <c r="AH47" s="92">
        <v>0.14000000000000001</v>
      </c>
      <c r="AI47" s="92">
        <v>0.14000000000000001</v>
      </c>
      <c r="AJ47" s="92">
        <v>0.14000000000000001</v>
      </c>
      <c r="AK47" s="92">
        <v>0.14000000000000001</v>
      </c>
      <c r="AL47" s="92">
        <v>0.14000000000000001</v>
      </c>
      <c r="AM47" s="92">
        <v>0.14000000000000001</v>
      </c>
      <c r="AN47" s="81"/>
      <c r="AO47" s="93">
        <f>AVERAGE(D47:O47)</f>
        <v>0.14000000000000004</v>
      </c>
      <c r="AP47" s="93">
        <f>AVERAGE(P47:AA47)</f>
        <v>0.14000000000000004</v>
      </c>
      <c r="AQ47" s="93">
        <f>AVERAGE(AB47:AM47)</f>
        <v>0.14000000000000004</v>
      </c>
    </row>
    <row r="48" spans="1:16370" hidden="1" outlineLevel="1">
      <c r="A48" s="70" t="s">
        <v>80</v>
      </c>
      <c r="B48" s="71" t="s">
        <v>79</v>
      </c>
      <c r="C48" s="72"/>
      <c r="D48" s="92">
        <v>0.16</v>
      </c>
      <c r="E48" s="92">
        <v>0.16</v>
      </c>
      <c r="F48" s="92">
        <v>0.16</v>
      </c>
      <c r="G48" s="92">
        <v>0.16</v>
      </c>
      <c r="H48" s="92">
        <v>0.16</v>
      </c>
      <c r="I48" s="92">
        <v>0.16</v>
      </c>
      <c r="J48" s="92">
        <v>0.16</v>
      </c>
      <c r="K48" s="92">
        <v>0.16</v>
      </c>
      <c r="L48" s="92">
        <v>0.16</v>
      </c>
      <c r="M48" s="92">
        <v>0.16</v>
      </c>
      <c r="N48" s="92">
        <v>0.16</v>
      </c>
      <c r="O48" s="92">
        <v>0.16</v>
      </c>
      <c r="P48" s="92">
        <v>0.16</v>
      </c>
      <c r="Q48" s="92">
        <v>0.16</v>
      </c>
      <c r="R48" s="92">
        <v>0.16</v>
      </c>
      <c r="S48" s="92">
        <v>0.16</v>
      </c>
      <c r="T48" s="92">
        <v>0.16</v>
      </c>
      <c r="U48" s="92">
        <v>0.16</v>
      </c>
      <c r="V48" s="92">
        <v>0.16</v>
      </c>
      <c r="W48" s="92">
        <v>0.16</v>
      </c>
      <c r="X48" s="92">
        <v>0.16</v>
      </c>
      <c r="Y48" s="92">
        <v>0.16</v>
      </c>
      <c r="Z48" s="92">
        <v>0.16</v>
      </c>
      <c r="AA48" s="92">
        <v>0.16</v>
      </c>
      <c r="AB48" s="92">
        <v>0.16</v>
      </c>
      <c r="AC48" s="92">
        <v>0.16</v>
      </c>
      <c r="AD48" s="92">
        <v>0.16</v>
      </c>
      <c r="AE48" s="92">
        <v>0.16</v>
      </c>
      <c r="AF48" s="92">
        <v>0.16</v>
      </c>
      <c r="AG48" s="92">
        <v>0.16</v>
      </c>
      <c r="AH48" s="92">
        <v>0.16</v>
      </c>
      <c r="AI48" s="92">
        <v>0.16</v>
      </c>
      <c r="AJ48" s="92">
        <v>0.16</v>
      </c>
      <c r="AK48" s="92">
        <v>0.16</v>
      </c>
      <c r="AL48" s="92">
        <v>0.16</v>
      </c>
      <c r="AM48" s="92">
        <v>0.16</v>
      </c>
      <c r="AN48" s="81"/>
      <c r="AO48" s="93">
        <f>AVERAGE(D48:O48)</f>
        <v>0.15999999999999998</v>
      </c>
      <c r="AP48" s="93">
        <f>AVERAGE(P48:AA48)</f>
        <v>0.15999999999999998</v>
      </c>
      <c r="AQ48" s="93">
        <f>AVERAGE(AB48:AM48)</f>
        <v>0.15999999999999998</v>
      </c>
    </row>
    <row r="49" spans="1:16370" hidden="1" outlineLevel="1">
      <c r="A49" s="70" t="s">
        <v>145</v>
      </c>
      <c r="B49" s="71" t="s">
        <v>157</v>
      </c>
      <c r="C49" s="72"/>
      <c r="D49" s="73">
        <f t="shared" ref="D49:AM49" si="29">-(C45+D45)/2*D47/12</f>
        <v>-131.25000000000003</v>
      </c>
      <c r="E49" s="73">
        <f t="shared" si="29"/>
        <v>-391.9453125</v>
      </c>
      <c r="F49" s="73">
        <f t="shared" si="29"/>
        <v>-649.55918945312499</v>
      </c>
      <c r="G49" s="73">
        <f t="shared" si="29"/>
        <v>-904.71697846272798</v>
      </c>
      <c r="H49" s="73">
        <f t="shared" si="29"/>
        <v>-1157.6072024139219</v>
      </c>
      <c r="I49" s="73">
        <f t="shared" si="29"/>
        <v>-1408.4050477403187</v>
      </c>
      <c r="J49" s="73">
        <f t="shared" si="29"/>
        <v>-1648.5221628249083</v>
      </c>
      <c r="K49" s="73">
        <f t="shared" si="29"/>
        <v>-1887.5613536203148</v>
      </c>
      <c r="L49" s="73">
        <f t="shared" si="29"/>
        <v>-2143.0781510749207</v>
      </c>
      <c r="M49" s="73">
        <f t="shared" si="29"/>
        <v>-2413.7443370407054</v>
      </c>
      <c r="N49" s="73">
        <f t="shared" si="29"/>
        <v>-2698.3897078776504</v>
      </c>
      <c r="O49" s="73">
        <f t="shared" si="29"/>
        <v>-2995.9342898521918</v>
      </c>
      <c r="P49" s="73">
        <f t="shared" si="29"/>
        <v>-3287.8815440245548</v>
      </c>
      <c r="Q49" s="73">
        <f t="shared" si="29"/>
        <v>-3557.2192115379826</v>
      </c>
      <c r="R49" s="73">
        <f t="shared" si="29"/>
        <v>-3805.7491544468739</v>
      </c>
      <c r="S49" s="73">
        <f t="shared" si="29"/>
        <v>-4035.0787159770903</v>
      </c>
      <c r="T49" s="73">
        <f t="shared" si="29"/>
        <v>-4246.6912376010705</v>
      </c>
      <c r="U49" s="73">
        <f t="shared" si="29"/>
        <v>-4441.9554634989172</v>
      </c>
      <c r="V49" s="73">
        <f t="shared" si="29"/>
        <v>-4622.134394418882</v>
      </c>
      <c r="W49" s="73">
        <f t="shared" si="29"/>
        <v>-4788.3934569695693</v>
      </c>
      <c r="X49" s="73">
        <f t="shared" si="29"/>
        <v>-4941.8080417886549</v>
      </c>
      <c r="Y49" s="73">
        <f t="shared" si="29"/>
        <v>-5083.3704593443126</v>
      </c>
      <c r="Z49" s="73">
        <f t="shared" si="29"/>
        <v>-5213.9963583605904</v>
      </c>
      <c r="AA49" s="73">
        <f t="shared" si="29"/>
        <v>-5334.5306483821805</v>
      </c>
      <c r="AB49" s="73">
        <f t="shared" si="29"/>
        <v>-5445.7529647866659</v>
      </c>
      <c r="AC49" s="73">
        <f t="shared" si="29"/>
        <v>-5548.3827115928516</v>
      </c>
      <c r="AD49" s="73">
        <f t="shared" si="29"/>
        <v>-5643.083714682889</v>
      </c>
      <c r="AE49" s="73">
        <f t="shared" si="29"/>
        <v>-5730.4685155359512</v>
      </c>
      <c r="AF49" s="73">
        <f t="shared" si="29"/>
        <v>-5811.1023332460936</v>
      </c>
      <c r="AG49" s="73">
        <f t="shared" si="29"/>
        <v>-5885.5067204512006</v>
      </c>
      <c r="AH49" s="73">
        <f t="shared" si="29"/>
        <v>-5954.1629368202166</v>
      </c>
      <c r="AI49" s="73">
        <f t="shared" si="29"/>
        <v>-6017.5150619189071</v>
      </c>
      <c r="AJ49" s="73">
        <f t="shared" si="29"/>
        <v>-6075.9728675886536</v>
      </c>
      <c r="AK49" s="73">
        <f t="shared" si="29"/>
        <v>-6129.9144684173298</v>
      </c>
      <c r="AL49" s="73">
        <f t="shared" si="29"/>
        <v>-6179.6887674459031</v>
      </c>
      <c r="AM49" s="73">
        <f t="shared" si="29"/>
        <v>-6225.6177129300122</v>
      </c>
      <c r="AN49" s="81"/>
      <c r="AO49" s="75">
        <f>SUM(D49:O49)</f>
        <v>-18430.713732860786</v>
      </c>
      <c r="AP49" s="75">
        <f>SUM(P49:AA49)</f>
        <v>-53358.808686350676</v>
      </c>
      <c r="AQ49" s="75">
        <f>SUM(AB49:AM49)</f>
        <v>-70647.168775416678</v>
      </c>
    </row>
    <row r="50" spans="1:16370" hidden="1" outlineLevel="1">
      <c r="A50" s="70" t="s">
        <v>146</v>
      </c>
      <c r="B50" s="71" t="s">
        <v>157</v>
      </c>
      <c r="C50" s="72"/>
      <c r="D50" s="73">
        <f t="shared" ref="D50:AM50" si="30">(C45+D45)/2*D48/12</f>
        <v>150</v>
      </c>
      <c r="E50" s="73">
        <f t="shared" si="30"/>
        <v>447.9375</v>
      </c>
      <c r="F50" s="73">
        <f t="shared" si="30"/>
        <v>742.35335937499997</v>
      </c>
      <c r="G50" s="73">
        <f t="shared" si="30"/>
        <v>1033.9622611002605</v>
      </c>
      <c r="H50" s="73">
        <f t="shared" si="30"/>
        <v>1322.9796599016249</v>
      </c>
      <c r="I50" s="73">
        <f t="shared" si="30"/>
        <v>1609.6057688460785</v>
      </c>
      <c r="J50" s="73">
        <f t="shared" si="30"/>
        <v>1884.0253289427521</v>
      </c>
      <c r="K50" s="73">
        <f t="shared" si="30"/>
        <v>2157.212975566074</v>
      </c>
      <c r="L50" s="73">
        <f t="shared" si="30"/>
        <v>2449.2321726570522</v>
      </c>
      <c r="M50" s="73">
        <f t="shared" si="30"/>
        <v>2758.5649566179486</v>
      </c>
      <c r="N50" s="73">
        <f t="shared" si="30"/>
        <v>3083.8739518601719</v>
      </c>
      <c r="O50" s="73">
        <f t="shared" si="30"/>
        <v>3423.9249026882189</v>
      </c>
      <c r="P50" s="73">
        <f t="shared" si="30"/>
        <v>3757.5789074566342</v>
      </c>
      <c r="Q50" s="73">
        <f t="shared" si="30"/>
        <v>4065.393384614837</v>
      </c>
      <c r="R50" s="73">
        <f t="shared" si="30"/>
        <v>4349.4276050821418</v>
      </c>
      <c r="S50" s="73">
        <f t="shared" si="30"/>
        <v>4611.5185325452467</v>
      </c>
      <c r="T50" s="73">
        <f t="shared" si="30"/>
        <v>4853.3614144012226</v>
      </c>
      <c r="U50" s="73">
        <f t="shared" si="30"/>
        <v>5076.5205297130478</v>
      </c>
      <c r="V50" s="73">
        <f t="shared" si="30"/>
        <v>5282.4393079072934</v>
      </c>
      <c r="W50" s="73">
        <f t="shared" si="30"/>
        <v>5472.4496651080799</v>
      </c>
      <c r="X50" s="73">
        <f t="shared" si="30"/>
        <v>5647.7806191870341</v>
      </c>
      <c r="Y50" s="73">
        <f t="shared" si="30"/>
        <v>5809.566239250642</v>
      </c>
      <c r="Z50" s="73">
        <f t="shared" si="30"/>
        <v>5958.8529809835318</v>
      </c>
      <c r="AA50" s="73">
        <f t="shared" si="30"/>
        <v>6096.6064552939206</v>
      </c>
      <c r="AB50" s="73">
        <f t="shared" si="30"/>
        <v>6223.7176740419027</v>
      </c>
      <c r="AC50" s="73">
        <f t="shared" si="30"/>
        <v>6341.0088132489736</v>
      </c>
      <c r="AD50" s="73">
        <f t="shared" si="30"/>
        <v>6449.2385310661584</v>
      </c>
      <c r="AE50" s="73">
        <f t="shared" si="30"/>
        <v>6549.1068748982298</v>
      </c>
      <c r="AF50" s="73">
        <f t="shared" si="30"/>
        <v>6641.2598094241066</v>
      </c>
      <c r="AG50" s="73">
        <f t="shared" si="30"/>
        <v>6726.2933948013706</v>
      </c>
      <c r="AH50" s="73">
        <f t="shared" si="30"/>
        <v>6804.757642080247</v>
      </c>
      <c r="AI50" s="73">
        <f t="shared" si="30"/>
        <v>6877.1600707644648</v>
      </c>
      <c r="AJ50" s="73">
        <f t="shared" si="30"/>
        <v>6943.9689915298886</v>
      </c>
      <c r="AK50" s="73">
        <f t="shared" si="30"/>
        <v>7005.6165353340903</v>
      </c>
      <c r="AL50" s="73">
        <f t="shared" si="30"/>
        <v>7062.5014485096035</v>
      </c>
      <c r="AM50" s="73">
        <f t="shared" si="30"/>
        <v>7114.9916719200146</v>
      </c>
      <c r="AN50" s="81"/>
      <c r="AO50" s="75">
        <f>SUM(D50:O50)</f>
        <v>21063.672837555183</v>
      </c>
      <c r="AP50" s="75">
        <f>SUM(P50:AA50)</f>
        <v>60981.495641543632</v>
      </c>
      <c r="AQ50" s="75">
        <f>SUM(AB50:AM50)</f>
        <v>80739.62145761904</v>
      </c>
    </row>
    <row r="51" spans="1:16370" hidden="1" outlineLevel="1">
      <c r="A51" s="70" t="s">
        <v>99</v>
      </c>
      <c r="B51" s="71" t="s">
        <v>157</v>
      </c>
      <c r="C51" s="72"/>
      <c r="D51" s="73">
        <f t="shared" ref="D51:AM51" si="31">-D46*D41</f>
        <v>-225</v>
      </c>
      <c r="E51" s="73">
        <f t="shared" si="31"/>
        <v>-240</v>
      </c>
      <c r="F51" s="73">
        <f t="shared" si="31"/>
        <v>-255</v>
      </c>
      <c r="G51" s="73">
        <f t="shared" si="31"/>
        <v>-270</v>
      </c>
      <c r="H51" s="73">
        <f t="shared" si="31"/>
        <v>-285</v>
      </c>
      <c r="I51" s="73">
        <f t="shared" si="31"/>
        <v>-300</v>
      </c>
      <c r="J51" s="73">
        <f t="shared" si="31"/>
        <v>-300</v>
      </c>
      <c r="K51" s="73">
        <f t="shared" si="31"/>
        <v>-330</v>
      </c>
      <c r="L51" s="73">
        <f t="shared" si="31"/>
        <v>-360</v>
      </c>
      <c r="M51" s="73">
        <f t="shared" si="31"/>
        <v>-390</v>
      </c>
      <c r="N51" s="73">
        <f t="shared" si="31"/>
        <v>-420</v>
      </c>
      <c r="O51" s="73">
        <f t="shared" si="31"/>
        <v>-450</v>
      </c>
      <c r="P51" s="73">
        <f t="shared" si="31"/>
        <v>-450</v>
      </c>
      <c r="Q51" s="73">
        <f t="shared" si="31"/>
        <v>-450</v>
      </c>
      <c r="R51" s="73">
        <f t="shared" si="31"/>
        <v>-450</v>
      </c>
      <c r="S51" s="73">
        <f t="shared" si="31"/>
        <v>-450</v>
      </c>
      <c r="T51" s="73">
        <f t="shared" si="31"/>
        <v>-450</v>
      </c>
      <c r="U51" s="73">
        <f t="shared" si="31"/>
        <v>-450</v>
      </c>
      <c r="V51" s="73">
        <f t="shared" si="31"/>
        <v>-450</v>
      </c>
      <c r="W51" s="73">
        <f t="shared" si="31"/>
        <v>-450</v>
      </c>
      <c r="X51" s="73">
        <f t="shared" si="31"/>
        <v>-450</v>
      </c>
      <c r="Y51" s="73">
        <f t="shared" si="31"/>
        <v>-450</v>
      </c>
      <c r="Z51" s="73">
        <f t="shared" si="31"/>
        <v>-450</v>
      </c>
      <c r="AA51" s="73">
        <f t="shared" si="31"/>
        <v>-450</v>
      </c>
      <c r="AB51" s="73">
        <f t="shared" si="31"/>
        <v>-450</v>
      </c>
      <c r="AC51" s="73">
        <f t="shared" si="31"/>
        <v>-450</v>
      </c>
      <c r="AD51" s="73">
        <f t="shared" si="31"/>
        <v>-450</v>
      </c>
      <c r="AE51" s="73">
        <f t="shared" si="31"/>
        <v>-450</v>
      </c>
      <c r="AF51" s="73">
        <f t="shared" si="31"/>
        <v>-450</v>
      </c>
      <c r="AG51" s="73">
        <f t="shared" si="31"/>
        <v>-450</v>
      </c>
      <c r="AH51" s="73">
        <f t="shared" si="31"/>
        <v>-450</v>
      </c>
      <c r="AI51" s="73">
        <f t="shared" si="31"/>
        <v>-450</v>
      </c>
      <c r="AJ51" s="73">
        <f t="shared" si="31"/>
        <v>-450</v>
      </c>
      <c r="AK51" s="73">
        <f t="shared" si="31"/>
        <v>-450</v>
      </c>
      <c r="AL51" s="73">
        <f t="shared" si="31"/>
        <v>-450</v>
      </c>
      <c r="AM51" s="73">
        <f t="shared" si="31"/>
        <v>-450</v>
      </c>
      <c r="AN51" s="81"/>
      <c r="AO51" s="75">
        <f>SUM(D51:O51)</f>
        <v>-3825</v>
      </c>
      <c r="AP51" s="75">
        <f>SUM(P51:AA51)</f>
        <v>-5400</v>
      </c>
      <c r="AQ51" s="75">
        <f>SUM(AB51:AM51)</f>
        <v>-5400</v>
      </c>
    </row>
    <row r="52" spans="1:16370" hidden="1" outlineLevel="1">
      <c r="A52" s="70" t="s">
        <v>122</v>
      </c>
      <c r="B52" s="71" t="s">
        <v>157</v>
      </c>
      <c r="C52" s="72"/>
      <c r="D52" s="78">
        <f t="shared" ref="D52:AM52" si="32">SUM(D49:D51)</f>
        <v>-206.25000000000003</v>
      </c>
      <c r="E52" s="78">
        <f t="shared" si="32"/>
        <v>-184.0078125</v>
      </c>
      <c r="F52" s="78">
        <f t="shared" si="32"/>
        <v>-162.20583007812502</v>
      </c>
      <c r="G52" s="78">
        <f t="shared" si="32"/>
        <v>-140.75471736246743</v>
      </c>
      <c r="H52" s="78">
        <f t="shared" si="32"/>
        <v>-119.62754251229694</v>
      </c>
      <c r="I52" s="78">
        <f t="shared" si="32"/>
        <v>-98.79927889424016</v>
      </c>
      <c r="J52" s="78">
        <f t="shared" si="32"/>
        <v>-64.496833882156125</v>
      </c>
      <c r="K52" s="78">
        <f t="shared" si="32"/>
        <v>-60.348378054240811</v>
      </c>
      <c r="L52" s="78">
        <f t="shared" si="32"/>
        <v>-53.845978417868537</v>
      </c>
      <c r="M52" s="78">
        <f t="shared" si="32"/>
        <v>-45.179380422756822</v>
      </c>
      <c r="N52" s="78">
        <f t="shared" si="32"/>
        <v>-34.515756017478452</v>
      </c>
      <c r="O52" s="78">
        <f t="shared" si="32"/>
        <v>-22.00938716397286</v>
      </c>
      <c r="P52" s="78">
        <f t="shared" si="32"/>
        <v>19.697363432079328</v>
      </c>
      <c r="Q52" s="78">
        <f t="shared" si="32"/>
        <v>58.174173076854458</v>
      </c>
      <c r="R52" s="78">
        <f t="shared" si="32"/>
        <v>93.678450635267836</v>
      </c>
      <c r="S52" s="78">
        <f t="shared" si="32"/>
        <v>126.4398165681564</v>
      </c>
      <c r="T52" s="78">
        <f t="shared" si="32"/>
        <v>156.67017680015215</v>
      </c>
      <c r="U52" s="78">
        <f t="shared" si="32"/>
        <v>184.56506621413064</v>
      </c>
      <c r="V52" s="78">
        <f t="shared" si="32"/>
        <v>210.30491348841133</v>
      </c>
      <c r="W52" s="78">
        <f t="shared" si="32"/>
        <v>234.05620813851056</v>
      </c>
      <c r="X52" s="78">
        <f t="shared" si="32"/>
        <v>255.97257739837914</v>
      </c>
      <c r="Y52" s="78">
        <f t="shared" si="32"/>
        <v>276.19577990632934</v>
      </c>
      <c r="Z52" s="78">
        <f t="shared" si="32"/>
        <v>294.85662262294136</v>
      </c>
      <c r="AA52" s="78">
        <f t="shared" si="32"/>
        <v>312.07580691174007</v>
      </c>
      <c r="AB52" s="78">
        <f t="shared" si="32"/>
        <v>327.96470925523681</v>
      </c>
      <c r="AC52" s="78">
        <f t="shared" si="32"/>
        <v>342.62610165612205</v>
      </c>
      <c r="AD52" s="78">
        <f t="shared" si="32"/>
        <v>356.15481638326946</v>
      </c>
      <c r="AE52" s="78">
        <f t="shared" si="32"/>
        <v>368.63835936227861</v>
      </c>
      <c r="AF52" s="78">
        <f t="shared" si="32"/>
        <v>380.15747617801298</v>
      </c>
      <c r="AG52" s="78">
        <f t="shared" si="32"/>
        <v>390.78667435016996</v>
      </c>
      <c r="AH52" s="78">
        <f t="shared" si="32"/>
        <v>400.59470526003042</v>
      </c>
      <c r="AI52" s="78">
        <f t="shared" si="32"/>
        <v>409.64500884555764</v>
      </c>
      <c r="AJ52" s="78">
        <f t="shared" si="32"/>
        <v>417.99612394123506</v>
      </c>
      <c r="AK52" s="78">
        <f t="shared" si="32"/>
        <v>425.70206691676049</v>
      </c>
      <c r="AL52" s="78">
        <f t="shared" si="32"/>
        <v>432.81268106370044</v>
      </c>
      <c r="AM52" s="78">
        <f t="shared" si="32"/>
        <v>439.37395899000239</v>
      </c>
      <c r="AN52" s="81"/>
      <c r="AO52" s="75">
        <f>SUM(D52:O52)</f>
        <v>-1192.040895305603</v>
      </c>
      <c r="AP52" s="75">
        <f>SUM(P52:AA52)</f>
        <v>2222.6869551929526</v>
      </c>
      <c r="AQ52" s="75">
        <f>SUM(AB52:AM52)</f>
        <v>4692.4526822023763</v>
      </c>
    </row>
    <row r="53" spans="1:16370" hidden="1" outlineLevel="1">
      <c r="A53" s="106" t="s">
        <v>161</v>
      </c>
      <c r="B53" s="71"/>
      <c r="C53" s="72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81"/>
      <c r="AO53" s="75"/>
      <c r="AP53" s="75"/>
      <c r="AQ53" s="75"/>
    </row>
    <row r="54" spans="1:16370" hidden="1" outlineLevel="1">
      <c r="A54" s="91" t="s">
        <v>163</v>
      </c>
      <c r="B54" s="71" t="s">
        <v>162</v>
      </c>
      <c r="C54" s="72"/>
      <c r="D54" s="105">
        <f>'0'!D26</f>
        <v>1.01</v>
      </c>
      <c r="E54" s="105">
        <f>'0'!E26</f>
        <v>1.01</v>
      </c>
      <c r="F54" s="105">
        <f>'0'!F26</f>
        <v>1.01</v>
      </c>
      <c r="G54" s="105">
        <f>'0'!G26</f>
        <v>1.01</v>
      </c>
      <c r="H54" s="105">
        <f>'0'!H26</f>
        <v>1.01</v>
      </c>
      <c r="I54" s="105">
        <f>'0'!I26</f>
        <v>1</v>
      </c>
      <c r="J54" s="105">
        <f>'0'!J26</f>
        <v>1</v>
      </c>
      <c r="K54" s="105">
        <f>'0'!K26</f>
        <v>1</v>
      </c>
      <c r="L54" s="105">
        <f>'0'!L26</f>
        <v>1</v>
      </c>
      <c r="M54" s="105">
        <f>'0'!M26</f>
        <v>1</v>
      </c>
      <c r="N54" s="105">
        <f>'0'!N26</f>
        <v>1</v>
      </c>
      <c r="O54" s="105">
        <f>'0'!O26</f>
        <v>1</v>
      </c>
      <c r="P54" s="105">
        <f>'0'!P26</f>
        <v>1</v>
      </c>
      <c r="Q54" s="105">
        <f>'0'!Q26</f>
        <v>1</v>
      </c>
      <c r="R54" s="105">
        <f>'0'!R26</f>
        <v>0.97</v>
      </c>
      <c r="S54" s="105">
        <f>'0'!S26</f>
        <v>0.97</v>
      </c>
      <c r="T54" s="105">
        <f>'0'!T26</f>
        <v>0.97</v>
      </c>
      <c r="U54" s="105">
        <f>'0'!U26</f>
        <v>0.97</v>
      </c>
      <c r="V54" s="105">
        <f>'0'!V26</f>
        <v>0.97</v>
      </c>
      <c r="W54" s="105">
        <f>'0'!W26</f>
        <v>0.97</v>
      </c>
      <c r="X54" s="105">
        <f>'0'!X26</f>
        <v>0.97</v>
      </c>
      <c r="Y54" s="105">
        <f>'0'!Y26</f>
        <v>0.97</v>
      </c>
      <c r="Z54" s="105">
        <f>'0'!Z26</f>
        <v>0.97</v>
      </c>
      <c r="AA54" s="105">
        <f>'0'!AA26</f>
        <v>0.97</v>
      </c>
      <c r="AB54" s="105">
        <f>'0'!AB26</f>
        <v>0.97</v>
      </c>
      <c r="AC54" s="105">
        <f>'0'!AC26</f>
        <v>0.97</v>
      </c>
      <c r="AD54" s="105">
        <f>'0'!AD26</f>
        <v>0.97</v>
      </c>
      <c r="AE54" s="105">
        <f>'0'!AE26</f>
        <v>0.97</v>
      </c>
      <c r="AF54" s="105">
        <f>'0'!AF26</f>
        <v>0.97</v>
      </c>
      <c r="AG54" s="105">
        <f>'0'!AG26</f>
        <v>0.97</v>
      </c>
      <c r="AH54" s="105">
        <f>'0'!AH26</f>
        <v>0.97</v>
      </c>
      <c r="AI54" s="105">
        <f>'0'!AI26</f>
        <v>0.97</v>
      </c>
      <c r="AJ54" s="105">
        <f>'0'!AJ26</f>
        <v>0.97</v>
      </c>
      <c r="AK54" s="105">
        <f>'0'!AK26</f>
        <v>0.97</v>
      </c>
      <c r="AL54" s="105">
        <f>'0'!AL26</f>
        <v>0.97</v>
      </c>
      <c r="AM54" s="105">
        <f>'0'!AM26</f>
        <v>0.97</v>
      </c>
      <c r="AN54" s="81"/>
      <c r="AO54" s="75"/>
      <c r="AP54" s="75"/>
      <c r="AQ54" s="75"/>
    </row>
    <row r="55" spans="1:16370" s="69" customFormat="1" hidden="1" outlineLevel="1">
      <c r="A55" s="70" t="s">
        <v>152</v>
      </c>
      <c r="B55" s="71" t="s">
        <v>78</v>
      </c>
      <c r="C55" s="72"/>
      <c r="D55" s="73">
        <f t="shared" ref="D55:AM55" si="33">D45*D$54</f>
        <v>22725</v>
      </c>
      <c r="E55" s="73">
        <f t="shared" si="33"/>
        <v>45137.53125</v>
      </c>
      <c r="F55" s="73">
        <f t="shared" si="33"/>
        <v>67329.002695312505</v>
      </c>
      <c r="G55" s="73">
        <f t="shared" si="33"/>
        <v>89316.279861376956</v>
      </c>
      <c r="H55" s="73">
        <f t="shared" si="33"/>
        <v>111115.13861371923</v>
      </c>
      <c r="I55" s="73">
        <f t="shared" si="33"/>
        <v>131425.87660045706</v>
      </c>
      <c r="J55" s="73">
        <f t="shared" si="33"/>
        <v>151177.92274095581</v>
      </c>
      <c r="K55" s="73">
        <f t="shared" si="33"/>
        <v>172404.02359395529</v>
      </c>
      <c r="L55" s="73">
        <f t="shared" si="33"/>
        <v>194980.80230460252</v>
      </c>
      <c r="M55" s="73">
        <f t="shared" si="33"/>
        <v>218803.94118808978</v>
      </c>
      <c r="N55" s="73">
        <f t="shared" si="33"/>
        <v>243777.15159093597</v>
      </c>
      <c r="O55" s="73">
        <f t="shared" si="33"/>
        <v>269811.58381229686</v>
      </c>
      <c r="P55" s="73">
        <f t="shared" si="33"/>
        <v>293825.25230619818</v>
      </c>
      <c r="Q55" s="73">
        <f t="shared" si="33"/>
        <v>315983.75538602727</v>
      </c>
      <c r="R55" s="73">
        <f t="shared" si="33"/>
        <v>326337.47381500516</v>
      </c>
      <c r="S55" s="73">
        <f t="shared" si="33"/>
        <v>344638.47267032816</v>
      </c>
      <c r="T55" s="73">
        <f t="shared" si="33"/>
        <v>361525.61312504968</v>
      </c>
      <c r="U55" s="73">
        <f t="shared" si="33"/>
        <v>377108.12394819874</v>
      </c>
      <c r="V55" s="73">
        <f t="shared" si="33"/>
        <v>391486.7953523125</v>
      </c>
      <c r="W55" s="73">
        <f t="shared" si="33"/>
        <v>404754.63092091295</v>
      </c>
      <c r="X55" s="73">
        <f t="shared" si="33"/>
        <v>416997.44917080045</v>
      </c>
      <c r="Y55" s="73">
        <f t="shared" si="33"/>
        <v>428294.43864016788</v>
      </c>
      <c r="Z55" s="73">
        <f t="shared" si="33"/>
        <v>438718.67009293591</v>
      </c>
      <c r="AA55" s="73">
        <f t="shared" si="33"/>
        <v>448337.56915232947</v>
      </c>
      <c r="AB55" s="73">
        <f t="shared" si="33"/>
        <v>457213.35242076736</v>
      </c>
      <c r="AC55" s="73">
        <f t="shared" si="33"/>
        <v>465403.42990695831</v>
      </c>
      <c r="AD55" s="73">
        <f t="shared" si="33"/>
        <v>472960.77636316756</v>
      </c>
      <c r="AE55" s="73">
        <f t="shared" si="33"/>
        <v>479934.2739345248</v>
      </c>
      <c r="AF55" s="73">
        <f t="shared" si="33"/>
        <v>486369.02833668265</v>
      </c>
      <c r="AG55" s="73">
        <f t="shared" si="33"/>
        <v>492306.66060691676</v>
      </c>
      <c r="AH55" s="73">
        <f t="shared" si="33"/>
        <v>497785.5763157591</v>
      </c>
      <c r="AI55" s="73">
        <f t="shared" si="33"/>
        <v>502841.21398047038</v>
      </c>
      <c r="AJ55" s="73">
        <f t="shared" si="33"/>
        <v>507506.27428712847</v>
      </c>
      <c r="AK55" s="73">
        <f t="shared" si="33"/>
        <v>511810.93160398159</v>
      </c>
      <c r="AL55" s="73">
        <f t="shared" si="33"/>
        <v>515783.02915416553</v>
      </c>
      <c r="AM55" s="73">
        <f t="shared" si="33"/>
        <v>519448.25911019644</v>
      </c>
      <c r="AN55" s="74"/>
      <c r="AO55" s="75">
        <f>O55</f>
        <v>269811.58381229686</v>
      </c>
      <c r="AP55" s="75">
        <f>AA55</f>
        <v>448337.56915232947</v>
      </c>
      <c r="AQ55" s="75">
        <f>AM55</f>
        <v>519448.25911019644</v>
      </c>
    </row>
    <row r="56" spans="1:16370" hidden="1" outlineLevel="1">
      <c r="A56" s="70" t="s">
        <v>145</v>
      </c>
      <c r="B56" s="71" t="s">
        <v>78</v>
      </c>
      <c r="C56" s="72"/>
      <c r="D56" s="73">
        <f t="shared" ref="D56:AM56" si="34">D49*D$54</f>
        <v>-132.56250000000003</v>
      </c>
      <c r="E56" s="73">
        <f t="shared" si="34"/>
        <v>-395.86476562500002</v>
      </c>
      <c r="F56" s="73">
        <f t="shared" si="34"/>
        <v>-656.05478134765622</v>
      </c>
      <c r="G56" s="73">
        <f t="shared" si="34"/>
        <v>-913.76414824735525</v>
      </c>
      <c r="H56" s="73">
        <f t="shared" si="34"/>
        <v>-1169.1832744380611</v>
      </c>
      <c r="I56" s="73">
        <f t="shared" si="34"/>
        <v>-1408.4050477403187</v>
      </c>
      <c r="J56" s="73">
        <f t="shared" si="34"/>
        <v>-1648.5221628249083</v>
      </c>
      <c r="K56" s="73">
        <f t="shared" si="34"/>
        <v>-1887.5613536203148</v>
      </c>
      <c r="L56" s="73">
        <f t="shared" si="34"/>
        <v>-2143.0781510749207</v>
      </c>
      <c r="M56" s="73">
        <f t="shared" si="34"/>
        <v>-2413.7443370407054</v>
      </c>
      <c r="N56" s="73">
        <f t="shared" si="34"/>
        <v>-2698.3897078776504</v>
      </c>
      <c r="O56" s="73">
        <f t="shared" si="34"/>
        <v>-2995.9342898521918</v>
      </c>
      <c r="P56" s="73">
        <f t="shared" si="34"/>
        <v>-3287.8815440245548</v>
      </c>
      <c r="Q56" s="73">
        <f t="shared" si="34"/>
        <v>-3557.2192115379826</v>
      </c>
      <c r="R56" s="73">
        <f t="shared" si="34"/>
        <v>-3691.5766798134678</v>
      </c>
      <c r="S56" s="73">
        <f t="shared" si="34"/>
        <v>-3914.0263544977774</v>
      </c>
      <c r="T56" s="73">
        <f t="shared" si="34"/>
        <v>-4119.2905004730383</v>
      </c>
      <c r="U56" s="73">
        <f t="shared" si="34"/>
        <v>-4308.6967995939494</v>
      </c>
      <c r="V56" s="73">
        <f t="shared" si="34"/>
        <v>-4483.4703625863158</v>
      </c>
      <c r="W56" s="73">
        <f t="shared" si="34"/>
        <v>-4644.7416532604821</v>
      </c>
      <c r="X56" s="73">
        <f t="shared" si="34"/>
        <v>-4793.5538005349954</v>
      </c>
      <c r="Y56" s="73">
        <f t="shared" si="34"/>
        <v>-4930.8693455639832</v>
      </c>
      <c r="Z56" s="73">
        <f t="shared" si="34"/>
        <v>-5057.5764676097724</v>
      </c>
      <c r="AA56" s="73">
        <f t="shared" si="34"/>
        <v>-5174.4947289307147</v>
      </c>
      <c r="AB56" s="73">
        <f t="shared" si="34"/>
        <v>-5282.3803758430658</v>
      </c>
      <c r="AC56" s="73">
        <f t="shared" si="34"/>
        <v>-5381.9312302450662</v>
      </c>
      <c r="AD56" s="73">
        <f t="shared" si="34"/>
        <v>-5473.7912032424019</v>
      </c>
      <c r="AE56" s="73">
        <f t="shared" si="34"/>
        <v>-5558.5544600698722</v>
      </c>
      <c r="AF56" s="73">
        <f t="shared" si="34"/>
        <v>-5636.7692632487106</v>
      </c>
      <c r="AG56" s="73">
        <f t="shared" si="34"/>
        <v>-5708.9415188376643</v>
      </c>
      <c r="AH56" s="73">
        <f t="shared" si="34"/>
        <v>-5775.5380487156099</v>
      </c>
      <c r="AI56" s="73">
        <f t="shared" si="34"/>
        <v>-5836.9896100613396</v>
      </c>
      <c r="AJ56" s="73">
        <f t="shared" si="34"/>
        <v>-5893.6936815609934</v>
      </c>
      <c r="AK56" s="73">
        <f t="shared" si="34"/>
        <v>-5946.0170343648097</v>
      </c>
      <c r="AL56" s="73">
        <f t="shared" si="34"/>
        <v>-5994.2981044225262</v>
      </c>
      <c r="AM56" s="73">
        <f t="shared" si="34"/>
        <v>-6038.8491815421121</v>
      </c>
      <c r="AN56" s="81"/>
      <c r="AO56" s="75">
        <f>SUM(D56:O56)</f>
        <v>-18463.064519689084</v>
      </c>
      <c r="AP56" s="75">
        <f>SUM(P56:AA56)</f>
        <v>-51963.397448427029</v>
      </c>
      <c r="AQ56" s="75">
        <f>SUM(AB56:AM56)</f>
        <v>-68527.753712154168</v>
      </c>
    </row>
    <row r="57" spans="1:16370" hidden="1" outlineLevel="1">
      <c r="A57" s="70" t="s">
        <v>146</v>
      </c>
      <c r="B57" s="71" t="s">
        <v>78</v>
      </c>
      <c r="C57" s="72"/>
      <c r="D57" s="73">
        <f t="shared" ref="D57:AM57" si="35">D50*D$54</f>
        <v>151.5</v>
      </c>
      <c r="E57" s="73">
        <f t="shared" si="35"/>
        <v>452.416875</v>
      </c>
      <c r="F57" s="73">
        <f t="shared" si="35"/>
        <v>749.77689296874996</v>
      </c>
      <c r="G57" s="73">
        <f t="shared" si="35"/>
        <v>1044.3018837112631</v>
      </c>
      <c r="H57" s="73">
        <f t="shared" si="35"/>
        <v>1336.2094565006412</v>
      </c>
      <c r="I57" s="73">
        <f t="shared" si="35"/>
        <v>1609.6057688460785</v>
      </c>
      <c r="J57" s="73">
        <f t="shared" si="35"/>
        <v>1884.0253289427521</v>
      </c>
      <c r="K57" s="73">
        <f t="shared" si="35"/>
        <v>2157.212975566074</v>
      </c>
      <c r="L57" s="73">
        <f t="shared" si="35"/>
        <v>2449.2321726570522</v>
      </c>
      <c r="M57" s="73">
        <f t="shared" si="35"/>
        <v>2758.5649566179486</v>
      </c>
      <c r="N57" s="73">
        <f t="shared" si="35"/>
        <v>3083.8739518601719</v>
      </c>
      <c r="O57" s="73">
        <f t="shared" si="35"/>
        <v>3423.9249026882189</v>
      </c>
      <c r="P57" s="73">
        <f t="shared" si="35"/>
        <v>3757.5789074566342</v>
      </c>
      <c r="Q57" s="73">
        <f t="shared" si="35"/>
        <v>4065.393384614837</v>
      </c>
      <c r="R57" s="73">
        <f t="shared" si="35"/>
        <v>4218.9447769296776</v>
      </c>
      <c r="S57" s="73">
        <f t="shared" si="35"/>
        <v>4473.1729765688888</v>
      </c>
      <c r="T57" s="73">
        <f t="shared" si="35"/>
        <v>4707.7605719691855</v>
      </c>
      <c r="U57" s="73">
        <f t="shared" si="35"/>
        <v>4924.2249138216566</v>
      </c>
      <c r="V57" s="73">
        <f t="shared" si="35"/>
        <v>5123.9661286700748</v>
      </c>
      <c r="W57" s="73">
        <f t="shared" si="35"/>
        <v>5308.2761751548378</v>
      </c>
      <c r="X57" s="73">
        <f t="shared" si="35"/>
        <v>5478.3472006114225</v>
      </c>
      <c r="Y57" s="73">
        <f t="shared" si="35"/>
        <v>5635.2792520731227</v>
      </c>
      <c r="Z57" s="73">
        <f t="shared" si="35"/>
        <v>5780.087391554026</v>
      </c>
      <c r="AA57" s="73">
        <f t="shared" si="35"/>
        <v>5913.7082616351026</v>
      </c>
      <c r="AB57" s="73">
        <f t="shared" si="35"/>
        <v>6037.0061438206458</v>
      </c>
      <c r="AC57" s="73">
        <f t="shared" si="35"/>
        <v>6150.7785488515046</v>
      </c>
      <c r="AD57" s="73">
        <f t="shared" si="35"/>
        <v>6255.7613751341732</v>
      </c>
      <c r="AE57" s="73">
        <f t="shared" si="35"/>
        <v>6352.6336686512823</v>
      </c>
      <c r="AF57" s="73">
        <f t="shared" si="35"/>
        <v>6442.0220151413832</v>
      </c>
      <c r="AG57" s="73">
        <f t="shared" si="35"/>
        <v>6524.5045929573289</v>
      </c>
      <c r="AH57" s="73">
        <f t="shared" si="35"/>
        <v>6600.6149128178395</v>
      </c>
      <c r="AI57" s="73">
        <f t="shared" si="35"/>
        <v>6670.8452686415303</v>
      </c>
      <c r="AJ57" s="73">
        <f t="shared" si="35"/>
        <v>6735.6499217839919</v>
      </c>
      <c r="AK57" s="73">
        <f t="shared" si="35"/>
        <v>6795.448039274067</v>
      </c>
      <c r="AL57" s="73">
        <f t="shared" si="35"/>
        <v>6850.626405054315</v>
      </c>
      <c r="AM57" s="73">
        <f t="shared" si="35"/>
        <v>6901.5419217624139</v>
      </c>
      <c r="AN57" s="81"/>
      <c r="AO57" s="75">
        <f>SUM(D57:O57)</f>
        <v>21100.645165358947</v>
      </c>
      <c r="AP57" s="75">
        <f>SUM(P57:AA57)</f>
        <v>59386.739941059473</v>
      </c>
      <c r="AQ57" s="75">
        <f>SUM(AB57:AM57)</f>
        <v>78317.432813890468</v>
      </c>
    </row>
    <row r="58" spans="1:16370" hidden="1" outlineLevel="1">
      <c r="A58" s="70" t="s">
        <v>99</v>
      </c>
      <c r="B58" s="71" t="s">
        <v>78</v>
      </c>
      <c r="C58" s="72"/>
      <c r="D58" s="73">
        <f t="shared" ref="D58:AM58" si="36">D51*D$54</f>
        <v>-227.25</v>
      </c>
      <c r="E58" s="73">
        <f t="shared" si="36"/>
        <v>-242.4</v>
      </c>
      <c r="F58" s="73">
        <f t="shared" si="36"/>
        <v>-257.55</v>
      </c>
      <c r="G58" s="73">
        <f t="shared" si="36"/>
        <v>-272.7</v>
      </c>
      <c r="H58" s="73">
        <f t="shared" si="36"/>
        <v>-287.85000000000002</v>
      </c>
      <c r="I58" s="73">
        <f t="shared" si="36"/>
        <v>-300</v>
      </c>
      <c r="J58" s="73">
        <f t="shared" si="36"/>
        <v>-300</v>
      </c>
      <c r="K58" s="73">
        <f t="shared" si="36"/>
        <v>-330</v>
      </c>
      <c r="L58" s="73">
        <f t="shared" si="36"/>
        <v>-360</v>
      </c>
      <c r="M58" s="73">
        <f t="shared" si="36"/>
        <v>-390</v>
      </c>
      <c r="N58" s="73">
        <f t="shared" si="36"/>
        <v>-420</v>
      </c>
      <c r="O58" s="73">
        <f t="shared" si="36"/>
        <v>-450</v>
      </c>
      <c r="P58" s="73">
        <f t="shared" si="36"/>
        <v>-450</v>
      </c>
      <c r="Q58" s="73">
        <f t="shared" si="36"/>
        <v>-450</v>
      </c>
      <c r="R58" s="73">
        <f t="shared" si="36"/>
        <v>-436.5</v>
      </c>
      <c r="S58" s="73">
        <f t="shared" si="36"/>
        <v>-436.5</v>
      </c>
      <c r="T58" s="73">
        <f t="shared" si="36"/>
        <v>-436.5</v>
      </c>
      <c r="U58" s="73">
        <f t="shared" si="36"/>
        <v>-436.5</v>
      </c>
      <c r="V58" s="73">
        <f t="shared" si="36"/>
        <v>-436.5</v>
      </c>
      <c r="W58" s="73">
        <f t="shared" si="36"/>
        <v>-436.5</v>
      </c>
      <c r="X58" s="73">
        <f t="shared" si="36"/>
        <v>-436.5</v>
      </c>
      <c r="Y58" s="73">
        <f t="shared" si="36"/>
        <v>-436.5</v>
      </c>
      <c r="Z58" s="73">
        <f t="shared" si="36"/>
        <v>-436.5</v>
      </c>
      <c r="AA58" s="73">
        <f t="shared" si="36"/>
        <v>-436.5</v>
      </c>
      <c r="AB58" s="73">
        <f t="shared" si="36"/>
        <v>-436.5</v>
      </c>
      <c r="AC58" s="73">
        <f t="shared" si="36"/>
        <v>-436.5</v>
      </c>
      <c r="AD58" s="73">
        <f t="shared" si="36"/>
        <v>-436.5</v>
      </c>
      <c r="AE58" s="73">
        <f t="shared" si="36"/>
        <v>-436.5</v>
      </c>
      <c r="AF58" s="73">
        <f t="shared" si="36"/>
        <v>-436.5</v>
      </c>
      <c r="AG58" s="73">
        <f t="shared" si="36"/>
        <v>-436.5</v>
      </c>
      <c r="AH58" s="73">
        <f t="shared" si="36"/>
        <v>-436.5</v>
      </c>
      <c r="AI58" s="73">
        <f t="shared" si="36"/>
        <v>-436.5</v>
      </c>
      <c r="AJ58" s="73">
        <f t="shared" si="36"/>
        <v>-436.5</v>
      </c>
      <c r="AK58" s="73">
        <f t="shared" si="36"/>
        <v>-436.5</v>
      </c>
      <c r="AL58" s="73">
        <f t="shared" si="36"/>
        <v>-436.5</v>
      </c>
      <c r="AM58" s="73">
        <f t="shared" si="36"/>
        <v>-436.5</v>
      </c>
      <c r="AN58" s="81"/>
      <c r="AO58" s="75">
        <f>SUM(D58:O58)</f>
        <v>-3837.75</v>
      </c>
      <c r="AP58" s="75">
        <f>SUM(P58:AA58)</f>
        <v>-5265</v>
      </c>
      <c r="AQ58" s="75">
        <f>SUM(AB58:AM58)</f>
        <v>-5238</v>
      </c>
    </row>
    <row r="59" spans="1:16370" hidden="1" outlineLevel="1">
      <c r="A59" s="70" t="s">
        <v>122</v>
      </c>
      <c r="B59" s="71" t="s">
        <v>78</v>
      </c>
      <c r="C59" s="72"/>
      <c r="D59" s="73">
        <f t="shared" ref="D59:AM59" si="37">D52*D$54</f>
        <v>-208.31250000000003</v>
      </c>
      <c r="E59" s="73">
        <f t="shared" si="37"/>
        <v>-185.84789062499999</v>
      </c>
      <c r="F59" s="73">
        <f t="shared" si="37"/>
        <v>-163.82788837890627</v>
      </c>
      <c r="G59" s="73">
        <f t="shared" si="37"/>
        <v>-142.1622645360921</v>
      </c>
      <c r="H59" s="73">
        <f t="shared" si="37"/>
        <v>-120.82381793741992</v>
      </c>
      <c r="I59" s="73">
        <f t="shared" si="37"/>
        <v>-98.79927889424016</v>
      </c>
      <c r="J59" s="73">
        <f t="shared" si="37"/>
        <v>-64.496833882156125</v>
      </c>
      <c r="K59" s="73">
        <f t="shared" si="37"/>
        <v>-60.348378054240811</v>
      </c>
      <c r="L59" s="73">
        <f t="shared" si="37"/>
        <v>-53.845978417868537</v>
      </c>
      <c r="M59" s="73">
        <f t="shared" si="37"/>
        <v>-45.179380422756822</v>
      </c>
      <c r="N59" s="73">
        <f t="shared" si="37"/>
        <v>-34.515756017478452</v>
      </c>
      <c r="O59" s="73">
        <f t="shared" si="37"/>
        <v>-22.00938716397286</v>
      </c>
      <c r="P59" s="73">
        <f t="shared" si="37"/>
        <v>19.697363432079328</v>
      </c>
      <c r="Q59" s="73">
        <f t="shared" si="37"/>
        <v>58.174173076854458</v>
      </c>
      <c r="R59" s="73">
        <f t="shared" si="37"/>
        <v>90.868097116209796</v>
      </c>
      <c r="S59" s="73">
        <f t="shared" si="37"/>
        <v>122.64662207111171</v>
      </c>
      <c r="T59" s="73">
        <f t="shared" si="37"/>
        <v>151.97007149614757</v>
      </c>
      <c r="U59" s="73">
        <f t="shared" si="37"/>
        <v>179.02811422770671</v>
      </c>
      <c r="V59" s="73">
        <f t="shared" si="37"/>
        <v>203.99576608375898</v>
      </c>
      <c r="W59" s="73">
        <f t="shared" si="37"/>
        <v>227.03452189435524</v>
      </c>
      <c r="X59" s="73">
        <f t="shared" si="37"/>
        <v>248.29340007642776</v>
      </c>
      <c r="Y59" s="73">
        <f t="shared" si="37"/>
        <v>267.90990650913943</v>
      </c>
      <c r="Z59" s="73">
        <f t="shared" si="37"/>
        <v>286.01092394425314</v>
      </c>
      <c r="AA59" s="73">
        <f t="shared" si="37"/>
        <v>302.71353270438789</v>
      </c>
      <c r="AB59" s="73">
        <f t="shared" si="37"/>
        <v>318.1257679775797</v>
      </c>
      <c r="AC59" s="73">
        <f t="shared" si="37"/>
        <v>332.34731860643836</v>
      </c>
      <c r="AD59" s="73">
        <f t="shared" si="37"/>
        <v>345.47017189177137</v>
      </c>
      <c r="AE59" s="73">
        <f t="shared" si="37"/>
        <v>357.57920858141023</v>
      </c>
      <c r="AF59" s="73">
        <f t="shared" si="37"/>
        <v>368.75275189267256</v>
      </c>
      <c r="AG59" s="73">
        <f t="shared" si="37"/>
        <v>379.06307411966486</v>
      </c>
      <c r="AH59" s="73">
        <f t="shared" si="37"/>
        <v>388.57686410222948</v>
      </c>
      <c r="AI59" s="73">
        <f t="shared" si="37"/>
        <v>397.35565858019089</v>
      </c>
      <c r="AJ59" s="73">
        <f t="shared" si="37"/>
        <v>405.45624022299802</v>
      </c>
      <c r="AK59" s="73">
        <f t="shared" si="37"/>
        <v>412.93100490925764</v>
      </c>
      <c r="AL59" s="73">
        <f t="shared" si="37"/>
        <v>419.82830063178943</v>
      </c>
      <c r="AM59" s="73">
        <f t="shared" si="37"/>
        <v>426.19274022030231</v>
      </c>
      <c r="AN59" s="81"/>
      <c r="AO59" s="75">
        <f>SUM(D59:O59)</f>
        <v>-1200.1693543301321</v>
      </c>
      <c r="AP59" s="75">
        <f>SUM(P59:AA59)</f>
        <v>2158.3424926324324</v>
      </c>
      <c r="AQ59" s="75">
        <f>SUM(AB59:AM59)</f>
        <v>4551.6791017363048</v>
      </c>
    </row>
    <row r="60" spans="1:16370" collapsed="1"/>
    <row r="61" spans="1:16370">
      <c r="A61" s="83" t="s">
        <v>156</v>
      </c>
      <c r="B61" s="66" t="s">
        <v>76</v>
      </c>
      <c r="C61" s="101" t="s">
        <v>77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9"/>
      <c r="AO61" s="102"/>
      <c r="AP61" s="68"/>
      <c r="AQ61" s="68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  <c r="CS61" s="69"/>
      <c r="CT61" s="69"/>
      <c r="CU61" s="69"/>
      <c r="CV61" s="69"/>
      <c r="CW61" s="69"/>
      <c r="CX61" s="69"/>
      <c r="CY61" s="69"/>
      <c r="CZ61" s="69"/>
      <c r="DA61" s="69"/>
      <c r="DB61" s="69"/>
      <c r="DC61" s="69"/>
      <c r="DD61" s="69"/>
      <c r="DE61" s="69"/>
      <c r="DF61" s="69"/>
      <c r="DG61" s="69"/>
      <c r="DH61" s="69"/>
      <c r="DI61" s="69"/>
      <c r="DJ61" s="69"/>
      <c r="DK61" s="69"/>
      <c r="DL61" s="69"/>
      <c r="DM61" s="69"/>
      <c r="DN61" s="69"/>
      <c r="DO61" s="69"/>
      <c r="DP61" s="69"/>
      <c r="DQ61" s="69"/>
      <c r="DR61" s="69"/>
      <c r="DS61" s="69"/>
      <c r="DT61" s="69"/>
      <c r="DU61" s="69"/>
      <c r="DV61" s="69"/>
      <c r="DW61" s="69"/>
      <c r="DX61" s="69"/>
      <c r="DY61" s="69"/>
      <c r="DZ61" s="69"/>
      <c r="EA61" s="69"/>
      <c r="EB61" s="69"/>
      <c r="EC61" s="69"/>
      <c r="ED61" s="69"/>
      <c r="EE61" s="69"/>
      <c r="EF61" s="69"/>
      <c r="EG61" s="69"/>
      <c r="EH61" s="69"/>
      <c r="EI61" s="69"/>
      <c r="EJ61" s="69"/>
      <c r="EK61" s="69"/>
      <c r="EL61" s="69"/>
      <c r="EM61" s="69"/>
      <c r="EN61" s="69"/>
      <c r="EO61" s="69"/>
      <c r="EP61" s="69"/>
      <c r="EQ61" s="69"/>
      <c r="ER61" s="69"/>
      <c r="ES61" s="69"/>
      <c r="ET61" s="69"/>
      <c r="EU61" s="69"/>
      <c r="EV61" s="69"/>
      <c r="EW61" s="69"/>
      <c r="EX61" s="69"/>
      <c r="EY61" s="69"/>
      <c r="EZ61" s="69"/>
      <c r="FA61" s="69"/>
      <c r="FB61" s="69"/>
      <c r="FC61" s="69"/>
      <c r="FD61" s="69"/>
      <c r="FE61" s="69"/>
      <c r="FF61" s="69"/>
      <c r="FG61" s="69"/>
      <c r="FH61" s="69"/>
      <c r="FI61" s="69"/>
      <c r="FJ61" s="69"/>
      <c r="FK61" s="69"/>
      <c r="FL61" s="69"/>
      <c r="FM61" s="69"/>
      <c r="FN61" s="69"/>
      <c r="FO61" s="69"/>
      <c r="FP61" s="69"/>
      <c r="FQ61" s="69"/>
      <c r="FR61" s="69"/>
      <c r="FS61" s="69"/>
      <c r="FT61" s="69"/>
      <c r="FU61" s="69"/>
      <c r="FV61" s="69"/>
      <c r="FW61" s="69"/>
      <c r="FX61" s="69"/>
      <c r="FY61" s="69"/>
      <c r="FZ61" s="69"/>
      <c r="GA61" s="69"/>
      <c r="GB61" s="69"/>
      <c r="GC61" s="69"/>
      <c r="GD61" s="69"/>
      <c r="GE61" s="69"/>
      <c r="GF61" s="69"/>
      <c r="GG61" s="69"/>
      <c r="GH61" s="69"/>
      <c r="GI61" s="69"/>
      <c r="GJ61" s="69"/>
      <c r="GK61" s="69"/>
      <c r="GL61" s="69"/>
      <c r="GM61" s="69"/>
      <c r="GN61" s="69"/>
      <c r="GO61" s="69"/>
      <c r="GP61" s="69"/>
      <c r="GQ61" s="69"/>
      <c r="GR61" s="69"/>
      <c r="GS61" s="69"/>
      <c r="GT61" s="69"/>
      <c r="GU61" s="69"/>
      <c r="GV61" s="69"/>
      <c r="GW61" s="69"/>
      <c r="GX61" s="69"/>
      <c r="GY61" s="69"/>
      <c r="GZ61" s="69"/>
      <c r="HA61" s="69"/>
      <c r="HB61" s="69"/>
      <c r="HC61" s="69"/>
      <c r="HD61" s="69"/>
      <c r="HE61" s="69"/>
      <c r="HF61" s="69"/>
      <c r="HG61" s="69"/>
      <c r="HH61" s="69"/>
      <c r="HI61" s="69"/>
      <c r="HJ61" s="69"/>
      <c r="HK61" s="69"/>
      <c r="HL61" s="69"/>
      <c r="HM61" s="69"/>
      <c r="HN61" s="69"/>
      <c r="HO61" s="69"/>
      <c r="HP61" s="69"/>
      <c r="HQ61" s="69"/>
      <c r="HR61" s="69"/>
      <c r="HS61" s="69"/>
      <c r="HT61" s="69"/>
      <c r="HU61" s="69"/>
      <c r="HV61" s="69"/>
      <c r="HW61" s="69"/>
      <c r="HX61" s="69"/>
      <c r="HY61" s="69"/>
      <c r="HZ61" s="69"/>
      <c r="IA61" s="69"/>
      <c r="IB61" s="69"/>
      <c r="IC61" s="69"/>
      <c r="ID61" s="69"/>
      <c r="IE61" s="69"/>
      <c r="IF61" s="69"/>
      <c r="IG61" s="69"/>
      <c r="IH61" s="69"/>
      <c r="II61" s="69"/>
      <c r="IJ61" s="69"/>
      <c r="IK61" s="69"/>
      <c r="IL61" s="69"/>
      <c r="IM61" s="69"/>
      <c r="IN61" s="69"/>
      <c r="IO61" s="69"/>
      <c r="IP61" s="69"/>
      <c r="IQ61" s="69"/>
      <c r="IR61" s="69"/>
      <c r="IS61" s="69"/>
      <c r="IT61" s="69"/>
      <c r="IU61" s="69"/>
      <c r="IV61" s="69"/>
      <c r="IW61" s="69"/>
      <c r="IX61" s="69"/>
      <c r="IY61" s="69"/>
      <c r="IZ61" s="69"/>
      <c r="JA61" s="69"/>
      <c r="JB61" s="69"/>
      <c r="JC61" s="69"/>
      <c r="JD61" s="69"/>
      <c r="JE61" s="69"/>
      <c r="JF61" s="69"/>
      <c r="JG61" s="69"/>
      <c r="JH61" s="69"/>
      <c r="JI61" s="69"/>
      <c r="JJ61" s="69"/>
      <c r="JK61" s="69"/>
      <c r="JL61" s="69"/>
      <c r="JM61" s="69"/>
      <c r="JN61" s="69"/>
      <c r="JO61" s="69"/>
      <c r="JP61" s="69"/>
      <c r="JQ61" s="69"/>
      <c r="JR61" s="69"/>
      <c r="JS61" s="69"/>
      <c r="JT61" s="69"/>
      <c r="JU61" s="69"/>
      <c r="JV61" s="69"/>
      <c r="JW61" s="69"/>
      <c r="JX61" s="69"/>
      <c r="JY61" s="69"/>
      <c r="JZ61" s="69"/>
      <c r="KA61" s="69"/>
      <c r="KB61" s="69"/>
      <c r="KC61" s="69"/>
      <c r="KD61" s="69"/>
      <c r="KE61" s="69"/>
      <c r="KF61" s="69"/>
      <c r="KG61" s="69"/>
      <c r="KH61" s="69"/>
      <c r="KI61" s="69"/>
      <c r="KJ61" s="69"/>
      <c r="KK61" s="69"/>
      <c r="KL61" s="69"/>
      <c r="KM61" s="69"/>
      <c r="KN61" s="69"/>
      <c r="KO61" s="69"/>
      <c r="KP61" s="69"/>
      <c r="KQ61" s="69"/>
      <c r="KR61" s="69"/>
      <c r="KS61" s="69"/>
      <c r="KT61" s="69"/>
      <c r="KU61" s="69"/>
      <c r="KV61" s="69"/>
      <c r="KW61" s="69"/>
      <c r="KX61" s="69"/>
      <c r="KY61" s="69"/>
      <c r="KZ61" s="69"/>
      <c r="LA61" s="69"/>
      <c r="LB61" s="69"/>
      <c r="LC61" s="69"/>
      <c r="LD61" s="69"/>
      <c r="LE61" s="69"/>
      <c r="LF61" s="69"/>
      <c r="LG61" s="69"/>
      <c r="LH61" s="69"/>
      <c r="LI61" s="69"/>
      <c r="LJ61" s="69"/>
      <c r="LK61" s="69"/>
      <c r="LL61" s="69"/>
      <c r="LM61" s="69"/>
      <c r="LN61" s="69"/>
      <c r="LO61" s="69"/>
      <c r="LP61" s="69"/>
      <c r="LQ61" s="69"/>
      <c r="LR61" s="69"/>
      <c r="LS61" s="69"/>
      <c r="LT61" s="69"/>
      <c r="LU61" s="69"/>
      <c r="LV61" s="69"/>
      <c r="LW61" s="69"/>
      <c r="LX61" s="69"/>
      <c r="LY61" s="69"/>
      <c r="LZ61" s="69"/>
      <c r="MA61" s="69"/>
      <c r="MB61" s="69"/>
      <c r="MC61" s="69"/>
      <c r="MD61" s="69"/>
      <c r="ME61" s="69"/>
      <c r="MF61" s="69"/>
      <c r="MG61" s="69"/>
      <c r="MH61" s="69"/>
      <c r="MI61" s="69"/>
      <c r="MJ61" s="69"/>
      <c r="MK61" s="69"/>
      <c r="ML61" s="69"/>
      <c r="MM61" s="69"/>
      <c r="MN61" s="69"/>
      <c r="MO61" s="69"/>
      <c r="MP61" s="69"/>
      <c r="MQ61" s="69"/>
      <c r="MR61" s="69"/>
      <c r="MS61" s="69"/>
      <c r="MT61" s="69"/>
      <c r="MU61" s="69"/>
      <c r="MV61" s="69"/>
      <c r="MW61" s="69"/>
      <c r="MX61" s="69"/>
      <c r="MY61" s="69"/>
      <c r="MZ61" s="69"/>
      <c r="NA61" s="69"/>
      <c r="NB61" s="69"/>
      <c r="NC61" s="69"/>
      <c r="ND61" s="69"/>
      <c r="NE61" s="69"/>
      <c r="NF61" s="69"/>
      <c r="NG61" s="69"/>
      <c r="NH61" s="69"/>
      <c r="NI61" s="69"/>
      <c r="NJ61" s="69"/>
      <c r="NK61" s="69"/>
      <c r="NL61" s="69"/>
      <c r="NM61" s="69"/>
      <c r="NN61" s="69"/>
      <c r="NO61" s="69"/>
      <c r="NP61" s="69"/>
      <c r="NQ61" s="69"/>
      <c r="NR61" s="69"/>
      <c r="NS61" s="69"/>
      <c r="NT61" s="69"/>
      <c r="NU61" s="69"/>
      <c r="NV61" s="69"/>
      <c r="NW61" s="69"/>
      <c r="NX61" s="69"/>
      <c r="NY61" s="69"/>
      <c r="NZ61" s="69"/>
      <c r="OA61" s="69"/>
      <c r="OB61" s="69"/>
      <c r="OC61" s="69"/>
      <c r="OD61" s="69"/>
      <c r="OE61" s="69"/>
      <c r="OF61" s="69"/>
      <c r="OG61" s="69"/>
      <c r="OH61" s="69"/>
      <c r="OI61" s="69"/>
      <c r="OJ61" s="69"/>
      <c r="OK61" s="69"/>
      <c r="OL61" s="69"/>
      <c r="OM61" s="69"/>
      <c r="ON61" s="69"/>
      <c r="OO61" s="69"/>
      <c r="OP61" s="69"/>
      <c r="OQ61" s="69"/>
      <c r="OR61" s="69"/>
      <c r="OS61" s="69"/>
      <c r="OT61" s="69"/>
      <c r="OU61" s="69"/>
      <c r="OV61" s="69"/>
      <c r="OW61" s="69"/>
      <c r="OX61" s="69"/>
      <c r="OY61" s="69"/>
      <c r="OZ61" s="69"/>
      <c r="PA61" s="69"/>
      <c r="PB61" s="69"/>
      <c r="PC61" s="69"/>
      <c r="PD61" s="69"/>
      <c r="PE61" s="69"/>
      <c r="PF61" s="69"/>
      <c r="PG61" s="69"/>
      <c r="PH61" s="69"/>
      <c r="PI61" s="69"/>
      <c r="PJ61" s="69"/>
      <c r="PK61" s="69"/>
      <c r="PL61" s="69"/>
      <c r="PM61" s="69"/>
      <c r="PN61" s="69"/>
      <c r="PO61" s="69"/>
      <c r="PP61" s="69"/>
      <c r="PQ61" s="69"/>
      <c r="PR61" s="69"/>
      <c r="PS61" s="69"/>
      <c r="PT61" s="69"/>
      <c r="PU61" s="69"/>
      <c r="PV61" s="69"/>
      <c r="PW61" s="69"/>
      <c r="PX61" s="69"/>
      <c r="PY61" s="69"/>
      <c r="PZ61" s="69"/>
      <c r="QA61" s="69"/>
      <c r="QB61" s="69"/>
      <c r="QC61" s="69"/>
      <c r="QD61" s="69"/>
      <c r="QE61" s="69"/>
      <c r="QF61" s="69"/>
      <c r="QG61" s="69"/>
      <c r="QH61" s="69"/>
      <c r="QI61" s="69"/>
      <c r="QJ61" s="69"/>
      <c r="QK61" s="69"/>
      <c r="QL61" s="69"/>
      <c r="QM61" s="69"/>
      <c r="QN61" s="69"/>
      <c r="QO61" s="69"/>
      <c r="QP61" s="69"/>
      <c r="QQ61" s="69"/>
      <c r="QR61" s="69"/>
      <c r="QS61" s="69"/>
      <c r="QT61" s="69"/>
      <c r="QU61" s="69"/>
      <c r="QV61" s="69"/>
      <c r="QW61" s="69"/>
      <c r="QX61" s="69"/>
      <c r="QY61" s="69"/>
      <c r="QZ61" s="69"/>
      <c r="RA61" s="69"/>
      <c r="RB61" s="69"/>
      <c r="RC61" s="69"/>
      <c r="RD61" s="69"/>
      <c r="RE61" s="69"/>
      <c r="RF61" s="69"/>
      <c r="RG61" s="69"/>
      <c r="RH61" s="69"/>
      <c r="RI61" s="69"/>
      <c r="RJ61" s="69"/>
      <c r="RK61" s="69"/>
      <c r="RL61" s="69"/>
      <c r="RM61" s="69"/>
      <c r="RN61" s="69"/>
      <c r="RO61" s="69"/>
      <c r="RP61" s="69"/>
      <c r="RQ61" s="69"/>
      <c r="RR61" s="69"/>
      <c r="RS61" s="69"/>
      <c r="RT61" s="69"/>
      <c r="RU61" s="69"/>
      <c r="RV61" s="69"/>
      <c r="RW61" s="69"/>
      <c r="RX61" s="69"/>
      <c r="RY61" s="69"/>
      <c r="RZ61" s="69"/>
      <c r="SA61" s="69"/>
      <c r="SB61" s="69"/>
      <c r="SC61" s="69"/>
      <c r="SD61" s="69"/>
      <c r="SE61" s="69"/>
      <c r="SF61" s="69"/>
      <c r="SG61" s="69"/>
      <c r="SH61" s="69"/>
      <c r="SI61" s="69"/>
      <c r="SJ61" s="69"/>
      <c r="SK61" s="69"/>
      <c r="SL61" s="69"/>
      <c r="SM61" s="69"/>
      <c r="SN61" s="69"/>
      <c r="SO61" s="69"/>
      <c r="SP61" s="69"/>
      <c r="SQ61" s="69"/>
      <c r="SR61" s="69"/>
      <c r="SS61" s="69"/>
      <c r="ST61" s="69"/>
      <c r="SU61" s="69"/>
      <c r="SV61" s="69"/>
      <c r="SW61" s="69"/>
      <c r="SX61" s="69"/>
      <c r="SY61" s="69"/>
      <c r="SZ61" s="69"/>
      <c r="TA61" s="69"/>
      <c r="TB61" s="69"/>
      <c r="TC61" s="69"/>
      <c r="TD61" s="69"/>
      <c r="TE61" s="69"/>
      <c r="TF61" s="69"/>
      <c r="TG61" s="69"/>
      <c r="TH61" s="69"/>
      <c r="TI61" s="69"/>
      <c r="TJ61" s="69"/>
      <c r="TK61" s="69"/>
      <c r="TL61" s="69"/>
      <c r="TM61" s="69"/>
      <c r="TN61" s="69"/>
      <c r="TO61" s="69"/>
      <c r="TP61" s="69"/>
      <c r="TQ61" s="69"/>
      <c r="TR61" s="69"/>
      <c r="TS61" s="69"/>
      <c r="TT61" s="69"/>
      <c r="TU61" s="69"/>
      <c r="TV61" s="69"/>
      <c r="TW61" s="69"/>
      <c r="TX61" s="69"/>
      <c r="TY61" s="69"/>
      <c r="TZ61" s="69"/>
      <c r="UA61" s="69"/>
      <c r="UB61" s="69"/>
      <c r="UC61" s="69"/>
      <c r="UD61" s="69"/>
      <c r="UE61" s="69"/>
      <c r="UF61" s="69"/>
      <c r="UG61" s="69"/>
      <c r="UH61" s="69"/>
      <c r="UI61" s="69"/>
      <c r="UJ61" s="69"/>
      <c r="UK61" s="69"/>
      <c r="UL61" s="69"/>
      <c r="UM61" s="69"/>
      <c r="UN61" s="69"/>
      <c r="UO61" s="69"/>
      <c r="UP61" s="69"/>
      <c r="UQ61" s="69"/>
      <c r="UR61" s="69"/>
      <c r="US61" s="69"/>
      <c r="UT61" s="69"/>
      <c r="UU61" s="69"/>
      <c r="UV61" s="69"/>
      <c r="UW61" s="69"/>
      <c r="UX61" s="69"/>
      <c r="UY61" s="69"/>
      <c r="UZ61" s="69"/>
      <c r="VA61" s="69"/>
      <c r="VB61" s="69"/>
      <c r="VC61" s="69"/>
      <c r="VD61" s="69"/>
      <c r="VE61" s="69"/>
      <c r="VF61" s="69"/>
      <c r="VG61" s="69"/>
      <c r="VH61" s="69"/>
      <c r="VI61" s="69"/>
      <c r="VJ61" s="69"/>
      <c r="VK61" s="69"/>
      <c r="VL61" s="69"/>
      <c r="VM61" s="69"/>
      <c r="VN61" s="69"/>
      <c r="VO61" s="69"/>
      <c r="VP61" s="69"/>
      <c r="VQ61" s="69"/>
      <c r="VR61" s="69"/>
      <c r="VS61" s="69"/>
      <c r="VT61" s="69"/>
      <c r="VU61" s="69"/>
      <c r="VV61" s="69"/>
      <c r="VW61" s="69"/>
      <c r="VX61" s="69"/>
      <c r="VY61" s="69"/>
      <c r="VZ61" s="69"/>
      <c r="WA61" s="69"/>
      <c r="WB61" s="69"/>
      <c r="WC61" s="69"/>
      <c r="WD61" s="69"/>
      <c r="WE61" s="69"/>
      <c r="WF61" s="69"/>
      <c r="WG61" s="69"/>
      <c r="WH61" s="69"/>
      <c r="WI61" s="69"/>
      <c r="WJ61" s="69"/>
      <c r="WK61" s="69"/>
      <c r="WL61" s="69"/>
      <c r="WM61" s="69"/>
      <c r="WN61" s="69"/>
      <c r="WO61" s="69"/>
      <c r="WP61" s="69"/>
      <c r="WQ61" s="69"/>
      <c r="WR61" s="69"/>
      <c r="WS61" s="69"/>
      <c r="WT61" s="69"/>
      <c r="WU61" s="69"/>
      <c r="WV61" s="69"/>
      <c r="WW61" s="69"/>
      <c r="WX61" s="69"/>
      <c r="WY61" s="69"/>
      <c r="WZ61" s="69"/>
      <c r="XA61" s="69"/>
      <c r="XB61" s="69"/>
      <c r="XC61" s="69"/>
      <c r="XD61" s="69"/>
      <c r="XE61" s="69"/>
      <c r="XF61" s="69"/>
      <c r="XG61" s="69"/>
      <c r="XH61" s="69"/>
      <c r="XI61" s="69"/>
      <c r="XJ61" s="69"/>
      <c r="XK61" s="69"/>
      <c r="XL61" s="69"/>
      <c r="XM61" s="69"/>
      <c r="XN61" s="69"/>
      <c r="XO61" s="69"/>
      <c r="XP61" s="69"/>
      <c r="XQ61" s="69"/>
      <c r="XR61" s="69"/>
      <c r="XS61" s="69"/>
      <c r="XT61" s="69"/>
      <c r="XU61" s="69"/>
      <c r="XV61" s="69"/>
      <c r="XW61" s="69"/>
      <c r="XX61" s="69"/>
      <c r="XY61" s="69"/>
      <c r="XZ61" s="69"/>
      <c r="YA61" s="69"/>
      <c r="YB61" s="69"/>
      <c r="YC61" s="69"/>
      <c r="YD61" s="69"/>
      <c r="YE61" s="69"/>
      <c r="YF61" s="69"/>
      <c r="YG61" s="69"/>
      <c r="YH61" s="69"/>
      <c r="YI61" s="69"/>
      <c r="YJ61" s="69"/>
      <c r="YK61" s="69"/>
      <c r="YL61" s="69"/>
      <c r="YM61" s="69"/>
      <c r="YN61" s="69"/>
      <c r="YO61" s="69"/>
      <c r="YP61" s="69"/>
      <c r="YQ61" s="69"/>
      <c r="YR61" s="69"/>
      <c r="YS61" s="69"/>
      <c r="YT61" s="69"/>
      <c r="YU61" s="69"/>
      <c r="YV61" s="69"/>
      <c r="YW61" s="69"/>
      <c r="YX61" s="69"/>
      <c r="YY61" s="69"/>
      <c r="YZ61" s="69"/>
      <c r="ZA61" s="69"/>
      <c r="ZB61" s="69"/>
      <c r="ZC61" s="69"/>
      <c r="ZD61" s="69"/>
      <c r="ZE61" s="69"/>
      <c r="ZF61" s="69"/>
      <c r="ZG61" s="69"/>
      <c r="ZH61" s="69"/>
      <c r="ZI61" s="69"/>
      <c r="ZJ61" s="69"/>
      <c r="ZK61" s="69"/>
      <c r="ZL61" s="69"/>
      <c r="ZM61" s="69"/>
      <c r="ZN61" s="69"/>
      <c r="ZO61" s="69"/>
      <c r="ZP61" s="69"/>
      <c r="ZQ61" s="69"/>
      <c r="ZR61" s="69"/>
      <c r="ZS61" s="69"/>
      <c r="ZT61" s="69"/>
      <c r="ZU61" s="69"/>
      <c r="ZV61" s="69"/>
      <c r="ZW61" s="69"/>
      <c r="ZX61" s="69"/>
      <c r="ZY61" s="69"/>
      <c r="ZZ61" s="69"/>
      <c r="AAA61" s="69"/>
      <c r="AAB61" s="69"/>
      <c r="AAC61" s="69"/>
      <c r="AAD61" s="69"/>
      <c r="AAE61" s="69"/>
      <c r="AAF61" s="69"/>
      <c r="AAG61" s="69"/>
      <c r="AAH61" s="69"/>
      <c r="AAI61" s="69"/>
      <c r="AAJ61" s="69"/>
      <c r="AAK61" s="69"/>
      <c r="AAL61" s="69"/>
      <c r="AAM61" s="69"/>
      <c r="AAN61" s="69"/>
      <c r="AAO61" s="69"/>
      <c r="AAP61" s="69"/>
      <c r="AAQ61" s="69"/>
      <c r="AAR61" s="69"/>
      <c r="AAS61" s="69"/>
      <c r="AAT61" s="69"/>
      <c r="AAU61" s="69"/>
      <c r="AAV61" s="69"/>
      <c r="AAW61" s="69"/>
      <c r="AAX61" s="69"/>
      <c r="AAY61" s="69"/>
      <c r="AAZ61" s="69"/>
      <c r="ABA61" s="69"/>
      <c r="ABB61" s="69"/>
      <c r="ABC61" s="69"/>
      <c r="ABD61" s="69"/>
      <c r="ABE61" s="69"/>
      <c r="ABF61" s="69"/>
      <c r="ABG61" s="69"/>
      <c r="ABH61" s="69"/>
      <c r="ABI61" s="69"/>
      <c r="ABJ61" s="69"/>
      <c r="ABK61" s="69"/>
      <c r="ABL61" s="69"/>
      <c r="ABM61" s="69"/>
      <c r="ABN61" s="69"/>
      <c r="ABO61" s="69"/>
      <c r="ABP61" s="69"/>
      <c r="ABQ61" s="69"/>
      <c r="ABR61" s="69"/>
      <c r="ABS61" s="69"/>
      <c r="ABT61" s="69"/>
      <c r="ABU61" s="69"/>
      <c r="ABV61" s="69"/>
      <c r="ABW61" s="69"/>
      <c r="ABX61" s="69"/>
      <c r="ABY61" s="69"/>
      <c r="ABZ61" s="69"/>
      <c r="ACA61" s="69"/>
      <c r="ACB61" s="69"/>
      <c r="ACC61" s="69"/>
      <c r="ACD61" s="69"/>
      <c r="ACE61" s="69"/>
      <c r="ACF61" s="69"/>
      <c r="ACG61" s="69"/>
      <c r="ACH61" s="69"/>
      <c r="ACI61" s="69"/>
      <c r="ACJ61" s="69"/>
      <c r="ACK61" s="69"/>
      <c r="ACL61" s="69"/>
      <c r="ACM61" s="69"/>
      <c r="ACN61" s="69"/>
      <c r="ACO61" s="69"/>
      <c r="ACP61" s="69"/>
      <c r="ACQ61" s="69"/>
      <c r="ACR61" s="69"/>
      <c r="ACS61" s="69"/>
      <c r="ACT61" s="69"/>
      <c r="ACU61" s="69"/>
      <c r="ACV61" s="69"/>
      <c r="ACW61" s="69"/>
      <c r="ACX61" s="69"/>
      <c r="ACY61" s="69"/>
      <c r="ACZ61" s="69"/>
      <c r="ADA61" s="69"/>
      <c r="ADB61" s="69"/>
      <c r="ADC61" s="69"/>
      <c r="ADD61" s="69"/>
      <c r="ADE61" s="69"/>
      <c r="ADF61" s="69"/>
      <c r="ADG61" s="69"/>
      <c r="ADH61" s="69"/>
      <c r="ADI61" s="69"/>
      <c r="ADJ61" s="69"/>
      <c r="ADK61" s="69"/>
      <c r="ADL61" s="69"/>
      <c r="ADM61" s="69"/>
      <c r="ADN61" s="69"/>
      <c r="ADO61" s="69"/>
      <c r="ADP61" s="69"/>
      <c r="ADQ61" s="69"/>
      <c r="ADR61" s="69"/>
      <c r="ADS61" s="69"/>
      <c r="ADT61" s="69"/>
      <c r="ADU61" s="69"/>
      <c r="ADV61" s="69"/>
      <c r="ADW61" s="69"/>
      <c r="ADX61" s="69"/>
      <c r="ADY61" s="69"/>
      <c r="ADZ61" s="69"/>
      <c r="AEA61" s="69"/>
      <c r="AEB61" s="69"/>
      <c r="AEC61" s="69"/>
      <c r="AED61" s="69"/>
      <c r="AEE61" s="69"/>
      <c r="AEF61" s="69"/>
      <c r="AEG61" s="69"/>
      <c r="AEH61" s="69"/>
      <c r="AEI61" s="69"/>
      <c r="AEJ61" s="69"/>
      <c r="AEK61" s="69"/>
      <c r="AEL61" s="69"/>
      <c r="AEM61" s="69"/>
      <c r="AEN61" s="69"/>
      <c r="AEO61" s="69"/>
      <c r="AEP61" s="69"/>
      <c r="AEQ61" s="69"/>
      <c r="AER61" s="69"/>
      <c r="AES61" s="69"/>
      <c r="AET61" s="69"/>
      <c r="AEU61" s="69"/>
      <c r="AEV61" s="69"/>
      <c r="AEW61" s="69"/>
      <c r="AEX61" s="69"/>
      <c r="AEY61" s="69"/>
      <c r="AEZ61" s="69"/>
      <c r="AFA61" s="69"/>
      <c r="AFB61" s="69"/>
      <c r="AFC61" s="69"/>
      <c r="AFD61" s="69"/>
      <c r="AFE61" s="69"/>
      <c r="AFF61" s="69"/>
      <c r="AFG61" s="69"/>
      <c r="AFH61" s="69"/>
      <c r="AFI61" s="69"/>
      <c r="AFJ61" s="69"/>
      <c r="AFK61" s="69"/>
      <c r="AFL61" s="69"/>
      <c r="AFM61" s="69"/>
      <c r="AFN61" s="69"/>
      <c r="AFO61" s="69"/>
      <c r="AFP61" s="69"/>
      <c r="AFQ61" s="69"/>
      <c r="AFR61" s="69"/>
      <c r="AFS61" s="69"/>
      <c r="AFT61" s="69"/>
      <c r="AFU61" s="69"/>
      <c r="AFV61" s="69"/>
      <c r="AFW61" s="69"/>
      <c r="AFX61" s="69"/>
      <c r="AFY61" s="69"/>
      <c r="AFZ61" s="69"/>
      <c r="AGA61" s="69"/>
      <c r="AGB61" s="69"/>
      <c r="AGC61" s="69"/>
      <c r="AGD61" s="69"/>
      <c r="AGE61" s="69"/>
      <c r="AGF61" s="69"/>
      <c r="AGG61" s="69"/>
      <c r="AGH61" s="69"/>
      <c r="AGI61" s="69"/>
      <c r="AGJ61" s="69"/>
      <c r="AGK61" s="69"/>
      <c r="AGL61" s="69"/>
      <c r="AGM61" s="69"/>
      <c r="AGN61" s="69"/>
      <c r="AGO61" s="69"/>
      <c r="AGP61" s="69"/>
      <c r="AGQ61" s="69"/>
      <c r="AGR61" s="69"/>
      <c r="AGS61" s="69"/>
      <c r="AGT61" s="69"/>
      <c r="AGU61" s="69"/>
      <c r="AGV61" s="69"/>
      <c r="AGW61" s="69"/>
      <c r="AGX61" s="69"/>
      <c r="AGY61" s="69"/>
      <c r="AGZ61" s="69"/>
      <c r="AHA61" s="69"/>
      <c r="AHB61" s="69"/>
      <c r="AHC61" s="69"/>
      <c r="AHD61" s="69"/>
      <c r="AHE61" s="69"/>
      <c r="AHF61" s="69"/>
      <c r="AHG61" s="69"/>
      <c r="AHH61" s="69"/>
      <c r="AHI61" s="69"/>
      <c r="AHJ61" s="69"/>
      <c r="AHK61" s="69"/>
      <c r="AHL61" s="69"/>
      <c r="AHM61" s="69"/>
      <c r="AHN61" s="69"/>
      <c r="AHO61" s="69"/>
      <c r="AHP61" s="69"/>
      <c r="AHQ61" s="69"/>
      <c r="AHR61" s="69"/>
      <c r="AHS61" s="69"/>
      <c r="AHT61" s="69"/>
      <c r="AHU61" s="69"/>
      <c r="AHV61" s="69"/>
      <c r="AHW61" s="69"/>
      <c r="AHX61" s="69"/>
      <c r="AHY61" s="69"/>
      <c r="AHZ61" s="69"/>
      <c r="AIA61" s="69"/>
      <c r="AIB61" s="69"/>
      <c r="AIC61" s="69"/>
      <c r="AID61" s="69"/>
      <c r="AIE61" s="69"/>
      <c r="AIF61" s="69"/>
      <c r="AIG61" s="69"/>
      <c r="AIH61" s="69"/>
      <c r="AII61" s="69"/>
      <c r="AIJ61" s="69"/>
      <c r="AIK61" s="69"/>
      <c r="AIL61" s="69"/>
      <c r="AIM61" s="69"/>
      <c r="AIN61" s="69"/>
      <c r="AIO61" s="69"/>
      <c r="AIP61" s="69"/>
      <c r="AIQ61" s="69"/>
      <c r="AIR61" s="69"/>
      <c r="AIS61" s="69"/>
      <c r="AIT61" s="69"/>
      <c r="AIU61" s="69"/>
      <c r="AIV61" s="69"/>
      <c r="AIW61" s="69"/>
      <c r="AIX61" s="69"/>
      <c r="AIY61" s="69"/>
      <c r="AIZ61" s="69"/>
      <c r="AJA61" s="69"/>
      <c r="AJB61" s="69"/>
      <c r="AJC61" s="69"/>
      <c r="AJD61" s="69"/>
      <c r="AJE61" s="69"/>
      <c r="AJF61" s="69"/>
      <c r="AJG61" s="69"/>
      <c r="AJH61" s="69"/>
      <c r="AJI61" s="69"/>
      <c r="AJJ61" s="69"/>
      <c r="AJK61" s="69"/>
      <c r="AJL61" s="69"/>
      <c r="AJM61" s="69"/>
      <c r="AJN61" s="69"/>
      <c r="AJO61" s="69"/>
      <c r="AJP61" s="69"/>
      <c r="AJQ61" s="69"/>
      <c r="AJR61" s="69"/>
      <c r="AJS61" s="69"/>
      <c r="AJT61" s="69"/>
      <c r="AJU61" s="69"/>
      <c r="AJV61" s="69"/>
      <c r="AJW61" s="69"/>
      <c r="AJX61" s="69"/>
      <c r="AJY61" s="69"/>
      <c r="AJZ61" s="69"/>
      <c r="AKA61" s="69"/>
      <c r="AKB61" s="69"/>
      <c r="AKC61" s="69"/>
      <c r="AKD61" s="69"/>
      <c r="AKE61" s="69"/>
      <c r="AKF61" s="69"/>
      <c r="AKG61" s="69"/>
      <c r="AKH61" s="69"/>
      <c r="AKI61" s="69"/>
      <c r="AKJ61" s="69"/>
      <c r="AKK61" s="69"/>
      <c r="AKL61" s="69"/>
      <c r="AKM61" s="69"/>
      <c r="AKN61" s="69"/>
      <c r="AKO61" s="69"/>
      <c r="AKP61" s="69"/>
      <c r="AKQ61" s="69"/>
      <c r="AKR61" s="69"/>
      <c r="AKS61" s="69"/>
      <c r="AKT61" s="69"/>
      <c r="AKU61" s="69"/>
      <c r="AKV61" s="69"/>
      <c r="AKW61" s="69"/>
      <c r="AKX61" s="69"/>
      <c r="AKY61" s="69"/>
      <c r="AKZ61" s="69"/>
      <c r="ALA61" s="69"/>
      <c r="ALB61" s="69"/>
      <c r="ALC61" s="69"/>
      <c r="ALD61" s="69"/>
      <c r="ALE61" s="69"/>
      <c r="ALF61" s="69"/>
      <c r="ALG61" s="69"/>
      <c r="ALH61" s="69"/>
      <c r="ALI61" s="69"/>
      <c r="ALJ61" s="69"/>
      <c r="ALK61" s="69"/>
      <c r="ALL61" s="69"/>
      <c r="ALM61" s="69"/>
      <c r="ALN61" s="69"/>
      <c r="ALO61" s="69"/>
      <c r="ALP61" s="69"/>
      <c r="ALQ61" s="69"/>
      <c r="ALR61" s="69"/>
      <c r="ALS61" s="69"/>
      <c r="ALT61" s="69"/>
      <c r="ALU61" s="69"/>
      <c r="ALV61" s="69"/>
      <c r="ALW61" s="69"/>
      <c r="ALX61" s="69"/>
      <c r="ALY61" s="69"/>
      <c r="ALZ61" s="69"/>
      <c r="AMA61" s="69"/>
      <c r="AMB61" s="69"/>
      <c r="AMC61" s="69"/>
      <c r="AMD61" s="69"/>
      <c r="AME61" s="69"/>
      <c r="AMF61" s="69"/>
      <c r="AMG61" s="69"/>
      <c r="AMH61" s="69"/>
      <c r="AMI61" s="69"/>
      <c r="AMJ61" s="69"/>
      <c r="AMK61" s="69"/>
      <c r="AML61" s="69"/>
      <c r="AMM61" s="69"/>
      <c r="AMN61" s="69"/>
      <c r="AMO61" s="69"/>
      <c r="AMP61" s="69"/>
      <c r="AMQ61" s="69"/>
      <c r="AMR61" s="69"/>
      <c r="AMS61" s="69"/>
      <c r="AMT61" s="69"/>
      <c r="AMU61" s="69"/>
      <c r="AMV61" s="69"/>
      <c r="AMW61" s="69"/>
      <c r="AMX61" s="69"/>
      <c r="AMY61" s="69"/>
      <c r="AMZ61" s="69"/>
      <c r="ANA61" s="69"/>
      <c r="ANB61" s="69"/>
      <c r="ANC61" s="69"/>
      <c r="AND61" s="69"/>
      <c r="ANE61" s="69"/>
      <c r="ANF61" s="69"/>
      <c r="ANG61" s="69"/>
      <c r="ANH61" s="69"/>
      <c r="ANI61" s="69"/>
      <c r="ANJ61" s="69"/>
      <c r="ANK61" s="69"/>
      <c r="ANL61" s="69"/>
      <c r="ANM61" s="69"/>
      <c r="ANN61" s="69"/>
      <c r="ANO61" s="69"/>
      <c r="ANP61" s="69"/>
      <c r="ANQ61" s="69"/>
      <c r="ANR61" s="69"/>
      <c r="ANS61" s="69"/>
      <c r="ANT61" s="69"/>
      <c r="ANU61" s="69"/>
      <c r="ANV61" s="69"/>
      <c r="ANW61" s="69"/>
      <c r="ANX61" s="69"/>
      <c r="ANY61" s="69"/>
      <c r="ANZ61" s="69"/>
      <c r="AOA61" s="69"/>
      <c r="AOB61" s="69"/>
      <c r="AOC61" s="69"/>
      <c r="AOD61" s="69"/>
      <c r="AOE61" s="69"/>
      <c r="AOF61" s="69"/>
      <c r="AOG61" s="69"/>
      <c r="AOH61" s="69"/>
      <c r="AOI61" s="69"/>
      <c r="AOJ61" s="69"/>
      <c r="AOK61" s="69"/>
      <c r="AOL61" s="69"/>
      <c r="AOM61" s="69"/>
      <c r="AON61" s="69"/>
      <c r="AOO61" s="69"/>
      <c r="AOP61" s="69"/>
      <c r="AOQ61" s="69"/>
      <c r="AOR61" s="69"/>
      <c r="AOS61" s="69"/>
      <c r="AOT61" s="69"/>
      <c r="AOU61" s="69"/>
      <c r="AOV61" s="69"/>
      <c r="AOW61" s="69"/>
      <c r="AOX61" s="69"/>
      <c r="AOY61" s="69"/>
      <c r="AOZ61" s="69"/>
      <c r="APA61" s="69"/>
      <c r="APB61" s="69"/>
      <c r="APC61" s="69"/>
      <c r="APD61" s="69"/>
      <c r="APE61" s="69"/>
      <c r="APF61" s="69"/>
      <c r="APG61" s="69"/>
      <c r="APH61" s="69"/>
      <c r="API61" s="69"/>
      <c r="APJ61" s="69"/>
      <c r="APK61" s="69"/>
      <c r="APL61" s="69"/>
      <c r="APM61" s="69"/>
      <c r="APN61" s="69"/>
      <c r="APO61" s="69"/>
      <c r="APP61" s="69"/>
      <c r="APQ61" s="69"/>
      <c r="APR61" s="69"/>
      <c r="APS61" s="69"/>
      <c r="APT61" s="69"/>
      <c r="APU61" s="69"/>
      <c r="APV61" s="69"/>
      <c r="APW61" s="69"/>
      <c r="APX61" s="69"/>
      <c r="APY61" s="69"/>
      <c r="APZ61" s="69"/>
      <c r="AQA61" s="69"/>
      <c r="AQB61" s="69"/>
      <c r="AQC61" s="69"/>
      <c r="AQD61" s="69"/>
      <c r="AQE61" s="69"/>
      <c r="AQF61" s="69"/>
      <c r="AQG61" s="69"/>
      <c r="AQH61" s="69"/>
      <c r="AQI61" s="69"/>
      <c r="AQJ61" s="69"/>
      <c r="AQK61" s="69"/>
      <c r="AQL61" s="69"/>
      <c r="AQM61" s="69"/>
      <c r="AQN61" s="69"/>
      <c r="AQO61" s="69"/>
      <c r="AQP61" s="69"/>
      <c r="AQQ61" s="69"/>
      <c r="AQR61" s="69"/>
      <c r="AQS61" s="69"/>
      <c r="AQT61" s="69"/>
      <c r="AQU61" s="69"/>
      <c r="AQV61" s="69"/>
      <c r="AQW61" s="69"/>
      <c r="AQX61" s="69"/>
      <c r="AQY61" s="69"/>
      <c r="AQZ61" s="69"/>
      <c r="ARA61" s="69"/>
      <c r="ARB61" s="69"/>
      <c r="ARC61" s="69"/>
      <c r="ARD61" s="69"/>
      <c r="ARE61" s="69"/>
      <c r="ARF61" s="69"/>
      <c r="ARG61" s="69"/>
      <c r="ARH61" s="69"/>
      <c r="ARI61" s="69"/>
      <c r="ARJ61" s="69"/>
      <c r="ARK61" s="69"/>
      <c r="ARL61" s="69"/>
      <c r="ARM61" s="69"/>
      <c r="ARN61" s="69"/>
      <c r="ARO61" s="69"/>
      <c r="ARP61" s="69"/>
      <c r="ARQ61" s="69"/>
      <c r="ARR61" s="69"/>
      <c r="ARS61" s="69"/>
      <c r="ART61" s="69"/>
      <c r="ARU61" s="69"/>
      <c r="ARV61" s="69"/>
      <c r="ARW61" s="69"/>
      <c r="ARX61" s="69"/>
      <c r="ARY61" s="69"/>
      <c r="ARZ61" s="69"/>
      <c r="ASA61" s="69"/>
      <c r="ASB61" s="69"/>
      <c r="ASC61" s="69"/>
      <c r="ASD61" s="69"/>
      <c r="ASE61" s="69"/>
      <c r="ASF61" s="69"/>
      <c r="ASG61" s="69"/>
      <c r="ASH61" s="69"/>
      <c r="ASI61" s="69"/>
      <c r="ASJ61" s="69"/>
      <c r="ASK61" s="69"/>
      <c r="ASL61" s="69"/>
      <c r="ASM61" s="69"/>
      <c r="ASN61" s="69"/>
      <c r="ASO61" s="69"/>
      <c r="ASP61" s="69"/>
      <c r="ASQ61" s="69"/>
      <c r="ASR61" s="69"/>
      <c r="ASS61" s="69"/>
      <c r="AST61" s="69"/>
      <c r="ASU61" s="69"/>
      <c r="ASV61" s="69"/>
      <c r="ASW61" s="69"/>
      <c r="ASX61" s="69"/>
      <c r="ASY61" s="69"/>
      <c r="ASZ61" s="69"/>
      <c r="ATA61" s="69"/>
      <c r="ATB61" s="69"/>
      <c r="ATC61" s="69"/>
      <c r="ATD61" s="69"/>
      <c r="ATE61" s="69"/>
      <c r="ATF61" s="69"/>
      <c r="ATG61" s="69"/>
      <c r="ATH61" s="69"/>
      <c r="ATI61" s="69"/>
      <c r="ATJ61" s="69"/>
      <c r="ATK61" s="69"/>
      <c r="ATL61" s="69"/>
      <c r="ATM61" s="69"/>
      <c r="ATN61" s="69"/>
      <c r="ATO61" s="69"/>
      <c r="ATP61" s="69"/>
      <c r="ATQ61" s="69"/>
      <c r="ATR61" s="69"/>
      <c r="ATS61" s="69"/>
      <c r="ATT61" s="69"/>
      <c r="ATU61" s="69"/>
      <c r="ATV61" s="69"/>
      <c r="ATW61" s="69"/>
      <c r="ATX61" s="69"/>
      <c r="ATY61" s="69"/>
      <c r="ATZ61" s="69"/>
      <c r="AUA61" s="69"/>
      <c r="AUB61" s="69"/>
      <c r="AUC61" s="69"/>
      <c r="AUD61" s="69"/>
      <c r="AUE61" s="69"/>
      <c r="AUF61" s="69"/>
      <c r="AUG61" s="69"/>
      <c r="AUH61" s="69"/>
      <c r="AUI61" s="69"/>
      <c r="AUJ61" s="69"/>
      <c r="AUK61" s="69"/>
      <c r="AUL61" s="69"/>
      <c r="AUM61" s="69"/>
      <c r="AUN61" s="69"/>
      <c r="AUO61" s="69"/>
      <c r="AUP61" s="69"/>
      <c r="AUQ61" s="69"/>
      <c r="AUR61" s="69"/>
      <c r="AUS61" s="69"/>
      <c r="AUT61" s="69"/>
      <c r="AUU61" s="69"/>
      <c r="AUV61" s="69"/>
      <c r="AUW61" s="69"/>
      <c r="AUX61" s="69"/>
      <c r="AUY61" s="69"/>
      <c r="AUZ61" s="69"/>
      <c r="AVA61" s="69"/>
      <c r="AVB61" s="69"/>
      <c r="AVC61" s="69"/>
      <c r="AVD61" s="69"/>
      <c r="AVE61" s="69"/>
      <c r="AVF61" s="69"/>
      <c r="AVG61" s="69"/>
      <c r="AVH61" s="69"/>
      <c r="AVI61" s="69"/>
      <c r="AVJ61" s="69"/>
      <c r="AVK61" s="69"/>
      <c r="AVL61" s="69"/>
      <c r="AVM61" s="69"/>
      <c r="AVN61" s="69"/>
      <c r="AVO61" s="69"/>
      <c r="AVP61" s="69"/>
      <c r="AVQ61" s="69"/>
      <c r="AVR61" s="69"/>
      <c r="AVS61" s="69"/>
      <c r="AVT61" s="69"/>
      <c r="AVU61" s="69"/>
      <c r="AVV61" s="69"/>
      <c r="AVW61" s="69"/>
      <c r="AVX61" s="69"/>
      <c r="AVY61" s="69"/>
      <c r="AVZ61" s="69"/>
      <c r="AWA61" s="69"/>
      <c r="AWB61" s="69"/>
      <c r="AWC61" s="69"/>
      <c r="AWD61" s="69"/>
      <c r="AWE61" s="69"/>
      <c r="AWF61" s="69"/>
      <c r="AWG61" s="69"/>
      <c r="AWH61" s="69"/>
      <c r="AWI61" s="69"/>
      <c r="AWJ61" s="69"/>
      <c r="AWK61" s="69"/>
      <c r="AWL61" s="69"/>
      <c r="AWM61" s="69"/>
      <c r="AWN61" s="69"/>
      <c r="AWO61" s="69"/>
      <c r="AWP61" s="69"/>
      <c r="AWQ61" s="69"/>
      <c r="AWR61" s="69"/>
      <c r="AWS61" s="69"/>
      <c r="AWT61" s="69"/>
      <c r="AWU61" s="69"/>
      <c r="AWV61" s="69"/>
      <c r="AWW61" s="69"/>
      <c r="AWX61" s="69"/>
      <c r="AWY61" s="69"/>
      <c r="AWZ61" s="69"/>
      <c r="AXA61" s="69"/>
      <c r="AXB61" s="69"/>
      <c r="AXC61" s="69"/>
      <c r="AXD61" s="69"/>
      <c r="AXE61" s="69"/>
      <c r="AXF61" s="69"/>
      <c r="AXG61" s="69"/>
      <c r="AXH61" s="69"/>
      <c r="AXI61" s="69"/>
      <c r="AXJ61" s="69"/>
      <c r="AXK61" s="69"/>
      <c r="AXL61" s="69"/>
      <c r="AXM61" s="69"/>
      <c r="AXN61" s="69"/>
      <c r="AXO61" s="69"/>
      <c r="AXP61" s="69"/>
      <c r="AXQ61" s="69"/>
      <c r="AXR61" s="69"/>
      <c r="AXS61" s="69"/>
      <c r="AXT61" s="69"/>
      <c r="AXU61" s="69"/>
      <c r="AXV61" s="69"/>
      <c r="AXW61" s="69"/>
      <c r="AXX61" s="69"/>
      <c r="AXY61" s="69"/>
      <c r="AXZ61" s="69"/>
      <c r="AYA61" s="69"/>
      <c r="AYB61" s="69"/>
      <c r="AYC61" s="69"/>
      <c r="AYD61" s="69"/>
      <c r="AYE61" s="69"/>
      <c r="AYF61" s="69"/>
      <c r="AYG61" s="69"/>
      <c r="AYH61" s="69"/>
      <c r="AYI61" s="69"/>
      <c r="AYJ61" s="69"/>
      <c r="AYK61" s="69"/>
      <c r="AYL61" s="69"/>
      <c r="AYM61" s="69"/>
      <c r="AYN61" s="69"/>
      <c r="AYO61" s="69"/>
      <c r="AYP61" s="69"/>
      <c r="AYQ61" s="69"/>
      <c r="AYR61" s="69"/>
      <c r="AYS61" s="69"/>
      <c r="AYT61" s="69"/>
      <c r="AYU61" s="69"/>
      <c r="AYV61" s="69"/>
      <c r="AYW61" s="69"/>
      <c r="AYX61" s="69"/>
      <c r="AYY61" s="69"/>
      <c r="AYZ61" s="69"/>
      <c r="AZA61" s="69"/>
      <c r="AZB61" s="69"/>
      <c r="AZC61" s="69"/>
      <c r="AZD61" s="69"/>
      <c r="AZE61" s="69"/>
      <c r="AZF61" s="69"/>
      <c r="AZG61" s="69"/>
      <c r="AZH61" s="69"/>
      <c r="AZI61" s="69"/>
      <c r="AZJ61" s="69"/>
      <c r="AZK61" s="69"/>
      <c r="AZL61" s="69"/>
      <c r="AZM61" s="69"/>
      <c r="AZN61" s="69"/>
      <c r="AZO61" s="69"/>
      <c r="AZP61" s="69"/>
      <c r="AZQ61" s="69"/>
      <c r="AZR61" s="69"/>
      <c r="AZS61" s="69"/>
      <c r="AZT61" s="69"/>
      <c r="AZU61" s="69"/>
      <c r="AZV61" s="69"/>
      <c r="AZW61" s="69"/>
      <c r="AZX61" s="69"/>
      <c r="AZY61" s="69"/>
      <c r="AZZ61" s="69"/>
      <c r="BAA61" s="69"/>
      <c r="BAB61" s="69"/>
      <c r="BAC61" s="69"/>
      <c r="BAD61" s="69"/>
      <c r="BAE61" s="69"/>
      <c r="BAF61" s="69"/>
      <c r="BAG61" s="69"/>
      <c r="BAH61" s="69"/>
      <c r="BAI61" s="69"/>
      <c r="BAJ61" s="69"/>
      <c r="BAK61" s="69"/>
      <c r="BAL61" s="69"/>
      <c r="BAM61" s="69"/>
      <c r="BAN61" s="69"/>
      <c r="BAO61" s="69"/>
      <c r="BAP61" s="69"/>
      <c r="BAQ61" s="69"/>
      <c r="BAR61" s="69"/>
      <c r="BAS61" s="69"/>
      <c r="BAT61" s="69"/>
      <c r="BAU61" s="69"/>
      <c r="BAV61" s="69"/>
      <c r="BAW61" s="69"/>
      <c r="BAX61" s="69"/>
      <c r="BAY61" s="69"/>
      <c r="BAZ61" s="69"/>
      <c r="BBA61" s="69"/>
      <c r="BBB61" s="69"/>
      <c r="BBC61" s="69"/>
      <c r="BBD61" s="69"/>
      <c r="BBE61" s="69"/>
      <c r="BBF61" s="69"/>
      <c r="BBG61" s="69"/>
      <c r="BBH61" s="69"/>
      <c r="BBI61" s="69"/>
      <c r="BBJ61" s="69"/>
      <c r="BBK61" s="69"/>
      <c r="BBL61" s="69"/>
      <c r="BBM61" s="69"/>
      <c r="BBN61" s="69"/>
      <c r="BBO61" s="69"/>
      <c r="BBP61" s="69"/>
      <c r="BBQ61" s="69"/>
      <c r="BBR61" s="69"/>
      <c r="BBS61" s="69"/>
      <c r="BBT61" s="69"/>
      <c r="BBU61" s="69"/>
      <c r="BBV61" s="69"/>
      <c r="BBW61" s="69"/>
      <c r="BBX61" s="69"/>
      <c r="BBY61" s="69"/>
      <c r="BBZ61" s="69"/>
      <c r="BCA61" s="69"/>
      <c r="BCB61" s="69"/>
      <c r="BCC61" s="69"/>
      <c r="BCD61" s="69"/>
      <c r="BCE61" s="69"/>
      <c r="BCF61" s="69"/>
      <c r="BCG61" s="69"/>
      <c r="BCH61" s="69"/>
      <c r="BCI61" s="69"/>
      <c r="BCJ61" s="69"/>
      <c r="BCK61" s="69"/>
      <c r="BCL61" s="69"/>
      <c r="BCM61" s="69"/>
      <c r="BCN61" s="69"/>
      <c r="BCO61" s="69"/>
      <c r="BCP61" s="69"/>
      <c r="BCQ61" s="69"/>
      <c r="BCR61" s="69"/>
      <c r="BCS61" s="69"/>
      <c r="BCT61" s="69"/>
      <c r="BCU61" s="69"/>
      <c r="BCV61" s="69"/>
      <c r="BCW61" s="69"/>
      <c r="BCX61" s="69"/>
      <c r="BCY61" s="69"/>
      <c r="BCZ61" s="69"/>
      <c r="BDA61" s="69"/>
      <c r="BDB61" s="69"/>
      <c r="BDC61" s="69"/>
      <c r="BDD61" s="69"/>
      <c r="BDE61" s="69"/>
      <c r="BDF61" s="69"/>
      <c r="BDG61" s="69"/>
      <c r="BDH61" s="69"/>
      <c r="BDI61" s="69"/>
      <c r="BDJ61" s="69"/>
      <c r="BDK61" s="69"/>
      <c r="BDL61" s="69"/>
      <c r="BDM61" s="69"/>
      <c r="BDN61" s="69"/>
      <c r="BDO61" s="69"/>
      <c r="BDP61" s="69"/>
      <c r="BDQ61" s="69"/>
      <c r="BDR61" s="69"/>
      <c r="BDS61" s="69"/>
      <c r="BDT61" s="69"/>
      <c r="BDU61" s="69"/>
      <c r="BDV61" s="69"/>
      <c r="BDW61" s="69"/>
      <c r="BDX61" s="69"/>
      <c r="BDY61" s="69"/>
      <c r="BDZ61" s="69"/>
      <c r="BEA61" s="69"/>
      <c r="BEB61" s="69"/>
      <c r="BEC61" s="69"/>
      <c r="BED61" s="69"/>
      <c r="BEE61" s="69"/>
      <c r="BEF61" s="69"/>
      <c r="BEG61" s="69"/>
      <c r="BEH61" s="69"/>
      <c r="BEI61" s="69"/>
      <c r="BEJ61" s="69"/>
      <c r="BEK61" s="69"/>
      <c r="BEL61" s="69"/>
      <c r="BEM61" s="69"/>
      <c r="BEN61" s="69"/>
      <c r="BEO61" s="69"/>
      <c r="BEP61" s="69"/>
      <c r="BEQ61" s="69"/>
      <c r="BER61" s="69"/>
      <c r="BES61" s="69"/>
      <c r="BET61" s="69"/>
      <c r="BEU61" s="69"/>
      <c r="BEV61" s="69"/>
      <c r="BEW61" s="69"/>
      <c r="BEX61" s="69"/>
      <c r="BEY61" s="69"/>
      <c r="BEZ61" s="69"/>
      <c r="BFA61" s="69"/>
      <c r="BFB61" s="69"/>
      <c r="BFC61" s="69"/>
      <c r="BFD61" s="69"/>
      <c r="BFE61" s="69"/>
      <c r="BFF61" s="69"/>
      <c r="BFG61" s="69"/>
      <c r="BFH61" s="69"/>
      <c r="BFI61" s="69"/>
      <c r="BFJ61" s="69"/>
      <c r="BFK61" s="69"/>
      <c r="BFL61" s="69"/>
      <c r="BFM61" s="69"/>
      <c r="BFN61" s="69"/>
      <c r="BFO61" s="69"/>
      <c r="BFP61" s="69"/>
      <c r="BFQ61" s="69"/>
      <c r="BFR61" s="69"/>
      <c r="BFS61" s="69"/>
      <c r="BFT61" s="69"/>
      <c r="BFU61" s="69"/>
      <c r="BFV61" s="69"/>
      <c r="BFW61" s="69"/>
      <c r="BFX61" s="69"/>
      <c r="BFY61" s="69"/>
      <c r="BFZ61" s="69"/>
      <c r="BGA61" s="69"/>
      <c r="BGB61" s="69"/>
      <c r="BGC61" s="69"/>
      <c r="BGD61" s="69"/>
      <c r="BGE61" s="69"/>
      <c r="BGF61" s="69"/>
      <c r="BGG61" s="69"/>
      <c r="BGH61" s="69"/>
      <c r="BGI61" s="69"/>
      <c r="BGJ61" s="69"/>
      <c r="BGK61" s="69"/>
      <c r="BGL61" s="69"/>
      <c r="BGM61" s="69"/>
      <c r="BGN61" s="69"/>
      <c r="BGO61" s="69"/>
      <c r="BGP61" s="69"/>
      <c r="BGQ61" s="69"/>
      <c r="BGR61" s="69"/>
      <c r="BGS61" s="69"/>
      <c r="BGT61" s="69"/>
      <c r="BGU61" s="69"/>
      <c r="BGV61" s="69"/>
      <c r="BGW61" s="69"/>
      <c r="BGX61" s="69"/>
      <c r="BGY61" s="69"/>
      <c r="BGZ61" s="69"/>
      <c r="BHA61" s="69"/>
      <c r="BHB61" s="69"/>
      <c r="BHC61" s="69"/>
      <c r="BHD61" s="69"/>
      <c r="BHE61" s="69"/>
      <c r="BHF61" s="69"/>
      <c r="BHG61" s="69"/>
      <c r="BHH61" s="69"/>
      <c r="BHI61" s="69"/>
      <c r="BHJ61" s="69"/>
      <c r="BHK61" s="69"/>
      <c r="BHL61" s="69"/>
      <c r="BHM61" s="69"/>
      <c r="BHN61" s="69"/>
      <c r="BHO61" s="69"/>
      <c r="BHP61" s="69"/>
      <c r="BHQ61" s="69"/>
      <c r="BHR61" s="69"/>
      <c r="BHS61" s="69"/>
      <c r="BHT61" s="69"/>
      <c r="BHU61" s="69"/>
      <c r="BHV61" s="69"/>
      <c r="BHW61" s="69"/>
      <c r="BHX61" s="69"/>
      <c r="BHY61" s="69"/>
      <c r="BHZ61" s="69"/>
      <c r="BIA61" s="69"/>
      <c r="BIB61" s="69"/>
      <c r="BIC61" s="69"/>
      <c r="BID61" s="69"/>
      <c r="BIE61" s="69"/>
      <c r="BIF61" s="69"/>
      <c r="BIG61" s="69"/>
      <c r="BIH61" s="69"/>
      <c r="BII61" s="69"/>
      <c r="BIJ61" s="69"/>
      <c r="BIK61" s="69"/>
      <c r="BIL61" s="69"/>
      <c r="BIM61" s="69"/>
      <c r="BIN61" s="69"/>
      <c r="BIO61" s="69"/>
      <c r="BIP61" s="69"/>
      <c r="BIQ61" s="69"/>
      <c r="BIR61" s="69"/>
      <c r="BIS61" s="69"/>
      <c r="BIT61" s="69"/>
      <c r="BIU61" s="69"/>
      <c r="BIV61" s="69"/>
      <c r="BIW61" s="69"/>
      <c r="BIX61" s="69"/>
      <c r="BIY61" s="69"/>
      <c r="BIZ61" s="69"/>
      <c r="BJA61" s="69"/>
      <c r="BJB61" s="69"/>
      <c r="BJC61" s="69"/>
      <c r="BJD61" s="69"/>
      <c r="BJE61" s="69"/>
      <c r="BJF61" s="69"/>
      <c r="BJG61" s="69"/>
      <c r="BJH61" s="69"/>
      <c r="BJI61" s="69"/>
      <c r="BJJ61" s="69"/>
      <c r="BJK61" s="69"/>
      <c r="BJL61" s="69"/>
      <c r="BJM61" s="69"/>
      <c r="BJN61" s="69"/>
      <c r="BJO61" s="69"/>
      <c r="BJP61" s="69"/>
      <c r="BJQ61" s="69"/>
      <c r="BJR61" s="69"/>
      <c r="BJS61" s="69"/>
      <c r="BJT61" s="69"/>
      <c r="BJU61" s="69"/>
      <c r="BJV61" s="69"/>
      <c r="BJW61" s="69"/>
      <c r="BJX61" s="69"/>
      <c r="BJY61" s="69"/>
      <c r="BJZ61" s="69"/>
      <c r="BKA61" s="69"/>
      <c r="BKB61" s="69"/>
      <c r="BKC61" s="69"/>
      <c r="BKD61" s="69"/>
      <c r="BKE61" s="69"/>
      <c r="BKF61" s="69"/>
      <c r="BKG61" s="69"/>
      <c r="BKH61" s="69"/>
      <c r="BKI61" s="69"/>
      <c r="BKJ61" s="69"/>
      <c r="BKK61" s="69"/>
      <c r="BKL61" s="69"/>
      <c r="BKM61" s="69"/>
      <c r="BKN61" s="69"/>
      <c r="BKO61" s="69"/>
      <c r="BKP61" s="69"/>
      <c r="BKQ61" s="69"/>
      <c r="BKR61" s="69"/>
      <c r="BKS61" s="69"/>
      <c r="BKT61" s="69"/>
      <c r="BKU61" s="69"/>
      <c r="BKV61" s="69"/>
      <c r="BKW61" s="69"/>
      <c r="BKX61" s="69"/>
      <c r="BKY61" s="69"/>
      <c r="BKZ61" s="69"/>
      <c r="BLA61" s="69"/>
      <c r="BLB61" s="69"/>
      <c r="BLC61" s="69"/>
      <c r="BLD61" s="69"/>
      <c r="BLE61" s="69"/>
      <c r="BLF61" s="69"/>
      <c r="BLG61" s="69"/>
      <c r="BLH61" s="69"/>
      <c r="BLI61" s="69"/>
      <c r="BLJ61" s="69"/>
      <c r="BLK61" s="69"/>
      <c r="BLL61" s="69"/>
      <c r="BLM61" s="69"/>
      <c r="BLN61" s="69"/>
      <c r="BLO61" s="69"/>
      <c r="BLP61" s="69"/>
      <c r="BLQ61" s="69"/>
      <c r="BLR61" s="69"/>
      <c r="BLS61" s="69"/>
      <c r="BLT61" s="69"/>
      <c r="BLU61" s="69"/>
      <c r="BLV61" s="69"/>
      <c r="BLW61" s="69"/>
      <c r="BLX61" s="69"/>
      <c r="BLY61" s="69"/>
      <c r="BLZ61" s="69"/>
      <c r="BMA61" s="69"/>
      <c r="BMB61" s="69"/>
      <c r="BMC61" s="69"/>
      <c r="BMD61" s="69"/>
      <c r="BME61" s="69"/>
      <c r="BMF61" s="69"/>
      <c r="BMG61" s="69"/>
      <c r="BMH61" s="69"/>
      <c r="BMI61" s="69"/>
      <c r="BMJ61" s="69"/>
      <c r="BMK61" s="69"/>
      <c r="BML61" s="69"/>
      <c r="BMM61" s="69"/>
      <c r="BMN61" s="69"/>
      <c r="BMO61" s="69"/>
      <c r="BMP61" s="69"/>
      <c r="BMQ61" s="69"/>
      <c r="BMR61" s="69"/>
      <c r="BMS61" s="69"/>
      <c r="BMT61" s="69"/>
      <c r="BMU61" s="69"/>
      <c r="BMV61" s="69"/>
      <c r="BMW61" s="69"/>
      <c r="BMX61" s="69"/>
      <c r="BMY61" s="69"/>
      <c r="BMZ61" s="69"/>
      <c r="BNA61" s="69"/>
      <c r="BNB61" s="69"/>
      <c r="BNC61" s="69"/>
      <c r="BND61" s="69"/>
      <c r="BNE61" s="69"/>
      <c r="BNF61" s="69"/>
      <c r="BNG61" s="69"/>
      <c r="BNH61" s="69"/>
      <c r="BNI61" s="69"/>
      <c r="BNJ61" s="69"/>
      <c r="BNK61" s="69"/>
      <c r="BNL61" s="69"/>
      <c r="BNM61" s="69"/>
      <c r="BNN61" s="69"/>
      <c r="BNO61" s="69"/>
      <c r="BNP61" s="69"/>
      <c r="BNQ61" s="69"/>
      <c r="BNR61" s="69"/>
      <c r="BNS61" s="69"/>
      <c r="BNT61" s="69"/>
      <c r="BNU61" s="69"/>
      <c r="BNV61" s="69"/>
      <c r="BNW61" s="69"/>
      <c r="BNX61" s="69"/>
      <c r="BNY61" s="69"/>
      <c r="BNZ61" s="69"/>
      <c r="BOA61" s="69"/>
      <c r="BOB61" s="69"/>
      <c r="BOC61" s="69"/>
      <c r="BOD61" s="69"/>
      <c r="BOE61" s="69"/>
      <c r="BOF61" s="69"/>
      <c r="BOG61" s="69"/>
      <c r="BOH61" s="69"/>
      <c r="BOI61" s="69"/>
      <c r="BOJ61" s="69"/>
      <c r="BOK61" s="69"/>
      <c r="BOL61" s="69"/>
      <c r="BOM61" s="69"/>
      <c r="BON61" s="69"/>
      <c r="BOO61" s="69"/>
      <c r="BOP61" s="69"/>
      <c r="BOQ61" s="69"/>
      <c r="BOR61" s="69"/>
      <c r="BOS61" s="69"/>
      <c r="BOT61" s="69"/>
      <c r="BOU61" s="69"/>
      <c r="BOV61" s="69"/>
      <c r="BOW61" s="69"/>
      <c r="BOX61" s="69"/>
      <c r="BOY61" s="69"/>
      <c r="BOZ61" s="69"/>
      <c r="BPA61" s="69"/>
      <c r="BPB61" s="69"/>
      <c r="BPC61" s="69"/>
      <c r="BPD61" s="69"/>
      <c r="BPE61" s="69"/>
      <c r="BPF61" s="69"/>
      <c r="BPG61" s="69"/>
      <c r="BPH61" s="69"/>
      <c r="BPI61" s="69"/>
      <c r="BPJ61" s="69"/>
      <c r="BPK61" s="69"/>
      <c r="BPL61" s="69"/>
      <c r="BPM61" s="69"/>
      <c r="BPN61" s="69"/>
      <c r="BPO61" s="69"/>
      <c r="BPP61" s="69"/>
      <c r="BPQ61" s="69"/>
      <c r="BPR61" s="69"/>
      <c r="BPS61" s="69"/>
      <c r="BPT61" s="69"/>
      <c r="BPU61" s="69"/>
      <c r="BPV61" s="69"/>
      <c r="BPW61" s="69"/>
      <c r="BPX61" s="69"/>
      <c r="BPY61" s="69"/>
      <c r="BPZ61" s="69"/>
      <c r="BQA61" s="69"/>
      <c r="BQB61" s="69"/>
      <c r="BQC61" s="69"/>
      <c r="BQD61" s="69"/>
      <c r="BQE61" s="69"/>
      <c r="BQF61" s="69"/>
      <c r="BQG61" s="69"/>
      <c r="BQH61" s="69"/>
      <c r="BQI61" s="69"/>
      <c r="BQJ61" s="69"/>
      <c r="BQK61" s="69"/>
      <c r="BQL61" s="69"/>
      <c r="BQM61" s="69"/>
      <c r="BQN61" s="69"/>
      <c r="BQO61" s="69"/>
      <c r="BQP61" s="69"/>
      <c r="BQQ61" s="69"/>
      <c r="BQR61" s="69"/>
      <c r="BQS61" s="69"/>
      <c r="BQT61" s="69"/>
      <c r="BQU61" s="69"/>
      <c r="BQV61" s="69"/>
      <c r="BQW61" s="69"/>
      <c r="BQX61" s="69"/>
      <c r="BQY61" s="69"/>
      <c r="BQZ61" s="69"/>
      <c r="BRA61" s="69"/>
      <c r="BRB61" s="69"/>
      <c r="BRC61" s="69"/>
      <c r="BRD61" s="69"/>
      <c r="BRE61" s="69"/>
      <c r="BRF61" s="69"/>
      <c r="BRG61" s="69"/>
      <c r="BRH61" s="69"/>
      <c r="BRI61" s="69"/>
      <c r="BRJ61" s="69"/>
      <c r="BRK61" s="69"/>
      <c r="BRL61" s="69"/>
      <c r="BRM61" s="69"/>
      <c r="BRN61" s="69"/>
      <c r="BRO61" s="69"/>
      <c r="BRP61" s="69"/>
      <c r="BRQ61" s="69"/>
      <c r="BRR61" s="69"/>
      <c r="BRS61" s="69"/>
      <c r="BRT61" s="69"/>
      <c r="BRU61" s="69"/>
      <c r="BRV61" s="69"/>
      <c r="BRW61" s="69"/>
      <c r="BRX61" s="69"/>
      <c r="BRY61" s="69"/>
      <c r="BRZ61" s="69"/>
      <c r="BSA61" s="69"/>
      <c r="BSB61" s="69"/>
      <c r="BSC61" s="69"/>
      <c r="BSD61" s="69"/>
      <c r="BSE61" s="69"/>
      <c r="BSF61" s="69"/>
      <c r="BSG61" s="69"/>
      <c r="BSH61" s="69"/>
      <c r="BSI61" s="69"/>
      <c r="BSJ61" s="69"/>
      <c r="BSK61" s="69"/>
      <c r="BSL61" s="69"/>
      <c r="BSM61" s="69"/>
      <c r="BSN61" s="69"/>
      <c r="BSO61" s="69"/>
      <c r="BSP61" s="69"/>
      <c r="BSQ61" s="69"/>
      <c r="BSR61" s="69"/>
      <c r="BSS61" s="69"/>
      <c r="BST61" s="69"/>
      <c r="BSU61" s="69"/>
      <c r="BSV61" s="69"/>
      <c r="BSW61" s="69"/>
      <c r="BSX61" s="69"/>
      <c r="BSY61" s="69"/>
      <c r="BSZ61" s="69"/>
      <c r="BTA61" s="69"/>
      <c r="BTB61" s="69"/>
      <c r="BTC61" s="69"/>
      <c r="BTD61" s="69"/>
      <c r="BTE61" s="69"/>
      <c r="BTF61" s="69"/>
      <c r="BTG61" s="69"/>
      <c r="BTH61" s="69"/>
      <c r="BTI61" s="69"/>
      <c r="BTJ61" s="69"/>
      <c r="BTK61" s="69"/>
      <c r="BTL61" s="69"/>
      <c r="BTM61" s="69"/>
      <c r="BTN61" s="69"/>
      <c r="BTO61" s="69"/>
      <c r="BTP61" s="69"/>
      <c r="BTQ61" s="69"/>
      <c r="BTR61" s="69"/>
      <c r="BTS61" s="69"/>
      <c r="BTT61" s="69"/>
      <c r="BTU61" s="69"/>
      <c r="BTV61" s="69"/>
      <c r="BTW61" s="69"/>
      <c r="BTX61" s="69"/>
      <c r="BTY61" s="69"/>
      <c r="BTZ61" s="69"/>
      <c r="BUA61" s="69"/>
      <c r="BUB61" s="69"/>
      <c r="BUC61" s="69"/>
      <c r="BUD61" s="69"/>
      <c r="BUE61" s="69"/>
      <c r="BUF61" s="69"/>
      <c r="BUG61" s="69"/>
      <c r="BUH61" s="69"/>
      <c r="BUI61" s="69"/>
      <c r="BUJ61" s="69"/>
      <c r="BUK61" s="69"/>
      <c r="BUL61" s="69"/>
      <c r="BUM61" s="69"/>
      <c r="BUN61" s="69"/>
      <c r="BUO61" s="69"/>
      <c r="BUP61" s="69"/>
      <c r="BUQ61" s="69"/>
      <c r="BUR61" s="69"/>
      <c r="BUS61" s="69"/>
      <c r="BUT61" s="69"/>
      <c r="BUU61" s="69"/>
      <c r="BUV61" s="69"/>
      <c r="BUW61" s="69"/>
      <c r="BUX61" s="69"/>
      <c r="BUY61" s="69"/>
      <c r="BUZ61" s="69"/>
      <c r="BVA61" s="69"/>
      <c r="BVB61" s="69"/>
      <c r="BVC61" s="69"/>
      <c r="BVD61" s="69"/>
      <c r="BVE61" s="69"/>
      <c r="BVF61" s="69"/>
      <c r="BVG61" s="69"/>
      <c r="BVH61" s="69"/>
      <c r="BVI61" s="69"/>
      <c r="BVJ61" s="69"/>
      <c r="BVK61" s="69"/>
      <c r="BVL61" s="69"/>
      <c r="BVM61" s="69"/>
      <c r="BVN61" s="69"/>
      <c r="BVO61" s="69"/>
      <c r="BVP61" s="69"/>
      <c r="BVQ61" s="69"/>
      <c r="BVR61" s="69"/>
      <c r="BVS61" s="69"/>
      <c r="BVT61" s="69"/>
      <c r="BVU61" s="69"/>
      <c r="BVV61" s="69"/>
      <c r="BVW61" s="69"/>
      <c r="BVX61" s="69"/>
      <c r="BVY61" s="69"/>
      <c r="BVZ61" s="69"/>
      <c r="BWA61" s="69"/>
      <c r="BWB61" s="69"/>
      <c r="BWC61" s="69"/>
      <c r="BWD61" s="69"/>
      <c r="BWE61" s="69"/>
      <c r="BWF61" s="69"/>
      <c r="BWG61" s="69"/>
      <c r="BWH61" s="69"/>
      <c r="BWI61" s="69"/>
      <c r="BWJ61" s="69"/>
      <c r="BWK61" s="69"/>
      <c r="BWL61" s="69"/>
      <c r="BWM61" s="69"/>
      <c r="BWN61" s="69"/>
      <c r="BWO61" s="69"/>
      <c r="BWP61" s="69"/>
      <c r="BWQ61" s="69"/>
      <c r="BWR61" s="69"/>
      <c r="BWS61" s="69"/>
      <c r="BWT61" s="69"/>
      <c r="BWU61" s="69"/>
      <c r="BWV61" s="69"/>
      <c r="BWW61" s="69"/>
      <c r="BWX61" s="69"/>
      <c r="BWY61" s="69"/>
      <c r="BWZ61" s="69"/>
      <c r="BXA61" s="69"/>
      <c r="BXB61" s="69"/>
      <c r="BXC61" s="69"/>
      <c r="BXD61" s="69"/>
      <c r="BXE61" s="69"/>
      <c r="BXF61" s="69"/>
      <c r="BXG61" s="69"/>
      <c r="BXH61" s="69"/>
      <c r="BXI61" s="69"/>
      <c r="BXJ61" s="69"/>
      <c r="BXK61" s="69"/>
      <c r="BXL61" s="69"/>
      <c r="BXM61" s="69"/>
      <c r="BXN61" s="69"/>
      <c r="BXO61" s="69"/>
      <c r="BXP61" s="69"/>
      <c r="BXQ61" s="69"/>
      <c r="BXR61" s="69"/>
      <c r="BXS61" s="69"/>
      <c r="BXT61" s="69"/>
      <c r="BXU61" s="69"/>
      <c r="BXV61" s="69"/>
      <c r="BXW61" s="69"/>
      <c r="BXX61" s="69"/>
      <c r="BXY61" s="69"/>
      <c r="BXZ61" s="69"/>
      <c r="BYA61" s="69"/>
      <c r="BYB61" s="69"/>
      <c r="BYC61" s="69"/>
      <c r="BYD61" s="69"/>
      <c r="BYE61" s="69"/>
      <c r="BYF61" s="69"/>
      <c r="BYG61" s="69"/>
      <c r="BYH61" s="69"/>
      <c r="BYI61" s="69"/>
      <c r="BYJ61" s="69"/>
      <c r="BYK61" s="69"/>
      <c r="BYL61" s="69"/>
      <c r="BYM61" s="69"/>
      <c r="BYN61" s="69"/>
      <c r="BYO61" s="69"/>
      <c r="BYP61" s="69"/>
      <c r="BYQ61" s="69"/>
      <c r="BYR61" s="69"/>
      <c r="BYS61" s="69"/>
      <c r="BYT61" s="69"/>
      <c r="BYU61" s="69"/>
      <c r="BYV61" s="69"/>
      <c r="BYW61" s="69"/>
      <c r="BYX61" s="69"/>
      <c r="BYY61" s="69"/>
      <c r="BYZ61" s="69"/>
      <c r="BZA61" s="69"/>
      <c r="BZB61" s="69"/>
      <c r="BZC61" s="69"/>
      <c r="BZD61" s="69"/>
      <c r="BZE61" s="69"/>
      <c r="BZF61" s="69"/>
      <c r="BZG61" s="69"/>
      <c r="BZH61" s="69"/>
      <c r="BZI61" s="69"/>
      <c r="BZJ61" s="69"/>
      <c r="BZK61" s="69"/>
      <c r="BZL61" s="69"/>
      <c r="BZM61" s="69"/>
      <c r="BZN61" s="69"/>
      <c r="BZO61" s="69"/>
      <c r="BZP61" s="69"/>
      <c r="BZQ61" s="69"/>
      <c r="BZR61" s="69"/>
      <c r="BZS61" s="69"/>
      <c r="BZT61" s="69"/>
      <c r="BZU61" s="69"/>
      <c r="BZV61" s="69"/>
      <c r="BZW61" s="69"/>
      <c r="BZX61" s="69"/>
      <c r="BZY61" s="69"/>
      <c r="BZZ61" s="69"/>
      <c r="CAA61" s="69"/>
      <c r="CAB61" s="69"/>
      <c r="CAC61" s="69"/>
      <c r="CAD61" s="69"/>
      <c r="CAE61" s="69"/>
      <c r="CAF61" s="69"/>
      <c r="CAG61" s="69"/>
      <c r="CAH61" s="69"/>
      <c r="CAI61" s="69"/>
      <c r="CAJ61" s="69"/>
      <c r="CAK61" s="69"/>
      <c r="CAL61" s="69"/>
      <c r="CAM61" s="69"/>
      <c r="CAN61" s="69"/>
      <c r="CAO61" s="69"/>
      <c r="CAP61" s="69"/>
      <c r="CAQ61" s="69"/>
      <c r="CAR61" s="69"/>
      <c r="CAS61" s="69"/>
      <c r="CAT61" s="69"/>
      <c r="CAU61" s="69"/>
      <c r="CAV61" s="69"/>
      <c r="CAW61" s="69"/>
      <c r="CAX61" s="69"/>
      <c r="CAY61" s="69"/>
      <c r="CAZ61" s="69"/>
      <c r="CBA61" s="69"/>
      <c r="CBB61" s="69"/>
      <c r="CBC61" s="69"/>
      <c r="CBD61" s="69"/>
      <c r="CBE61" s="69"/>
      <c r="CBF61" s="69"/>
      <c r="CBG61" s="69"/>
      <c r="CBH61" s="69"/>
      <c r="CBI61" s="69"/>
      <c r="CBJ61" s="69"/>
      <c r="CBK61" s="69"/>
      <c r="CBL61" s="69"/>
      <c r="CBM61" s="69"/>
      <c r="CBN61" s="69"/>
      <c r="CBO61" s="69"/>
      <c r="CBP61" s="69"/>
      <c r="CBQ61" s="69"/>
      <c r="CBR61" s="69"/>
      <c r="CBS61" s="69"/>
      <c r="CBT61" s="69"/>
      <c r="CBU61" s="69"/>
      <c r="CBV61" s="69"/>
      <c r="CBW61" s="69"/>
      <c r="CBX61" s="69"/>
      <c r="CBY61" s="69"/>
      <c r="CBZ61" s="69"/>
      <c r="CCA61" s="69"/>
      <c r="CCB61" s="69"/>
      <c r="CCC61" s="69"/>
      <c r="CCD61" s="69"/>
      <c r="CCE61" s="69"/>
      <c r="CCF61" s="69"/>
      <c r="CCG61" s="69"/>
      <c r="CCH61" s="69"/>
      <c r="CCI61" s="69"/>
      <c r="CCJ61" s="69"/>
      <c r="CCK61" s="69"/>
      <c r="CCL61" s="69"/>
      <c r="CCM61" s="69"/>
      <c r="CCN61" s="69"/>
      <c r="CCO61" s="69"/>
      <c r="CCP61" s="69"/>
      <c r="CCQ61" s="69"/>
      <c r="CCR61" s="69"/>
      <c r="CCS61" s="69"/>
      <c r="CCT61" s="69"/>
      <c r="CCU61" s="69"/>
      <c r="CCV61" s="69"/>
      <c r="CCW61" s="69"/>
      <c r="CCX61" s="69"/>
      <c r="CCY61" s="69"/>
      <c r="CCZ61" s="69"/>
      <c r="CDA61" s="69"/>
      <c r="CDB61" s="69"/>
      <c r="CDC61" s="69"/>
      <c r="CDD61" s="69"/>
      <c r="CDE61" s="69"/>
      <c r="CDF61" s="69"/>
      <c r="CDG61" s="69"/>
      <c r="CDH61" s="69"/>
      <c r="CDI61" s="69"/>
      <c r="CDJ61" s="69"/>
      <c r="CDK61" s="69"/>
      <c r="CDL61" s="69"/>
      <c r="CDM61" s="69"/>
      <c r="CDN61" s="69"/>
      <c r="CDO61" s="69"/>
      <c r="CDP61" s="69"/>
      <c r="CDQ61" s="69"/>
      <c r="CDR61" s="69"/>
      <c r="CDS61" s="69"/>
      <c r="CDT61" s="69"/>
      <c r="CDU61" s="69"/>
      <c r="CDV61" s="69"/>
      <c r="CDW61" s="69"/>
      <c r="CDX61" s="69"/>
      <c r="CDY61" s="69"/>
      <c r="CDZ61" s="69"/>
      <c r="CEA61" s="69"/>
      <c r="CEB61" s="69"/>
      <c r="CEC61" s="69"/>
      <c r="CED61" s="69"/>
      <c r="CEE61" s="69"/>
      <c r="CEF61" s="69"/>
      <c r="CEG61" s="69"/>
      <c r="CEH61" s="69"/>
      <c r="CEI61" s="69"/>
      <c r="CEJ61" s="69"/>
      <c r="CEK61" s="69"/>
      <c r="CEL61" s="69"/>
      <c r="CEM61" s="69"/>
      <c r="CEN61" s="69"/>
      <c r="CEO61" s="69"/>
      <c r="CEP61" s="69"/>
      <c r="CEQ61" s="69"/>
      <c r="CER61" s="69"/>
      <c r="CES61" s="69"/>
      <c r="CET61" s="69"/>
      <c r="CEU61" s="69"/>
      <c r="CEV61" s="69"/>
      <c r="CEW61" s="69"/>
      <c r="CEX61" s="69"/>
      <c r="CEY61" s="69"/>
      <c r="CEZ61" s="69"/>
      <c r="CFA61" s="69"/>
      <c r="CFB61" s="69"/>
      <c r="CFC61" s="69"/>
      <c r="CFD61" s="69"/>
      <c r="CFE61" s="69"/>
      <c r="CFF61" s="69"/>
      <c r="CFG61" s="69"/>
      <c r="CFH61" s="69"/>
      <c r="CFI61" s="69"/>
      <c r="CFJ61" s="69"/>
      <c r="CFK61" s="69"/>
      <c r="CFL61" s="69"/>
      <c r="CFM61" s="69"/>
      <c r="CFN61" s="69"/>
      <c r="CFO61" s="69"/>
      <c r="CFP61" s="69"/>
      <c r="CFQ61" s="69"/>
      <c r="CFR61" s="69"/>
      <c r="CFS61" s="69"/>
      <c r="CFT61" s="69"/>
      <c r="CFU61" s="69"/>
      <c r="CFV61" s="69"/>
      <c r="CFW61" s="69"/>
      <c r="CFX61" s="69"/>
      <c r="CFY61" s="69"/>
      <c r="CFZ61" s="69"/>
      <c r="CGA61" s="69"/>
      <c r="CGB61" s="69"/>
      <c r="CGC61" s="69"/>
      <c r="CGD61" s="69"/>
      <c r="CGE61" s="69"/>
      <c r="CGF61" s="69"/>
      <c r="CGG61" s="69"/>
      <c r="CGH61" s="69"/>
      <c r="CGI61" s="69"/>
      <c r="CGJ61" s="69"/>
      <c r="CGK61" s="69"/>
      <c r="CGL61" s="69"/>
      <c r="CGM61" s="69"/>
      <c r="CGN61" s="69"/>
      <c r="CGO61" s="69"/>
      <c r="CGP61" s="69"/>
      <c r="CGQ61" s="69"/>
      <c r="CGR61" s="69"/>
      <c r="CGS61" s="69"/>
      <c r="CGT61" s="69"/>
      <c r="CGU61" s="69"/>
      <c r="CGV61" s="69"/>
      <c r="CGW61" s="69"/>
      <c r="CGX61" s="69"/>
      <c r="CGY61" s="69"/>
      <c r="CGZ61" s="69"/>
      <c r="CHA61" s="69"/>
      <c r="CHB61" s="69"/>
      <c r="CHC61" s="69"/>
      <c r="CHD61" s="69"/>
      <c r="CHE61" s="69"/>
      <c r="CHF61" s="69"/>
      <c r="CHG61" s="69"/>
      <c r="CHH61" s="69"/>
      <c r="CHI61" s="69"/>
      <c r="CHJ61" s="69"/>
      <c r="CHK61" s="69"/>
      <c r="CHL61" s="69"/>
      <c r="CHM61" s="69"/>
      <c r="CHN61" s="69"/>
      <c r="CHO61" s="69"/>
      <c r="CHP61" s="69"/>
      <c r="CHQ61" s="69"/>
      <c r="CHR61" s="69"/>
      <c r="CHS61" s="69"/>
      <c r="CHT61" s="69"/>
      <c r="CHU61" s="69"/>
      <c r="CHV61" s="69"/>
      <c r="CHW61" s="69"/>
      <c r="CHX61" s="69"/>
      <c r="CHY61" s="69"/>
      <c r="CHZ61" s="69"/>
      <c r="CIA61" s="69"/>
      <c r="CIB61" s="69"/>
      <c r="CIC61" s="69"/>
      <c r="CID61" s="69"/>
      <c r="CIE61" s="69"/>
      <c r="CIF61" s="69"/>
      <c r="CIG61" s="69"/>
      <c r="CIH61" s="69"/>
      <c r="CII61" s="69"/>
      <c r="CIJ61" s="69"/>
      <c r="CIK61" s="69"/>
      <c r="CIL61" s="69"/>
      <c r="CIM61" s="69"/>
      <c r="CIN61" s="69"/>
      <c r="CIO61" s="69"/>
      <c r="CIP61" s="69"/>
      <c r="CIQ61" s="69"/>
      <c r="CIR61" s="69"/>
      <c r="CIS61" s="69"/>
      <c r="CIT61" s="69"/>
      <c r="CIU61" s="69"/>
      <c r="CIV61" s="69"/>
      <c r="CIW61" s="69"/>
      <c r="CIX61" s="69"/>
      <c r="CIY61" s="69"/>
      <c r="CIZ61" s="69"/>
      <c r="CJA61" s="69"/>
      <c r="CJB61" s="69"/>
      <c r="CJC61" s="69"/>
      <c r="CJD61" s="69"/>
      <c r="CJE61" s="69"/>
      <c r="CJF61" s="69"/>
      <c r="CJG61" s="69"/>
      <c r="CJH61" s="69"/>
      <c r="CJI61" s="69"/>
      <c r="CJJ61" s="69"/>
      <c r="CJK61" s="69"/>
      <c r="CJL61" s="69"/>
      <c r="CJM61" s="69"/>
      <c r="CJN61" s="69"/>
      <c r="CJO61" s="69"/>
      <c r="CJP61" s="69"/>
      <c r="CJQ61" s="69"/>
      <c r="CJR61" s="69"/>
      <c r="CJS61" s="69"/>
      <c r="CJT61" s="69"/>
      <c r="CJU61" s="69"/>
      <c r="CJV61" s="69"/>
      <c r="CJW61" s="69"/>
      <c r="CJX61" s="69"/>
      <c r="CJY61" s="69"/>
      <c r="CJZ61" s="69"/>
      <c r="CKA61" s="69"/>
      <c r="CKB61" s="69"/>
      <c r="CKC61" s="69"/>
      <c r="CKD61" s="69"/>
      <c r="CKE61" s="69"/>
      <c r="CKF61" s="69"/>
      <c r="CKG61" s="69"/>
      <c r="CKH61" s="69"/>
      <c r="CKI61" s="69"/>
      <c r="CKJ61" s="69"/>
      <c r="CKK61" s="69"/>
      <c r="CKL61" s="69"/>
      <c r="CKM61" s="69"/>
      <c r="CKN61" s="69"/>
      <c r="CKO61" s="69"/>
      <c r="CKP61" s="69"/>
      <c r="CKQ61" s="69"/>
      <c r="CKR61" s="69"/>
      <c r="CKS61" s="69"/>
      <c r="CKT61" s="69"/>
      <c r="CKU61" s="69"/>
      <c r="CKV61" s="69"/>
      <c r="CKW61" s="69"/>
      <c r="CKX61" s="69"/>
      <c r="CKY61" s="69"/>
      <c r="CKZ61" s="69"/>
      <c r="CLA61" s="69"/>
      <c r="CLB61" s="69"/>
      <c r="CLC61" s="69"/>
      <c r="CLD61" s="69"/>
      <c r="CLE61" s="69"/>
      <c r="CLF61" s="69"/>
      <c r="CLG61" s="69"/>
      <c r="CLH61" s="69"/>
      <c r="CLI61" s="69"/>
      <c r="CLJ61" s="69"/>
      <c r="CLK61" s="69"/>
      <c r="CLL61" s="69"/>
      <c r="CLM61" s="69"/>
      <c r="CLN61" s="69"/>
      <c r="CLO61" s="69"/>
      <c r="CLP61" s="69"/>
      <c r="CLQ61" s="69"/>
      <c r="CLR61" s="69"/>
      <c r="CLS61" s="69"/>
      <c r="CLT61" s="69"/>
      <c r="CLU61" s="69"/>
      <c r="CLV61" s="69"/>
      <c r="CLW61" s="69"/>
      <c r="CLX61" s="69"/>
      <c r="CLY61" s="69"/>
      <c r="CLZ61" s="69"/>
      <c r="CMA61" s="69"/>
      <c r="CMB61" s="69"/>
      <c r="CMC61" s="69"/>
      <c r="CMD61" s="69"/>
      <c r="CME61" s="69"/>
      <c r="CMF61" s="69"/>
      <c r="CMG61" s="69"/>
      <c r="CMH61" s="69"/>
      <c r="CMI61" s="69"/>
      <c r="CMJ61" s="69"/>
      <c r="CMK61" s="69"/>
      <c r="CML61" s="69"/>
      <c r="CMM61" s="69"/>
      <c r="CMN61" s="69"/>
      <c r="CMO61" s="69"/>
      <c r="CMP61" s="69"/>
      <c r="CMQ61" s="69"/>
      <c r="CMR61" s="69"/>
      <c r="CMS61" s="69"/>
      <c r="CMT61" s="69"/>
      <c r="CMU61" s="69"/>
      <c r="CMV61" s="69"/>
      <c r="CMW61" s="69"/>
      <c r="CMX61" s="69"/>
      <c r="CMY61" s="69"/>
      <c r="CMZ61" s="69"/>
      <c r="CNA61" s="69"/>
      <c r="CNB61" s="69"/>
      <c r="CNC61" s="69"/>
      <c r="CND61" s="69"/>
      <c r="CNE61" s="69"/>
      <c r="CNF61" s="69"/>
      <c r="CNG61" s="69"/>
      <c r="CNH61" s="69"/>
      <c r="CNI61" s="69"/>
      <c r="CNJ61" s="69"/>
      <c r="CNK61" s="69"/>
      <c r="CNL61" s="69"/>
      <c r="CNM61" s="69"/>
      <c r="CNN61" s="69"/>
      <c r="CNO61" s="69"/>
      <c r="CNP61" s="69"/>
      <c r="CNQ61" s="69"/>
      <c r="CNR61" s="69"/>
      <c r="CNS61" s="69"/>
      <c r="CNT61" s="69"/>
      <c r="CNU61" s="69"/>
      <c r="CNV61" s="69"/>
      <c r="CNW61" s="69"/>
      <c r="CNX61" s="69"/>
      <c r="CNY61" s="69"/>
      <c r="CNZ61" s="69"/>
      <c r="COA61" s="69"/>
      <c r="COB61" s="69"/>
      <c r="COC61" s="69"/>
      <c r="COD61" s="69"/>
      <c r="COE61" s="69"/>
      <c r="COF61" s="69"/>
      <c r="COG61" s="69"/>
      <c r="COH61" s="69"/>
      <c r="COI61" s="69"/>
      <c r="COJ61" s="69"/>
      <c r="COK61" s="69"/>
      <c r="COL61" s="69"/>
      <c r="COM61" s="69"/>
      <c r="CON61" s="69"/>
      <c r="COO61" s="69"/>
      <c r="COP61" s="69"/>
      <c r="COQ61" s="69"/>
      <c r="COR61" s="69"/>
      <c r="COS61" s="69"/>
      <c r="COT61" s="69"/>
      <c r="COU61" s="69"/>
      <c r="COV61" s="69"/>
      <c r="COW61" s="69"/>
      <c r="COX61" s="69"/>
      <c r="COY61" s="69"/>
      <c r="COZ61" s="69"/>
      <c r="CPA61" s="69"/>
      <c r="CPB61" s="69"/>
      <c r="CPC61" s="69"/>
      <c r="CPD61" s="69"/>
      <c r="CPE61" s="69"/>
      <c r="CPF61" s="69"/>
      <c r="CPG61" s="69"/>
      <c r="CPH61" s="69"/>
      <c r="CPI61" s="69"/>
      <c r="CPJ61" s="69"/>
      <c r="CPK61" s="69"/>
      <c r="CPL61" s="69"/>
      <c r="CPM61" s="69"/>
      <c r="CPN61" s="69"/>
      <c r="CPO61" s="69"/>
      <c r="CPP61" s="69"/>
      <c r="CPQ61" s="69"/>
      <c r="CPR61" s="69"/>
      <c r="CPS61" s="69"/>
      <c r="CPT61" s="69"/>
      <c r="CPU61" s="69"/>
      <c r="CPV61" s="69"/>
      <c r="CPW61" s="69"/>
      <c r="CPX61" s="69"/>
      <c r="CPY61" s="69"/>
      <c r="CPZ61" s="69"/>
      <c r="CQA61" s="69"/>
      <c r="CQB61" s="69"/>
      <c r="CQC61" s="69"/>
      <c r="CQD61" s="69"/>
      <c r="CQE61" s="69"/>
      <c r="CQF61" s="69"/>
      <c r="CQG61" s="69"/>
      <c r="CQH61" s="69"/>
      <c r="CQI61" s="69"/>
      <c r="CQJ61" s="69"/>
      <c r="CQK61" s="69"/>
      <c r="CQL61" s="69"/>
      <c r="CQM61" s="69"/>
      <c r="CQN61" s="69"/>
      <c r="CQO61" s="69"/>
      <c r="CQP61" s="69"/>
      <c r="CQQ61" s="69"/>
      <c r="CQR61" s="69"/>
      <c r="CQS61" s="69"/>
      <c r="CQT61" s="69"/>
      <c r="CQU61" s="69"/>
      <c r="CQV61" s="69"/>
      <c r="CQW61" s="69"/>
      <c r="CQX61" s="69"/>
      <c r="CQY61" s="69"/>
      <c r="CQZ61" s="69"/>
      <c r="CRA61" s="69"/>
      <c r="CRB61" s="69"/>
      <c r="CRC61" s="69"/>
      <c r="CRD61" s="69"/>
      <c r="CRE61" s="69"/>
      <c r="CRF61" s="69"/>
      <c r="CRG61" s="69"/>
      <c r="CRH61" s="69"/>
      <c r="CRI61" s="69"/>
      <c r="CRJ61" s="69"/>
      <c r="CRK61" s="69"/>
      <c r="CRL61" s="69"/>
      <c r="CRM61" s="69"/>
      <c r="CRN61" s="69"/>
      <c r="CRO61" s="69"/>
      <c r="CRP61" s="69"/>
      <c r="CRQ61" s="69"/>
      <c r="CRR61" s="69"/>
      <c r="CRS61" s="69"/>
      <c r="CRT61" s="69"/>
      <c r="CRU61" s="69"/>
      <c r="CRV61" s="69"/>
      <c r="CRW61" s="69"/>
      <c r="CRX61" s="69"/>
      <c r="CRY61" s="69"/>
      <c r="CRZ61" s="69"/>
      <c r="CSA61" s="69"/>
      <c r="CSB61" s="69"/>
      <c r="CSC61" s="69"/>
      <c r="CSD61" s="69"/>
      <c r="CSE61" s="69"/>
      <c r="CSF61" s="69"/>
      <c r="CSG61" s="69"/>
      <c r="CSH61" s="69"/>
      <c r="CSI61" s="69"/>
      <c r="CSJ61" s="69"/>
      <c r="CSK61" s="69"/>
      <c r="CSL61" s="69"/>
      <c r="CSM61" s="69"/>
      <c r="CSN61" s="69"/>
      <c r="CSO61" s="69"/>
      <c r="CSP61" s="69"/>
      <c r="CSQ61" s="69"/>
      <c r="CSR61" s="69"/>
      <c r="CSS61" s="69"/>
      <c r="CST61" s="69"/>
      <c r="CSU61" s="69"/>
      <c r="CSV61" s="69"/>
      <c r="CSW61" s="69"/>
      <c r="CSX61" s="69"/>
      <c r="CSY61" s="69"/>
      <c r="CSZ61" s="69"/>
      <c r="CTA61" s="69"/>
      <c r="CTB61" s="69"/>
      <c r="CTC61" s="69"/>
      <c r="CTD61" s="69"/>
      <c r="CTE61" s="69"/>
      <c r="CTF61" s="69"/>
      <c r="CTG61" s="69"/>
      <c r="CTH61" s="69"/>
      <c r="CTI61" s="69"/>
      <c r="CTJ61" s="69"/>
      <c r="CTK61" s="69"/>
      <c r="CTL61" s="69"/>
      <c r="CTM61" s="69"/>
      <c r="CTN61" s="69"/>
      <c r="CTO61" s="69"/>
      <c r="CTP61" s="69"/>
      <c r="CTQ61" s="69"/>
      <c r="CTR61" s="69"/>
      <c r="CTS61" s="69"/>
      <c r="CTT61" s="69"/>
      <c r="CTU61" s="69"/>
      <c r="CTV61" s="69"/>
      <c r="CTW61" s="69"/>
      <c r="CTX61" s="69"/>
      <c r="CTY61" s="69"/>
      <c r="CTZ61" s="69"/>
      <c r="CUA61" s="69"/>
      <c r="CUB61" s="69"/>
      <c r="CUC61" s="69"/>
      <c r="CUD61" s="69"/>
      <c r="CUE61" s="69"/>
      <c r="CUF61" s="69"/>
      <c r="CUG61" s="69"/>
      <c r="CUH61" s="69"/>
      <c r="CUI61" s="69"/>
      <c r="CUJ61" s="69"/>
      <c r="CUK61" s="69"/>
      <c r="CUL61" s="69"/>
      <c r="CUM61" s="69"/>
      <c r="CUN61" s="69"/>
      <c r="CUO61" s="69"/>
      <c r="CUP61" s="69"/>
      <c r="CUQ61" s="69"/>
      <c r="CUR61" s="69"/>
      <c r="CUS61" s="69"/>
      <c r="CUT61" s="69"/>
      <c r="CUU61" s="69"/>
      <c r="CUV61" s="69"/>
      <c r="CUW61" s="69"/>
      <c r="CUX61" s="69"/>
      <c r="CUY61" s="69"/>
      <c r="CUZ61" s="69"/>
      <c r="CVA61" s="69"/>
      <c r="CVB61" s="69"/>
      <c r="CVC61" s="69"/>
      <c r="CVD61" s="69"/>
      <c r="CVE61" s="69"/>
      <c r="CVF61" s="69"/>
      <c r="CVG61" s="69"/>
      <c r="CVH61" s="69"/>
      <c r="CVI61" s="69"/>
      <c r="CVJ61" s="69"/>
      <c r="CVK61" s="69"/>
      <c r="CVL61" s="69"/>
      <c r="CVM61" s="69"/>
      <c r="CVN61" s="69"/>
      <c r="CVO61" s="69"/>
      <c r="CVP61" s="69"/>
      <c r="CVQ61" s="69"/>
      <c r="CVR61" s="69"/>
      <c r="CVS61" s="69"/>
      <c r="CVT61" s="69"/>
      <c r="CVU61" s="69"/>
      <c r="CVV61" s="69"/>
      <c r="CVW61" s="69"/>
      <c r="CVX61" s="69"/>
      <c r="CVY61" s="69"/>
      <c r="CVZ61" s="69"/>
      <c r="CWA61" s="69"/>
      <c r="CWB61" s="69"/>
      <c r="CWC61" s="69"/>
      <c r="CWD61" s="69"/>
      <c r="CWE61" s="69"/>
      <c r="CWF61" s="69"/>
      <c r="CWG61" s="69"/>
      <c r="CWH61" s="69"/>
      <c r="CWI61" s="69"/>
      <c r="CWJ61" s="69"/>
      <c r="CWK61" s="69"/>
      <c r="CWL61" s="69"/>
      <c r="CWM61" s="69"/>
      <c r="CWN61" s="69"/>
      <c r="CWO61" s="69"/>
      <c r="CWP61" s="69"/>
      <c r="CWQ61" s="69"/>
      <c r="CWR61" s="69"/>
      <c r="CWS61" s="69"/>
      <c r="CWT61" s="69"/>
      <c r="CWU61" s="69"/>
      <c r="CWV61" s="69"/>
      <c r="CWW61" s="69"/>
      <c r="CWX61" s="69"/>
      <c r="CWY61" s="69"/>
      <c r="CWZ61" s="69"/>
      <c r="CXA61" s="69"/>
      <c r="CXB61" s="69"/>
      <c r="CXC61" s="69"/>
      <c r="CXD61" s="69"/>
      <c r="CXE61" s="69"/>
      <c r="CXF61" s="69"/>
      <c r="CXG61" s="69"/>
      <c r="CXH61" s="69"/>
      <c r="CXI61" s="69"/>
      <c r="CXJ61" s="69"/>
      <c r="CXK61" s="69"/>
      <c r="CXL61" s="69"/>
      <c r="CXM61" s="69"/>
      <c r="CXN61" s="69"/>
      <c r="CXO61" s="69"/>
      <c r="CXP61" s="69"/>
      <c r="CXQ61" s="69"/>
      <c r="CXR61" s="69"/>
      <c r="CXS61" s="69"/>
      <c r="CXT61" s="69"/>
      <c r="CXU61" s="69"/>
      <c r="CXV61" s="69"/>
      <c r="CXW61" s="69"/>
      <c r="CXX61" s="69"/>
      <c r="CXY61" s="69"/>
      <c r="CXZ61" s="69"/>
      <c r="CYA61" s="69"/>
      <c r="CYB61" s="69"/>
      <c r="CYC61" s="69"/>
      <c r="CYD61" s="69"/>
      <c r="CYE61" s="69"/>
      <c r="CYF61" s="69"/>
      <c r="CYG61" s="69"/>
      <c r="CYH61" s="69"/>
      <c r="CYI61" s="69"/>
      <c r="CYJ61" s="69"/>
      <c r="CYK61" s="69"/>
      <c r="CYL61" s="69"/>
      <c r="CYM61" s="69"/>
      <c r="CYN61" s="69"/>
      <c r="CYO61" s="69"/>
      <c r="CYP61" s="69"/>
      <c r="CYQ61" s="69"/>
      <c r="CYR61" s="69"/>
      <c r="CYS61" s="69"/>
      <c r="CYT61" s="69"/>
      <c r="CYU61" s="69"/>
      <c r="CYV61" s="69"/>
      <c r="CYW61" s="69"/>
      <c r="CYX61" s="69"/>
      <c r="CYY61" s="69"/>
      <c r="CYZ61" s="69"/>
      <c r="CZA61" s="69"/>
      <c r="CZB61" s="69"/>
      <c r="CZC61" s="69"/>
      <c r="CZD61" s="69"/>
      <c r="CZE61" s="69"/>
      <c r="CZF61" s="69"/>
      <c r="CZG61" s="69"/>
      <c r="CZH61" s="69"/>
      <c r="CZI61" s="69"/>
      <c r="CZJ61" s="69"/>
      <c r="CZK61" s="69"/>
      <c r="CZL61" s="69"/>
      <c r="CZM61" s="69"/>
      <c r="CZN61" s="69"/>
      <c r="CZO61" s="69"/>
      <c r="CZP61" s="69"/>
      <c r="CZQ61" s="69"/>
      <c r="CZR61" s="69"/>
      <c r="CZS61" s="69"/>
      <c r="CZT61" s="69"/>
      <c r="CZU61" s="69"/>
      <c r="CZV61" s="69"/>
      <c r="CZW61" s="69"/>
      <c r="CZX61" s="69"/>
      <c r="CZY61" s="69"/>
      <c r="CZZ61" s="69"/>
      <c r="DAA61" s="69"/>
      <c r="DAB61" s="69"/>
      <c r="DAC61" s="69"/>
      <c r="DAD61" s="69"/>
      <c r="DAE61" s="69"/>
      <c r="DAF61" s="69"/>
      <c r="DAG61" s="69"/>
      <c r="DAH61" s="69"/>
      <c r="DAI61" s="69"/>
      <c r="DAJ61" s="69"/>
      <c r="DAK61" s="69"/>
      <c r="DAL61" s="69"/>
      <c r="DAM61" s="69"/>
      <c r="DAN61" s="69"/>
      <c r="DAO61" s="69"/>
      <c r="DAP61" s="69"/>
      <c r="DAQ61" s="69"/>
      <c r="DAR61" s="69"/>
      <c r="DAS61" s="69"/>
      <c r="DAT61" s="69"/>
      <c r="DAU61" s="69"/>
      <c r="DAV61" s="69"/>
      <c r="DAW61" s="69"/>
      <c r="DAX61" s="69"/>
      <c r="DAY61" s="69"/>
      <c r="DAZ61" s="69"/>
      <c r="DBA61" s="69"/>
      <c r="DBB61" s="69"/>
      <c r="DBC61" s="69"/>
      <c r="DBD61" s="69"/>
      <c r="DBE61" s="69"/>
      <c r="DBF61" s="69"/>
      <c r="DBG61" s="69"/>
      <c r="DBH61" s="69"/>
      <c r="DBI61" s="69"/>
      <c r="DBJ61" s="69"/>
      <c r="DBK61" s="69"/>
      <c r="DBL61" s="69"/>
      <c r="DBM61" s="69"/>
      <c r="DBN61" s="69"/>
      <c r="DBO61" s="69"/>
      <c r="DBP61" s="69"/>
      <c r="DBQ61" s="69"/>
      <c r="DBR61" s="69"/>
      <c r="DBS61" s="69"/>
      <c r="DBT61" s="69"/>
      <c r="DBU61" s="69"/>
      <c r="DBV61" s="69"/>
      <c r="DBW61" s="69"/>
      <c r="DBX61" s="69"/>
      <c r="DBY61" s="69"/>
      <c r="DBZ61" s="69"/>
      <c r="DCA61" s="69"/>
      <c r="DCB61" s="69"/>
      <c r="DCC61" s="69"/>
      <c r="DCD61" s="69"/>
      <c r="DCE61" s="69"/>
      <c r="DCF61" s="69"/>
      <c r="DCG61" s="69"/>
      <c r="DCH61" s="69"/>
      <c r="DCI61" s="69"/>
      <c r="DCJ61" s="69"/>
      <c r="DCK61" s="69"/>
      <c r="DCL61" s="69"/>
      <c r="DCM61" s="69"/>
      <c r="DCN61" s="69"/>
      <c r="DCO61" s="69"/>
      <c r="DCP61" s="69"/>
      <c r="DCQ61" s="69"/>
      <c r="DCR61" s="69"/>
      <c r="DCS61" s="69"/>
      <c r="DCT61" s="69"/>
      <c r="DCU61" s="69"/>
      <c r="DCV61" s="69"/>
      <c r="DCW61" s="69"/>
      <c r="DCX61" s="69"/>
      <c r="DCY61" s="69"/>
      <c r="DCZ61" s="69"/>
      <c r="DDA61" s="69"/>
      <c r="DDB61" s="69"/>
      <c r="DDC61" s="69"/>
      <c r="DDD61" s="69"/>
      <c r="DDE61" s="69"/>
      <c r="DDF61" s="69"/>
      <c r="DDG61" s="69"/>
      <c r="DDH61" s="69"/>
      <c r="DDI61" s="69"/>
      <c r="DDJ61" s="69"/>
      <c r="DDK61" s="69"/>
      <c r="DDL61" s="69"/>
      <c r="DDM61" s="69"/>
      <c r="DDN61" s="69"/>
      <c r="DDO61" s="69"/>
      <c r="DDP61" s="69"/>
      <c r="DDQ61" s="69"/>
      <c r="DDR61" s="69"/>
      <c r="DDS61" s="69"/>
      <c r="DDT61" s="69"/>
      <c r="DDU61" s="69"/>
      <c r="DDV61" s="69"/>
      <c r="DDW61" s="69"/>
      <c r="DDX61" s="69"/>
      <c r="DDY61" s="69"/>
      <c r="DDZ61" s="69"/>
      <c r="DEA61" s="69"/>
      <c r="DEB61" s="69"/>
      <c r="DEC61" s="69"/>
      <c r="DED61" s="69"/>
      <c r="DEE61" s="69"/>
      <c r="DEF61" s="69"/>
      <c r="DEG61" s="69"/>
      <c r="DEH61" s="69"/>
      <c r="DEI61" s="69"/>
      <c r="DEJ61" s="69"/>
      <c r="DEK61" s="69"/>
      <c r="DEL61" s="69"/>
      <c r="DEM61" s="69"/>
      <c r="DEN61" s="69"/>
      <c r="DEO61" s="69"/>
      <c r="DEP61" s="69"/>
      <c r="DEQ61" s="69"/>
      <c r="DER61" s="69"/>
      <c r="DES61" s="69"/>
      <c r="DET61" s="69"/>
      <c r="DEU61" s="69"/>
      <c r="DEV61" s="69"/>
      <c r="DEW61" s="69"/>
      <c r="DEX61" s="69"/>
      <c r="DEY61" s="69"/>
      <c r="DEZ61" s="69"/>
      <c r="DFA61" s="69"/>
      <c r="DFB61" s="69"/>
      <c r="DFC61" s="69"/>
      <c r="DFD61" s="69"/>
      <c r="DFE61" s="69"/>
      <c r="DFF61" s="69"/>
      <c r="DFG61" s="69"/>
      <c r="DFH61" s="69"/>
      <c r="DFI61" s="69"/>
      <c r="DFJ61" s="69"/>
      <c r="DFK61" s="69"/>
      <c r="DFL61" s="69"/>
      <c r="DFM61" s="69"/>
      <c r="DFN61" s="69"/>
      <c r="DFO61" s="69"/>
      <c r="DFP61" s="69"/>
      <c r="DFQ61" s="69"/>
      <c r="DFR61" s="69"/>
      <c r="DFS61" s="69"/>
      <c r="DFT61" s="69"/>
      <c r="DFU61" s="69"/>
      <c r="DFV61" s="69"/>
      <c r="DFW61" s="69"/>
      <c r="DFX61" s="69"/>
      <c r="DFY61" s="69"/>
      <c r="DFZ61" s="69"/>
      <c r="DGA61" s="69"/>
      <c r="DGB61" s="69"/>
      <c r="DGC61" s="69"/>
      <c r="DGD61" s="69"/>
      <c r="DGE61" s="69"/>
      <c r="DGF61" s="69"/>
      <c r="DGG61" s="69"/>
      <c r="DGH61" s="69"/>
      <c r="DGI61" s="69"/>
      <c r="DGJ61" s="69"/>
      <c r="DGK61" s="69"/>
      <c r="DGL61" s="69"/>
      <c r="DGM61" s="69"/>
      <c r="DGN61" s="69"/>
      <c r="DGO61" s="69"/>
      <c r="DGP61" s="69"/>
      <c r="DGQ61" s="69"/>
      <c r="DGR61" s="69"/>
      <c r="DGS61" s="69"/>
      <c r="DGT61" s="69"/>
      <c r="DGU61" s="69"/>
      <c r="DGV61" s="69"/>
      <c r="DGW61" s="69"/>
      <c r="DGX61" s="69"/>
      <c r="DGY61" s="69"/>
      <c r="DGZ61" s="69"/>
      <c r="DHA61" s="69"/>
      <c r="DHB61" s="69"/>
      <c r="DHC61" s="69"/>
      <c r="DHD61" s="69"/>
      <c r="DHE61" s="69"/>
      <c r="DHF61" s="69"/>
      <c r="DHG61" s="69"/>
      <c r="DHH61" s="69"/>
      <c r="DHI61" s="69"/>
      <c r="DHJ61" s="69"/>
      <c r="DHK61" s="69"/>
      <c r="DHL61" s="69"/>
      <c r="DHM61" s="69"/>
      <c r="DHN61" s="69"/>
      <c r="DHO61" s="69"/>
      <c r="DHP61" s="69"/>
      <c r="DHQ61" s="69"/>
      <c r="DHR61" s="69"/>
      <c r="DHS61" s="69"/>
      <c r="DHT61" s="69"/>
      <c r="DHU61" s="69"/>
      <c r="DHV61" s="69"/>
      <c r="DHW61" s="69"/>
      <c r="DHX61" s="69"/>
      <c r="DHY61" s="69"/>
      <c r="DHZ61" s="69"/>
      <c r="DIA61" s="69"/>
      <c r="DIB61" s="69"/>
      <c r="DIC61" s="69"/>
      <c r="DID61" s="69"/>
      <c r="DIE61" s="69"/>
      <c r="DIF61" s="69"/>
      <c r="DIG61" s="69"/>
      <c r="DIH61" s="69"/>
      <c r="DII61" s="69"/>
      <c r="DIJ61" s="69"/>
      <c r="DIK61" s="69"/>
      <c r="DIL61" s="69"/>
      <c r="DIM61" s="69"/>
      <c r="DIN61" s="69"/>
      <c r="DIO61" s="69"/>
      <c r="DIP61" s="69"/>
      <c r="DIQ61" s="69"/>
      <c r="DIR61" s="69"/>
      <c r="DIS61" s="69"/>
      <c r="DIT61" s="69"/>
      <c r="DIU61" s="69"/>
      <c r="DIV61" s="69"/>
      <c r="DIW61" s="69"/>
      <c r="DIX61" s="69"/>
      <c r="DIY61" s="69"/>
      <c r="DIZ61" s="69"/>
      <c r="DJA61" s="69"/>
      <c r="DJB61" s="69"/>
      <c r="DJC61" s="69"/>
      <c r="DJD61" s="69"/>
      <c r="DJE61" s="69"/>
      <c r="DJF61" s="69"/>
      <c r="DJG61" s="69"/>
      <c r="DJH61" s="69"/>
      <c r="DJI61" s="69"/>
      <c r="DJJ61" s="69"/>
      <c r="DJK61" s="69"/>
      <c r="DJL61" s="69"/>
      <c r="DJM61" s="69"/>
      <c r="DJN61" s="69"/>
      <c r="DJO61" s="69"/>
      <c r="DJP61" s="69"/>
      <c r="DJQ61" s="69"/>
      <c r="DJR61" s="69"/>
      <c r="DJS61" s="69"/>
      <c r="DJT61" s="69"/>
      <c r="DJU61" s="69"/>
      <c r="DJV61" s="69"/>
      <c r="DJW61" s="69"/>
      <c r="DJX61" s="69"/>
      <c r="DJY61" s="69"/>
      <c r="DJZ61" s="69"/>
      <c r="DKA61" s="69"/>
      <c r="DKB61" s="69"/>
      <c r="DKC61" s="69"/>
      <c r="DKD61" s="69"/>
      <c r="DKE61" s="69"/>
      <c r="DKF61" s="69"/>
      <c r="DKG61" s="69"/>
      <c r="DKH61" s="69"/>
      <c r="DKI61" s="69"/>
      <c r="DKJ61" s="69"/>
      <c r="DKK61" s="69"/>
      <c r="DKL61" s="69"/>
      <c r="DKM61" s="69"/>
      <c r="DKN61" s="69"/>
      <c r="DKO61" s="69"/>
      <c r="DKP61" s="69"/>
      <c r="DKQ61" s="69"/>
      <c r="DKR61" s="69"/>
      <c r="DKS61" s="69"/>
      <c r="DKT61" s="69"/>
      <c r="DKU61" s="69"/>
      <c r="DKV61" s="69"/>
      <c r="DKW61" s="69"/>
      <c r="DKX61" s="69"/>
      <c r="DKY61" s="69"/>
      <c r="DKZ61" s="69"/>
      <c r="DLA61" s="69"/>
      <c r="DLB61" s="69"/>
      <c r="DLC61" s="69"/>
      <c r="DLD61" s="69"/>
      <c r="DLE61" s="69"/>
      <c r="DLF61" s="69"/>
      <c r="DLG61" s="69"/>
      <c r="DLH61" s="69"/>
      <c r="DLI61" s="69"/>
      <c r="DLJ61" s="69"/>
      <c r="DLK61" s="69"/>
      <c r="DLL61" s="69"/>
      <c r="DLM61" s="69"/>
      <c r="DLN61" s="69"/>
      <c r="DLO61" s="69"/>
      <c r="DLP61" s="69"/>
      <c r="DLQ61" s="69"/>
      <c r="DLR61" s="69"/>
      <c r="DLS61" s="69"/>
      <c r="DLT61" s="69"/>
      <c r="DLU61" s="69"/>
      <c r="DLV61" s="69"/>
      <c r="DLW61" s="69"/>
      <c r="DLX61" s="69"/>
      <c r="DLY61" s="69"/>
      <c r="DLZ61" s="69"/>
      <c r="DMA61" s="69"/>
      <c r="DMB61" s="69"/>
      <c r="DMC61" s="69"/>
      <c r="DMD61" s="69"/>
      <c r="DME61" s="69"/>
      <c r="DMF61" s="69"/>
      <c r="DMG61" s="69"/>
      <c r="DMH61" s="69"/>
      <c r="DMI61" s="69"/>
      <c r="DMJ61" s="69"/>
      <c r="DMK61" s="69"/>
      <c r="DML61" s="69"/>
      <c r="DMM61" s="69"/>
      <c r="DMN61" s="69"/>
      <c r="DMO61" s="69"/>
      <c r="DMP61" s="69"/>
      <c r="DMQ61" s="69"/>
      <c r="DMR61" s="69"/>
      <c r="DMS61" s="69"/>
      <c r="DMT61" s="69"/>
      <c r="DMU61" s="69"/>
      <c r="DMV61" s="69"/>
      <c r="DMW61" s="69"/>
      <c r="DMX61" s="69"/>
      <c r="DMY61" s="69"/>
      <c r="DMZ61" s="69"/>
      <c r="DNA61" s="69"/>
      <c r="DNB61" s="69"/>
      <c r="DNC61" s="69"/>
      <c r="DND61" s="69"/>
      <c r="DNE61" s="69"/>
      <c r="DNF61" s="69"/>
      <c r="DNG61" s="69"/>
      <c r="DNH61" s="69"/>
      <c r="DNI61" s="69"/>
      <c r="DNJ61" s="69"/>
      <c r="DNK61" s="69"/>
      <c r="DNL61" s="69"/>
      <c r="DNM61" s="69"/>
      <c r="DNN61" s="69"/>
      <c r="DNO61" s="69"/>
      <c r="DNP61" s="69"/>
      <c r="DNQ61" s="69"/>
      <c r="DNR61" s="69"/>
      <c r="DNS61" s="69"/>
      <c r="DNT61" s="69"/>
      <c r="DNU61" s="69"/>
      <c r="DNV61" s="69"/>
      <c r="DNW61" s="69"/>
      <c r="DNX61" s="69"/>
      <c r="DNY61" s="69"/>
      <c r="DNZ61" s="69"/>
      <c r="DOA61" s="69"/>
      <c r="DOB61" s="69"/>
      <c r="DOC61" s="69"/>
      <c r="DOD61" s="69"/>
      <c r="DOE61" s="69"/>
      <c r="DOF61" s="69"/>
      <c r="DOG61" s="69"/>
      <c r="DOH61" s="69"/>
      <c r="DOI61" s="69"/>
      <c r="DOJ61" s="69"/>
      <c r="DOK61" s="69"/>
      <c r="DOL61" s="69"/>
      <c r="DOM61" s="69"/>
      <c r="DON61" s="69"/>
      <c r="DOO61" s="69"/>
      <c r="DOP61" s="69"/>
      <c r="DOQ61" s="69"/>
      <c r="DOR61" s="69"/>
      <c r="DOS61" s="69"/>
      <c r="DOT61" s="69"/>
      <c r="DOU61" s="69"/>
      <c r="DOV61" s="69"/>
      <c r="DOW61" s="69"/>
      <c r="DOX61" s="69"/>
      <c r="DOY61" s="69"/>
      <c r="DOZ61" s="69"/>
      <c r="DPA61" s="69"/>
      <c r="DPB61" s="69"/>
      <c r="DPC61" s="69"/>
      <c r="DPD61" s="69"/>
      <c r="DPE61" s="69"/>
      <c r="DPF61" s="69"/>
      <c r="DPG61" s="69"/>
      <c r="DPH61" s="69"/>
      <c r="DPI61" s="69"/>
      <c r="DPJ61" s="69"/>
      <c r="DPK61" s="69"/>
      <c r="DPL61" s="69"/>
      <c r="DPM61" s="69"/>
      <c r="DPN61" s="69"/>
      <c r="DPO61" s="69"/>
      <c r="DPP61" s="69"/>
      <c r="DPQ61" s="69"/>
      <c r="DPR61" s="69"/>
      <c r="DPS61" s="69"/>
      <c r="DPT61" s="69"/>
      <c r="DPU61" s="69"/>
      <c r="DPV61" s="69"/>
      <c r="DPW61" s="69"/>
      <c r="DPX61" s="69"/>
      <c r="DPY61" s="69"/>
      <c r="DPZ61" s="69"/>
      <c r="DQA61" s="69"/>
      <c r="DQB61" s="69"/>
      <c r="DQC61" s="69"/>
      <c r="DQD61" s="69"/>
      <c r="DQE61" s="69"/>
      <c r="DQF61" s="69"/>
      <c r="DQG61" s="69"/>
      <c r="DQH61" s="69"/>
      <c r="DQI61" s="69"/>
      <c r="DQJ61" s="69"/>
      <c r="DQK61" s="69"/>
      <c r="DQL61" s="69"/>
      <c r="DQM61" s="69"/>
      <c r="DQN61" s="69"/>
      <c r="DQO61" s="69"/>
      <c r="DQP61" s="69"/>
      <c r="DQQ61" s="69"/>
      <c r="DQR61" s="69"/>
      <c r="DQS61" s="69"/>
      <c r="DQT61" s="69"/>
      <c r="DQU61" s="69"/>
      <c r="DQV61" s="69"/>
      <c r="DQW61" s="69"/>
      <c r="DQX61" s="69"/>
      <c r="DQY61" s="69"/>
      <c r="DQZ61" s="69"/>
      <c r="DRA61" s="69"/>
      <c r="DRB61" s="69"/>
      <c r="DRC61" s="69"/>
      <c r="DRD61" s="69"/>
      <c r="DRE61" s="69"/>
      <c r="DRF61" s="69"/>
      <c r="DRG61" s="69"/>
      <c r="DRH61" s="69"/>
      <c r="DRI61" s="69"/>
      <c r="DRJ61" s="69"/>
      <c r="DRK61" s="69"/>
      <c r="DRL61" s="69"/>
      <c r="DRM61" s="69"/>
      <c r="DRN61" s="69"/>
      <c r="DRO61" s="69"/>
      <c r="DRP61" s="69"/>
      <c r="DRQ61" s="69"/>
      <c r="DRR61" s="69"/>
      <c r="DRS61" s="69"/>
      <c r="DRT61" s="69"/>
      <c r="DRU61" s="69"/>
      <c r="DRV61" s="69"/>
      <c r="DRW61" s="69"/>
      <c r="DRX61" s="69"/>
      <c r="DRY61" s="69"/>
      <c r="DRZ61" s="69"/>
      <c r="DSA61" s="69"/>
      <c r="DSB61" s="69"/>
      <c r="DSC61" s="69"/>
      <c r="DSD61" s="69"/>
      <c r="DSE61" s="69"/>
      <c r="DSF61" s="69"/>
      <c r="DSG61" s="69"/>
      <c r="DSH61" s="69"/>
      <c r="DSI61" s="69"/>
      <c r="DSJ61" s="69"/>
      <c r="DSK61" s="69"/>
      <c r="DSL61" s="69"/>
      <c r="DSM61" s="69"/>
      <c r="DSN61" s="69"/>
      <c r="DSO61" s="69"/>
      <c r="DSP61" s="69"/>
      <c r="DSQ61" s="69"/>
      <c r="DSR61" s="69"/>
      <c r="DSS61" s="69"/>
      <c r="DST61" s="69"/>
      <c r="DSU61" s="69"/>
      <c r="DSV61" s="69"/>
      <c r="DSW61" s="69"/>
      <c r="DSX61" s="69"/>
      <c r="DSY61" s="69"/>
      <c r="DSZ61" s="69"/>
      <c r="DTA61" s="69"/>
      <c r="DTB61" s="69"/>
      <c r="DTC61" s="69"/>
      <c r="DTD61" s="69"/>
      <c r="DTE61" s="69"/>
      <c r="DTF61" s="69"/>
      <c r="DTG61" s="69"/>
      <c r="DTH61" s="69"/>
      <c r="DTI61" s="69"/>
      <c r="DTJ61" s="69"/>
      <c r="DTK61" s="69"/>
      <c r="DTL61" s="69"/>
      <c r="DTM61" s="69"/>
      <c r="DTN61" s="69"/>
      <c r="DTO61" s="69"/>
      <c r="DTP61" s="69"/>
      <c r="DTQ61" s="69"/>
      <c r="DTR61" s="69"/>
      <c r="DTS61" s="69"/>
      <c r="DTT61" s="69"/>
      <c r="DTU61" s="69"/>
      <c r="DTV61" s="69"/>
      <c r="DTW61" s="69"/>
      <c r="DTX61" s="69"/>
      <c r="DTY61" s="69"/>
      <c r="DTZ61" s="69"/>
      <c r="DUA61" s="69"/>
      <c r="DUB61" s="69"/>
      <c r="DUC61" s="69"/>
      <c r="DUD61" s="69"/>
      <c r="DUE61" s="69"/>
      <c r="DUF61" s="69"/>
      <c r="DUG61" s="69"/>
      <c r="DUH61" s="69"/>
      <c r="DUI61" s="69"/>
      <c r="DUJ61" s="69"/>
      <c r="DUK61" s="69"/>
      <c r="DUL61" s="69"/>
      <c r="DUM61" s="69"/>
      <c r="DUN61" s="69"/>
      <c r="DUO61" s="69"/>
      <c r="DUP61" s="69"/>
      <c r="DUQ61" s="69"/>
      <c r="DUR61" s="69"/>
      <c r="DUS61" s="69"/>
      <c r="DUT61" s="69"/>
      <c r="DUU61" s="69"/>
      <c r="DUV61" s="69"/>
      <c r="DUW61" s="69"/>
      <c r="DUX61" s="69"/>
      <c r="DUY61" s="69"/>
      <c r="DUZ61" s="69"/>
      <c r="DVA61" s="69"/>
      <c r="DVB61" s="69"/>
      <c r="DVC61" s="69"/>
      <c r="DVD61" s="69"/>
      <c r="DVE61" s="69"/>
      <c r="DVF61" s="69"/>
      <c r="DVG61" s="69"/>
      <c r="DVH61" s="69"/>
      <c r="DVI61" s="69"/>
      <c r="DVJ61" s="69"/>
      <c r="DVK61" s="69"/>
      <c r="DVL61" s="69"/>
      <c r="DVM61" s="69"/>
      <c r="DVN61" s="69"/>
      <c r="DVO61" s="69"/>
      <c r="DVP61" s="69"/>
      <c r="DVQ61" s="69"/>
      <c r="DVR61" s="69"/>
      <c r="DVS61" s="69"/>
      <c r="DVT61" s="69"/>
      <c r="DVU61" s="69"/>
      <c r="DVV61" s="69"/>
      <c r="DVW61" s="69"/>
      <c r="DVX61" s="69"/>
      <c r="DVY61" s="69"/>
      <c r="DVZ61" s="69"/>
      <c r="DWA61" s="69"/>
      <c r="DWB61" s="69"/>
      <c r="DWC61" s="69"/>
      <c r="DWD61" s="69"/>
      <c r="DWE61" s="69"/>
      <c r="DWF61" s="69"/>
      <c r="DWG61" s="69"/>
      <c r="DWH61" s="69"/>
      <c r="DWI61" s="69"/>
      <c r="DWJ61" s="69"/>
      <c r="DWK61" s="69"/>
      <c r="DWL61" s="69"/>
      <c r="DWM61" s="69"/>
      <c r="DWN61" s="69"/>
      <c r="DWO61" s="69"/>
      <c r="DWP61" s="69"/>
      <c r="DWQ61" s="69"/>
      <c r="DWR61" s="69"/>
      <c r="DWS61" s="69"/>
      <c r="DWT61" s="69"/>
      <c r="DWU61" s="69"/>
      <c r="DWV61" s="69"/>
      <c r="DWW61" s="69"/>
      <c r="DWX61" s="69"/>
      <c r="DWY61" s="69"/>
      <c r="DWZ61" s="69"/>
      <c r="DXA61" s="69"/>
      <c r="DXB61" s="69"/>
      <c r="DXC61" s="69"/>
      <c r="DXD61" s="69"/>
      <c r="DXE61" s="69"/>
      <c r="DXF61" s="69"/>
      <c r="DXG61" s="69"/>
      <c r="DXH61" s="69"/>
      <c r="DXI61" s="69"/>
      <c r="DXJ61" s="69"/>
      <c r="DXK61" s="69"/>
      <c r="DXL61" s="69"/>
      <c r="DXM61" s="69"/>
      <c r="DXN61" s="69"/>
      <c r="DXO61" s="69"/>
      <c r="DXP61" s="69"/>
      <c r="DXQ61" s="69"/>
      <c r="DXR61" s="69"/>
      <c r="DXS61" s="69"/>
      <c r="DXT61" s="69"/>
      <c r="DXU61" s="69"/>
      <c r="DXV61" s="69"/>
      <c r="DXW61" s="69"/>
      <c r="DXX61" s="69"/>
      <c r="DXY61" s="69"/>
      <c r="DXZ61" s="69"/>
      <c r="DYA61" s="69"/>
      <c r="DYB61" s="69"/>
      <c r="DYC61" s="69"/>
      <c r="DYD61" s="69"/>
      <c r="DYE61" s="69"/>
      <c r="DYF61" s="69"/>
      <c r="DYG61" s="69"/>
      <c r="DYH61" s="69"/>
      <c r="DYI61" s="69"/>
      <c r="DYJ61" s="69"/>
      <c r="DYK61" s="69"/>
      <c r="DYL61" s="69"/>
      <c r="DYM61" s="69"/>
      <c r="DYN61" s="69"/>
      <c r="DYO61" s="69"/>
      <c r="DYP61" s="69"/>
      <c r="DYQ61" s="69"/>
      <c r="DYR61" s="69"/>
      <c r="DYS61" s="69"/>
      <c r="DYT61" s="69"/>
      <c r="DYU61" s="69"/>
      <c r="DYV61" s="69"/>
      <c r="DYW61" s="69"/>
      <c r="DYX61" s="69"/>
      <c r="DYY61" s="69"/>
      <c r="DYZ61" s="69"/>
      <c r="DZA61" s="69"/>
      <c r="DZB61" s="69"/>
      <c r="DZC61" s="69"/>
      <c r="DZD61" s="69"/>
      <c r="DZE61" s="69"/>
      <c r="DZF61" s="69"/>
      <c r="DZG61" s="69"/>
      <c r="DZH61" s="69"/>
      <c r="DZI61" s="69"/>
      <c r="DZJ61" s="69"/>
      <c r="DZK61" s="69"/>
      <c r="DZL61" s="69"/>
      <c r="DZM61" s="69"/>
      <c r="DZN61" s="69"/>
      <c r="DZO61" s="69"/>
      <c r="DZP61" s="69"/>
      <c r="DZQ61" s="69"/>
      <c r="DZR61" s="69"/>
      <c r="DZS61" s="69"/>
      <c r="DZT61" s="69"/>
      <c r="DZU61" s="69"/>
      <c r="DZV61" s="69"/>
      <c r="DZW61" s="69"/>
      <c r="DZX61" s="69"/>
      <c r="DZY61" s="69"/>
      <c r="DZZ61" s="69"/>
      <c r="EAA61" s="69"/>
      <c r="EAB61" s="69"/>
      <c r="EAC61" s="69"/>
      <c r="EAD61" s="69"/>
      <c r="EAE61" s="69"/>
      <c r="EAF61" s="69"/>
      <c r="EAG61" s="69"/>
      <c r="EAH61" s="69"/>
      <c r="EAI61" s="69"/>
      <c r="EAJ61" s="69"/>
      <c r="EAK61" s="69"/>
      <c r="EAL61" s="69"/>
      <c r="EAM61" s="69"/>
      <c r="EAN61" s="69"/>
      <c r="EAO61" s="69"/>
      <c r="EAP61" s="69"/>
      <c r="EAQ61" s="69"/>
      <c r="EAR61" s="69"/>
      <c r="EAS61" s="69"/>
      <c r="EAT61" s="69"/>
      <c r="EAU61" s="69"/>
      <c r="EAV61" s="69"/>
      <c r="EAW61" s="69"/>
      <c r="EAX61" s="69"/>
      <c r="EAY61" s="69"/>
      <c r="EAZ61" s="69"/>
      <c r="EBA61" s="69"/>
      <c r="EBB61" s="69"/>
      <c r="EBC61" s="69"/>
      <c r="EBD61" s="69"/>
      <c r="EBE61" s="69"/>
      <c r="EBF61" s="69"/>
      <c r="EBG61" s="69"/>
      <c r="EBH61" s="69"/>
      <c r="EBI61" s="69"/>
      <c r="EBJ61" s="69"/>
      <c r="EBK61" s="69"/>
      <c r="EBL61" s="69"/>
      <c r="EBM61" s="69"/>
      <c r="EBN61" s="69"/>
      <c r="EBO61" s="69"/>
      <c r="EBP61" s="69"/>
      <c r="EBQ61" s="69"/>
      <c r="EBR61" s="69"/>
      <c r="EBS61" s="69"/>
      <c r="EBT61" s="69"/>
      <c r="EBU61" s="69"/>
      <c r="EBV61" s="69"/>
      <c r="EBW61" s="69"/>
      <c r="EBX61" s="69"/>
      <c r="EBY61" s="69"/>
      <c r="EBZ61" s="69"/>
      <c r="ECA61" s="69"/>
      <c r="ECB61" s="69"/>
      <c r="ECC61" s="69"/>
      <c r="ECD61" s="69"/>
      <c r="ECE61" s="69"/>
      <c r="ECF61" s="69"/>
      <c r="ECG61" s="69"/>
      <c r="ECH61" s="69"/>
      <c r="ECI61" s="69"/>
      <c r="ECJ61" s="69"/>
      <c r="ECK61" s="69"/>
      <c r="ECL61" s="69"/>
      <c r="ECM61" s="69"/>
      <c r="ECN61" s="69"/>
      <c r="ECO61" s="69"/>
      <c r="ECP61" s="69"/>
      <c r="ECQ61" s="69"/>
      <c r="ECR61" s="69"/>
      <c r="ECS61" s="69"/>
      <c r="ECT61" s="69"/>
      <c r="ECU61" s="69"/>
      <c r="ECV61" s="69"/>
      <c r="ECW61" s="69"/>
      <c r="ECX61" s="69"/>
      <c r="ECY61" s="69"/>
      <c r="ECZ61" s="69"/>
      <c r="EDA61" s="69"/>
      <c r="EDB61" s="69"/>
      <c r="EDC61" s="69"/>
      <c r="EDD61" s="69"/>
      <c r="EDE61" s="69"/>
      <c r="EDF61" s="69"/>
      <c r="EDG61" s="69"/>
      <c r="EDH61" s="69"/>
      <c r="EDI61" s="69"/>
      <c r="EDJ61" s="69"/>
      <c r="EDK61" s="69"/>
      <c r="EDL61" s="69"/>
      <c r="EDM61" s="69"/>
      <c r="EDN61" s="69"/>
      <c r="EDO61" s="69"/>
      <c r="EDP61" s="69"/>
      <c r="EDQ61" s="69"/>
      <c r="EDR61" s="69"/>
      <c r="EDS61" s="69"/>
      <c r="EDT61" s="69"/>
      <c r="EDU61" s="69"/>
      <c r="EDV61" s="69"/>
      <c r="EDW61" s="69"/>
      <c r="EDX61" s="69"/>
      <c r="EDY61" s="69"/>
      <c r="EDZ61" s="69"/>
      <c r="EEA61" s="69"/>
      <c r="EEB61" s="69"/>
      <c r="EEC61" s="69"/>
      <c r="EED61" s="69"/>
      <c r="EEE61" s="69"/>
      <c r="EEF61" s="69"/>
      <c r="EEG61" s="69"/>
      <c r="EEH61" s="69"/>
      <c r="EEI61" s="69"/>
      <c r="EEJ61" s="69"/>
      <c r="EEK61" s="69"/>
      <c r="EEL61" s="69"/>
      <c r="EEM61" s="69"/>
      <c r="EEN61" s="69"/>
      <c r="EEO61" s="69"/>
      <c r="EEP61" s="69"/>
      <c r="EEQ61" s="69"/>
      <c r="EER61" s="69"/>
      <c r="EES61" s="69"/>
      <c r="EET61" s="69"/>
      <c r="EEU61" s="69"/>
      <c r="EEV61" s="69"/>
      <c r="EEW61" s="69"/>
      <c r="EEX61" s="69"/>
      <c r="EEY61" s="69"/>
      <c r="EEZ61" s="69"/>
      <c r="EFA61" s="69"/>
      <c r="EFB61" s="69"/>
      <c r="EFC61" s="69"/>
      <c r="EFD61" s="69"/>
      <c r="EFE61" s="69"/>
      <c r="EFF61" s="69"/>
      <c r="EFG61" s="69"/>
      <c r="EFH61" s="69"/>
      <c r="EFI61" s="69"/>
      <c r="EFJ61" s="69"/>
      <c r="EFK61" s="69"/>
      <c r="EFL61" s="69"/>
      <c r="EFM61" s="69"/>
      <c r="EFN61" s="69"/>
      <c r="EFO61" s="69"/>
      <c r="EFP61" s="69"/>
      <c r="EFQ61" s="69"/>
      <c r="EFR61" s="69"/>
      <c r="EFS61" s="69"/>
      <c r="EFT61" s="69"/>
      <c r="EFU61" s="69"/>
      <c r="EFV61" s="69"/>
      <c r="EFW61" s="69"/>
      <c r="EFX61" s="69"/>
      <c r="EFY61" s="69"/>
      <c r="EFZ61" s="69"/>
      <c r="EGA61" s="69"/>
      <c r="EGB61" s="69"/>
      <c r="EGC61" s="69"/>
      <c r="EGD61" s="69"/>
      <c r="EGE61" s="69"/>
      <c r="EGF61" s="69"/>
      <c r="EGG61" s="69"/>
      <c r="EGH61" s="69"/>
      <c r="EGI61" s="69"/>
      <c r="EGJ61" s="69"/>
      <c r="EGK61" s="69"/>
      <c r="EGL61" s="69"/>
      <c r="EGM61" s="69"/>
      <c r="EGN61" s="69"/>
      <c r="EGO61" s="69"/>
      <c r="EGP61" s="69"/>
      <c r="EGQ61" s="69"/>
      <c r="EGR61" s="69"/>
      <c r="EGS61" s="69"/>
      <c r="EGT61" s="69"/>
      <c r="EGU61" s="69"/>
      <c r="EGV61" s="69"/>
      <c r="EGW61" s="69"/>
      <c r="EGX61" s="69"/>
      <c r="EGY61" s="69"/>
      <c r="EGZ61" s="69"/>
      <c r="EHA61" s="69"/>
      <c r="EHB61" s="69"/>
      <c r="EHC61" s="69"/>
      <c r="EHD61" s="69"/>
      <c r="EHE61" s="69"/>
      <c r="EHF61" s="69"/>
      <c r="EHG61" s="69"/>
      <c r="EHH61" s="69"/>
      <c r="EHI61" s="69"/>
      <c r="EHJ61" s="69"/>
      <c r="EHK61" s="69"/>
      <c r="EHL61" s="69"/>
      <c r="EHM61" s="69"/>
      <c r="EHN61" s="69"/>
      <c r="EHO61" s="69"/>
      <c r="EHP61" s="69"/>
      <c r="EHQ61" s="69"/>
      <c r="EHR61" s="69"/>
      <c r="EHS61" s="69"/>
      <c r="EHT61" s="69"/>
      <c r="EHU61" s="69"/>
      <c r="EHV61" s="69"/>
      <c r="EHW61" s="69"/>
      <c r="EHX61" s="69"/>
      <c r="EHY61" s="69"/>
      <c r="EHZ61" s="69"/>
      <c r="EIA61" s="69"/>
      <c r="EIB61" s="69"/>
      <c r="EIC61" s="69"/>
      <c r="EID61" s="69"/>
      <c r="EIE61" s="69"/>
      <c r="EIF61" s="69"/>
      <c r="EIG61" s="69"/>
      <c r="EIH61" s="69"/>
      <c r="EII61" s="69"/>
      <c r="EIJ61" s="69"/>
      <c r="EIK61" s="69"/>
      <c r="EIL61" s="69"/>
      <c r="EIM61" s="69"/>
      <c r="EIN61" s="69"/>
      <c r="EIO61" s="69"/>
      <c r="EIP61" s="69"/>
      <c r="EIQ61" s="69"/>
      <c r="EIR61" s="69"/>
      <c r="EIS61" s="69"/>
      <c r="EIT61" s="69"/>
      <c r="EIU61" s="69"/>
      <c r="EIV61" s="69"/>
      <c r="EIW61" s="69"/>
      <c r="EIX61" s="69"/>
      <c r="EIY61" s="69"/>
      <c r="EIZ61" s="69"/>
      <c r="EJA61" s="69"/>
      <c r="EJB61" s="69"/>
      <c r="EJC61" s="69"/>
      <c r="EJD61" s="69"/>
      <c r="EJE61" s="69"/>
      <c r="EJF61" s="69"/>
      <c r="EJG61" s="69"/>
      <c r="EJH61" s="69"/>
      <c r="EJI61" s="69"/>
      <c r="EJJ61" s="69"/>
      <c r="EJK61" s="69"/>
      <c r="EJL61" s="69"/>
      <c r="EJM61" s="69"/>
      <c r="EJN61" s="69"/>
      <c r="EJO61" s="69"/>
      <c r="EJP61" s="69"/>
      <c r="EJQ61" s="69"/>
      <c r="EJR61" s="69"/>
      <c r="EJS61" s="69"/>
      <c r="EJT61" s="69"/>
      <c r="EJU61" s="69"/>
      <c r="EJV61" s="69"/>
      <c r="EJW61" s="69"/>
      <c r="EJX61" s="69"/>
      <c r="EJY61" s="69"/>
      <c r="EJZ61" s="69"/>
      <c r="EKA61" s="69"/>
      <c r="EKB61" s="69"/>
      <c r="EKC61" s="69"/>
      <c r="EKD61" s="69"/>
      <c r="EKE61" s="69"/>
      <c r="EKF61" s="69"/>
      <c r="EKG61" s="69"/>
      <c r="EKH61" s="69"/>
      <c r="EKI61" s="69"/>
      <c r="EKJ61" s="69"/>
      <c r="EKK61" s="69"/>
      <c r="EKL61" s="69"/>
      <c r="EKM61" s="69"/>
      <c r="EKN61" s="69"/>
      <c r="EKO61" s="69"/>
      <c r="EKP61" s="69"/>
      <c r="EKQ61" s="69"/>
      <c r="EKR61" s="69"/>
      <c r="EKS61" s="69"/>
      <c r="EKT61" s="69"/>
      <c r="EKU61" s="69"/>
      <c r="EKV61" s="69"/>
      <c r="EKW61" s="69"/>
      <c r="EKX61" s="69"/>
      <c r="EKY61" s="69"/>
      <c r="EKZ61" s="69"/>
      <c r="ELA61" s="69"/>
      <c r="ELB61" s="69"/>
      <c r="ELC61" s="69"/>
      <c r="ELD61" s="69"/>
      <c r="ELE61" s="69"/>
      <c r="ELF61" s="69"/>
      <c r="ELG61" s="69"/>
      <c r="ELH61" s="69"/>
      <c r="ELI61" s="69"/>
      <c r="ELJ61" s="69"/>
      <c r="ELK61" s="69"/>
      <c r="ELL61" s="69"/>
      <c r="ELM61" s="69"/>
      <c r="ELN61" s="69"/>
      <c r="ELO61" s="69"/>
      <c r="ELP61" s="69"/>
      <c r="ELQ61" s="69"/>
      <c r="ELR61" s="69"/>
      <c r="ELS61" s="69"/>
      <c r="ELT61" s="69"/>
      <c r="ELU61" s="69"/>
      <c r="ELV61" s="69"/>
      <c r="ELW61" s="69"/>
      <c r="ELX61" s="69"/>
      <c r="ELY61" s="69"/>
      <c r="ELZ61" s="69"/>
      <c r="EMA61" s="69"/>
      <c r="EMB61" s="69"/>
      <c r="EMC61" s="69"/>
      <c r="EMD61" s="69"/>
      <c r="EME61" s="69"/>
      <c r="EMF61" s="69"/>
      <c r="EMG61" s="69"/>
      <c r="EMH61" s="69"/>
      <c r="EMI61" s="69"/>
      <c r="EMJ61" s="69"/>
      <c r="EMK61" s="69"/>
      <c r="EML61" s="69"/>
      <c r="EMM61" s="69"/>
      <c r="EMN61" s="69"/>
      <c r="EMO61" s="69"/>
      <c r="EMP61" s="69"/>
      <c r="EMQ61" s="69"/>
      <c r="EMR61" s="69"/>
      <c r="EMS61" s="69"/>
      <c r="EMT61" s="69"/>
      <c r="EMU61" s="69"/>
      <c r="EMV61" s="69"/>
      <c r="EMW61" s="69"/>
      <c r="EMX61" s="69"/>
      <c r="EMY61" s="69"/>
      <c r="EMZ61" s="69"/>
      <c r="ENA61" s="69"/>
      <c r="ENB61" s="69"/>
      <c r="ENC61" s="69"/>
      <c r="END61" s="69"/>
      <c r="ENE61" s="69"/>
      <c r="ENF61" s="69"/>
      <c r="ENG61" s="69"/>
      <c r="ENH61" s="69"/>
      <c r="ENI61" s="69"/>
      <c r="ENJ61" s="69"/>
      <c r="ENK61" s="69"/>
      <c r="ENL61" s="69"/>
      <c r="ENM61" s="69"/>
      <c r="ENN61" s="69"/>
      <c r="ENO61" s="69"/>
      <c r="ENP61" s="69"/>
      <c r="ENQ61" s="69"/>
      <c r="ENR61" s="69"/>
      <c r="ENS61" s="69"/>
      <c r="ENT61" s="69"/>
      <c r="ENU61" s="69"/>
      <c r="ENV61" s="69"/>
      <c r="ENW61" s="69"/>
      <c r="ENX61" s="69"/>
      <c r="ENY61" s="69"/>
      <c r="ENZ61" s="69"/>
      <c r="EOA61" s="69"/>
      <c r="EOB61" s="69"/>
      <c r="EOC61" s="69"/>
      <c r="EOD61" s="69"/>
      <c r="EOE61" s="69"/>
      <c r="EOF61" s="69"/>
      <c r="EOG61" s="69"/>
      <c r="EOH61" s="69"/>
      <c r="EOI61" s="69"/>
      <c r="EOJ61" s="69"/>
      <c r="EOK61" s="69"/>
      <c r="EOL61" s="69"/>
      <c r="EOM61" s="69"/>
      <c r="EON61" s="69"/>
      <c r="EOO61" s="69"/>
      <c r="EOP61" s="69"/>
      <c r="EOQ61" s="69"/>
      <c r="EOR61" s="69"/>
      <c r="EOS61" s="69"/>
      <c r="EOT61" s="69"/>
      <c r="EOU61" s="69"/>
      <c r="EOV61" s="69"/>
      <c r="EOW61" s="69"/>
      <c r="EOX61" s="69"/>
      <c r="EOY61" s="69"/>
      <c r="EOZ61" s="69"/>
      <c r="EPA61" s="69"/>
      <c r="EPB61" s="69"/>
      <c r="EPC61" s="69"/>
      <c r="EPD61" s="69"/>
      <c r="EPE61" s="69"/>
      <c r="EPF61" s="69"/>
      <c r="EPG61" s="69"/>
      <c r="EPH61" s="69"/>
      <c r="EPI61" s="69"/>
      <c r="EPJ61" s="69"/>
      <c r="EPK61" s="69"/>
      <c r="EPL61" s="69"/>
      <c r="EPM61" s="69"/>
      <c r="EPN61" s="69"/>
      <c r="EPO61" s="69"/>
      <c r="EPP61" s="69"/>
      <c r="EPQ61" s="69"/>
      <c r="EPR61" s="69"/>
      <c r="EPS61" s="69"/>
      <c r="EPT61" s="69"/>
      <c r="EPU61" s="69"/>
      <c r="EPV61" s="69"/>
      <c r="EPW61" s="69"/>
      <c r="EPX61" s="69"/>
      <c r="EPY61" s="69"/>
      <c r="EPZ61" s="69"/>
      <c r="EQA61" s="69"/>
      <c r="EQB61" s="69"/>
      <c r="EQC61" s="69"/>
      <c r="EQD61" s="69"/>
      <c r="EQE61" s="69"/>
      <c r="EQF61" s="69"/>
      <c r="EQG61" s="69"/>
      <c r="EQH61" s="69"/>
      <c r="EQI61" s="69"/>
      <c r="EQJ61" s="69"/>
      <c r="EQK61" s="69"/>
      <c r="EQL61" s="69"/>
      <c r="EQM61" s="69"/>
      <c r="EQN61" s="69"/>
      <c r="EQO61" s="69"/>
      <c r="EQP61" s="69"/>
      <c r="EQQ61" s="69"/>
      <c r="EQR61" s="69"/>
      <c r="EQS61" s="69"/>
      <c r="EQT61" s="69"/>
      <c r="EQU61" s="69"/>
      <c r="EQV61" s="69"/>
      <c r="EQW61" s="69"/>
      <c r="EQX61" s="69"/>
      <c r="EQY61" s="69"/>
      <c r="EQZ61" s="69"/>
      <c r="ERA61" s="69"/>
      <c r="ERB61" s="69"/>
      <c r="ERC61" s="69"/>
      <c r="ERD61" s="69"/>
      <c r="ERE61" s="69"/>
      <c r="ERF61" s="69"/>
      <c r="ERG61" s="69"/>
      <c r="ERH61" s="69"/>
      <c r="ERI61" s="69"/>
      <c r="ERJ61" s="69"/>
      <c r="ERK61" s="69"/>
      <c r="ERL61" s="69"/>
      <c r="ERM61" s="69"/>
      <c r="ERN61" s="69"/>
      <c r="ERO61" s="69"/>
      <c r="ERP61" s="69"/>
      <c r="ERQ61" s="69"/>
      <c r="ERR61" s="69"/>
      <c r="ERS61" s="69"/>
      <c r="ERT61" s="69"/>
      <c r="ERU61" s="69"/>
      <c r="ERV61" s="69"/>
      <c r="ERW61" s="69"/>
      <c r="ERX61" s="69"/>
      <c r="ERY61" s="69"/>
      <c r="ERZ61" s="69"/>
      <c r="ESA61" s="69"/>
      <c r="ESB61" s="69"/>
      <c r="ESC61" s="69"/>
      <c r="ESD61" s="69"/>
      <c r="ESE61" s="69"/>
      <c r="ESF61" s="69"/>
      <c r="ESG61" s="69"/>
      <c r="ESH61" s="69"/>
      <c r="ESI61" s="69"/>
      <c r="ESJ61" s="69"/>
      <c r="ESK61" s="69"/>
      <c r="ESL61" s="69"/>
      <c r="ESM61" s="69"/>
      <c r="ESN61" s="69"/>
      <c r="ESO61" s="69"/>
      <c r="ESP61" s="69"/>
      <c r="ESQ61" s="69"/>
      <c r="ESR61" s="69"/>
      <c r="ESS61" s="69"/>
      <c r="EST61" s="69"/>
      <c r="ESU61" s="69"/>
      <c r="ESV61" s="69"/>
      <c r="ESW61" s="69"/>
      <c r="ESX61" s="69"/>
      <c r="ESY61" s="69"/>
      <c r="ESZ61" s="69"/>
      <c r="ETA61" s="69"/>
      <c r="ETB61" s="69"/>
      <c r="ETC61" s="69"/>
      <c r="ETD61" s="69"/>
      <c r="ETE61" s="69"/>
      <c r="ETF61" s="69"/>
      <c r="ETG61" s="69"/>
      <c r="ETH61" s="69"/>
      <c r="ETI61" s="69"/>
      <c r="ETJ61" s="69"/>
      <c r="ETK61" s="69"/>
      <c r="ETL61" s="69"/>
      <c r="ETM61" s="69"/>
      <c r="ETN61" s="69"/>
      <c r="ETO61" s="69"/>
      <c r="ETP61" s="69"/>
      <c r="ETQ61" s="69"/>
      <c r="ETR61" s="69"/>
      <c r="ETS61" s="69"/>
      <c r="ETT61" s="69"/>
      <c r="ETU61" s="69"/>
      <c r="ETV61" s="69"/>
      <c r="ETW61" s="69"/>
      <c r="ETX61" s="69"/>
      <c r="ETY61" s="69"/>
      <c r="ETZ61" s="69"/>
      <c r="EUA61" s="69"/>
      <c r="EUB61" s="69"/>
      <c r="EUC61" s="69"/>
      <c r="EUD61" s="69"/>
      <c r="EUE61" s="69"/>
      <c r="EUF61" s="69"/>
      <c r="EUG61" s="69"/>
      <c r="EUH61" s="69"/>
      <c r="EUI61" s="69"/>
      <c r="EUJ61" s="69"/>
      <c r="EUK61" s="69"/>
      <c r="EUL61" s="69"/>
      <c r="EUM61" s="69"/>
      <c r="EUN61" s="69"/>
      <c r="EUO61" s="69"/>
      <c r="EUP61" s="69"/>
      <c r="EUQ61" s="69"/>
      <c r="EUR61" s="69"/>
      <c r="EUS61" s="69"/>
      <c r="EUT61" s="69"/>
      <c r="EUU61" s="69"/>
      <c r="EUV61" s="69"/>
      <c r="EUW61" s="69"/>
      <c r="EUX61" s="69"/>
      <c r="EUY61" s="69"/>
      <c r="EUZ61" s="69"/>
      <c r="EVA61" s="69"/>
      <c r="EVB61" s="69"/>
      <c r="EVC61" s="69"/>
      <c r="EVD61" s="69"/>
      <c r="EVE61" s="69"/>
      <c r="EVF61" s="69"/>
      <c r="EVG61" s="69"/>
      <c r="EVH61" s="69"/>
      <c r="EVI61" s="69"/>
      <c r="EVJ61" s="69"/>
      <c r="EVK61" s="69"/>
      <c r="EVL61" s="69"/>
      <c r="EVM61" s="69"/>
      <c r="EVN61" s="69"/>
      <c r="EVO61" s="69"/>
      <c r="EVP61" s="69"/>
      <c r="EVQ61" s="69"/>
      <c r="EVR61" s="69"/>
      <c r="EVS61" s="69"/>
      <c r="EVT61" s="69"/>
      <c r="EVU61" s="69"/>
      <c r="EVV61" s="69"/>
      <c r="EVW61" s="69"/>
      <c r="EVX61" s="69"/>
      <c r="EVY61" s="69"/>
      <c r="EVZ61" s="69"/>
      <c r="EWA61" s="69"/>
      <c r="EWB61" s="69"/>
      <c r="EWC61" s="69"/>
      <c r="EWD61" s="69"/>
      <c r="EWE61" s="69"/>
      <c r="EWF61" s="69"/>
      <c r="EWG61" s="69"/>
      <c r="EWH61" s="69"/>
      <c r="EWI61" s="69"/>
      <c r="EWJ61" s="69"/>
      <c r="EWK61" s="69"/>
      <c r="EWL61" s="69"/>
      <c r="EWM61" s="69"/>
      <c r="EWN61" s="69"/>
      <c r="EWO61" s="69"/>
      <c r="EWP61" s="69"/>
      <c r="EWQ61" s="69"/>
      <c r="EWR61" s="69"/>
      <c r="EWS61" s="69"/>
      <c r="EWT61" s="69"/>
      <c r="EWU61" s="69"/>
      <c r="EWV61" s="69"/>
      <c r="EWW61" s="69"/>
      <c r="EWX61" s="69"/>
      <c r="EWY61" s="69"/>
      <c r="EWZ61" s="69"/>
      <c r="EXA61" s="69"/>
      <c r="EXB61" s="69"/>
      <c r="EXC61" s="69"/>
      <c r="EXD61" s="69"/>
      <c r="EXE61" s="69"/>
      <c r="EXF61" s="69"/>
      <c r="EXG61" s="69"/>
      <c r="EXH61" s="69"/>
      <c r="EXI61" s="69"/>
      <c r="EXJ61" s="69"/>
      <c r="EXK61" s="69"/>
      <c r="EXL61" s="69"/>
      <c r="EXM61" s="69"/>
      <c r="EXN61" s="69"/>
      <c r="EXO61" s="69"/>
      <c r="EXP61" s="69"/>
      <c r="EXQ61" s="69"/>
      <c r="EXR61" s="69"/>
      <c r="EXS61" s="69"/>
      <c r="EXT61" s="69"/>
      <c r="EXU61" s="69"/>
      <c r="EXV61" s="69"/>
      <c r="EXW61" s="69"/>
      <c r="EXX61" s="69"/>
      <c r="EXY61" s="69"/>
      <c r="EXZ61" s="69"/>
      <c r="EYA61" s="69"/>
      <c r="EYB61" s="69"/>
      <c r="EYC61" s="69"/>
      <c r="EYD61" s="69"/>
      <c r="EYE61" s="69"/>
      <c r="EYF61" s="69"/>
      <c r="EYG61" s="69"/>
      <c r="EYH61" s="69"/>
      <c r="EYI61" s="69"/>
      <c r="EYJ61" s="69"/>
      <c r="EYK61" s="69"/>
      <c r="EYL61" s="69"/>
      <c r="EYM61" s="69"/>
      <c r="EYN61" s="69"/>
      <c r="EYO61" s="69"/>
      <c r="EYP61" s="69"/>
      <c r="EYQ61" s="69"/>
      <c r="EYR61" s="69"/>
      <c r="EYS61" s="69"/>
      <c r="EYT61" s="69"/>
      <c r="EYU61" s="69"/>
      <c r="EYV61" s="69"/>
      <c r="EYW61" s="69"/>
      <c r="EYX61" s="69"/>
      <c r="EYY61" s="69"/>
      <c r="EYZ61" s="69"/>
      <c r="EZA61" s="69"/>
      <c r="EZB61" s="69"/>
      <c r="EZC61" s="69"/>
      <c r="EZD61" s="69"/>
      <c r="EZE61" s="69"/>
      <c r="EZF61" s="69"/>
      <c r="EZG61" s="69"/>
      <c r="EZH61" s="69"/>
      <c r="EZI61" s="69"/>
      <c r="EZJ61" s="69"/>
      <c r="EZK61" s="69"/>
      <c r="EZL61" s="69"/>
      <c r="EZM61" s="69"/>
      <c r="EZN61" s="69"/>
      <c r="EZO61" s="69"/>
      <c r="EZP61" s="69"/>
      <c r="EZQ61" s="69"/>
      <c r="EZR61" s="69"/>
      <c r="EZS61" s="69"/>
      <c r="EZT61" s="69"/>
      <c r="EZU61" s="69"/>
      <c r="EZV61" s="69"/>
      <c r="EZW61" s="69"/>
      <c r="EZX61" s="69"/>
      <c r="EZY61" s="69"/>
      <c r="EZZ61" s="69"/>
      <c r="FAA61" s="69"/>
      <c r="FAB61" s="69"/>
      <c r="FAC61" s="69"/>
      <c r="FAD61" s="69"/>
      <c r="FAE61" s="69"/>
      <c r="FAF61" s="69"/>
      <c r="FAG61" s="69"/>
      <c r="FAH61" s="69"/>
      <c r="FAI61" s="69"/>
      <c r="FAJ61" s="69"/>
      <c r="FAK61" s="69"/>
      <c r="FAL61" s="69"/>
      <c r="FAM61" s="69"/>
      <c r="FAN61" s="69"/>
      <c r="FAO61" s="69"/>
      <c r="FAP61" s="69"/>
      <c r="FAQ61" s="69"/>
      <c r="FAR61" s="69"/>
      <c r="FAS61" s="69"/>
      <c r="FAT61" s="69"/>
      <c r="FAU61" s="69"/>
      <c r="FAV61" s="69"/>
      <c r="FAW61" s="69"/>
      <c r="FAX61" s="69"/>
      <c r="FAY61" s="69"/>
      <c r="FAZ61" s="69"/>
      <c r="FBA61" s="69"/>
      <c r="FBB61" s="69"/>
      <c r="FBC61" s="69"/>
      <c r="FBD61" s="69"/>
      <c r="FBE61" s="69"/>
      <c r="FBF61" s="69"/>
      <c r="FBG61" s="69"/>
      <c r="FBH61" s="69"/>
      <c r="FBI61" s="69"/>
      <c r="FBJ61" s="69"/>
      <c r="FBK61" s="69"/>
      <c r="FBL61" s="69"/>
      <c r="FBM61" s="69"/>
      <c r="FBN61" s="69"/>
      <c r="FBO61" s="69"/>
      <c r="FBP61" s="69"/>
      <c r="FBQ61" s="69"/>
      <c r="FBR61" s="69"/>
      <c r="FBS61" s="69"/>
      <c r="FBT61" s="69"/>
      <c r="FBU61" s="69"/>
      <c r="FBV61" s="69"/>
      <c r="FBW61" s="69"/>
      <c r="FBX61" s="69"/>
      <c r="FBY61" s="69"/>
      <c r="FBZ61" s="69"/>
      <c r="FCA61" s="69"/>
      <c r="FCB61" s="69"/>
      <c r="FCC61" s="69"/>
      <c r="FCD61" s="69"/>
      <c r="FCE61" s="69"/>
      <c r="FCF61" s="69"/>
      <c r="FCG61" s="69"/>
      <c r="FCH61" s="69"/>
      <c r="FCI61" s="69"/>
      <c r="FCJ61" s="69"/>
      <c r="FCK61" s="69"/>
      <c r="FCL61" s="69"/>
      <c r="FCM61" s="69"/>
      <c r="FCN61" s="69"/>
      <c r="FCO61" s="69"/>
      <c r="FCP61" s="69"/>
      <c r="FCQ61" s="69"/>
      <c r="FCR61" s="69"/>
      <c r="FCS61" s="69"/>
      <c r="FCT61" s="69"/>
      <c r="FCU61" s="69"/>
      <c r="FCV61" s="69"/>
      <c r="FCW61" s="69"/>
      <c r="FCX61" s="69"/>
      <c r="FCY61" s="69"/>
      <c r="FCZ61" s="69"/>
      <c r="FDA61" s="69"/>
      <c r="FDB61" s="69"/>
      <c r="FDC61" s="69"/>
      <c r="FDD61" s="69"/>
      <c r="FDE61" s="69"/>
      <c r="FDF61" s="69"/>
      <c r="FDG61" s="69"/>
      <c r="FDH61" s="69"/>
      <c r="FDI61" s="69"/>
      <c r="FDJ61" s="69"/>
      <c r="FDK61" s="69"/>
      <c r="FDL61" s="69"/>
      <c r="FDM61" s="69"/>
      <c r="FDN61" s="69"/>
      <c r="FDO61" s="69"/>
      <c r="FDP61" s="69"/>
      <c r="FDQ61" s="69"/>
      <c r="FDR61" s="69"/>
      <c r="FDS61" s="69"/>
      <c r="FDT61" s="69"/>
      <c r="FDU61" s="69"/>
      <c r="FDV61" s="69"/>
      <c r="FDW61" s="69"/>
      <c r="FDX61" s="69"/>
      <c r="FDY61" s="69"/>
      <c r="FDZ61" s="69"/>
      <c r="FEA61" s="69"/>
      <c r="FEB61" s="69"/>
      <c r="FEC61" s="69"/>
      <c r="FED61" s="69"/>
      <c r="FEE61" s="69"/>
      <c r="FEF61" s="69"/>
      <c r="FEG61" s="69"/>
      <c r="FEH61" s="69"/>
      <c r="FEI61" s="69"/>
      <c r="FEJ61" s="69"/>
      <c r="FEK61" s="69"/>
      <c r="FEL61" s="69"/>
      <c r="FEM61" s="69"/>
      <c r="FEN61" s="69"/>
      <c r="FEO61" s="69"/>
      <c r="FEP61" s="69"/>
      <c r="FEQ61" s="69"/>
      <c r="FER61" s="69"/>
      <c r="FES61" s="69"/>
      <c r="FET61" s="69"/>
      <c r="FEU61" s="69"/>
      <c r="FEV61" s="69"/>
      <c r="FEW61" s="69"/>
      <c r="FEX61" s="69"/>
      <c r="FEY61" s="69"/>
      <c r="FEZ61" s="69"/>
      <c r="FFA61" s="69"/>
      <c r="FFB61" s="69"/>
      <c r="FFC61" s="69"/>
      <c r="FFD61" s="69"/>
      <c r="FFE61" s="69"/>
      <c r="FFF61" s="69"/>
      <c r="FFG61" s="69"/>
      <c r="FFH61" s="69"/>
      <c r="FFI61" s="69"/>
      <c r="FFJ61" s="69"/>
      <c r="FFK61" s="69"/>
      <c r="FFL61" s="69"/>
      <c r="FFM61" s="69"/>
      <c r="FFN61" s="69"/>
      <c r="FFO61" s="69"/>
      <c r="FFP61" s="69"/>
      <c r="FFQ61" s="69"/>
      <c r="FFR61" s="69"/>
      <c r="FFS61" s="69"/>
      <c r="FFT61" s="69"/>
      <c r="FFU61" s="69"/>
      <c r="FFV61" s="69"/>
      <c r="FFW61" s="69"/>
      <c r="FFX61" s="69"/>
      <c r="FFY61" s="69"/>
      <c r="FFZ61" s="69"/>
      <c r="FGA61" s="69"/>
      <c r="FGB61" s="69"/>
      <c r="FGC61" s="69"/>
      <c r="FGD61" s="69"/>
      <c r="FGE61" s="69"/>
      <c r="FGF61" s="69"/>
      <c r="FGG61" s="69"/>
      <c r="FGH61" s="69"/>
      <c r="FGI61" s="69"/>
      <c r="FGJ61" s="69"/>
      <c r="FGK61" s="69"/>
      <c r="FGL61" s="69"/>
      <c r="FGM61" s="69"/>
      <c r="FGN61" s="69"/>
      <c r="FGO61" s="69"/>
      <c r="FGP61" s="69"/>
      <c r="FGQ61" s="69"/>
      <c r="FGR61" s="69"/>
      <c r="FGS61" s="69"/>
      <c r="FGT61" s="69"/>
      <c r="FGU61" s="69"/>
      <c r="FGV61" s="69"/>
      <c r="FGW61" s="69"/>
      <c r="FGX61" s="69"/>
      <c r="FGY61" s="69"/>
      <c r="FGZ61" s="69"/>
      <c r="FHA61" s="69"/>
      <c r="FHB61" s="69"/>
      <c r="FHC61" s="69"/>
      <c r="FHD61" s="69"/>
      <c r="FHE61" s="69"/>
      <c r="FHF61" s="69"/>
      <c r="FHG61" s="69"/>
      <c r="FHH61" s="69"/>
      <c r="FHI61" s="69"/>
      <c r="FHJ61" s="69"/>
      <c r="FHK61" s="69"/>
      <c r="FHL61" s="69"/>
      <c r="FHM61" s="69"/>
      <c r="FHN61" s="69"/>
      <c r="FHO61" s="69"/>
      <c r="FHP61" s="69"/>
      <c r="FHQ61" s="69"/>
      <c r="FHR61" s="69"/>
      <c r="FHS61" s="69"/>
      <c r="FHT61" s="69"/>
      <c r="FHU61" s="69"/>
      <c r="FHV61" s="69"/>
      <c r="FHW61" s="69"/>
      <c r="FHX61" s="69"/>
      <c r="FHY61" s="69"/>
      <c r="FHZ61" s="69"/>
      <c r="FIA61" s="69"/>
      <c r="FIB61" s="69"/>
      <c r="FIC61" s="69"/>
      <c r="FID61" s="69"/>
      <c r="FIE61" s="69"/>
      <c r="FIF61" s="69"/>
      <c r="FIG61" s="69"/>
      <c r="FIH61" s="69"/>
      <c r="FII61" s="69"/>
      <c r="FIJ61" s="69"/>
      <c r="FIK61" s="69"/>
      <c r="FIL61" s="69"/>
      <c r="FIM61" s="69"/>
      <c r="FIN61" s="69"/>
      <c r="FIO61" s="69"/>
      <c r="FIP61" s="69"/>
      <c r="FIQ61" s="69"/>
      <c r="FIR61" s="69"/>
      <c r="FIS61" s="69"/>
      <c r="FIT61" s="69"/>
      <c r="FIU61" s="69"/>
      <c r="FIV61" s="69"/>
      <c r="FIW61" s="69"/>
      <c r="FIX61" s="69"/>
      <c r="FIY61" s="69"/>
      <c r="FIZ61" s="69"/>
      <c r="FJA61" s="69"/>
      <c r="FJB61" s="69"/>
      <c r="FJC61" s="69"/>
      <c r="FJD61" s="69"/>
      <c r="FJE61" s="69"/>
      <c r="FJF61" s="69"/>
      <c r="FJG61" s="69"/>
      <c r="FJH61" s="69"/>
      <c r="FJI61" s="69"/>
      <c r="FJJ61" s="69"/>
      <c r="FJK61" s="69"/>
      <c r="FJL61" s="69"/>
      <c r="FJM61" s="69"/>
      <c r="FJN61" s="69"/>
      <c r="FJO61" s="69"/>
      <c r="FJP61" s="69"/>
      <c r="FJQ61" s="69"/>
      <c r="FJR61" s="69"/>
      <c r="FJS61" s="69"/>
      <c r="FJT61" s="69"/>
      <c r="FJU61" s="69"/>
      <c r="FJV61" s="69"/>
      <c r="FJW61" s="69"/>
      <c r="FJX61" s="69"/>
      <c r="FJY61" s="69"/>
      <c r="FJZ61" s="69"/>
      <c r="FKA61" s="69"/>
      <c r="FKB61" s="69"/>
      <c r="FKC61" s="69"/>
      <c r="FKD61" s="69"/>
      <c r="FKE61" s="69"/>
      <c r="FKF61" s="69"/>
      <c r="FKG61" s="69"/>
      <c r="FKH61" s="69"/>
      <c r="FKI61" s="69"/>
      <c r="FKJ61" s="69"/>
      <c r="FKK61" s="69"/>
      <c r="FKL61" s="69"/>
      <c r="FKM61" s="69"/>
      <c r="FKN61" s="69"/>
      <c r="FKO61" s="69"/>
      <c r="FKP61" s="69"/>
      <c r="FKQ61" s="69"/>
      <c r="FKR61" s="69"/>
      <c r="FKS61" s="69"/>
      <c r="FKT61" s="69"/>
      <c r="FKU61" s="69"/>
      <c r="FKV61" s="69"/>
      <c r="FKW61" s="69"/>
      <c r="FKX61" s="69"/>
      <c r="FKY61" s="69"/>
      <c r="FKZ61" s="69"/>
      <c r="FLA61" s="69"/>
      <c r="FLB61" s="69"/>
      <c r="FLC61" s="69"/>
      <c r="FLD61" s="69"/>
      <c r="FLE61" s="69"/>
      <c r="FLF61" s="69"/>
      <c r="FLG61" s="69"/>
      <c r="FLH61" s="69"/>
      <c r="FLI61" s="69"/>
      <c r="FLJ61" s="69"/>
      <c r="FLK61" s="69"/>
      <c r="FLL61" s="69"/>
      <c r="FLM61" s="69"/>
      <c r="FLN61" s="69"/>
      <c r="FLO61" s="69"/>
      <c r="FLP61" s="69"/>
      <c r="FLQ61" s="69"/>
      <c r="FLR61" s="69"/>
      <c r="FLS61" s="69"/>
      <c r="FLT61" s="69"/>
      <c r="FLU61" s="69"/>
      <c r="FLV61" s="69"/>
      <c r="FLW61" s="69"/>
      <c r="FLX61" s="69"/>
      <c r="FLY61" s="69"/>
      <c r="FLZ61" s="69"/>
      <c r="FMA61" s="69"/>
      <c r="FMB61" s="69"/>
      <c r="FMC61" s="69"/>
      <c r="FMD61" s="69"/>
      <c r="FME61" s="69"/>
      <c r="FMF61" s="69"/>
      <c r="FMG61" s="69"/>
      <c r="FMH61" s="69"/>
      <c r="FMI61" s="69"/>
      <c r="FMJ61" s="69"/>
      <c r="FMK61" s="69"/>
      <c r="FML61" s="69"/>
      <c r="FMM61" s="69"/>
      <c r="FMN61" s="69"/>
      <c r="FMO61" s="69"/>
      <c r="FMP61" s="69"/>
      <c r="FMQ61" s="69"/>
      <c r="FMR61" s="69"/>
      <c r="FMS61" s="69"/>
      <c r="FMT61" s="69"/>
      <c r="FMU61" s="69"/>
      <c r="FMV61" s="69"/>
      <c r="FMW61" s="69"/>
      <c r="FMX61" s="69"/>
      <c r="FMY61" s="69"/>
      <c r="FMZ61" s="69"/>
      <c r="FNA61" s="69"/>
      <c r="FNB61" s="69"/>
      <c r="FNC61" s="69"/>
      <c r="FND61" s="69"/>
      <c r="FNE61" s="69"/>
      <c r="FNF61" s="69"/>
      <c r="FNG61" s="69"/>
      <c r="FNH61" s="69"/>
      <c r="FNI61" s="69"/>
      <c r="FNJ61" s="69"/>
      <c r="FNK61" s="69"/>
      <c r="FNL61" s="69"/>
      <c r="FNM61" s="69"/>
      <c r="FNN61" s="69"/>
      <c r="FNO61" s="69"/>
      <c r="FNP61" s="69"/>
      <c r="FNQ61" s="69"/>
      <c r="FNR61" s="69"/>
      <c r="FNS61" s="69"/>
      <c r="FNT61" s="69"/>
      <c r="FNU61" s="69"/>
      <c r="FNV61" s="69"/>
      <c r="FNW61" s="69"/>
      <c r="FNX61" s="69"/>
      <c r="FNY61" s="69"/>
      <c r="FNZ61" s="69"/>
      <c r="FOA61" s="69"/>
      <c r="FOB61" s="69"/>
      <c r="FOC61" s="69"/>
      <c r="FOD61" s="69"/>
      <c r="FOE61" s="69"/>
      <c r="FOF61" s="69"/>
      <c r="FOG61" s="69"/>
      <c r="FOH61" s="69"/>
      <c r="FOI61" s="69"/>
      <c r="FOJ61" s="69"/>
      <c r="FOK61" s="69"/>
      <c r="FOL61" s="69"/>
      <c r="FOM61" s="69"/>
      <c r="FON61" s="69"/>
      <c r="FOO61" s="69"/>
      <c r="FOP61" s="69"/>
      <c r="FOQ61" s="69"/>
      <c r="FOR61" s="69"/>
      <c r="FOS61" s="69"/>
      <c r="FOT61" s="69"/>
      <c r="FOU61" s="69"/>
      <c r="FOV61" s="69"/>
      <c r="FOW61" s="69"/>
      <c r="FOX61" s="69"/>
      <c r="FOY61" s="69"/>
      <c r="FOZ61" s="69"/>
      <c r="FPA61" s="69"/>
      <c r="FPB61" s="69"/>
      <c r="FPC61" s="69"/>
      <c r="FPD61" s="69"/>
      <c r="FPE61" s="69"/>
      <c r="FPF61" s="69"/>
      <c r="FPG61" s="69"/>
      <c r="FPH61" s="69"/>
      <c r="FPI61" s="69"/>
      <c r="FPJ61" s="69"/>
      <c r="FPK61" s="69"/>
      <c r="FPL61" s="69"/>
      <c r="FPM61" s="69"/>
      <c r="FPN61" s="69"/>
      <c r="FPO61" s="69"/>
      <c r="FPP61" s="69"/>
      <c r="FPQ61" s="69"/>
      <c r="FPR61" s="69"/>
      <c r="FPS61" s="69"/>
      <c r="FPT61" s="69"/>
      <c r="FPU61" s="69"/>
      <c r="FPV61" s="69"/>
      <c r="FPW61" s="69"/>
      <c r="FPX61" s="69"/>
      <c r="FPY61" s="69"/>
      <c r="FPZ61" s="69"/>
      <c r="FQA61" s="69"/>
      <c r="FQB61" s="69"/>
      <c r="FQC61" s="69"/>
      <c r="FQD61" s="69"/>
      <c r="FQE61" s="69"/>
      <c r="FQF61" s="69"/>
      <c r="FQG61" s="69"/>
      <c r="FQH61" s="69"/>
      <c r="FQI61" s="69"/>
      <c r="FQJ61" s="69"/>
      <c r="FQK61" s="69"/>
      <c r="FQL61" s="69"/>
      <c r="FQM61" s="69"/>
      <c r="FQN61" s="69"/>
      <c r="FQO61" s="69"/>
      <c r="FQP61" s="69"/>
      <c r="FQQ61" s="69"/>
      <c r="FQR61" s="69"/>
      <c r="FQS61" s="69"/>
      <c r="FQT61" s="69"/>
      <c r="FQU61" s="69"/>
      <c r="FQV61" s="69"/>
      <c r="FQW61" s="69"/>
      <c r="FQX61" s="69"/>
      <c r="FQY61" s="69"/>
      <c r="FQZ61" s="69"/>
      <c r="FRA61" s="69"/>
      <c r="FRB61" s="69"/>
      <c r="FRC61" s="69"/>
      <c r="FRD61" s="69"/>
      <c r="FRE61" s="69"/>
      <c r="FRF61" s="69"/>
      <c r="FRG61" s="69"/>
      <c r="FRH61" s="69"/>
      <c r="FRI61" s="69"/>
      <c r="FRJ61" s="69"/>
      <c r="FRK61" s="69"/>
      <c r="FRL61" s="69"/>
      <c r="FRM61" s="69"/>
      <c r="FRN61" s="69"/>
      <c r="FRO61" s="69"/>
      <c r="FRP61" s="69"/>
      <c r="FRQ61" s="69"/>
      <c r="FRR61" s="69"/>
      <c r="FRS61" s="69"/>
      <c r="FRT61" s="69"/>
      <c r="FRU61" s="69"/>
      <c r="FRV61" s="69"/>
      <c r="FRW61" s="69"/>
      <c r="FRX61" s="69"/>
      <c r="FRY61" s="69"/>
      <c r="FRZ61" s="69"/>
      <c r="FSA61" s="69"/>
      <c r="FSB61" s="69"/>
      <c r="FSC61" s="69"/>
      <c r="FSD61" s="69"/>
      <c r="FSE61" s="69"/>
      <c r="FSF61" s="69"/>
      <c r="FSG61" s="69"/>
      <c r="FSH61" s="69"/>
      <c r="FSI61" s="69"/>
      <c r="FSJ61" s="69"/>
      <c r="FSK61" s="69"/>
      <c r="FSL61" s="69"/>
      <c r="FSM61" s="69"/>
      <c r="FSN61" s="69"/>
      <c r="FSO61" s="69"/>
      <c r="FSP61" s="69"/>
      <c r="FSQ61" s="69"/>
      <c r="FSR61" s="69"/>
      <c r="FSS61" s="69"/>
      <c r="FST61" s="69"/>
      <c r="FSU61" s="69"/>
      <c r="FSV61" s="69"/>
      <c r="FSW61" s="69"/>
      <c r="FSX61" s="69"/>
      <c r="FSY61" s="69"/>
      <c r="FSZ61" s="69"/>
      <c r="FTA61" s="69"/>
      <c r="FTB61" s="69"/>
      <c r="FTC61" s="69"/>
      <c r="FTD61" s="69"/>
      <c r="FTE61" s="69"/>
      <c r="FTF61" s="69"/>
      <c r="FTG61" s="69"/>
      <c r="FTH61" s="69"/>
      <c r="FTI61" s="69"/>
      <c r="FTJ61" s="69"/>
      <c r="FTK61" s="69"/>
      <c r="FTL61" s="69"/>
      <c r="FTM61" s="69"/>
      <c r="FTN61" s="69"/>
      <c r="FTO61" s="69"/>
      <c r="FTP61" s="69"/>
      <c r="FTQ61" s="69"/>
      <c r="FTR61" s="69"/>
      <c r="FTS61" s="69"/>
      <c r="FTT61" s="69"/>
      <c r="FTU61" s="69"/>
      <c r="FTV61" s="69"/>
      <c r="FTW61" s="69"/>
      <c r="FTX61" s="69"/>
      <c r="FTY61" s="69"/>
      <c r="FTZ61" s="69"/>
      <c r="FUA61" s="69"/>
      <c r="FUB61" s="69"/>
      <c r="FUC61" s="69"/>
      <c r="FUD61" s="69"/>
      <c r="FUE61" s="69"/>
      <c r="FUF61" s="69"/>
      <c r="FUG61" s="69"/>
      <c r="FUH61" s="69"/>
      <c r="FUI61" s="69"/>
      <c r="FUJ61" s="69"/>
      <c r="FUK61" s="69"/>
      <c r="FUL61" s="69"/>
      <c r="FUM61" s="69"/>
      <c r="FUN61" s="69"/>
      <c r="FUO61" s="69"/>
      <c r="FUP61" s="69"/>
      <c r="FUQ61" s="69"/>
      <c r="FUR61" s="69"/>
      <c r="FUS61" s="69"/>
      <c r="FUT61" s="69"/>
      <c r="FUU61" s="69"/>
      <c r="FUV61" s="69"/>
      <c r="FUW61" s="69"/>
      <c r="FUX61" s="69"/>
      <c r="FUY61" s="69"/>
      <c r="FUZ61" s="69"/>
      <c r="FVA61" s="69"/>
      <c r="FVB61" s="69"/>
      <c r="FVC61" s="69"/>
      <c r="FVD61" s="69"/>
      <c r="FVE61" s="69"/>
      <c r="FVF61" s="69"/>
      <c r="FVG61" s="69"/>
      <c r="FVH61" s="69"/>
      <c r="FVI61" s="69"/>
      <c r="FVJ61" s="69"/>
      <c r="FVK61" s="69"/>
      <c r="FVL61" s="69"/>
      <c r="FVM61" s="69"/>
      <c r="FVN61" s="69"/>
      <c r="FVO61" s="69"/>
      <c r="FVP61" s="69"/>
      <c r="FVQ61" s="69"/>
      <c r="FVR61" s="69"/>
      <c r="FVS61" s="69"/>
      <c r="FVT61" s="69"/>
      <c r="FVU61" s="69"/>
      <c r="FVV61" s="69"/>
      <c r="FVW61" s="69"/>
      <c r="FVX61" s="69"/>
      <c r="FVY61" s="69"/>
      <c r="FVZ61" s="69"/>
      <c r="FWA61" s="69"/>
      <c r="FWB61" s="69"/>
      <c r="FWC61" s="69"/>
      <c r="FWD61" s="69"/>
      <c r="FWE61" s="69"/>
      <c r="FWF61" s="69"/>
      <c r="FWG61" s="69"/>
      <c r="FWH61" s="69"/>
      <c r="FWI61" s="69"/>
      <c r="FWJ61" s="69"/>
      <c r="FWK61" s="69"/>
      <c r="FWL61" s="69"/>
      <c r="FWM61" s="69"/>
      <c r="FWN61" s="69"/>
      <c r="FWO61" s="69"/>
      <c r="FWP61" s="69"/>
      <c r="FWQ61" s="69"/>
      <c r="FWR61" s="69"/>
      <c r="FWS61" s="69"/>
      <c r="FWT61" s="69"/>
      <c r="FWU61" s="69"/>
      <c r="FWV61" s="69"/>
      <c r="FWW61" s="69"/>
      <c r="FWX61" s="69"/>
      <c r="FWY61" s="69"/>
      <c r="FWZ61" s="69"/>
      <c r="FXA61" s="69"/>
      <c r="FXB61" s="69"/>
      <c r="FXC61" s="69"/>
      <c r="FXD61" s="69"/>
      <c r="FXE61" s="69"/>
      <c r="FXF61" s="69"/>
      <c r="FXG61" s="69"/>
      <c r="FXH61" s="69"/>
      <c r="FXI61" s="69"/>
      <c r="FXJ61" s="69"/>
      <c r="FXK61" s="69"/>
      <c r="FXL61" s="69"/>
      <c r="FXM61" s="69"/>
      <c r="FXN61" s="69"/>
      <c r="FXO61" s="69"/>
      <c r="FXP61" s="69"/>
      <c r="FXQ61" s="69"/>
      <c r="FXR61" s="69"/>
      <c r="FXS61" s="69"/>
      <c r="FXT61" s="69"/>
      <c r="FXU61" s="69"/>
      <c r="FXV61" s="69"/>
      <c r="FXW61" s="69"/>
      <c r="FXX61" s="69"/>
      <c r="FXY61" s="69"/>
      <c r="FXZ61" s="69"/>
      <c r="FYA61" s="69"/>
      <c r="FYB61" s="69"/>
      <c r="FYC61" s="69"/>
      <c r="FYD61" s="69"/>
      <c r="FYE61" s="69"/>
      <c r="FYF61" s="69"/>
      <c r="FYG61" s="69"/>
      <c r="FYH61" s="69"/>
      <c r="FYI61" s="69"/>
      <c r="FYJ61" s="69"/>
      <c r="FYK61" s="69"/>
      <c r="FYL61" s="69"/>
      <c r="FYM61" s="69"/>
      <c r="FYN61" s="69"/>
      <c r="FYO61" s="69"/>
      <c r="FYP61" s="69"/>
      <c r="FYQ61" s="69"/>
      <c r="FYR61" s="69"/>
      <c r="FYS61" s="69"/>
      <c r="FYT61" s="69"/>
      <c r="FYU61" s="69"/>
      <c r="FYV61" s="69"/>
      <c r="FYW61" s="69"/>
      <c r="FYX61" s="69"/>
      <c r="FYY61" s="69"/>
      <c r="FYZ61" s="69"/>
      <c r="FZA61" s="69"/>
      <c r="FZB61" s="69"/>
      <c r="FZC61" s="69"/>
      <c r="FZD61" s="69"/>
      <c r="FZE61" s="69"/>
      <c r="FZF61" s="69"/>
      <c r="FZG61" s="69"/>
      <c r="FZH61" s="69"/>
      <c r="FZI61" s="69"/>
      <c r="FZJ61" s="69"/>
      <c r="FZK61" s="69"/>
      <c r="FZL61" s="69"/>
      <c r="FZM61" s="69"/>
      <c r="FZN61" s="69"/>
      <c r="FZO61" s="69"/>
      <c r="FZP61" s="69"/>
      <c r="FZQ61" s="69"/>
      <c r="FZR61" s="69"/>
      <c r="FZS61" s="69"/>
      <c r="FZT61" s="69"/>
      <c r="FZU61" s="69"/>
      <c r="FZV61" s="69"/>
      <c r="FZW61" s="69"/>
      <c r="FZX61" s="69"/>
      <c r="FZY61" s="69"/>
      <c r="FZZ61" s="69"/>
      <c r="GAA61" s="69"/>
      <c r="GAB61" s="69"/>
      <c r="GAC61" s="69"/>
      <c r="GAD61" s="69"/>
      <c r="GAE61" s="69"/>
      <c r="GAF61" s="69"/>
      <c r="GAG61" s="69"/>
      <c r="GAH61" s="69"/>
      <c r="GAI61" s="69"/>
      <c r="GAJ61" s="69"/>
      <c r="GAK61" s="69"/>
      <c r="GAL61" s="69"/>
      <c r="GAM61" s="69"/>
      <c r="GAN61" s="69"/>
      <c r="GAO61" s="69"/>
      <c r="GAP61" s="69"/>
      <c r="GAQ61" s="69"/>
      <c r="GAR61" s="69"/>
      <c r="GAS61" s="69"/>
      <c r="GAT61" s="69"/>
      <c r="GAU61" s="69"/>
      <c r="GAV61" s="69"/>
      <c r="GAW61" s="69"/>
      <c r="GAX61" s="69"/>
      <c r="GAY61" s="69"/>
      <c r="GAZ61" s="69"/>
      <c r="GBA61" s="69"/>
      <c r="GBB61" s="69"/>
      <c r="GBC61" s="69"/>
      <c r="GBD61" s="69"/>
      <c r="GBE61" s="69"/>
      <c r="GBF61" s="69"/>
      <c r="GBG61" s="69"/>
      <c r="GBH61" s="69"/>
      <c r="GBI61" s="69"/>
      <c r="GBJ61" s="69"/>
      <c r="GBK61" s="69"/>
      <c r="GBL61" s="69"/>
      <c r="GBM61" s="69"/>
      <c r="GBN61" s="69"/>
      <c r="GBO61" s="69"/>
      <c r="GBP61" s="69"/>
      <c r="GBQ61" s="69"/>
      <c r="GBR61" s="69"/>
      <c r="GBS61" s="69"/>
      <c r="GBT61" s="69"/>
      <c r="GBU61" s="69"/>
      <c r="GBV61" s="69"/>
      <c r="GBW61" s="69"/>
      <c r="GBX61" s="69"/>
      <c r="GBY61" s="69"/>
      <c r="GBZ61" s="69"/>
      <c r="GCA61" s="69"/>
      <c r="GCB61" s="69"/>
      <c r="GCC61" s="69"/>
      <c r="GCD61" s="69"/>
      <c r="GCE61" s="69"/>
      <c r="GCF61" s="69"/>
      <c r="GCG61" s="69"/>
      <c r="GCH61" s="69"/>
      <c r="GCI61" s="69"/>
      <c r="GCJ61" s="69"/>
      <c r="GCK61" s="69"/>
      <c r="GCL61" s="69"/>
      <c r="GCM61" s="69"/>
      <c r="GCN61" s="69"/>
      <c r="GCO61" s="69"/>
      <c r="GCP61" s="69"/>
      <c r="GCQ61" s="69"/>
      <c r="GCR61" s="69"/>
      <c r="GCS61" s="69"/>
      <c r="GCT61" s="69"/>
      <c r="GCU61" s="69"/>
      <c r="GCV61" s="69"/>
      <c r="GCW61" s="69"/>
      <c r="GCX61" s="69"/>
      <c r="GCY61" s="69"/>
      <c r="GCZ61" s="69"/>
      <c r="GDA61" s="69"/>
      <c r="GDB61" s="69"/>
      <c r="GDC61" s="69"/>
      <c r="GDD61" s="69"/>
      <c r="GDE61" s="69"/>
      <c r="GDF61" s="69"/>
      <c r="GDG61" s="69"/>
      <c r="GDH61" s="69"/>
      <c r="GDI61" s="69"/>
      <c r="GDJ61" s="69"/>
      <c r="GDK61" s="69"/>
      <c r="GDL61" s="69"/>
      <c r="GDM61" s="69"/>
      <c r="GDN61" s="69"/>
      <c r="GDO61" s="69"/>
      <c r="GDP61" s="69"/>
      <c r="GDQ61" s="69"/>
      <c r="GDR61" s="69"/>
      <c r="GDS61" s="69"/>
      <c r="GDT61" s="69"/>
      <c r="GDU61" s="69"/>
      <c r="GDV61" s="69"/>
      <c r="GDW61" s="69"/>
      <c r="GDX61" s="69"/>
      <c r="GDY61" s="69"/>
      <c r="GDZ61" s="69"/>
      <c r="GEA61" s="69"/>
      <c r="GEB61" s="69"/>
      <c r="GEC61" s="69"/>
      <c r="GED61" s="69"/>
      <c r="GEE61" s="69"/>
      <c r="GEF61" s="69"/>
      <c r="GEG61" s="69"/>
      <c r="GEH61" s="69"/>
      <c r="GEI61" s="69"/>
      <c r="GEJ61" s="69"/>
      <c r="GEK61" s="69"/>
      <c r="GEL61" s="69"/>
      <c r="GEM61" s="69"/>
      <c r="GEN61" s="69"/>
      <c r="GEO61" s="69"/>
      <c r="GEP61" s="69"/>
      <c r="GEQ61" s="69"/>
      <c r="GER61" s="69"/>
      <c r="GES61" s="69"/>
      <c r="GET61" s="69"/>
      <c r="GEU61" s="69"/>
      <c r="GEV61" s="69"/>
      <c r="GEW61" s="69"/>
      <c r="GEX61" s="69"/>
      <c r="GEY61" s="69"/>
      <c r="GEZ61" s="69"/>
      <c r="GFA61" s="69"/>
      <c r="GFB61" s="69"/>
      <c r="GFC61" s="69"/>
      <c r="GFD61" s="69"/>
      <c r="GFE61" s="69"/>
      <c r="GFF61" s="69"/>
      <c r="GFG61" s="69"/>
      <c r="GFH61" s="69"/>
      <c r="GFI61" s="69"/>
      <c r="GFJ61" s="69"/>
      <c r="GFK61" s="69"/>
      <c r="GFL61" s="69"/>
      <c r="GFM61" s="69"/>
      <c r="GFN61" s="69"/>
      <c r="GFO61" s="69"/>
      <c r="GFP61" s="69"/>
      <c r="GFQ61" s="69"/>
      <c r="GFR61" s="69"/>
      <c r="GFS61" s="69"/>
      <c r="GFT61" s="69"/>
      <c r="GFU61" s="69"/>
      <c r="GFV61" s="69"/>
      <c r="GFW61" s="69"/>
      <c r="GFX61" s="69"/>
      <c r="GFY61" s="69"/>
      <c r="GFZ61" s="69"/>
      <c r="GGA61" s="69"/>
      <c r="GGB61" s="69"/>
      <c r="GGC61" s="69"/>
      <c r="GGD61" s="69"/>
      <c r="GGE61" s="69"/>
      <c r="GGF61" s="69"/>
      <c r="GGG61" s="69"/>
      <c r="GGH61" s="69"/>
      <c r="GGI61" s="69"/>
      <c r="GGJ61" s="69"/>
      <c r="GGK61" s="69"/>
      <c r="GGL61" s="69"/>
      <c r="GGM61" s="69"/>
      <c r="GGN61" s="69"/>
      <c r="GGO61" s="69"/>
      <c r="GGP61" s="69"/>
      <c r="GGQ61" s="69"/>
      <c r="GGR61" s="69"/>
      <c r="GGS61" s="69"/>
      <c r="GGT61" s="69"/>
      <c r="GGU61" s="69"/>
      <c r="GGV61" s="69"/>
      <c r="GGW61" s="69"/>
      <c r="GGX61" s="69"/>
      <c r="GGY61" s="69"/>
      <c r="GGZ61" s="69"/>
      <c r="GHA61" s="69"/>
      <c r="GHB61" s="69"/>
      <c r="GHC61" s="69"/>
      <c r="GHD61" s="69"/>
      <c r="GHE61" s="69"/>
      <c r="GHF61" s="69"/>
      <c r="GHG61" s="69"/>
      <c r="GHH61" s="69"/>
      <c r="GHI61" s="69"/>
      <c r="GHJ61" s="69"/>
      <c r="GHK61" s="69"/>
      <c r="GHL61" s="69"/>
      <c r="GHM61" s="69"/>
      <c r="GHN61" s="69"/>
      <c r="GHO61" s="69"/>
      <c r="GHP61" s="69"/>
      <c r="GHQ61" s="69"/>
      <c r="GHR61" s="69"/>
      <c r="GHS61" s="69"/>
      <c r="GHT61" s="69"/>
      <c r="GHU61" s="69"/>
      <c r="GHV61" s="69"/>
      <c r="GHW61" s="69"/>
      <c r="GHX61" s="69"/>
      <c r="GHY61" s="69"/>
      <c r="GHZ61" s="69"/>
      <c r="GIA61" s="69"/>
      <c r="GIB61" s="69"/>
      <c r="GIC61" s="69"/>
      <c r="GID61" s="69"/>
      <c r="GIE61" s="69"/>
      <c r="GIF61" s="69"/>
      <c r="GIG61" s="69"/>
      <c r="GIH61" s="69"/>
      <c r="GII61" s="69"/>
      <c r="GIJ61" s="69"/>
      <c r="GIK61" s="69"/>
      <c r="GIL61" s="69"/>
      <c r="GIM61" s="69"/>
      <c r="GIN61" s="69"/>
      <c r="GIO61" s="69"/>
      <c r="GIP61" s="69"/>
      <c r="GIQ61" s="69"/>
      <c r="GIR61" s="69"/>
      <c r="GIS61" s="69"/>
      <c r="GIT61" s="69"/>
      <c r="GIU61" s="69"/>
      <c r="GIV61" s="69"/>
      <c r="GIW61" s="69"/>
      <c r="GIX61" s="69"/>
      <c r="GIY61" s="69"/>
      <c r="GIZ61" s="69"/>
      <c r="GJA61" s="69"/>
      <c r="GJB61" s="69"/>
      <c r="GJC61" s="69"/>
      <c r="GJD61" s="69"/>
      <c r="GJE61" s="69"/>
      <c r="GJF61" s="69"/>
      <c r="GJG61" s="69"/>
      <c r="GJH61" s="69"/>
      <c r="GJI61" s="69"/>
      <c r="GJJ61" s="69"/>
      <c r="GJK61" s="69"/>
      <c r="GJL61" s="69"/>
      <c r="GJM61" s="69"/>
      <c r="GJN61" s="69"/>
      <c r="GJO61" s="69"/>
      <c r="GJP61" s="69"/>
      <c r="GJQ61" s="69"/>
      <c r="GJR61" s="69"/>
      <c r="GJS61" s="69"/>
      <c r="GJT61" s="69"/>
      <c r="GJU61" s="69"/>
      <c r="GJV61" s="69"/>
      <c r="GJW61" s="69"/>
      <c r="GJX61" s="69"/>
      <c r="GJY61" s="69"/>
      <c r="GJZ61" s="69"/>
      <c r="GKA61" s="69"/>
      <c r="GKB61" s="69"/>
      <c r="GKC61" s="69"/>
      <c r="GKD61" s="69"/>
      <c r="GKE61" s="69"/>
      <c r="GKF61" s="69"/>
      <c r="GKG61" s="69"/>
      <c r="GKH61" s="69"/>
      <c r="GKI61" s="69"/>
      <c r="GKJ61" s="69"/>
      <c r="GKK61" s="69"/>
      <c r="GKL61" s="69"/>
      <c r="GKM61" s="69"/>
      <c r="GKN61" s="69"/>
      <c r="GKO61" s="69"/>
      <c r="GKP61" s="69"/>
      <c r="GKQ61" s="69"/>
      <c r="GKR61" s="69"/>
      <c r="GKS61" s="69"/>
      <c r="GKT61" s="69"/>
      <c r="GKU61" s="69"/>
      <c r="GKV61" s="69"/>
      <c r="GKW61" s="69"/>
      <c r="GKX61" s="69"/>
      <c r="GKY61" s="69"/>
      <c r="GKZ61" s="69"/>
      <c r="GLA61" s="69"/>
      <c r="GLB61" s="69"/>
      <c r="GLC61" s="69"/>
      <c r="GLD61" s="69"/>
      <c r="GLE61" s="69"/>
      <c r="GLF61" s="69"/>
      <c r="GLG61" s="69"/>
      <c r="GLH61" s="69"/>
      <c r="GLI61" s="69"/>
      <c r="GLJ61" s="69"/>
      <c r="GLK61" s="69"/>
      <c r="GLL61" s="69"/>
      <c r="GLM61" s="69"/>
      <c r="GLN61" s="69"/>
      <c r="GLO61" s="69"/>
      <c r="GLP61" s="69"/>
      <c r="GLQ61" s="69"/>
      <c r="GLR61" s="69"/>
      <c r="GLS61" s="69"/>
      <c r="GLT61" s="69"/>
      <c r="GLU61" s="69"/>
      <c r="GLV61" s="69"/>
      <c r="GLW61" s="69"/>
      <c r="GLX61" s="69"/>
      <c r="GLY61" s="69"/>
      <c r="GLZ61" s="69"/>
      <c r="GMA61" s="69"/>
      <c r="GMB61" s="69"/>
      <c r="GMC61" s="69"/>
      <c r="GMD61" s="69"/>
      <c r="GME61" s="69"/>
      <c r="GMF61" s="69"/>
      <c r="GMG61" s="69"/>
      <c r="GMH61" s="69"/>
      <c r="GMI61" s="69"/>
      <c r="GMJ61" s="69"/>
      <c r="GMK61" s="69"/>
      <c r="GML61" s="69"/>
      <c r="GMM61" s="69"/>
      <c r="GMN61" s="69"/>
      <c r="GMO61" s="69"/>
      <c r="GMP61" s="69"/>
      <c r="GMQ61" s="69"/>
      <c r="GMR61" s="69"/>
      <c r="GMS61" s="69"/>
      <c r="GMT61" s="69"/>
      <c r="GMU61" s="69"/>
      <c r="GMV61" s="69"/>
      <c r="GMW61" s="69"/>
      <c r="GMX61" s="69"/>
      <c r="GMY61" s="69"/>
      <c r="GMZ61" s="69"/>
      <c r="GNA61" s="69"/>
      <c r="GNB61" s="69"/>
      <c r="GNC61" s="69"/>
      <c r="GND61" s="69"/>
      <c r="GNE61" s="69"/>
      <c r="GNF61" s="69"/>
      <c r="GNG61" s="69"/>
      <c r="GNH61" s="69"/>
      <c r="GNI61" s="69"/>
      <c r="GNJ61" s="69"/>
      <c r="GNK61" s="69"/>
      <c r="GNL61" s="69"/>
      <c r="GNM61" s="69"/>
      <c r="GNN61" s="69"/>
      <c r="GNO61" s="69"/>
      <c r="GNP61" s="69"/>
      <c r="GNQ61" s="69"/>
      <c r="GNR61" s="69"/>
      <c r="GNS61" s="69"/>
      <c r="GNT61" s="69"/>
      <c r="GNU61" s="69"/>
      <c r="GNV61" s="69"/>
      <c r="GNW61" s="69"/>
      <c r="GNX61" s="69"/>
      <c r="GNY61" s="69"/>
      <c r="GNZ61" s="69"/>
      <c r="GOA61" s="69"/>
      <c r="GOB61" s="69"/>
      <c r="GOC61" s="69"/>
      <c r="GOD61" s="69"/>
      <c r="GOE61" s="69"/>
      <c r="GOF61" s="69"/>
      <c r="GOG61" s="69"/>
      <c r="GOH61" s="69"/>
      <c r="GOI61" s="69"/>
      <c r="GOJ61" s="69"/>
      <c r="GOK61" s="69"/>
      <c r="GOL61" s="69"/>
      <c r="GOM61" s="69"/>
      <c r="GON61" s="69"/>
      <c r="GOO61" s="69"/>
      <c r="GOP61" s="69"/>
      <c r="GOQ61" s="69"/>
      <c r="GOR61" s="69"/>
      <c r="GOS61" s="69"/>
      <c r="GOT61" s="69"/>
      <c r="GOU61" s="69"/>
      <c r="GOV61" s="69"/>
      <c r="GOW61" s="69"/>
      <c r="GOX61" s="69"/>
      <c r="GOY61" s="69"/>
      <c r="GOZ61" s="69"/>
      <c r="GPA61" s="69"/>
      <c r="GPB61" s="69"/>
      <c r="GPC61" s="69"/>
      <c r="GPD61" s="69"/>
      <c r="GPE61" s="69"/>
      <c r="GPF61" s="69"/>
      <c r="GPG61" s="69"/>
      <c r="GPH61" s="69"/>
      <c r="GPI61" s="69"/>
      <c r="GPJ61" s="69"/>
      <c r="GPK61" s="69"/>
      <c r="GPL61" s="69"/>
      <c r="GPM61" s="69"/>
      <c r="GPN61" s="69"/>
      <c r="GPO61" s="69"/>
      <c r="GPP61" s="69"/>
      <c r="GPQ61" s="69"/>
      <c r="GPR61" s="69"/>
      <c r="GPS61" s="69"/>
      <c r="GPT61" s="69"/>
      <c r="GPU61" s="69"/>
      <c r="GPV61" s="69"/>
      <c r="GPW61" s="69"/>
      <c r="GPX61" s="69"/>
      <c r="GPY61" s="69"/>
      <c r="GPZ61" s="69"/>
      <c r="GQA61" s="69"/>
      <c r="GQB61" s="69"/>
      <c r="GQC61" s="69"/>
      <c r="GQD61" s="69"/>
      <c r="GQE61" s="69"/>
      <c r="GQF61" s="69"/>
      <c r="GQG61" s="69"/>
      <c r="GQH61" s="69"/>
      <c r="GQI61" s="69"/>
      <c r="GQJ61" s="69"/>
      <c r="GQK61" s="69"/>
      <c r="GQL61" s="69"/>
      <c r="GQM61" s="69"/>
      <c r="GQN61" s="69"/>
      <c r="GQO61" s="69"/>
      <c r="GQP61" s="69"/>
      <c r="GQQ61" s="69"/>
      <c r="GQR61" s="69"/>
      <c r="GQS61" s="69"/>
      <c r="GQT61" s="69"/>
      <c r="GQU61" s="69"/>
      <c r="GQV61" s="69"/>
      <c r="GQW61" s="69"/>
      <c r="GQX61" s="69"/>
      <c r="GQY61" s="69"/>
      <c r="GQZ61" s="69"/>
      <c r="GRA61" s="69"/>
      <c r="GRB61" s="69"/>
      <c r="GRC61" s="69"/>
      <c r="GRD61" s="69"/>
      <c r="GRE61" s="69"/>
      <c r="GRF61" s="69"/>
      <c r="GRG61" s="69"/>
      <c r="GRH61" s="69"/>
      <c r="GRI61" s="69"/>
      <c r="GRJ61" s="69"/>
      <c r="GRK61" s="69"/>
      <c r="GRL61" s="69"/>
      <c r="GRM61" s="69"/>
      <c r="GRN61" s="69"/>
      <c r="GRO61" s="69"/>
      <c r="GRP61" s="69"/>
      <c r="GRQ61" s="69"/>
      <c r="GRR61" s="69"/>
      <c r="GRS61" s="69"/>
      <c r="GRT61" s="69"/>
      <c r="GRU61" s="69"/>
      <c r="GRV61" s="69"/>
      <c r="GRW61" s="69"/>
      <c r="GRX61" s="69"/>
      <c r="GRY61" s="69"/>
      <c r="GRZ61" s="69"/>
      <c r="GSA61" s="69"/>
      <c r="GSB61" s="69"/>
      <c r="GSC61" s="69"/>
      <c r="GSD61" s="69"/>
      <c r="GSE61" s="69"/>
      <c r="GSF61" s="69"/>
      <c r="GSG61" s="69"/>
      <c r="GSH61" s="69"/>
      <c r="GSI61" s="69"/>
      <c r="GSJ61" s="69"/>
      <c r="GSK61" s="69"/>
      <c r="GSL61" s="69"/>
      <c r="GSM61" s="69"/>
      <c r="GSN61" s="69"/>
      <c r="GSO61" s="69"/>
      <c r="GSP61" s="69"/>
      <c r="GSQ61" s="69"/>
      <c r="GSR61" s="69"/>
      <c r="GSS61" s="69"/>
      <c r="GST61" s="69"/>
      <c r="GSU61" s="69"/>
      <c r="GSV61" s="69"/>
      <c r="GSW61" s="69"/>
      <c r="GSX61" s="69"/>
      <c r="GSY61" s="69"/>
      <c r="GSZ61" s="69"/>
      <c r="GTA61" s="69"/>
      <c r="GTB61" s="69"/>
      <c r="GTC61" s="69"/>
      <c r="GTD61" s="69"/>
      <c r="GTE61" s="69"/>
      <c r="GTF61" s="69"/>
      <c r="GTG61" s="69"/>
      <c r="GTH61" s="69"/>
      <c r="GTI61" s="69"/>
      <c r="GTJ61" s="69"/>
      <c r="GTK61" s="69"/>
      <c r="GTL61" s="69"/>
      <c r="GTM61" s="69"/>
      <c r="GTN61" s="69"/>
      <c r="GTO61" s="69"/>
      <c r="GTP61" s="69"/>
      <c r="GTQ61" s="69"/>
      <c r="GTR61" s="69"/>
      <c r="GTS61" s="69"/>
      <c r="GTT61" s="69"/>
      <c r="GTU61" s="69"/>
      <c r="GTV61" s="69"/>
      <c r="GTW61" s="69"/>
      <c r="GTX61" s="69"/>
      <c r="GTY61" s="69"/>
      <c r="GTZ61" s="69"/>
      <c r="GUA61" s="69"/>
      <c r="GUB61" s="69"/>
      <c r="GUC61" s="69"/>
      <c r="GUD61" s="69"/>
      <c r="GUE61" s="69"/>
      <c r="GUF61" s="69"/>
      <c r="GUG61" s="69"/>
      <c r="GUH61" s="69"/>
      <c r="GUI61" s="69"/>
      <c r="GUJ61" s="69"/>
      <c r="GUK61" s="69"/>
      <c r="GUL61" s="69"/>
      <c r="GUM61" s="69"/>
      <c r="GUN61" s="69"/>
      <c r="GUO61" s="69"/>
      <c r="GUP61" s="69"/>
      <c r="GUQ61" s="69"/>
      <c r="GUR61" s="69"/>
      <c r="GUS61" s="69"/>
      <c r="GUT61" s="69"/>
      <c r="GUU61" s="69"/>
      <c r="GUV61" s="69"/>
      <c r="GUW61" s="69"/>
      <c r="GUX61" s="69"/>
      <c r="GUY61" s="69"/>
      <c r="GUZ61" s="69"/>
      <c r="GVA61" s="69"/>
      <c r="GVB61" s="69"/>
      <c r="GVC61" s="69"/>
      <c r="GVD61" s="69"/>
      <c r="GVE61" s="69"/>
      <c r="GVF61" s="69"/>
      <c r="GVG61" s="69"/>
      <c r="GVH61" s="69"/>
      <c r="GVI61" s="69"/>
      <c r="GVJ61" s="69"/>
      <c r="GVK61" s="69"/>
      <c r="GVL61" s="69"/>
      <c r="GVM61" s="69"/>
      <c r="GVN61" s="69"/>
      <c r="GVO61" s="69"/>
      <c r="GVP61" s="69"/>
      <c r="GVQ61" s="69"/>
      <c r="GVR61" s="69"/>
      <c r="GVS61" s="69"/>
      <c r="GVT61" s="69"/>
      <c r="GVU61" s="69"/>
      <c r="GVV61" s="69"/>
      <c r="GVW61" s="69"/>
      <c r="GVX61" s="69"/>
      <c r="GVY61" s="69"/>
      <c r="GVZ61" s="69"/>
      <c r="GWA61" s="69"/>
      <c r="GWB61" s="69"/>
      <c r="GWC61" s="69"/>
      <c r="GWD61" s="69"/>
      <c r="GWE61" s="69"/>
      <c r="GWF61" s="69"/>
      <c r="GWG61" s="69"/>
      <c r="GWH61" s="69"/>
      <c r="GWI61" s="69"/>
      <c r="GWJ61" s="69"/>
      <c r="GWK61" s="69"/>
      <c r="GWL61" s="69"/>
      <c r="GWM61" s="69"/>
      <c r="GWN61" s="69"/>
      <c r="GWO61" s="69"/>
      <c r="GWP61" s="69"/>
      <c r="GWQ61" s="69"/>
      <c r="GWR61" s="69"/>
      <c r="GWS61" s="69"/>
      <c r="GWT61" s="69"/>
      <c r="GWU61" s="69"/>
      <c r="GWV61" s="69"/>
      <c r="GWW61" s="69"/>
      <c r="GWX61" s="69"/>
      <c r="GWY61" s="69"/>
      <c r="GWZ61" s="69"/>
      <c r="GXA61" s="69"/>
      <c r="GXB61" s="69"/>
      <c r="GXC61" s="69"/>
      <c r="GXD61" s="69"/>
      <c r="GXE61" s="69"/>
      <c r="GXF61" s="69"/>
      <c r="GXG61" s="69"/>
      <c r="GXH61" s="69"/>
      <c r="GXI61" s="69"/>
      <c r="GXJ61" s="69"/>
      <c r="GXK61" s="69"/>
      <c r="GXL61" s="69"/>
      <c r="GXM61" s="69"/>
      <c r="GXN61" s="69"/>
      <c r="GXO61" s="69"/>
      <c r="GXP61" s="69"/>
      <c r="GXQ61" s="69"/>
      <c r="GXR61" s="69"/>
      <c r="GXS61" s="69"/>
      <c r="GXT61" s="69"/>
      <c r="GXU61" s="69"/>
      <c r="GXV61" s="69"/>
      <c r="GXW61" s="69"/>
      <c r="GXX61" s="69"/>
      <c r="GXY61" s="69"/>
      <c r="GXZ61" s="69"/>
      <c r="GYA61" s="69"/>
      <c r="GYB61" s="69"/>
      <c r="GYC61" s="69"/>
      <c r="GYD61" s="69"/>
      <c r="GYE61" s="69"/>
      <c r="GYF61" s="69"/>
      <c r="GYG61" s="69"/>
      <c r="GYH61" s="69"/>
      <c r="GYI61" s="69"/>
      <c r="GYJ61" s="69"/>
      <c r="GYK61" s="69"/>
      <c r="GYL61" s="69"/>
      <c r="GYM61" s="69"/>
      <c r="GYN61" s="69"/>
      <c r="GYO61" s="69"/>
      <c r="GYP61" s="69"/>
      <c r="GYQ61" s="69"/>
      <c r="GYR61" s="69"/>
      <c r="GYS61" s="69"/>
      <c r="GYT61" s="69"/>
      <c r="GYU61" s="69"/>
      <c r="GYV61" s="69"/>
      <c r="GYW61" s="69"/>
      <c r="GYX61" s="69"/>
      <c r="GYY61" s="69"/>
      <c r="GYZ61" s="69"/>
      <c r="GZA61" s="69"/>
      <c r="GZB61" s="69"/>
      <c r="GZC61" s="69"/>
      <c r="GZD61" s="69"/>
      <c r="GZE61" s="69"/>
      <c r="GZF61" s="69"/>
      <c r="GZG61" s="69"/>
      <c r="GZH61" s="69"/>
      <c r="GZI61" s="69"/>
      <c r="GZJ61" s="69"/>
      <c r="GZK61" s="69"/>
      <c r="GZL61" s="69"/>
      <c r="GZM61" s="69"/>
      <c r="GZN61" s="69"/>
      <c r="GZO61" s="69"/>
      <c r="GZP61" s="69"/>
      <c r="GZQ61" s="69"/>
      <c r="GZR61" s="69"/>
      <c r="GZS61" s="69"/>
      <c r="GZT61" s="69"/>
      <c r="GZU61" s="69"/>
      <c r="GZV61" s="69"/>
      <c r="GZW61" s="69"/>
      <c r="GZX61" s="69"/>
      <c r="GZY61" s="69"/>
      <c r="GZZ61" s="69"/>
      <c r="HAA61" s="69"/>
      <c r="HAB61" s="69"/>
      <c r="HAC61" s="69"/>
      <c r="HAD61" s="69"/>
      <c r="HAE61" s="69"/>
      <c r="HAF61" s="69"/>
      <c r="HAG61" s="69"/>
      <c r="HAH61" s="69"/>
      <c r="HAI61" s="69"/>
      <c r="HAJ61" s="69"/>
      <c r="HAK61" s="69"/>
      <c r="HAL61" s="69"/>
      <c r="HAM61" s="69"/>
      <c r="HAN61" s="69"/>
      <c r="HAO61" s="69"/>
      <c r="HAP61" s="69"/>
      <c r="HAQ61" s="69"/>
      <c r="HAR61" s="69"/>
      <c r="HAS61" s="69"/>
      <c r="HAT61" s="69"/>
      <c r="HAU61" s="69"/>
      <c r="HAV61" s="69"/>
      <c r="HAW61" s="69"/>
      <c r="HAX61" s="69"/>
      <c r="HAY61" s="69"/>
      <c r="HAZ61" s="69"/>
      <c r="HBA61" s="69"/>
      <c r="HBB61" s="69"/>
      <c r="HBC61" s="69"/>
      <c r="HBD61" s="69"/>
      <c r="HBE61" s="69"/>
      <c r="HBF61" s="69"/>
      <c r="HBG61" s="69"/>
      <c r="HBH61" s="69"/>
      <c r="HBI61" s="69"/>
      <c r="HBJ61" s="69"/>
      <c r="HBK61" s="69"/>
      <c r="HBL61" s="69"/>
      <c r="HBM61" s="69"/>
      <c r="HBN61" s="69"/>
      <c r="HBO61" s="69"/>
      <c r="HBP61" s="69"/>
      <c r="HBQ61" s="69"/>
      <c r="HBR61" s="69"/>
      <c r="HBS61" s="69"/>
      <c r="HBT61" s="69"/>
      <c r="HBU61" s="69"/>
      <c r="HBV61" s="69"/>
      <c r="HBW61" s="69"/>
      <c r="HBX61" s="69"/>
      <c r="HBY61" s="69"/>
      <c r="HBZ61" s="69"/>
      <c r="HCA61" s="69"/>
      <c r="HCB61" s="69"/>
      <c r="HCC61" s="69"/>
      <c r="HCD61" s="69"/>
      <c r="HCE61" s="69"/>
      <c r="HCF61" s="69"/>
      <c r="HCG61" s="69"/>
      <c r="HCH61" s="69"/>
      <c r="HCI61" s="69"/>
      <c r="HCJ61" s="69"/>
      <c r="HCK61" s="69"/>
      <c r="HCL61" s="69"/>
      <c r="HCM61" s="69"/>
      <c r="HCN61" s="69"/>
      <c r="HCO61" s="69"/>
      <c r="HCP61" s="69"/>
      <c r="HCQ61" s="69"/>
      <c r="HCR61" s="69"/>
      <c r="HCS61" s="69"/>
      <c r="HCT61" s="69"/>
      <c r="HCU61" s="69"/>
      <c r="HCV61" s="69"/>
      <c r="HCW61" s="69"/>
      <c r="HCX61" s="69"/>
      <c r="HCY61" s="69"/>
      <c r="HCZ61" s="69"/>
      <c r="HDA61" s="69"/>
      <c r="HDB61" s="69"/>
      <c r="HDC61" s="69"/>
      <c r="HDD61" s="69"/>
      <c r="HDE61" s="69"/>
      <c r="HDF61" s="69"/>
      <c r="HDG61" s="69"/>
      <c r="HDH61" s="69"/>
      <c r="HDI61" s="69"/>
      <c r="HDJ61" s="69"/>
      <c r="HDK61" s="69"/>
      <c r="HDL61" s="69"/>
      <c r="HDM61" s="69"/>
      <c r="HDN61" s="69"/>
      <c r="HDO61" s="69"/>
      <c r="HDP61" s="69"/>
      <c r="HDQ61" s="69"/>
      <c r="HDR61" s="69"/>
      <c r="HDS61" s="69"/>
      <c r="HDT61" s="69"/>
      <c r="HDU61" s="69"/>
      <c r="HDV61" s="69"/>
      <c r="HDW61" s="69"/>
      <c r="HDX61" s="69"/>
      <c r="HDY61" s="69"/>
      <c r="HDZ61" s="69"/>
      <c r="HEA61" s="69"/>
      <c r="HEB61" s="69"/>
      <c r="HEC61" s="69"/>
      <c r="HED61" s="69"/>
      <c r="HEE61" s="69"/>
      <c r="HEF61" s="69"/>
      <c r="HEG61" s="69"/>
      <c r="HEH61" s="69"/>
      <c r="HEI61" s="69"/>
      <c r="HEJ61" s="69"/>
      <c r="HEK61" s="69"/>
      <c r="HEL61" s="69"/>
      <c r="HEM61" s="69"/>
      <c r="HEN61" s="69"/>
      <c r="HEO61" s="69"/>
      <c r="HEP61" s="69"/>
      <c r="HEQ61" s="69"/>
      <c r="HER61" s="69"/>
      <c r="HES61" s="69"/>
      <c r="HET61" s="69"/>
      <c r="HEU61" s="69"/>
      <c r="HEV61" s="69"/>
      <c r="HEW61" s="69"/>
      <c r="HEX61" s="69"/>
      <c r="HEY61" s="69"/>
      <c r="HEZ61" s="69"/>
      <c r="HFA61" s="69"/>
      <c r="HFB61" s="69"/>
      <c r="HFC61" s="69"/>
      <c r="HFD61" s="69"/>
      <c r="HFE61" s="69"/>
      <c r="HFF61" s="69"/>
      <c r="HFG61" s="69"/>
      <c r="HFH61" s="69"/>
      <c r="HFI61" s="69"/>
      <c r="HFJ61" s="69"/>
      <c r="HFK61" s="69"/>
      <c r="HFL61" s="69"/>
      <c r="HFM61" s="69"/>
      <c r="HFN61" s="69"/>
      <c r="HFO61" s="69"/>
      <c r="HFP61" s="69"/>
      <c r="HFQ61" s="69"/>
      <c r="HFR61" s="69"/>
      <c r="HFS61" s="69"/>
      <c r="HFT61" s="69"/>
      <c r="HFU61" s="69"/>
      <c r="HFV61" s="69"/>
      <c r="HFW61" s="69"/>
      <c r="HFX61" s="69"/>
      <c r="HFY61" s="69"/>
      <c r="HFZ61" s="69"/>
      <c r="HGA61" s="69"/>
      <c r="HGB61" s="69"/>
      <c r="HGC61" s="69"/>
      <c r="HGD61" s="69"/>
      <c r="HGE61" s="69"/>
      <c r="HGF61" s="69"/>
      <c r="HGG61" s="69"/>
      <c r="HGH61" s="69"/>
      <c r="HGI61" s="69"/>
      <c r="HGJ61" s="69"/>
      <c r="HGK61" s="69"/>
      <c r="HGL61" s="69"/>
      <c r="HGM61" s="69"/>
      <c r="HGN61" s="69"/>
      <c r="HGO61" s="69"/>
      <c r="HGP61" s="69"/>
      <c r="HGQ61" s="69"/>
      <c r="HGR61" s="69"/>
      <c r="HGS61" s="69"/>
      <c r="HGT61" s="69"/>
      <c r="HGU61" s="69"/>
      <c r="HGV61" s="69"/>
      <c r="HGW61" s="69"/>
      <c r="HGX61" s="69"/>
      <c r="HGY61" s="69"/>
      <c r="HGZ61" s="69"/>
      <c r="HHA61" s="69"/>
      <c r="HHB61" s="69"/>
      <c r="HHC61" s="69"/>
      <c r="HHD61" s="69"/>
      <c r="HHE61" s="69"/>
      <c r="HHF61" s="69"/>
      <c r="HHG61" s="69"/>
      <c r="HHH61" s="69"/>
      <c r="HHI61" s="69"/>
      <c r="HHJ61" s="69"/>
      <c r="HHK61" s="69"/>
      <c r="HHL61" s="69"/>
      <c r="HHM61" s="69"/>
      <c r="HHN61" s="69"/>
      <c r="HHO61" s="69"/>
      <c r="HHP61" s="69"/>
      <c r="HHQ61" s="69"/>
      <c r="HHR61" s="69"/>
      <c r="HHS61" s="69"/>
      <c r="HHT61" s="69"/>
      <c r="HHU61" s="69"/>
      <c r="HHV61" s="69"/>
      <c r="HHW61" s="69"/>
      <c r="HHX61" s="69"/>
      <c r="HHY61" s="69"/>
      <c r="HHZ61" s="69"/>
      <c r="HIA61" s="69"/>
      <c r="HIB61" s="69"/>
      <c r="HIC61" s="69"/>
      <c r="HID61" s="69"/>
      <c r="HIE61" s="69"/>
      <c r="HIF61" s="69"/>
      <c r="HIG61" s="69"/>
      <c r="HIH61" s="69"/>
      <c r="HII61" s="69"/>
      <c r="HIJ61" s="69"/>
      <c r="HIK61" s="69"/>
      <c r="HIL61" s="69"/>
      <c r="HIM61" s="69"/>
      <c r="HIN61" s="69"/>
      <c r="HIO61" s="69"/>
      <c r="HIP61" s="69"/>
      <c r="HIQ61" s="69"/>
      <c r="HIR61" s="69"/>
      <c r="HIS61" s="69"/>
      <c r="HIT61" s="69"/>
      <c r="HIU61" s="69"/>
      <c r="HIV61" s="69"/>
      <c r="HIW61" s="69"/>
      <c r="HIX61" s="69"/>
      <c r="HIY61" s="69"/>
      <c r="HIZ61" s="69"/>
      <c r="HJA61" s="69"/>
      <c r="HJB61" s="69"/>
      <c r="HJC61" s="69"/>
      <c r="HJD61" s="69"/>
      <c r="HJE61" s="69"/>
      <c r="HJF61" s="69"/>
      <c r="HJG61" s="69"/>
      <c r="HJH61" s="69"/>
      <c r="HJI61" s="69"/>
      <c r="HJJ61" s="69"/>
      <c r="HJK61" s="69"/>
      <c r="HJL61" s="69"/>
      <c r="HJM61" s="69"/>
      <c r="HJN61" s="69"/>
      <c r="HJO61" s="69"/>
      <c r="HJP61" s="69"/>
      <c r="HJQ61" s="69"/>
      <c r="HJR61" s="69"/>
      <c r="HJS61" s="69"/>
      <c r="HJT61" s="69"/>
      <c r="HJU61" s="69"/>
      <c r="HJV61" s="69"/>
      <c r="HJW61" s="69"/>
      <c r="HJX61" s="69"/>
      <c r="HJY61" s="69"/>
      <c r="HJZ61" s="69"/>
      <c r="HKA61" s="69"/>
      <c r="HKB61" s="69"/>
      <c r="HKC61" s="69"/>
      <c r="HKD61" s="69"/>
      <c r="HKE61" s="69"/>
      <c r="HKF61" s="69"/>
      <c r="HKG61" s="69"/>
      <c r="HKH61" s="69"/>
      <c r="HKI61" s="69"/>
      <c r="HKJ61" s="69"/>
      <c r="HKK61" s="69"/>
      <c r="HKL61" s="69"/>
      <c r="HKM61" s="69"/>
      <c r="HKN61" s="69"/>
      <c r="HKO61" s="69"/>
      <c r="HKP61" s="69"/>
      <c r="HKQ61" s="69"/>
      <c r="HKR61" s="69"/>
      <c r="HKS61" s="69"/>
      <c r="HKT61" s="69"/>
      <c r="HKU61" s="69"/>
      <c r="HKV61" s="69"/>
      <c r="HKW61" s="69"/>
      <c r="HKX61" s="69"/>
      <c r="HKY61" s="69"/>
      <c r="HKZ61" s="69"/>
      <c r="HLA61" s="69"/>
      <c r="HLB61" s="69"/>
      <c r="HLC61" s="69"/>
      <c r="HLD61" s="69"/>
      <c r="HLE61" s="69"/>
      <c r="HLF61" s="69"/>
      <c r="HLG61" s="69"/>
      <c r="HLH61" s="69"/>
      <c r="HLI61" s="69"/>
      <c r="HLJ61" s="69"/>
      <c r="HLK61" s="69"/>
      <c r="HLL61" s="69"/>
      <c r="HLM61" s="69"/>
      <c r="HLN61" s="69"/>
      <c r="HLO61" s="69"/>
      <c r="HLP61" s="69"/>
      <c r="HLQ61" s="69"/>
      <c r="HLR61" s="69"/>
      <c r="HLS61" s="69"/>
      <c r="HLT61" s="69"/>
      <c r="HLU61" s="69"/>
      <c r="HLV61" s="69"/>
      <c r="HLW61" s="69"/>
      <c r="HLX61" s="69"/>
      <c r="HLY61" s="69"/>
      <c r="HLZ61" s="69"/>
      <c r="HMA61" s="69"/>
      <c r="HMB61" s="69"/>
      <c r="HMC61" s="69"/>
      <c r="HMD61" s="69"/>
      <c r="HME61" s="69"/>
      <c r="HMF61" s="69"/>
      <c r="HMG61" s="69"/>
      <c r="HMH61" s="69"/>
      <c r="HMI61" s="69"/>
      <c r="HMJ61" s="69"/>
      <c r="HMK61" s="69"/>
      <c r="HML61" s="69"/>
      <c r="HMM61" s="69"/>
      <c r="HMN61" s="69"/>
      <c r="HMO61" s="69"/>
      <c r="HMP61" s="69"/>
      <c r="HMQ61" s="69"/>
      <c r="HMR61" s="69"/>
      <c r="HMS61" s="69"/>
      <c r="HMT61" s="69"/>
      <c r="HMU61" s="69"/>
      <c r="HMV61" s="69"/>
      <c r="HMW61" s="69"/>
      <c r="HMX61" s="69"/>
      <c r="HMY61" s="69"/>
      <c r="HMZ61" s="69"/>
      <c r="HNA61" s="69"/>
      <c r="HNB61" s="69"/>
      <c r="HNC61" s="69"/>
      <c r="HND61" s="69"/>
      <c r="HNE61" s="69"/>
      <c r="HNF61" s="69"/>
      <c r="HNG61" s="69"/>
      <c r="HNH61" s="69"/>
      <c r="HNI61" s="69"/>
      <c r="HNJ61" s="69"/>
      <c r="HNK61" s="69"/>
      <c r="HNL61" s="69"/>
      <c r="HNM61" s="69"/>
      <c r="HNN61" s="69"/>
      <c r="HNO61" s="69"/>
      <c r="HNP61" s="69"/>
      <c r="HNQ61" s="69"/>
      <c r="HNR61" s="69"/>
      <c r="HNS61" s="69"/>
      <c r="HNT61" s="69"/>
      <c r="HNU61" s="69"/>
      <c r="HNV61" s="69"/>
      <c r="HNW61" s="69"/>
      <c r="HNX61" s="69"/>
      <c r="HNY61" s="69"/>
      <c r="HNZ61" s="69"/>
      <c r="HOA61" s="69"/>
      <c r="HOB61" s="69"/>
      <c r="HOC61" s="69"/>
      <c r="HOD61" s="69"/>
      <c r="HOE61" s="69"/>
      <c r="HOF61" s="69"/>
      <c r="HOG61" s="69"/>
      <c r="HOH61" s="69"/>
      <c r="HOI61" s="69"/>
      <c r="HOJ61" s="69"/>
      <c r="HOK61" s="69"/>
      <c r="HOL61" s="69"/>
      <c r="HOM61" s="69"/>
      <c r="HON61" s="69"/>
      <c r="HOO61" s="69"/>
      <c r="HOP61" s="69"/>
      <c r="HOQ61" s="69"/>
      <c r="HOR61" s="69"/>
      <c r="HOS61" s="69"/>
      <c r="HOT61" s="69"/>
      <c r="HOU61" s="69"/>
      <c r="HOV61" s="69"/>
      <c r="HOW61" s="69"/>
      <c r="HOX61" s="69"/>
      <c r="HOY61" s="69"/>
      <c r="HOZ61" s="69"/>
      <c r="HPA61" s="69"/>
      <c r="HPB61" s="69"/>
      <c r="HPC61" s="69"/>
      <c r="HPD61" s="69"/>
      <c r="HPE61" s="69"/>
      <c r="HPF61" s="69"/>
      <c r="HPG61" s="69"/>
      <c r="HPH61" s="69"/>
      <c r="HPI61" s="69"/>
      <c r="HPJ61" s="69"/>
      <c r="HPK61" s="69"/>
      <c r="HPL61" s="69"/>
      <c r="HPM61" s="69"/>
      <c r="HPN61" s="69"/>
      <c r="HPO61" s="69"/>
      <c r="HPP61" s="69"/>
      <c r="HPQ61" s="69"/>
      <c r="HPR61" s="69"/>
      <c r="HPS61" s="69"/>
      <c r="HPT61" s="69"/>
      <c r="HPU61" s="69"/>
      <c r="HPV61" s="69"/>
      <c r="HPW61" s="69"/>
      <c r="HPX61" s="69"/>
      <c r="HPY61" s="69"/>
      <c r="HPZ61" s="69"/>
      <c r="HQA61" s="69"/>
      <c r="HQB61" s="69"/>
      <c r="HQC61" s="69"/>
      <c r="HQD61" s="69"/>
      <c r="HQE61" s="69"/>
      <c r="HQF61" s="69"/>
      <c r="HQG61" s="69"/>
      <c r="HQH61" s="69"/>
      <c r="HQI61" s="69"/>
      <c r="HQJ61" s="69"/>
      <c r="HQK61" s="69"/>
      <c r="HQL61" s="69"/>
      <c r="HQM61" s="69"/>
      <c r="HQN61" s="69"/>
      <c r="HQO61" s="69"/>
      <c r="HQP61" s="69"/>
      <c r="HQQ61" s="69"/>
      <c r="HQR61" s="69"/>
      <c r="HQS61" s="69"/>
      <c r="HQT61" s="69"/>
      <c r="HQU61" s="69"/>
      <c r="HQV61" s="69"/>
      <c r="HQW61" s="69"/>
      <c r="HQX61" s="69"/>
      <c r="HQY61" s="69"/>
      <c r="HQZ61" s="69"/>
      <c r="HRA61" s="69"/>
      <c r="HRB61" s="69"/>
      <c r="HRC61" s="69"/>
      <c r="HRD61" s="69"/>
      <c r="HRE61" s="69"/>
      <c r="HRF61" s="69"/>
      <c r="HRG61" s="69"/>
      <c r="HRH61" s="69"/>
      <c r="HRI61" s="69"/>
      <c r="HRJ61" s="69"/>
      <c r="HRK61" s="69"/>
      <c r="HRL61" s="69"/>
      <c r="HRM61" s="69"/>
      <c r="HRN61" s="69"/>
      <c r="HRO61" s="69"/>
      <c r="HRP61" s="69"/>
      <c r="HRQ61" s="69"/>
      <c r="HRR61" s="69"/>
      <c r="HRS61" s="69"/>
      <c r="HRT61" s="69"/>
      <c r="HRU61" s="69"/>
      <c r="HRV61" s="69"/>
      <c r="HRW61" s="69"/>
      <c r="HRX61" s="69"/>
      <c r="HRY61" s="69"/>
      <c r="HRZ61" s="69"/>
      <c r="HSA61" s="69"/>
      <c r="HSB61" s="69"/>
      <c r="HSC61" s="69"/>
      <c r="HSD61" s="69"/>
      <c r="HSE61" s="69"/>
      <c r="HSF61" s="69"/>
      <c r="HSG61" s="69"/>
      <c r="HSH61" s="69"/>
      <c r="HSI61" s="69"/>
      <c r="HSJ61" s="69"/>
      <c r="HSK61" s="69"/>
      <c r="HSL61" s="69"/>
      <c r="HSM61" s="69"/>
      <c r="HSN61" s="69"/>
      <c r="HSO61" s="69"/>
      <c r="HSP61" s="69"/>
      <c r="HSQ61" s="69"/>
      <c r="HSR61" s="69"/>
      <c r="HSS61" s="69"/>
      <c r="HST61" s="69"/>
      <c r="HSU61" s="69"/>
      <c r="HSV61" s="69"/>
      <c r="HSW61" s="69"/>
      <c r="HSX61" s="69"/>
      <c r="HSY61" s="69"/>
      <c r="HSZ61" s="69"/>
      <c r="HTA61" s="69"/>
      <c r="HTB61" s="69"/>
      <c r="HTC61" s="69"/>
      <c r="HTD61" s="69"/>
      <c r="HTE61" s="69"/>
      <c r="HTF61" s="69"/>
      <c r="HTG61" s="69"/>
      <c r="HTH61" s="69"/>
      <c r="HTI61" s="69"/>
      <c r="HTJ61" s="69"/>
      <c r="HTK61" s="69"/>
      <c r="HTL61" s="69"/>
      <c r="HTM61" s="69"/>
      <c r="HTN61" s="69"/>
      <c r="HTO61" s="69"/>
      <c r="HTP61" s="69"/>
      <c r="HTQ61" s="69"/>
      <c r="HTR61" s="69"/>
      <c r="HTS61" s="69"/>
      <c r="HTT61" s="69"/>
      <c r="HTU61" s="69"/>
      <c r="HTV61" s="69"/>
      <c r="HTW61" s="69"/>
      <c r="HTX61" s="69"/>
      <c r="HTY61" s="69"/>
      <c r="HTZ61" s="69"/>
      <c r="HUA61" s="69"/>
      <c r="HUB61" s="69"/>
      <c r="HUC61" s="69"/>
      <c r="HUD61" s="69"/>
      <c r="HUE61" s="69"/>
      <c r="HUF61" s="69"/>
      <c r="HUG61" s="69"/>
      <c r="HUH61" s="69"/>
      <c r="HUI61" s="69"/>
      <c r="HUJ61" s="69"/>
      <c r="HUK61" s="69"/>
      <c r="HUL61" s="69"/>
      <c r="HUM61" s="69"/>
      <c r="HUN61" s="69"/>
      <c r="HUO61" s="69"/>
      <c r="HUP61" s="69"/>
      <c r="HUQ61" s="69"/>
      <c r="HUR61" s="69"/>
      <c r="HUS61" s="69"/>
      <c r="HUT61" s="69"/>
      <c r="HUU61" s="69"/>
      <c r="HUV61" s="69"/>
      <c r="HUW61" s="69"/>
      <c r="HUX61" s="69"/>
      <c r="HUY61" s="69"/>
      <c r="HUZ61" s="69"/>
      <c r="HVA61" s="69"/>
      <c r="HVB61" s="69"/>
      <c r="HVC61" s="69"/>
      <c r="HVD61" s="69"/>
      <c r="HVE61" s="69"/>
      <c r="HVF61" s="69"/>
      <c r="HVG61" s="69"/>
      <c r="HVH61" s="69"/>
      <c r="HVI61" s="69"/>
      <c r="HVJ61" s="69"/>
      <c r="HVK61" s="69"/>
      <c r="HVL61" s="69"/>
      <c r="HVM61" s="69"/>
      <c r="HVN61" s="69"/>
      <c r="HVO61" s="69"/>
      <c r="HVP61" s="69"/>
      <c r="HVQ61" s="69"/>
      <c r="HVR61" s="69"/>
      <c r="HVS61" s="69"/>
      <c r="HVT61" s="69"/>
      <c r="HVU61" s="69"/>
      <c r="HVV61" s="69"/>
      <c r="HVW61" s="69"/>
      <c r="HVX61" s="69"/>
      <c r="HVY61" s="69"/>
      <c r="HVZ61" s="69"/>
      <c r="HWA61" s="69"/>
      <c r="HWB61" s="69"/>
      <c r="HWC61" s="69"/>
      <c r="HWD61" s="69"/>
      <c r="HWE61" s="69"/>
      <c r="HWF61" s="69"/>
      <c r="HWG61" s="69"/>
      <c r="HWH61" s="69"/>
      <c r="HWI61" s="69"/>
      <c r="HWJ61" s="69"/>
      <c r="HWK61" s="69"/>
      <c r="HWL61" s="69"/>
      <c r="HWM61" s="69"/>
      <c r="HWN61" s="69"/>
      <c r="HWO61" s="69"/>
      <c r="HWP61" s="69"/>
      <c r="HWQ61" s="69"/>
      <c r="HWR61" s="69"/>
      <c r="HWS61" s="69"/>
      <c r="HWT61" s="69"/>
      <c r="HWU61" s="69"/>
      <c r="HWV61" s="69"/>
      <c r="HWW61" s="69"/>
      <c r="HWX61" s="69"/>
      <c r="HWY61" s="69"/>
      <c r="HWZ61" s="69"/>
      <c r="HXA61" s="69"/>
      <c r="HXB61" s="69"/>
      <c r="HXC61" s="69"/>
      <c r="HXD61" s="69"/>
      <c r="HXE61" s="69"/>
      <c r="HXF61" s="69"/>
      <c r="HXG61" s="69"/>
      <c r="HXH61" s="69"/>
      <c r="HXI61" s="69"/>
      <c r="HXJ61" s="69"/>
      <c r="HXK61" s="69"/>
      <c r="HXL61" s="69"/>
      <c r="HXM61" s="69"/>
      <c r="HXN61" s="69"/>
      <c r="HXO61" s="69"/>
      <c r="HXP61" s="69"/>
      <c r="HXQ61" s="69"/>
      <c r="HXR61" s="69"/>
      <c r="HXS61" s="69"/>
      <c r="HXT61" s="69"/>
      <c r="HXU61" s="69"/>
      <c r="HXV61" s="69"/>
      <c r="HXW61" s="69"/>
      <c r="HXX61" s="69"/>
      <c r="HXY61" s="69"/>
      <c r="HXZ61" s="69"/>
      <c r="HYA61" s="69"/>
      <c r="HYB61" s="69"/>
      <c r="HYC61" s="69"/>
      <c r="HYD61" s="69"/>
      <c r="HYE61" s="69"/>
      <c r="HYF61" s="69"/>
      <c r="HYG61" s="69"/>
      <c r="HYH61" s="69"/>
      <c r="HYI61" s="69"/>
      <c r="HYJ61" s="69"/>
      <c r="HYK61" s="69"/>
      <c r="HYL61" s="69"/>
      <c r="HYM61" s="69"/>
      <c r="HYN61" s="69"/>
      <c r="HYO61" s="69"/>
      <c r="HYP61" s="69"/>
      <c r="HYQ61" s="69"/>
      <c r="HYR61" s="69"/>
      <c r="HYS61" s="69"/>
      <c r="HYT61" s="69"/>
      <c r="HYU61" s="69"/>
      <c r="HYV61" s="69"/>
      <c r="HYW61" s="69"/>
      <c r="HYX61" s="69"/>
      <c r="HYY61" s="69"/>
      <c r="HYZ61" s="69"/>
      <c r="HZA61" s="69"/>
      <c r="HZB61" s="69"/>
      <c r="HZC61" s="69"/>
      <c r="HZD61" s="69"/>
      <c r="HZE61" s="69"/>
      <c r="HZF61" s="69"/>
      <c r="HZG61" s="69"/>
      <c r="HZH61" s="69"/>
      <c r="HZI61" s="69"/>
      <c r="HZJ61" s="69"/>
      <c r="HZK61" s="69"/>
      <c r="HZL61" s="69"/>
      <c r="HZM61" s="69"/>
      <c r="HZN61" s="69"/>
      <c r="HZO61" s="69"/>
      <c r="HZP61" s="69"/>
      <c r="HZQ61" s="69"/>
      <c r="HZR61" s="69"/>
      <c r="HZS61" s="69"/>
      <c r="HZT61" s="69"/>
      <c r="HZU61" s="69"/>
      <c r="HZV61" s="69"/>
      <c r="HZW61" s="69"/>
      <c r="HZX61" s="69"/>
      <c r="HZY61" s="69"/>
      <c r="HZZ61" s="69"/>
      <c r="IAA61" s="69"/>
      <c r="IAB61" s="69"/>
      <c r="IAC61" s="69"/>
      <c r="IAD61" s="69"/>
      <c r="IAE61" s="69"/>
      <c r="IAF61" s="69"/>
      <c r="IAG61" s="69"/>
      <c r="IAH61" s="69"/>
      <c r="IAI61" s="69"/>
      <c r="IAJ61" s="69"/>
      <c r="IAK61" s="69"/>
      <c r="IAL61" s="69"/>
      <c r="IAM61" s="69"/>
      <c r="IAN61" s="69"/>
      <c r="IAO61" s="69"/>
      <c r="IAP61" s="69"/>
      <c r="IAQ61" s="69"/>
      <c r="IAR61" s="69"/>
      <c r="IAS61" s="69"/>
      <c r="IAT61" s="69"/>
      <c r="IAU61" s="69"/>
      <c r="IAV61" s="69"/>
      <c r="IAW61" s="69"/>
      <c r="IAX61" s="69"/>
      <c r="IAY61" s="69"/>
      <c r="IAZ61" s="69"/>
      <c r="IBA61" s="69"/>
      <c r="IBB61" s="69"/>
      <c r="IBC61" s="69"/>
      <c r="IBD61" s="69"/>
      <c r="IBE61" s="69"/>
      <c r="IBF61" s="69"/>
      <c r="IBG61" s="69"/>
      <c r="IBH61" s="69"/>
      <c r="IBI61" s="69"/>
      <c r="IBJ61" s="69"/>
      <c r="IBK61" s="69"/>
      <c r="IBL61" s="69"/>
      <c r="IBM61" s="69"/>
      <c r="IBN61" s="69"/>
      <c r="IBO61" s="69"/>
      <c r="IBP61" s="69"/>
      <c r="IBQ61" s="69"/>
      <c r="IBR61" s="69"/>
      <c r="IBS61" s="69"/>
      <c r="IBT61" s="69"/>
      <c r="IBU61" s="69"/>
      <c r="IBV61" s="69"/>
      <c r="IBW61" s="69"/>
      <c r="IBX61" s="69"/>
      <c r="IBY61" s="69"/>
      <c r="IBZ61" s="69"/>
      <c r="ICA61" s="69"/>
      <c r="ICB61" s="69"/>
      <c r="ICC61" s="69"/>
      <c r="ICD61" s="69"/>
      <c r="ICE61" s="69"/>
      <c r="ICF61" s="69"/>
      <c r="ICG61" s="69"/>
      <c r="ICH61" s="69"/>
      <c r="ICI61" s="69"/>
      <c r="ICJ61" s="69"/>
      <c r="ICK61" s="69"/>
      <c r="ICL61" s="69"/>
      <c r="ICM61" s="69"/>
      <c r="ICN61" s="69"/>
      <c r="ICO61" s="69"/>
      <c r="ICP61" s="69"/>
      <c r="ICQ61" s="69"/>
      <c r="ICR61" s="69"/>
      <c r="ICS61" s="69"/>
      <c r="ICT61" s="69"/>
      <c r="ICU61" s="69"/>
      <c r="ICV61" s="69"/>
      <c r="ICW61" s="69"/>
      <c r="ICX61" s="69"/>
      <c r="ICY61" s="69"/>
      <c r="ICZ61" s="69"/>
      <c r="IDA61" s="69"/>
      <c r="IDB61" s="69"/>
      <c r="IDC61" s="69"/>
      <c r="IDD61" s="69"/>
      <c r="IDE61" s="69"/>
      <c r="IDF61" s="69"/>
      <c r="IDG61" s="69"/>
      <c r="IDH61" s="69"/>
      <c r="IDI61" s="69"/>
      <c r="IDJ61" s="69"/>
      <c r="IDK61" s="69"/>
      <c r="IDL61" s="69"/>
      <c r="IDM61" s="69"/>
      <c r="IDN61" s="69"/>
      <c r="IDO61" s="69"/>
      <c r="IDP61" s="69"/>
      <c r="IDQ61" s="69"/>
      <c r="IDR61" s="69"/>
      <c r="IDS61" s="69"/>
      <c r="IDT61" s="69"/>
      <c r="IDU61" s="69"/>
      <c r="IDV61" s="69"/>
      <c r="IDW61" s="69"/>
      <c r="IDX61" s="69"/>
      <c r="IDY61" s="69"/>
      <c r="IDZ61" s="69"/>
      <c r="IEA61" s="69"/>
      <c r="IEB61" s="69"/>
      <c r="IEC61" s="69"/>
      <c r="IED61" s="69"/>
      <c r="IEE61" s="69"/>
      <c r="IEF61" s="69"/>
      <c r="IEG61" s="69"/>
      <c r="IEH61" s="69"/>
      <c r="IEI61" s="69"/>
      <c r="IEJ61" s="69"/>
      <c r="IEK61" s="69"/>
      <c r="IEL61" s="69"/>
      <c r="IEM61" s="69"/>
      <c r="IEN61" s="69"/>
      <c r="IEO61" s="69"/>
      <c r="IEP61" s="69"/>
      <c r="IEQ61" s="69"/>
      <c r="IER61" s="69"/>
      <c r="IES61" s="69"/>
      <c r="IET61" s="69"/>
      <c r="IEU61" s="69"/>
      <c r="IEV61" s="69"/>
      <c r="IEW61" s="69"/>
      <c r="IEX61" s="69"/>
      <c r="IEY61" s="69"/>
      <c r="IEZ61" s="69"/>
      <c r="IFA61" s="69"/>
      <c r="IFB61" s="69"/>
      <c r="IFC61" s="69"/>
      <c r="IFD61" s="69"/>
      <c r="IFE61" s="69"/>
      <c r="IFF61" s="69"/>
      <c r="IFG61" s="69"/>
      <c r="IFH61" s="69"/>
      <c r="IFI61" s="69"/>
      <c r="IFJ61" s="69"/>
      <c r="IFK61" s="69"/>
      <c r="IFL61" s="69"/>
      <c r="IFM61" s="69"/>
      <c r="IFN61" s="69"/>
      <c r="IFO61" s="69"/>
      <c r="IFP61" s="69"/>
      <c r="IFQ61" s="69"/>
      <c r="IFR61" s="69"/>
      <c r="IFS61" s="69"/>
      <c r="IFT61" s="69"/>
      <c r="IFU61" s="69"/>
      <c r="IFV61" s="69"/>
      <c r="IFW61" s="69"/>
      <c r="IFX61" s="69"/>
      <c r="IFY61" s="69"/>
      <c r="IFZ61" s="69"/>
      <c r="IGA61" s="69"/>
      <c r="IGB61" s="69"/>
      <c r="IGC61" s="69"/>
      <c r="IGD61" s="69"/>
      <c r="IGE61" s="69"/>
      <c r="IGF61" s="69"/>
      <c r="IGG61" s="69"/>
      <c r="IGH61" s="69"/>
      <c r="IGI61" s="69"/>
      <c r="IGJ61" s="69"/>
      <c r="IGK61" s="69"/>
      <c r="IGL61" s="69"/>
      <c r="IGM61" s="69"/>
      <c r="IGN61" s="69"/>
      <c r="IGO61" s="69"/>
      <c r="IGP61" s="69"/>
      <c r="IGQ61" s="69"/>
      <c r="IGR61" s="69"/>
      <c r="IGS61" s="69"/>
      <c r="IGT61" s="69"/>
      <c r="IGU61" s="69"/>
      <c r="IGV61" s="69"/>
      <c r="IGW61" s="69"/>
      <c r="IGX61" s="69"/>
      <c r="IGY61" s="69"/>
      <c r="IGZ61" s="69"/>
      <c r="IHA61" s="69"/>
      <c r="IHB61" s="69"/>
      <c r="IHC61" s="69"/>
      <c r="IHD61" s="69"/>
      <c r="IHE61" s="69"/>
      <c r="IHF61" s="69"/>
      <c r="IHG61" s="69"/>
      <c r="IHH61" s="69"/>
      <c r="IHI61" s="69"/>
      <c r="IHJ61" s="69"/>
      <c r="IHK61" s="69"/>
      <c r="IHL61" s="69"/>
      <c r="IHM61" s="69"/>
      <c r="IHN61" s="69"/>
      <c r="IHO61" s="69"/>
      <c r="IHP61" s="69"/>
      <c r="IHQ61" s="69"/>
      <c r="IHR61" s="69"/>
      <c r="IHS61" s="69"/>
      <c r="IHT61" s="69"/>
      <c r="IHU61" s="69"/>
      <c r="IHV61" s="69"/>
      <c r="IHW61" s="69"/>
      <c r="IHX61" s="69"/>
      <c r="IHY61" s="69"/>
      <c r="IHZ61" s="69"/>
      <c r="IIA61" s="69"/>
      <c r="IIB61" s="69"/>
      <c r="IIC61" s="69"/>
      <c r="IID61" s="69"/>
      <c r="IIE61" s="69"/>
      <c r="IIF61" s="69"/>
      <c r="IIG61" s="69"/>
      <c r="IIH61" s="69"/>
      <c r="III61" s="69"/>
      <c r="IIJ61" s="69"/>
      <c r="IIK61" s="69"/>
      <c r="IIL61" s="69"/>
      <c r="IIM61" s="69"/>
      <c r="IIN61" s="69"/>
      <c r="IIO61" s="69"/>
      <c r="IIP61" s="69"/>
      <c r="IIQ61" s="69"/>
      <c r="IIR61" s="69"/>
      <c r="IIS61" s="69"/>
      <c r="IIT61" s="69"/>
      <c r="IIU61" s="69"/>
      <c r="IIV61" s="69"/>
      <c r="IIW61" s="69"/>
      <c r="IIX61" s="69"/>
      <c r="IIY61" s="69"/>
      <c r="IIZ61" s="69"/>
      <c r="IJA61" s="69"/>
      <c r="IJB61" s="69"/>
      <c r="IJC61" s="69"/>
      <c r="IJD61" s="69"/>
      <c r="IJE61" s="69"/>
      <c r="IJF61" s="69"/>
      <c r="IJG61" s="69"/>
      <c r="IJH61" s="69"/>
      <c r="IJI61" s="69"/>
      <c r="IJJ61" s="69"/>
      <c r="IJK61" s="69"/>
      <c r="IJL61" s="69"/>
      <c r="IJM61" s="69"/>
      <c r="IJN61" s="69"/>
      <c r="IJO61" s="69"/>
      <c r="IJP61" s="69"/>
      <c r="IJQ61" s="69"/>
      <c r="IJR61" s="69"/>
      <c r="IJS61" s="69"/>
      <c r="IJT61" s="69"/>
      <c r="IJU61" s="69"/>
      <c r="IJV61" s="69"/>
      <c r="IJW61" s="69"/>
      <c r="IJX61" s="69"/>
      <c r="IJY61" s="69"/>
      <c r="IJZ61" s="69"/>
      <c r="IKA61" s="69"/>
      <c r="IKB61" s="69"/>
      <c r="IKC61" s="69"/>
      <c r="IKD61" s="69"/>
      <c r="IKE61" s="69"/>
      <c r="IKF61" s="69"/>
      <c r="IKG61" s="69"/>
      <c r="IKH61" s="69"/>
      <c r="IKI61" s="69"/>
      <c r="IKJ61" s="69"/>
      <c r="IKK61" s="69"/>
      <c r="IKL61" s="69"/>
      <c r="IKM61" s="69"/>
      <c r="IKN61" s="69"/>
      <c r="IKO61" s="69"/>
      <c r="IKP61" s="69"/>
      <c r="IKQ61" s="69"/>
      <c r="IKR61" s="69"/>
      <c r="IKS61" s="69"/>
      <c r="IKT61" s="69"/>
      <c r="IKU61" s="69"/>
      <c r="IKV61" s="69"/>
      <c r="IKW61" s="69"/>
      <c r="IKX61" s="69"/>
      <c r="IKY61" s="69"/>
      <c r="IKZ61" s="69"/>
      <c r="ILA61" s="69"/>
      <c r="ILB61" s="69"/>
      <c r="ILC61" s="69"/>
      <c r="ILD61" s="69"/>
      <c r="ILE61" s="69"/>
      <c r="ILF61" s="69"/>
      <c r="ILG61" s="69"/>
      <c r="ILH61" s="69"/>
      <c r="ILI61" s="69"/>
      <c r="ILJ61" s="69"/>
      <c r="ILK61" s="69"/>
      <c r="ILL61" s="69"/>
      <c r="ILM61" s="69"/>
      <c r="ILN61" s="69"/>
      <c r="ILO61" s="69"/>
      <c r="ILP61" s="69"/>
      <c r="ILQ61" s="69"/>
      <c r="ILR61" s="69"/>
      <c r="ILS61" s="69"/>
      <c r="ILT61" s="69"/>
      <c r="ILU61" s="69"/>
      <c r="ILV61" s="69"/>
      <c r="ILW61" s="69"/>
      <c r="ILX61" s="69"/>
      <c r="ILY61" s="69"/>
      <c r="ILZ61" s="69"/>
      <c r="IMA61" s="69"/>
      <c r="IMB61" s="69"/>
      <c r="IMC61" s="69"/>
      <c r="IMD61" s="69"/>
      <c r="IME61" s="69"/>
      <c r="IMF61" s="69"/>
      <c r="IMG61" s="69"/>
      <c r="IMH61" s="69"/>
      <c r="IMI61" s="69"/>
      <c r="IMJ61" s="69"/>
      <c r="IMK61" s="69"/>
      <c r="IML61" s="69"/>
      <c r="IMM61" s="69"/>
      <c r="IMN61" s="69"/>
      <c r="IMO61" s="69"/>
      <c r="IMP61" s="69"/>
      <c r="IMQ61" s="69"/>
      <c r="IMR61" s="69"/>
      <c r="IMS61" s="69"/>
      <c r="IMT61" s="69"/>
      <c r="IMU61" s="69"/>
      <c r="IMV61" s="69"/>
      <c r="IMW61" s="69"/>
      <c r="IMX61" s="69"/>
      <c r="IMY61" s="69"/>
      <c r="IMZ61" s="69"/>
      <c r="INA61" s="69"/>
      <c r="INB61" s="69"/>
      <c r="INC61" s="69"/>
      <c r="IND61" s="69"/>
      <c r="INE61" s="69"/>
      <c r="INF61" s="69"/>
      <c r="ING61" s="69"/>
      <c r="INH61" s="69"/>
      <c r="INI61" s="69"/>
      <c r="INJ61" s="69"/>
      <c r="INK61" s="69"/>
      <c r="INL61" s="69"/>
      <c r="INM61" s="69"/>
      <c r="INN61" s="69"/>
      <c r="INO61" s="69"/>
      <c r="INP61" s="69"/>
      <c r="INQ61" s="69"/>
      <c r="INR61" s="69"/>
      <c r="INS61" s="69"/>
      <c r="INT61" s="69"/>
      <c r="INU61" s="69"/>
      <c r="INV61" s="69"/>
      <c r="INW61" s="69"/>
      <c r="INX61" s="69"/>
      <c r="INY61" s="69"/>
      <c r="INZ61" s="69"/>
      <c r="IOA61" s="69"/>
      <c r="IOB61" s="69"/>
      <c r="IOC61" s="69"/>
      <c r="IOD61" s="69"/>
      <c r="IOE61" s="69"/>
      <c r="IOF61" s="69"/>
      <c r="IOG61" s="69"/>
      <c r="IOH61" s="69"/>
      <c r="IOI61" s="69"/>
      <c r="IOJ61" s="69"/>
      <c r="IOK61" s="69"/>
      <c r="IOL61" s="69"/>
      <c r="IOM61" s="69"/>
      <c r="ION61" s="69"/>
      <c r="IOO61" s="69"/>
      <c r="IOP61" s="69"/>
      <c r="IOQ61" s="69"/>
      <c r="IOR61" s="69"/>
      <c r="IOS61" s="69"/>
      <c r="IOT61" s="69"/>
      <c r="IOU61" s="69"/>
      <c r="IOV61" s="69"/>
      <c r="IOW61" s="69"/>
      <c r="IOX61" s="69"/>
      <c r="IOY61" s="69"/>
      <c r="IOZ61" s="69"/>
      <c r="IPA61" s="69"/>
      <c r="IPB61" s="69"/>
      <c r="IPC61" s="69"/>
      <c r="IPD61" s="69"/>
      <c r="IPE61" s="69"/>
      <c r="IPF61" s="69"/>
      <c r="IPG61" s="69"/>
      <c r="IPH61" s="69"/>
      <c r="IPI61" s="69"/>
      <c r="IPJ61" s="69"/>
      <c r="IPK61" s="69"/>
      <c r="IPL61" s="69"/>
      <c r="IPM61" s="69"/>
      <c r="IPN61" s="69"/>
      <c r="IPO61" s="69"/>
      <c r="IPP61" s="69"/>
      <c r="IPQ61" s="69"/>
      <c r="IPR61" s="69"/>
      <c r="IPS61" s="69"/>
      <c r="IPT61" s="69"/>
      <c r="IPU61" s="69"/>
      <c r="IPV61" s="69"/>
      <c r="IPW61" s="69"/>
      <c r="IPX61" s="69"/>
      <c r="IPY61" s="69"/>
      <c r="IPZ61" s="69"/>
      <c r="IQA61" s="69"/>
      <c r="IQB61" s="69"/>
      <c r="IQC61" s="69"/>
      <c r="IQD61" s="69"/>
      <c r="IQE61" s="69"/>
      <c r="IQF61" s="69"/>
      <c r="IQG61" s="69"/>
      <c r="IQH61" s="69"/>
      <c r="IQI61" s="69"/>
      <c r="IQJ61" s="69"/>
      <c r="IQK61" s="69"/>
      <c r="IQL61" s="69"/>
      <c r="IQM61" s="69"/>
      <c r="IQN61" s="69"/>
      <c r="IQO61" s="69"/>
      <c r="IQP61" s="69"/>
      <c r="IQQ61" s="69"/>
      <c r="IQR61" s="69"/>
      <c r="IQS61" s="69"/>
      <c r="IQT61" s="69"/>
      <c r="IQU61" s="69"/>
      <c r="IQV61" s="69"/>
      <c r="IQW61" s="69"/>
      <c r="IQX61" s="69"/>
      <c r="IQY61" s="69"/>
      <c r="IQZ61" s="69"/>
      <c r="IRA61" s="69"/>
      <c r="IRB61" s="69"/>
      <c r="IRC61" s="69"/>
      <c r="IRD61" s="69"/>
      <c r="IRE61" s="69"/>
      <c r="IRF61" s="69"/>
      <c r="IRG61" s="69"/>
      <c r="IRH61" s="69"/>
      <c r="IRI61" s="69"/>
      <c r="IRJ61" s="69"/>
      <c r="IRK61" s="69"/>
      <c r="IRL61" s="69"/>
      <c r="IRM61" s="69"/>
      <c r="IRN61" s="69"/>
      <c r="IRO61" s="69"/>
      <c r="IRP61" s="69"/>
      <c r="IRQ61" s="69"/>
      <c r="IRR61" s="69"/>
      <c r="IRS61" s="69"/>
      <c r="IRT61" s="69"/>
      <c r="IRU61" s="69"/>
      <c r="IRV61" s="69"/>
      <c r="IRW61" s="69"/>
      <c r="IRX61" s="69"/>
      <c r="IRY61" s="69"/>
      <c r="IRZ61" s="69"/>
      <c r="ISA61" s="69"/>
      <c r="ISB61" s="69"/>
      <c r="ISC61" s="69"/>
      <c r="ISD61" s="69"/>
      <c r="ISE61" s="69"/>
      <c r="ISF61" s="69"/>
      <c r="ISG61" s="69"/>
      <c r="ISH61" s="69"/>
      <c r="ISI61" s="69"/>
      <c r="ISJ61" s="69"/>
      <c r="ISK61" s="69"/>
      <c r="ISL61" s="69"/>
      <c r="ISM61" s="69"/>
      <c r="ISN61" s="69"/>
      <c r="ISO61" s="69"/>
      <c r="ISP61" s="69"/>
      <c r="ISQ61" s="69"/>
      <c r="ISR61" s="69"/>
      <c r="ISS61" s="69"/>
      <c r="IST61" s="69"/>
      <c r="ISU61" s="69"/>
      <c r="ISV61" s="69"/>
      <c r="ISW61" s="69"/>
      <c r="ISX61" s="69"/>
      <c r="ISY61" s="69"/>
      <c r="ISZ61" s="69"/>
      <c r="ITA61" s="69"/>
      <c r="ITB61" s="69"/>
      <c r="ITC61" s="69"/>
      <c r="ITD61" s="69"/>
      <c r="ITE61" s="69"/>
      <c r="ITF61" s="69"/>
      <c r="ITG61" s="69"/>
      <c r="ITH61" s="69"/>
      <c r="ITI61" s="69"/>
      <c r="ITJ61" s="69"/>
      <c r="ITK61" s="69"/>
      <c r="ITL61" s="69"/>
      <c r="ITM61" s="69"/>
      <c r="ITN61" s="69"/>
      <c r="ITO61" s="69"/>
      <c r="ITP61" s="69"/>
      <c r="ITQ61" s="69"/>
      <c r="ITR61" s="69"/>
      <c r="ITS61" s="69"/>
      <c r="ITT61" s="69"/>
      <c r="ITU61" s="69"/>
      <c r="ITV61" s="69"/>
      <c r="ITW61" s="69"/>
      <c r="ITX61" s="69"/>
      <c r="ITY61" s="69"/>
      <c r="ITZ61" s="69"/>
      <c r="IUA61" s="69"/>
      <c r="IUB61" s="69"/>
      <c r="IUC61" s="69"/>
      <c r="IUD61" s="69"/>
      <c r="IUE61" s="69"/>
      <c r="IUF61" s="69"/>
      <c r="IUG61" s="69"/>
      <c r="IUH61" s="69"/>
      <c r="IUI61" s="69"/>
      <c r="IUJ61" s="69"/>
      <c r="IUK61" s="69"/>
      <c r="IUL61" s="69"/>
      <c r="IUM61" s="69"/>
      <c r="IUN61" s="69"/>
      <c r="IUO61" s="69"/>
      <c r="IUP61" s="69"/>
      <c r="IUQ61" s="69"/>
      <c r="IUR61" s="69"/>
      <c r="IUS61" s="69"/>
      <c r="IUT61" s="69"/>
      <c r="IUU61" s="69"/>
      <c r="IUV61" s="69"/>
      <c r="IUW61" s="69"/>
      <c r="IUX61" s="69"/>
      <c r="IUY61" s="69"/>
      <c r="IUZ61" s="69"/>
      <c r="IVA61" s="69"/>
      <c r="IVB61" s="69"/>
      <c r="IVC61" s="69"/>
      <c r="IVD61" s="69"/>
      <c r="IVE61" s="69"/>
      <c r="IVF61" s="69"/>
      <c r="IVG61" s="69"/>
      <c r="IVH61" s="69"/>
      <c r="IVI61" s="69"/>
      <c r="IVJ61" s="69"/>
      <c r="IVK61" s="69"/>
      <c r="IVL61" s="69"/>
      <c r="IVM61" s="69"/>
      <c r="IVN61" s="69"/>
      <c r="IVO61" s="69"/>
      <c r="IVP61" s="69"/>
      <c r="IVQ61" s="69"/>
      <c r="IVR61" s="69"/>
      <c r="IVS61" s="69"/>
      <c r="IVT61" s="69"/>
      <c r="IVU61" s="69"/>
      <c r="IVV61" s="69"/>
      <c r="IVW61" s="69"/>
      <c r="IVX61" s="69"/>
      <c r="IVY61" s="69"/>
      <c r="IVZ61" s="69"/>
      <c r="IWA61" s="69"/>
      <c r="IWB61" s="69"/>
      <c r="IWC61" s="69"/>
      <c r="IWD61" s="69"/>
      <c r="IWE61" s="69"/>
      <c r="IWF61" s="69"/>
      <c r="IWG61" s="69"/>
      <c r="IWH61" s="69"/>
      <c r="IWI61" s="69"/>
      <c r="IWJ61" s="69"/>
      <c r="IWK61" s="69"/>
      <c r="IWL61" s="69"/>
      <c r="IWM61" s="69"/>
      <c r="IWN61" s="69"/>
      <c r="IWO61" s="69"/>
      <c r="IWP61" s="69"/>
      <c r="IWQ61" s="69"/>
      <c r="IWR61" s="69"/>
      <c r="IWS61" s="69"/>
      <c r="IWT61" s="69"/>
      <c r="IWU61" s="69"/>
      <c r="IWV61" s="69"/>
      <c r="IWW61" s="69"/>
      <c r="IWX61" s="69"/>
      <c r="IWY61" s="69"/>
      <c r="IWZ61" s="69"/>
      <c r="IXA61" s="69"/>
      <c r="IXB61" s="69"/>
      <c r="IXC61" s="69"/>
      <c r="IXD61" s="69"/>
      <c r="IXE61" s="69"/>
      <c r="IXF61" s="69"/>
      <c r="IXG61" s="69"/>
      <c r="IXH61" s="69"/>
      <c r="IXI61" s="69"/>
      <c r="IXJ61" s="69"/>
      <c r="IXK61" s="69"/>
      <c r="IXL61" s="69"/>
      <c r="IXM61" s="69"/>
      <c r="IXN61" s="69"/>
      <c r="IXO61" s="69"/>
      <c r="IXP61" s="69"/>
      <c r="IXQ61" s="69"/>
      <c r="IXR61" s="69"/>
      <c r="IXS61" s="69"/>
      <c r="IXT61" s="69"/>
      <c r="IXU61" s="69"/>
      <c r="IXV61" s="69"/>
      <c r="IXW61" s="69"/>
      <c r="IXX61" s="69"/>
      <c r="IXY61" s="69"/>
      <c r="IXZ61" s="69"/>
      <c r="IYA61" s="69"/>
      <c r="IYB61" s="69"/>
      <c r="IYC61" s="69"/>
      <c r="IYD61" s="69"/>
      <c r="IYE61" s="69"/>
      <c r="IYF61" s="69"/>
      <c r="IYG61" s="69"/>
      <c r="IYH61" s="69"/>
      <c r="IYI61" s="69"/>
      <c r="IYJ61" s="69"/>
      <c r="IYK61" s="69"/>
      <c r="IYL61" s="69"/>
      <c r="IYM61" s="69"/>
      <c r="IYN61" s="69"/>
      <c r="IYO61" s="69"/>
      <c r="IYP61" s="69"/>
      <c r="IYQ61" s="69"/>
      <c r="IYR61" s="69"/>
      <c r="IYS61" s="69"/>
      <c r="IYT61" s="69"/>
      <c r="IYU61" s="69"/>
      <c r="IYV61" s="69"/>
      <c r="IYW61" s="69"/>
      <c r="IYX61" s="69"/>
      <c r="IYY61" s="69"/>
      <c r="IYZ61" s="69"/>
      <c r="IZA61" s="69"/>
      <c r="IZB61" s="69"/>
      <c r="IZC61" s="69"/>
      <c r="IZD61" s="69"/>
      <c r="IZE61" s="69"/>
      <c r="IZF61" s="69"/>
      <c r="IZG61" s="69"/>
      <c r="IZH61" s="69"/>
      <c r="IZI61" s="69"/>
      <c r="IZJ61" s="69"/>
      <c r="IZK61" s="69"/>
      <c r="IZL61" s="69"/>
      <c r="IZM61" s="69"/>
      <c r="IZN61" s="69"/>
      <c r="IZO61" s="69"/>
      <c r="IZP61" s="69"/>
      <c r="IZQ61" s="69"/>
      <c r="IZR61" s="69"/>
      <c r="IZS61" s="69"/>
      <c r="IZT61" s="69"/>
      <c r="IZU61" s="69"/>
      <c r="IZV61" s="69"/>
      <c r="IZW61" s="69"/>
      <c r="IZX61" s="69"/>
      <c r="IZY61" s="69"/>
      <c r="IZZ61" s="69"/>
      <c r="JAA61" s="69"/>
      <c r="JAB61" s="69"/>
      <c r="JAC61" s="69"/>
      <c r="JAD61" s="69"/>
      <c r="JAE61" s="69"/>
      <c r="JAF61" s="69"/>
      <c r="JAG61" s="69"/>
      <c r="JAH61" s="69"/>
      <c r="JAI61" s="69"/>
      <c r="JAJ61" s="69"/>
      <c r="JAK61" s="69"/>
      <c r="JAL61" s="69"/>
      <c r="JAM61" s="69"/>
      <c r="JAN61" s="69"/>
      <c r="JAO61" s="69"/>
      <c r="JAP61" s="69"/>
      <c r="JAQ61" s="69"/>
      <c r="JAR61" s="69"/>
      <c r="JAS61" s="69"/>
      <c r="JAT61" s="69"/>
      <c r="JAU61" s="69"/>
      <c r="JAV61" s="69"/>
      <c r="JAW61" s="69"/>
      <c r="JAX61" s="69"/>
      <c r="JAY61" s="69"/>
      <c r="JAZ61" s="69"/>
      <c r="JBA61" s="69"/>
      <c r="JBB61" s="69"/>
      <c r="JBC61" s="69"/>
      <c r="JBD61" s="69"/>
      <c r="JBE61" s="69"/>
      <c r="JBF61" s="69"/>
      <c r="JBG61" s="69"/>
      <c r="JBH61" s="69"/>
      <c r="JBI61" s="69"/>
      <c r="JBJ61" s="69"/>
      <c r="JBK61" s="69"/>
      <c r="JBL61" s="69"/>
      <c r="JBM61" s="69"/>
      <c r="JBN61" s="69"/>
      <c r="JBO61" s="69"/>
      <c r="JBP61" s="69"/>
      <c r="JBQ61" s="69"/>
      <c r="JBR61" s="69"/>
      <c r="JBS61" s="69"/>
      <c r="JBT61" s="69"/>
      <c r="JBU61" s="69"/>
      <c r="JBV61" s="69"/>
      <c r="JBW61" s="69"/>
      <c r="JBX61" s="69"/>
      <c r="JBY61" s="69"/>
      <c r="JBZ61" s="69"/>
      <c r="JCA61" s="69"/>
      <c r="JCB61" s="69"/>
      <c r="JCC61" s="69"/>
      <c r="JCD61" s="69"/>
      <c r="JCE61" s="69"/>
      <c r="JCF61" s="69"/>
      <c r="JCG61" s="69"/>
      <c r="JCH61" s="69"/>
      <c r="JCI61" s="69"/>
      <c r="JCJ61" s="69"/>
      <c r="JCK61" s="69"/>
      <c r="JCL61" s="69"/>
      <c r="JCM61" s="69"/>
      <c r="JCN61" s="69"/>
      <c r="JCO61" s="69"/>
      <c r="JCP61" s="69"/>
      <c r="JCQ61" s="69"/>
      <c r="JCR61" s="69"/>
      <c r="JCS61" s="69"/>
      <c r="JCT61" s="69"/>
      <c r="JCU61" s="69"/>
      <c r="JCV61" s="69"/>
      <c r="JCW61" s="69"/>
      <c r="JCX61" s="69"/>
      <c r="JCY61" s="69"/>
      <c r="JCZ61" s="69"/>
      <c r="JDA61" s="69"/>
      <c r="JDB61" s="69"/>
      <c r="JDC61" s="69"/>
      <c r="JDD61" s="69"/>
      <c r="JDE61" s="69"/>
      <c r="JDF61" s="69"/>
      <c r="JDG61" s="69"/>
      <c r="JDH61" s="69"/>
      <c r="JDI61" s="69"/>
      <c r="JDJ61" s="69"/>
      <c r="JDK61" s="69"/>
      <c r="JDL61" s="69"/>
      <c r="JDM61" s="69"/>
      <c r="JDN61" s="69"/>
      <c r="JDO61" s="69"/>
      <c r="JDP61" s="69"/>
      <c r="JDQ61" s="69"/>
      <c r="JDR61" s="69"/>
      <c r="JDS61" s="69"/>
      <c r="JDT61" s="69"/>
      <c r="JDU61" s="69"/>
      <c r="JDV61" s="69"/>
      <c r="JDW61" s="69"/>
      <c r="JDX61" s="69"/>
      <c r="JDY61" s="69"/>
      <c r="JDZ61" s="69"/>
      <c r="JEA61" s="69"/>
      <c r="JEB61" s="69"/>
      <c r="JEC61" s="69"/>
      <c r="JED61" s="69"/>
      <c r="JEE61" s="69"/>
      <c r="JEF61" s="69"/>
      <c r="JEG61" s="69"/>
      <c r="JEH61" s="69"/>
      <c r="JEI61" s="69"/>
      <c r="JEJ61" s="69"/>
      <c r="JEK61" s="69"/>
      <c r="JEL61" s="69"/>
      <c r="JEM61" s="69"/>
      <c r="JEN61" s="69"/>
      <c r="JEO61" s="69"/>
      <c r="JEP61" s="69"/>
      <c r="JEQ61" s="69"/>
      <c r="JER61" s="69"/>
      <c r="JES61" s="69"/>
      <c r="JET61" s="69"/>
      <c r="JEU61" s="69"/>
      <c r="JEV61" s="69"/>
      <c r="JEW61" s="69"/>
      <c r="JEX61" s="69"/>
      <c r="JEY61" s="69"/>
      <c r="JEZ61" s="69"/>
      <c r="JFA61" s="69"/>
      <c r="JFB61" s="69"/>
      <c r="JFC61" s="69"/>
      <c r="JFD61" s="69"/>
      <c r="JFE61" s="69"/>
      <c r="JFF61" s="69"/>
      <c r="JFG61" s="69"/>
      <c r="JFH61" s="69"/>
      <c r="JFI61" s="69"/>
      <c r="JFJ61" s="69"/>
      <c r="JFK61" s="69"/>
      <c r="JFL61" s="69"/>
      <c r="JFM61" s="69"/>
      <c r="JFN61" s="69"/>
      <c r="JFO61" s="69"/>
      <c r="JFP61" s="69"/>
      <c r="JFQ61" s="69"/>
      <c r="JFR61" s="69"/>
      <c r="JFS61" s="69"/>
      <c r="JFT61" s="69"/>
      <c r="JFU61" s="69"/>
      <c r="JFV61" s="69"/>
      <c r="JFW61" s="69"/>
      <c r="JFX61" s="69"/>
      <c r="JFY61" s="69"/>
      <c r="JFZ61" s="69"/>
      <c r="JGA61" s="69"/>
      <c r="JGB61" s="69"/>
      <c r="JGC61" s="69"/>
      <c r="JGD61" s="69"/>
      <c r="JGE61" s="69"/>
      <c r="JGF61" s="69"/>
      <c r="JGG61" s="69"/>
      <c r="JGH61" s="69"/>
      <c r="JGI61" s="69"/>
      <c r="JGJ61" s="69"/>
      <c r="JGK61" s="69"/>
      <c r="JGL61" s="69"/>
      <c r="JGM61" s="69"/>
      <c r="JGN61" s="69"/>
      <c r="JGO61" s="69"/>
      <c r="JGP61" s="69"/>
      <c r="JGQ61" s="69"/>
      <c r="JGR61" s="69"/>
      <c r="JGS61" s="69"/>
      <c r="JGT61" s="69"/>
      <c r="JGU61" s="69"/>
      <c r="JGV61" s="69"/>
      <c r="JGW61" s="69"/>
      <c r="JGX61" s="69"/>
      <c r="JGY61" s="69"/>
      <c r="JGZ61" s="69"/>
      <c r="JHA61" s="69"/>
      <c r="JHB61" s="69"/>
      <c r="JHC61" s="69"/>
      <c r="JHD61" s="69"/>
      <c r="JHE61" s="69"/>
      <c r="JHF61" s="69"/>
      <c r="JHG61" s="69"/>
      <c r="JHH61" s="69"/>
      <c r="JHI61" s="69"/>
      <c r="JHJ61" s="69"/>
      <c r="JHK61" s="69"/>
      <c r="JHL61" s="69"/>
      <c r="JHM61" s="69"/>
      <c r="JHN61" s="69"/>
      <c r="JHO61" s="69"/>
      <c r="JHP61" s="69"/>
      <c r="JHQ61" s="69"/>
      <c r="JHR61" s="69"/>
      <c r="JHS61" s="69"/>
      <c r="JHT61" s="69"/>
      <c r="JHU61" s="69"/>
      <c r="JHV61" s="69"/>
      <c r="JHW61" s="69"/>
      <c r="JHX61" s="69"/>
      <c r="JHY61" s="69"/>
      <c r="JHZ61" s="69"/>
      <c r="JIA61" s="69"/>
      <c r="JIB61" s="69"/>
      <c r="JIC61" s="69"/>
      <c r="JID61" s="69"/>
      <c r="JIE61" s="69"/>
      <c r="JIF61" s="69"/>
      <c r="JIG61" s="69"/>
      <c r="JIH61" s="69"/>
      <c r="JII61" s="69"/>
      <c r="JIJ61" s="69"/>
      <c r="JIK61" s="69"/>
      <c r="JIL61" s="69"/>
      <c r="JIM61" s="69"/>
      <c r="JIN61" s="69"/>
      <c r="JIO61" s="69"/>
      <c r="JIP61" s="69"/>
      <c r="JIQ61" s="69"/>
      <c r="JIR61" s="69"/>
      <c r="JIS61" s="69"/>
      <c r="JIT61" s="69"/>
      <c r="JIU61" s="69"/>
      <c r="JIV61" s="69"/>
      <c r="JIW61" s="69"/>
      <c r="JIX61" s="69"/>
      <c r="JIY61" s="69"/>
      <c r="JIZ61" s="69"/>
      <c r="JJA61" s="69"/>
      <c r="JJB61" s="69"/>
      <c r="JJC61" s="69"/>
      <c r="JJD61" s="69"/>
      <c r="JJE61" s="69"/>
      <c r="JJF61" s="69"/>
      <c r="JJG61" s="69"/>
      <c r="JJH61" s="69"/>
      <c r="JJI61" s="69"/>
      <c r="JJJ61" s="69"/>
      <c r="JJK61" s="69"/>
      <c r="JJL61" s="69"/>
      <c r="JJM61" s="69"/>
      <c r="JJN61" s="69"/>
      <c r="JJO61" s="69"/>
      <c r="JJP61" s="69"/>
      <c r="JJQ61" s="69"/>
      <c r="JJR61" s="69"/>
      <c r="JJS61" s="69"/>
      <c r="JJT61" s="69"/>
      <c r="JJU61" s="69"/>
      <c r="JJV61" s="69"/>
      <c r="JJW61" s="69"/>
      <c r="JJX61" s="69"/>
      <c r="JJY61" s="69"/>
      <c r="JJZ61" s="69"/>
      <c r="JKA61" s="69"/>
      <c r="JKB61" s="69"/>
      <c r="JKC61" s="69"/>
      <c r="JKD61" s="69"/>
      <c r="JKE61" s="69"/>
      <c r="JKF61" s="69"/>
      <c r="JKG61" s="69"/>
      <c r="JKH61" s="69"/>
      <c r="JKI61" s="69"/>
      <c r="JKJ61" s="69"/>
      <c r="JKK61" s="69"/>
      <c r="JKL61" s="69"/>
      <c r="JKM61" s="69"/>
      <c r="JKN61" s="69"/>
      <c r="JKO61" s="69"/>
      <c r="JKP61" s="69"/>
      <c r="JKQ61" s="69"/>
      <c r="JKR61" s="69"/>
      <c r="JKS61" s="69"/>
      <c r="JKT61" s="69"/>
      <c r="JKU61" s="69"/>
      <c r="JKV61" s="69"/>
      <c r="JKW61" s="69"/>
      <c r="JKX61" s="69"/>
      <c r="JKY61" s="69"/>
      <c r="JKZ61" s="69"/>
      <c r="JLA61" s="69"/>
      <c r="JLB61" s="69"/>
      <c r="JLC61" s="69"/>
      <c r="JLD61" s="69"/>
      <c r="JLE61" s="69"/>
      <c r="JLF61" s="69"/>
      <c r="JLG61" s="69"/>
      <c r="JLH61" s="69"/>
      <c r="JLI61" s="69"/>
      <c r="JLJ61" s="69"/>
      <c r="JLK61" s="69"/>
      <c r="JLL61" s="69"/>
      <c r="JLM61" s="69"/>
      <c r="JLN61" s="69"/>
      <c r="JLO61" s="69"/>
      <c r="JLP61" s="69"/>
      <c r="JLQ61" s="69"/>
      <c r="JLR61" s="69"/>
      <c r="JLS61" s="69"/>
      <c r="JLT61" s="69"/>
      <c r="JLU61" s="69"/>
      <c r="JLV61" s="69"/>
      <c r="JLW61" s="69"/>
      <c r="JLX61" s="69"/>
      <c r="JLY61" s="69"/>
      <c r="JLZ61" s="69"/>
      <c r="JMA61" s="69"/>
      <c r="JMB61" s="69"/>
      <c r="JMC61" s="69"/>
      <c r="JMD61" s="69"/>
      <c r="JME61" s="69"/>
      <c r="JMF61" s="69"/>
      <c r="JMG61" s="69"/>
      <c r="JMH61" s="69"/>
      <c r="JMI61" s="69"/>
      <c r="JMJ61" s="69"/>
      <c r="JMK61" s="69"/>
      <c r="JML61" s="69"/>
      <c r="JMM61" s="69"/>
      <c r="JMN61" s="69"/>
      <c r="JMO61" s="69"/>
      <c r="JMP61" s="69"/>
      <c r="JMQ61" s="69"/>
      <c r="JMR61" s="69"/>
      <c r="JMS61" s="69"/>
      <c r="JMT61" s="69"/>
      <c r="JMU61" s="69"/>
      <c r="JMV61" s="69"/>
      <c r="JMW61" s="69"/>
      <c r="JMX61" s="69"/>
      <c r="JMY61" s="69"/>
      <c r="JMZ61" s="69"/>
      <c r="JNA61" s="69"/>
      <c r="JNB61" s="69"/>
      <c r="JNC61" s="69"/>
      <c r="JND61" s="69"/>
      <c r="JNE61" s="69"/>
      <c r="JNF61" s="69"/>
      <c r="JNG61" s="69"/>
      <c r="JNH61" s="69"/>
      <c r="JNI61" s="69"/>
      <c r="JNJ61" s="69"/>
      <c r="JNK61" s="69"/>
      <c r="JNL61" s="69"/>
      <c r="JNM61" s="69"/>
      <c r="JNN61" s="69"/>
      <c r="JNO61" s="69"/>
      <c r="JNP61" s="69"/>
      <c r="JNQ61" s="69"/>
      <c r="JNR61" s="69"/>
      <c r="JNS61" s="69"/>
      <c r="JNT61" s="69"/>
      <c r="JNU61" s="69"/>
      <c r="JNV61" s="69"/>
      <c r="JNW61" s="69"/>
      <c r="JNX61" s="69"/>
      <c r="JNY61" s="69"/>
      <c r="JNZ61" s="69"/>
      <c r="JOA61" s="69"/>
      <c r="JOB61" s="69"/>
      <c r="JOC61" s="69"/>
      <c r="JOD61" s="69"/>
      <c r="JOE61" s="69"/>
      <c r="JOF61" s="69"/>
      <c r="JOG61" s="69"/>
      <c r="JOH61" s="69"/>
      <c r="JOI61" s="69"/>
      <c r="JOJ61" s="69"/>
      <c r="JOK61" s="69"/>
      <c r="JOL61" s="69"/>
      <c r="JOM61" s="69"/>
      <c r="JON61" s="69"/>
      <c r="JOO61" s="69"/>
      <c r="JOP61" s="69"/>
      <c r="JOQ61" s="69"/>
      <c r="JOR61" s="69"/>
      <c r="JOS61" s="69"/>
      <c r="JOT61" s="69"/>
      <c r="JOU61" s="69"/>
      <c r="JOV61" s="69"/>
      <c r="JOW61" s="69"/>
      <c r="JOX61" s="69"/>
      <c r="JOY61" s="69"/>
      <c r="JOZ61" s="69"/>
      <c r="JPA61" s="69"/>
      <c r="JPB61" s="69"/>
      <c r="JPC61" s="69"/>
      <c r="JPD61" s="69"/>
      <c r="JPE61" s="69"/>
      <c r="JPF61" s="69"/>
      <c r="JPG61" s="69"/>
      <c r="JPH61" s="69"/>
      <c r="JPI61" s="69"/>
      <c r="JPJ61" s="69"/>
      <c r="JPK61" s="69"/>
      <c r="JPL61" s="69"/>
      <c r="JPM61" s="69"/>
      <c r="JPN61" s="69"/>
      <c r="JPO61" s="69"/>
      <c r="JPP61" s="69"/>
      <c r="JPQ61" s="69"/>
      <c r="JPR61" s="69"/>
      <c r="JPS61" s="69"/>
      <c r="JPT61" s="69"/>
      <c r="JPU61" s="69"/>
      <c r="JPV61" s="69"/>
      <c r="JPW61" s="69"/>
      <c r="JPX61" s="69"/>
      <c r="JPY61" s="69"/>
      <c r="JPZ61" s="69"/>
      <c r="JQA61" s="69"/>
      <c r="JQB61" s="69"/>
      <c r="JQC61" s="69"/>
      <c r="JQD61" s="69"/>
      <c r="JQE61" s="69"/>
      <c r="JQF61" s="69"/>
      <c r="JQG61" s="69"/>
      <c r="JQH61" s="69"/>
      <c r="JQI61" s="69"/>
      <c r="JQJ61" s="69"/>
      <c r="JQK61" s="69"/>
      <c r="JQL61" s="69"/>
      <c r="JQM61" s="69"/>
      <c r="JQN61" s="69"/>
      <c r="JQO61" s="69"/>
      <c r="JQP61" s="69"/>
      <c r="JQQ61" s="69"/>
      <c r="JQR61" s="69"/>
      <c r="JQS61" s="69"/>
      <c r="JQT61" s="69"/>
      <c r="JQU61" s="69"/>
      <c r="JQV61" s="69"/>
      <c r="JQW61" s="69"/>
      <c r="JQX61" s="69"/>
      <c r="JQY61" s="69"/>
      <c r="JQZ61" s="69"/>
      <c r="JRA61" s="69"/>
      <c r="JRB61" s="69"/>
      <c r="JRC61" s="69"/>
      <c r="JRD61" s="69"/>
      <c r="JRE61" s="69"/>
      <c r="JRF61" s="69"/>
      <c r="JRG61" s="69"/>
      <c r="JRH61" s="69"/>
      <c r="JRI61" s="69"/>
      <c r="JRJ61" s="69"/>
      <c r="JRK61" s="69"/>
      <c r="JRL61" s="69"/>
      <c r="JRM61" s="69"/>
      <c r="JRN61" s="69"/>
      <c r="JRO61" s="69"/>
      <c r="JRP61" s="69"/>
      <c r="JRQ61" s="69"/>
      <c r="JRR61" s="69"/>
      <c r="JRS61" s="69"/>
      <c r="JRT61" s="69"/>
      <c r="JRU61" s="69"/>
      <c r="JRV61" s="69"/>
      <c r="JRW61" s="69"/>
      <c r="JRX61" s="69"/>
      <c r="JRY61" s="69"/>
      <c r="JRZ61" s="69"/>
      <c r="JSA61" s="69"/>
      <c r="JSB61" s="69"/>
      <c r="JSC61" s="69"/>
      <c r="JSD61" s="69"/>
      <c r="JSE61" s="69"/>
      <c r="JSF61" s="69"/>
      <c r="JSG61" s="69"/>
      <c r="JSH61" s="69"/>
      <c r="JSI61" s="69"/>
      <c r="JSJ61" s="69"/>
      <c r="JSK61" s="69"/>
      <c r="JSL61" s="69"/>
      <c r="JSM61" s="69"/>
      <c r="JSN61" s="69"/>
      <c r="JSO61" s="69"/>
      <c r="JSP61" s="69"/>
      <c r="JSQ61" s="69"/>
      <c r="JSR61" s="69"/>
      <c r="JSS61" s="69"/>
      <c r="JST61" s="69"/>
      <c r="JSU61" s="69"/>
      <c r="JSV61" s="69"/>
      <c r="JSW61" s="69"/>
      <c r="JSX61" s="69"/>
      <c r="JSY61" s="69"/>
      <c r="JSZ61" s="69"/>
      <c r="JTA61" s="69"/>
      <c r="JTB61" s="69"/>
      <c r="JTC61" s="69"/>
      <c r="JTD61" s="69"/>
      <c r="JTE61" s="69"/>
      <c r="JTF61" s="69"/>
      <c r="JTG61" s="69"/>
      <c r="JTH61" s="69"/>
      <c r="JTI61" s="69"/>
      <c r="JTJ61" s="69"/>
      <c r="JTK61" s="69"/>
      <c r="JTL61" s="69"/>
      <c r="JTM61" s="69"/>
      <c r="JTN61" s="69"/>
      <c r="JTO61" s="69"/>
      <c r="JTP61" s="69"/>
      <c r="JTQ61" s="69"/>
      <c r="JTR61" s="69"/>
      <c r="JTS61" s="69"/>
      <c r="JTT61" s="69"/>
      <c r="JTU61" s="69"/>
      <c r="JTV61" s="69"/>
      <c r="JTW61" s="69"/>
      <c r="JTX61" s="69"/>
      <c r="JTY61" s="69"/>
      <c r="JTZ61" s="69"/>
      <c r="JUA61" s="69"/>
      <c r="JUB61" s="69"/>
      <c r="JUC61" s="69"/>
      <c r="JUD61" s="69"/>
      <c r="JUE61" s="69"/>
      <c r="JUF61" s="69"/>
      <c r="JUG61" s="69"/>
      <c r="JUH61" s="69"/>
      <c r="JUI61" s="69"/>
      <c r="JUJ61" s="69"/>
      <c r="JUK61" s="69"/>
      <c r="JUL61" s="69"/>
      <c r="JUM61" s="69"/>
      <c r="JUN61" s="69"/>
      <c r="JUO61" s="69"/>
      <c r="JUP61" s="69"/>
      <c r="JUQ61" s="69"/>
      <c r="JUR61" s="69"/>
      <c r="JUS61" s="69"/>
      <c r="JUT61" s="69"/>
      <c r="JUU61" s="69"/>
      <c r="JUV61" s="69"/>
      <c r="JUW61" s="69"/>
      <c r="JUX61" s="69"/>
      <c r="JUY61" s="69"/>
      <c r="JUZ61" s="69"/>
      <c r="JVA61" s="69"/>
      <c r="JVB61" s="69"/>
      <c r="JVC61" s="69"/>
      <c r="JVD61" s="69"/>
      <c r="JVE61" s="69"/>
      <c r="JVF61" s="69"/>
      <c r="JVG61" s="69"/>
      <c r="JVH61" s="69"/>
      <c r="JVI61" s="69"/>
      <c r="JVJ61" s="69"/>
      <c r="JVK61" s="69"/>
      <c r="JVL61" s="69"/>
      <c r="JVM61" s="69"/>
      <c r="JVN61" s="69"/>
      <c r="JVO61" s="69"/>
      <c r="JVP61" s="69"/>
      <c r="JVQ61" s="69"/>
      <c r="JVR61" s="69"/>
      <c r="JVS61" s="69"/>
      <c r="JVT61" s="69"/>
      <c r="JVU61" s="69"/>
      <c r="JVV61" s="69"/>
      <c r="JVW61" s="69"/>
      <c r="JVX61" s="69"/>
      <c r="JVY61" s="69"/>
      <c r="JVZ61" s="69"/>
      <c r="JWA61" s="69"/>
      <c r="JWB61" s="69"/>
      <c r="JWC61" s="69"/>
      <c r="JWD61" s="69"/>
      <c r="JWE61" s="69"/>
      <c r="JWF61" s="69"/>
      <c r="JWG61" s="69"/>
      <c r="JWH61" s="69"/>
      <c r="JWI61" s="69"/>
      <c r="JWJ61" s="69"/>
      <c r="JWK61" s="69"/>
      <c r="JWL61" s="69"/>
      <c r="JWM61" s="69"/>
      <c r="JWN61" s="69"/>
      <c r="JWO61" s="69"/>
      <c r="JWP61" s="69"/>
      <c r="JWQ61" s="69"/>
      <c r="JWR61" s="69"/>
      <c r="JWS61" s="69"/>
      <c r="JWT61" s="69"/>
      <c r="JWU61" s="69"/>
      <c r="JWV61" s="69"/>
      <c r="JWW61" s="69"/>
      <c r="JWX61" s="69"/>
      <c r="JWY61" s="69"/>
      <c r="JWZ61" s="69"/>
      <c r="JXA61" s="69"/>
      <c r="JXB61" s="69"/>
      <c r="JXC61" s="69"/>
      <c r="JXD61" s="69"/>
      <c r="JXE61" s="69"/>
      <c r="JXF61" s="69"/>
      <c r="JXG61" s="69"/>
      <c r="JXH61" s="69"/>
      <c r="JXI61" s="69"/>
      <c r="JXJ61" s="69"/>
      <c r="JXK61" s="69"/>
      <c r="JXL61" s="69"/>
      <c r="JXM61" s="69"/>
      <c r="JXN61" s="69"/>
      <c r="JXO61" s="69"/>
      <c r="JXP61" s="69"/>
      <c r="JXQ61" s="69"/>
      <c r="JXR61" s="69"/>
      <c r="JXS61" s="69"/>
      <c r="JXT61" s="69"/>
      <c r="JXU61" s="69"/>
      <c r="JXV61" s="69"/>
      <c r="JXW61" s="69"/>
      <c r="JXX61" s="69"/>
      <c r="JXY61" s="69"/>
      <c r="JXZ61" s="69"/>
      <c r="JYA61" s="69"/>
      <c r="JYB61" s="69"/>
      <c r="JYC61" s="69"/>
      <c r="JYD61" s="69"/>
      <c r="JYE61" s="69"/>
      <c r="JYF61" s="69"/>
      <c r="JYG61" s="69"/>
      <c r="JYH61" s="69"/>
      <c r="JYI61" s="69"/>
      <c r="JYJ61" s="69"/>
      <c r="JYK61" s="69"/>
      <c r="JYL61" s="69"/>
      <c r="JYM61" s="69"/>
      <c r="JYN61" s="69"/>
      <c r="JYO61" s="69"/>
      <c r="JYP61" s="69"/>
      <c r="JYQ61" s="69"/>
      <c r="JYR61" s="69"/>
      <c r="JYS61" s="69"/>
      <c r="JYT61" s="69"/>
      <c r="JYU61" s="69"/>
      <c r="JYV61" s="69"/>
      <c r="JYW61" s="69"/>
      <c r="JYX61" s="69"/>
      <c r="JYY61" s="69"/>
      <c r="JYZ61" s="69"/>
      <c r="JZA61" s="69"/>
      <c r="JZB61" s="69"/>
      <c r="JZC61" s="69"/>
      <c r="JZD61" s="69"/>
      <c r="JZE61" s="69"/>
      <c r="JZF61" s="69"/>
      <c r="JZG61" s="69"/>
      <c r="JZH61" s="69"/>
      <c r="JZI61" s="69"/>
      <c r="JZJ61" s="69"/>
      <c r="JZK61" s="69"/>
      <c r="JZL61" s="69"/>
      <c r="JZM61" s="69"/>
      <c r="JZN61" s="69"/>
      <c r="JZO61" s="69"/>
      <c r="JZP61" s="69"/>
      <c r="JZQ61" s="69"/>
      <c r="JZR61" s="69"/>
      <c r="JZS61" s="69"/>
      <c r="JZT61" s="69"/>
      <c r="JZU61" s="69"/>
      <c r="JZV61" s="69"/>
      <c r="JZW61" s="69"/>
      <c r="JZX61" s="69"/>
      <c r="JZY61" s="69"/>
      <c r="JZZ61" s="69"/>
      <c r="KAA61" s="69"/>
      <c r="KAB61" s="69"/>
      <c r="KAC61" s="69"/>
      <c r="KAD61" s="69"/>
      <c r="KAE61" s="69"/>
      <c r="KAF61" s="69"/>
      <c r="KAG61" s="69"/>
      <c r="KAH61" s="69"/>
      <c r="KAI61" s="69"/>
      <c r="KAJ61" s="69"/>
      <c r="KAK61" s="69"/>
      <c r="KAL61" s="69"/>
      <c r="KAM61" s="69"/>
      <c r="KAN61" s="69"/>
      <c r="KAO61" s="69"/>
      <c r="KAP61" s="69"/>
      <c r="KAQ61" s="69"/>
      <c r="KAR61" s="69"/>
      <c r="KAS61" s="69"/>
      <c r="KAT61" s="69"/>
      <c r="KAU61" s="69"/>
      <c r="KAV61" s="69"/>
      <c r="KAW61" s="69"/>
      <c r="KAX61" s="69"/>
      <c r="KAY61" s="69"/>
      <c r="KAZ61" s="69"/>
      <c r="KBA61" s="69"/>
      <c r="KBB61" s="69"/>
      <c r="KBC61" s="69"/>
      <c r="KBD61" s="69"/>
      <c r="KBE61" s="69"/>
      <c r="KBF61" s="69"/>
      <c r="KBG61" s="69"/>
      <c r="KBH61" s="69"/>
      <c r="KBI61" s="69"/>
      <c r="KBJ61" s="69"/>
      <c r="KBK61" s="69"/>
      <c r="KBL61" s="69"/>
      <c r="KBM61" s="69"/>
      <c r="KBN61" s="69"/>
      <c r="KBO61" s="69"/>
      <c r="KBP61" s="69"/>
      <c r="KBQ61" s="69"/>
      <c r="KBR61" s="69"/>
      <c r="KBS61" s="69"/>
      <c r="KBT61" s="69"/>
      <c r="KBU61" s="69"/>
      <c r="KBV61" s="69"/>
      <c r="KBW61" s="69"/>
      <c r="KBX61" s="69"/>
      <c r="KBY61" s="69"/>
      <c r="KBZ61" s="69"/>
      <c r="KCA61" s="69"/>
      <c r="KCB61" s="69"/>
      <c r="KCC61" s="69"/>
      <c r="KCD61" s="69"/>
      <c r="KCE61" s="69"/>
      <c r="KCF61" s="69"/>
      <c r="KCG61" s="69"/>
      <c r="KCH61" s="69"/>
      <c r="KCI61" s="69"/>
      <c r="KCJ61" s="69"/>
      <c r="KCK61" s="69"/>
      <c r="KCL61" s="69"/>
      <c r="KCM61" s="69"/>
      <c r="KCN61" s="69"/>
      <c r="KCO61" s="69"/>
      <c r="KCP61" s="69"/>
      <c r="KCQ61" s="69"/>
      <c r="KCR61" s="69"/>
      <c r="KCS61" s="69"/>
      <c r="KCT61" s="69"/>
      <c r="KCU61" s="69"/>
      <c r="KCV61" s="69"/>
      <c r="KCW61" s="69"/>
      <c r="KCX61" s="69"/>
      <c r="KCY61" s="69"/>
      <c r="KCZ61" s="69"/>
      <c r="KDA61" s="69"/>
      <c r="KDB61" s="69"/>
      <c r="KDC61" s="69"/>
      <c r="KDD61" s="69"/>
      <c r="KDE61" s="69"/>
      <c r="KDF61" s="69"/>
      <c r="KDG61" s="69"/>
      <c r="KDH61" s="69"/>
      <c r="KDI61" s="69"/>
      <c r="KDJ61" s="69"/>
      <c r="KDK61" s="69"/>
      <c r="KDL61" s="69"/>
      <c r="KDM61" s="69"/>
      <c r="KDN61" s="69"/>
      <c r="KDO61" s="69"/>
      <c r="KDP61" s="69"/>
      <c r="KDQ61" s="69"/>
      <c r="KDR61" s="69"/>
      <c r="KDS61" s="69"/>
      <c r="KDT61" s="69"/>
      <c r="KDU61" s="69"/>
      <c r="KDV61" s="69"/>
      <c r="KDW61" s="69"/>
      <c r="KDX61" s="69"/>
      <c r="KDY61" s="69"/>
      <c r="KDZ61" s="69"/>
      <c r="KEA61" s="69"/>
      <c r="KEB61" s="69"/>
      <c r="KEC61" s="69"/>
      <c r="KED61" s="69"/>
      <c r="KEE61" s="69"/>
      <c r="KEF61" s="69"/>
      <c r="KEG61" s="69"/>
      <c r="KEH61" s="69"/>
      <c r="KEI61" s="69"/>
      <c r="KEJ61" s="69"/>
      <c r="KEK61" s="69"/>
      <c r="KEL61" s="69"/>
      <c r="KEM61" s="69"/>
      <c r="KEN61" s="69"/>
      <c r="KEO61" s="69"/>
      <c r="KEP61" s="69"/>
      <c r="KEQ61" s="69"/>
      <c r="KER61" s="69"/>
      <c r="KES61" s="69"/>
      <c r="KET61" s="69"/>
      <c r="KEU61" s="69"/>
      <c r="KEV61" s="69"/>
      <c r="KEW61" s="69"/>
      <c r="KEX61" s="69"/>
      <c r="KEY61" s="69"/>
      <c r="KEZ61" s="69"/>
      <c r="KFA61" s="69"/>
      <c r="KFB61" s="69"/>
      <c r="KFC61" s="69"/>
      <c r="KFD61" s="69"/>
      <c r="KFE61" s="69"/>
      <c r="KFF61" s="69"/>
      <c r="KFG61" s="69"/>
      <c r="KFH61" s="69"/>
      <c r="KFI61" s="69"/>
      <c r="KFJ61" s="69"/>
      <c r="KFK61" s="69"/>
      <c r="KFL61" s="69"/>
      <c r="KFM61" s="69"/>
      <c r="KFN61" s="69"/>
      <c r="KFO61" s="69"/>
      <c r="KFP61" s="69"/>
      <c r="KFQ61" s="69"/>
      <c r="KFR61" s="69"/>
      <c r="KFS61" s="69"/>
      <c r="KFT61" s="69"/>
      <c r="KFU61" s="69"/>
      <c r="KFV61" s="69"/>
      <c r="KFW61" s="69"/>
      <c r="KFX61" s="69"/>
      <c r="KFY61" s="69"/>
      <c r="KFZ61" s="69"/>
      <c r="KGA61" s="69"/>
      <c r="KGB61" s="69"/>
      <c r="KGC61" s="69"/>
      <c r="KGD61" s="69"/>
      <c r="KGE61" s="69"/>
      <c r="KGF61" s="69"/>
      <c r="KGG61" s="69"/>
      <c r="KGH61" s="69"/>
      <c r="KGI61" s="69"/>
      <c r="KGJ61" s="69"/>
      <c r="KGK61" s="69"/>
      <c r="KGL61" s="69"/>
      <c r="KGM61" s="69"/>
      <c r="KGN61" s="69"/>
      <c r="KGO61" s="69"/>
      <c r="KGP61" s="69"/>
      <c r="KGQ61" s="69"/>
      <c r="KGR61" s="69"/>
      <c r="KGS61" s="69"/>
      <c r="KGT61" s="69"/>
      <c r="KGU61" s="69"/>
      <c r="KGV61" s="69"/>
      <c r="KGW61" s="69"/>
      <c r="KGX61" s="69"/>
      <c r="KGY61" s="69"/>
      <c r="KGZ61" s="69"/>
      <c r="KHA61" s="69"/>
      <c r="KHB61" s="69"/>
      <c r="KHC61" s="69"/>
      <c r="KHD61" s="69"/>
      <c r="KHE61" s="69"/>
      <c r="KHF61" s="69"/>
      <c r="KHG61" s="69"/>
      <c r="KHH61" s="69"/>
      <c r="KHI61" s="69"/>
      <c r="KHJ61" s="69"/>
      <c r="KHK61" s="69"/>
      <c r="KHL61" s="69"/>
      <c r="KHM61" s="69"/>
      <c r="KHN61" s="69"/>
      <c r="KHO61" s="69"/>
      <c r="KHP61" s="69"/>
      <c r="KHQ61" s="69"/>
      <c r="KHR61" s="69"/>
      <c r="KHS61" s="69"/>
      <c r="KHT61" s="69"/>
      <c r="KHU61" s="69"/>
      <c r="KHV61" s="69"/>
      <c r="KHW61" s="69"/>
      <c r="KHX61" s="69"/>
      <c r="KHY61" s="69"/>
      <c r="KHZ61" s="69"/>
      <c r="KIA61" s="69"/>
      <c r="KIB61" s="69"/>
      <c r="KIC61" s="69"/>
      <c r="KID61" s="69"/>
      <c r="KIE61" s="69"/>
      <c r="KIF61" s="69"/>
      <c r="KIG61" s="69"/>
      <c r="KIH61" s="69"/>
      <c r="KII61" s="69"/>
      <c r="KIJ61" s="69"/>
      <c r="KIK61" s="69"/>
      <c r="KIL61" s="69"/>
      <c r="KIM61" s="69"/>
      <c r="KIN61" s="69"/>
      <c r="KIO61" s="69"/>
      <c r="KIP61" s="69"/>
      <c r="KIQ61" s="69"/>
      <c r="KIR61" s="69"/>
      <c r="KIS61" s="69"/>
      <c r="KIT61" s="69"/>
      <c r="KIU61" s="69"/>
      <c r="KIV61" s="69"/>
      <c r="KIW61" s="69"/>
      <c r="KIX61" s="69"/>
      <c r="KIY61" s="69"/>
      <c r="KIZ61" s="69"/>
      <c r="KJA61" s="69"/>
      <c r="KJB61" s="69"/>
      <c r="KJC61" s="69"/>
      <c r="KJD61" s="69"/>
      <c r="KJE61" s="69"/>
      <c r="KJF61" s="69"/>
      <c r="KJG61" s="69"/>
      <c r="KJH61" s="69"/>
      <c r="KJI61" s="69"/>
      <c r="KJJ61" s="69"/>
      <c r="KJK61" s="69"/>
      <c r="KJL61" s="69"/>
      <c r="KJM61" s="69"/>
      <c r="KJN61" s="69"/>
      <c r="KJO61" s="69"/>
      <c r="KJP61" s="69"/>
      <c r="KJQ61" s="69"/>
      <c r="KJR61" s="69"/>
      <c r="KJS61" s="69"/>
      <c r="KJT61" s="69"/>
      <c r="KJU61" s="69"/>
      <c r="KJV61" s="69"/>
      <c r="KJW61" s="69"/>
      <c r="KJX61" s="69"/>
      <c r="KJY61" s="69"/>
      <c r="KJZ61" s="69"/>
      <c r="KKA61" s="69"/>
      <c r="KKB61" s="69"/>
      <c r="KKC61" s="69"/>
      <c r="KKD61" s="69"/>
      <c r="KKE61" s="69"/>
      <c r="KKF61" s="69"/>
      <c r="KKG61" s="69"/>
      <c r="KKH61" s="69"/>
      <c r="KKI61" s="69"/>
      <c r="KKJ61" s="69"/>
      <c r="KKK61" s="69"/>
      <c r="KKL61" s="69"/>
      <c r="KKM61" s="69"/>
      <c r="KKN61" s="69"/>
      <c r="KKO61" s="69"/>
      <c r="KKP61" s="69"/>
      <c r="KKQ61" s="69"/>
      <c r="KKR61" s="69"/>
      <c r="KKS61" s="69"/>
      <c r="KKT61" s="69"/>
      <c r="KKU61" s="69"/>
      <c r="KKV61" s="69"/>
      <c r="KKW61" s="69"/>
      <c r="KKX61" s="69"/>
      <c r="KKY61" s="69"/>
      <c r="KKZ61" s="69"/>
      <c r="KLA61" s="69"/>
      <c r="KLB61" s="69"/>
      <c r="KLC61" s="69"/>
      <c r="KLD61" s="69"/>
      <c r="KLE61" s="69"/>
      <c r="KLF61" s="69"/>
      <c r="KLG61" s="69"/>
      <c r="KLH61" s="69"/>
      <c r="KLI61" s="69"/>
      <c r="KLJ61" s="69"/>
      <c r="KLK61" s="69"/>
      <c r="KLL61" s="69"/>
      <c r="KLM61" s="69"/>
      <c r="KLN61" s="69"/>
      <c r="KLO61" s="69"/>
      <c r="KLP61" s="69"/>
      <c r="KLQ61" s="69"/>
      <c r="KLR61" s="69"/>
      <c r="KLS61" s="69"/>
      <c r="KLT61" s="69"/>
      <c r="KLU61" s="69"/>
      <c r="KLV61" s="69"/>
      <c r="KLW61" s="69"/>
      <c r="KLX61" s="69"/>
      <c r="KLY61" s="69"/>
      <c r="KLZ61" s="69"/>
      <c r="KMA61" s="69"/>
      <c r="KMB61" s="69"/>
      <c r="KMC61" s="69"/>
      <c r="KMD61" s="69"/>
      <c r="KME61" s="69"/>
      <c r="KMF61" s="69"/>
      <c r="KMG61" s="69"/>
      <c r="KMH61" s="69"/>
      <c r="KMI61" s="69"/>
      <c r="KMJ61" s="69"/>
      <c r="KMK61" s="69"/>
      <c r="KML61" s="69"/>
      <c r="KMM61" s="69"/>
      <c r="KMN61" s="69"/>
      <c r="KMO61" s="69"/>
      <c r="KMP61" s="69"/>
      <c r="KMQ61" s="69"/>
      <c r="KMR61" s="69"/>
      <c r="KMS61" s="69"/>
      <c r="KMT61" s="69"/>
      <c r="KMU61" s="69"/>
      <c r="KMV61" s="69"/>
      <c r="KMW61" s="69"/>
      <c r="KMX61" s="69"/>
      <c r="KMY61" s="69"/>
      <c r="KMZ61" s="69"/>
      <c r="KNA61" s="69"/>
      <c r="KNB61" s="69"/>
      <c r="KNC61" s="69"/>
      <c r="KND61" s="69"/>
      <c r="KNE61" s="69"/>
      <c r="KNF61" s="69"/>
      <c r="KNG61" s="69"/>
      <c r="KNH61" s="69"/>
      <c r="KNI61" s="69"/>
      <c r="KNJ61" s="69"/>
      <c r="KNK61" s="69"/>
      <c r="KNL61" s="69"/>
      <c r="KNM61" s="69"/>
      <c r="KNN61" s="69"/>
      <c r="KNO61" s="69"/>
      <c r="KNP61" s="69"/>
      <c r="KNQ61" s="69"/>
      <c r="KNR61" s="69"/>
      <c r="KNS61" s="69"/>
      <c r="KNT61" s="69"/>
      <c r="KNU61" s="69"/>
      <c r="KNV61" s="69"/>
      <c r="KNW61" s="69"/>
      <c r="KNX61" s="69"/>
      <c r="KNY61" s="69"/>
      <c r="KNZ61" s="69"/>
      <c r="KOA61" s="69"/>
      <c r="KOB61" s="69"/>
      <c r="KOC61" s="69"/>
      <c r="KOD61" s="69"/>
      <c r="KOE61" s="69"/>
      <c r="KOF61" s="69"/>
      <c r="KOG61" s="69"/>
      <c r="KOH61" s="69"/>
      <c r="KOI61" s="69"/>
      <c r="KOJ61" s="69"/>
      <c r="KOK61" s="69"/>
      <c r="KOL61" s="69"/>
      <c r="KOM61" s="69"/>
      <c r="KON61" s="69"/>
      <c r="KOO61" s="69"/>
      <c r="KOP61" s="69"/>
      <c r="KOQ61" s="69"/>
      <c r="KOR61" s="69"/>
      <c r="KOS61" s="69"/>
      <c r="KOT61" s="69"/>
      <c r="KOU61" s="69"/>
      <c r="KOV61" s="69"/>
      <c r="KOW61" s="69"/>
      <c r="KOX61" s="69"/>
      <c r="KOY61" s="69"/>
      <c r="KOZ61" s="69"/>
      <c r="KPA61" s="69"/>
      <c r="KPB61" s="69"/>
      <c r="KPC61" s="69"/>
      <c r="KPD61" s="69"/>
      <c r="KPE61" s="69"/>
      <c r="KPF61" s="69"/>
      <c r="KPG61" s="69"/>
      <c r="KPH61" s="69"/>
      <c r="KPI61" s="69"/>
      <c r="KPJ61" s="69"/>
      <c r="KPK61" s="69"/>
      <c r="KPL61" s="69"/>
      <c r="KPM61" s="69"/>
      <c r="KPN61" s="69"/>
      <c r="KPO61" s="69"/>
      <c r="KPP61" s="69"/>
      <c r="KPQ61" s="69"/>
      <c r="KPR61" s="69"/>
      <c r="KPS61" s="69"/>
      <c r="KPT61" s="69"/>
      <c r="KPU61" s="69"/>
      <c r="KPV61" s="69"/>
      <c r="KPW61" s="69"/>
      <c r="KPX61" s="69"/>
      <c r="KPY61" s="69"/>
      <c r="KPZ61" s="69"/>
      <c r="KQA61" s="69"/>
      <c r="KQB61" s="69"/>
      <c r="KQC61" s="69"/>
      <c r="KQD61" s="69"/>
      <c r="KQE61" s="69"/>
      <c r="KQF61" s="69"/>
      <c r="KQG61" s="69"/>
      <c r="KQH61" s="69"/>
      <c r="KQI61" s="69"/>
      <c r="KQJ61" s="69"/>
      <c r="KQK61" s="69"/>
      <c r="KQL61" s="69"/>
      <c r="KQM61" s="69"/>
      <c r="KQN61" s="69"/>
      <c r="KQO61" s="69"/>
      <c r="KQP61" s="69"/>
      <c r="KQQ61" s="69"/>
      <c r="KQR61" s="69"/>
      <c r="KQS61" s="69"/>
      <c r="KQT61" s="69"/>
      <c r="KQU61" s="69"/>
      <c r="KQV61" s="69"/>
      <c r="KQW61" s="69"/>
      <c r="KQX61" s="69"/>
      <c r="KQY61" s="69"/>
      <c r="KQZ61" s="69"/>
      <c r="KRA61" s="69"/>
      <c r="KRB61" s="69"/>
      <c r="KRC61" s="69"/>
      <c r="KRD61" s="69"/>
      <c r="KRE61" s="69"/>
      <c r="KRF61" s="69"/>
      <c r="KRG61" s="69"/>
      <c r="KRH61" s="69"/>
      <c r="KRI61" s="69"/>
      <c r="KRJ61" s="69"/>
      <c r="KRK61" s="69"/>
      <c r="KRL61" s="69"/>
      <c r="KRM61" s="69"/>
      <c r="KRN61" s="69"/>
      <c r="KRO61" s="69"/>
      <c r="KRP61" s="69"/>
      <c r="KRQ61" s="69"/>
      <c r="KRR61" s="69"/>
      <c r="KRS61" s="69"/>
      <c r="KRT61" s="69"/>
      <c r="KRU61" s="69"/>
      <c r="KRV61" s="69"/>
      <c r="KRW61" s="69"/>
      <c r="KRX61" s="69"/>
      <c r="KRY61" s="69"/>
      <c r="KRZ61" s="69"/>
      <c r="KSA61" s="69"/>
      <c r="KSB61" s="69"/>
      <c r="KSC61" s="69"/>
      <c r="KSD61" s="69"/>
      <c r="KSE61" s="69"/>
      <c r="KSF61" s="69"/>
      <c r="KSG61" s="69"/>
      <c r="KSH61" s="69"/>
      <c r="KSI61" s="69"/>
      <c r="KSJ61" s="69"/>
      <c r="KSK61" s="69"/>
      <c r="KSL61" s="69"/>
      <c r="KSM61" s="69"/>
      <c r="KSN61" s="69"/>
      <c r="KSO61" s="69"/>
      <c r="KSP61" s="69"/>
      <c r="KSQ61" s="69"/>
      <c r="KSR61" s="69"/>
      <c r="KSS61" s="69"/>
      <c r="KST61" s="69"/>
      <c r="KSU61" s="69"/>
      <c r="KSV61" s="69"/>
      <c r="KSW61" s="69"/>
      <c r="KSX61" s="69"/>
      <c r="KSY61" s="69"/>
      <c r="KSZ61" s="69"/>
      <c r="KTA61" s="69"/>
      <c r="KTB61" s="69"/>
      <c r="KTC61" s="69"/>
      <c r="KTD61" s="69"/>
      <c r="KTE61" s="69"/>
      <c r="KTF61" s="69"/>
      <c r="KTG61" s="69"/>
      <c r="KTH61" s="69"/>
      <c r="KTI61" s="69"/>
      <c r="KTJ61" s="69"/>
      <c r="KTK61" s="69"/>
      <c r="KTL61" s="69"/>
      <c r="KTM61" s="69"/>
      <c r="KTN61" s="69"/>
      <c r="KTO61" s="69"/>
      <c r="KTP61" s="69"/>
      <c r="KTQ61" s="69"/>
      <c r="KTR61" s="69"/>
      <c r="KTS61" s="69"/>
      <c r="KTT61" s="69"/>
      <c r="KTU61" s="69"/>
      <c r="KTV61" s="69"/>
      <c r="KTW61" s="69"/>
      <c r="KTX61" s="69"/>
      <c r="KTY61" s="69"/>
      <c r="KTZ61" s="69"/>
      <c r="KUA61" s="69"/>
      <c r="KUB61" s="69"/>
      <c r="KUC61" s="69"/>
      <c r="KUD61" s="69"/>
      <c r="KUE61" s="69"/>
      <c r="KUF61" s="69"/>
      <c r="KUG61" s="69"/>
      <c r="KUH61" s="69"/>
      <c r="KUI61" s="69"/>
      <c r="KUJ61" s="69"/>
      <c r="KUK61" s="69"/>
      <c r="KUL61" s="69"/>
      <c r="KUM61" s="69"/>
      <c r="KUN61" s="69"/>
      <c r="KUO61" s="69"/>
      <c r="KUP61" s="69"/>
      <c r="KUQ61" s="69"/>
      <c r="KUR61" s="69"/>
      <c r="KUS61" s="69"/>
      <c r="KUT61" s="69"/>
      <c r="KUU61" s="69"/>
      <c r="KUV61" s="69"/>
      <c r="KUW61" s="69"/>
      <c r="KUX61" s="69"/>
      <c r="KUY61" s="69"/>
      <c r="KUZ61" s="69"/>
      <c r="KVA61" s="69"/>
      <c r="KVB61" s="69"/>
      <c r="KVC61" s="69"/>
      <c r="KVD61" s="69"/>
      <c r="KVE61" s="69"/>
      <c r="KVF61" s="69"/>
      <c r="KVG61" s="69"/>
      <c r="KVH61" s="69"/>
      <c r="KVI61" s="69"/>
      <c r="KVJ61" s="69"/>
      <c r="KVK61" s="69"/>
      <c r="KVL61" s="69"/>
      <c r="KVM61" s="69"/>
      <c r="KVN61" s="69"/>
      <c r="KVO61" s="69"/>
      <c r="KVP61" s="69"/>
      <c r="KVQ61" s="69"/>
      <c r="KVR61" s="69"/>
      <c r="KVS61" s="69"/>
      <c r="KVT61" s="69"/>
      <c r="KVU61" s="69"/>
      <c r="KVV61" s="69"/>
      <c r="KVW61" s="69"/>
      <c r="KVX61" s="69"/>
      <c r="KVY61" s="69"/>
      <c r="KVZ61" s="69"/>
      <c r="KWA61" s="69"/>
      <c r="KWB61" s="69"/>
      <c r="KWC61" s="69"/>
      <c r="KWD61" s="69"/>
      <c r="KWE61" s="69"/>
      <c r="KWF61" s="69"/>
      <c r="KWG61" s="69"/>
      <c r="KWH61" s="69"/>
      <c r="KWI61" s="69"/>
      <c r="KWJ61" s="69"/>
      <c r="KWK61" s="69"/>
      <c r="KWL61" s="69"/>
      <c r="KWM61" s="69"/>
      <c r="KWN61" s="69"/>
      <c r="KWO61" s="69"/>
      <c r="KWP61" s="69"/>
      <c r="KWQ61" s="69"/>
      <c r="KWR61" s="69"/>
      <c r="KWS61" s="69"/>
      <c r="KWT61" s="69"/>
      <c r="KWU61" s="69"/>
      <c r="KWV61" s="69"/>
      <c r="KWW61" s="69"/>
      <c r="KWX61" s="69"/>
      <c r="KWY61" s="69"/>
      <c r="KWZ61" s="69"/>
      <c r="KXA61" s="69"/>
      <c r="KXB61" s="69"/>
      <c r="KXC61" s="69"/>
      <c r="KXD61" s="69"/>
      <c r="KXE61" s="69"/>
      <c r="KXF61" s="69"/>
      <c r="KXG61" s="69"/>
      <c r="KXH61" s="69"/>
      <c r="KXI61" s="69"/>
      <c r="KXJ61" s="69"/>
      <c r="KXK61" s="69"/>
      <c r="KXL61" s="69"/>
      <c r="KXM61" s="69"/>
      <c r="KXN61" s="69"/>
      <c r="KXO61" s="69"/>
      <c r="KXP61" s="69"/>
      <c r="KXQ61" s="69"/>
      <c r="KXR61" s="69"/>
      <c r="KXS61" s="69"/>
      <c r="KXT61" s="69"/>
      <c r="KXU61" s="69"/>
      <c r="KXV61" s="69"/>
      <c r="KXW61" s="69"/>
      <c r="KXX61" s="69"/>
      <c r="KXY61" s="69"/>
      <c r="KXZ61" s="69"/>
      <c r="KYA61" s="69"/>
      <c r="KYB61" s="69"/>
      <c r="KYC61" s="69"/>
      <c r="KYD61" s="69"/>
      <c r="KYE61" s="69"/>
      <c r="KYF61" s="69"/>
      <c r="KYG61" s="69"/>
      <c r="KYH61" s="69"/>
      <c r="KYI61" s="69"/>
      <c r="KYJ61" s="69"/>
      <c r="KYK61" s="69"/>
      <c r="KYL61" s="69"/>
      <c r="KYM61" s="69"/>
      <c r="KYN61" s="69"/>
      <c r="KYO61" s="69"/>
      <c r="KYP61" s="69"/>
      <c r="KYQ61" s="69"/>
      <c r="KYR61" s="69"/>
      <c r="KYS61" s="69"/>
      <c r="KYT61" s="69"/>
      <c r="KYU61" s="69"/>
      <c r="KYV61" s="69"/>
      <c r="KYW61" s="69"/>
      <c r="KYX61" s="69"/>
      <c r="KYY61" s="69"/>
      <c r="KYZ61" s="69"/>
      <c r="KZA61" s="69"/>
      <c r="KZB61" s="69"/>
      <c r="KZC61" s="69"/>
      <c r="KZD61" s="69"/>
      <c r="KZE61" s="69"/>
      <c r="KZF61" s="69"/>
      <c r="KZG61" s="69"/>
      <c r="KZH61" s="69"/>
      <c r="KZI61" s="69"/>
      <c r="KZJ61" s="69"/>
      <c r="KZK61" s="69"/>
      <c r="KZL61" s="69"/>
      <c r="KZM61" s="69"/>
      <c r="KZN61" s="69"/>
      <c r="KZO61" s="69"/>
      <c r="KZP61" s="69"/>
      <c r="KZQ61" s="69"/>
      <c r="KZR61" s="69"/>
      <c r="KZS61" s="69"/>
      <c r="KZT61" s="69"/>
      <c r="KZU61" s="69"/>
      <c r="KZV61" s="69"/>
      <c r="KZW61" s="69"/>
      <c r="KZX61" s="69"/>
      <c r="KZY61" s="69"/>
      <c r="KZZ61" s="69"/>
      <c r="LAA61" s="69"/>
      <c r="LAB61" s="69"/>
      <c r="LAC61" s="69"/>
      <c r="LAD61" s="69"/>
      <c r="LAE61" s="69"/>
      <c r="LAF61" s="69"/>
      <c r="LAG61" s="69"/>
      <c r="LAH61" s="69"/>
      <c r="LAI61" s="69"/>
      <c r="LAJ61" s="69"/>
      <c r="LAK61" s="69"/>
      <c r="LAL61" s="69"/>
      <c r="LAM61" s="69"/>
      <c r="LAN61" s="69"/>
      <c r="LAO61" s="69"/>
      <c r="LAP61" s="69"/>
      <c r="LAQ61" s="69"/>
      <c r="LAR61" s="69"/>
      <c r="LAS61" s="69"/>
      <c r="LAT61" s="69"/>
      <c r="LAU61" s="69"/>
      <c r="LAV61" s="69"/>
      <c r="LAW61" s="69"/>
      <c r="LAX61" s="69"/>
      <c r="LAY61" s="69"/>
      <c r="LAZ61" s="69"/>
      <c r="LBA61" s="69"/>
      <c r="LBB61" s="69"/>
      <c r="LBC61" s="69"/>
      <c r="LBD61" s="69"/>
      <c r="LBE61" s="69"/>
      <c r="LBF61" s="69"/>
      <c r="LBG61" s="69"/>
      <c r="LBH61" s="69"/>
      <c r="LBI61" s="69"/>
      <c r="LBJ61" s="69"/>
      <c r="LBK61" s="69"/>
      <c r="LBL61" s="69"/>
      <c r="LBM61" s="69"/>
      <c r="LBN61" s="69"/>
      <c r="LBO61" s="69"/>
      <c r="LBP61" s="69"/>
      <c r="LBQ61" s="69"/>
      <c r="LBR61" s="69"/>
      <c r="LBS61" s="69"/>
      <c r="LBT61" s="69"/>
      <c r="LBU61" s="69"/>
      <c r="LBV61" s="69"/>
      <c r="LBW61" s="69"/>
      <c r="LBX61" s="69"/>
      <c r="LBY61" s="69"/>
      <c r="LBZ61" s="69"/>
      <c r="LCA61" s="69"/>
      <c r="LCB61" s="69"/>
      <c r="LCC61" s="69"/>
      <c r="LCD61" s="69"/>
      <c r="LCE61" s="69"/>
      <c r="LCF61" s="69"/>
      <c r="LCG61" s="69"/>
      <c r="LCH61" s="69"/>
      <c r="LCI61" s="69"/>
      <c r="LCJ61" s="69"/>
      <c r="LCK61" s="69"/>
      <c r="LCL61" s="69"/>
      <c r="LCM61" s="69"/>
      <c r="LCN61" s="69"/>
      <c r="LCO61" s="69"/>
      <c r="LCP61" s="69"/>
      <c r="LCQ61" s="69"/>
      <c r="LCR61" s="69"/>
      <c r="LCS61" s="69"/>
      <c r="LCT61" s="69"/>
      <c r="LCU61" s="69"/>
      <c r="LCV61" s="69"/>
      <c r="LCW61" s="69"/>
      <c r="LCX61" s="69"/>
      <c r="LCY61" s="69"/>
      <c r="LCZ61" s="69"/>
      <c r="LDA61" s="69"/>
      <c r="LDB61" s="69"/>
      <c r="LDC61" s="69"/>
      <c r="LDD61" s="69"/>
      <c r="LDE61" s="69"/>
      <c r="LDF61" s="69"/>
      <c r="LDG61" s="69"/>
      <c r="LDH61" s="69"/>
      <c r="LDI61" s="69"/>
      <c r="LDJ61" s="69"/>
      <c r="LDK61" s="69"/>
      <c r="LDL61" s="69"/>
      <c r="LDM61" s="69"/>
      <c r="LDN61" s="69"/>
      <c r="LDO61" s="69"/>
      <c r="LDP61" s="69"/>
      <c r="LDQ61" s="69"/>
      <c r="LDR61" s="69"/>
      <c r="LDS61" s="69"/>
      <c r="LDT61" s="69"/>
      <c r="LDU61" s="69"/>
      <c r="LDV61" s="69"/>
      <c r="LDW61" s="69"/>
      <c r="LDX61" s="69"/>
      <c r="LDY61" s="69"/>
      <c r="LDZ61" s="69"/>
      <c r="LEA61" s="69"/>
      <c r="LEB61" s="69"/>
      <c r="LEC61" s="69"/>
      <c r="LED61" s="69"/>
      <c r="LEE61" s="69"/>
      <c r="LEF61" s="69"/>
      <c r="LEG61" s="69"/>
      <c r="LEH61" s="69"/>
      <c r="LEI61" s="69"/>
      <c r="LEJ61" s="69"/>
      <c r="LEK61" s="69"/>
      <c r="LEL61" s="69"/>
      <c r="LEM61" s="69"/>
      <c r="LEN61" s="69"/>
      <c r="LEO61" s="69"/>
      <c r="LEP61" s="69"/>
      <c r="LEQ61" s="69"/>
      <c r="LER61" s="69"/>
      <c r="LES61" s="69"/>
      <c r="LET61" s="69"/>
      <c r="LEU61" s="69"/>
      <c r="LEV61" s="69"/>
      <c r="LEW61" s="69"/>
      <c r="LEX61" s="69"/>
      <c r="LEY61" s="69"/>
      <c r="LEZ61" s="69"/>
      <c r="LFA61" s="69"/>
      <c r="LFB61" s="69"/>
      <c r="LFC61" s="69"/>
      <c r="LFD61" s="69"/>
      <c r="LFE61" s="69"/>
      <c r="LFF61" s="69"/>
      <c r="LFG61" s="69"/>
      <c r="LFH61" s="69"/>
      <c r="LFI61" s="69"/>
      <c r="LFJ61" s="69"/>
      <c r="LFK61" s="69"/>
      <c r="LFL61" s="69"/>
      <c r="LFM61" s="69"/>
      <c r="LFN61" s="69"/>
      <c r="LFO61" s="69"/>
      <c r="LFP61" s="69"/>
      <c r="LFQ61" s="69"/>
      <c r="LFR61" s="69"/>
      <c r="LFS61" s="69"/>
      <c r="LFT61" s="69"/>
      <c r="LFU61" s="69"/>
      <c r="LFV61" s="69"/>
      <c r="LFW61" s="69"/>
      <c r="LFX61" s="69"/>
      <c r="LFY61" s="69"/>
      <c r="LFZ61" s="69"/>
      <c r="LGA61" s="69"/>
      <c r="LGB61" s="69"/>
      <c r="LGC61" s="69"/>
      <c r="LGD61" s="69"/>
      <c r="LGE61" s="69"/>
      <c r="LGF61" s="69"/>
      <c r="LGG61" s="69"/>
      <c r="LGH61" s="69"/>
      <c r="LGI61" s="69"/>
      <c r="LGJ61" s="69"/>
      <c r="LGK61" s="69"/>
      <c r="LGL61" s="69"/>
      <c r="LGM61" s="69"/>
      <c r="LGN61" s="69"/>
      <c r="LGO61" s="69"/>
      <c r="LGP61" s="69"/>
      <c r="LGQ61" s="69"/>
      <c r="LGR61" s="69"/>
      <c r="LGS61" s="69"/>
      <c r="LGT61" s="69"/>
      <c r="LGU61" s="69"/>
      <c r="LGV61" s="69"/>
      <c r="LGW61" s="69"/>
      <c r="LGX61" s="69"/>
      <c r="LGY61" s="69"/>
      <c r="LGZ61" s="69"/>
      <c r="LHA61" s="69"/>
      <c r="LHB61" s="69"/>
      <c r="LHC61" s="69"/>
      <c r="LHD61" s="69"/>
      <c r="LHE61" s="69"/>
      <c r="LHF61" s="69"/>
      <c r="LHG61" s="69"/>
      <c r="LHH61" s="69"/>
      <c r="LHI61" s="69"/>
      <c r="LHJ61" s="69"/>
      <c r="LHK61" s="69"/>
      <c r="LHL61" s="69"/>
      <c r="LHM61" s="69"/>
      <c r="LHN61" s="69"/>
      <c r="LHO61" s="69"/>
      <c r="LHP61" s="69"/>
      <c r="LHQ61" s="69"/>
      <c r="LHR61" s="69"/>
      <c r="LHS61" s="69"/>
      <c r="LHT61" s="69"/>
      <c r="LHU61" s="69"/>
      <c r="LHV61" s="69"/>
      <c r="LHW61" s="69"/>
      <c r="LHX61" s="69"/>
      <c r="LHY61" s="69"/>
      <c r="LHZ61" s="69"/>
      <c r="LIA61" s="69"/>
      <c r="LIB61" s="69"/>
      <c r="LIC61" s="69"/>
      <c r="LID61" s="69"/>
      <c r="LIE61" s="69"/>
      <c r="LIF61" s="69"/>
      <c r="LIG61" s="69"/>
      <c r="LIH61" s="69"/>
      <c r="LII61" s="69"/>
      <c r="LIJ61" s="69"/>
      <c r="LIK61" s="69"/>
      <c r="LIL61" s="69"/>
      <c r="LIM61" s="69"/>
      <c r="LIN61" s="69"/>
      <c r="LIO61" s="69"/>
      <c r="LIP61" s="69"/>
      <c r="LIQ61" s="69"/>
      <c r="LIR61" s="69"/>
      <c r="LIS61" s="69"/>
      <c r="LIT61" s="69"/>
      <c r="LIU61" s="69"/>
      <c r="LIV61" s="69"/>
      <c r="LIW61" s="69"/>
      <c r="LIX61" s="69"/>
      <c r="LIY61" s="69"/>
      <c r="LIZ61" s="69"/>
      <c r="LJA61" s="69"/>
      <c r="LJB61" s="69"/>
      <c r="LJC61" s="69"/>
      <c r="LJD61" s="69"/>
      <c r="LJE61" s="69"/>
      <c r="LJF61" s="69"/>
      <c r="LJG61" s="69"/>
      <c r="LJH61" s="69"/>
      <c r="LJI61" s="69"/>
      <c r="LJJ61" s="69"/>
      <c r="LJK61" s="69"/>
      <c r="LJL61" s="69"/>
      <c r="LJM61" s="69"/>
      <c r="LJN61" s="69"/>
      <c r="LJO61" s="69"/>
      <c r="LJP61" s="69"/>
      <c r="LJQ61" s="69"/>
      <c r="LJR61" s="69"/>
      <c r="LJS61" s="69"/>
      <c r="LJT61" s="69"/>
      <c r="LJU61" s="69"/>
      <c r="LJV61" s="69"/>
      <c r="LJW61" s="69"/>
      <c r="LJX61" s="69"/>
      <c r="LJY61" s="69"/>
      <c r="LJZ61" s="69"/>
      <c r="LKA61" s="69"/>
      <c r="LKB61" s="69"/>
      <c r="LKC61" s="69"/>
      <c r="LKD61" s="69"/>
      <c r="LKE61" s="69"/>
      <c r="LKF61" s="69"/>
      <c r="LKG61" s="69"/>
      <c r="LKH61" s="69"/>
      <c r="LKI61" s="69"/>
      <c r="LKJ61" s="69"/>
      <c r="LKK61" s="69"/>
      <c r="LKL61" s="69"/>
      <c r="LKM61" s="69"/>
      <c r="LKN61" s="69"/>
      <c r="LKO61" s="69"/>
      <c r="LKP61" s="69"/>
      <c r="LKQ61" s="69"/>
      <c r="LKR61" s="69"/>
      <c r="LKS61" s="69"/>
      <c r="LKT61" s="69"/>
      <c r="LKU61" s="69"/>
      <c r="LKV61" s="69"/>
      <c r="LKW61" s="69"/>
      <c r="LKX61" s="69"/>
      <c r="LKY61" s="69"/>
      <c r="LKZ61" s="69"/>
      <c r="LLA61" s="69"/>
      <c r="LLB61" s="69"/>
      <c r="LLC61" s="69"/>
      <c r="LLD61" s="69"/>
      <c r="LLE61" s="69"/>
      <c r="LLF61" s="69"/>
      <c r="LLG61" s="69"/>
      <c r="LLH61" s="69"/>
      <c r="LLI61" s="69"/>
      <c r="LLJ61" s="69"/>
      <c r="LLK61" s="69"/>
      <c r="LLL61" s="69"/>
      <c r="LLM61" s="69"/>
      <c r="LLN61" s="69"/>
      <c r="LLO61" s="69"/>
      <c r="LLP61" s="69"/>
      <c r="LLQ61" s="69"/>
      <c r="LLR61" s="69"/>
      <c r="LLS61" s="69"/>
      <c r="LLT61" s="69"/>
      <c r="LLU61" s="69"/>
      <c r="LLV61" s="69"/>
      <c r="LLW61" s="69"/>
      <c r="LLX61" s="69"/>
      <c r="LLY61" s="69"/>
      <c r="LLZ61" s="69"/>
      <c r="LMA61" s="69"/>
      <c r="LMB61" s="69"/>
      <c r="LMC61" s="69"/>
      <c r="LMD61" s="69"/>
      <c r="LME61" s="69"/>
      <c r="LMF61" s="69"/>
      <c r="LMG61" s="69"/>
      <c r="LMH61" s="69"/>
      <c r="LMI61" s="69"/>
      <c r="LMJ61" s="69"/>
      <c r="LMK61" s="69"/>
      <c r="LML61" s="69"/>
      <c r="LMM61" s="69"/>
      <c r="LMN61" s="69"/>
      <c r="LMO61" s="69"/>
      <c r="LMP61" s="69"/>
      <c r="LMQ61" s="69"/>
      <c r="LMR61" s="69"/>
      <c r="LMS61" s="69"/>
      <c r="LMT61" s="69"/>
      <c r="LMU61" s="69"/>
      <c r="LMV61" s="69"/>
      <c r="LMW61" s="69"/>
      <c r="LMX61" s="69"/>
      <c r="LMY61" s="69"/>
      <c r="LMZ61" s="69"/>
      <c r="LNA61" s="69"/>
      <c r="LNB61" s="69"/>
      <c r="LNC61" s="69"/>
      <c r="LND61" s="69"/>
      <c r="LNE61" s="69"/>
      <c r="LNF61" s="69"/>
      <c r="LNG61" s="69"/>
      <c r="LNH61" s="69"/>
      <c r="LNI61" s="69"/>
      <c r="LNJ61" s="69"/>
      <c r="LNK61" s="69"/>
      <c r="LNL61" s="69"/>
      <c r="LNM61" s="69"/>
      <c r="LNN61" s="69"/>
      <c r="LNO61" s="69"/>
      <c r="LNP61" s="69"/>
      <c r="LNQ61" s="69"/>
      <c r="LNR61" s="69"/>
      <c r="LNS61" s="69"/>
      <c r="LNT61" s="69"/>
      <c r="LNU61" s="69"/>
      <c r="LNV61" s="69"/>
      <c r="LNW61" s="69"/>
      <c r="LNX61" s="69"/>
      <c r="LNY61" s="69"/>
      <c r="LNZ61" s="69"/>
      <c r="LOA61" s="69"/>
      <c r="LOB61" s="69"/>
      <c r="LOC61" s="69"/>
      <c r="LOD61" s="69"/>
      <c r="LOE61" s="69"/>
      <c r="LOF61" s="69"/>
      <c r="LOG61" s="69"/>
      <c r="LOH61" s="69"/>
      <c r="LOI61" s="69"/>
      <c r="LOJ61" s="69"/>
      <c r="LOK61" s="69"/>
      <c r="LOL61" s="69"/>
      <c r="LOM61" s="69"/>
      <c r="LON61" s="69"/>
      <c r="LOO61" s="69"/>
      <c r="LOP61" s="69"/>
      <c r="LOQ61" s="69"/>
      <c r="LOR61" s="69"/>
      <c r="LOS61" s="69"/>
      <c r="LOT61" s="69"/>
      <c r="LOU61" s="69"/>
      <c r="LOV61" s="69"/>
      <c r="LOW61" s="69"/>
      <c r="LOX61" s="69"/>
      <c r="LOY61" s="69"/>
      <c r="LOZ61" s="69"/>
      <c r="LPA61" s="69"/>
      <c r="LPB61" s="69"/>
      <c r="LPC61" s="69"/>
      <c r="LPD61" s="69"/>
      <c r="LPE61" s="69"/>
      <c r="LPF61" s="69"/>
      <c r="LPG61" s="69"/>
      <c r="LPH61" s="69"/>
      <c r="LPI61" s="69"/>
      <c r="LPJ61" s="69"/>
      <c r="LPK61" s="69"/>
      <c r="LPL61" s="69"/>
      <c r="LPM61" s="69"/>
      <c r="LPN61" s="69"/>
      <c r="LPO61" s="69"/>
      <c r="LPP61" s="69"/>
      <c r="LPQ61" s="69"/>
      <c r="LPR61" s="69"/>
      <c r="LPS61" s="69"/>
      <c r="LPT61" s="69"/>
      <c r="LPU61" s="69"/>
      <c r="LPV61" s="69"/>
      <c r="LPW61" s="69"/>
      <c r="LPX61" s="69"/>
      <c r="LPY61" s="69"/>
      <c r="LPZ61" s="69"/>
      <c r="LQA61" s="69"/>
      <c r="LQB61" s="69"/>
      <c r="LQC61" s="69"/>
      <c r="LQD61" s="69"/>
      <c r="LQE61" s="69"/>
      <c r="LQF61" s="69"/>
      <c r="LQG61" s="69"/>
      <c r="LQH61" s="69"/>
      <c r="LQI61" s="69"/>
      <c r="LQJ61" s="69"/>
      <c r="LQK61" s="69"/>
      <c r="LQL61" s="69"/>
      <c r="LQM61" s="69"/>
      <c r="LQN61" s="69"/>
      <c r="LQO61" s="69"/>
      <c r="LQP61" s="69"/>
      <c r="LQQ61" s="69"/>
      <c r="LQR61" s="69"/>
      <c r="LQS61" s="69"/>
      <c r="LQT61" s="69"/>
      <c r="LQU61" s="69"/>
      <c r="LQV61" s="69"/>
      <c r="LQW61" s="69"/>
      <c r="LQX61" s="69"/>
      <c r="LQY61" s="69"/>
      <c r="LQZ61" s="69"/>
      <c r="LRA61" s="69"/>
      <c r="LRB61" s="69"/>
      <c r="LRC61" s="69"/>
      <c r="LRD61" s="69"/>
      <c r="LRE61" s="69"/>
      <c r="LRF61" s="69"/>
      <c r="LRG61" s="69"/>
      <c r="LRH61" s="69"/>
      <c r="LRI61" s="69"/>
      <c r="LRJ61" s="69"/>
      <c r="LRK61" s="69"/>
      <c r="LRL61" s="69"/>
      <c r="LRM61" s="69"/>
      <c r="LRN61" s="69"/>
      <c r="LRO61" s="69"/>
      <c r="LRP61" s="69"/>
      <c r="LRQ61" s="69"/>
      <c r="LRR61" s="69"/>
      <c r="LRS61" s="69"/>
      <c r="LRT61" s="69"/>
      <c r="LRU61" s="69"/>
      <c r="LRV61" s="69"/>
      <c r="LRW61" s="69"/>
      <c r="LRX61" s="69"/>
      <c r="LRY61" s="69"/>
      <c r="LRZ61" s="69"/>
      <c r="LSA61" s="69"/>
      <c r="LSB61" s="69"/>
      <c r="LSC61" s="69"/>
      <c r="LSD61" s="69"/>
      <c r="LSE61" s="69"/>
      <c r="LSF61" s="69"/>
      <c r="LSG61" s="69"/>
      <c r="LSH61" s="69"/>
      <c r="LSI61" s="69"/>
      <c r="LSJ61" s="69"/>
      <c r="LSK61" s="69"/>
      <c r="LSL61" s="69"/>
      <c r="LSM61" s="69"/>
      <c r="LSN61" s="69"/>
      <c r="LSO61" s="69"/>
      <c r="LSP61" s="69"/>
      <c r="LSQ61" s="69"/>
      <c r="LSR61" s="69"/>
      <c r="LSS61" s="69"/>
      <c r="LST61" s="69"/>
      <c r="LSU61" s="69"/>
      <c r="LSV61" s="69"/>
      <c r="LSW61" s="69"/>
      <c r="LSX61" s="69"/>
      <c r="LSY61" s="69"/>
      <c r="LSZ61" s="69"/>
      <c r="LTA61" s="69"/>
      <c r="LTB61" s="69"/>
      <c r="LTC61" s="69"/>
      <c r="LTD61" s="69"/>
      <c r="LTE61" s="69"/>
      <c r="LTF61" s="69"/>
      <c r="LTG61" s="69"/>
      <c r="LTH61" s="69"/>
      <c r="LTI61" s="69"/>
      <c r="LTJ61" s="69"/>
      <c r="LTK61" s="69"/>
      <c r="LTL61" s="69"/>
      <c r="LTM61" s="69"/>
      <c r="LTN61" s="69"/>
      <c r="LTO61" s="69"/>
      <c r="LTP61" s="69"/>
      <c r="LTQ61" s="69"/>
      <c r="LTR61" s="69"/>
      <c r="LTS61" s="69"/>
      <c r="LTT61" s="69"/>
      <c r="LTU61" s="69"/>
      <c r="LTV61" s="69"/>
      <c r="LTW61" s="69"/>
      <c r="LTX61" s="69"/>
      <c r="LTY61" s="69"/>
      <c r="LTZ61" s="69"/>
      <c r="LUA61" s="69"/>
      <c r="LUB61" s="69"/>
      <c r="LUC61" s="69"/>
      <c r="LUD61" s="69"/>
      <c r="LUE61" s="69"/>
      <c r="LUF61" s="69"/>
      <c r="LUG61" s="69"/>
      <c r="LUH61" s="69"/>
      <c r="LUI61" s="69"/>
      <c r="LUJ61" s="69"/>
      <c r="LUK61" s="69"/>
      <c r="LUL61" s="69"/>
      <c r="LUM61" s="69"/>
      <c r="LUN61" s="69"/>
      <c r="LUO61" s="69"/>
      <c r="LUP61" s="69"/>
      <c r="LUQ61" s="69"/>
      <c r="LUR61" s="69"/>
      <c r="LUS61" s="69"/>
      <c r="LUT61" s="69"/>
      <c r="LUU61" s="69"/>
      <c r="LUV61" s="69"/>
      <c r="LUW61" s="69"/>
      <c r="LUX61" s="69"/>
      <c r="LUY61" s="69"/>
      <c r="LUZ61" s="69"/>
      <c r="LVA61" s="69"/>
      <c r="LVB61" s="69"/>
      <c r="LVC61" s="69"/>
      <c r="LVD61" s="69"/>
      <c r="LVE61" s="69"/>
      <c r="LVF61" s="69"/>
      <c r="LVG61" s="69"/>
      <c r="LVH61" s="69"/>
      <c r="LVI61" s="69"/>
      <c r="LVJ61" s="69"/>
      <c r="LVK61" s="69"/>
      <c r="LVL61" s="69"/>
      <c r="LVM61" s="69"/>
      <c r="LVN61" s="69"/>
      <c r="LVO61" s="69"/>
      <c r="LVP61" s="69"/>
      <c r="LVQ61" s="69"/>
      <c r="LVR61" s="69"/>
      <c r="LVS61" s="69"/>
      <c r="LVT61" s="69"/>
      <c r="LVU61" s="69"/>
      <c r="LVV61" s="69"/>
      <c r="LVW61" s="69"/>
      <c r="LVX61" s="69"/>
      <c r="LVY61" s="69"/>
      <c r="LVZ61" s="69"/>
      <c r="LWA61" s="69"/>
      <c r="LWB61" s="69"/>
      <c r="LWC61" s="69"/>
      <c r="LWD61" s="69"/>
      <c r="LWE61" s="69"/>
      <c r="LWF61" s="69"/>
      <c r="LWG61" s="69"/>
      <c r="LWH61" s="69"/>
      <c r="LWI61" s="69"/>
      <c r="LWJ61" s="69"/>
      <c r="LWK61" s="69"/>
      <c r="LWL61" s="69"/>
      <c r="LWM61" s="69"/>
      <c r="LWN61" s="69"/>
      <c r="LWO61" s="69"/>
      <c r="LWP61" s="69"/>
      <c r="LWQ61" s="69"/>
      <c r="LWR61" s="69"/>
      <c r="LWS61" s="69"/>
      <c r="LWT61" s="69"/>
      <c r="LWU61" s="69"/>
      <c r="LWV61" s="69"/>
      <c r="LWW61" s="69"/>
      <c r="LWX61" s="69"/>
      <c r="LWY61" s="69"/>
      <c r="LWZ61" s="69"/>
      <c r="LXA61" s="69"/>
      <c r="LXB61" s="69"/>
      <c r="LXC61" s="69"/>
      <c r="LXD61" s="69"/>
      <c r="LXE61" s="69"/>
      <c r="LXF61" s="69"/>
      <c r="LXG61" s="69"/>
      <c r="LXH61" s="69"/>
      <c r="LXI61" s="69"/>
      <c r="LXJ61" s="69"/>
      <c r="LXK61" s="69"/>
      <c r="LXL61" s="69"/>
      <c r="LXM61" s="69"/>
      <c r="LXN61" s="69"/>
      <c r="LXO61" s="69"/>
      <c r="LXP61" s="69"/>
      <c r="LXQ61" s="69"/>
      <c r="LXR61" s="69"/>
      <c r="LXS61" s="69"/>
      <c r="LXT61" s="69"/>
      <c r="LXU61" s="69"/>
      <c r="LXV61" s="69"/>
      <c r="LXW61" s="69"/>
      <c r="LXX61" s="69"/>
      <c r="LXY61" s="69"/>
      <c r="LXZ61" s="69"/>
      <c r="LYA61" s="69"/>
      <c r="LYB61" s="69"/>
      <c r="LYC61" s="69"/>
      <c r="LYD61" s="69"/>
      <c r="LYE61" s="69"/>
      <c r="LYF61" s="69"/>
      <c r="LYG61" s="69"/>
      <c r="LYH61" s="69"/>
      <c r="LYI61" s="69"/>
      <c r="LYJ61" s="69"/>
      <c r="LYK61" s="69"/>
      <c r="LYL61" s="69"/>
      <c r="LYM61" s="69"/>
      <c r="LYN61" s="69"/>
      <c r="LYO61" s="69"/>
      <c r="LYP61" s="69"/>
      <c r="LYQ61" s="69"/>
      <c r="LYR61" s="69"/>
      <c r="LYS61" s="69"/>
      <c r="LYT61" s="69"/>
      <c r="LYU61" s="69"/>
      <c r="LYV61" s="69"/>
      <c r="LYW61" s="69"/>
      <c r="LYX61" s="69"/>
      <c r="LYY61" s="69"/>
      <c r="LYZ61" s="69"/>
      <c r="LZA61" s="69"/>
      <c r="LZB61" s="69"/>
      <c r="LZC61" s="69"/>
      <c r="LZD61" s="69"/>
      <c r="LZE61" s="69"/>
      <c r="LZF61" s="69"/>
      <c r="LZG61" s="69"/>
      <c r="LZH61" s="69"/>
      <c r="LZI61" s="69"/>
      <c r="LZJ61" s="69"/>
      <c r="LZK61" s="69"/>
      <c r="LZL61" s="69"/>
      <c r="LZM61" s="69"/>
      <c r="LZN61" s="69"/>
      <c r="LZO61" s="69"/>
      <c r="LZP61" s="69"/>
      <c r="LZQ61" s="69"/>
      <c r="LZR61" s="69"/>
      <c r="LZS61" s="69"/>
      <c r="LZT61" s="69"/>
      <c r="LZU61" s="69"/>
      <c r="LZV61" s="69"/>
      <c r="LZW61" s="69"/>
      <c r="LZX61" s="69"/>
      <c r="LZY61" s="69"/>
      <c r="LZZ61" s="69"/>
      <c r="MAA61" s="69"/>
      <c r="MAB61" s="69"/>
      <c r="MAC61" s="69"/>
      <c r="MAD61" s="69"/>
      <c r="MAE61" s="69"/>
      <c r="MAF61" s="69"/>
      <c r="MAG61" s="69"/>
      <c r="MAH61" s="69"/>
      <c r="MAI61" s="69"/>
      <c r="MAJ61" s="69"/>
      <c r="MAK61" s="69"/>
      <c r="MAL61" s="69"/>
      <c r="MAM61" s="69"/>
      <c r="MAN61" s="69"/>
      <c r="MAO61" s="69"/>
      <c r="MAP61" s="69"/>
      <c r="MAQ61" s="69"/>
      <c r="MAR61" s="69"/>
      <c r="MAS61" s="69"/>
      <c r="MAT61" s="69"/>
      <c r="MAU61" s="69"/>
      <c r="MAV61" s="69"/>
      <c r="MAW61" s="69"/>
      <c r="MAX61" s="69"/>
      <c r="MAY61" s="69"/>
      <c r="MAZ61" s="69"/>
      <c r="MBA61" s="69"/>
      <c r="MBB61" s="69"/>
      <c r="MBC61" s="69"/>
      <c r="MBD61" s="69"/>
      <c r="MBE61" s="69"/>
      <c r="MBF61" s="69"/>
      <c r="MBG61" s="69"/>
      <c r="MBH61" s="69"/>
      <c r="MBI61" s="69"/>
      <c r="MBJ61" s="69"/>
      <c r="MBK61" s="69"/>
      <c r="MBL61" s="69"/>
      <c r="MBM61" s="69"/>
      <c r="MBN61" s="69"/>
      <c r="MBO61" s="69"/>
      <c r="MBP61" s="69"/>
      <c r="MBQ61" s="69"/>
      <c r="MBR61" s="69"/>
      <c r="MBS61" s="69"/>
      <c r="MBT61" s="69"/>
      <c r="MBU61" s="69"/>
      <c r="MBV61" s="69"/>
      <c r="MBW61" s="69"/>
      <c r="MBX61" s="69"/>
      <c r="MBY61" s="69"/>
      <c r="MBZ61" s="69"/>
      <c r="MCA61" s="69"/>
      <c r="MCB61" s="69"/>
      <c r="MCC61" s="69"/>
      <c r="MCD61" s="69"/>
      <c r="MCE61" s="69"/>
      <c r="MCF61" s="69"/>
      <c r="MCG61" s="69"/>
      <c r="MCH61" s="69"/>
      <c r="MCI61" s="69"/>
      <c r="MCJ61" s="69"/>
      <c r="MCK61" s="69"/>
      <c r="MCL61" s="69"/>
      <c r="MCM61" s="69"/>
      <c r="MCN61" s="69"/>
      <c r="MCO61" s="69"/>
      <c r="MCP61" s="69"/>
      <c r="MCQ61" s="69"/>
      <c r="MCR61" s="69"/>
      <c r="MCS61" s="69"/>
      <c r="MCT61" s="69"/>
      <c r="MCU61" s="69"/>
      <c r="MCV61" s="69"/>
      <c r="MCW61" s="69"/>
      <c r="MCX61" s="69"/>
      <c r="MCY61" s="69"/>
      <c r="MCZ61" s="69"/>
      <c r="MDA61" s="69"/>
      <c r="MDB61" s="69"/>
      <c r="MDC61" s="69"/>
      <c r="MDD61" s="69"/>
      <c r="MDE61" s="69"/>
      <c r="MDF61" s="69"/>
      <c r="MDG61" s="69"/>
      <c r="MDH61" s="69"/>
      <c r="MDI61" s="69"/>
      <c r="MDJ61" s="69"/>
      <c r="MDK61" s="69"/>
      <c r="MDL61" s="69"/>
      <c r="MDM61" s="69"/>
      <c r="MDN61" s="69"/>
      <c r="MDO61" s="69"/>
      <c r="MDP61" s="69"/>
      <c r="MDQ61" s="69"/>
      <c r="MDR61" s="69"/>
      <c r="MDS61" s="69"/>
      <c r="MDT61" s="69"/>
      <c r="MDU61" s="69"/>
      <c r="MDV61" s="69"/>
      <c r="MDW61" s="69"/>
      <c r="MDX61" s="69"/>
      <c r="MDY61" s="69"/>
      <c r="MDZ61" s="69"/>
      <c r="MEA61" s="69"/>
      <c r="MEB61" s="69"/>
      <c r="MEC61" s="69"/>
      <c r="MED61" s="69"/>
      <c r="MEE61" s="69"/>
      <c r="MEF61" s="69"/>
      <c r="MEG61" s="69"/>
      <c r="MEH61" s="69"/>
      <c r="MEI61" s="69"/>
      <c r="MEJ61" s="69"/>
      <c r="MEK61" s="69"/>
      <c r="MEL61" s="69"/>
      <c r="MEM61" s="69"/>
      <c r="MEN61" s="69"/>
      <c r="MEO61" s="69"/>
      <c r="MEP61" s="69"/>
      <c r="MEQ61" s="69"/>
      <c r="MER61" s="69"/>
      <c r="MES61" s="69"/>
      <c r="MET61" s="69"/>
      <c r="MEU61" s="69"/>
      <c r="MEV61" s="69"/>
      <c r="MEW61" s="69"/>
      <c r="MEX61" s="69"/>
      <c r="MEY61" s="69"/>
      <c r="MEZ61" s="69"/>
      <c r="MFA61" s="69"/>
      <c r="MFB61" s="69"/>
      <c r="MFC61" s="69"/>
      <c r="MFD61" s="69"/>
      <c r="MFE61" s="69"/>
      <c r="MFF61" s="69"/>
      <c r="MFG61" s="69"/>
      <c r="MFH61" s="69"/>
      <c r="MFI61" s="69"/>
      <c r="MFJ61" s="69"/>
      <c r="MFK61" s="69"/>
      <c r="MFL61" s="69"/>
      <c r="MFM61" s="69"/>
      <c r="MFN61" s="69"/>
      <c r="MFO61" s="69"/>
      <c r="MFP61" s="69"/>
      <c r="MFQ61" s="69"/>
      <c r="MFR61" s="69"/>
      <c r="MFS61" s="69"/>
      <c r="MFT61" s="69"/>
      <c r="MFU61" s="69"/>
      <c r="MFV61" s="69"/>
      <c r="MFW61" s="69"/>
      <c r="MFX61" s="69"/>
      <c r="MFY61" s="69"/>
      <c r="MFZ61" s="69"/>
      <c r="MGA61" s="69"/>
      <c r="MGB61" s="69"/>
      <c r="MGC61" s="69"/>
      <c r="MGD61" s="69"/>
      <c r="MGE61" s="69"/>
      <c r="MGF61" s="69"/>
      <c r="MGG61" s="69"/>
      <c r="MGH61" s="69"/>
      <c r="MGI61" s="69"/>
      <c r="MGJ61" s="69"/>
      <c r="MGK61" s="69"/>
      <c r="MGL61" s="69"/>
      <c r="MGM61" s="69"/>
      <c r="MGN61" s="69"/>
      <c r="MGO61" s="69"/>
      <c r="MGP61" s="69"/>
      <c r="MGQ61" s="69"/>
      <c r="MGR61" s="69"/>
      <c r="MGS61" s="69"/>
      <c r="MGT61" s="69"/>
      <c r="MGU61" s="69"/>
      <c r="MGV61" s="69"/>
      <c r="MGW61" s="69"/>
      <c r="MGX61" s="69"/>
      <c r="MGY61" s="69"/>
      <c r="MGZ61" s="69"/>
      <c r="MHA61" s="69"/>
      <c r="MHB61" s="69"/>
      <c r="MHC61" s="69"/>
      <c r="MHD61" s="69"/>
      <c r="MHE61" s="69"/>
      <c r="MHF61" s="69"/>
      <c r="MHG61" s="69"/>
      <c r="MHH61" s="69"/>
      <c r="MHI61" s="69"/>
      <c r="MHJ61" s="69"/>
      <c r="MHK61" s="69"/>
      <c r="MHL61" s="69"/>
      <c r="MHM61" s="69"/>
      <c r="MHN61" s="69"/>
      <c r="MHO61" s="69"/>
      <c r="MHP61" s="69"/>
      <c r="MHQ61" s="69"/>
      <c r="MHR61" s="69"/>
      <c r="MHS61" s="69"/>
      <c r="MHT61" s="69"/>
      <c r="MHU61" s="69"/>
      <c r="MHV61" s="69"/>
      <c r="MHW61" s="69"/>
      <c r="MHX61" s="69"/>
      <c r="MHY61" s="69"/>
      <c r="MHZ61" s="69"/>
      <c r="MIA61" s="69"/>
      <c r="MIB61" s="69"/>
      <c r="MIC61" s="69"/>
      <c r="MID61" s="69"/>
      <c r="MIE61" s="69"/>
      <c r="MIF61" s="69"/>
      <c r="MIG61" s="69"/>
      <c r="MIH61" s="69"/>
      <c r="MII61" s="69"/>
      <c r="MIJ61" s="69"/>
      <c r="MIK61" s="69"/>
      <c r="MIL61" s="69"/>
      <c r="MIM61" s="69"/>
      <c r="MIN61" s="69"/>
      <c r="MIO61" s="69"/>
      <c r="MIP61" s="69"/>
      <c r="MIQ61" s="69"/>
      <c r="MIR61" s="69"/>
      <c r="MIS61" s="69"/>
      <c r="MIT61" s="69"/>
      <c r="MIU61" s="69"/>
      <c r="MIV61" s="69"/>
      <c r="MIW61" s="69"/>
      <c r="MIX61" s="69"/>
      <c r="MIY61" s="69"/>
      <c r="MIZ61" s="69"/>
      <c r="MJA61" s="69"/>
      <c r="MJB61" s="69"/>
      <c r="MJC61" s="69"/>
      <c r="MJD61" s="69"/>
      <c r="MJE61" s="69"/>
      <c r="MJF61" s="69"/>
      <c r="MJG61" s="69"/>
      <c r="MJH61" s="69"/>
      <c r="MJI61" s="69"/>
      <c r="MJJ61" s="69"/>
      <c r="MJK61" s="69"/>
      <c r="MJL61" s="69"/>
      <c r="MJM61" s="69"/>
      <c r="MJN61" s="69"/>
      <c r="MJO61" s="69"/>
      <c r="MJP61" s="69"/>
      <c r="MJQ61" s="69"/>
      <c r="MJR61" s="69"/>
      <c r="MJS61" s="69"/>
      <c r="MJT61" s="69"/>
      <c r="MJU61" s="69"/>
      <c r="MJV61" s="69"/>
      <c r="MJW61" s="69"/>
      <c r="MJX61" s="69"/>
      <c r="MJY61" s="69"/>
      <c r="MJZ61" s="69"/>
      <c r="MKA61" s="69"/>
      <c r="MKB61" s="69"/>
      <c r="MKC61" s="69"/>
      <c r="MKD61" s="69"/>
      <c r="MKE61" s="69"/>
      <c r="MKF61" s="69"/>
      <c r="MKG61" s="69"/>
      <c r="MKH61" s="69"/>
      <c r="MKI61" s="69"/>
      <c r="MKJ61" s="69"/>
      <c r="MKK61" s="69"/>
      <c r="MKL61" s="69"/>
      <c r="MKM61" s="69"/>
      <c r="MKN61" s="69"/>
      <c r="MKO61" s="69"/>
      <c r="MKP61" s="69"/>
      <c r="MKQ61" s="69"/>
      <c r="MKR61" s="69"/>
      <c r="MKS61" s="69"/>
      <c r="MKT61" s="69"/>
      <c r="MKU61" s="69"/>
      <c r="MKV61" s="69"/>
      <c r="MKW61" s="69"/>
      <c r="MKX61" s="69"/>
      <c r="MKY61" s="69"/>
      <c r="MKZ61" s="69"/>
      <c r="MLA61" s="69"/>
      <c r="MLB61" s="69"/>
      <c r="MLC61" s="69"/>
      <c r="MLD61" s="69"/>
      <c r="MLE61" s="69"/>
      <c r="MLF61" s="69"/>
      <c r="MLG61" s="69"/>
      <c r="MLH61" s="69"/>
      <c r="MLI61" s="69"/>
      <c r="MLJ61" s="69"/>
      <c r="MLK61" s="69"/>
      <c r="MLL61" s="69"/>
      <c r="MLM61" s="69"/>
      <c r="MLN61" s="69"/>
      <c r="MLO61" s="69"/>
      <c r="MLP61" s="69"/>
      <c r="MLQ61" s="69"/>
      <c r="MLR61" s="69"/>
      <c r="MLS61" s="69"/>
      <c r="MLT61" s="69"/>
      <c r="MLU61" s="69"/>
      <c r="MLV61" s="69"/>
      <c r="MLW61" s="69"/>
      <c r="MLX61" s="69"/>
      <c r="MLY61" s="69"/>
      <c r="MLZ61" s="69"/>
      <c r="MMA61" s="69"/>
      <c r="MMB61" s="69"/>
      <c r="MMC61" s="69"/>
      <c r="MMD61" s="69"/>
      <c r="MME61" s="69"/>
      <c r="MMF61" s="69"/>
      <c r="MMG61" s="69"/>
      <c r="MMH61" s="69"/>
      <c r="MMI61" s="69"/>
      <c r="MMJ61" s="69"/>
      <c r="MMK61" s="69"/>
      <c r="MML61" s="69"/>
      <c r="MMM61" s="69"/>
      <c r="MMN61" s="69"/>
      <c r="MMO61" s="69"/>
      <c r="MMP61" s="69"/>
      <c r="MMQ61" s="69"/>
      <c r="MMR61" s="69"/>
      <c r="MMS61" s="69"/>
      <c r="MMT61" s="69"/>
      <c r="MMU61" s="69"/>
      <c r="MMV61" s="69"/>
      <c r="MMW61" s="69"/>
      <c r="MMX61" s="69"/>
      <c r="MMY61" s="69"/>
      <c r="MMZ61" s="69"/>
      <c r="MNA61" s="69"/>
      <c r="MNB61" s="69"/>
      <c r="MNC61" s="69"/>
      <c r="MND61" s="69"/>
      <c r="MNE61" s="69"/>
      <c r="MNF61" s="69"/>
      <c r="MNG61" s="69"/>
      <c r="MNH61" s="69"/>
      <c r="MNI61" s="69"/>
      <c r="MNJ61" s="69"/>
      <c r="MNK61" s="69"/>
      <c r="MNL61" s="69"/>
      <c r="MNM61" s="69"/>
      <c r="MNN61" s="69"/>
      <c r="MNO61" s="69"/>
      <c r="MNP61" s="69"/>
      <c r="MNQ61" s="69"/>
      <c r="MNR61" s="69"/>
      <c r="MNS61" s="69"/>
      <c r="MNT61" s="69"/>
      <c r="MNU61" s="69"/>
      <c r="MNV61" s="69"/>
      <c r="MNW61" s="69"/>
      <c r="MNX61" s="69"/>
      <c r="MNY61" s="69"/>
      <c r="MNZ61" s="69"/>
      <c r="MOA61" s="69"/>
      <c r="MOB61" s="69"/>
      <c r="MOC61" s="69"/>
      <c r="MOD61" s="69"/>
      <c r="MOE61" s="69"/>
      <c r="MOF61" s="69"/>
      <c r="MOG61" s="69"/>
      <c r="MOH61" s="69"/>
      <c r="MOI61" s="69"/>
      <c r="MOJ61" s="69"/>
      <c r="MOK61" s="69"/>
      <c r="MOL61" s="69"/>
      <c r="MOM61" s="69"/>
      <c r="MON61" s="69"/>
      <c r="MOO61" s="69"/>
      <c r="MOP61" s="69"/>
      <c r="MOQ61" s="69"/>
      <c r="MOR61" s="69"/>
      <c r="MOS61" s="69"/>
      <c r="MOT61" s="69"/>
      <c r="MOU61" s="69"/>
      <c r="MOV61" s="69"/>
      <c r="MOW61" s="69"/>
      <c r="MOX61" s="69"/>
      <c r="MOY61" s="69"/>
      <c r="MOZ61" s="69"/>
      <c r="MPA61" s="69"/>
      <c r="MPB61" s="69"/>
      <c r="MPC61" s="69"/>
      <c r="MPD61" s="69"/>
      <c r="MPE61" s="69"/>
      <c r="MPF61" s="69"/>
      <c r="MPG61" s="69"/>
      <c r="MPH61" s="69"/>
      <c r="MPI61" s="69"/>
      <c r="MPJ61" s="69"/>
      <c r="MPK61" s="69"/>
      <c r="MPL61" s="69"/>
      <c r="MPM61" s="69"/>
      <c r="MPN61" s="69"/>
      <c r="MPO61" s="69"/>
      <c r="MPP61" s="69"/>
      <c r="MPQ61" s="69"/>
      <c r="MPR61" s="69"/>
      <c r="MPS61" s="69"/>
      <c r="MPT61" s="69"/>
      <c r="MPU61" s="69"/>
      <c r="MPV61" s="69"/>
      <c r="MPW61" s="69"/>
      <c r="MPX61" s="69"/>
      <c r="MPY61" s="69"/>
      <c r="MPZ61" s="69"/>
      <c r="MQA61" s="69"/>
      <c r="MQB61" s="69"/>
      <c r="MQC61" s="69"/>
      <c r="MQD61" s="69"/>
      <c r="MQE61" s="69"/>
      <c r="MQF61" s="69"/>
      <c r="MQG61" s="69"/>
      <c r="MQH61" s="69"/>
      <c r="MQI61" s="69"/>
      <c r="MQJ61" s="69"/>
      <c r="MQK61" s="69"/>
      <c r="MQL61" s="69"/>
      <c r="MQM61" s="69"/>
      <c r="MQN61" s="69"/>
      <c r="MQO61" s="69"/>
      <c r="MQP61" s="69"/>
      <c r="MQQ61" s="69"/>
      <c r="MQR61" s="69"/>
      <c r="MQS61" s="69"/>
      <c r="MQT61" s="69"/>
      <c r="MQU61" s="69"/>
      <c r="MQV61" s="69"/>
      <c r="MQW61" s="69"/>
      <c r="MQX61" s="69"/>
      <c r="MQY61" s="69"/>
      <c r="MQZ61" s="69"/>
      <c r="MRA61" s="69"/>
      <c r="MRB61" s="69"/>
      <c r="MRC61" s="69"/>
      <c r="MRD61" s="69"/>
      <c r="MRE61" s="69"/>
      <c r="MRF61" s="69"/>
      <c r="MRG61" s="69"/>
      <c r="MRH61" s="69"/>
      <c r="MRI61" s="69"/>
      <c r="MRJ61" s="69"/>
      <c r="MRK61" s="69"/>
      <c r="MRL61" s="69"/>
      <c r="MRM61" s="69"/>
      <c r="MRN61" s="69"/>
      <c r="MRO61" s="69"/>
      <c r="MRP61" s="69"/>
      <c r="MRQ61" s="69"/>
      <c r="MRR61" s="69"/>
      <c r="MRS61" s="69"/>
      <c r="MRT61" s="69"/>
      <c r="MRU61" s="69"/>
      <c r="MRV61" s="69"/>
      <c r="MRW61" s="69"/>
      <c r="MRX61" s="69"/>
      <c r="MRY61" s="69"/>
      <c r="MRZ61" s="69"/>
      <c r="MSA61" s="69"/>
      <c r="MSB61" s="69"/>
      <c r="MSC61" s="69"/>
      <c r="MSD61" s="69"/>
      <c r="MSE61" s="69"/>
      <c r="MSF61" s="69"/>
      <c r="MSG61" s="69"/>
      <c r="MSH61" s="69"/>
      <c r="MSI61" s="69"/>
      <c r="MSJ61" s="69"/>
      <c r="MSK61" s="69"/>
      <c r="MSL61" s="69"/>
      <c r="MSM61" s="69"/>
      <c r="MSN61" s="69"/>
      <c r="MSO61" s="69"/>
      <c r="MSP61" s="69"/>
      <c r="MSQ61" s="69"/>
      <c r="MSR61" s="69"/>
      <c r="MSS61" s="69"/>
      <c r="MST61" s="69"/>
      <c r="MSU61" s="69"/>
      <c r="MSV61" s="69"/>
      <c r="MSW61" s="69"/>
      <c r="MSX61" s="69"/>
      <c r="MSY61" s="69"/>
      <c r="MSZ61" s="69"/>
      <c r="MTA61" s="69"/>
      <c r="MTB61" s="69"/>
      <c r="MTC61" s="69"/>
      <c r="MTD61" s="69"/>
      <c r="MTE61" s="69"/>
      <c r="MTF61" s="69"/>
      <c r="MTG61" s="69"/>
      <c r="MTH61" s="69"/>
      <c r="MTI61" s="69"/>
      <c r="MTJ61" s="69"/>
      <c r="MTK61" s="69"/>
      <c r="MTL61" s="69"/>
      <c r="MTM61" s="69"/>
      <c r="MTN61" s="69"/>
      <c r="MTO61" s="69"/>
      <c r="MTP61" s="69"/>
      <c r="MTQ61" s="69"/>
      <c r="MTR61" s="69"/>
      <c r="MTS61" s="69"/>
      <c r="MTT61" s="69"/>
      <c r="MTU61" s="69"/>
      <c r="MTV61" s="69"/>
      <c r="MTW61" s="69"/>
      <c r="MTX61" s="69"/>
      <c r="MTY61" s="69"/>
      <c r="MTZ61" s="69"/>
      <c r="MUA61" s="69"/>
      <c r="MUB61" s="69"/>
      <c r="MUC61" s="69"/>
      <c r="MUD61" s="69"/>
      <c r="MUE61" s="69"/>
      <c r="MUF61" s="69"/>
      <c r="MUG61" s="69"/>
      <c r="MUH61" s="69"/>
      <c r="MUI61" s="69"/>
      <c r="MUJ61" s="69"/>
      <c r="MUK61" s="69"/>
      <c r="MUL61" s="69"/>
      <c r="MUM61" s="69"/>
      <c r="MUN61" s="69"/>
      <c r="MUO61" s="69"/>
      <c r="MUP61" s="69"/>
      <c r="MUQ61" s="69"/>
      <c r="MUR61" s="69"/>
      <c r="MUS61" s="69"/>
      <c r="MUT61" s="69"/>
      <c r="MUU61" s="69"/>
      <c r="MUV61" s="69"/>
      <c r="MUW61" s="69"/>
      <c r="MUX61" s="69"/>
      <c r="MUY61" s="69"/>
      <c r="MUZ61" s="69"/>
      <c r="MVA61" s="69"/>
      <c r="MVB61" s="69"/>
      <c r="MVC61" s="69"/>
      <c r="MVD61" s="69"/>
      <c r="MVE61" s="69"/>
      <c r="MVF61" s="69"/>
      <c r="MVG61" s="69"/>
      <c r="MVH61" s="69"/>
      <c r="MVI61" s="69"/>
      <c r="MVJ61" s="69"/>
      <c r="MVK61" s="69"/>
      <c r="MVL61" s="69"/>
      <c r="MVM61" s="69"/>
      <c r="MVN61" s="69"/>
      <c r="MVO61" s="69"/>
      <c r="MVP61" s="69"/>
      <c r="MVQ61" s="69"/>
      <c r="MVR61" s="69"/>
      <c r="MVS61" s="69"/>
      <c r="MVT61" s="69"/>
      <c r="MVU61" s="69"/>
      <c r="MVV61" s="69"/>
      <c r="MVW61" s="69"/>
      <c r="MVX61" s="69"/>
      <c r="MVY61" s="69"/>
      <c r="MVZ61" s="69"/>
      <c r="MWA61" s="69"/>
      <c r="MWB61" s="69"/>
      <c r="MWC61" s="69"/>
      <c r="MWD61" s="69"/>
      <c r="MWE61" s="69"/>
      <c r="MWF61" s="69"/>
      <c r="MWG61" s="69"/>
      <c r="MWH61" s="69"/>
      <c r="MWI61" s="69"/>
      <c r="MWJ61" s="69"/>
      <c r="MWK61" s="69"/>
      <c r="MWL61" s="69"/>
      <c r="MWM61" s="69"/>
      <c r="MWN61" s="69"/>
      <c r="MWO61" s="69"/>
      <c r="MWP61" s="69"/>
      <c r="MWQ61" s="69"/>
      <c r="MWR61" s="69"/>
      <c r="MWS61" s="69"/>
      <c r="MWT61" s="69"/>
      <c r="MWU61" s="69"/>
      <c r="MWV61" s="69"/>
      <c r="MWW61" s="69"/>
      <c r="MWX61" s="69"/>
      <c r="MWY61" s="69"/>
      <c r="MWZ61" s="69"/>
      <c r="MXA61" s="69"/>
      <c r="MXB61" s="69"/>
      <c r="MXC61" s="69"/>
      <c r="MXD61" s="69"/>
      <c r="MXE61" s="69"/>
      <c r="MXF61" s="69"/>
      <c r="MXG61" s="69"/>
      <c r="MXH61" s="69"/>
      <c r="MXI61" s="69"/>
      <c r="MXJ61" s="69"/>
      <c r="MXK61" s="69"/>
      <c r="MXL61" s="69"/>
      <c r="MXM61" s="69"/>
      <c r="MXN61" s="69"/>
      <c r="MXO61" s="69"/>
      <c r="MXP61" s="69"/>
      <c r="MXQ61" s="69"/>
      <c r="MXR61" s="69"/>
      <c r="MXS61" s="69"/>
      <c r="MXT61" s="69"/>
      <c r="MXU61" s="69"/>
      <c r="MXV61" s="69"/>
      <c r="MXW61" s="69"/>
      <c r="MXX61" s="69"/>
      <c r="MXY61" s="69"/>
      <c r="MXZ61" s="69"/>
      <c r="MYA61" s="69"/>
      <c r="MYB61" s="69"/>
      <c r="MYC61" s="69"/>
      <c r="MYD61" s="69"/>
      <c r="MYE61" s="69"/>
      <c r="MYF61" s="69"/>
      <c r="MYG61" s="69"/>
      <c r="MYH61" s="69"/>
      <c r="MYI61" s="69"/>
      <c r="MYJ61" s="69"/>
      <c r="MYK61" s="69"/>
      <c r="MYL61" s="69"/>
      <c r="MYM61" s="69"/>
      <c r="MYN61" s="69"/>
      <c r="MYO61" s="69"/>
      <c r="MYP61" s="69"/>
      <c r="MYQ61" s="69"/>
      <c r="MYR61" s="69"/>
      <c r="MYS61" s="69"/>
      <c r="MYT61" s="69"/>
      <c r="MYU61" s="69"/>
      <c r="MYV61" s="69"/>
      <c r="MYW61" s="69"/>
      <c r="MYX61" s="69"/>
      <c r="MYY61" s="69"/>
      <c r="MYZ61" s="69"/>
      <c r="MZA61" s="69"/>
      <c r="MZB61" s="69"/>
      <c r="MZC61" s="69"/>
      <c r="MZD61" s="69"/>
      <c r="MZE61" s="69"/>
      <c r="MZF61" s="69"/>
      <c r="MZG61" s="69"/>
      <c r="MZH61" s="69"/>
      <c r="MZI61" s="69"/>
      <c r="MZJ61" s="69"/>
      <c r="MZK61" s="69"/>
      <c r="MZL61" s="69"/>
      <c r="MZM61" s="69"/>
      <c r="MZN61" s="69"/>
      <c r="MZO61" s="69"/>
      <c r="MZP61" s="69"/>
      <c r="MZQ61" s="69"/>
      <c r="MZR61" s="69"/>
      <c r="MZS61" s="69"/>
      <c r="MZT61" s="69"/>
      <c r="MZU61" s="69"/>
      <c r="MZV61" s="69"/>
      <c r="MZW61" s="69"/>
      <c r="MZX61" s="69"/>
      <c r="MZY61" s="69"/>
      <c r="MZZ61" s="69"/>
      <c r="NAA61" s="69"/>
      <c r="NAB61" s="69"/>
      <c r="NAC61" s="69"/>
      <c r="NAD61" s="69"/>
      <c r="NAE61" s="69"/>
      <c r="NAF61" s="69"/>
      <c r="NAG61" s="69"/>
      <c r="NAH61" s="69"/>
      <c r="NAI61" s="69"/>
      <c r="NAJ61" s="69"/>
      <c r="NAK61" s="69"/>
      <c r="NAL61" s="69"/>
      <c r="NAM61" s="69"/>
      <c r="NAN61" s="69"/>
      <c r="NAO61" s="69"/>
      <c r="NAP61" s="69"/>
      <c r="NAQ61" s="69"/>
      <c r="NAR61" s="69"/>
      <c r="NAS61" s="69"/>
      <c r="NAT61" s="69"/>
      <c r="NAU61" s="69"/>
      <c r="NAV61" s="69"/>
      <c r="NAW61" s="69"/>
      <c r="NAX61" s="69"/>
      <c r="NAY61" s="69"/>
      <c r="NAZ61" s="69"/>
      <c r="NBA61" s="69"/>
      <c r="NBB61" s="69"/>
      <c r="NBC61" s="69"/>
      <c r="NBD61" s="69"/>
      <c r="NBE61" s="69"/>
      <c r="NBF61" s="69"/>
      <c r="NBG61" s="69"/>
      <c r="NBH61" s="69"/>
      <c r="NBI61" s="69"/>
      <c r="NBJ61" s="69"/>
      <c r="NBK61" s="69"/>
      <c r="NBL61" s="69"/>
      <c r="NBM61" s="69"/>
      <c r="NBN61" s="69"/>
      <c r="NBO61" s="69"/>
      <c r="NBP61" s="69"/>
      <c r="NBQ61" s="69"/>
      <c r="NBR61" s="69"/>
      <c r="NBS61" s="69"/>
      <c r="NBT61" s="69"/>
      <c r="NBU61" s="69"/>
      <c r="NBV61" s="69"/>
      <c r="NBW61" s="69"/>
      <c r="NBX61" s="69"/>
      <c r="NBY61" s="69"/>
      <c r="NBZ61" s="69"/>
      <c r="NCA61" s="69"/>
      <c r="NCB61" s="69"/>
      <c r="NCC61" s="69"/>
      <c r="NCD61" s="69"/>
      <c r="NCE61" s="69"/>
      <c r="NCF61" s="69"/>
      <c r="NCG61" s="69"/>
      <c r="NCH61" s="69"/>
      <c r="NCI61" s="69"/>
      <c r="NCJ61" s="69"/>
      <c r="NCK61" s="69"/>
      <c r="NCL61" s="69"/>
      <c r="NCM61" s="69"/>
      <c r="NCN61" s="69"/>
      <c r="NCO61" s="69"/>
      <c r="NCP61" s="69"/>
      <c r="NCQ61" s="69"/>
      <c r="NCR61" s="69"/>
      <c r="NCS61" s="69"/>
      <c r="NCT61" s="69"/>
      <c r="NCU61" s="69"/>
      <c r="NCV61" s="69"/>
      <c r="NCW61" s="69"/>
      <c r="NCX61" s="69"/>
      <c r="NCY61" s="69"/>
      <c r="NCZ61" s="69"/>
      <c r="NDA61" s="69"/>
      <c r="NDB61" s="69"/>
      <c r="NDC61" s="69"/>
      <c r="NDD61" s="69"/>
      <c r="NDE61" s="69"/>
      <c r="NDF61" s="69"/>
      <c r="NDG61" s="69"/>
      <c r="NDH61" s="69"/>
      <c r="NDI61" s="69"/>
      <c r="NDJ61" s="69"/>
      <c r="NDK61" s="69"/>
      <c r="NDL61" s="69"/>
      <c r="NDM61" s="69"/>
      <c r="NDN61" s="69"/>
      <c r="NDO61" s="69"/>
      <c r="NDP61" s="69"/>
      <c r="NDQ61" s="69"/>
      <c r="NDR61" s="69"/>
      <c r="NDS61" s="69"/>
      <c r="NDT61" s="69"/>
      <c r="NDU61" s="69"/>
      <c r="NDV61" s="69"/>
      <c r="NDW61" s="69"/>
      <c r="NDX61" s="69"/>
      <c r="NDY61" s="69"/>
      <c r="NDZ61" s="69"/>
      <c r="NEA61" s="69"/>
      <c r="NEB61" s="69"/>
      <c r="NEC61" s="69"/>
      <c r="NED61" s="69"/>
      <c r="NEE61" s="69"/>
      <c r="NEF61" s="69"/>
      <c r="NEG61" s="69"/>
      <c r="NEH61" s="69"/>
      <c r="NEI61" s="69"/>
      <c r="NEJ61" s="69"/>
      <c r="NEK61" s="69"/>
      <c r="NEL61" s="69"/>
      <c r="NEM61" s="69"/>
      <c r="NEN61" s="69"/>
      <c r="NEO61" s="69"/>
      <c r="NEP61" s="69"/>
      <c r="NEQ61" s="69"/>
      <c r="NER61" s="69"/>
      <c r="NES61" s="69"/>
      <c r="NET61" s="69"/>
      <c r="NEU61" s="69"/>
      <c r="NEV61" s="69"/>
      <c r="NEW61" s="69"/>
      <c r="NEX61" s="69"/>
      <c r="NEY61" s="69"/>
      <c r="NEZ61" s="69"/>
      <c r="NFA61" s="69"/>
      <c r="NFB61" s="69"/>
      <c r="NFC61" s="69"/>
      <c r="NFD61" s="69"/>
      <c r="NFE61" s="69"/>
      <c r="NFF61" s="69"/>
      <c r="NFG61" s="69"/>
      <c r="NFH61" s="69"/>
      <c r="NFI61" s="69"/>
      <c r="NFJ61" s="69"/>
      <c r="NFK61" s="69"/>
      <c r="NFL61" s="69"/>
      <c r="NFM61" s="69"/>
      <c r="NFN61" s="69"/>
      <c r="NFO61" s="69"/>
      <c r="NFP61" s="69"/>
      <c r="NFQ61" s="69"/>
      <c r="NFR61" s="69"/>
      <c r="NFS61" s="69"/>
      <c r="NFT61" s="69"/>
      <c r="NFU61" s="69"/>
      <c r="NFV61" s="69"/>
      <c r="NFW61" s="69"/>
      <c r="NFX61" s="69"/>
      <c r="NFY61" s="69"/>
      <c r="NFZ61" s="69"/>
      <c r="NGA61" s="69"/>
      <c r="NGB61" s="69"/>
      <c r="NGC61" s="69"/>
      <c r="NGD61" s="69"/>
      <c r="NGE61" s="69"/>
      <c r="NGF61" s="69"/>
      <c r="NGG61" s="69"/>
      <c r="NGH61" s="69"/>
      <c r="NGI61" s="69"/>
      <c r="NGJ61" s="69"/>
      <c r="NGK61" s="69"/>
      <c r="NGL61" s="69"/>
      <c r="NGM61" s="69"/>
      <c r="NGN61" s="69"/>
      <c r="NGO61" s="69"/>
      <c r="NGP61" s="69"/>
      <c r="NGQ61" s="69"/>
      <c r="NGR61" s="69"/>
      <c r="NGS61" s="69"/>
      <c r="NGT61" s="69"/>
      <c r="NGU61" s="69"/>
      <c r="NGV61" s="69"/>
      <c r="NGW61" s="69"/>
      <c r="NGX61" s="69"/>
      <c r="NGY61" s="69"/>
      <c r="NGZ61" s="69"/>
      <c r="NHA61" s="69"/>
      <c r="NHB61" s="69"/>
      <c r="NHC61" s="69"/>
      <c r="NHD61" s="69"/>
      <c r="NHE61" s="69"/>
      <c r="NHF61" s="69"/>
      <c r="NHG61" s="69"/>
      <c r="NHH61" s="69"/>
      <c r="NHI61" s="69"/>
      <c r="NHJ61" s="69"/>
      <c r="NHK61" s="69"/>
      <c r="NHL61" s="69"/>
      <c r="NHM61" s="69"/>
      <c r="NHN61" s="69"/>
      <c r="NHO61" s="69"/>
      <c r="NHP61" s="69"/>
      <c r="NHQ61" s="69"/>
      <c r="NHR61" s="69"/>
      <c r="NHS61" s="69"/>
      <c r="NHT61" s="69"/>
      <c r="NHU61" s="69"/>
      <c r="NHV61" s="69"/>
      <c r="NHW61" s="69"/>
      <c r="NHX61" s="69"/>
      <c r="NHY61" s="69"/>
      <c r="NHZ61" s="69"/>
      <c r="NIA61" s="69"/>
      <c r="NIB61" s="69"/>
      <c r="NIC61" s="69"/>
      <c r="NID61" s="69"/>
      <c r="NIE61" s="69"/>
      <c r="NIF61" s="69"/>
      <c r="NIG61" s="69"/>
      <c r="NIH61" s="69"/>
      <c r="NII61" s="69"/>
      <c r="NIJ61" s="69"/>
      <c r="NIK61" s="69"/>
      <c r="NIL61" s="69"/>
      <c r="NIM61" s="69"/>
      <c r="NIN61" s="69"/>
      <c r="NIO61" s="69"/>
      <c r="NIP61" s="69"/>
      <c r="NIQ61" s="69"/>
      <c r="NIR61" s="69"/>
      <c r="NIS61" s="69"/>
      <c r="NIT61" s="69"/>
      <c r="NIU61" s="69"/>
      <c r="NIV61" s="69"/>
      <c r="NIW61" s="69"/>
      <c r="NIX61" s="69"/>
      <c r="NIY61" s="69"/>
      <c r="NIZ61" s="69"/>
      <c r="NJA61" s="69"/>
      <c r="NJB61" s="69"/>
      <c r="NJC61" s="69"/>
      <c r="NJD61" s="69"/>
      <c r="NJE61" s="69"/>
      <c r="NJF61" s="69"/>
      <c r="NJG61" s="69"/>
      <c r="NJH61" s="69"/>
      <c r="NJI61" s="69"/>
      <c r="NJJ61" s="69"/>
      <c r="NJK61" s="69"/>
      <c r="NJL61" s="69"/>
      <c r="NJM61" s="69"/>
      <c r="NJN61" s="69"/>
      <c r="NJO61" s="69"/>
      <c r="NJP61" s="69"/>
      <c r="NJQ61" s="69"/>
      <c r="NJR61" s="69"/>
      <c r="NJS61" s="69"/>
      <c r="NJT61" s="69"/>
      <c r="NJU61" s="69"/>
      <c r="NJV61" s="69"/>
      <c r="NJW61" s="69"/>
      <c r="NJX61" s="69"/>
      <c r="NJY61" s="69"/>
      <c r="NJZ61" s="69"/>
      <c r="NKA61" s="69"/>
      <c r="NKB61" s="69"/>
      <c r="NKC61" s="69"/>
      <c r="NKD61" s="69"/>
      <c r="NKE61" s="69"/>
      <c r="NKF61" s="69"/>
      <c r="NKG61" s="69"/>
      <c r="NKH61" s="69"/>
      <c r="NKI61" s="69"/>
      <c r="NKJ61" s="69"/>
      <c r="NKK61" s="69"/>
      <c r="NKL61" s="69"/>
      <c r="NKM61" s="69"/>
      <c r="NKN61" s="69"/>
      <c r="NKO61" s="69"/>
      <c r="NKP61" s="69"/>
      <c r="NKQ61" s="69"/>
      <c r="NKR61" s="69"/>
      <c r="NKS61" s="69"/>
      <c r="NKT61" s="69"/>
      <c r="NKU61" s="69"/>
      <c r="NKV61" s="69"/>
      <c r="NKW61" s="69"/>
      <c r="NKX61" s="69"/>
      <c r="NKY61" s="69"/>
      <c r="NKZ61" s="69"/>
      <c r="NLA61" s="69"/>
      <c r="NLB61" s="69"/>
      <c r="NLC61" s="69"/>
      <c r="NLD61" s="69"/>
      <c r="NLE61" s="69"/>
      <c r="NLF61" s="69"/>
      <c r="NLG61" s="69"/>
      <c r="NLH61" s="69"/>
      <c r="NLI61" s="69"/>
      <c r="NLJ61" s="69"/>
      <c r="NLK61" s="69"/>
      <c r="NLL61" s="69"/>
      <c r="NLM61" s="69"/>
      <c r="NLN61" s="69"/>
      <c r="NLO61" s="69"/>
      <c r="NLP61" s="69"/>
      <c r="NLQ61" s="69"/>
      <c r="NLR61" s="69"/>
      <c r="NLS61" s="69"/>
      <c r="NLT61" s="69"/>
      <c r="NLU61" s="69"/>
      <c r="NLV61" s="69"/>
      <c r="NLW61" s="69"/>
      <c r="NLX61" s="69"/>
      <c r="NLY61" s="69"/>
      <c r="NLZ61" s="69"/>
      <c r="NMA61" s="69"/>
      <c r="NMB61" s="69"/>
      <c r="NMC61" s="69"/>
      <c r="NMD61" s="69"/>
      <c r="NME61" s="69"/>
      <c r="NMF61" s="69"/>
      <c r="NMG61" s="69"/>
      <c r="NMH61" s="69"/>
      <c r="NMI61" s="69"/>
      <c r="NMJ61" s="69"/>
      <c r="NMK61" s="69"/>
      <c r="NML61" s="69"/>
      <c r="NMM61" s="69"/>
      <c r="NMN61" s="69"/>
      <c r="NMO61" s="69"/>
      <c r="NMP61" s="69"/>
      <c r="NMQ61" s="69"/>
      <c r="NMR61" s="69"/>
      <c r="NMS61" s="69"/>
      <c r="NMT61" s="69"/>
      <c r="NMU61" s="69"/>
      <c r="NMV61" s="69"/>
      <c r="NMW61" s="69"/>
      <c r="NMX61" s="69"/>
      <c r="NMY61" s="69"/>
      <c r="NMZ61" s="69"/>
      <c r="NNA61" s="69"/>
      <c r="NNB61" s="69"/>
      <c r="NNC61" s="69"/>
      <c r="NND61" s="69"/>
      <c r="NNE61" s="69"/>
      <c r="NNF61" s="69"/>
      <c r="NNG61" s="69"/>
      <c r="NNH61" s="69"/>
      <c r="NNI61" s="69"/>
      <c r="NNJ61" s="69"/>
      <c r="NNK61" s="69"/>
      <c r="NNL61" s="69"/>
      <c r="NNM61" s="69"/>
      <c r="NNN61" s="69"/>
      <c r="NNO61" s="69"/>
      <c r="NNP61" s="69"/>
      <c r="NNQ61" s="69"/>
      <c r="NNR61" s="69"/>
      <c r="NNS61" s="69"/>
      <c r="NNT61" s="69"/>
      <c r="NNU61" s="69"/>
      <c r="NNV61" s="69"/>
      <c r="NNW61" s="69"/>
      <c r="NNX61" s="69"/>
      <c r="NNY61" s="69"/>
      <c r="NNZ61" s="69"/>
      <c r="NOA61" s="69"/>
      <c r="NOB61" s="69"/>
      <c r="NOC61" s="69"/>
      <c r="NOD61" s="69"/>
      <c r="NOE61" s="69"/>
      <c r="NOF61" s="69"/>
      <c r="NOG61" s="69"/>
      <c r="NOH61" s="69"/>
      <c r="NOI61" s="69"/>
      <c r="NOJ61" s="69"/>
      <c r="NOK61" s="69"/>
      <c r="NOL61" s="69"/>
      <c r="NOM61" s="69"/>
      <c r="NON61" s="69"/>
      <c r="NOO61" s="69"/>
      <c r="NOP61" s="69"/>
      <c r="NOQ61" s="69"/>
      <c r="NOR61" s="69"/>
      <c r="NOS61" s="69"/>
      <c r="NOT61" s="69"/>
      <c r="NOU61" s="69"/>
      <c r="NOV61" s="69"/>
      <c r="NOW61" s="69"/>
      <c r="NOX61" s="69"/>
      <c r="NOY61" s="69"/>
      <c r="NOZ61" s="69"/>
      <c r="NPA61" s="69"/>
      <c r="NPB61" s="69"/>
      <c r="NPC61" s="69"/>
      <c r="NPD61" s="69"/>
      <c r="NPE61" s="69"/>
      <c r="NPF61" s="69"/>
      <c r="NPG61" s="69"/>
      <c r="NPH61" s="69"/>
      <c r="NPI61" s="69"/>
      <c r="NPJ61" s="69"/>
      <c r="NPK61" s="69"/>
      <c r="NPL61" s="69"/>
      <c r="NPM61" s="69"/>
      <c r="NPN61" s="69"/>
      <c r="NPO61" s="69"/>
      <c r="NPP61" s="69"/>
      <c r="NPQ61" s="69"/>
      <c r="NPR61" s="69"/>
      <c r="NPS61" s="69"/>
      <c r="NPT61" s="69"/>
      <c r="NPU61" s="69"/>
      <c r="NPV61" s="69"/>
      <c r="NPW61" s="69"/>
      <c r="NPX61" s="69"/>
      <c r="NPY61" s="69"/>
      <c r="NPZ61" s="69"/>
      <c r="NQA61" s="69"/>
      <c r="NQB61" s="69"/>
      <c r="NQC61" s="69"/>
      <c r="NQD61" s="69"/>
      <c r="NQE61" s="69"/>
      <c r="NQF61" s="69"/>
      <c r="NQG61" s="69"/>
      <c r="NQH61" s="69"/>
      <c r="NQI61" s="69"/>
      <c r="NQJ61" s="69"/>
      <c r="NQK61" s="69"/>
      <c r="NQL61" s="69"/>
      <c r="NQM61" s="69"/>
      <c r="NQN61" s="69"/>
      <c r="NQO61" s="69"/>
      <c r="NQP61" s="69"/>
      <c r="NQQ61" s="69"/>
      <c r="NQR61" s="69"/>
      <c r="NQS61" s="69"/>
      <c r="NQT61" s="69"/>
      <c r="NQU61" s="69"/>
      <c r="NQV61" s="69"/>
      <c r="NQW61" s="69"/>
      <c r="NQX61" s="69"/>
      <c r="NQY61" s="69"/>
      <c r="NQZ61" s="69"/>
      <c r="NRA61" s="69"/>
      <c r="NRB61" s="69"/>
      <c r="NRC61" s="69"/>
      <c r="NRD61" s="69"/>
      <c r="NRE61" s="69"/>
      <c r="NRF61" s="69"/>
      <c r="NRG61" s="69"/>
      <c r="NRH61" s="69"/>
      <c r="NRI61" s="69"/>
      <c r="NRJ61" s="69"/>
      <c r="NRK61" s="69"/>
      <c r="NRL61" s="69"/>
      <c r="NRM61" s="69"/>
      <c r="NRN61" s="69"/>
      <c r="NRO61" s="69"/>
      <c r="NRP61" s="69"/>
      <c r="NRQ61" s="69"/>
      <c r="NRR61" s="69"/>
      <c r="NRS61" s="69"/>
      <c r="NRT61" s="69"/>
      <c r="NRU61" s="69"/>
      <c r="NRV61" s="69"/>
      <c r="NRW61" s="69"/>
      <c r="NRX61" s="69"/>
      <c r="NRY61" s="69"/>
      <c r="NRZ61" s="69"/>
      <c r="NSA61" s="69"/>
      <c r="NSB61" s="69"/>
      <c r="NSC61" s="69"/>
      <c r="NSD61" s="69"/>
      <c r="NSE61" s="69"/>
      <c r="NSF61" s="69"/>
      <c r="NSG61" s="69"/>
      <c r="NSH61" s="69"/>
      <c r="NSI61" s="69"/>
      <c r="NSJ61" s="69"/>
      <c r="NSK61" s="69"/>
      <c r="NSL61" s="69"/>
      <c r="NSM61" s="69"/>
      <c r="NSN61" s="69"/>
      <c r="NSO61" s="69"/>
      <c r="NSP61" s="69"/>
      <c r="NSQ61" s="69"/>
      <c r="NSR61" s="69"/>
      <c r="NSS61" s="69"/>
      <c r="NST61" s="69"/>
      <c r="NSU61" s="69"/>
      <c r="NSV61" s="69"/>
      <c r="NSW61" s="69"/>
      <c r="NSX61" s="69"/>
      <c r="NSY61" s="69"/>
      <c r="NSZ61" s="69"/>
      <c r="NTA61" s="69"/>
      <c r="NTB61" s="69"/>
      <c r="NTC61" s="69"/>
      <c r="NTD61" s="69"/>
      <c r="NTE61" s="69"/>
      <c r="NTF61" s="69"/>
      <c r="NTG61" s="69"/>
      <c r="NTH61" s="69"/>
      <c r="NTI61" s="69"/>
      <c r="NTJ61" s="69"/>
      <c r="NTK61" s="69"/>
      <c r="NTL61" s="69"/>
      <c r="NTM61" s="69"/>
      <c r="NTN61" s="69"/>
      <c r="NTO61" s="69"/>
      <c r="NTP61" s="69"/>
      <c r="NTQ61" s="69"/>
      <c r="NTR61" s="69"/>
      <c r="NTS61" s="69"/>
      <c r="NTT61" s="69"/>
      <c r="NTU61" s="69"/>
      <c r="NTV61" s="69"/>
      <c r="NTW61" s="69"/>
      <c r="NTX61" s="69"/>
      <c r="NTY61" s="69"/>
      <c r="NTZ61" s="69"/>
      <c r="NUA61" s="69"/>
      <c r="NUB61" s="69"/>
      <c r="NUC61" s="69"/>
      <c r="NUD61" s="69"/>
      <c r="NUE61" s="69"/>
      <c r="NUF61" s="69"/>
      <c r="NUG61" s="69"/>
      <c r="NUH61" s="69"/>
      <c r="NUI61" s="69"/>
      <c r="NUJ61" s="69"/>
      <c r="NUK61" s="69"/>
      <c r="NUL61" s="69"/>
      <c r="NUM61" s="69"/>
      <c r="NUN61" s="69"/>
      <c r="NUO61" s="69"/>
      <c r="NUP61" s="69"/>
      <c r="NUQ61" s="69"/>
      <c r="NUR61" s="69"/>
      <c r="NUS61" s="69"/>
      <c r="NUT61" s="69"/>
      <c r="NUU61" s="69"/>
      <c r="NUV61" s="69"/>
      <c r="NUW61" s="69"/>
      <c r="NUX61" s="69"/>
      <c r="NUY61" s="69"/>
      <c r="NUZ61" s="69"/>
      <c r="NVA61" s="69"/>
      <c r="NVB61" s="69"/>
      <c r="NVC61" s="69"/>
      <c r="NVD61" s="69"/>
      <c r="NVE61" s="69"/>
      <c r="NVF61" s="69"/>
      <c r="NVG61" s="69"/>
      <c r="NVH61" s="69"/>
      <c r="NVI61" s="69"/>
      <c r="NVJ61" s="69"/>
      <c r="NVK61" s="69"/>
      <c r="NVL61" s="69"/>
      <c r="NVM61" s="69"/>
      <c r="NVN61" s="69"/>
      <c r="NVO61" s="69"/>
      <c r="NVP61" s="69"/>
      <c r="NVQ61" s="69"/>
      <c r="NVR61" s="69"/>
      <c r="NVS61" s="69"/>
      <c r="NVT61" s="69"/>
      <c r="NVU61" s="69"/>
      <c r="NVV61" s="69"/>
      <c r="NVW61" s="69"/>
      <c r="NVX61" s="69"/>
      <c r="NVY61" s="69"/>
      <c r="NVZ61" s="69"/>
      <c r="NWA61" s="69"/>
      <c r="NWB61" s="69"/>
      <c r="NWC61" s="69"/>
      <c r="NWD61" s="69"/>
      <c r="NWE61" s="69"/>
      <c r="NWF61" s="69"/>
      <c r="NWG61" s="69"/>
      <c r="NWH61" s="69"/>
      <c r="NWI61" s="69"/>
      <c r="NWJ61" s="69"/>
      <c r="NWK61" s="69"/>
      <c r="NWL61" s="69"/>
      <c r="NWM61" s="69"/>
      <c r="NWN61" s="69"/>
      <c r="NWO61" s="69"/>
      <c r="NWP61" s="69"/>
      <c r="NWQ61" s="69"/>
      <c r="NWR61" s="69"/>
      <c r="NWS61" s="69"/>
      <c r="NWT61" s="69"/>
      <c r="NWU61" s="69"/>
      <c r="NWV61" s="69"/>
      <c r="NWW61" s="69"/>
      <c r="NWX61" s="69"/>
      <c r="NWY61" s="69"/>
      <c r="NWZ61" s="69"/>
      <c r="NXA61" s="69"/>
      <c r="NXB61" s="69"/>
      <c r="NXC61" s="69"/>
      <c r="NXD61" s="69"/>
      <c r="NXE61" s="69"/>
      <c r="NXF61" s="69"/>
      <c r="NXG61" s="69"/>
      <c r="NXH61" s="69"/>
      <c r="NXI61" s="69"/>
      <c r="NXJ61" s="69"/>
      <c r="NXK61" s="69"/>
      <c r="NXL61" s="69"/>
      <c r="NXM61" s="69"/>
      <c r="NXN61" s="69"/>
      <c r="NXO61" s="69"/>
      <c r="NXP61" s="69"/>
      <c r="NXQ61" s="69"/>
      <c r="NXR61" s="69"/>
      <c r="NXS61" s="69"/>
      <c r="NXT61" s="69"/>
      <c r="NXU61" s="69"/>
      <c r="NXV61" s="69"/>
      <c r="NXW61" s="69"/>
      <c r="NXX61" s="69"/>
      <c r="NXY61" s="69"/>
      <c r="NXZ61" s="69"/>
      <c r="NYA61" s="69"/>
      <c r="NYB61" s="69"/>
      <c r="NYC61" s="69"/>
      <c r="NYD61" s="69"/>
      <c r="NYE61" s="69"/>
      <c r="NYF61" s="69"/>
      <c r="NYG61" s="69"/>
      <c r="NYH61" s="69"/>
      <c r="NYI61" s="69"/>
      <c r="NYJ61" s="69"/>
      <c r="NYK61" s="69"/>
      <c r="NYL61" s="69"/>
      <c r="NYM61" s="69"/>
      <c r="NYN61" s="69"/>
      <c r="NYO61" s="69"/>
      <c r="NYP61" s="69"/>
      <c r="NYQ61" s="69"/>
      <c r="NYR61" s="69"/>
      <c r="NYS61" s="69"/>
      <c r="NYT61" s="69"/>
      <c r="NYU61" s="69"/>
      <c r="NYV61" s="69"/>
      <c r="NYW61" s="69"/>
      <c r="NYX61" s="69"/>
      <c r="NYY61" s="69"/>
      <c r="NYZ61" s="69"/>
      <c r="NZA61" s="69"/>
      <c r="NZB61" s="69"/>
      <c r="NZC61" s="69"/>
      <c r="NZD61" s="69"/>
      <c r="NZE61" s="69"/>
      <c r="NZF61" s="69"/>
      <c r="NZG61" s="69"/>
      <c r="NZH61" s="69"/>
      <c r="NZI61" s="69"/>
      <c r="NZJ61" s="69"/>
      <c r="NZK61" s="69"/>
      <c r="NZL61" s="69"/>
      <c r="NZM61" s="69"/>
      <c r="NZN61" s="69"/>
      <c r="NZO61" s="69"/>
      <c r="NZP61" s="69"/>
      <c r="NZQ61" s="69"/>
      <c r="NZR61" s="69"/>
      <c r="NZS61" s="69"/>
      <c r="NZT61" s="69"/>
      <c r="NZU61" s="69"/>
      <c r="NZV61" s="69"/>
      <c r="NZW61" s="69"/>
      <c r="NZX61" s="69"/>
      <c r="NZY61" s="69"/>
      <c r="NZZ61" s="69"/>
      <c r="OAA61" s="69"/>
      <c r="OAB61" s="69"/>
      <c r="OAC61" s="69"/>
      <c r="OAD61" s="69"/>
      <c r="OAE61" s="69"/>
      <c r="OAF61" s="69"/>
      <c r="OAG61" s="69"/>
      <c r="OAH61" s="69"/>
      <c r="OAI61" s="69"/>
      <c r="OAJ61" s="69"/>
      <c r="OAK61" s="69"/>
      <c r="OAL61" s="69"/>
      <c r="OAM61" s="69"/>
      <c r="OAN61" s="69"/>
      <c r="OAO61" s="69"/>
      <c r="OAP61" s="69"/>
      <c r="OAQ61" s="69"/>
      <c r="OAR61" s="69"/>
      <c r="OAS61" s="69"/>
      <c r="OAT61" s="69"/>
      <c r="OAU61" s="69"/>
      <c r="OAV61" s="69"/>
      <c r="OAW61" s="69"/>
      <c r="OAX61" s="69"/>
      <c r="OAY61" s="69"/>
      <c r="OAZ61" s="69"/>
      <c r="OBA61" s="69"/>
      <c r="OBB61" s="69"/>
      <c r="OBC61" s="69"/>
      <c r="OBD61" s="69"/>
      <c r="OBE61" s="69"/>
      <c r="OBF61" s="69"/>
      <c r="OBG61" s="69"/>
      <c r="OBH61" s="69"/>
      <c r="OBI61" s="69"/>
      <c r="OBJ61" s="69"/>
      <c r="OBK61" s="69"/>
      <c r="OBL61" s="69"/>
      <c r="OBM61" s="69"/>
      <c r="OBN61" s="69"/>
      <c r="OBO61" s="69"/>
      <c r="OBP61" s="69"/>
      <c r="OBQ61" s="69"/>
      <c r="OBR61" s="69"/>
      <c r="OBS61" s="69"/>
      <c r="OBT61" s="69"/>
      <c r="OBU61" s="69"/>
      <c r="OBV61" s="69"/>
      <c r="OBW61" s="69"/>
      <c r="OBX61" s="69"/>
      <c r="OBY61" s="69"/>
      <c r="OBZ61" s="69"/>
      <c r="OCA61" s="69"/>
      <c r="OCB61" s="69"/>
      <c r="OCC61" s="69"/>
      <c r="OCD61" s="69"/>
      <c r="OCE61" s="69"/>
      <c r="OCF61" s="69"/>
      <c r="OCG61" s="69"/>
      <c r="OCH61" s="69"/>
      <c r="OCI61" s="69"/>
      <c r="OCJ61" s="69"/>
      <c r="OCK61" s="69"/>
      <c r="OCL61" s="69"/>
      <c r="OCM61" s="69"/>
      <c r="OCN61" s="69"/>
      <c r="OCO61" s="69"/>
      <c r="OCP61" s="69"/>
      <c r="OCQ61" s="69"/>
      <c r="OCR61" s="69"/>
      <c r="OCS61" s="69"/>
      <c r="OCT61" s="69"/>
      <c r="OCU61" s="69"/>
      <c r="OCV61" s="69"/>
      <c r="OCW61" s="69"/>
      <c r="OCX61" s="69"/>
      <c r="OCY61" s="69"/>
      <c r="OCZ61" s="69"/>
      <c r="ODA61" s="69"/>
      <c r="ODB61" s="69"/>
      <c r="ODC61" s="69"/>
      <c r="ODD61" s="69"/>
      <c r="ODE61" s="69"/>
      <c r="ODF61" s="69"/>
      <c r="ODG61" s="69"/>
      <c r="ODH61" s="69"/>
      <c r="ODI61" s="69"/>
      <c r="ODJ61" s="69"/>
      <c r="ODK61" s="69"/>
      <c r="ODL61" s="69"/>
      <c r="ODM61" s="69"/>
      <c r="ODN61" s="69"/>
      <c r="ODO61" s="69"/>
      <c r="ODP61" s="69"/>
      <c r="ODQ61" s="69"/>
      <c r="ODR61" s="69"/>
      <c r="ODS61" s="69"/>
      <c r="ODT61" s="69"/>
      <c r="ODU61" s="69"/>
      <c r="ODV61" s="69"/>
      <c r="ODW61" s="69"/>
      <c r="ODX61" s="69"/>
      <c r="ODY61" s="69"/>
      <c r="ODZ61" s="69"/>
      <c r="OEA61" s="69"/>
      <c r="OEB61" s="69"/>
      <c r="OEC61" s="69"/>
      <c r="OED61" s="69"/>
      <c r="OEE61" s="69"/>
      <c r="OEF61" s="69"/>
      <c r="OEG61" s="69"/>
      <c r="OEH61" s="69"/>
      <c r="OEI61" s="69"/>
      <c r="OEJ61" s="69"/>
      <c r="OEK61" s="69"/>
      <c r="OEL61" s="69"/>
      <c r="OEM61" s="69"/>
      <c r="OEN61" s="69"/>
      <c r="OEO61" s="69"/>
      <c r="OEP61" s="69"/>
      <c r="OEQ61" s="69"/>
      <c r="OER61" s="69"/>
      <c r="OES61" s="69"/>
      <c r="OET61" s="69"/>
      <c r="OEU61" s="69"/>
      <c r="OEV61" s="69"/>
      <c r="OEW61" s="69"/>
      <c r="OEX61" s="69"/>
      <c r="OEY61" s="69"/>
      <c r="OEZ61" s="69"/>
      <c r="OFA61" s="69"/>
      <c r="OFB61" s="69"/>
      <c r="OFC61" s="69"/>
      <c r="OFD61" s="69"/>
      <c r="OFE61" s="69"/>
      <c r="OFF61" s="69"/>
      <c r="OFG61" s="69"/>
      <c r="OFH61" s="69"/>
      <c r="OFI61" s="69"/>
      <c r="OFJ61" s="69"/>
      <c r="OFK61" s="69"/>
      <c r="OFL61" s="69"/>
      <c r="OFM61" s="69"/>
      <c r="OFN61" s="69"/>
      <c r="OFO61" s="69"/>
      <c r="OFP61" s="69"/>
      <c r="OFQ61" s="69"/>
      <c r="OFR61" s="69"/>
      <c r="OFS61" s="69"/>
      <c r="OFT61" s="69"/>
      <c r="OFU61" s="69"/>
      <c r="OFV61" s="69"/>
      <c r="OFW61" s="69"/>
      <c r="OFX61" s="69"/>
      <c r="OFY61" s="69"/>
      <c r="OFZ61" s="69"/>
      <c r="OGA61" s="69"/>
      <c r="OGB61" s="69"/>
      <c r="OGC61" s="69"/>
      <c r="OGD61" s="69"/>
      <c r="OGE61" s="69"/>
      <c r="OGF61" s="69"/>
      <c r="OGG61" s="69"/>
      <c r="OGH61" s="69"/>
      <c r="OGI61" s="69"/>
      <c r="OGJ61" s="69"/>
      <c r="OGK61" s="69"/>
      <c r="OGL61" s="69"/>
      <c r="OGM61" s="69"/>
      <c r="OGN61" s="69"/>
      <c r="OGO61" s="69"/>
      <c r="OGP61" s="69"/>
      <c r="OGQ61" s="69"/>
      <c r="OGR61" s="69"/>
      <c r="OGS61" s="69"/>
      <c r="OGT61" s="69"/>
      <c r="OGU61" s="69"/>
      <c r="OGV61" s="69"/>
      <c r="OGW61" s="69"/>
      <c r="OGX61" s="69"/>
      <c r="OGY61" s="69"/>
      <c r="OGZ61" s="69"/>
      <c r="OHA61" s="69"/>
      <c r="OHB61" s="69"/>
      <c r="OHC61" s="69"/>
      <c r="OHD61" s="69"/>
      <c r="OHE61" s="69"/>
      <c r="OHF61" s="69"/>
      <c r="OHG61" s="69"/>
      <c r="OHH61" s="69"/>
      <c r="OHI61" s="69"/>
      <c r="OHJ61" s="69"/>
      <c r="OHK61" s="69"/>
      <c r="OHL61" s="69"/>
      <c r="OHM61" s="69"/>
      <c r="OHN61" s="69"/>
      <c r="OHO61" s="69"/>
      <c r="OHP61" s="69"/>
      <c r="OHQ61" s="69"/>
      <c r="OHR61" s="69"/>
      <c r="OHS61" s="69"/>
      <c r="OHT61" s="69"/>
      <c r="OHU61" s="69"/>
      <c r="OHV61" s="69"/>
      <c r="OHW61" s="69"/>
      <c r="OHX61" s="69"/>
      <c r="OHY61" s="69"/>
      <c r="OHZ61" s="69"/>
      <c r="OIA61" s="69"/>
      <c r="OIB61" s="69"/>
      <c r="OIC61" s="69"/>
      <c r="OID61" s="69"/>
      <c r="OIE61" s="69"/>
      <c r="OIF61" s="69"/>
      <c r="OIG61" s="69"/>
      <c r="OIH61" s="69"/>
      <c r="OII61" s="69"/>
      <c r="OIJ61" s="69"/>
      <c r="OIK61" s="69"/>
      <c r="OIL61" s="69"/>
      <c r="OIM61" s="69"/>
      <c r="OIN61" s="69"/>
      <c r="OIO61" s="69"/>
      <c r="OIP61" s="69"/>
      <c r="OIQ61" s="69"/>
      <c r="OIR61" s="69"/>
      <c r="OIS61" s="69"/>
      <c r="OIT61" s="69"/>
      <c r="OIU61" s="69"/>
      <c r="OIV61" s="69"/>
      <c r="OIW61" s="69"/>
      <c r="OIX61" s="69"/>
      <c r="OIY61" s="69"/>
      <c r="OIZ61" s="69"/>
      <c r="OJA61" s="69"/>
      <c r="OJB61" s="69"/>
      <c r="OJC61" s="69"/>
      <c r="OJD61" s="69"/>
      <c r="OJE61" s="69"/>
      <c r="OJF61" s="69"/>
      <c r="OJG61" s="69"/>
      <c r="OJH61" s="69"/>
      <c r="OJI61" s="69"/>
      <c r="OJJ61" s="69"/>
      <c r="OJK61" s="69"/>
      <c r="OJL61" s="69"/>
      <c r="OJM61" s="69"/>
      <c r="OJN61" s="69"/>
      <c r="OJO61" s="69"/>
      <c r="OJP61" s="69"/>
      <c r="OJQ61" s="69"/>
      <c r="OJR61" s="69"/>
      <c r="OJS61" s="69"/>
      <c r="OJT61" s="69"/>
      <c r="OJU61" s="69"/>
      <c r="OJV61" s="69"/>
      <c r="OJW61" s="69"/>
      <c r="OJX61" s="69"/>
      <c r="OJY61" s="69"/>
      <c r="OJZ61" s="69"/>
      <c r="OKA61" s="69"/>
      <c r="OKB61" s="69"/>
      <c r="OKC61" s="69"/>
      <c r="OKD61" s="69"/>
      <c r="OKE61" s="69"/>
      <c r="OKF61" s="69"/>
      <c r="OKG61" s="69"/>
      <c r="OKH61" s="69"/>
      <c r="OKI61" s="69"/>
      <c r="OKJ61" s="69"/>
      <c r="OKK61" s="69"/>
      <c r="OKL61" s="69"/>
      <c r="OKM61" s="69"/>
      <c r="OKN61" s="69"/>
      <c r="OKO61" s="69"/>
      <c r="OKP61" s="69"/>
      <c r="OKQ61" s="69"/>
      <c r="OKR61" s="69"/>
      <c r="OKS61" s="69"/>
      <c r="OKT61" s="69"/>
      <c r="OKU61" s="69"/>
      <c r="OKV61" s="69"/>
      <c r="OKW61" s="69"/>
      <c r="OKX61" s="69"/>
      <c r="OKY61" s="69"/>
      <c r="OKZ61" s="69"/>
      <c r="OLA61" s="69"/>
      <c r="OLB61" s="69"/>
      <c r="OLC61" s="69"/>
      <c r="OLD61" s="69"/>
      <c r="OLE61" s="69"/>
      <c r="OLF61" s="69"/>
      <c r="OLG61" s="69"/>
      <c r="OLH61" s="69"/>
      <c r="OLI61" s="69"/>
      <c r="OLJ61" s="69"/>
      <c r="OLK61" s="69"/>
      <c r="OLL61" s="69"/>
      <c r="OLM61" s="69"/>
      <c r="OLN61" s="69"/>
      <c r="OLO61" s="69"/>
      <c r="OLP61" s="69"/>
      <c r="OLQ61" s="69"/>
      <c r="OLR61" s="69"/>
      <c r="OLS61" s="69"/>
      <c r="OLT61" s="69"/>
      <c r="OLU61" s="69"/>
      <c r="OLV61" s="69"/>
      <c r="OLW61" s="69"/>
      <c r="OLX61" s="69"/>
      <c r="OLY61" s="69"/>
      <c r="OLZ61" s="69"/>
      <c r="OMA61" s="69"/>
      <c r="OMB61" s="69"/>
      <c r="OMC61" s="69"/>
      <c r="OMD61" s="69"/>
      <c r="OME61" s="69"/>
      <c r="OMF61" s="69"/>
      <c r="OMG61" s="69"/>
      <c r="OMH61" s="69"/>
      <c r="OMI61" s="69"/>
      <c r="OMJ61" s="69"/>
      <c r="OMK61" s="69"/>
      <c r="OML61" s="69"/>
      <c r="OMM61" s="69"/>
      <c r="OMN61" s="69"/>
      <c r="OMO61" s="69"/>
      <c r="OMP61" s="69"/>
      <c r="OMQ61" s="69"/>
      <c r="OMR61" s="69"/>
      <c r="OMS61" s="69"/>
      <c r="OMT61" s="69"/>
      <c r="OMU61" s="69"/>
      <c r="OMV61" s="69"/>
      <c r="OMW61" s="69"/>
      <c r="OMX61" s="69"/>
      <c r="OMY61" s="69"/>
      <c r="OMZ61" s="69"/>
      <c r="ONA61" s="69"/>
      <c r="ONB61" s="69"/>
      <c r="ONC61" s="69"/>
      <c r="OND61" s="69"/>
      <c r="ONE61" s="69"/>
      <c r="ONF61" s="69"/>
      <c r="ONG61" s="69"/>
      <c r="ONH61" s="69"/>
      <c r="ONI61" s="69"/>
      <c r="ONJ61" s="69"/>
      <c r="ONK61" s="69"/>
      <c r="ONL61" s="69"/>
      <c r="ONM61" s="69"/>
      <c r="ONN61" s="69"/>
      <c r="ONO61" s="69"/>
      <c r="ONP61" s="69"/>
      <c r="ONQ61" s="69"/>
      <c r="ONR61" s="69"/>
      <c r="ONS61" s="69"/>
      <c r="ONT61" s="69"/>
      <c r="ONU61" s="69"/>
      <c r="ONV61" s="69"/>
      <c r="ONW61" s="69"/>
      <c r="ONX61" s="69"/>
      <c r="ONY61" s="69"/>
      <c r="ONZ61" s="69"/>
      <c r="OOA61" s="69"/>
      <c r="OOB61" s="69"/>
      <c r="OOC61" s="69"/>
      <c r="OOD61" s="69"/>
      <c r="OOE61" s="69"/>
      <c r="OOF61" s="69"/>
      <c r="OOG61" s="69"/>
      <c r="OOH61" s="69"/>
      <c r="OOI61" s="69"/>
      <c r="OOJ61" s="69"/>
      <c r="OOK61" s="69"/>
      <c r="OOL61" s="69"/>
      <c r="OOM61" s="69"/>
      <c r="OON61" s="69"/>
      <c r="OOO61" s="69"/>
      <c r="OOP61" s="69"/>
      <c r="OOQ61" s="69"/>
      <c r="OOR61" s="69"/>
      <c r="OOS61" s="69"/>
      <c r="OOT61" s="69"/>
      <c r="OOU61" s="69"/>
      <c r="OOV61" s="69"/>
      <c r="OOW61" s="69"/>
      <c r="OOX61" s="69"/>
      <c r="OOY61" s="69"/>
      <c r="OOZ61" s="69"/>
      <c r="OPA61" s="69"/>
      <c r="OPB61" s="69"/>
      <c r="OPC61" s="69"/>
      <c r="OPD61" s="69"/>
      <c r="OPE61" s="69"/>
      <c r="OPF61" s="69"/>
      <c r="OPG61" s="69"/>
      <c r="OPH61" s="69"/>
      <c r="OPI61" s="69"/>
      <c r="OPJ61" s="69"/>
      <c r="OPK61" s="69"/>
      <c r="OPL61" s="69"/>
      <c r="OPM61" s="69"/>
      <c r="OPN61" s="69"/>
      <c r="OPO61" s="69"/>
      <c r="OPP61" s="69"/>
      <c r="OPQ61" s="69"/>
      <c r="OPR61" s="69"/>
      <c r="OPS61" s="69"/>
      <c r="OPT61" s="69"/>
      <c r="OPU61" s="69"/>
      <c r="OPV61" s="69"/>
      <c r="OPW61" s="69"/>
      <c r="OPX61" s="69"/>
      <c r="OPY61" s="69"/>
      <c r="OPZ61" s="69"/>
      <c r="OQA61" s="69"/>
      <c r="OQB61" s="69"/>
      <c r="OQC61" s="69"/>
      <c r="OQD61" s="69"/>
      <c r="OQE61" s="69"/>
      <c r="OQF61" s="69"/>
      <c r="OQG61" s="69"/>
      <c r="OQH61" s="69"/>
      <c r="OQI61" s="69"/>
      <c r="OQJ61" s="69"/>
      <c r="OQK61" s="69"/>
      <c r="OQL61" s="69"/>
      <c r="OQM61" s="69"/>
      <c r="OQN61" s="69"/>
      <c r="OQO61" s="69"/>
      <c r="OQP61" s="69"/>
      <c r="OQQ61" s="69"/>
      <c r="OQR61" s="69"/>
      <c r="OQS61" s="69"/>
      <c r="OQT61" s="69"/>
      <c r="OQU61" s="69"/>
      <c r="OQV61" s="69"/>
      <c r="OQW61" s="69"/>
      <c r="OQX61" s="69"/>
      <c r="OQY61" s="69"/>
      <c r="OQZ61" s="69"/>
      <c r="ORA61" s="69"/>
      <c r="ORB61" s="69"/>
      <c r="ORC61" s="69"/>
      <c r="ORD61" s="69"/>
      <c r="ORE61" s="69"/>
      <c r="ORF61" s="69"/>
      <c r="ORG61" s="69"/>
      <c r="ORH61" s="69"/>
      <c r="ORI61" s="69"/>
      <c r="ORJ61" s="69"/>
      <c r="ORK61" s="69"/>
      <c r="ORL61" s="69"/>
      <c r="ORM61" s="69"/>
      <c r="ORN61" s="69"/>
      <c r="ORO61" s="69"/>
      <c r="ORP61" s="69"/>
      <c r="ORQ61" s="69"/>
      <c r="ORR61" s="69"/>
      <c r="ORS61" s="69"/>
      <c r="ORT61" s="69"/>
      <c r="ORU61" s="69"/>
      <c r="ORV61" s="69"/>
      <c r="ORW61" s="69"/>
      <c r="ORX61" s="69"/>
      <c r="ORY61" s="69"/>
      <c r="ORZ61" s="69"/>
      <c r="OSA61" s="69"/>
      <c r="OSB61" s="69"/>
      <c r="OSC61" s="69"/>
      <c r="OSD61" s="69"/>
      <c r="OSE61" s="69"/>
      <c r="OSF61" s="69"/>
      <c r="OSG61" s="69"/>
      <c r="OSH61" s="69"/>
      <c r="OSI61" s="69"/>
      <c r="OSJ61" s="69"/>
      <c r="OSK61" s="69"/>
      <c r="OSL61" s="69"/>
      <c r="OSM61" s="69"/>
      <c r="OSN61" s="69"/>
      <c r="OSO61" s="69"/>
      <c r="OSP61" s="69"/>
      <c r="OSQ61" s="69"/>
      <c r="OSR61" s="69"/>
      <c r="OSS61" s="69"/>
      <c r="OST61" s="69"/>
      <c r="OSU61" s="69"/>
      <c r="OSV61" s="69"/>
      <c r="OSW61" s="69"/>
      <c r="OSX61" s="69"/>
      <c r="OSY61" s="69"/>
      <c r="OSZ61" s="69"/>
      <c r="OTA61" s="69"/>
      <c r="OTB61" s="69"/>
      <c r="OTC61" s="69"/>
      <c r="OTD61" s="69"/>
      <c r="OTE61" s="69"/>
      <c r="OTF61" s="69"/>
      <c r="OTG61" s="69"/>
      <c r="OTH61" s="69"/>
      <c r="OTI61" s="69"/>
      <c r="OTJ61" s="69"/>
      <c r="OTK61" s="69"/>
      <c r="OTL61" s="69"/>
      <c r="OTM61" s="69"/>
      <c r="OTN61" s="69"/>
      <c r="OTO61" s="69"/>
      <c r="OTP61" s="69"/>
      <c r="OTQ61" s="69"/>
      <c r="OTR61" s="69"/>
      <c r="OTS61" s="69"/>
      <c r="OTT61" s="69"/>
      <c r="OTU61" s="69"/>
      <c r="OTV61" s="69"/>
      <c r="OTW61" s="69"/>
      <c r="OTX61" s="69"/>
      <c r="OTY61" s="69"/>
      <c r="OTZ61" s="69"/>
      <c r="OUA61" s="69"/>
      <c r="OUB61" s="69"/>
      <c r="OUC61" s="69"/>
      <c r="OUD61" s="69"/>
      <c r="OUE61" s="69"/>
      <c r="OUF61" s="69"/>
      <c r="OUG61" s="69"/>
      <c r="OUH61" s="69"/>
      <c r="OUI61" s="69"/>
      <c r="OUJ61" s="69"/>
      <c r="OUK61" s="69"/>
      <c r="OUL61" s="69"/>
      <c r="OUM61" s="69"/>
      <c r="OUN61" s="69"/>
      <c r="OUO61" s="69"/>
      <c r="OUP61" s="69"/>
      <c r="OUQ61" s="69"/>
      <c r="OUR61" s="69"/>
      <c r="OUS61" s="69"/>
      <c r="OUT61" s="69"/>
      <c r="OUU61" s="69"/>
      <c r="OUV61" s="69"/>
      <c r="OUW61" s="69"/>
      <c r="OUX61" s="69"/>
      <c r="OUY61" s="69"/>
      <c r="OUZ61" s="69"/>
      <c r="OVA61" s="69"/>
      <c r="OVB61" s="69"/>
      <c r="OVC61" s="69"/>
      <c r="OVD61" s="69"/>
      <c r="OVE61" s="69"/>
      <c r="OVF61" s="69"/>
      <c r="OVG61" s="69"/>
      <c r="OVH61" s="69"/>
      <c r="OVI61" s="69"/>
      <c r="OVJ61" s="69"/>
      <c r="OVK61" s="69"/>
      <c r="OVL61" s="69"/>
      <c r="OVM61" s="69"/>
      <c r="OVN61" s="69"/>
      <c r="OVO61" s="69"/>
      <c r="OVP61" s="69"/>
      <c r="OVQ61" s="69"/>
      <c r="OVR61" s="69"/>
      <c r="OVS61" s="69"/>
      <c r="OVT61" s="69"/>
      <c r="OVU61" s="69"/>
      <c r="OVV61" s="69"/>
      <c r="OVW61" s="69"/>
      <c r="OVX61" s="69"/>
      <c r="OVY61" s="69"/>
      <c r="OVZ61" s="69"/>
      <c r="OWA61" s="69"/>
      <c r="OWB61" s="69"/>
      <c r="OWC61" s="69"/>
      <c r="OWD61" s="69"/>
      <c r="OWE61" s="69"/>
      <c r="OWF61" s="69"/>
      <c r="OWG61" s="69"/>
      <c r="OWH61" s="69"/>
      <c r="OWI61" s="69"/>
      <c r="OWJ61" s="69"/>
      <c r="OWK61" s="69"/>
      <c r="OWL61" s="69"/>
      <c r="OWM61" s="69"/>
      <c r="OWN61" s="69"/>
      <c r="OWO61" s="69"/>
      <c r="OWP61" s="69"/>
      <c r="OWQ61" s="69"/>
      <c r="OWR61" s="69"/>
      <c r="OWS61" s="69"/>
      <c r="OWT61" s="69"/>
      <c r="OWU61" s="69"/>
      <c r="OWV61" s="69"/>
      <c r="OWW61" s="69"/>
      <c r="OWX61" s="69"/>
      <c r="OWY61" s="69"/>
      <c r="OWZ61" s="69"/>
      <c r="OXA61" s="69"/>
      <c r="OXB61" s="69"/>
      <c r="OXC61" s="69"/>
      <c r="OXD61" s="69"/>
      <c r="OXE61" s="69"/>
      <c r="OXF61" s="69"/>
      <c r="OXG61" s="69"/>
      <c r="OXH61" s="69"/>
      <c r="OXI61" s="69"/>
      <c r="OXJ61" s="69"/>
      <c r="OXK61" s="69"/>
      <c r="OXL61" s="69"/>
      <c r="OXM61" s="69"/>
      <c r="OXN61" s="69"/>
      <c r="OXO61" s="69"/>
      <c r="OXP61" s="69"/>
      <c r="OXQ61" s="69"/>
      <c r="OXR61" s="69"/>
      <c r="OXS61" s="69"/>
      <c r="OXT61" s="69"/>
      <c r="OXU61" s="69"/>
      <c r="OXV61" s="69"/>
      <c r="OXW61" s="69"/>
      <c r="OXX61" s="69"/>
      <c r="OXY61" s="69"/>
      <c r="OXZ61" s="69"/>
      <c r="OYA61" s="69"/>
      <c r="OYB61" s="69"/>
      <c r="OYC61" s="69"/>
      <c r="OYD61" s="69"/>
      <c r="OYE61" s="69"/>
      <c r="OYF61" s="69"/>
      <c r="OYG61" s="69"/>
      <c r="OYH61" s="69"/>
      <c r="OYI61" s="69"/>
      <c r="OYJ61" s="69"/>
      <c r="OYK61" s="69"/>
      <c r="OYL61" s="69"/>
      <c r="OYM61" s="69"/>
      <c r="OYN61" s="69"/>
      <c r="OYO61" s="69"/>
      <c r="OYP61" s="69"/>
      <c r="OYQ61" s="69"/>
      <c r="OYR61" s="69"/>
      <c r="OYS61" s="69"/>
      <c r="OYT61" s="69"/>
      <c r="OYU61" s="69"/>
      <c r="OYV61" s="69"/>
      <c r="OYW61" s="69"/>
      <c r="OYX61" s="69"/>
      <c r="OYY61" s="69"/>
      <c r="OYZ61" s="69"/>
      <c r="OZA61" s="69"/>
      <c r="OZB61" s="69"/>
      <c r="OZC61" s="69"/>
      <c r="OZD61" s="69"/>
      <c r="OZE61" s="69"/>
      <c r="OZF61" s="69"/>
      <c r="OZG61" s="69"/>
      <c r="OZH61" s="69"/>
      <c r="OZI61" s="69"/>
      <c r="OZJ61" s="69"/>
      <c r="OZK61" s="69"/>
      <c r="OZL61" s="69"/>
      <c r="OZM61" s="69"/>
      <c r="OZN61" s="69"/>
      <c r="OZO61" s="69"/>
      <c r="OZP61" s="69"/>
      <c r="OZQ61" s="69"/>
      <c r="OZR61" s="69"/>
      <c r="OZS61" s="69"/>
      <c r="OZT61" s="69"/>
      <c r="OZU61" s="69"/>
      <c r="OZV61" s="69"/>
      <c r="OZW61" s="69"/>
      <c r="OZX61" s="69"/>
      <c r="OZY61" s="69"/>
      <c r="OZZ61" s="69"/>
      <c r="PAA61" s="69"/>
      <c r="PAB61" s="69"/>
      <c r="PAC61" s="69"/>
      <c r="PAD61" s="69"/>
      <c r="PAE61" s="69"/>
      <c r="PAF61" s="69"/>
      <c r="PAG61" s="69"/>
      <c r="PAH61" s="69"/>
      <c r="PAI61" s="69"/>
      <c r="PAJ61" s="69"/>
      <c r="PAK61" s="69"/>
      <c r="PAL61" s="69"/>
      <c r="PAM61" s="69"/>
      <c r="PAN61" s="69"/>
      <c r="PAO61" s="69"/>
      <c r="PAP61" s="69"/>
      <c r="PAQ61" s="69"/>
      <c r="PAR61" s="69"/>
      <c r="PAS61" s="69"/>
      <c r="PAT61" s="69"/>
      <c r="PAU61" s="69"/>
      <c r="PAV61" s="69"/>
      <c r="PAW61" s="69"/>
      <c r="PAX61" s="69"/>
      <c r="PAY61" s="69"/>
      <c r="PAZ61" s="69"/>
      <c r="PBA61" s="69"/>
      <c r="PBB61" s="69"/>
      <c r="PBC61" s="69"/>
      <c r="PBD61" s="69"/>
      <c r="PBE61" s="69"/>
      <c r="PBF61" s="69"/>
      <c r="PBG61" s="69"/>
      <c r="PBH61" s="69"/>
      <c r="PBI61" s="69"/>
      <c r="PBJ61" s="69"/>
      <c r="PBK61" s="69"/>
      <c r="PBL61" s="69"/>
      <c r="PBM61" s="69"/>
      <c r="PBN61" s="69"/>
      <c r="PBO61" s="69"/>
      <c r="PBP61" s="69"/>
      <c r="PBQ61" s="69"/>
      <c r="PBR61" s="69"/>
      <c r="PBS61" s="69"/>
      <c r="PBT61" s="69"/>
      <c r="PBU61" s="69"/>
      <c r="PBV61" s="69"/>
      <c r="PBW61" s="69"/>
      <c r="PBX61" s="69"/>
      <c r="PBY61" s="69"/>
      <c r="PBZ61" s="69"/>
      <c r="PCA61" s="69"/>
      <c r="PCB61" s="69"/>
      <c r="PCC61" s="69"/>
      <c r="PCD61" s="69"/>
      <c r="PCE61" s="69"/>
      <c r="PCF61" s="69"/>
      <c r="PCG61" s="69"/>
      <c r="PCH61" s="69"/>
      <c r="PCI61" s="69"/>
      <c r="PCJ61" s="69"/>
      <c r="PCK61" s="69"/>
      <c r="PCL61" s="69"/>
      <c r="PCM61" s="69"/>
      <c r="PCN61" s="69"/>
      <c r="PCO61" s="69"/>
      <c r="PCP61" s="69"/>
      <c r="PCQ61" s="69"/>
      <c r="PCR61" s="69"/>
      <c r="PCS61" s="69"/>
      <c r="PCT61" s="69"/>
      <c r="PCU61" s="69"/>
      <c r="PCV61" s="69"/>
      <c r="PCW61" s="69"/>
      <c r="PCX61" s="69"/>
      <c r="PCY61" s="69"/>
      <c r="PCZ61" s="69"/>
      <c r="PDA61" s="69"/>
      <c r="PDB61" s="69"/>
      <c r="PDC61" s="69"/>
      <c r="PDD61" s="69"/>
      <c r="PDE61" s="69"/>
      <c r="PDF61" s="69"/>
      <c r="PDG61" s="69"/>
      <c r="PDH61" s="69"/>
      <c r="PDI61" s="69"/>
      <c r="PDJ61" s="69"/>
      <c r="PDK61" s="69"/>
      <c r="PDL61" s="69"/>
      <c r="PDM61" s="69"/>
      <c r="PDN61" s="69"/>
      <c r="PDO61" s="69"/>
      <c r="PDP61" s="69"/>
      <c r="PDQ61" s="69"/>
      <c r="PDR61" s="69"/>
      <c r="PDS61" s="69"/>
      <c r="PDT61" s="69"/>
      <c r="PDU61" s="69"/>
      <c r="PDV61" s="69"/>
      <c r="PDW61" s="69"/>
      <c r="PDX61" s="69"/>
      <c r="PDY61" s="69"/>
      <c r="PDZ61" s="69"/>
      <c r="PEA61" s="69"/>
      <c r="PEB61" s="69"/>
      <c r="PEC61" s="69"/>
      <c r="PED61" s="69"/>
      <c r="PEE61" s="69"/>
      <c r="PEF61" s="69"/>
      <c r="PEG61" s="69"/>
      <c r="PEH61" s="69"/>
      <c r="PEI61" s="69"/>
      <c r="PEJ61" s="69"/>
      <c r="PEK61" s="69"/>
      <c r="PEL61" s="69"/>
      <c r="PEM61" s="69"/>
      <c r="PEN61" s="69"/>
      <c r="PEO61" s="69"/>
      <c r="PEP61" s="69"/>
      <c r="PEQ61" s="69"/>
      <c r="PER61" s="69"/>
      <c r="PES61" s="69"/>
      <c r="PET61" s="69"/>
      <c r="PEU61" s="69"/>
      <c r="PEV61" s="69"/>
      <c r="PEW61" s="69"/>
      <c r="PEX61" s="69"/>
      <c r="PEY61" s="69"/>
      <c r="PEZ61" s="69"/>
      <c r="PFA61" s="69"/>
      <c r="PFB61" s="69"/>
      <c r="PFC61" s="69"/>
      <c r="PFD61" s="69"/>
      <c r="PFE61" s="69"/>
      <c r="PFF61" s="69"/>
      <c r="PFG61" s="69"/>
      <c r="PFH61" s="69"/>
      <c r="PFI61" s="69"/>
      <c r="PFJ61" s="69"/>
      <c r="PFK61" s="69"/>
      <c r="PFL61" s="69"/>
      <c r="PFM61" s="69"/>
      <c r="PFN61" s="69"/>
      <c r="PFO61" s="69"/>
      <c r="PFP61" s="69"/>
      <c r="PFQ61" s="69"/>
      <c r="PFR61" s="69"/>
      <c r="PFS61" s="69"/>
      <c r="PFT61" s="69"/>
      <c r="PFU61" s="69"/>
      <c r="PFV61" s="69"/>
      <c r="PFW61" s="69"/>
      <c r="PFX61" s="69"/>
      <c r="PFY61" s="69"/>
      <c r="PFZ61" s="69"/>
      <c r="PGA61" s="69"/>
      <c r="PGB61" s="69"/>
      <c r="PGC61" s="69"/>
      <c r="PGD61" s="69"/>
      <c r="PGE61" s="69"/>
      <c r="PGF61" s="69"/>
      <c r="PGG61" s="69"/>
      <c r="PGH61" s="69"/>
      <c r="PGI61" s="69"/>
      <c r="PGJ61" s="69"/>
      <c r="PGK61" s="69"/>
      <c r="PGL61" s="69"/>
      <c r="PGM61" s="69"/>
      <c r="PGN61" s="69"/>
      <c r="PGO61" s="69"/>
      <c r="PGP61" s="69"/>
      <c r="PGQ61" s="69"/>
      <c r="PGR61" s="69"/>
      <c r="PGS61" s="69"/>
      <c r="PGT61" s="69"/>
      <c r="PGU61" s="69"/>
      <c r="PGV61" s="69"/>
      <c r="PGW61" s="69"/>
      <c r="PGX61" s="69"/>
      <c r="PGY61" s="69"/>
      <c r="PGZ61" s="69"/>
      <c r="PHA61" s="69"/>
      <c r="PHB61" s="69"/>
      <c r="PHC61" s="69"/>
      <c r="PHD61" s="69"/>
      <c r="PHE61" s="69"/>
      <c r="PHF61" s="69"/>
      <c r="PHG61" s="69"/>
      <c r="PHH61" s="69"/>
      <c r="PHI61" s="69"/>
      <c r="PHJ61" s="69"/>
      <c r="PHK61" s="69"/>
      <c r="PHL61" s="69"/>
      <c r="PHM61" s="69"/>
      <c r="PHN61" s="69"/>
      <c r="PHO61" s="69"/>
      <c r="PHP61" s="69"/>
      <c r="PHQ61" s="69"/>
      <c r="PHR61" s="69"/>
      <c r="PHS61" s="69"/>
      <c r="PHT61" s="69"/>
      <c r="PHU61" s="69"/>
      <c r="PHV61" s="69"/>
      <c r="PHW61" s="69"/>
      <c r="PHX61" s="69"/>
      <c r="PHY61" s="69"/>
      <c r="PHZ61" s="69"/>
      <c r="PIA61" s="69"/>
      <c r="PIB61" s="69"/>
      <c r="PIC61" s="69"/>
      <c r="PID61" s="69"/>
      <c r="PIE61" s="69"/>
      <c r="PIF61" s="69"/>
      <c r="PIG61" s="69"/>
      <c r="PIH61" s="69"/>
      <c r="PII61" s="69"/>
      <c r="PIJ61" s="69"/>
      <c r="PIK61" s="69"/>
      <c r="PIL61" s="69"/>
      <c r="PIM61" s="69"/>
      <c r="PIN61" s="69"/>
      <c r="PIO61" s="69"/>
      <c r="PIP61" s="69"/>
      <c r="PIQ61" s="69"/>
      <c r="PIR61" s="69"/>
      <c r="PIS61" s="69"/>
      <c r="PIT61" s="69"/>
      <c r="PIU61" s="69"/>
      <c r="PIV61" s="69"/>
      <c r="PIW61" s="69"/>
      <c r="PIX61" s="69"/>
      <c r="PIY61" s="69"/>
      <c r="PIZ61" s="69"/>
      <c r="PJA61" s="69"/>
      <c r="PJB61" s="69"/>
      <c r="PJC61" s="69"/>
      <c r="PJD61" s="69"/>
      <c r="PJE61" s="69"/>
      <c r="PJF61" s="69"/>
      <c r="PJG61" s="69"/>
      <c r="PJH61" s="69"/>
      <c r="PJI61" s="69"/>
      <c r="PJJ61" s="69"/>
      <c r="PJK61" s="69"/>
      <c r="PJL61" s="69"/>
      <c r="PJM61" s="69"/>
      <c r="PJN61" s="69"/>
      <c r="PJO61" s="69"/>
      <c r="PJP61" s="69"/>
      <c r="PJQ61" s="69"/>
      <c r="PJR61" s="69"/>
      <c r="PJS61" s="69"/>
      <c r="PJT61" s="69"/>
      <c r="PJU61" s="69"/>
      <c r="PJV61" s="69"/>
      <c r="PJW61" s="69"/>
      <c r="PJX61" s="69"/>
      <c r="PJY61" s="69"/>
      <c r="PJZ61" s="69"/>
      <c r="PKA61" s="69"/>
      <c r="PKB61" s="69"/>
      <c r="PKC61" s="69"/>
      <c r="PKD61" s="69"/>
      <c r="PKE61" s="69"/>
      <c r="PKF61" s="69"/>
      <c r="PKG61" s="69"/>
      <c r="PKH61" s="69"/>
      <c r="PKI61" s="69"/>
      <c r="PKJ61" s="69"/>
      <c r="PKK61" s="69"/>
      <c r="PKL61" s="69"/>
      <c r="PKM61" s="69"/>
      <c r="PKN61" s="69"/>
      <c r="PKO61" s="69"/>
      <c r="PKP61" s="69"/>
      <c r="PKQ61" s="69"/>
      <c r="PKR61" s="69"/>
      <c r="PKS61" s="69"/>
      <c r="PKT61" s="69"/>
      <c r="PKU61" s="69"/>
      <c r="PKV61" s="69"/>
      <c r="PKW61" s="69"/>
      <c r="PKX61" s="69"/>
      <c r="PKY61" s="69"/>
      <c r="PKZ61" s="69"/>
      <c r="PLA61" s="69"/>
      <c r="PLB61" s="69"/>
      <c r="PLC61" s="69"/>
      <c r="PLD61" s="69"/>
      <c r="PLE61" s="69"/>
      <c r="PLF61" s="69"/>
      <c r="PLG61" s="69"/>
      <c r="PLH61" s="69"/>
      <c r="PLI61" s="69"/>
      <c r="PLJ61" s="69"/>
      <c r="PLK61" s="69"/>
      <c r="PLL61" s="69"/>
      <c r="PLM61" s="69"/>
      <c r="PLN61" s="69"/>
      <c r="PLO61" s="69"/>
      <c r="PLP61" s="69"/>
      <c r="PLQ61" s="69"/>
      <c r="PLR61" s="69"/>
      <c r="PLS61" s="69"/>
      <c r="PLT61" s="69"/>
      <c r="PLU61" s="69"/>
      <c r="PLV61" s="69"/>
      <c r="PLW61" s="69"/>
      <c r="PLX61" s="69"/>
      <c r="PLY61" s="69"/>
      <c r="PLZ61" s="69"/>
      <c r="PMA61" s="69"/>
      <c r="PMB61" s="69"/>
      <c r="PMC61" s="69"/>
      <c r="PMD61" s="69"/>
      <c r="PME61" s="69"/>
      <c r="PMF61" s="69"/>
      <c r="PMG61" s="69"/>
      <c r="PMH61" s="69"/>
      <c r="PMI61" s="69"/>
      <c r="PMJ61" s="69"/>
      <c r="PMK61" s="69"/>
      <c r="PML61" s="69"/>
      <c r="PMM61" s="69"/>
      <c r="PMN61" s="69"/>
      <c r="PMO61" s="69"/>
      <c r="PMP61" s="69"/>
      <c r="PMQ61" s="69"/>
      <c r="PMR61" s="69"/>
      <c r="PMS61" s="69"/>
      <c r="PMT61" s="69"/>
      <c r="PMU61" s="69"/>
      <c r="PMV61" s="69"/>
      <c r="PMW61" s="69"/>
      <c r="PMX61" s="69"/>
      <c r="PMY61" s="69"/>
      <c r="PMZ61" s="69"/>
      <c r="PNA61" s="69"/>
      <c r="PNB61" s="69"/>
      <c r="PNC61" s="69"/>
      <c r="PND61" s="69"/>
      <c r="PNE61" s="69"/>
      <c r="PNF61" s="69"/>
      <c r="PNG61" s="69"/>
      <c r="PNH61" s="69"/>
      <c r="PNI61" s="69"/>
      <c r="PNJ61" s="69"/>
      <c r="PNK61" s="69"/>
      <c r="PNL61" s="69"/>
      <c r="PNM61" s="69"/>
      <c r="PNN61" s="69"/>
      <c r="PNO61" s="69"/>
      <c r="PNP61" s="69"/>
      <c r="PNQ61" s="69"/>
      <c r="PNR61" s="69"/>
      <c r="PNS61" s="69"/>
      <c r="PNT61" s="69"/>
      <c r="PNU61" s="69"/>
      <c r="PNV61" s="69"/>
      <c r="PNW61" s="69"/>
      <c r="PNX61" s="69"/>
      <c r="PNY61" s="69"/>
      <c r="PNZ61" s="69"/>
      <c r="POA61" s="69"/>
      <c r="POB61" s="69"/>
      <c r="POC61" s="69"/>
      <c r="POD61" s="69"/>
      <c r="POE61" s="69"/>
      <c r="POF61" s="69"/>
      <c r="POG61" s="69"/>
      <c r="POH61" s="69"/>
      <c r="POI61" s="69"/>
      <c r="POJ61" s="69"/>
      <c r="POK61" s="69"/>
      <c r="POL61" s="69"/>
      <c r="POM61" s="69"/>
      <c r="PON61" s="69"/>
      <c r="POO61" s="69"/>
      <c r="POP61" s="69"/>
      <c r="POQ61" s="69"/>
      <c r="POR61" s="69"/>
      <c r="POS61" s="69"/>
      <c r="POT61" s="69"/>
      <c r="POU61" s="69"/>
      <c r="POV61" s="69"/>
      <c r="POW61" s="69"/>
      <c r="POX61" s="69"/>
      <c r="POY61" s="69"/>
      <c r="POZ61" s="69"/>
      <c r="PPA61" s="69"/>
      <c r="PPB61" s="69"/>
      <c r="PPC61" s="69"/>
      <c r="PPD61" s="69"/>
      <c r="PPE61" s="69"/>
      <c r="PPF61" s="69"/>
      <c r="PPG61" s="69"/>
      <c r="PPH61" s="69"/>
      <c r="PPI61" s="69"/>
      <c r="PPJ61" s="69"/>
      <c r="PPK61" s="69"/>
      <c r="PPL61" s="69"/>
      <c r="PPM61" s="69"/>
      <c r="PPN61" s="69"/>
      <c r="PPO61" s="69"/>
      <c r="PPP61" s="69"/>
      <c r="PPQ61" s="69"/>
      <c r="PPR61" s="69"/>
      <c r="PPS61" s="69"/>
      <c r="PPT61" s="69"/>
      <c r="PPU61" s="69"/>
      <c r="PPV61" s="69"/>
      <c r="PPW61" s="69"/>
      <c r="PPX61" s="69"/>
      <c r="PPY61" s="69"/>
      <c r="PPZ61" s="69"/>
      <c r="PQA61" s="69"/>
      <c r="PQB61" s="69"/>
      <c r="PQC61" s="69"/>
      <c r="PQD61" s="69"/>
      <c r="PQE61" s="69"/>
      <c r="PQF61" s="69"/>
      <c r="PQG61" s="69"/>
      <c r="PQH61" s="69"/>
      <c r="PQI61" s="69"/>
      <c r="PQJ61" s="69"/>
      <c r="PQK61" s="69"/>
      <c r="PQL61" s="69"/>
      <c r="PQM61" s="69"/>
      <c r="PQN61" s="69"/>
      <c r="PQO61" s="69"/>
      <c r="PQP61" s="69"/>
      <c r="PQQ61" s="69"/>
      <c r="PQR61" s="69"/>
      <c r="PQS61" s="69"/>
      <c r="PQT61" s="69"/>
      <c r="PQU61" s="69"/>
      <c r="PQV61" s="69"/>
      <c r="PQW61" s="69"/>
      <c r="PQX61" s="69"/>
      <c r="PQY61" s="69"/>
      <c r="PQZ61" s="69"/>
      <c r="PRA61" s="69"/>
      <c r="PRB61" s="69"/>
      <c r="PRC61" s="69"/>
      <c r="PRD61" s="69"/>
      <c r="PRE61" s="69"/>
      <c r="PRF61" s="69"/>
      <c r="PRG61" s="69"/>
      <c r="PRH61" s="69"/>
      <c r="PRI61" s="69"/>
      <c r="PRJ61" s="69"/>
      <c r="PRK61" s="69"/>
      <c r="PRL61" s="69"/>
      <c r="PRM61" s="69"/>
      <c r="PRN61" s="69"/>
      <c r="PRO61" s="69"/>
      <c r="PRP61" s="69"/>
      <c r="PRQ61" s="69"/>
      <c r="PRR61" s="69"/>
      <c r="PRS61" s="69"/>
      <c r="PRT61" s="69"/>
      <c r="PRU61" s="69"/>
      <c r="PRV61" s="69"/>
      <c r="PRW61" s="69"/>
      <c r="PRX61" s="69"/>
      <c r="PRY61" s="69"/>
      <c r="PRZ61" s="69"/>
      <c r="PSA61" s="69"/>
      <c r="PSB61" s="69"/>
      <c r="PSC61" s="69"/>
      <c r="PSD61" s="69"/>
      <c r="PSE61" s="69"/>
      <c r="PSF61" s="69"/>
      <c r="PSG61" s="69"/>
      <c r="PSH61" s="69"/>
      <c r="PSI61" s="69"/>
      <c r="PSJ61" s="69"/>
      <c r="PSK61" s="69"/>
      <c r="PSL61" s="69"/>
      <c r="PSM61" s="69"/>
      <c r="PSN61" s="69"/>
      <c r="PSO61" s="69"/>
      <c r="PSP61" s="69"/>
      <c r="PSQ61" s="69"/>
      <c r="PSR61" s="69"/>
      <c r="PSS61" s="69"/>
      <c r="PST61" s="69"/>
      <c r="PSU61" s="69"/>
      <c r="PSV61" s="69"/>
      <c r="PSW61" s="69"/>
      <c r="PSX61" s="69"/>
      <c r="PSY61" s="69"/>
      <c r="PSZ61" s="69"/>
      <c r="PTA61" s="69"/>
      <c r="PTB61" s="69"/>
      <c r="PTC61" s="69"/>
      <c r="PTD61" s="69"/>
      <c r="PTE61" s="69"/>
      <c r="PTF61" s="69"/>
      <c r="PTG61" s="69"/>
      <c r="PTH61" s="69"/>
      <c r="PTI61" s="69"/>
      <c r="PTJ61" s="69"/>
      <c r="PTK61" s="69"/>
      <c r="PTL61" s="69"/>
      <c r="PTM61" s="69"/>
      <c r="PTN61" s="69"/>
      <c r="PTO61" s="69"/>
      <c r="PTP61" s="69"/>
      <c r="PTQ61" s="69"/>
      <c r="PTR61" s="69"/>
      <c r="PTS61" s="69"/>
      <c r="PTT61" s="69"/>
      <c r="PTU61" s="69"/>
      <c r="PTV61" s="69"/>
      <c r="PTW61" s="69"/>
      <c r="PTX61" s="69"/>
      <c r="PTY61" s="69"/>
      <c r="PTZ61" s="69"/>
      <c r="PUA61" s="69"/>
      <c r="PUB61" s="69"/>
      <c r="PUC61" s="69"/>
      <c r="PUD61" s="69"/>
      <c r="PUE61" s="69"/>
      <c r="PUF61" s="69"/>
      <c r="PUG61" s="69"/>
      <c r="PUH61" s="69"/>
      <c r="PUI61" s="69"/>
      <c r="PUJ61" s="69"/>
      <c r="PUK61" s="69"/>
      <c r="PUL61" s="69"/>
      <c r="PUM61" s="69"/>
      <c r="PUN61" s="69"/>
      <c r="PUO61" s="69"/>
      <c r="PUP61" s="69"/>
      <c r="PUQ61" s="69"/>
      <c r="PUR61" s="69"/>
      <c r="PUS61" s="69"/>
      <c r="PUT61" s="69"/>
      <c r="PUU61" s="69"/>
      <c r="PUV61" s="69"/>
      <c r="PUW61" s="69"/>
      <c r="PUX61" s="69"/>
      <c r="PUY61" s="69"/>
      <c r="PUZ61" s="69"/>
      <c r="PVA61" s="69"/>
      <c r="PVB61" s="69"/>
      <c r="PVC61" s="69"/>
      <c r="PVD61" s="69"/>
      <c r="PVE61" s="69"/>
      <c r="PVF61" s="69"/>
      <c r="PVG61" s="69"/>
      <c r="PVH61" s="69"/>
      <c r="PVI61" s="69"/>
      <c r="PVJ61" s="69"/>
      <c r="PVK61" s="69"/>
      <c r="PVL61" s="69"/>
      <c r="PVM61" s="69"/>
      <c r="PVN61" s="69"/>
      <c r="PVO61" s="69"/>
      <c r="PVP61" s="69"/>
      <c r="PVQ61" s="69"/>
      <c r="PVR61" s="69"/>
      <c r="PVS61" s="69"/>
      <c r="PVT61" s="69"/>
      <c r="PVU61" s="69"/>
      <c r="PVV61" s="69"/>
      <c r="PVW61" s="69"/>
      <c r="PVX61" s="69"/>
      <c r="PVY61" s="69"/>
      <c r="PVZ61" s="69"/>
      <c r="PWA61" s="69"/>
      <c r="PWB61" s="69"/>
      <c r="PWC61" s="69"/>
      <c r="PWD61" s="69"/>
      <c r="PWE61" s="69"/>
      <c r="PWF61" s="69"/>
      <c r="PWG61" s="69"/>
      <c r="PWH61" s="69"/>
      <c r="PWI61" s="69"/>
      <c r="PWJ61" s="69"/>
      <c r="PWK61" s="69"/>
      <c r="PWL61" s="69"/>
      <c r="PWM61" s="69"/>
      <c r="PWN61" s="69"/>
      <c r="PWO61" s="69"/>
      <c r="PWP61" s="69"/>
      <c r="PWQ61" s="69"/>
      <c r="PWR61" s="69"/>
      <c r="PWS61" s="69"/>
      <c r="PWT61" s="69"/>
      <c r="PWU61" s="69"/>
      <c r="PWV61" s="69"/>
      <c r="PWW61" s="69"/>
      <c r="PWX61" s="69"/>
      <c r="PWY61" s="69"/>
      <c r="PWZ61" s="69"/>
      <c r="PXA61" s="69"/>
      <c r="PXB61" s="69"/>
      <c r="PXC61" s="69"/>
      <c r="PXD61" s="69"/>
      <c r="PXE61" s="69"/>
      <c r="PXF61" s="69"/>
      <c r="PXG61" s="69"/>
      <c r="PXH61" s="69"/>
      <c r="PXI61" s="69"/>
      <c r="PXJ61" s="69"/>
      <c r="PXK61" s="69"/>
      <c r="PXL61" s="69"/>
      <c r="PXM61" s="69"/>
      <c r="PXN61" s="69"/>
      <c r="PXO61" s="69"/>
      <c r="PXP61" s="69"/>
      <c r="PXQ61" s="69"/>
      <c r="PXR61" s="69"/>
      <c r="PXS61" s="69"/>
      <c r="PXT61" s="69"/>
      <c r="PXU61" s="69"/>
      <c r="PXV61" s="69"/>
      <c r="PXW61" s="69"/>
      <c r="PXX61" s="69"/>
      <c r="PXY61" s="69"/>
      <c r="PXZ61" s="69"/>
      <c r="PYA61" s="69"/>
      <c r="PYB61" s="69"/>
      <c r="PYC61" s="69"/>
      <c r="PYD61" s="69"/>
      <c r="PYE61" s="69"/>
      <c r="PYF61" s="69"/>
      <c r="PYG61" s="69"/>
      <c r="PYH61" s="69"/>
      <c r="PYI61" s="69"/>
      <c r="PYJ61" s="69"/>
      <c r="PYK61" s="69"/>
      <c r="PYL61" s="69"/>
      <c r="PYM61" s="69"/>
      <c r="PYN61" s="69"/>
      <c r="PYO61" s="69"/>
      <c r="PYP61" s="69"/>
      <c r="PYQ61" s="69"/>
      <c r="PYR61" s="69"/>
      <c r="PYS61" s="69"/>
      <c r="PYT61" s="69"/>
      <c r="PYU61" s="69"/>
      <c r="PYV61" s="69"/>
      <c r="PYW61" s="69"/>
      <c r="PYX61" s="69"/>
      <c r="PYY61" s="69"/>
      <c r="PYZ61" s="69"/>
      <c r="PZA61" s="69"/>
      <c r="PZB61" s="69"/>
      <c r="PZC61" s="69"/>
      <c r="PZD61" s="69"/>
      <c r="PZE61" s="69"/>
      <c r="PZF61" s="69"/>
      <c r="PZG61" s="69"/>
      <c r="PZH61" s="69"/>
      <c r="PZI61" s="69"/>
      <c r="PZJ61" s="69"/>
      <c r="PZK61" s="69"/>
      <c r="PZL61" s="69"/>
      <c r="PZM61" s="69"/>
      <c r="PZN61" s="69"/>
      <c r="PZO61" s="69"/>
      <c r="PZP61" s="69"/>
      <c r="PZQ61" s="69"/>
      <c r="PZR61" s="69"/>
      <c r="PZS61" s="69"/>
      <c r="PZT61" s="69"/>
      <c r="PZU61" s="69"/>
      <c r="PZV61" s="69"/>
      <c r="PZW61" s="69"/>
      <c r="PZX61" s="69"/>
      <c r="PZY61" s="69"/>
      <c r="PZZ61" s="69"/>
      <c r="QAA61" s="69"/>
      <c r="QAB61" s="69"/>
      <c r="QAC61" s="69"/>
      <c r="QAD61" s="69"/>
      <c r="QAE61" s="69"/>
      <c r="QAF61" s="69"/>
      <c r="QAG61" s="69"/>
      <c r="QAH61" s="69"/>
      <c r="QAI61" s="69"/>
      <c r="QAJ61" s="69"/>
      <c r="QAK61" s="69"/>
      <c r="QAL61" s="69"/>
      <c r="QAM61" s="69"/>
      <c r="QAN61" s="69"/>
      <c r="QAO61" s="69"/>
      <c r="QAP61" s="69"/>
      <c r="QAQ61" s="69"/>
      <c r="QAR61" s="69"/>
      <c r="QAS61" s="69"/>
      <c r="QAT61" s="69"/>
      <c r="QAU61" s="69"/>
      <c r="QAV61" s="69"/>
      <c r="QAW61" s="69"/>
      <c r="QAX61" s="69"/>
      <c r="QAY61" s="69"/>
      <c r="QAZ61" s="69"/>
      <c r="QBA61" s="69"/>
      <c r="QBB61" s="69"/>
      <c r="QBC61" s="69"/>
      <c r="QBD61" s="69"/>
      <c r="QBE61" s="69"/>
      <c r="QBF61" s="69"/>
      <c r="QBG61" s="69"/>
      <c r="QBH61" s="69"/>
      <c r="QBI61" s="69"/>
      <c r="QBJ61" s="69"/>
      <c r="QBK61" s="69"/>
      <c r="QBL61" s="69"/>
      <c r="QBM61" s="69"/>
      <c r="QBN61" s="69"/>
      <c r="QBO61" s="69"/>
      <c r="QBP61" s="69"/>
      <c r="QBQ61" s="69"/>
      <c r="QBR61" s="69"/>
      <c r="QBS61" s="69"/>
      <c r="QBT61" s="69"/>
      <c r="QBU61" s="69"/>
      <c r="QBV61" s="69"/>
      <c r="QBW61" s="69"/>
      <c r="QBX61" s="69"/>
      <c r="QBY61" s="69"/>
      <c r="QBZ61" s="69"/>
      <c r="QCA61" s="69"/>
      <c r="QCB61" s="69"/>
      <c r="QCC61" s="69"/>
      <c r="QCD61" s="69"/>
      <c r="QCE61" s="69"/>
      <c r="QCF61" s="69"/>
      <c r="QCG61" s="69"/>
      <c r="QCH61" s="69"/>
      <c r="QCI61" s="69"/>
      <c r="QCJ61" s="69"/>
      <c r="QCK61" s="69"/>
      <c r="QCL61" s="69"/>
      <c r="QCM61" s="69"/>
      <c r="QCN61" s="69"/>
      <c r="QCO61" s="69"/>
      <c r="QCP61" s="69"/>
      <c r="QCQ61" s="69"/>
      <c r="QCR61" s="69"/>
      <c r="QCS61" s="69"/>
      <c r="QCT61" s="69"/>
      <c r="QCU61" s="69"/>
      <c r="QCV61" s="69"/>
      <c r="QCW61" s="69"/>
      <c r="QCX61" s="69"/>
      <c r="QCY61" s="69"/>
      <c r="QCZ61" s="69"/>
      <c r="QDA61" s="69"/>
      <c r="QDB61" s="69"/>
      <c r="QDC61" s="69"/>
      <c r="QDD61" s="69"/>
      <c r="QDE61" s="69"/>
      <c r="QDF61" s="69"/>
      <c r="QDG61" s="69"/>
      <c r="QDH61" s="69"/>
      <c r="QDI61" s="69"/>
      <c r="QDJ61" s="69"/>
      <c r="QDK61" s="69"/>
      <c r="QDL61" s="69"/>
      <c r="QDM61" s="69"/>
      <c r="QDN61" s="69"/>
      <c r="QDO61" s="69"/>
      <c r="QDP61" s="69"/>
      <c r="QDQ61" s="69"/>
      <c r="QDR61" s="69"/>
      <c r="QDS61" s="69"/>
      <c r="QDT61" s="69"/>
      <c r="QDU61" s="69"/>
      <c r="QDV61" s="69"/>
      <c r="QDW61" s="69"/>
      <c r="QDX61" s="69"/>
      <c r="QDY61" s="69"/>
      <c r="QDZ61" s="69"/>
      <c r="QEA61" s="69"/>
      <c r="QEB61" s="69"/>
      <c r="QEC61" s="69"/>
      <c r="QED61" s="69"/>
      <c r="QEE61" s="69"/>
      <c r="QEF61" s="69"/>
      <c r="QEG61" s="69"/>
      <c r="QEH61" s="69"/>
      <c r="QEI61" s="69"/>
      <c r="QEJ61" s="69"/>
      <c r="QEK61" s="69"/>
      <c r="QEL61" s="69"/>
      <c r="QEM61" s="69"/>
      <c r="QEN61" s="69"/>
      <c r="QEO61" s="69"/>
      <c r="QEP61" s="69"/>
      <c r="QEQ61" s="69"/>
      <c r="QER61" s="69"/>
      <c r="QES61" s="69"/>
      <c r="QET61" s="69"/>
      <c r="QEU61" s="69"/>
      <c r="QEV61" s="69"/>
      <c r="QEW61" s="69"/>
      <c r="QEX61" s="69"/>
      <c r="QEY61" s="69"/>
      <c r="QEZ61" s="69"/>
      <c r="QFA61" s="69"/>
      <c r="QFB61" s="69"/>
      <c r="QFC61" s="69"/>
      <c r="QFD61" s="69"/>
      <c r="QFE61" s="69"/>
      <c r="QFF61" s="69"/>
      <c r="QFG61" s="69"/>
      <c r="QFH61" s="69"/>
      <c r="QFI61" s="69"/>
      <c r="QFJ61" s="69"/>
      <c r="QFK61" s="69"/>
      <c r="QFL61" s="69"/>
      <c r="QFM61" s="69"/>
      <c r="QFN61" s="69"/>
      <c r="QFO61" s="69"/>
      <c r="QFP61" s="69"/>
      <c r="QFQ61" s="69"/>
      <c r="QFR61" s="69"/>
      <c r="QFS61" s="69"/>
      <c r="QFT61" s="69"/>
      <c r="QFU61" s="69"/>
      <c r="QFV61" s="69"/>
      <c r="QFW61" s="69"/>
      <c r="QFX61" s="69"/>
      <c r="QFY61" s="69"/>
      <c r="QFZ61" s="69"/>
      <c r="QGA61" s="69"/>
      <c r="QGB61" s="69"/>
      <c r="QGC61" s="69"/>
      <c r="QGD61" s="69"/>
      <c r="QGE61" s="69"/>
      <c r="QGF61" s="69"/>
      <c r="QGG61" s="69"/>
      <c r="QGH61" s="69"/>
      <c r="QGI61" s="69"/>
      <c r="QGJ61" s="69"/>
      <c r="QGK61" s="69"/>
      <c r="QGL61" s="69"/>
      <c r="QGM61" s="69"/>
      <c r="QGN61" s="69"/>
      <c r="QGO61" s="69"/>
      <c r="QGP61" s="69"/>
      <c r="QGQ61" s="69"/>
      <c r="QGR61" s="69"/>
      <c r="QGS61" s="69"/>
      <c r="QGT61" s="69"/>
      <c r="QGU61" s="69"/>
      <c r="QGV61" s="69"/>
      <c r="QGW61" s="69"/>
      <c r="QGX61" s="69"/>
      <c r="QGY61" s="69"/>
      <c r="QGZ61" s="69"/>
      <c r="QHA61" s="69"/>
      <c r="QHB61" s="69"/>
      <c r="QHC61" s="69"/>
      <c r="QHD61" s="69"/>
      <c r="QHE61" s="69"/>
      <c r="QHF61" s="69"/>
      <c r="QHG61" s="69"/>
      <c r="QHH61" s="69"/>
      <c r="QHI61" s="69"/>
      <c r="QHJ61" s="69"/>
      <c r="QHK61" s="69"/>
      <c r="QHL61" s="69"/>
      <c r="QHM61" s="69"/>
      <c r="QHN61" s="69"/>
      <c r="QHO61" s="69"/>
      <c r="QHP61" s="69"/>
      <c r="QHQ61" s="69"/>
      <c r="QHR61" s="69"/>
      <c r="QHS61" s="69"/>
      <c r="QHT61" s="69"/>
      <c r="QHU61" s="69"/>
      <c r="QHV61" s="69"/>
      <c r="QHW61" s="69"/>
      <c r="QHX61" s="69"/>
      <c r="QHY61" s="69"/>
      <c r="QHZ61" s="69"/>
      <c r="QIA61" s="69"/>
      <c r="QIB61" s="69"/>
      <c r="QIC61" s="69"/>
      <c r="QID61" s="69"/>
      <c r="QIE61" s="69"/>
      <c r="QIF61" s="69"/>
      <c r="QIG61" s="69"/>
      <c r="QIH61" s="69"/>
      <c r="QII61" s="69"/>
      <c r="QIJ61" s="69"/>
      <c r="QIK61" s="69"/>
      <c r="QIL61" s="69"/>
      <c r="QIM61" s="69"/>
      <c r="QIN61" s="69"/>
      <c r="QIO61" s="69"/>
      <c r="QIP61" s="69"/>
      <c r="QIQ61" s="69"/>
      <c r="QIR61" s="69"/>
      <c r="QIS61" s="69"/>
      <c r="QIT61" s="69"/>
      <c r="QIU61" s="69"/>
      <c r="QIV61" s="69"/>
      <c r="QIW61" s="69"/>
      <c r="QIX61" s="69"/>
      <c r="QIY61" s="69"/>
      <c r="QIZ61" s="69"/>
      <c r="QJA61" s="69"/>
      <c r="QJB61" s="69"/>
      <c r="QJC61" s="69"/>
      <c r="QJD61" s="69"/>
      <c r="QJE61" s="69"/>
      <c r="QJF61" s="69"/>
      <c r="QJG61" s="69"/>
      <c r="QJH61" s="69"/>
      <c r="QJI61" s="69"/>
      <c r="QJJ61" s="69"/>
      <c r="QJK61" s="69"/>
      <c r="QJL61" s="69"/>
      <c r="QJM61" s="69"/>
      <c r="QJN61" s="69"/>
      <c r="QJO61" s="69"/>
      <c r="QJP61" s="69"/>
      <c r="QJQ61" s="69"/>
      <c r="QJR61" s="69"/>
      <c r="QJS61" s="69"/>
      <c r="QJT61" s="69"/>
      <c r="QJU61" s="69"/>
      <c r="QJV61" s="69"/>
      <c r="QJW61" s="69"/>
      <c r="QJX61" s="69"/>
      <c r="QJY61" s="69"/>
      <c r="QJZ61" s="69"/>
      <c r="QKA61" s="69"/>
      <c r="QKB61" s="69"/>
      <c r="QKC61" s="69"/>
      <c r="QKD61" s="69"/>
      <c r="QKE61" s="69"/>
      <c r="QKF61" s="69"/>
      <c r="QKG61" s="69"/>
      <c r="QKH61" s="69"/>
      <c r="QKI61" s="69"/>
      <c r="QKJ61" s="69"/>
      <c r="QKK61" s="69"/>
      <c r="QKL61" s="69"/>
      <c r="QKM61" s="69"/>
      <c r="QKN61" s="69"/>
      <c r="QKO61" s="69"/>
      <c r="QKP61" s="69"/>
      <c r="QKQ61" s="69"/>
      <c r="QKR61" s="69"/>
      <c r="QKS61" s="69"/>
      <c r="QKT61" s="69"/>
      <c r="QKU61" s="69"/>
      <c r="QKV61" s="69"/>
      <c r="QKW61" s="69"/>
      <c r="QKX61" s="69"/>
      <c r="QKY61" s="69"/>
      <c r="QKZ61" s="69"/>
      <c r="QLA61" s="69"/>
      <c r="QLB61" s="69"/>
      <c r="QLC61" s="69"/>
      <c r="QLD61" s="69"/>
      <c r="QLE61" s="69"/>
      <c r="QLF61" s="69"/>
      <c r="QLG61" s="69"/>
      <c r="QLH61" s="69"/>
      <c r="QLI61" s="69"/>
      <c r="QLJ61" s="69"/>
      <c r="QLK61" s="69"/>
      <c r="QLL61" s="69"/>
      <c r="QLM61" s="69"/>
      <c r="QLN61" s="69"/>
      <c r="QLO61" s="69"/>
      <c r="QLP61" s="69"/>
      <c r="QLQ61" s="69"/>
      <c r="QLR61" s="69"/>
      <c r="QLS61" s="69"/>
      <c r="QLT61" s="69"/>
      <c r="QLU61" s="69"/>
      <c r="QLV61" s="69"/>
      <c r="QLW61" s="69"/>
      <c r="QLX61" s="69"/>
      <c r="QLY61" s="69"/>
      <c r="QLZ61" s="69"/>
      <c r="QMA61" s="69"/>
      <c r="QMB61" s="69"/>
      <c r="QMC61" s="69"/>
      <c r="QMD61" s="69"/>
      <c r="QME61" s="69"/>
      <c r="QMF61" s="69"/>
      <c r="QMG61" s="69"/>
      <c r="QMH61" s="69"/>
      <c r="QMI61" s="69"/>
      <c r="QMJ61" s="69"/>
      <c r="QMK61" s="69"/>
      <c r="QML61" s="69"/>
      <c r="QMM61" s="69"/>
      <c r="QMN61" s="69"/>
      <c r="QMO61" s="69"/>
      <c r="QMP61" s="69"/>
      <c r="QMQ61" s="69"/>
      <c r="QMR61" s="69"/>
      <c r="QMS61" s="69"/>
      <c r="QMT61" s="69"/>
      <c r="QMU61" s="69"/>
      <c r="QMV61" s="69"/>
      <c r="QMW61" s="69"/>
      <c r="QMX61" s="69"/>
      <c r="QMY61" s="69"/>
      <c r="QMZ61" s="69"/>
      <c r="QNA61" s="69"/>
      <c r="QNB61" s="69"/>
      <c r="QNC61" s="69"/>
      <c r="QND61" s="69"/>
      <c r="QNE61" s="69"/>
      <c r="QNF61" s="69"/>
      <c r="QNG61" s="69"/>
      <c r="QNH61" s="69"/>
      <c r="QNI61" s="69"/>
      <c r="QNJ61" s="69"/>
      <c r="QNK61" s="69"/>
      <c r="QNL61" s="69"/>
      <c r="QNM61" s="69"/>
      <c r="QNN61" s="69"/>
      <c r="QNO61" s="69"/>
      <c r="QNP61" s="69"/>
      <c r="QNQ61" s="69"/>
      <c r="QNR61" s="69"/>
      <c r="QNS61" s="69"/>
      <c r="QNT61" s="69"/>
      <c r="QNU61" s="69"/>
      <c r="QNV61" s="69"/>
      <c r="QNW61" s="69"/>
      <c r="QNX61" s="69"/>
      <c r="QNY61" s="69"/>
      <c r="QNZ61" s="69"/>
      <c r="QOA61" s="69"/>
      <c r="QOB61" s="69"/>
      <c r="QOC61" s="69"/>
      <c r="QOD61" s="69"/>
      <c r="QOE61" s="69"/>
      <c r="QOF61" s="69"/>
      <c r="QOG61" s="69"/>
      <c r="QOH61" s="69"/>
      <c r="QOI61" s="69"/>
      <c r="QOJ61" s="69"/>
      <c r="QOK61" s="69"/>
      <c r="QOL61" s="69"/>
      <c r="QOM61" s="69"/>
      <c r="QON61" s="69"/>
      <c r="QOO61" s="69"/>
      <c r="QOP61" s="69"/>
      <c r="QOQ61" s="69"/>
      <c r="QOR61" s="69"/>
      <c r="QOS61" s="69"/>
      <c r="QOT61" s="69"/>
      <c r="QOU61" s="69"/>
      <c r="QOV61" s="69"/>
      <c r="QOW61" s="69"/>
      <c r="QOX61" s="69"/>
      <c r="QOY61" s="69"/>
      <c r="QOZ61" s="69"/>
      <c r="QPA61" s="69"/>
      <c r="QPB61" s="69"/>
      <c r="QPC61" s="69"/>
      <c r="QPD61" s="69"/>
      <c r="QPE61" s="69"/>
      <c r="QPF61" s="69"/>
      <c r="QPG61" s="69"/>
      <c r="QPH61" s="69"/>
      <c r="QPI61" s="69"/>
      <c r="QPJ61" s="69"/>
      <c r="QPK61" s="69"/>
      <c r="QPL61" s="69"/>
      <c r="QPM61" s="69"/>
      <c r="QPN61" s="69"/>
      <c r="QPO61" s="69"/>
      <c r="QPP61" s="69"/>
      <c r="QPQ61" s="69"/>
      <c r="QPR61" s="69"/>
      <c r="QPS61" s="69"/>
      <c r="QPT61" s="69"/>
      <c r="QPU61" s="69"/>
      <c r="QPV61" s="69"/>
      <c r="QPW61" s="69"/>
      <c r="QPX61" s="69"/>
      <c r="QPY61" s="69"/>
      <c r="QPZ61" s="69"/>
      <c r="QQA61" s="69"/>
      <c r="QQB61" s="69"/>
      <c r="QQC61" s="69"/>
      <c r="QQD61" s="69"/>
      <c r="QQE61" s="69"/>
      <c r="QQF61" s="69"/>
      <c r="QQG61" s="69"/>
      <c r="QQH61" s="69"/>
      <c r="QQI61" s="69"/>
      <c r="QQJ61" s="69"/>
      <c r="QQK61" s="69"/>
      <c r="QQL61" s="69"/>
      <c r="QQM61" s="69"/>
      <c r="QQN61" s="69"/>
      <c r="QQO61" s="69"/>
      <c r="QQP61" s="69"/>
      <c r="QQQ61" s="69"/>
      <c r="QQR61" s="69"/>
      <c r="QQS61" s="69"/>
      <c r="QQT61" s="69"/>
      <c r="QQU61" s="69"/>
      <c r="QQV61" s="69"/>
      <c r="QQW61" s="69"/>
      <c r="QQX61" s="69"/>
      <c r="QQY61" s="69"/>
      <c r="QQZ61" s="69"/>
      <c r="QRA61" s="69"/>
      <c r="QRB61" s="69"/>
      <c r="QRC61" s="69"/>
      <c r="QRD61" s="69"/>
      <c r="QRE61" s="69"/>
      <c r="QRF61" s="69"/>
      <c r="QRG61" s="69"/>
      <c r="QRH61" s="69"/>
      <c r="QRI61" s="69"/>
      <c r="QRJ61" s="69"/>
      <c r="QRK61" s="69"/>
      <c r="QRL61" s="69"/>
      <c r="QRM61" s="69"/>
      <c r="QRN61" s="69"/>
      <c r="QRO61" s="69"/>
      <c r="QRP61" s="69"/>
      <c r="QRQ61" s="69"/>
      <c r="QRR61" s="69"/>
      <c r="QRS61" s="69"/>
      <c r="QRT61" s="69"/>
      <c r="QRU61" s="69"/>
      <c r="QRV61" s="69"/>
      <c r="QRW61" s="69"/>
      <c r="QRX61" s="69"/>
      <c r="QRY61" s="69"/>
      <c r="QRZ61" s="69"/>
      <c r="QSA61" s="69"/>
      <c r="QSB61" s="69"/>
      <c r="QSC61" s="69"/>
      <c r="QSD61" s="69"/>
      <c r="QSE61" s="69"/>
      <c r="QSF61" s="69"/>
      <c r="QSG61" s="69"/>
      <c r="QSH61" s="69"/>
      <c r="QSI61" s="69"/>
      <c r="QSJ61" s="69"/>
      <c r="QSK61" s="69"/>
      <c r="QSL61" s="69"/>
      <c r="QSM61" s="69"/>
      <c r="QSN61" s="69"/>
      <c r="QSO61" s="69"/>
      <c r="QSP61" s="69"/>
      <c r="QSQ61" s="69"/>
      <c r="QSR61" s="69"/>
      <c r="QSS61" s="69"/>
      <c r="QST61" s="69"/>
      <c r="QSU61" s="69"/>
      <c r="QSV61" s="69"/>
      <c r="QSW61" s="69"/>
      <c r="QSX61" s="69"/>
      <c r="QSY61" s="69"/>
      <c r="QSZ61" s="69"/>
      <c r="QTA61" s="69"/>
      <c r="QTB61" s="69"/>
      <c r="QTC61" s="69"/>
      <c r="QTD61" s="69"/>
      <c r="QTE61" s="69"/>
      <c r="QTF61" s="69"/>
      <c r="QTG61" s="69"/>
      <c r="QTH61" s="69"/>
      <c r="QTI61" s="69"/>
      <c r="QTJ61" s="69"/>
      <c r="QTK61" s="69"/>
      <c r="QTL61" s="69"/>
      <c r="QTM61" s="69"/>
      <c r="QTN61" s="69"/>
      <c r="QTO61" s="69"/>
      <c r="QTP61" s="69"/>
      <c r="QTQ61" s="69"/>
      <c r="QTR61" s="69"/>
      <c r="QTS61" s="69"/>
      <c r="QTT61" s="69"/>
      <c r="QTU61" s="69"/>
      <c r="QTV61" s="69"/>
      <c r="QTW61" s="69"/>
      <c r="QTX61" s="69"/>
      <c r="QTY61" s="69"/>
      <c r="QTZ61" s="69"/>
      <c r="QUA61" s="69"/>
      <c r="QUB61" s="69"/>
      <c r="QUC61" s="69"/>
      <c r="QUD61" s="69"/>
      <c r="QUE61" s="69"/>
      <c r="QUF61" s="69"/>
      <c r="QUG61" s="69"/>
      <c r="QUH61" s="69"/>
      <c r="QUI61" s="69"/>
      <c r="QUJ61" s="69"/>
      <c r="QUK61" s="69"/>
      <c r="QUL61" s="69"/>
      <c r="QUM61" s="69"/>
      <c r="QUN61" s="69"/>
      <c r="QUO61" s="69"/>
      <c r="QUP61" s="69"/>
      <c r="QUQ61" s="69"/>
      <c r="QUR61" s="69"/>
      <c r="QUS61" s="69"/>
      <c r="QUT61" s="69"/>
      <c r="QUU61" s="69"/>
      <c r="QUV61" s="69"/>
      <c r="QUW61" s="69"/>
      <c r="QUX61" s="69"/>
      <c r="QUY61" s="69"/>
      <c r="QUZ61" s="69"/>
      <c r="QVA61" s="69"/>
      <c r="QVB61" s="69"/>
      <c r="QVC61" s="69"/>
      <c r="QVD61" s="69"/>
      <c r="QVE61" s="69"/>
      <c r="QVF61" s="69"/>
      <c r="QVG61" s="69"/>
      <c r="QVH61" s="69"/>
      <c r="QVI61" s="69"/>
      <c r="QVJ61" s="69"/>
      <c r="QVK61" s="69"/>
      <c r="QVL61" s="69"/>
      <c r="QVM61" s="69"/>
      <c r="QVN61" s="69"/>
      <c r="QVO61" s="69"/>
      <c r="QVP61" s="69"/>
      <c r="QVQ61" s="69"/>
      <c r="QVR61" s="69"/>
      <c r="QVS61" s="69"/>
      <c r="QVT61" s="69"/>
      <c r="QVU61" s="69"/>
      <c r="QVV61" s="69"/>
      <c r="QVW61" s="69"/>
      <c r="QVX61" s="69"/>
      <c r="QVY61" s="69"/>
      <c r="QVZ61" s="69"/>
      <c r="QWA61" s="69"/>
      <c r="QWB61" s="69"/>
      <c r="QWC61" s="69"/>
      <c r="QWD61" s="69"/>
      <c r="QWE61" s="69"/>
      <c r="QWF61" s="69"/>
      <c r="QWG61" s="69"/>
      <c r="QWH61" s="69"/>
      <c r="QWI61" s="69"/>
      <c r="QWJ61" s="69"/>
      <c r="QWK61" s="69"/>
      <c r="QWL61" s="69"/>
      <c r="QWM61" s="69"/>
      <c r="QWN61" s="69"/>
      <c r="QWO61" s="69"/>
      <c r="QWP61" s="69"/>
      <c r="QWQ61" s="69"/>
      <c r="QWR61" s="69"/>
      <c r="QWS61" s="69"/>
      <c r="QWT61" s="69"/>
      <c r="QWU61" s="69"/>
      <c r="QWV61" s="69"/>
      <c r="QWW61" s="69"/>
      <c r="QWX61" s="69"/>
      <c r="QWY61" s="69"/>
      <c r="QWZ61" s="69"/>
      <c r="QXA61" s="69"/>
      <c r="QXB61" s="69"/>
      <c r="QXC61" s="69"/>
      <c r="QXD61" s="69"/>
      <c r="QXE61" s="69"/>
      <c r="QXF61" s="69"/>
      <c r="QXG61" s="69"/>
      <c r="QXH61" s="69"/>
      <c r="QXI61" s="69"/>
      <c r="QXJ61" s="69"/>
      <c r="QXK61" s="69"/>
      <c r="QXL61" s="69"/>
      <c r="QXM61" s="69"/>
      <c r="QXN61" s="69"/>
      <c r="QXO61" s="69"/>
      <c r="QXP61" s="69"/>
      <c r="QXQ61" s="69"/>
      <c r="QXR61" s="69"/>
      <c r="QXS61" s="69"/>
      <c r="QXT61" s="69"/>
      <c r="QXU61" s="69"/>
      <c r="QXV61" s="69"/>
      <c r="QXW61" s="69"/>
      <c r="QXX61" s="69"/>
      <c r="QXY61" s="69"/>
      <c r="QXZ61" s="69"/>
      <c r="QYA61" s="69"/>
      <c r="QYB61" s="69"/>
      <c r="QYC61" s="69"/>
      <c r="QYD61" s="69"/>
      <c r="QYE61" s="69"/>
      <c r="QYF61" s="69"/>
      <c r="QYG61" s="69"/>
      <c r="QYH61" s="69"/>
      <c r="QYI61" s="69"/>
      <c r="QYJ61" s="69"/>
      <c r="QYK61" s="69"/>
      <c r="QYL61" s="69"/>
      <c r="QYM61" s="69"/>
      <c r="QYN61" s="69"/>
      <c r="QYO61" s="69"/>
      <c r="QYP61" s="69"/>
      <c r="QYQ61" s="69"/>
      <c r="QYR61" s="69"/>
      <c r="QYS61" s="69"/>
      <c r="QYT61" s="69"/>
      <c r="QYU61" s="69"/>
      <c r="QYV61" s="69"/>
      <c r="QYW61" s="69"/>
      <c r="QYX61" s="69"/>
      <c r="QYY61" s="69"/>
      <c r="QYZ61" s="69"/>
      <c r="QZA61" s="69"/>
      <c r="QZB61" s="69"/>
      <c r="QZC61" s="69"/>
      <c r="QZD61" s="69"/>
      <c r="QZE61" s="69"/>
      <c r="QZF61" s="69"/>
      <c r="QZG61" s="69"/>
      <c r="QZH61" s="69"/>
      <c r="QZI61" s="69"/>
      <c r="QZJ61" s="69"/>
      <c r="QZK61" s="69"/>
      <c r="QZL61" s="69"/>
      <c r="QZM61" s="69"/>
      <c r="QZN61" s="69"/>
      <c r="QZO61" s="69"/>
      <c r="QZP61" s="69"/>
      <c r="QZQ61" s="69"/>
      <c r="QZR61" s="69"/>
      <c r="QZS61" s="69"/>
      <c r="QZT61" s="69"/>
      <c r="QZU61" s="69"/>
      <c r="QZV61" s="69"/>
      <c r="QZW61" s="69"/>
      <c r="QZX61" s="69"/>
      <c r="QZY61" s="69"/>
      <c r="QZZ61" s="69"/>
      <c r="RAA61" s="69"/>
      <c r="RAB61" s="69"/>
      <c r="RAC61" s="69"/>
      <c r="RAD61" s="69"/>
      <c r="RAE61" s="69"/>
      <c r="RAF61" s="69"/>
      <c r="RAG61" s="69"/>
      <c r="RAH61" s="69"/>
      <c r="RAI61" s="69"/>
      <c r="RAJ61" s="69"/>
      <c r="RAK61" s="69"/>
      <c r="RAL61" s="69"/>
      <c r="RAM61" s="69"/>
      <c r="RAN61" s="69"/>
      <c r="RAO61" s="69"/>
      <c r="RAP61" s="69"/>
      <c r="RAQ61" s="69"/>
      <c r="RAR61" s="69"/>
      <c r="RAS61" s="69"/>
      <c r="RAT61" s="69"/>
      <c r="RAU61" s="69"/>
      <c r="RAV61" s="69"/>
      <c r="RAW61" s="69"/>
      <c r="RAX61" s="69"/>
      <c r="RAY61" s="69"/>
      <c r="RAZ61" s="69"/>
      <c r="RBA61" s="69"/>
      <c r="RBB61" s="69"/>
      <c r="RBC61" s="69"/>
      <c r="RBD61" s="69"/>
      <c r="RBE61" s="69"/>
      <c r="RBF61" s="69"/>
      <c r="RBG61" s="69"/>
      <c r="RBH61" s="69"/>
      <c r="RBI61" s="69"/>
      <c r="RBJ61" s="69"/>
      <c r="RBK61" s="69"/>
      <c r="RBL61" s="69"/>
      <c r="RBM61" s="69"/>
      <c r="RBN61" s="69"/>
      <c r="RBO61" s="69"/>
      <c r="RBP61" s="69"/>
      <c r="RBQ61" s="69"/>
      <c r="RBR61" s="69"/>
      <c r="RBS61" s="69"/>
      <c r="RBT61" s="69"/>
      <c r="RBU61" s="69"/>
      <c r="RBV61" s="69"/>
      <c r="RBW61" s="69"/>
      <c r="RBX61" s="69"/>
      <c r="RBY61" s="69"/>
      <c r="RBZ61" s="69"/>
      <c r="RCA61" s="69"/>
      <c r="RCB61" s="69"/>
      <c r="RCC61" s="69"/>
      <c r="RCD61" s="69"/>
      <c r="RCE61" s="69"/>
      <c r="RCF61" s="69"/>
      <c r="RCG61" s="69"/>
      <c r="RCH61" s="69"/>
      <c r="RCI61" s="69"/>
      <c r="RCJ61" s="69"/>
      <c r="RCK61" s="69"/>
      <c r="RCL61" s="69"/>
      <c r="RCM61" s="69"/>
      <c r="RCN61" s="69"/>
      <c r="RCO61" s="69"/>
      <c r="RCP61" s="69"/>
      <c r="RCQ61" s="69"/>
      <c r="RCR61" s="69"/>
      <c r="RCS61" s="69"/>
      <c r="RCT61" s="69"/>
      <c r="RCU61" s="69"/>
      <c r="RCV61" s="69"/>
      <c r="RCW61" s="69"/>
      <c r="RCX61" s="69"/>
      <c r="RCY61" s="69"/>
      <c r="RCZ61" s="69"/>
      <c r="RDA61" s="69"/>
      <c r="RDB61" s="69"/>
      <c r="RDC61" s="69"/>
      <c r="RDD61" s="69"/>
      <c r="RDE61" s="69"/>
      <c r="RDF61" s="69"/>
      <c r="RDG61" s="69"/>
      <c r="RDH61" s="69"/>
      <c r="RDI61" s="69"/>
      <c r="RDJ61" s="69"/>
      <c r="RDK61" s="69"/>
      <c r="RDL61" s="69"/>
      <c r="RDM61" s="69"/>
      <c r="RDN61" s="69"/>
      <c r="RDO61" s="69"/>
      <c r="RDP61" s="69"/>
      <c r="RDQ61" s="69"/>
      <c r="RDR61" s="69"/>
      <c r="RDS61" s="69"/>
      <c r="RDT61" s="69"/>
      <c r="RDU61" s="69"/>
      <c r="RDV61" s="69"/>
      <c r="RDW61" s="69"/>
      <c r="RDX61" s="69"/>
      <c r="RDY61" s="69"/>
      <c r="RDZ61" s="69"/>
      <c r="REA61" s="69"/>
      <c r="REB61" s="69"/>
      <c r="REC61" s="69"/>
      <c r="RED61" s="69"/>
      <c r="REE61" s="69"/>
      <c r="REF61" s="69"/>
      <c r="REG61" s="69"/>
      <c r="REH61" s="69"/>
      <c r="REI61" s="69"/>
      <c r="REJ61" s="69"/>
      <c r="REK61" s="69"/>
      <c r="REL61" s="69"/>
      <c r="REM61" s="69"/>
      <c r="REN61" s="69"/>
      <c r="REO61" s="69"/>
      <c r="REP61" s="69"/>
      <c r="REQ61" s="69"/>
      <c r="RER61" s="69"/>
      <c r="RES61" s="69"/>
      <c r="RET61" s="69"/>
      <c r="REU61" s="69"/>
      <c r="REV61" s="69"/>
      <c r="REW61" s="69"/>
      <c r="REX61" s="69"/>
      <c r="REY61" s="69"/>
      <c r="REZ61" s="69"/>
      <c r="RFA61" s="69"/>
      <c r="RFB61" s="69"/>
      <c r="RFC61" s="69"/>
      <c r="RFD61" s="69"/>
      <c r="RFE61" s="69"/>
      <c r="RFF61" s="69"/>
      <c r="RFG61" s="69"/>
      <c r="RFH61" s="69"/>
      <c r="RFI61" s="69"/>
      <c r="RFJ61" s="69"/>
      <c r="RFK61" s="69"/>
      <c r="RFL61" s="69"/>
      <c r="RFM61" s="69"/>
      <c r="RFN61" s="69"/>
      <c r="RFO61" s="69"/>
      <c r="RFP61" s="69"/>
      <c r="RFQ61" s="69"/>
      <c r="RFR61" s="69"/>
      <c r="RFS61" s="69"/>
      <c r="RFT61" s="69"/>
      <c r="RFU61" s="69"/>
      <c r="RFV61" s="69"/>
      <c r="RFW61" s="69"/>
      <c r="RFX61" s="69"/>
      <c r="RFY61" s="69"/>
      <c r="RFZ61" s="69"/>
      <c r="RGA61" s="69"/>
      <c r="RGB61" s="69"/>
      <c r="RGC61" s="69"/>
      <c r="RGD61" s="69"/>
      <c r="RGE61" s="69"/>
      <c r="RGF61" s="69"/>
      <c r="RGG61" s="69"/>
      <c r="RGH61" s="69"/>
      <c r="RGI61" s="69"/>
      <c r="RGJ61" s="69"/>
      <c r="RGK61" s="69"/>
      <c r="RGL61" s="69"/>
      <c r="RGM61" s="69"/>
      <c r="RGN61" s="69"/>
      <c r="RGO61" s="69"/>
      <c r="RGP61" s="69"/>
      <c r="RGQ61" s="69"/>
      <c r="RGR61" s="69"/>
      <c r="RGS61" s="69"/>
      <c r="RGT61" s="69"/>
      <c r="RGU61" s="69"/>
      <c r="RGV61" s="69"/>
      <c r="RGW61" s="69"/>
      <c r="RGX61" s="69"/>
      <c r="RGY61" s="69"/>
      <c r="RGZ61" s="69"/>
      <c r="RHA61" s="69"/>
      <c r="RHB61" s="69"/>
      <c r="RHC61" s="69"/>
      <c r="RHD61" s="69"/>
      <c r="RHE61" s="69"/>
      <c r="RHF61" s="69"/>
      <c r="RHG61" s="69"/>
      <c r="RHH61" s="69"/>
      <c r="RHI61" s="69"/>
      <c r="RHJ61" s="69"/>
      <c r="RHK61" s="69"/>
      <c r="RHL61" s="69"/>
      <c r="RHM61" s="69"/>
      <c r="RHN61" s="69"/>
      <c r="RHO61" s="69"/>
      <c r="RHP61" s="69"/>
      <c r="RHQ61" s="69"/>
      <c r="RHR61" s="69"/>
      <c r="RHS61" s="69"/>
      <c r="RHT61" s="69"/>
      <c r="RHU61" s="69"/>
      <c r="RHV61" s="69"/>
      <c r="RHW61" s="69"/>
      <c r="RHX61" s="69"/>
      <c r="RHY61" s="69"/>
      <c r="RHZ61" s="69"/>
      <c r="RIA61" s="69"/>
      <c r="RIB61" s="69"/>
      <c r="RIC61" s="69"/>
      <c r="RID61" s="69"/>
      <c r="RIE61" s="69"/>
      <c r="RIF61" s="69"/>
      <c r="RIG61" s="69"/>
      <c r="RIH61" s="69"/>
      <c r="RII61" s="69"/>
      <c r="RIJ61" s="69"/>
      <c r="RIK61" s="69"/>
      <c r="RIL61" s="69"/>
      <c r="RIM61" s="69"/>
      <c r="RIN61" s="69"/>
      <c r="RIO61" s="69"/>
      <c r="RIP61" s="69"/>
      <c r="RIQ61" s="69"/>
      <c r="RIR61" s="69"/>
      <c r="RIS61" s="69"/>
      <c r="RIT61" s="69"/>
      <c r="RIU61" s="69"/>
      <c r="RIV61" s="69"/>
      <c r="RIW61" s="69"/>
      <c r="RIX61" s="69"/>
      <c r="RIY61" s="69"/>
      <c r="RIZ61" s="69"/>
      <c r="RJA61" s="69"/>
      <c r="RJB61" s="69"/>
      <c r="RJC61" s="69"/>
      <c r="RJD61" s="69"/>
      <c r="RJE61" s="69"/>
      <c r="RJF61" s="69"/>
      <c r="RJG61" s="69"/>
      <c r="RJH61" s="69"/>
      <c r="RJI61" s="69"/>
      <c r="RJJ61" s="69"/>
      <c r="RJK61" s="69"/>
      <c r="RJL61" s="69"/>
      <c r="RJM61" s="69"/>
      <c r="RJN61" s="69"/>
      <c r="RJO61" s="69"/>
      <c r="RJP61" s="69"/>
      <c r="RJQ61" s="69"/>
      <c r="RJR61" s="69"/>
      <c r="RJS61" s="69"/>
      <c r="RJT61" s="69"/>
      <c r="RJU61" s="69"/>
      <c r="RJV61" s="69"/>
      <c r="RJW61" s="69"/>
      <c r="RJX61" s="69"/>
      <c r="RJY61" s="69"/>
      <c r="RJZ61" s="69"/>
      <c r="RKA61" s="69"/>
      <c r="RKB61" s="69"/>
      <c r="RKC61" s="69"/>
      <c r="RKD61" s="69"/>
      <c r="RKE61" s="69"/>
      <c r="RKF61" s="69"/>
      <c r="RKG61" s="69"/>
      <c r="RKH61" s="69"/>
      <c r="RKI61" s="69"/>
      <c r="RKJ61" s="69"/>
      <c r="RKK61" s="69"/>
      <c r="RKL61" s="69"/>
      <c r="RKM61" s="69"/>
      <c r="RKN61" s="69"/>
      <c r="RKO61" s="69"/>
      <c r="RKP61" s="69"/>
      <c r="RKQ61" s="69"/>
      <c r="RKR61" s="69"/>
      <c r="RKS61" s="69"/>
      <c r="RKT61" s="69"/>
      <c r="RKU61" s="69"/>
      <c r="RKV61" s="69"/>
      <c r="RKW61" s="69"/>
      <c r="RKX61" s="69"/>
      <c r="RKY61" s="69"/>
      <c r="RKZ61" s="69"/>
      <c r="RLA61" s="69"/>
      <c r="RLB61" s="69"/>
      <c r="RLC61" s="69"/>
      <c r="RLD61" s="69"/>
      <c r="RLE61" s="69"/>
      <c r="RLF61" s="69"/>
      <c r="RLG61" s="69"/>
      <c r="RLH61" s="69"/>
      <c r="RLI61" s="69"/>
      <c r="RLJ61" s="69"/>
      <c r="RLK61" s="69"/>
      <c r="RLL61" s="69"/>
      <c r="RLM61" s="69"/>
      <c r="RLN61" s="69"/>
      <c r="RLO61" s="69"/>
      <c r="RLP61" s="69"/>
      <c r="RLQ61" s="69"/>
      <c r="RLR61" s="69"/>
      <c r="RLS61" s="69"/>
      <c r="RLT61" s="69"/>
      <c r="RLU61" s="69"/>
      <c r="RLV61" s="69"/>
      <c r="RLW61" s="69"/>
      <c r="RLX61" s="69"/>
      <c r="RLY61" s="69"/>
      <c r="RLZ61" s="69"/>
      <c r="RMA61" s="69"/>
      <c r="RMB61" s="69"/>
      <c r="RMC61" s="69"/>
      <c r="RMD61" s="69"/>
      <c r="RME61" s="69"/>
      <c r="RMF61" s="69"/>
      <c r="RMG61" s="69"/>
      <c r="RMH61" s="69"/>
      <c r="RMI61" s="69"/>
      <c r="RMJ61" s="69"/>
      <c r="RMK61" s="69"/>
      <c r="RML61" s="69"/>
      <c r="RMM61" s="69"/>
      <c r="RMN61" s="69"/>
      <c r="RMO61" s="69"/>
      <c r="RMP61" s="69"/>
      <c r="RMQ61" s="69"/>
      <c r="RMR61" s="69"/>
      <c r="RMS61" s="69"/>
      <c r="RMT61" s="69"/>
      <c r="RMU61" s="69"/>
      <c r="RMV61" s="69"/>
      <c r="RMW61" s="69"/>
      <c r="RMX61" s="69"/>
      <c r="RMY61" s="69"/>
      <c r="RMZ61" s="69"/>
      <c r="RNA61" s="69"/>
      <c r="RNB61" s="69"/>
      <c r="RNC61" s="69"/>
      <c r="RND61" s="69"/>
      <c r="RNE61" s="69"/>
      <c r="RNF61" s="69"/>
      <c r="RNG61" s="69"/>
      <c r="RNH61" s="69"/>
      <c r="RNI61" s="69"/>
      <c r="RNJ61" s="69"/>
      <c r="RNK61" s="69"/>
      <c r="RNL61" s="69"/>
      <c r="RNM61" s="69"/>
      <c r="RNN61" s="69"/>
      <c r="RNO61" s="69"/>
      <c r="RNP61" s="69"/>
      <c r="RNQ61" s="69"/>
      <c r="RNR61" s="69"/>
      <c r="RNS61" s="69"/>
      <c r="RNT61" s="69"/>
      <c r="RNU61" s="69"/>
      <c r="RNV61" s="69"/>
      <c r="RNW61" s="69"/>
      <c r="RNX61" s="69"/>
      <c r="RNY61" s="69"/>
      <c r="RNZ61" s="69"/>
      <c r="ROA61" s="69"/>
      <c r="ROB61" s="69"/>
      <c r="ROC61" s="69"/>
      <c r="ROD61" s="69"/>
      <c r="ROE61" s="69"/>
      <c r="ROF61" s="69"/>
      <c r="ROG61" s="69"/>
      <c r="ROH61" s="69"/>
      <c r="ROI61" s="69"/>
      <c r="ROJ61" s="69"/>
      <c r="ROK61" s="69"/>
      <c r="ROL61" s="69"/>
      <c r="ROM61" s="69"/>
      <c r="RON61" s="69"/>
      <c r="ROO61" s="69"/>
      <c r="ROP61" s="69"/>
      <c r="ROQ61" s="69"/>
      <c r="ROR61" s="69"/>
      <c r="ROS61" s="69"/>
      <c r="ROT61" s="69"/>
      <c r="ROU61" s="69"/>
      <c r="ROV61" s="69"/>
      <c r="ROW61" s="69"/>
      <c r="ROX61" s="69"/>
      <c r="ROY61" s="69"/>
      <c r="ROZ61" s="69"/>
      <c r="RPA61" s="69"/>
      <c r="RPB61" s="69"/>
      <c r="RPC61" s="69"/>
      <c r="RPD61" s="69"/>
      <c r="RPE61" s="69"/>
      <c r="RPF61" s="69"/>
      <c r="RPG61" s="69"/>
      <c r="RPH61" s="69"/>
      <c r="RPI61" s="69"/>
      <c r="RPJ61" s="69"/>
      <c r="RPK61" s="69"/>
      <c r="RPL61" s="69"/>
      <c r="RPM61" s="69"/>
      <c r="RPN61" s="69"/>
      <c r="RPO61" s="69"/>
      <c r="RPP61" s="69"/>
      <c r="RPQ61" s="69"/>
      <c r="RPR61" s="69"/>
      <c r="RPS61" s="69"/>
      <c r="RPT61" s="69"/>
      <c r="RPU61" s="69"/>
      <c r="RPV61" s="69"/>
      <c r="RPW61" s="69"/>
      <c r="RPX61" s="69"/>
      <c r="RPY61" s="69"/>
      <c r="RPZ61" s="69"/>
      <c r="RQA61" s="69"/>
      <c r="RQB61" s="69"/>
      <c r="RQC61" s="69"/>
      <c r="RQD61" s="69"/>
      <c r="RQE61" s="69"/>
      <c r="RQF61" s="69"/>
      <c r="RQG61" s="69"/>
      <c r="RQH61" s="69"/>
      <c r="RQI61" s="69"/>
      <c r="RQJ61" s="69"/>
      <c r="RQK61" s="69"/>
      <c r="RQL61" s="69"/>
      <c r="RQM61" s="69"/>
      <c r="RQN61" s="69"/>
      <c r="RQO61" s="69"/>
      <c r="RQP61" s="69"/>
      <c r="RQQ61" s="69"/>
      <c r="RQR61" s="69"/>
      <c r="RQS61" s="69"/>
      <c r="RQT61" s="69"/>
      <c r="RQU61" s="69"/>
      <c r="RQV61" s="69"/>
      <c r="RQW61" s="69"/>
      <c r="RQX61" s="69"/>
      <c r="RQY61" s="69"/>
      <c r="RQZ61" s="69"/>
      <c r="RRA61" s="69"/>
      <c r="RRB61" s="69"/>
      <c r="RRC61" s="69"/>
      <c r="RRD61" s="69"/>
      <c r="RRE61" s="69"/>
      <c r="RRF61" s="69"/>
      <c r="RRG61" s="69"/>
      <c r="RRH61" s="69"/>
      <c r="RRI61" s="69"/>
      <c r="RRJ61" s="69"/>
      <c r="RRK61" s="69"/>
      <c r="RRL61" s="69"/>
      <c r="RRM61" s="69"/>
      <c r="RRN61" s="69"/>
      <c r="RRO61" s="69"/>
      <c r="RRP61" s="69"/>
      <c r="RRQ61" s="69"/>
      <c r="RRR61" s="69"/>
      <c r="RRS61" s="69"/>
      <c r="RRT61" s="69"/>
      <c r="RRU61" s="69"/>
      <c r="RRV61" s="69"/>
      <c r="RRW61" s="69"/>
      <c r="RRX61" s="69"/>
      <c r="RRY61" s="69"/>
      <c r="RRZ61" s="69"/>
      <c r="RSA61" s="69"/>
      <c r="RSB61" s="69"/>
      <c r="RSC61" s="69"/>
      <c r="RSD61" s="69"/>
      <c r="RSE61" s="69"/>
      <c r="RSF61" s="69"/>
      <c r="RSG61" s="69"/>
      <c r="RSH61" s="69"/>
      <c r="RSI61" s="69"/>
      <c r="RSJ61" s="69"/>
      <c r="RSK61" s="69"/>
      <c r="RSL61" s="69"/>
      <c r="RSM61" s="69"/>
      <c r="RSN61" s="69"/>
      <c r="RSO61" s="69"/>
      <c r="RSP61" s="69"/>
      <c r="RSQ61" s="69"/>
      <c r="RSR61" s="69"/>
      <c r="RSS61" s="69"/>
      <c r="RST61" s="69"/>
      <c r="RSU61" s="69"/>
      <c r="RSV61" s="69"/>
      <c r="RSW61" s="69"/>
      <c r="RSX61" s="69"/>
      <c r="RSY61" s="69"/>
      <c r="RSZ61" s="69"/>
      <c r="RTA61" s="69"/>
      <c r="RTB61" s="69"/>
      <c r="RTC61" s="69"/>
      <c r="RTD61" s="69"/>
      <c r="RTE61" s="69"/>
      <c r="RTF61" s="69"/>
      <c r="RTG61" s="69"/>
      <c r="RTH61" s="69"/>
      <c r="RTI61" s="69"/>
      <c r="RTJ61" s="69"/>
      <c r="RTK61" s="69"/>
      <c r="RTL61" s="69"/>
      <c r="RTM61" s="69"/>
      <c r="RTN61" s="69"/>
      <c r="RTO61" s="69"/>
      <c r="RTP61" s="69"/>
      <c r="RTQ61" s="69"/>
      <c r="RTR61" s="69"/>
      <c r="RTS61" s="69"/>
      <c r="RTT61" s="69"/>
      <c r="RTU61" s="69"/>
      <c r="RTV61" s="69"/>
      <c r="RTW61" s="69"/>
      <c r="RTX61" s="69"/>
      <c r="RTY61" s="69"/>
      <c r="RTZ61" s="69"/>
      <c r="RUA61" s="69"/>
      <c r="RUB61" s="69"/>
      <c r="RUC61" s="69"/>
      <c r="RUD61" s="69"/>
      <c r="RUE61" s="69"/>
      <c r="RUF61" s="69"/>
      <c r="RUG61" s="69"/>
      <c r="RUH61" s="69"/>
      <c r="RUI61" s="69"/>
      <c r="RUJ61" s="69"/>
      <c r="RUK61" s="69"/>
      <c r="RUL61" s="69"/>
      <c r="RUM61" s="69"/>
      <c r="RUN61" s="69"/>
      <c r="RUO61" s="69"/>
      <c r="RUP61" s="69"/>
      <c r="RUQ61" s="69"/>
      <c r="RUR61" s="69"/>
      <c r="RUS61" s="69"/>
      <c r="RUT61" s="69"/>
      <c r="RUU61" s="69"/>
      <c r="RUV61" s="69"/>
      <c r="RUW61" s="69"/>
      <c r="RUX61" s="69"/>
      <c r="RUY61" s="69"/>
      <c r="RUZ61" s="69"/>
      <c r="RVA61" s="69"/>
      <c r="RVB61" s="69"/>
      <c r="RVC61" s="69"/>
      <c r="RVD61" s="69"/>
      <c r="RVE61" s="69"/>
      <c r="RVF61" s="69"/>
      <c r="RVG61" s="69"/>
      <c r="RVH61" s="69"/>
      <c r="RVI61" s="69"/>
      <c r="RVJ61" s="69"/>
      <c r="RVK61" s="69"/>
      <c r="RVL61" s="69"/>
      <c r="RVM61" s="69"/>
      <c r="RVN61" s="69"/>
      <c r="RVO61" s="69"/>
      <c r="RVP61" s="69"/>
      <c r="RVQ61" s="69"/>
      <c r="RVR61" s="69"/>
      <c r="RVS61" s="69"/>
      <c r="RVT61" s="69"/>
      <c r="RVU61" s="69"/>
      <c r="RVV61" s="69"/>
      <c r="RVW61" s="69"/>
      <c r="RVX61" s="69"/>
      <c r="RVY61" s="69"/>
      <c r="RVZ61" s="69"/>
      <c r="RWA61" s="69"/>
      <c r="RWB61" s="69"/>
      <c r="RWC61" s="69"/>
      <c r="RWD61" s="69"/>
      <c r="RWE61" s="69"/>
      <c r="RWF61" s="69"/>
      <c r="RWG61" s="69"/>
      <c r="RWH61" s="69"/>
      <c r="RWI61" s="69"/>
      <c r="RWJ61" s="69"/>
      <c r="RWK61" s="69"/>
      <c r="RWL61" s="69"/>
      <c r="RWM61" s="69"/>
      <c r="RWN61" s="69"/>
      <c r="RWO61" s="69"/>
      <c r="RWP61" s="69"/>
      <c r="RWQ61" s="69"/>
      <c r="RWR61" s="69"/>
      <c r="RWS61" s="69"/>
      <c r="RWT61" s="69"/>
      <c r="RWU61" s="69"/>
      <c r="RWV61" s="69"/>
      <c r="RWW61" s="69"/>
      <c r="RWX61" s="69"/>
      <c r="RWY61" s="69"/>
      <c r="RWZ61" s="69"/>
      <c r="RXA61" s="69"/>
      <c r="RXB61" s="69"/>
      <c r="RXC61" s="69"/>
      <c r="RXD61" s="69"/>
      <c r="RXE61" s="69"/>
      <c r="RXF61" s="69"/>
      <c r="RXG61" s="69"/>
      <c r="RXH61" s="69"/>
      <c r="RXI61" s="69"/>
      <c r="RXJ61" s="69"/>
      <c r="RXK61" s="69"/>
      <c r="RXL61" s="69"/>
      <c r="RXM61" s="69"/>
      <c r="RXN61" s="69"/>
      <c r="RXO61" s="69"/>
      <c r="RXP61" s="69"/>
      <c r="RXQ61" s="69"/>
      <c r="RXR61" s="69"/>
      <c r="RXS61" s="69"/>
      <c r="RXT61" s="69"/>
      <c r="RXU61" s="69"/>
      <c r="RXV61" s="69"/>
      <c r="RXW61" s="69"/>
      <c r="RXX61" s="69"/>
      <c r="RXY61" s="69"/>
      <c r="RXZ61" s="69"/>
      <c r="RYA61" s="69"/>
      <c r="RYB61" s="69"/>
      <c r="RYC61" s="69"/>
      <c r="RYD61" s="69"/>
      <c r="RYE61" s="69"/>
      <c r="RYF61" s="69"/>
      <c r="RYG61" s="69"/>
      <c r="RYH61" s="69"/>
      <c r="RYI61" s="69"/>
      <c r="RYJ61" s="69"/>
      <c r="RYK61" s="69"/>
      <c r="RYL61" s="69"/>
      <c r="RYM61" s="69"/>
      <c r="RYN61" s="69"/>
      <c r="RYO61" s="69"/>
      <c r="RYP61" s="69"/>
      <c r="RYQ61" s="69"/>
      <c r="RYR61" s="69"/>
      <c r="RYS61" s="69"/>
      <c r="RYT61" s="69"/>
      <c r="RYU61" s="69"/>
      <c r="RYV61" s="69"/>
      <c r="RYW61" s="69"/>
      <c r="RYX61" s="69"/>
      <c r="RYY61" s="69"/>
      <c r="RYZ61" s="69"/>
      <c r="RZA61" s="69"/>
      <c r="RZB61" s="69"/>
      <c r="RZC61" s="69"/>
      <c r="RZD61" s="69"/>
      <c r="RZE61" s="69"/>
      <c r="RZF61" s="69"/>
      <c r="RZG61" s="69"/>
      <c r="RZH61" s="69"/>
      <c r="RZI61" s="69"/>
      <c r="RZJ61" s="69"/>
      <c r="RZK61" s="69"/>
      <c r="RZL61" s="69"/>
      <c r="RZM61" s="69"/>
      <c r="RZN61" s="69"/>
      <c r="RZO61" s="69"/>
      <c r="RZP61" s="69"/>
      <c r="RZQ61" s="69"/>
      <c r="RZR61" s="69"/>
      <c r="RZS61" s="69"/>
      <c r="RZT61" s="69"/>
      <c r="RZU61" s="69"/>
      <c r="RZV61" s="69"/>
      <c r="RZW61" s="69"/>
      <c r="RZX61" s="69"/>
      <c r="RZY61" s="69"/>
      <c r="RZZ61" s="69"/>
      <c r="SAA61" s="69"/>
      <c r="SAB61" s="69"/>
      <c r="SAC61" s="69"/>
      <c r="SAD61" s="69"/>
      <c r="SAE61" s="69"/>
      <c r="SAF61" s="69"/>
      <c r="SAG61" s="69"/>
      <c r="SAH61" s="69"/>
      <c r="SAI61" s="69"/>
      <c r="SAJ61" s="69"/>
      <c r="SAK61" s="69"/>
      <c r="SAL61" s="69"/>
      <c r="SAM61" s="69"/>
      <c r="SAN61" s="69"/>
      <c r="SAO61" s="69"/>
      <c r="SAP61" s="69"/>
      <c r="SAQ61" s="69"/>
      <c r="SAR61" s="69"/>
      <c r="SAS61" s="69"/>
      <c r="SAT61" s="69"/>
      <c r="SAU61" s="69"/>
      <c r="SAV61" s="69"/>
      <c r="SAW61" s="69"/>
      <c r="SAX61" s="69"/>
      <c r="SAY61" s="69"/>
      <c r="SAZ61" s="69"/>
      <c r="SBA61" s="69"/>
      <c r="SBB61" s="69"/>
      <c r="SBC61" s="69"/>
      <c r="SBD61" s="69"/>
      <c r="SBE61" s="69"/>
      <c r="SBF61" s="69"/>
      <c r="SBG61" s="69"/>
      <c r="SBH61" s="69"/>
      <c r="SBI61" s="69"/>
      <c r="SBJ61" s="69"/>
      <c r="SBK61" s="69"/>
      <c r="SBL61" s="69"/>
      <c r="SBM61" s="69"/>
      <c r="SBN61" s="69"/>
      <c r="SBO61" s="69"/>
      <c r="SBP61" s="69"/>
      <c r="SBQ61" s="69"/>
      <c r="SBR61" s="69"/>
      <c r="SBS61" s="69"/>
      <c r="SBT61" s="69"/>
      <c r="SBU61" s="69"/>
      <c r="SBV61" s="69"/>
      <c r="SBW61" s="69"/>
      <c r="SBX61" s="69"/>
      <c r="SBY61" s="69"/>
      <c r="SBZ61" s="69"/>
      <c r="SCA61" s="69"/>
      <c r="SCB61" s="69"/>
      <c r="SCC61" s="69"/>
      <c r="SCD61" s="69"/>
      <c r="SCE61" s="69"/>
      <c r="SCF61" s="69"/>
      <c r="SCG61" s="69"/>
      <c r="SCH61" s="69"/>
      <c r="SCI61" s="69"/>
      <c r="SCJ61" s="69"/>
      <c r="SCK61" s="69"/>
      <c r="SCL61" s="69"/>
      <c r="SCM61" s="69"/>
      <c r="SCN61" s="69"/>
      <c r="SCO61" s="69"/>
      <c r="SCP61" s="69"/>
      <c r="SCQ61" s="69"/>
      <c r="SCR61" s="69"/>
      <c r="SCS61" s="69"/>
      <c r="SCT61" s="69"/>
      <c r="SCU61" s="69"/>
      <c r="SCV61" s="69"/>
      <c r="SCW61" s="69"/>
      <c r="SCX61" s="69"/>
      <c r="SCY61" s="69"/>
      <c r="SCZ61" s="69"/>
      <c r="SDA61" s="69"/>
      <c r="SDB61" s="69"/>
      <c r="SDC61" s="69"/>
      <c r="SDD61" s="69"/>
      <c r="SDE61" s="69"/>
      <c r="SDF61" s="69"/>
      <c r="SDG61" s="69"/>
      <c r="SDH61" s="69"/>
      <c r="SDI61" s="69"/>
      <c r="SDJ61" s="69"/>
      <c r="SDK61" s="69"/>
      <c r="SDL61" s="69"/>
      <c r="SDM61" s="69"/>
      <c r="SDN61" s="69"/>
      <c r="SDO61" s="69"/>
      <c r="SDP61" s="69"/>
      <c r="SDQ61" s="69"/>
      <c r="SDR61" s="69"/>
      <c r="SDS61" s="69"/>
      <c r="SDT61" s="69"/>
      <c r="SDU61" s="69"/>
      <c r="SDV61" s="69"/>
      <c r="SDW61" s="69"/>
      <c r="SDX61" s="69"/>
      <c r="SDY61" s="69"/>
      <c r="SDZ61" s="69"/>
      <c r="SEA61" s="69"/>
      <c r="SEB61" s="69"/>
      <c r="SEC61" s="69"/>
      <c r="SED61" s="69"/>
      <c r="SEE61" s="69"/>
      <c r="SEF61" s="69"/>
      <c r="SEG61" s="69"/>
      <c r="SEH61" s="69"/>
      <c r="SEI61" s="69"/>
      <c r="SEJ61" s="69"/>
      <c r="SEK61" s="69"/>
      <c r="SEL61" s="69"/>
      <c r="SEM61" s="69"/>
      <c r="SEN61" s="69"/>
      <c r="SEO61" s="69"/>
      <c r="SEP61" s="69"/>
      <c r="SEQ61" s="69"/>
      <c r="SER61" s="69"/>
      <c r="SES61" s="69"/>
      <c r="SET61" s="69"/>
      <c r="SEU61" s="69"/>
      <c r="SEV61" s="69"/>
      <c r="SEW61" s="69"/>
      <c r="SEX61" s="69"/>
      <c r="SEY61" s="69"/>
      <c r="SEZ61" s="69"/>
      <c r="SFA61" s="69"/>
      <c r="SFB61" s="69"/>
      <c r="SFC61" s="69"/>
      <c r="SFD61" s="69"/>
      <c r="SFE61" s="69"/>
      <c r="SFF61" s="69"/>
      <c r="SFG61" s="69"/>
      <c r="SFH61" s="69"/>
      <c r="SFI61" s="69"/>
      <c r="SFJ61" s="69"/>
      <c r="SFK61" s="69"/>
      <c r="SFL61" s="69"/>
      <c r="SFM61" s="69"/>
      <c r="SFN61" s="69"/>
      <c r="SFO61" s="69"/>
      <c r="SFP61" s="69"/>
      <c r="SFQ61" s="69"/>
      <c r="SFR61" s="69"/>
      <c r="SFS61" s="69"/>
      <c r="SFT61" s="69"/>
      <c r="SFU61" s="69"/>
      <c r="SFV61" s="69"/>
      <c r="SFW61" s="69"/>
      <c r="SFX61" s="69"/>
      <c r="SFY61" s="69"/>
      <c r="SFZ61" s="69"/>
      <c r="SGA61" s="69"/>
      <c r="SGB61" s="69"/>
      <c r="SGC61" s="69"/>
      <c r="SGD61" s="69"/>
      <c r="SGE61" s="69"/>
      <c r="SGF61" s="69"/>
      <c r="SGG61" s="69"/>
      <c r="SGH61" s="69"/>
      <c r="SGI61" s="69"/>
      <c r="SGJ61" s="69"/>
      <c r="SGK61" s="69"/>
      <c r="SGL61" s="69"/>
      <c r="SGM61" s="69"/>
      <c r="SGN61" s="69"/>
      <c r="SGO61" s="69"/>
      <c r="SGP61" s="69"/>
      <c r="SGQ61" s="69"/>
      <c r="SGR61" s="69"/>
      <c r="SGS61" s="69"/>
      <c r="SGT61" s="69"/>
      <c r="SGU61" s="69"/>
      <c r="SGV61" s="69"/>
      <c r="SGW61" s="69"/>
      <c r="SGX61" s="69"/>
      <c r="SGY61" s="69"/>
      <c r="SGZ61" s="69"/>
      <c r="SHA61" s="69"/>
      <c r="SHB61" s="69"/>
      <c r="SHC61" s="69"/>
      <c r="SHD61" s="69"/>
      <c r="SHE61" s="69"/>
      <c r="SHF61" s="69"/>
      <c r="SHG61" s="69"/>
      <c r="SHH61" s="69"/>
      <c r="SHI61" s="69"/>
      <c r="SHJ61" s="69"/>
      <c r="SHK61" s="69"/>
      <c r="SHL61" s="69"/>
      <c r="SHM61" s="69"/>
      <c r="SHN61" s="69"/>
      <c r="SHO61" s="69"/>
      <c r="SHP61" s="69"/>
      <c r="SHQ61" s="69"/>
      <c r="SHR61" s="69"/>
      <c r="SHS61" s="69"/>
      <c r="SHT61" s="69"/>
      <c r="SHU61" s="69"/>
      <c r="SHV61" s="69"/>
      <c r="SHW61" s="69"/>
      <c r="SHX61" s="69"/>
      <c r="SHY61" s="69"/>
      <c r="SHZ61" s="69"/>
      <c r="SIA61" s="69"/>
      <c r="SIB61" s="69"/>
      <c r="SIC61" s="69"/>
      <c r="SID61" s="69"/>
      <c r="SIE61" s="69"/>
      <c r="SIF61" s="69"/>
      <c r="SIG61" s="69"/>
      <c r="SIH61" s="69"/>
      <c r="SII61" s="69"/>
      <c r="SIJ61" s="69"/>
      <c r="SIK61" s="69"/>
      <c r="SIL61" s="69"/>
      <c r="SIM61" s="69"/>
      <c r="SIN61" s="69"/>
      <c r="SIO61" s="69"/>
      <c r="SIP61" s="69"/>
      <c r="SIQ61" s="69"/>
      <c r="SIR61" s="69"/>
      <c r="SIS61" s="69"/>
      <c r="SIT61" s="69"/>
      <c r="SIU61" s="69"/>
      <c r="SIV61" s="69"/>
      <c r="SIW61" s="69"/>
      <c r="SIX61" s="69"/>
      <c r="SIY61" s="69"/>
      <c r="SIZ61" s="69"/>
      <c r="SJA61" s="69"/>
      <c r="SJB61" s="69"/>
      <c r="SJC61" s="69"/>
      <c r="SJD61" s="69"/>
      <c r="SJE61" s="69"/>
      <c r="SJF61" s="69"/>
      <c r="SJG61" s="69"/>
      <c r="SJH61" s="69"/>
      <c r="SJI61" s="69"/>
      <c r="SJJ61" s="69"/>
      <c r="SJK61" s="69"/>
      <c r="SJL61" s="69"/>
      <c r="SJM61" s="69"/>
      <c r="SJN61" s="69"/>
      <c r="SJO61" s="69"/>
      <c r="SJP61" s="69"/>
      <c r="SJQ61" s="69"/>
      <c r="SJR61" s="69"/>
      <c r="SJS61" s="69"/>
      <c r="SJT61" s="69"/>
      <c r="SJU61" s="69"/>
      <c r="SJV61" s="69"/>
      <c r="SJW61" s="69"/>
      <c r="SJX61" s="69"/>
      <c r="SJY61" s="69"/>
      <c r="SJZ61" s="69"/>
      <c r="SKA61" s="69"/>
      <c r="SKB61" s="69"/>
      <c r="SKC61" s="69"/>
      <c r="SKD61" s="69"/>
      <c r="SKE61" s="69"/>
      <c r="SKF61" s="69"/>
      <c r="SKG61" s="69"/>
      <c r="SKH61" s="69"/>
      <c r="SKI61" s="69"/>
      <c r="SKJ61" s="69"/>
      <c r="SKK61" s="69"/>
      <c r="SKL61" s="69"/>
      <c r="SKM61" s="69"/>
      <c r="SKN61" s="69"/>
      <c r="SKO61" s="69"/>
      <c r="SKP61" s="69"/>
      <c r="SKQ61" s="69"/>
      <c r="SKR61" s="69"/>
      <c r="SKS61" s="69"/>
      <c r="SKT61" s="69"/>
      <c r="SKU61" s="69"/>
      <c r="SKV61" s="69"/>
      <c r="SKW61" s="69"/>
      <c r="SKX61" s="69"/>
      <c r="SKY61" s="69"/>
      <c r="SKZ61" s="69"/>
      <c r="SLA61" s="69"/>
      <c r="SLB61" s="69"/>
      <c r="SLC61" s="69"/>
      <c r="SLD61" s="69"/>
      <c r="SLE61" s="69"/>
      <c r="SLF61" s="69"/>
      <c r="SLG61" s="69"/>
      <c r="SLH61" s="69"/>
      <c r="SLI61" s="69"/>
      <c r="SLJ61" s="69"/>
      <c r="SLK61" s="69"/>
      <c r="SLL61" s="69"/>
      <c r="SLM61" s="69"/>
      <c r="SLN61" s="69"/>
      <c r="SLO61" s="69"/>
      <c r="SLP61" s="69"/>
      <c r="SLQ61" s="69"/>
      <c r="SLR61" s="69"/>
      <c r="SLS61" s="69"/>
      <c r="SLT61" s="69"/>
      <c r="SLU61" s="69"/>
      <c r="SLV61" s="69"/>
      <c r="SLW61" s="69"/>
      <c r="SLX61" s="69"/>
      <c r="SLY61" s="69"/>
      <c r="SLZ61" s="69"/>
      <c r="SMA61" s="69"/>
      <c r="SMB61" s="69"/>
      <c r="SMC61" s="69"/>
      <c r="SMD61" s="69"/>
      <c r="SME61" s="69"/>
      <c r="SMF61" s="69"/>
      <c r="SMG61" s="69"/>
      <c r="SMH61" s="69"/>
      <c r="SMI61" s="69"/>
      <c r="SMJ61" s="69"/>
      <c r="SMK61" s="69"/>
      <c r="SML61" s="69"/>
      <c r="SMM61" s="69"/>
      <c r="SMN61" s="69"/>
      <c r="SMO61" s="69"/>
      <c r="SMP61" s="69"/>
      <c r="SMQ61" s="69"/>
      <c r="SMR61" s="69"/>
      <c r="SMS61" s="69"/>
      <c r="SMT61" s="69"/>
      <c r="SMU61" s="69"/>
      <c r="SMV61" s="69"/>
      <c r="SMW61" s="69"/>
      <c r="SMX61" s="69"/>
      <c r="SMY61" s="69"/>
      <c r="SMZ61" s="69"/>
      <c r="SNA61" s="69"/>
      <c r="SNB61" s="69"/>
      <c r="SNC61" s="69"/>
      <c r="SND61" s="69"/>
      <c r="SNE61" s="69"/>
      <c r="SNF61" s="69"/>
      <c r="SNG61" s="69"/>
      <c r="SNH61" s="69"/>
      <c r="SNI61" s="69"/>
      <c r="SNJ61" s="69"/>
      <c r="SNK61" s="69"/>
      <c r="SNL61" s="69"/>
      <c r="SNM61" s="69"/>
      <c r="SNN61" s="69"/>
      <c r="SNO61" s="69"/>
      <c r="SNP61" s="69"/>
      <c r="SNQ61" s="69"/>
      <c r="SNR61" s="69"/>
      <c r="SNS61" s="69"/>
      <c r="SNT61" s="69"/>
      <c r="SNU61" s="69"/>
      <c r="SNV61" s="69"/>
      <c r="SNW61" s="69"/>
      <c r="SNX61" s="69"/>
      <c r="SNY61" s="69"/>
      <c r="SNZ61" s="69"/>
      <c r="SOA61" s="69"/>
      <c r="SOB61" s="69"/>
      <c r="SOC61" s="69"/>
      <c r="SOD61" s="69"/>
      <c r="SOE61" s="69"/>
      <c r="SOF61" s="69"/>
      <c r="SOG61" s="69"/>
      <c r="SOH61" s="69"/>
      <c r="SOI61" s="69"/>
      <c r="SOJ61" s="69"/>
      <c r="SOK61" s="69"/>
      <c r="SOL61" s="69"/>
      <c r="SOM61" s="69"/>
      <c r="SON61" s="69"/>
      <c r="SOO61" s="69"/>
      <c r="SOP61" s="69"/>
      <c r="SOQ61" s="69"/>
      <c r="SOR61" s="69"/>
      <c r="SOS61" s="69"/>
      <c r="SOT61" s="69"/>
      <c r="SOU61" s="69"/>
      <c r="SOV61" s="69"/>
      <c r="SOW61" s="69"/>
      <c r="SOX61" s="69"/>
      <c r="SOY61" s="69"/>
      <c r="SOZ61" s="69"/>
      <c r="SPA61" s="69"/>
      <c r="SPB61" s="69"/>
      <c r="SPC61" s="69"/>
      <c r="SPD61" s="69"/>
      <c r="SPE61" s="69"/>
      <c r="SPF61" s="69"/>
      <c r="SPG61" s="69"/>
      <c r="SPH61" s="69"/>
      <c r="SPI61" s="69"/>
      <c r="SPJ61" s="69"/>
      <c r="SPK61" s="69"/>
      <c r="SPL61" s="69"/>
      <c r="SPM61" s="69"/>
      <c r="SPN61" s="69"/>
      <c r="SPO61" s="69"/>
      <c r="SPP61" s="69"/>
      <c r="SPQ61" s="69"/>
      <c r="SPR61" s="69"/>
      <c r="SPS61" s="69"/>
      <c r="SPT61" s="69"/>
      <c r="SPU61" s="69"/>
      <c r="SPV61" s="69"/>
      <c r="SPW61" s="69"/>
      <c r="SPX61" s="69"/>
      <c r="SPY61" s="69"/>
      <c r="SPZ61" s="69"/>
      <c r="SQA61" s="69"/>
      <c r="SQB61" s="69"/>
      <c r="SQC61" s="69"/>
      <c r="SQD61" s="69"/>
      <c r="SQE61" s="69"/>
      <c r="SQF61" s="69"/>
      <c r="SQG61" s="69"/>
      <c r="SQH61" s="69"/>
      <c r="SQI61" s="69"/>
      <c r="SQJ61" s="69"/>
      <c r="SQK61" s="69"/>
      <c r="SQL61" s="69"/>
      <c r="SQM61" s="69"/>
      <c r="SQN61" s="69"/>
      <c r="SQO61" s="69"/>
      <c r="SQP61" s="69"/>
      <c r="SQQ61" s="69"/>
      <c r="SQR61" s="69"/>
      <c r="SQS61" s="69"/>
      <c r="SQT61" s="69"/>
      <c r="SQU61" s="69"/>
      <c r="SQV61" s="69"/>
      <c r="SQW61" s="69"/>
      <c r="SQX61" s="69"/>
      <c r="SQY61" s="69"/>
      <c r="SQZ61" s="69"/>
      <c r="SRA61" s="69"/>
      <c r="SRB61" s="69"/>
      <c r="SRC61" s="69"/>
      <c r="SRD61" s="69"/>
      <c r="SRE61" s="69"/>
      <c r="SRF61" s="69"/>
      <c r="SRG61" s="69"/>
      <c r="SRH61" s="69"/>
      <c r="SRI61" s="69"/>
      <c r="SRJ61" s="69"/>
      <c r="SRK61" s="69"/>
      <c r="SRL61" s="69"/>
      <c r="SRM61" s="69"/>
      <c r="SRN61" s="69"/>
      <c r="SRO61" s="69"/>
      <c r="SRP61" s="69"/>
      <c r="SRQ61" s="69"/>
      <c r="SRR61" s="69"/>
      <c r="SRS61" s="69"/>
      <c r="SRT61" s="69"/>
      <c r="SRU61" s="69"/>
      <c r="SRV61" s="69"/>
      <c r="SRW61" s="69"/>
      <c r="SRX61" s="69"/>
      <c r="SRY61" s="69"/>
      <c r="SRZ61" s="69"/>
      <c r="SSA61" s="69"/>
      <c r="SSB61" s="69"/>
      <c r="SSC61" s="69"/>
      <c r="SSD61" s="69"/>
      <c r="SSE61" s="69"/>
      <c r="SSF61" s="69"/>
      <c r="SSG61" s="69"/>
      <c r="SSH61" s="69"/>
      <c r="SSI61" s="69"/>
      <c r="SSJ61" s="69"/>
      <c r="SSK61" s="69"/>
      <c r="SSL61" s="69"/>
      <c r="SSM61" s="69"/>
      <c r="SSN61" s="69"/>
      <c r="SSO61" s="69"/>
      <c r="SSP61" s="69"/>
      <c r="SSQ61" s="69"/>
      <c r="SSR61" s="69"/>
      <c r="SSS61" s="69"/>
      <c r="SST61" s="69"/>
      <c r="SSU61" s="69"/>
      <c r="SSV61" s="69"/>
      <c r="SSW61" s="69"/>
      <c r="SSX61" s="69"/>
      <c r="SSY61" s="69"/>
      <c r="SSZ61" s="69"/>
      <c r="STA61" s="69"/>
      <c r="STB61" s="69"/>
      <c r="STC61" s="69"/>
      <c r="STD61" s="69"/>
      <c r="STE61" s="69"/>
      <c r="STF61" s="69"/>
      <c r="STG61" s="69"/>
      <c r="STH61" s="69"/>
      <c r="STI61" s="69"/>
      <c r="STJ61" s="69"/>
      <c r="STK61" s="69"/>
      <c r="STL61" s="69"/>
      <c r="STM61" s="69"/>
      <c r="STN61" s="69"/>
      <c r="STO61" s="69"/>
      <c r="STP61" s="69"/>
      <c r="STQ61" s="69"/>
      <c r="STR61" s="69"/>
      <c r="STS61" s="69"/>
      <c r="STT61" s="69"/>
      <c r="STU61" s="69"/>
      <c r="STV61" s="69"/>
      <c r="STW61" s="69"/>
      <c r="STX61" s="69"/>
      <c r="STY61" s="69"/>
      <c r="STZ61" s="69"/>
      <c r="SUA61" s="69"/>
      <c r="SUB61" s="69"/>
      <c r="SUC61" s="69"/>
      <c r="SUD61" s="69"/>
      <c r="SUE61" s="69"/>
      <c r="SUF61" s="69"/>
      <c r="SUG61" s="69"/>
      <c r="SUH61" s="69"/>
      <c r="SUI61" s="69"/>
      <c r="SUJ61" s="69"/>
      <c r="SUK61" s="69"/>
      <c r="SUL61" s="69"/>
      <c r="SUM61" s="69"/>
      <c r="SUN61" s="69"/>
      <c r="SUO61" s="69"/>
      <c r="SUP61" s="69"/>
      <c r="SUQ61" s="69"/>
      <c r="SUR61" s="69"/>
      <c r="SUS61" s="69"/>
      <c r="SUT61" s="69"/>
      <c r="SUU61" s="69"/>
      <c r="SUV61" s="69"/>
      <c r="SUW61" s="69"/>
      <c r="SUX61" s="69"/>
      <c r="SUY61" s="69"/>
      <c r="SUZ61" s="69"/>
      <c r="SVA61" s="69"/>
      <c r="SVB61" s="69"/>
      <c r="SVC61" s="69"/>
      <c r="SVD61" s="69"/>
      <c r="SVE61" s="69"/>
      <c r="SVF61" s="69"/>
      <c r="SVG61" s="69"/>
      <c r="SVH61" s="69"/>
      <c r="SVI61" s="69"/>
      <c r="SVJ61" s="69"/>
      <c r="SVK61" s="69"/>
      <c r="SVL61" s="69"/>
      <c r="SVM61" s="69"/>
      <c r="SVN61" s="69"/>
      <c r="SVO61" s="69"/>
      <c r="SVP61" s="69"/>
      <c r="SVQ61" s="69"/>
      <c r="SVR61" s="69"/>
      <c r="SVS61" s="69"/>
      <c r="SVT61" s="69"/>
      <c r="SVU61" s="69"/>
      <c r="SVV61" s="69"/>
      <c r="SVW61" s="69"/>
      <c r="SVX61" s="69"/>
      <c r="SVY61" s="69"/>
      <c r="SVZ61" s="69"/>
      <c r="SWA61" s="69"/>
      <c r="SWB61" s="69"/>
      <c r="SWC61" s="69"/>
      <c r="SWD61" s="69"/>
      <c r="SWE61" s="69"/>
      <c r="SWF61" s="69"/>
      <c r="SWG61" s="69"/>
      <c r="SWH61" s="69"/>
      <c r="SWI61" s="69"/>
      <c r="SWJ61" s="69"/>
      <c r="SWK61" s="69"/>
      <c r="SWL61" s="69"/>
      <c r="SWM61" s="69"/>
      <c r="SWN61" s="69"/>
      <c r="SWO61" s="69"/>
      <c r="SWP61" s="69"/>
      <c r="SWQ61" s="69"/>
      <c r="SWR61" s="69"/>
      <c r="SWS61" s="69"/>
      <c r="SWT61" s="69"/>
      <c r="SWU61" s="69"/>
      <c r="SWV61" s="69"/>
      <c r="SWW61" s="69"/>
      <c r="SWX61" s="69"/>
      <c r="SWY61" s="69"/>
      <c r="SWZ61" s="69"/>
      <c r="SXA61" s="69"/>
      <c r="SXB61" s="69"/>
      <c r="SXC61" s="69"/>
      <c r="SXD61" s="69"/>
      <c r="SXE61" s="69"/>
      <c r="SXF61" s="69"/>
      <c r="SXG61" s="69"/>
      <c r="SXH61" s="69"/>
      <c r="SXI61" s="69"/>
      <c r="SXJ61" s="69"/>
      <c r="SXK61" s="69"/>
      <c r="SXL61" s="69"/>
      <c r="SXM61" s="69"/>
      <c r="SXN61" s="69"/>
      <c r="SXO61" s="69"/>
      <c r="SXP61" s="69"/>
      <c r="SXQ61" s="69"/>
      <c r="SXR61" s="69"/>
      <c r="SXS61" s="69"/>
      <c r="SXT61" s="69"/>
      <c r="SXU61" s="69"/>
      <c r="SXV61" s="69"/>
      <c r="SXW61" s="69"/>
      <c r="SXX61" s="69"/>
      <c r="SXY61" s="69"/>
      <c r="SXZ61" s="69"/>
      <c r="SYA61" s="69"/>
      <c r="SYB61" s="69"/>
      <c r="SYC61" s="69"/>
      <c r="SYD61" s="69"/>
      <c r="SYE61" s="69"/>
      <c r="SYF61" s="69"/>
      <c r="SYG61" s="69"/>
      <c r="SYH61" s="69"/>
      <c r="SYI61" s="69"/>
      <c r="SYJ61" s="69"/>
      <c r="SYK61" s="69"/>
      <c r="SYL61" s="69"/>
      <c r="SYM61" s="69"/>
      <c r="SYN61" s="69"/>
      <c r="SYO61" s="69"/>
      <c r="SYP61" s="69"/>
      <c r="SYQ61" s="69"/>
      <c r="SYR61" s="69"/>
      <c r="SYS61" s="69"/>
      <c r="SYT61" s="69"/>
      <c r="SYU61" s="69"/>
      <c r="SYV61" s="69"/>
      <c r="SYW61" s="69"/>
      <c r="SYX61" s="69"/>
      <c r="SYY61" s="69"/>
      <c r="SYZ61" s="69"/>
      <c r="SZA61" s="69"/>
      <c r="SZB61" s="69"/>
      <c r="SZC61" s="69"/>
      <c r="SZD61" s="69"/>
      <c r="SZE61" s="69"/>
      <c r="SZF61" s="69"/>
      <c r="SZG61" s="69"/>
      <c r="SZH61" s="69"/>
      <c r="SZI61" s="69"/>
      <c r="SZJ61" s="69"/>
      <c r="SZK61" s="69"/>
      <c r="SZL61" s="69"/>
      <c r="SZM61" s="69"/>
      <c r="SZN61" s="69"/>
      <c r="SZO61" s="69"/>
      <c r="SZP61" s="69"/>
      <c r="SZQ61" s="69"/>
      <c r="SZR61" s="69"/>
      <c r="SZS61" s="69"/>
      <c r="SZT61" s="69"/>
      <c r="SZU61" s="69"/>
      <c r="SZV61" s="69"/>
      <c r="SZW61" s="69"/>
      <c r="SZX61" s="69"/>
      <c r="SZY61" s="69"/>
      <c r="SZZ61" s="69"/>
      <c r="TAA61" s="69"/>
      <c r="TAB61" s="69"/>
      <c r="TAC61" s="69"/>
      <c r="TAD61" s="69"/>
      <c r="TAE61" s="69"/>
      <c r="TAF61" s="69"/>
      <c r="TAG61" s="69"/>
      <c r="TAH61" s="69"/>
      <c r="TAI61" s="69"/>
      <c r="TAJ61" s="69"/>
      <c r="TAK61" s="69"/>
      <c r="TAL61" s="69"/>
      <c r="TAM61" s="69"/>
      <c r="TAN61" s="69"/>
      <c r="TAO61" s="69"/>
      <c r="TAP61" s="69"/>
      <c r="TAQ61" s="69"/>
      <c r="TAR61" s="69"/>
      <c r="TAS61" s="69"/>
      <c r="TAT61" s="69"/>
      <c r="TAU61" s="69"/>
      <c r="TAV61" s="69"/>
      <c r="TAW61" s="69"/>
      <c r="TAX61" s="69"/>
      <c r="TAY61" s="69"/>
      <c r="TAZ61" s="69"/>
      <c r="TBA61" s="69"/>
      <c r="TBB61" s="69"/>
      <c r="TBC61" s="69"/>
      <c r="TBD61" s="69"/>
      <c r="TBE61" s="69"/>
      <c r="TBF61" s="69"/>
      <c r="TBG61" s="69"/>
      <c r="TBH61" s="69"/>
      <c r="TBI61" s="69"/>
      <c r="TBJ61" s="69"/>
      <c r="TBK61" s="69"/>
      <c r="TBL61" s="69"/>
      <c r="TBM61" s="69"/>
      <c r="TBN61" s="69"/>
      <c r="TBO61" s="69"/>
      <c r="TBP61" s="69"/>
      <c r="TBQ61" s="69"/>
      <c r="TBR61" s="69"/>
      <c r="TBS61" s="69"/>
      <c r="TBT61" s="69"/>
      <c r="TBU61" s="69"/>
      <c r="TBV61" s="69"/>
      <c r="TBW61" s="69"/>
      <c r="TBX61" s="69"/>
      <c r="TBY61" s="69"/>
      <c r="TBZ61" s="69"/>
      <c r="TCA61" s="69"/>
      <c r="TCB61" s="69"/>
      <c r="TCC61" s="69"/>
      <c r="TCD61" s="69"/>
      <c r="TCE61" s="69"/>
      <c r="TCF61" s="69"/>
      <c r="TCG61" s="69"/>
      <c r="TCH61" s="69"/>
      <c r="TCI61" s="69"/>
      <c r="TCJ61" s="69"/>
      <c r="TCK61" s="69"/>
      <c r="TCL61" s="69"/>
      <c r="TCM61" s="69"/>
      <c r="TCN61" s="69"/>
      <c r="TCO61" s="69"/>
      <c r="TCP61" s="69"/>
      <c r="TCQ61" s="69"/>
      <c r="TCR61" s="69"/>
      <c r="TCS61" s="69"/>
      <c r="TCT61" s="69"/>
      <c r="TCU61" s="69"/>
      <c r="TCV61" s="69"/>
      <c r="TCW61" s="69"/>
      <c r="TCX61" s="69"/>
      <c r="TCY61" s="69"/>
      <c r="TCZ61" s="69"/>
      <c r="TDA61" s="69"/>
      <c r="TDB61" s="69"/>
      <c r="TDC61" s="69"/>
      <c r="TDD61" s="69"/>
      <c r="TDE61" s="69"/>
      <c r="TDF61" s="69"/>
      <c r="TDG61" s="69"/>
      <c r="TDH61" s="69"/>
      <c r="TDI61" s="69"/>
      <c r="TDJ61" s="69"/>
      <c r="TDK61" s="69"/>
      <c r="TDL61" s="69"/>
      <c r="TDM61" s="69"/>
      <c r="TDN61" s="69"/>
      <c r="TDO61" s="69"/>
      <c r="TDP61" s="69"/>
      <c r="TDQ61" s="69"/>
      <c r="TDR61" s="69"/>
      <c r="TDS61" s="69"/>
      <c r="TDT61" s="69"/>
      <c r="TDU61" s="69"/>
      <c r="TDV61" s="69"/>
      <c r="TDW61" s="69"/>
      <c r="TDX61" s="69"/>
      <c r="TDY61" s="69"/>
      <c r="TDZ61" s="69"/>
      <c r="TEA61" s="69"/>
      <c r="TEB61" s="69"/>
      <c r="TEC61" s="69"/>
      <c r="TED61" s="69"/>
      <c r="TEE61" s="69"/>
      <c r="TEF61" s="69"/>
      <c r="TEG61" s="69"/>
      <c r="TEH61" s="69"/>
      <c r="TEI61" s="69"/>
      <c r="TEJ61" s="69"/>
      <c r="TEK61" s="69"/>
      <c r="TEL61" s="69"/>
      <c r="TEM61" s="69"/>
      <c r="TEN61" s="69"/>
      <c r="TEO61" s="69"/>
      <c r="TEP61" s="69"/>
      <c r="TEQ61" s="69"/>
      <c r="TER61" s="69"/>
      <c r="TES61" s="69"/>
      <c r="TET61" s="69"/>
      <c r="TEU61" s="69"/>
      <c r="TEV61" s="69"/>
      <c r="TEW61" s="69"/>
      <c r="TEX61" s="69"/>
      <c r="TEY61" s="69"/>
      <c r="TEZ61" s="69"/>
      <c r="TFA61" s="69"/>
      <c r="TFB61" s="69"/>
      <c r="TFC61" s="69"/>
      <c r="TFD61" s="69"/>
      <c r="TFE61" s="69"/>
      <c r="TFF61" s="69"/>
      <c r="TFG61" s="69"/>
      <c r="TFH61" s="69"/>
      <c r="TFI61" s="69"/>
      <c r="TFJ61" s="69"/>
      <c r="TFK61" s="69"/>
      <c r="TFL61" s="69"/>
      <c r="TFM61" s="69"/>
      <c r="TFN61" s="69"/>
      <c r="TFO61" s="69"/>
      <c r="TFP61" s="69"/>
      <c r="TFQ61" s="69"/>
      <c r="TFR61" s="69"/>
      <c r="TFS61" s="69"/>
      <c r="TFT61" s="69"/>
      <c r="TFU61" s="69"/>
      <c r="TFV61" s="69"/>
      <c r="TFW61" s="69"/>
      <c r="TFX61" s="69"/>
      <c r="TFY61" s="69"/>
      <c r="TFZ61" s="69"/>
      <c r="TGA61" s="69"/>
      <c r="TGB61" s="69"/>
      <c r="TGC61" s="69"/>
      <c r="TGD61" s="69"/>
      <c r="TGE61" s="69"/>
      <c r="TGF61" s="69"/>
      <c r="TGG61" s="69"/>
      <c r="TGH61" s="69"/>
      <c r="TGI61" s="69"/>
      <c r="TGJ61" s="69"/>
      <c r="TGK61" s="69"/>
      <c r="TGL61" s="69"/>
      <c r="TGM61" s="69"/>
      <c r="TGN61" s="69"/>
      <c r="TGO61" s="69"/>
      <c r="TGP61" s="69"/>
      <c r="TGQ61" s="69"/>
      <c r="TGR61" s="69"/>
      <c r="TGS61" s="69"/>
      <c r="TGT61" s="69"/>
      <c r="TGU61" s="69"/>
      <c r="TGV61" s="69"/>
      <c r="TGW61" s="69"/>
      <c r="TGX61" s="69"/>
      <c r="TGY61" s="69"/>
      <c r="TGZ61" s="69"/>
      <c r="THA61" s="69"/>
      <c r="THB61" s="69"/>
      <c r="THC61" s="69"/>
      <c r="THD61" s="69"/>
      <c r="THE61" s="69"/>
      <c r="THF61" s="69"/>
      <c r="THG61" s="69"/>
      <c r="THH61" s="69"/>
      <c r="THI61" s="69"/>
      <c r="THJ61" s="69"/>
      <c r="THK61" s="69"/>
      <c r="THL61" s="69"/>
      <c r="THM61" s="69"/>
      <c r="THN61" s="69"/>
      <c r="THO61" s="69"/>
      <c r="THP61" s="69"/>
      <c r="THQ61" s="69"/>
      <c r="THR61" s="69"/>
      <c r="THS61" s="69"/>
      <c r="THT61" s="69"/>
      <c r="THU61" s="69"/>
      <c r="THV61" s="69"/>
      <c r="THW61" s="69"/>
      <c r="THX61" s="69"/>
      <c r="THY61" s="69"/>
      <c r="THZ61" s="69"/>
      <c r="TIA61" s="69"/>
      <c r="TIB61" s="69"/>
      <c r="TIC61" s="69"/>
      <c r="TID61" s="69"/>
      <c r="TIE61" s="69"/>
      <c r="TIF61" s="69"/>
      <c r="TIG61" s="69"/>
      <c r="TIH61" s="69"/>
      <c r="TII61" s="69"/>
      <c r="TIJ61" s="69"/>
      <c r="TIK61" s="69"/>
      <c r="TIL61" s="69"/>
      <c r="TIM61" s="69"/>
      <c r="TIN61" s="69"/>
      <c r="TIO61" s="69"/>
      <c r="TIP61" s="69"/>
      <c r="TIQ61" s="69"/>
      <c r="TIR61" s="69"/>
      <c r="TIS61" s="69"/>
      <c r="TIT61" s="69"/>
      <c r="TIU61" s="69"/>
      <c r="TIV61" s="69"/>
      <c r="TIW61" s="69"/>
      <c r="TIX61" s="69"/>
      <c r="TIY61" s="69"/>
      <c r="TIZ61" s="69"/>
      <c r="TJA61" s="69"/>
      <c r="TJB61" s="69"/>
      <c r="TJC61" s="69"/>
      <c r="TJD61" s="69"/>
      <c r="TJE61" s="69"/>
      <c r="TJF61" s="69"/>
      <c r="TJG61" s="69"/>
      <c r="TJH61" s="69"/>
      <c r="TJI61" s="69"/>
      <c r="TJJ61" s="69"/>
      <c r="TJK61" s="69"/>
      <c r="TJL61" s="69"/>
      <c r="TJM61" s="69"/>
      <c r="TJN61" s="69"/>
      <c r="TJO61" s="69"/>
      <c r="TJP61" s="69"/>
      <c r="TJQ61" s="69"/>
      <c r="TJR61" s="69"/>
      <c r="TJS61" s="69"/>
      <c r="TJT61" s="69"/>
      <c r="TJU61" s="69"/>
      <c r="TJV61" s="69"/>
      <c r="TJW61" s="69"/>
      <c r="TJX61" s="69"/>
      <c r="TJY61" s="69"/>
      <c r="TJZ61" s="69"/>
      <c r="TKA61" s="69"/>
      <c r="TKB61" s="69"/>
      <c r="TKC61" s="69"/>
      <c r="TKD61" s="69"/>
      <c r="TKE61" s="69"/>
      <c r="TKF61" s="69"/>
      <c r="TKG61" s="69"/>
      <c r="TKH61" s="69"/>
      <c r="TKI61" s="69"/>
      <c r="TKJ61" s="69"/>
      <c r="TKK61" s="69"/>
      <c r="TKL61" s="69"/>
      <c r="TKM61" s="69"/>
      <c r="TKN61" s="69"/>
      <c r="TKO61" s="69"/>
      <c r="TKP61" s="69"/>
      <c r="TKQ61" s="69"/>
      <c r="TKR61" s="69"/>
      <c r="TKS61" s="69"/>
      <c r="TKT61" s="69"/>
      <c r="TKU61" s="69"/>
      <c r="TKV61" s="69"/>
      <c r="TKW61" s="69"/>
      <c r="TKX61" s="69"/>
      <c r="TKY61" s="69"/>
      <c r="TKZ61" s="69"/>
      <c r="TLA61" s="69"/>
      <c r="TLB61" s="69"/>
      <c r="TLC61" s="69"/>
      <c r="TLD61" s="69"/>
      <c r="TLE61" s="69"/>
      <c r="TLF61" s="69"/>
      <c r="TLG61" s="69"/>
      <c r="TLH61" s="69"/>
      <c r="TLI61" s="69"/>
      <c r="TLJ61" s="69"/>
      <c r="TLK61" s="69"/>
      <c r="TLL61" s="69"/>
      <c r="TLM61" s="69"/>
      <c r="TLN61" s="69"/>
      <c r="TLO61" s="69"/>
      <c r="TLP61" s="69"/>
      <c r="TLQ61" s="69"/>
      <c r="TLR61" s="69"/>
      <c r="TLS61" s="69"/>
      <c r="TLT61" s="69"/>
      <c r="TLU61" s="69"/>
      <c r="TLV61" s="69"/>
      <c r="TLW61" s="69"/>
      <c r="TLX61" s="69"/>
      <c r="TLY61" s="69"/>
      <c r="TLZ61" s="69"/>
      <c r="TMA61" s="69"/>
      <c r="TMB61" s="69"/>
      <c r="TMC61" s="69"/>
      <c r="TMD61" s="69"/>
      <c r="TME61" s="69"/>
      <c r="TMF61" s="69"/>
      <c r="TMG61" s="69"/>
      <c r="TMH61" s="69"/>
      <c r="TMI61" s="69"/>
      <c r="TMJ61" s="69"/>
      <c r="TMK61" s="69"/>
      <c r="TML61" s="69"/>
      <c r="TMM61" s="69"/>
      <c r="TMN61" s="69"/>
      <c r="TMO61" s="69"/>
      <c r="TMP61" s="69"/>
      <c r="TMQ61" s="69"/>
      <c r="TMR61" s="69"/>
      <c r="TMS61" s="69"/>
      <c r="TMT61" s="69"/>
      <c r="TMU61" s="69"/>
      <c r="TMV61" s="69"/>
      <c r="TMW61" s="69"/>
      <c r="TMX61" s="69"/>
      <c r="TMY61" s="69"/>
      <c r="TMZ61" s="69"/>
      <c r="TNA61" s="69"/>
      <c r="TNB61" s="69"/>
      <c r="TNC61" s="69"/>
      <c r="TND61" s="69"/>
      <c r="TNE61" s="69"/>
      <c r="TNF61" s="69"/>
      <c r="TNG61" s="69"/>
      <c r="TNH61" s="69"/>
      <c r="TNI61" s="69"/>
      <c r="TNJ61" s="69"/>
      <c r="TNK61" s="69"/>
      <c r="TNL61" s="69"/>
      <c r="TNM61" s="69"/>
      <c r="TNN61" s="69"/>
      <c r="TNO61" s="69"/>
      <c r="TNP61" s="69"/>
      <c r="TNQ61" s="69"/>
      <c r="TNR61" s="69"/>
      <c r="TNS61" s="69"/>
      <c r="TNT61" s="69"/>
      <c r="TNU61" s="69"/>
      <c r="TNV61" s="69"/>
      <c r="TNW61" s="69"/>
      <c r="TNX61" s="69"/>
      <c r="TNY61" s="69"/>
      <c r="TNZ61" s="69"/>
      <c r="TOA61" s="69"/>
      <c r="TOB61" s="69"/>
      <c r="TOC61" s="69"/>
      <c r="TOD61" s="69"/>
      <c r="TOE61" s="69"/>
      <c r="TOF61" s="69"/>
      <c r="TOG61" s="69"/>
      <c r="TOH61" s="69"/>
      <c r="TOI61" s="69"/>
      <c r="TOJ61" s="69"/>
      <c r="TOK61" s="69"/>
      <c r="TOL61" s="69"/>
      <c r="TOM61" s="69"/>
      <c r="TON61" s="69"/>
      <c r="TOO61" s="69"/>
      <c r="TOP61" s="69"/>
      <c r="TOQ61" s="69"/>
      <c r="TOR61" s="69"/>
      <c r="TOS61" s="69"/>
      <c r="TOT61" s="69"/>
      <c r="TOU61" s="69"/>
      <c r="TOV61" s="69"/>
      <c r="TOW61" s="69"/>
      <c r="TOX61" s="69"/>
      <c r="TOY61" s="69"/>
      <c r="TOZ61" s="69"/>
      <c r="TPA61" s="69"/>
      <c r="TPB61" s="69"/>
      <c r="TPC61" s="69"/>
      <c r="TPD61" s="69"/>
      <c r="TPE61" s="69"/>
      <c r="TPF61" s="69"/>
      <c r="TPG61" s="69"/>
      <c r="TPH61" s="69"/>
      <c r="TPI61" s="69"/>
      <c r="TPJ61" s="69"/>
      <c r="TPK61" s="69"/>
      <c r="TPL61" s="69"/>
      <c r="TPM61" s="69"/>
      <c r="TPN61" s="69"/>
      <c r="TPO61" s="69"/>
      <c r="TPP61" s="69"/>
      <c r="TPQ61" s="69"/>
      <c r="TPR61" s="69"/>
      <c r="TPS61" s="69"/>
      <c r="TPT61" s="69"/>
      <c r="TPU61" s="69"/>
      <c r="TPV61" s="69"/>
      <c r="TPW61" s="69"/>
      <c r="TPX61" s="69"/>
      <c r="TPY61" s="69"/>
      <c r="TPZ61" s="69"/>
      <c r="TQA61" s="69"/>
      <c r="TQB61" s="69"/>
      <c r="TQC61" s="69"/>
      <c r="TQD61" s="69"/>
      <c r="TQE61" s="69"/>
      <c r="TQF61" s="69"/>
      <c r="TQG61" s="69"/>
      <c r="TQH61" s="69"/>
      <c r="TQI61" s="69"/>
      <c r="TQJ61" s="69"/>
      <c r="TQK61" s="69"/>
      <c r="TQL61" s="69"/>
      <c r="TQM61" s="69"/>
      <c r="TQN61" s="69"/>
      <c r="TQO61" s="69"/>
      <c r="TQP61" s="69"/>
      <c r="TQQ61" s="69"/>
      <c r="TQR61" s="69"/>
      <c r="TQS61" s="69"/>
      <c r="TQT61" s="69"/>
      <c r="TQU61" s="69"/>
      <c r="TQV61" s="69"/>
      <c r="TQW61" s="69"/>
      <c r="TQX61" s="69"/>
      <c r="TQY61" s="69"/>
      <c r="TQZ61" s="69"/>
      <c r="TRA61" s="69"/>
      <c r="TRB61" s="69"/>
      <c r="TRC61" s="69"/>
      <c r="TRD61" s="69"/>
      <c r="TRE61" s="69"/>
      <c r="TRF61" s="69"/>
      <c r="TRG61" s="69"/>
      <c r="TRH61" s="69"/>
      <c r="TRI61" s="69"/>
      <c r="TRJ61" s="69"/>
      <c r="TRK61" s="69"/>
      <c r="TRL61" s="69"/>
      <c r="TRM61" s="69"/>
      <c r="TRN61" s="69"/>
      <c r="TRO61" s="69"/>
      <c r="TRP61" s="69"/>
      <c r="TRQ61" s="69"/>
      <c r="TRR61" s="69"/>
      <c r="TRS61" s="69"/>
      <c r="TRT61" s="69"/>
      <c r="TRU61" s="69"/>
      <c r="TRV61" s="69"/>
      <c r="TRW61" s="69"/>
      <c r="TRX61" s="69"/>
      <c r="TRY61" s="69"/>
      <c r="TRZ61" s="69"/>
      <c r="TSA61" s="69"/>
      <c r="TSB61" s="69"/>
      <c r="TSC61" s="69"/>
      <c r="TSD61" s="69"/>
      <c r="TSE61" s="69"/>
      <c r="TSF61" s="69"/>
      <c r="TSG61" s="69"/>
      <c r="TSH61" s="69"/>
      <c r="TSI61" s="69"/>
      <c r="TSJ61" s="69"/>
      <c r="TSK61" s="69"/>
      <c r="TSL61" s="69"/>
      <c r="TSM61" s="69"/>
      <c r="TSN61" s="69"/>
      <c r="TSO61" s="69"/>
      <c r="TSP61" s="69"/>
      <c r="TSQ61" s="69"/>
      <c r="TSR61" s="69"/>
      <c r="TSS61" s="69"/>
      <c r="TST61" s="69"/>
      <c r="TSU61" s="69"/>
      <c r="TSV61" s="69"/>
      <c r="TSW61" s="69"/>
      <c r="TSX61" s="69"/>
      <c r="TSY61" s="69"/>
      <c r="TSZ61" s="69"/>
      <c r="TTA61" s="69"/>
      <c r="TTB61" s="69"/>
      <c r="TTC61" s="69"/>
      <c r="TTD61" s="69"/>
      <c r="TTE61" s="69"/>
      <c r="TTF61" s="69"/>
      <c r="TTG61" s="69"/>
      <c r="TTH61" s="69"/>
      <c r="TTI61" s="69"/>
      <c r="TTJ61" s="69"/>
      <c r="TTK61" s="69"/>
      <c r="TTL61" s="69"/>
      <c r="TTM61" s="69"/>
      <c r="TTN61" s="69"/>
      <c r="TTO61" s="69"/>
      <c r="TTP61" s="69"/>
      <c r="TTQ61" s="69"/>
      <c r="TTR61" s="69"/>
      <c r="TTS61" s="69"/>
      <c r="TTT61" s="69"/>
      <c r="TTU61" s="69"/>
      <c r="TTV61" s="69"/>
      <c r="TTW61" s="69"/>
      <c r="TTX61" s="69"/>
      <c r="TTY61" s="69"/>
      <c r="TTZ61" s="69"/>
      <c r="TUA61" s="69"/>
      <c r="TUB61" s="69"/>
      <c r="TUC61" s="69"/>
      <c r="TUD61" s="69"/>
      <c r="TUE61" s="69"/>
      <c r="TUF61" s="69"/>
      <c r="TUG61" s="69"/>
      <c r="TUH61" s="69"/>
      <c r="TUI61" s="69"/>
      <c r="TUJ61" s="69"/>
      <c r="TUK61" s="69"/>
      <c r="TUL61" s="69"/>
      <c r="TUM61" s="69"/>
      <c r="TUN61" s="69"/>
      <c r="TUO61" s="69"/>
      <c r="TUP61" s="69"/>
      <c r="TUQ61" s="69"/>
      <c r="TUR61" s="69"/>
      <c r="TUS61" s="69"/>
      <c r="TUT61" s="69"/>
      <c r="TUU61" s="69"/>
      <c r="TUV61" s="69"/>
      <c r="TUW61" s="69"/>
      <c r="TUX61" s="69"/>
      <c r="TUY61" s="69"/>
      <c r="TUZ61" s="69"/>
      <c r="TVA61" s="69"/>
      <c r="TVB61" s="69"/>
      <c r="TVC61" s="69"/>
      <c r="TVD61" s="69"/>
      <c r="TVE61" s="69"/>
      <c r="TVF61" s="69"/>
      <c r="TVG61" s="69"/>
      <c r="TVH61" s="69"/>
      <c r="TVI61" s="69"/>
      <c r="TVJ61" s="69"/>
      <c r="TVK61" s="69"/>
      <c r="TVL61" s="69"/>
      <c r="TVM61" s="69"/>
      <c r="TVN61" s="69"/>
      <c r="TVO61" s="69"/>
      <c r="TVP61" s="69"/>
      <c r="TVQ61" s="69"/>
      <c r="TVR61" s="69"/>
      <c r="TVS61" s="69"/>
      <c r="TVT61" s="69"/>
      <c r="TVU61" s="69"/>
      <c r="TVV61" s="69"/>
      <c r="TVW61" s="69"/>
      <c r="TVX61" s="69"/>
      <c r="TVY61" s="69"/>
      <c r="TVZ61" s="69"/>
      <c r="TWA61" s="69"/>
      <c r="TWB61" s="69"/>
      <c r="TWC61" s="69"/>
      <c r="TWD61" s="69"/>
      <c r="TWE61" s="69"/>
      <c r="TWF61" s="69"/>
      <c r="TWG61" s="69"/>
      <c r="TWH61" s="69"/>
      <c r="TWI61" s="69"/>
      <c r="TWJ61" s="69"/>
      <c r="TWK61" s="69"/>
      <c r="TWL61" s="69"/>
      <c r="TWM61" s="69"/>
      <c r="TWN61" s="69"/>
      <c r="TWO61" s="69"/>
      <c r="TWP61" s="69"/>
      <c r="TWQ61" s="69"/>
      <c r="TWR61" s="69"/>
      <c r="TWS61" s="69"/>
      <c r="TWT61" s="69"/>
      <c r="TWU61" s="69"/>
      <c r="TWV61" s="69"/>
      <c r="TWW61" s="69"/>
      <c r="TWX61" s="69"/>
      <c r="TWY61" s="69"/>
      <c r="TWZ61" s="69"/>
      <c r="TXA61" s="69"/>
      <c r="TXB61" s="69"/>
      <c r="TXC61" s="69"/>
      <c r="TXD61" s="69"/>
      <c r="TXE61" s="69"/>
      <c r="TXF61" s="69"/>
      <c r="TXG61" s="69"/>
      <c r="TXH61" s="69"/>
      <c r="TXI61" s="69"/>
      <c r="TXJ61" s="69"/>
      <c r="TXK61" s="69"/>
      <c r="TXL61" s="69"/>
      <c r="TXM61" s="69"/>
      <c r="TXN61" s="69"/>
      <c r="TXO61" s="69"/>
      <c r="TXP61" s="69"/>
      <c r="TXQ61" s="69"/>
      <c r="TXR61" s="69"/>
      <c r="TXS61" s="69"/>
      <c r="TXT61" s="69"/>
      <c r="TXU61" s="69"/>
      <c r="TXV61" s="69"/>
      <c r="TXW61" s="69"/>
      <c r="TXX61" s="69"/>
      <c r="TXY61" s="69"/>
      <c r="TXZ61" s="69"/>
      <c r="TYA61" s="69"/>
      <c r="TYB61" s="69"/>
      <c r="TYC61" s="69"/>
      <c r="TYD61" s="69"/>
      <c r="TYE61" s="69"/>
      <c r="TYF61" s="69"/>
      <c r="TYG61" s="69"/>
      <c r="TYH61" s="69"/>
      <c r="TYI61" s="69"/>
      <c r="TYJ61" s="69"/>
      <c r="TYK61" s="69"/>
      <c r="TYL61" s="69"/>
      <c r="TYM61" s="69"/>
      <c r="TYN61" s="69"/>
      <c r="TYO61" s="69"/>
      <c r="TYP61" s="69"/>
      <c r="TYQ61" s="69"/>
      <c r="TYR61" s="69"/>
      <c r="TYS61" s="69"/>
      <c r="TYT61" s="69"/>
      <c r="TYU61" s="69"/>
      <c r="TYV61" s="69"/>
      <c r="TYW61" s="69"/>
      <c r="TYX61" s="69"/>
      <c r="TYY61" s="69"/>
      <c r="TYZ61" s="69"/>
      <c r="TZA61" s="69"/>
      <c r="TZB61" s="69"/>
      <c r="TZC61" s="69"/>
      <c r="TZD61" s="69"/>
      <c r="TZE61" s="69"/>
      <c r="TZF61" s="69"/>
      <c r="TZG61" s="69"/>
      <c r="TZH61" s="69"/>
      <c r="TZI61" s="69"/>
      <c r="TZJ61" s="69"/>
      <c r="TZK61" s="69"/>
      <c r="TZL61" s="69"/>
      <c r="TZM61" s="69"/>
      <c r="TZN61" s="69"/>
      <c r="TZO61" s="69"/>
      <c r="TZP61" s="69"/>
      <c r="TZQ61" s="69"/>
      <c r="TZR61" s="69"/>
      <c r="TZS61" s="69"/>
      <c r="TZT61" s="69"/>
      <c r="TZU61" s="69"/>
      <c r="TZV61" s="69"/>
      <c r="TZW61" s="69"/>
      <c r="TZX61" s="69"/>
      <c r="TZY61" s="69"/>
      <c r="TZZ61" s="69"/>
      <c r="UAA61" s="69"/>
      <c r="UAB61" s="69"/>
      <c r="UAC61" s="69"/>
      <c r="UAD61" s="69"/>
      <c r="UAE61" s="69"/>
      <c r="UAF61" s="69"/>
      <c r="UAG61" s="69"/>
      <c r="UAH61" s="69"/>
      <c r="UAI61" s="69"/>
      <c r="UAJ61" s="69"/>
      <c r="UAK61" s="69"/>
      <c r="UAL61" s="69"/>
      <c r="UAM61" s="69"/>
      <c r="UAN61" s="69"/>
      <c r="UAO61" s="69"/>
      <c r="UAP61" s="69"/>
      <c r="UAQ61" s="69"/>
      <c r="UAR61" s="69"/>
      <c r="UAS61" s="69"/>
      <c r="UAT61" s="69"/>
      <c r="UAU61" s="69"/>
      <c r="UAV61" s="69"/>
      <c r="UAW61" s="69"/>
      <c r="UAX61" s="69"/>
      <c r="UAY61" s="69"/>
      <c r="UAZ61" s="69"/>
      <c r="UBA61" s="69"/>
      <c r="UBB61" s="69"/>
      <c r="UBC61" s="69"/>
      <c r="UBD61" s="69"/>
      <c r="UBE61" s="69"/>
      <c r="UBF61" s="69"/>
      <c r="UBG61" s="69"/>
      <c r="UBH61" s="69"/>
      <c r="UBI61" s="69"/>
      <c r="UBJ61" s="69"/>
      <c r="UBK61" s="69"/>
      <c r="UBL61" s="69"/>
      <c r="UBM61" s="69"/>
      <c r="UBN61" s="69"/>
      <c r="UBO61" s="69"/>
      <c r="UBP61" s="69"/>
      <c r="UBQ61" s="69"/>
      <c r="UBR61" s="69"/>
      <c r="UBS61" s="69"/>
      <c r="UBT61" s="69"/>
      <c r="UBU61" s="69"/>
      <c r="UBV61" s="69"/>
      <c r="UBW61" s="69"/>
      <c r="UBX61" s="69"/>
      <c r="UBY61" s="69"/>
      <c r="UBZ61" s="69"/>
      <c r="UCA61" s="69"/>
      <c r="UCB61" s="69"/>
      <c r="UCC61" s="69"/>
      <c r="UCD61" s="69"/>
      <c r="UCE61" s="69"/>
      <c r="UCF61" s="69"/>
      <c r="UCG61" s="69"/>
      <c r="UCH61" s="69"/>
      <c r="UCI61" s="69"/>
      <c r="UCJ61" s="69"/>
      <c r="UCK61" s="69"/>
      <c r="UCL61" s="69"/>
      <c r="UCM61" s="69"/>
      <c r="UCN61" s="69"/>
      <c r="UCO61" s="69"/>
      <c r="UCP61" s="69"/>
      <c r="UCQ61" s="69"/>
      <c r="UCR61" s="69"/>
      <c r="UCS61" s="69"/>
      <c r="UCT61" s="69"/>
      <c r="UCU61" s="69"/>
      <c r="UCV61" s="69"/>
      <c r="UCW61" s="69"/>
      <c r="UCX61" s="69"/>
      <c r="UCY61" s="69"/>
      <c r="UCZ61" s="69"/>
      <c r="UDA61" s="69"/>
      <c r="UDB61" s="69"/>
      <c r="UDC61" s="69"/>
      <c r="UDD61" s="69"/>
      <c r="UDE61" s="69"/>
      <c r="UDF61" s="69"/>
      <c r="UDG61" s="69"/>
      <c r="UDH61" s="69"/>
      <c r="UDI61" s="69"/>
      <c r="UDJ61" s="69"/>
      <c r="UDK61" s="69"/>
      <c r="UDL61" s="69"/>
      <c r="UDM61" s="69"/>
      <c r="UDN61" s="69"/>
      <c r="UDO61" s="69"/>
      <c r="UDP61" s="69"/>
      <c r="UDQ61" s="69"/>
      <c r="UDR61" s="69"/>
      <c r="UDS61" s="69"/>
      <c r="UDT61" s="69"/>
      <c r="UDU61" s="69"/>
      <c r="UDV61" s="69"/>
      <c r="UDW61" s="69"/>
      <c r="UDX61" s="69"/>
      <c r="UDY61" s="69"/>
      <c r="UDZ61" s="69"/>
      <c r="UEA61" s="69"/>
      <c r="UEB61" s="69"/>
      <c r="UEC61" s="69"/>
      <c r="UED61" s="69"/>
      <c r="UEE61" s="69"/>
      <c r="UEF61" s="69"/>
      <c r="UEG61" s="69"/>
      <c r="UEH61" s="69"/>
      <c r="UEI61" s="69"/>
      <c r="UEJ61" s="69"/>
      <c r="UEK61" s="69"/>
      <c r="UEL61" s="69"/>
      <c r="UEM61" s="69"/>
      <c r="UEN61" s="69"/>
      <c r="UEO61" s="69"/>
      <c r="UEP61" s="69"/>
      <c r="UEQ61" s="69"/>
      <c r="UER61" s="69"/>
      <c r="UES61" s="69"/>
      <c r="UET61" s="69"/>
      <c r="UEU61" s="69"/>
      <c r="UEV61" s="69"/>
      <c r="UEW61" s="69"/>
      <c r="UEX61" s="69"/>
      <c r="UEY61" s="69"/>
      <c r="UEZ61" s="69"/>
      <c r="UFA61" s="69"/>
      <c r="UFB61" s="69"/>
      <c r="UFC61" s="69"/>
      <c r="UFD61" s="69"/>
      <c r="UFE61" s="69"/>
      <c r="UFF61" s="69"/>
      <c r="UFG61" s="69"/>
      <c r="UFH61" s="69"/>
      <c r="UFI61" s="69"/>
      <c r="UFJ61" s="69"/>
      <c r="UFK61" s="69"/>
      <c r="UFL61" s="69"/>
      <c r="UFM61" s="69"/>
      <c r="UFN61" s="69"/>
      <c r="UFO61" s="69"/>
      <c r="UFP61" s="69"/>
      <c r="UFQ61" s="69"/>
      <c r="UFR61" s="69"/>
      <c r="UFS61" s="69"/>
      <c r="UFT61" s="69"/>
      <c r="UFU61" s="69"/>
      <c r="UFV61" s="69"/>
      <c r="UFW61" s="69"/>
      <c r="UFX61" s="69"/>
      <c r="UFY61" s="69"/>
      <c r="UFZ61" s="69"/>
      <c r="UGA61" s="69"/>
      <c r="UGB61" s="69"/>
      <c r="UGC61" s="69"/>
      <c r="UGD61" s="69"/>
      <c r="UGE61" s="69"/>
      <c r="UGF61" s="69"/>
      <c r="UGG61" s="69"/>
      <c r="UGH61" s="69"/>
      <c r="UGI61" s="69"/>
      <c r="UGJ61" s="69"/>
      <c r="UGK61" s="69"/>
      <c r="UGL61" s="69"/>
      <c r="UGM61" s="69"/>
      <c r="UGN61" s="69"/>
      <c r="UGO61" s="69"/>
      <c r="UGP61" s="69"/>
      <c r="UGQ61" s="69"/>
      <c r="UGR61" s="69"/>
      <c r="UGS61" s="69"/>
      <c r="UGT61" s="69"/>
      <c r="UGU61" s="69"/>
      <c r="UGV61" s="69"/>
      <c r="UGW61" s="69"/>
      <c r="UGX61" s="69"/>
      <c r="UGY61" s="69"/>
      <c r="UGZ61" s="69"/>
      <c r="UHA61" s="69"/>
      <c r="UHB61" s="69"/>
      <c r="UHC61" s="69"/>
      <c r="UHD61" s="69"/>
      <c r="UHE61" s="69"/>
      <c r="UHF61" s="69"/>
      <c r="UHG61" s="69"/>
      <c r="UHH61" s="69"/>
      <c r="UHI61" s="69"/>
      <c r="UHJ61" s="69"/>
      <c r="UHK61" s="69"/>
      <c r="UHL61" s="69"/>
      <c r="UHM61" s="69"/>
      <c r="UHN61" s="69"/>
      <c r="UHO61" s="69"/>
      <c r="UHP61" s="69"/>
      <c r="UHQ61" s="69"/>
      <c r="UHR61" s="69"/>
      <c r="UHS61" s="69"/>
      <c r="UHT61" s="69"/>
      <c r="UHU61" s="69"/>
      <c r="UHV61" s="69"/>
      <c r="UHW61" s="69"/>
      <c r="UHX61" s="69"/>
      <c r="UHY61" s="69"/>
      <c r="UHZ61" s="69"/>
      <c r="UIA61" s="69"/>
      <c r="UIB61" s="69"/>
      <c r="UIC61" s="69"/>
      <c r="UID61" s="69"/>
      <c r="UIE61" s="69"/>
      <c r="UIF61" s="69"/>
      <c r="UIG61" s="69"/>
      <c r="UIH61" s="69"/>
      <c r="UII61" s="69"/>
      <c r="UIJ61" s="69"/>
      <c r="UIK61" s="69"/>
      <c r="UIL61" s="69"/>
      <c r="UIM61" s="69"/>
      <c r="UIN61" s="69"/>
      <c r="UIO61" s="69"/>
      <c r="UIP61" s="69"/>
      <c r="UIQ61" s="69"/>
      <c r="UIR61" s="69"/>
      <c r="UIS61" s="69"/>
      <c r="UIT61" s="69"/>
      <c r="UIU61" s="69"/>
      <c r="UIV61" s="69"/>
      <c r="UIW61" s="69"/>
      <c r="UIX61" s="69"/>
      <c r="UIY61" s="69"/>
      <c r="UIZ61" s="69"/>
      <c r="UJA61" s="69"/>
      <c r="UJB61" s="69"/>
      <c r="UJC61" s="69"/>
      <c r="UJD61" s="69"/>
      <c r="UJE61" s="69"/>
      <c r="UJF61" s="69"/>
      <c r="UJG61" s="69"/>
      <c r="UJH61" s="69"/>
      <c r="UJI61" s="69"/>
      <c r="UJJ61" s="69"/>
      <c r="UJK61" s="69"/>
      <c r="UJL61" s="69"/>
      <c r="UJM61" s="69"/>
      <c r="UJN61" s="69"/>
      <c r="UJO61" s="69"/>
      <c r="UJP61" s="69"/>
      <c r="UJQ61" s="69"/>
      <c r="UJR61" s="69"/>
      <c r="UJS61" s="69"/>
      <c r="UJT61" s="69"/>
      <c r="UJU61" s="69"/>
      <c r="UJV61" s="69"/>
      <c r="UJW61" s="69"/>
      <c r="UJX61" s="69"/>
      <c r="UJY61" s="69"/>
      <c r="UJZ61" s="69"/>
      <c r="UKA61" s="69"/>
      <c r="UKB61" s="69"/>
      <c r="UKC61" s="69"/>
      <c r="UKD61" s="69"/>
      <c r="UKE61" s="69"/>
      <c r="UKF61" s="69"/>
      <c r="UKG61" s="69"/>
      <c r="UKH61" s="69"/>
      <c r="UKI61" s="69"/>
      <c r="UKJ61" s="69"/>
      <c r="UKK61" s="69"/>
      <c r="UKL61" s="69"/>
      <c r="UKM61" s="69"/>
      <c r="UKN61" s="69"/>
      <c r="UKO61" s="69"/>
      <c r="UKP61" s="69"/>
      <c r="UKQ61" s="69"/>
      <c r="UKR61" s="69"/>
      <c r="UKS61" s="69"/>
      <c r="UKT61" s="69"/>
      <c r="UKU61" s="69"/>
      <c r="UKV61" s="69"/>
      <c r="UKW61" s="69"/>
      <c r="UKX61" s="69"/>
      <c r="UKY61" s="69"/>
      <c r="UKZ61" s="69"/>
      <c r="ULA61" s="69"/>
      <c r="ULB61" s="69"/>
      <c r="ULC61" s="69"/>
      <c r="ULD61" s="69"/>
      <c r="ULE61" s="69"/>
      <c r="ULF61" s="69"/>
      <c r="ULG61" s="69"/>
      <c r="ULH61" s="69"/>
      <c r="ULI61" s="69"/>
      <c r="ULJ61" s="69"/>
      <c r="ULK61" s="69"/>
      <c r="ULL61" s="69"/>
      <c r="ULM61" s="69"/>
      <c r="ULN61" s="69"/>
      <c r="ULO61" s="69"/>
      <c r="ULP61" s="69"/>
      <c r="ULQ61" s="69"/>
      <c r="ULR61" s="69"/>
      <c r="ULS61" s="69"/>
      <c r="ULT61" s="69"/>
      <c r="ULU61" s="69"/>
      <c r="ULV61" s="69"/>
      <c r="ULW61" s="69"/>
      <c r="ULX61" s="69"/>
      <c r="ULY61" s="69"/>
      <c r="ULZ61" s="69"/>
      <c r="UMA61" s="69"/>
      <c r="UMB61" s="69"/>
      <c r="UMC61" s="69"/>
      <c r="UMD61" s="69"/>
      <c r="UME61" s="69"/>
      <c r="UMF61" s="69"/>
      <c r="UMG61" s="69"/>
      <c r="UMH61" s="69"/>
      <c r="UMI61" s="69"/>
      <c r="UMJ61" s="69"/>
      <c r="UMK61" s="69"/>
      <c r="UML61" s="69"/>
      <c r="UMM61" s="69"/>
      <c r="UMN61" s="69"/>
      <c r="UMO61" s="69"/>
      <c r="UMP61" s="69"/>
      <c r="UMQ61" s="69"/>
      <c r="UMR61" s="69"/>
      <c r="UMS61" s="69"/>
      <c r="UMT61" s="69"/>
      <c r="UMU61" s="69"/>
      <c r="UMV61" s="69"/>
      <c r="UMW61" s="69"/>
      <c r="UMX61" s="69"/>
      <c r="UMY61" s="69"/>
      <c r="UMZ61" s="69"/>
      <c r="UNA61" s="69"/>
      <c r="UNB61" s="69"/>
      <c r="UNC61" s="69"/>
      <c r="UND61" s="69"/>
      <c r="UNE61" s="69"/>
      <c r="UNF61" s="69"/>
      <c r="UNG61" s="69"/>
      <c r="UNH61" s="69"/>
      <c r="UNI61" s="69"/>
      <c r="UNJ61" s="69"/>
      <c r="UNK61" s="69"/>
      <c r="UNL61" s="69"/>
      <c r="UNM61" s="69"/>
      <c r="UNN61" s="69"/>
      <c r="UNO61" s="69"/>
      <c r="UNP61" s="69"/>
      <c r="UNQ61" s="69"/>
      <c r="UNR61" s="69"/>
      <c r="UNS61" s="69"/>
      <c r="UNT61" s="69"/>
      <c r="UNU61" s="69"/>
      <c r="UNV61" s="69"/>
      <c r="UNW61" s="69"/>
      <c r="UNX61" s="69"/>
      <c r="UNY61" s="69"/>
      <c r="UNZ61" s="69"/>
      <c r="UOA61" s="69"/>
      <c r="UOB61" s="69"/>
      <c r="UOC61" s="69"/>
      <c r="UOD61" s="69"/>
      <c r="UOE61" s="69"/>
      <c r="UOF61" s="69"/>
      <c r="UOG61" s="69"/>
      <c r="UOH61" s="69"/>
      <c r="UOI61" s="69"/>
      <c r="UOJ61" s="69"/>
      <c r="UOK61" s="69"/>
      <c r="UOL61" s="69"/>
      <c r="UOM61" s="69"/>
      <c r="UON61" s="69"/>
      <c r="UOO61" s="69"/>
      <c r="UOP61" s="69"/>
      <c r="UOQ61" s="69"/>
      <c r="UOR61" s="69"/>
      <c r="UOS61" s="69"/>
      <c r="UOT61" s="69"/>
      <c r="UOU61" s="69"/>
      <c r="UOV61" s="69"/>
      <c r="UOW61" s="69"/>
      <c r="UOX61" s="69"/>
      <c r="UOY61" s="69"/>
      <c r="UOZ61" s="69"/>
      <c r="UPA61" s="69"/>
      <c r="UPB61" s="69"/>
      <c r="UPC61" s="69"/>
      <c r="UPD61" s="69"/>
      <c r="UPE61" s="69"/>
      <c r="UPF61" s="69"/>
      <c r="UPG61" s="69"/>
      <c r="UPH61" s="69"/>
      <c r="UPI61" s="69"/>
      <c r="UPJ61" s="69"/>
      <c r="UPK61" s="69"/>
      <c r="UPL61" s="69"/>
      <c r="UPM61" s="69"/>
      <c r="UPN61" s="69"/>
      <c r="UPO61" s="69"/>
      <c r="UPP61" s="69"/>
      <c r="UPQ61" s="69"/>
      <c r="UPR61" s="69"/>
      <c r="UPS61" s="69"/>
      <c r="UPT61" s="69"/>
      <c r="UPU61" s="69"/>
      <c r="UPV61" s="69"/>
      <c r="UPW61" s="69"/>
      <c r="UPX61" s="69"/>
      <c r="UPY61" s="69"/>
      <c r="UPZ61" s="69"/>
      <c r="UQA61" s="69"/>
      <c r="UQB61" s="69"/>
      <c r="UQC61" s="69"/>
      <c r="UQD61" s="69"/>
      <c r="UQE61" s="69"/>
      <c r="UQF61" s="69"/>
      <c r="UQG61" s="69"/>
      <c r="UQH61" s="69"/>
      <c r="UQI61" s="69"/>
      <c r="UQJ61" s="69"/>
      <c r="UQK61" s="69"/>
      <c r="UQL61" s="69"/>
      <c r="UQM61" s="69"/>
      <c r="UQN61" s="69"/>
      <c r="UQO61" s="69"/>
      <c r="UQP61" s="69"/>
      <c r="UQQ61" s="69"/>
      <c r="UQR61" s="69"/>
      <c r="UQS61" s="69"/>
      <c r="UQT61" s="69"/>
      <c r="UQU61" s="69"/>
      <c r="UQV61" s="69"/>
      <c r="UQW61" s="69"/>
      <c r="UQX61" s="69"/>
      <c r="UQY61" s="69"/>
      <c r="UQZ61" s="69"/>
      <c r="URA61" s="69"/>
      <c r="URB61" s="69"/>
      <c r="URC61" s="69"/>
      <c r="URD61" s="69"/>
      <c r="URE61" s="69"/>
      <c r="URF61" s="69"/>
      <c r="URG61" s="69"/>
      <c r="URH61" s="69"/>
      <c r="URI61" s="69"/>
      <c r="URJ61" s="69"/>
      <c r="URK61" s="69"/>
      <c r="URL61" s="69"/>
      <c r="URM61" s="69"/>
      <c r="URN61" s="69"/>
      <c r="URO61" s="69"/>
      <c r="URP61" s="69"/>
      <c r="URQ61" s="69"/>
      <c r="URR61" s="69"/>
      <c r="URS61" s="69"/>
      <c r="URT61" s="69"/>
      <c r="URU61" s="69"/>
      <c r="URV61" s="69"/>
      <c r="URW61" s="69"/>
      <c r="URX61" s="69"/>
      <c r="URY61" s="69"/>
      <c r="URZ61" s="69"/>
      <c r="USA61" s="69"/>
      <c r="USB61" s="69"/>
      <c r="USC61" s="69"/>
      <c r="USD61" s="69"/>
      <c r="USE61" s="69"/>
      <c r="USF61" s="69"/>
      <c r="USG61" s="69"/>
      <c r="USH61" s="69"/>
      <c r="USI61" s="69"/>
      <c r="USJ61" s="69"/>
      <c r="USK61" s="69"/>
      <c r="USL61" s="69"/>
      <c r="USM61" s="69"/>
      <c r="USN61" s="69"/>
      <c r="USO61" s="69"/>
      <c r="USP61" s="69"/>
      <c r="USQ61" s="69"/>
      <c r="USR61" s="69"/>
      <c r="USS61" s="69"/>
      <c r="UST61" s="69"/>
      <c r="USU61" s="69"/>
      <c r="USV61" s="69"/>
      <c r="USW61" s="69"/>
      <c r="USX61" s="69"/>
      <c r="USY61" s="69"/>
      <c r="USZ61" s="69"/>
      <c r="UTA61" s="69"/>
      <c r="UTB61" s="69"/>
      <c r="UTC61" s="69"/>
      <c r="UTD61" s="69"/>
      <c r="UTE61" s="69"/>
      <c r="UTF61" s="69"/>
      <c r="UTG61" s="69"/>
      <c r="UTH61" s="69"/>
      <c r="UTI61" s="69"/>
      <c r="UTJ61" s="69"/>
      <c r="UTK61" s="69"/>
      <c r="UTL61" s="69"/>
      <c r="UTM61" s="69"/>
      <c r="UTN61" s="69"/>
      <c r="UTO61" s="69"/>
      <c r="UTP61" s="69"/>
      <c r="UTQ61" s="69"/>
      <c r="UTR61" s="69"/>
      <c r="UTS61" s="69"/>
      <c r="UTT61" s="69"/>
      <c r="UTU61" s="69"/>
      <c r="UTV61" s="69"/>
      <c r="UTW61" s="69"/>
      <c r="UTX61" s="69"/>
      <c r="UTY61" s="69"/>
      <c r="UTZ61" s="69"/>
      <c r="UUA61" s="69"/>
      <c r="UUB61" s="69"/>
      <c r="UUC61" s="69"/>
      <c r="UUD61" s="69"/>
      <c r="UUE61" s="69"/>
      <c r="UUF61" s="69"/>
      <c r="UUG61" s="69"/>
      <c r="UUH61" s="69"/>
      <c r="UUI61" s="69"/>
      <c r="UUJ61" s="69"/>
      <c r="UUK61" s="69"/>
      <c r="UUL61" s="69"/>
      <c r="UUM61" s="69"/>
      <c r="UUN61" s="69"/>
      <c r="UUO61" s="69"/>
      <c r="UUP61" s="69"/>
      <c r="UUQ61" s="69"/>
      <c r="UUR61" s="69"/>
      <c r="UUS61" s="69"/>
      <c r="UUT61" s="69"/>
      <c r="UUU61" s="69"/>
      <c r="UUV61" s="69"/>
      <c r="UUW61" s="69"/>
      <c r="UUX61" s="69"/>
      <c r="UUY61" s="69"/>
      <c r="UUZ61" s="69"/>
      <c r="UVA61" s="69"/>
      <c r="UVB61" s="69"/>
      <c r="UVC61" s="69"/>
      <c r="UVD61" s="69"/>
      <c r="UVE61" s="69"/>
      <c r="UVF61" s="69"/>
      <c r="UVG61" s="69"/>
      <c r="UVH61" s="69"/>
      <c r="UVI61" s="69"/>
      <c r="UVJ61" s="69"/>
      <c r="UVK61" s="69"/>
      <c r="UVL61" s="69"/>
      <c r="UVM61" s="69"/>
      <c r="UVN61" s="69"/>
      <c r="UVO61" s="69"/>
      <c r="UVP61" s="69"/>
      <c r="UVQ61" s="69"/>
      <c r="UVR61" s="69"/>
      <c r="UVS61" s="69"/>
      <c r="UVT61" s="69"/>
      <c r="UVU61" s="69"/>
      <c r="UVV61" s="69"/>
      <c r="UVW61" s="69"/>
      <c r="UVX61" s="69"/>
      <c r="UVY61" s="69"/>
      <c r="UVZ61" s="69"/>
      <c r="UWA61" s="69"/>
      <c r="UWB61" s="69"/>
      <c r="UWC61" s="69"/>
      <c r="UWD61" s="69"/>
      <c r="UWE61" s="69"/>
      <c r="UWF61" s="69"/>
      <c r="UWG61" s="69"/>
      <c r="UWH61" s="69"/>
      <c r="UWI61" s="69"/>
      <c r="UWJ61" s="69"/>
      <c r="UWK61" s="69"/>
      <c r="UWL61" s="69"/>
      <c r="UWM61" s="69"/>
      <c r="UWN61" s="69"/>
      <c r="UWO61" s="69"/>
      <c r="UWP61" s="69"/>
      <c r="UWQ61" s="69"/>
      <c r="UWR61" s="69"/>
      <c r="UWS61" s="69"/>
      <c r="UWT61" s="69"/>
      <c r="UWU61" s="69"/>
      <c r="UWV61" s="69"/>
      <c r="UWW61" s="69"/>
      <c r="UWX61" s="69"/>
      <c r="UWY61" s="69"/>
      <c r="UWZ61" s="69"/>
      <c r="UXA61" s="69"/>
      <c r="UXB61" s="69"/>
      <c r="UXC61" s="69"/>
      <c r="UXD61" s="69"/>
      <c r="UXE61" s="69"/>
      <c r="UXF61" s="69"/>
      <c r="UXG61" s="69"/>
      <c r="UXH61" s="69"/>
      <c r="UXI61" s="69"/>
      <c r="UXJ61" s="69"/>
      <c r="UXK61" s="69"/>
      <c r="UXL61" s="69"/>
      <c r="UXM61" s="69"/>
      <c r="UXN61" s="69"/>
      <c r="UXO61" s="69"/>
      <c r="UXP61" s="69"/>
      <c r="UXQ61" s="69"/>
      <c r="UXR61" s="69"/>
      <c r="UXS61" s="69"/>
      <c r="UXT61" s="69"/>
      <c r="UXU61" s="69"/>
      <c r="UXV61" s="69"/>
      <c r="UXW61" s="69"/>
      <c r="UXX61" s="69"/>
      <c r="UXY61" s="69"/>
      <c r="UXZ61" s="69"/>
      <c r="UYA61" s="69"/>
      <c r="UYB61" s="69"/>
      <c r="UYC61" s="69"/>
      <c r="UYD61" s="69"/>
      <c r="UYE61" s="69"/>
      <c r="UYF61" s="69"/>
      <c r="UYG61" s="69"/>
      <c r="UYH61" s="69"/>
      <c r="UYI61" s="69"/>
      <c r="UYJ61" s="69"/>
      <c r="UYK61" s="69"/>
      <c r="UYL61" s="69"/>
      <c r="UYM61" s="69"/>
      <c r="UYN61" s="69"/>
      <c r="UYO61" s="69"/>
      <c r="UYP61" s="69"/>
      <c r="UYQ61" s="69"/>
      <c r="UYR61" s="69"/>
      <c r="UYS61" s="69"/>
      <c r="UYT61" s="69"/>
      <c r="UYU61" s="69"/>
      <c r="UYV61" s="69"/>
      <c r="UYW61" s="69"/>
      <c r="UYX61" s="69"/>
      <c r="UYY61" s="69"/>
      <c r="UYZ61" s="69"/>
      <c r="UZA61" s="69"/>
      <c r="UZB61" s="69"/>
      <c r="UZC61" s="69"/>
      <c r="UZD61" s="69"/>
      <c r="UZE61" s="69"/>
      <c r="UZF61" s="69"/>
      <c r="UZG61" s="69"/>
      <c r="UZH61" s="69"/>
      <c r="UZI61" s="69"/>
      <c r="UZJ61" s="69"/>
      <c r="UZK61" s="69"/>
      <c r="UZL61" s="69"/>
      <c r="UZM61" s="69"/>
      <c r="UZN61" s="69"/>
      <c r="UZO61" s="69"/>
      <c r="UZP61" s="69"/>
      <c r="UZQ61" s="69"/>
      <c r="UZR61" s="69"/>
      <c r="UZS61" s="69"/>
      <c r="UZT61" s="69"/>
      <c r="UZU61" s="69"/>
      <c r="UZV61" s="69"/>
      <c r="UZW61" s="69"/>
      <c r="UZX61" s="69"/>
      <c r="UZY61" s="69"/>
      <c r="UZZ61" s="69"/>
      <c r="VAA61" s="69"/>
      <c r="VAB61" s="69"/>
      <c r="VAC61" s="69"/>
      <c r="VAD61" s="69"/>
      <c r="VAE61" s="69"/>
      <c r="VAF61" s="69"/>
      <c r="VAG61" s="69"/>
      <c r="VAH61" s="69"/>
      <c r="VAI61" s="69"/>
      <c r="VAJ61" s="69"/>
      <c r="VAK61" s="69"/>
      <c r="VAL61" s="69"/>
      <c r="VAM61" s="69"/>
      <c r="VAN61" s="69"/>
      <c r="VAO61" s="69"/>
      <c r="VAP61" s="69"/>
      <c r="VAQ61" s="69"/>
      <c r="VAR61" s="69"/>
      <c r="VAS61" s="69"/>
      <c r="VAT61" s="69"/>
      <c r="VAU61" s="69"/>
      <c r="VAV61" s="69"/>
      <c r="VAW61" s="69"/>
      <c r="VAX61" s="69"/>
      <c r="VAY61" s="69"/>
      <c r="VAZ61" s="69"/>
      <c r="VBA61" s="69"/>
      <c r="VBB61" s="69"/>
      <c r="VBC61" s="69"/>
      <c r="VBD61" s="69"/>
      <c r="VBE61" s="69"/>
      <c r="VBF61" s="69"/>
      <c r="VBG61" s="69"/>
      <c r="VBH61" s="69"/>
      <c r="VBI61" s="69"/>
      <c r="VBJ61" s="69"/>
      <c r="VBK61" s="69"/>
      <c r="VBL61" s="69"/>
      <c r="VBM61" s="69"/>
      <c r="VBN61" s="69"/>
      <c r="VBO61" s="69"/>
      <c r="VBP61" s="69"/>
      <c r="VBQ61" s="69"/>
      <c r="VBR61" s="69"/>
      <c r="VBS61" s="69"/>
      <c r="VBT61" s="69"/>
      <c r="VBU61" s="69"/>
      <c r="VBV61" s="69"/>
      <c r="VBW61" s="69"/>
      <c r="VBX61" s="69"/>
      <c r="VBY61" s="69"/>
      <c r="VBZ61" s="69"/>
      <c r="VCA61" s="69"/>
      <c r="VCB61" s="69"/>
      <c r="VCC61" s="69"/>
      <c r="VCD61" s="69"/>
      <c r="VCE61" s="69"/>
      <c r="VCF61" s="69"/>
      <c r="VCG61" s="69"/>
      <c r="VCH61" s="69"/>
      <c r="VCI61" s="69"/>
      <c r="VCJ61" s="69"/>
      <c r="VCK61" s="69"/>
      <c r="VCL61" s="69"/>
      <c r="VCM61" s="69"/>
      <c r="VCN61" s="69"/>
      <c r="VCO61" s="69"/>
      <c r="VCP61" s="69"/>
      <c r="VCQ61" s="69"/>
      <c r="VCR61" s="69"/>
      <c r="VCS61" s="69"/>
      <c r="VCT61" s="69"/>
      <c r="VCU61" s="69"/>
      <c r="VCV61" s="69"/>
      <c r="VCW61" s="69"/>
      <c r="VCX61" s="69"/>
      <c r="VCY61" s="69"/>
      <c r="VCZ61" s="69"/>
      <c r="VDA61" s="69"/>
      <c r="VDB61" s="69"/>
      <c r="VDC61" s="69"/>
      <c r="VDD61" s="69"/>
      <c r="VDE61" s="69"/>
      <c r="VDF61" s="69"/>
      <c r="VDG61" s="69"/>
      <c r="VDH61" s="69"/>
      <c r="VDI61" s="69"/>
      <c r="VDJ61" s="69"/>
      <c r="VDK61" s="69"/>
      <c r="VDL61" s="69"/>
      <c r="VDM61" s="69"/>
      <c r="VDN61" s="69"/>
      <c r="VDO61" s="69"/>
      <c r="VDP61" s="69"/>
      <c r="VDQ61" s="69"/>
      <c r="VDR61" s="69"/>
      <c r="VDS61" s="69"/>
      <c r="VDT61" s="69"/>
      <c r="VDU61" s="69"/>
      <c r="VDV61" s="69"/>
      <c r="VDW61" s="69"/>
      <c r="VDX61" s="69"/>
      <c r="VDY61" s="69"/>
      <c r="VDZ61" s="69"/>
      <c r="VEA61" s="69"/>
      <c r="VEB61" s="69"/>
      <c r="VEC61" s="69"/>
      <c r="VED61" s="69"/>
      <c r="VEE61" s="69"/>
      <c r="VEF61" s="69"/>
      <c r="VEG61" s="69"/>
      <c r="VEH61" s="69"/>
      <c r="VEI61" s="69"/>
      <c r="VEJ61" s="69"/>
      <c r="VEK61" s="69"/>
      <c r="VEL61" s="69"/>
      <c r="VEM61" s="69"/>
      <c r="VEN61" s="69"/>
      <c r="VEO61" s="69"/>
      <c r="VEP61" s="69"/>
      <c r="VEQ61" s="69"/>
      <c r="VER61" s="69"/>
      <c r="VES61" s="69"/>
      <c r="VET61" s="69"/>
      <c r="VEU61" s="69"/>
      <c r="VEV61" s="69"/>
      <c r="VEW61" s="69"/>
      <c r="VEX61" s="69"/>
      <c r="VEY61" s="69"/>
      <c r="VEZ61" s="69"/>
      <c r="VFA61" s="69"/>
      <c r="VFB61" s="69"/>
      <c r="VFC61" s="69"/>
      <c r="VFD61" s="69"/>
      <c r="VFE61" s="69"/>
      <c r="VFF61" s="69"/>
      <c r="VFG61" s="69"/>
      <c r="VFH61" s="69"/>
      <c r="VFI61" s="69"/>
      <c r="VFJ61" s="69"/>
      <c r="VFK61" s="69"/>
      <c r="VFL61" s="69"/>
      <c r="VFM61" s="69"/>
      <c r="VFN61" s="69"/>
      <c r="VFO61" s="69"/>
      <c r="VFP61" s="69"/>
      <c r="VFQ61" s="69"/>
      <c r="VFR61" s="69"/>
      <c r="VFS61" s="69"/>
      <c r="VFT61" s="69"/>
      <c r="VFU61" s="69"/>
      <c r="VFV61" s="69"/>
      <c r="VFW61" s="69"/>
      <c r="VFX61" s="69"/>
      <c r="VFY61" s="69"/>
      <c r="VFZ61" s="69"/>
      <c r="VGA61" s="69"/>
      <c r="VGB61" s="69"/>
      <c r="VGC61" s="69"/>
      <c r="VGD61" s="69"/>
      <c r="VGE61" s="69"/>
      <c r="VGF61" s="69"/>
      <c r="VGG61" s="69"/>
      <c r="VGH61" s="69"/>
      <c r="VGI61" s="69"/>
      <c r="VGJ61" s="69"/>
      <c r="VGK61" s="69"/>
      <c r="VGL61" s="69"/>
      <c r="VGM61" s="69"/>
      <c r="VGN61" s="69"/>
      <c r="VGO61" s="69"/>
      <c r="VGP61" s="69"/>
      <c r="VGQ61" s="69"/>
      <c r="VGR61" s="69"/>
      <c r="VGS61" s="69"/>
      <c r="VGT61" s="69"/>
      <c r="VGU61" s="69"/>
      <c r="VGV61" s="69"/>
      <c r="VGW61" s="69"/>
      <c r="VGX61" s="69"/>
      <c r="VGY61" s="69"/>
      <c r="VGZ61" s="69"/>
      <c r="VHA61" s="69"/>
      <c r="VHB61" s="69"/>
      <c r="VHC61" s="69"/>
      <c r="VHD61" s="69"/>
      <c r="VHE61" s="69"/>
      <c r="VHF61" s="69"/>
      <c r="VHG61" s="69"/>
      <c r="VHH61" s="69"/>
      <c r="VHI61" s="69"/>
      <c r="VHJ61" s="69"/>
      <c r="VHK61" s="69"/>
      <c r="VHL61" s="69"/>
      <c r="VHM61" s="69"/>
      <c r="VHN61" s="69"/>
      <c r="VHO61" s="69"/>
      <c r="VHP61" s="69"/>
      <c r="VHQ61" s="69"/>
      <c r="VHR61" s="69"/>
      <c r="VHS61" s="69"/>
      <c r="VHT61" s="69"/>
      <c r="VHU61" s="69"/>
      <c r="VHV61" s="69"/>
      <c r="VHW61" s="69"/>
      <c r="VHX61" s="69"/>
      <c r="VHY61" s="69"/>
      <c r="VHZ61" s="69"/>
      <c r="VIA61" s="69"/>
      <c r="VIB61" s="69"/>
      <c r="VIC61" s="69"/>
      <c r="VID61" s="69"/>
      <c r="VIE61" s="69"/>
      <c r="VIF61" s="69"/>
      <c r="VIG61" s="69"/>
      <c r="VIH61" s="69"/>
      <c r="VII61" s="69"/>
      <c r="VIJ61" s="69"/>
      <c r="VIK61" s="69"/>
      <c r="VIL61" s="69"/>
      <c r="VIM61" s="69"/>
      <c r="VIN61" s="69"/>
      <c r="VIO61" s="69"/>
      <c r="VIP61" s="69"/>
      <c r="VIQ61" s="69"/>
      <c r="VIR61" s="69"/>
      <c r="VIS61" s="69"/>
      <c r="VIT61" s="69"/>
      <c r="VIU61" s="69"/>
      <c r="VIV61" s="69"/>
      <c r="VIW61" s="69"/>
      <c r="VIX61" s="69"/>
      <c r="VIY61" s="69"/>
      <c r="VIZ61" s="69"/>
      <c r="VJA61" s="69"/>
      <c r="VJB61" s="69"/>
      <c r="VJC61" s="69"/>
      <c r="VJD61" s="69"/>
      <c r="VJE61" s="69"/>
      <c r="VJF61" s="69"/>
      <c r="VJG61" s="69"/>
      <c r="VJH61" s="69"/>
      <c r="VJI61" s="69"/>
      <c r="VJJ61" s="69"/>
      <c r="VJK61" s="69"/>
      <c r="VJL61" s="69"/>
      <c r="VJM61" s="69"/>
      <c r="VJN61" s="69"/>
      <c r="VJO61" s="69"/>
      <c r="VJP61" s="69"/>
      <c r="VJQ61" s="69"/>
      <c r="VJR61" s="69"/>
      <c r="VJS61" s="69"/>
      <c r="VJT61" s="69"/>
      <c r="VJU61" s="69"/>
      <c r="VJV61" s="69"/>
      <c r="VJW61" s="69"/>
      <c r="VJX61" s="69"/>
      <c r="VJY61" s="69"/>
      <c r="VJZ61" s="69"/>
      <c r="VKA61" s="69"/>
      <c r="VKB61" s="69"/>
      <c r="VKC61" s="69"/>
      <c r="VKD61" s="69"/>
      <c r="VKE61" s="69"/>
      <c r="VKF61" s="69"/>
      <c r="VKG61" s="69"/>
      <c r="VKH61" s="69"/>
      <c r="VKI61" s="69"/>
      <c r="VKJ61" s="69"/>
      <c r="VKK61" s="69"/>
      <c r="VKL61" s="69"/>
      <c r="VKM61" s="69"/>
      <c r="VKN61" s="69"/>
      <c r="VKO61" s="69"/>
      <c r="VKP61" s="69"/>
      <c r="VKQ61" s="69"/>
      <c r="VKR61" s="69"/>
      <c r="VKS61" s="69"/>
      <c r="VKT61" s="69"/>
      <c r="VKU61" s="69"/>
      <c r="VKV61" s="69"/>
      <c r="VKW61" s="69"/>
      <c r="VKX61" s="69"/>
      <c r="VKY61" s="69"/>
      <c r="VKZ61" s="69"/>
      <c r="VLA61" s="69"/>
      <c r="VLB61" s="69"/>
      <c r="VLC61" s="69"/>
      <c r="VLD61" s="69"/>
      <c r="VLE61" s="69"/>
      <c r="VLF61" s="69"/>
      <c r="VLG61" s="69"/>
      <c r="VLH61" s="69"/>
      <c r="VLI61" s="69"/>
      <c r="VLJ61" s="69"/>
      <c r="VLK61" s="69"/>
      <c r="VLL61" s="69"/>
      <c r="VLM61" s="69"/>
      <c r="VLN61" s="69"/>
      <c r="VLO61" s="69"/>
      <c r="VLP61" s="69"/>
      <c r="VLQ61" s="69"/>
      <c r="VLR61" s="69"/>
      <c r="VLS61" s="69"/>
      <c r="VLT61" s="69"/>
      <c r="VLU61" s="69"/>
      <c r="VLV61" s="69"/>
      <c r="VLW61" s="69"/>
      <c r="VLX61" s="69"/>
      <c r="VLY61" s="69"/>
      <c r="VLZ61" s="69"/>
      <c r="VMA61" s="69"/>
      <c r="VMB61" s="69"/>
      <c r="VMC61" s="69"/>
      <c r="VMD61" s="69"/>
      <c r="VME61" s="69"/>
      <c r="VMF61" s="69"/>
      <c r="VMG61" s="69"/>
      <c r="VMH61" s="69"/>
      <c r="VMI61" s="69"/>
      <c r="VMJ61" s="69"/>
      <c r="VMK61" s="69"/>
      <c r="VML61" s="69"/>
      <c r="VMM61" s="69"/>
      <c r="VMN61" s="69"/>
      <c r="VMO61" s="69"/>
      <c r="VMP61" s="69"/>
      <c r="VMQ61" s="69"/>
      <c r="VMR61" s="69"/>
      <c r="VMS61" s="69"/>
      <c r="VMT61" s="69"/>
      <c r="VMU61" s="69"/>
      <c r="VMV61" s="69"/>
      <c r="VMW61" s="69"/>
      <c r="VMX61" s="69"/>
      <c r="VMY61" s="69"/>
      <c r="VMZ61" s="69"/>
      <c r="VNA61" s="69"/>
      <c r="VNB61" s="69"/>
      <c r="VNC61" s="69"/>
      <c r="VND61" s="69"/>
      <c r="VNE61" s="69"/>
      <c r="VNF61" s="69"/>
      <c r="VNG61" s="69"/>
      <c r="VNH61" s="69"/>
      <c r="VNI61" s="69"/>
      <c r="VNJ61" s="69"/>
      <c r="VNK61" s="69"/>
      <c r="VNL61" s="69"/>
      <c r="VNM61" s="69"/>
      <c r="VNN61" s="69"/>
      <c r="VNO61" s="69"/>
      <c r="VNP61" s="69"/>
      <c r="VNQ61" s="69"/>
      <c r="VNR61" s="69"/>
      <c r="VNS61" s="69"/>
      <c r="VNT61" s="69"/>
      <c r="VNU61" s="69"/>
      <c r="VNV61" s="69"/>
      <c r="VNW61" s="69"/>
      <c r="VNX61" s="69"/>
      <c r="VNY61" s="69"/>
      <c r="VNZ61" s="69"/>
      <c r="VOA61" s="69"/>
      <c r="VOB61" s="69"/>
      <c r="VOC61" s="69"/>
      <c r="VOD61" s="69"/>
      <c r="VOE61" s="69"/>
      <c r="VOF61" s="69"/>
      <c r="VOG61" s="69"/>
      <c r="VOH61" s="69"/>
      <c r="VOI61" s="69"/>
      <c r="VOJ61" s="69"/>
      <c r="VOK61" s="69"/>
      <c r="VOL61" s="69"/>
      <c r="VOM61" s="69"/>
      <c r="VON61" s="69"/>
      <c r="VOO61" s="69"/>
      <c r="VOP61" s="69"/>
      <c r="VOQ61" s="69"/>
      <c r="VOR61" s="69"/>
      <c r="VOS61" s="69"/>
      <c r="VOT61" s="69"/>
      <c r="VOU61" s="69"/>
      <c r="VOV61" s="69"/>
      <c r="VOW61" s="69"/>
      <c r="VOX61" s="69"/>
      <c r="VOY61" s="69"/>
      <c r="VOZ61" s="69"/>
      <c r="VPA61" s="69"/>
      <c r="VPB61" s="69"/>
      <c r="VPC61" s="69"/>
      <c r="VPD61" s="69"/>
      <c r="VPE61" s="69"/>
      <c r="VPF61" s="69"/>
      <c r="VPG61" s="69"/>
      <c r="VPH61" s="69"/>
      <c r="VPI61" s="69"/>
      <c r="VPJ61" s="69"/>
      <c r="VPK61" s="69"/>
      <c r="VPL61" s="69"/>
      <c r="VPM61" s="69"/>
      <c r="VPN61" s="69"/>
      <c r="VPO61" s="69"/>
      <c r="VPP61" s="69"/>
      <c r="VPQ61" s="69"/>
      <c r="VPR61" s="69"/>
      <c r="VPS61" s="69"/>
      <c r="VPT61" s="69"/>
      <c r="VPU61" s="69"/>
      <c r="VPV61" s="69"/>
      <c r="VPW61" s="69"/>
      <c r="VPX61" s="69"/>
      <c r="VPY61" s="69"/>
      <c r="VPZ61" s="69"/>
      <c r="VQA61" s="69"/>
      <c r="VQB61" s="69"/>
      <c r="VQC61" s="69"/>
      <c r="VQD61" s="69"/>
      <c r="VQE61" s="69"/>
      <c r="VQF61" s="69"/>
      <c r="VQG61" s="69"/>
      <c r="VQH61" s="69"/>
      <c r="VQI61" s="69"/>
      <c r="VQJ61" s="69"/>
      <c r="VQK61" s="69"/>
      <c r="VQL61" s="69"/>
      <c r="VQM61" s="69"/>
      <c r="VQN61" s="69"/>
      <c r="VQO61" s="69"/>
      <c r="VQP61" s="69"/>
      <c r="VQQ61" s="69"/>
      <c r="VQR61" s="69"/>
      <c r="VQS61" s="69"/>
      <c r="VQT61" s="69"/>
      <c r="VQU61" s="69"/>
      <c r="VQV61" s="69"/>
      <c r="VQW61" s="69"/>
      <c r="VQX61" s="69"/>
      <c r="VQY61" s="69"/>
      <c r="VQZ61" s="69"/>
      <c r="VRA61" s="69"/>
      <c r="VRB61" s="69"/>
      <c r="VRC61" s="69"/>
      <c r="VRD61" s="69"/>
      <c r="VRE61" s="69"/>
      <c r="VRF61" s="69"/>
      <c r="VRG61" s="69"/>
      <c r="VRH61" s="69"/>
      <c r="VRI61" s="69"/>
      <c r="VRJ61" s="69"/>
      <c r="VRK61" s="69"/>
      <c r="VRL61" s="69"/>
      <c r="VRM61" s="69"/>
      <c r="VRN61" s="69"/>
      <c r="VRO61" s="69"/>
      <c r="VRP61" s="69"/>
      <c r="VRQ61" s="69"/>
      <c r="VRR61" s="69"/>
      <c r="VRS61" s="69"/>
      <c r="VRT61" s="69"/>
      <c r="VRU61" s="69"/>
      <c r="VRV61" s="69"/>
      <c r="VRW61" s="69"/>
      <c r="VRX61" s="69"/>
      <c r="VRY61" s="69"/>
      <c r="VRZ61" s="69"/>
      <c r="VSA61" s="69"/>
      <c r="VSB61" s="69"/>
      <c r="VSC61" s="69"/>
      <c r="VSD61" s="69"/>
      <c r="VSE61" s="69"/>
      <c r="VSF61" s="69"/>
      <c r="VSG61" s="69"/>
      <c r="VSH61" s="69"/>
      <c r="VSI61" s="69"/>
      <c r="VSJ61" s="69"/>
      <c r="VSK61" s="69"/>
      <c r="VSL61" s="69"/>
      <c r="VSM61" s="69"/>
      <c r="VSN61" s="69"/>
      <c r="VSO61" s="69"/>
      <c r="VSP61" s="69"/>
      <c r="VSQ61" s="69"/>
      <c r="VSR61" s="69"/>
      <c r="VSS61" s="69"/>
      <c r="VST61" s="69"/>
      <c r="VSU61" s="69"/>
      <c r="VSV61" s="69"/>
      <c r="VSW61" s="69"/>
      <c r="VSX61" s="69"/>
      <c r="VSY61" s="69"/>
      <c r="VSZ61" s="69"/>
      <c r="VTA61" s="69"/>
      <c r="VTB61" s="69"/>
      <c r="VTC61" s="69"/>
      <c r="VTD61" s="69"/>
      <c r="VTE61" s="69"/>
      <c r="VTF61" s="69"/>
      <c r="VTG61" s="69"/>
      <c r="VTH61" s="69"/>
      <c r="VTI61" s="69"/>
      <c r="VTJ61" s="69"/>
      <c r="VTK61" s="69"/>
      <c r="VTL61" s="69"/>
      <c r="VTM61" s="69"/>
      <c r="VTN61" s="69"/>
      <c r="VTO61" s="69"/>
      <c r="VTP61" s="69"/>
      <c r="VTQ61" s="69"/>
      <c r="VTR61" s="69"/>
      <c r="VTS61" s="69"/>
      <c r="VTT61" s="69"/>
      <c r="VTU61" s="69"/>
      <c r="VTV61" s="69"/>
      <c r="VTW61" s="69"/>
      <c r="VTX61" s="69"/>
      <c r="VTY61" s="69"/>
      <c r="VTZ61" s="69"/>
      <c r="VUA61" s="69"/>
      <c r="VUB61" s="69"/>
      <c r="VUC61" s="69"/>
      <c r="VUD61" s="69"/>
      <c r="VUE61" s="69"/>
      <c r="VUF61" s="69"/>
      <c r="VUG61" s="69"/>
      <c r="VUH61" s="69"/>
      <c r="VUI61" s="69"/>
      <c r="VUJ61" s="69"/>
      <c r="VUK61" s="69"/>
      <c r="VUL61" s="69"/>
      <c r="VUM61" s="69"/>
      <c r="VUN61" s="69"/>
      <c r="VUO61" s="69"/>
      <c r="VUP61" s="69"/>
      <c r="VUQ61" s="69"/>
      <c r="VUR61" s="69"/>
      <c r="VUS61" s="69"/>
      <c r="VUT61" s="69"/>
      <c r="VUU61" s="69"/>
      <c r="VUV61" s="69"/>
      <c r="VUW61" s="69"/>
      <c r="VUX61" s="69"/>
      <c r="VUY61" s="69"/>
      <c r="VUZ61" s="69"/>
      <c r="VVA61" s="69"/>
      <c r="VVB61" s="69"/>
      <c r="VVC61" s="69"/>
      <c r="VVD61" s="69"/>
      <c r="VVE61" s="69"/>
      <c r="VVF61" s="69"/>
      <c r="VVG61" s="69"/>
      <c r="VVH61" s="69"/>
      <c r="VVI61" s="69"/>
      <c r="VVJ61" s="69"/>
      <c r="VVK61" s="69"/>
      <c r="VVL61" s="69"/>
      <c r="VVM61" s="69"/>
      <c r="VVN61" s="69"/>
      <c r="VVO61" s="69"/>
      <c r="VVP61" s="69"/>
      <c r="VVQ61" s="69"/>
      <c r="VVR61" s="69"/>
      <c r="VVS61" s="69"/>
      <c r="VVT61" s="69"/>
      <c r="VVU61" s="69"/>
      <c r="VVV61" s="69"/>
      <c r="VVW61" s="69"/>
      <c r="VVX61" s="69"/>
      <c r="VVY61" s="69"/>
      <c r="VVZ61" s="69"/>
      <c r="VWA61" s="69"/>
      <c r="VWB61" s="69"/>
      <c r="VWC61" s="69"/>
      <c r="VWD61" s="69"/>
      <c r="VWE61" s="69"/>
      <c r="VWF61" s="69"/>
      <c r="VWG61" s="69"/>
      <c r="VWH61" s="69"/>
      <c r="VWI61" s="69"/>
      <c r="VWJ61" s="69"/>
      <c r="VWK61" s="69"/>
      <c r="VWL61" s="69"/>
      <c r="VWM61" s="69"/>
      <c r="VWN61" s="69"/>
      <c r="VWO61" s="69"/>
      <c r="VWP61" s="69"/>
      <c r="VWQ61" s="69"/>
      <c r="VWR61" s="69"/>
      <c r="VWS61" s="69"/>
      <c r="VWT61" s="69"/>
      <c r="VWU61" s="69"/>
      <c r="VWV61" s="69"/>
      <c r="VWW61" s="69"/>
      <c r="VWX61" s="69"/>
      <c r="VWY61" s="69"/>
      <c r="VWZ61" s="69"/>
      <c r="VXA61" s="69"/>
      <c r="VXB61" s="69"/>
      <c r="VXC61" s="69"/>
      <c r="VXD61" s="69"/>
      <c r="VXE61" s="69"/>
      <c r="VXF61" s="69"/>
      <c r="VXG61" s="69"/>
      <c r="VXH61" s="69"/>
      <c r="VXI61" s="69"/>
      <c r="VXJ61" s="69"/>
      <c r="VXK61" s="69"/>
      <c r="VXL61" s="69"/>
      <c r="VXM61" s="69"/>
      <c r="VXN61" s="69"/>
      <c r="VXO61" s="69"/>
      <c r="VXP61" s="69"/>
      <c r="VXQ61" s="69"/>
      <c r="VXR61" s="69"/>
      <c r="VXS61" s="69"/>
      <c r="VXT61" s="69"/>
      <c r="VXU61" s="69"/>
      <c r="VXV61" s="69"/>
      <c r="VXW61" s="69"/>
      <c r="VXX61" s="69"/>
      <c r="VXY61" s="69"/>
      <c r="VXZ61" s="69"/>
      <c r="VYA61" s="69"/>
      <c r="VYB61" s="69"/>
      <c r="VYC61" s="69"/>
      <c r="VYD61" s="69"/>
      <c r="VYE61" s="69"/>
      <c r="VYF61" s="69"/>
      <c r="VYG61" s="69"/>
      <c r="VYH61" s="69"/>
      <c r="VYI61" s="69"/>
      <c r="VYJ61" s="69"/>
      <c r="VYK61" s="69"/>
      <c r="VYL61" s="69"/>
      <c r="VYM61" s="69"/>
      <c r="VYN61" s="69"/>
      <c r="VYO61" s="69"/>
      <c r="VYP61" s="69"/>
      <c r="VYQ61" s="69"/>
      <c r="VYR61" s="69"/>
      <c r="VYS61" s="69"/>
      <c r="VYT61" s="69"/>
      <c r="VYU61" s="69"/>
      <c r="VYV61" s="69"/>
      <c r="VYW61" s="69"/>
      <c r="VYX61" s="69"/>
      <c r="VYY61" s="69"/>
      <c r="VYZ61" s="69"/>
      <c r="VZA61" s="69"/>
      <c r="VZB61" s="69"/>
      <c r="VZC61" s="69"/>
      <c r="VZD61" s="69"/>
      <c r="VZE61" s="69"/>
      <c r="VZF61" s="69"/>
      <c r="VZG61" s="69"/>
      <c r="VZH61" s="69"/>
      <c r="VZI61" s="69"/>
      <c r="VZJ61" s="69"/>
      <c r="VZK61" s="69"/>
      <c r="VZL61" s="69"/>
      <c r="VZM61" s="69"/>
      <c r="VZN61" s="69"/>
      <c r="VZO61" s="69"/>
      <c r="VZP61" s="69"/>
      <c r="VZQ61" s="69"/>
      <c r="VZR61" s="69"/>
      <c r="VZS61" s="69"/>
      <c r="VZT61" s="69"/>
      <c r="VZU61" s="69"/>
      <c r="VZV61" s="69"/>
      <c r="VZW61" s="69"/>
      <c r="VZX61" s="69"/>
      <c r="VZY61" s="69"/>
      <c r="VZZ61" s="69"/>
      <c r="WAA61" s="69"/>
      <c r="WAB61" s="69"/>
      <c r="WAC61" s="69"/>
      <c r="WAD61" s="69"/>
      <c r="WAE61" s="69"/>
      <c r="WAF61" s="69"/>
      <c r="WAG61" s="69"/>
      <c r="WAH61" s="69"/>
      <c r="WAI61" s="69"/>
      <c r="WAJ61" s="69"/>
      <c r="WAK61" s="69"/>
      <c r="WAL61" s="69"/>
      <c r="WAM61" s="69"/>
      <c r="WAN61" s="69"/>
      <c r="WAO61" s="69"/>
      <c r="WAP61" s="69"/>
      <c r="WAQ61" s="69"/>
      <c r="WAR61" s="69"/>
      <c r="WAS61" s="69"/>
      <c r="WAT61" s="69"/>
      <c r="WAU61" s="69"/>
      <c r="WAV61" s="69"/>
      <c r="WAW61" s="69"/>
      <c r="WAX61" s="69"/>
      <c r="WAY61" s="69"/>
      <c r="WAZ61" s="69"/>
      <c r="WBA61" s="69"/>
      <c r="WBB61" s="69"/>
      <c r="WBC61" s="69"/>
      <c r="WBD61" s="69"/>
      <c r="WBE61" s="69"/>
      <c r="WBF61" s="69"/>
      <c r="WBG61" s="69"/>
      <c r="WBH61" s="69"/>
      <c r="WBI61" s="69"/>
      <c r="WBJ61" s="69"/>
      <c r="WBK61" s="69"/>
      <c r="WBL61" s="69"/>
      <c r="WBM61" s="69"/>
      <c r="WBN61" s="69"/>
      <c r="WBO61" s="69"/>
      <c r="WBP61" s="69"/>
      <c r="WBQ61" s="69"/>
      <c r="WBR61" s="69"/>
      <c r="WBS61" s="69"/>
      <c r="WBT61" s="69"/>
      <c r="WBU61" s="69"/>
      <c r="WBV61" s="69"/>
      <c r="WBW61" s="69"/>
      <c r="WBX61" s="69"/>
      <c r="WBY61" s="69"/>
      <c r="WBZ61" s="69"/>
      <c r="WCA61" s="69"/>
      <c r="WCB61" s="69"/>
      <c r="WCC61" s="69"/>
      <c r="WCD61" s="69"/>
      <c r="WCE61" s="69"/>
      <c r="WCF61" s="69"/>
      <c r="WCG61" s="69"/>
      <c r="WCH61" s="69"/>
      <c r="WCI61" s="69"/>
      <c r="WCJ61" s="69"/>
      <c r="WCK61" s="69"/>
      <c r="WCL61" s="69"/>
      <c r="WCM61" s="69"/>
      <c r="WCN61" s="69"/>
      <c r="WCO61" s="69"/>
      <c r="WCP61" s="69"/>
      <c r="WCQ61" s="69"/>
      <c r="WCR61" s="69"/>
      <c r="WCS61" s="69"/>
      <c r="WCT61" s="69"/>
      <c r="WCU61" s="69"/>
      <c r="WCV61" s="69"/>
      <c r="WCW61" s="69"/>
      <c r="WCX61" s="69"/>
      <c r="WCY61" s="69"/>
      <c r="WCZ61" s="69"/>
      <c r="WDA61" s="69"/>
      <c r="WDB61" s="69"/>
      <c r="WDC61" s="69"/>
      <c r="WDD61" s="69"/>
      <c r="WDE61" s="69"/>
      <c r="WDF61" s="69"/>
      <c r="WDG61" s="69"/>
      <c r="WDH61" s="69"/>
      <c r="WDI61" s="69"/>
      <c r="WDJ61" s="69"/>
      <c r="WDK61" s="69"/>
      <c r="WDL61" s="69"/>
      <c r="WDM61" s="69"/>
      <c r="WDN61" s="69"/>
      <c r="WDO61" s="69"/>
      <c r="WDP61" s="69"/>
      <c r="WDQ61" s="69"/>
      <c r="WDR61" s="69"/>
      <c r="WDS61" s="69"/>
      <c r="WDT61" s="69"/>
      <c r="WDU61" s="69"/>
      <c r="WDV61" s="69"/>
      <c r="WDW61" s="69"/>
      <c r="WDX61" s="69"/>
      <c r="WDY61" s="69"/>
      <c r="WDZ61" s="69"/>
      <c r="WEA61" s="69"/>
      <c r="WEB61" s="69"/>
      <c r="WEC61" s="69"/>
      <c r="WED61" s="69"/>
      <c r="WEE61" s="69"/>
      <c r="WEF61" s="69"/>
      <c r="WEG61" s="69"/>
      <c r="WEH61" s="69"/>
      <c r="WEI61" s="69"/>
      <c r="WEJ61" s="69"/>
      <c r="WEK61" s="69"/>
      <c r="WEL61" s="69"/>
      <c r="WEM61" s="69"/>
      <c r="WEN61" s="69"/>
      <c r="WEO61" s="69"/>
      <c r="WEP61" s="69"/>
      <c r="WEQ61" s="69"/>
      <c r="WER61" s="69"/>
      <c r="WES61" s="69"/>
      <c r="WET61" s="69"/>
      <c r="WEU61" s="69"/>
      <c r="WEV61" s="69"/>
      <c r="WEW61" s="69"/>
      <c r="WEX61" s="69"/>
      <c r="WEY61" s="69"/>
      <c r="WEZ61" s="69"/>
      <c r="WFA61" s="69"/>
      <c r="WFB61" s="69"/>
      <c r="WFC61" s="69"/>
      <c r="WFD61" s="69"/>
      <c r="WFE61" s="69"/>
      <c r="WFF61" s="69"/>
      <c r="WFG61" s="69"/>
      <c r="WFH61" s="69"/>
      <c r="WFI61" s="69"/>
      <c r="WFJ61" s="69"/>
      <c r="WFK61" s="69"/>
      <c r="WFL61" s="69"/>
      <c r="WFM61" s="69"/>
      <c r="WFN61" s="69"/>
      <c r="WFO61" s="69"/>
      <c r="WFP61" s="69"/>
      <c r="WFQ61" s="69"/>
      <c r="WFR61" s="69"/>
      <c r="WFS61" s="69"/>
      <c r="WFT61" s="69"/>
      <c r="WFU61" s="69"/>
      <c r="WFV61" s="69"/>
      <c r="WFW61" s="69"/>
      <c r="WFX61" s="69"/>
      <c r="WFY61" s="69"/>
      <c r="WFZ61" s="69"/>
      <c r="WGA61" s="69"/>
      <c r="WGB61" s="69"/>
      <c r="WGC61" s="69"/>
      <c r="WGD61" s="69"/>
      <c r="WGE61" s="69"/>
      <c r="WGF61" s="69"/>
      <c r="WGG61" s="69"/>
      <c r="WGH61" s="69"/>
      <c r="WGI61" s="69"/>
      <c r="WGJ61" s="69"/>
      <c r="WGK61" s="69"/>
      <c r="WGL61" s="69"/>
      <c r="WGM61" s="69"/>
      <c r="WGN61" s="69"/>
      <c r="WGO61" s="69"/>
      <c r="WGP61" s="69"/>
      <c r="WGQ61" s="69"/>
      <c r="WGR61" s="69"/>
      <c r="WGS61" s="69"/>
      <c r="WGT61" s="69"/>
      <c r="WGU61" s="69"/>
      <c r="WGV61" s="69"/>
      <c r="WGW61" s="69"/>
      <c r="WGX61" s="69"/>
      <c r="WGY61" s="69"/>
      <c r="WGZ61" s="69"/>
      <c r="WHA61" s="69"/>
      <c r="WHB61" s="69"/>
      <c r="WHC61" s="69"/>
      <c r="WHD61" s="69"/>
      <c r="WHE61" s="69"/>
      <c r="WHF61" s="69"/>
      <c r="WHG61" s="69"/>
      <c r="WHH61" s="69"/>
      <c r="WHI61" s="69"/>
      <c r="WHJ61" s="69"/>
      <c r="WHK61" s="69"/>
      <c r="WHL61" s="69"/>
      <c r="WHM61" s="69"/>
      <c r="WHN61" s="69"/>
      <c r="WHO61" s="69"/>
      <c r="WHP61" s="69"/>
      <c r="WHQ61" s="69"/>
      <c r="WHR61" s="69"/>
      <c r="WHS61" s="69"/>
      <c r="WHT61" s="69"/>
      <c r="WHU61" s="69"/>
      <c r="WHV61" s="69"/>
      <c r="WHW61" s="69"/>
      <c r="WHX61" s="69"/>
      <c r="WHY61" s="69"/>
      <c r="WHZ61" s="69"/>
      <c r="WIA61" s="69"/>
      <c r="WIB61" s="69"/>
      <c r="WIC61" s="69"/>
      <c r="WID61" s="69"/>
      <c r="WIE61" s="69"/>
      <c r="WIF61" s="69"/>
      <c r="WIG61" s="69"/>
      <c r="WIH61" s="69"/>
      <c r="WII61" s="69"/>
      <c r="WIJ61" s="69"/>
      <c r="WIK61" s="69"/>
      <c r="WIL61" s="69"/>
      <c r="WIM61" s="69"/>
      <c r="WIN61" s="69"/>
      <c r="WIO61" s="69"/>
      <c r="WIP61" s="69"/>
      <c r="WIQ61" s="69"/>
      <c r="WIR61" s="69"/>
      <c r="WIS61" s="69"/>
      <c r="WIT61" s="69"/>
      <c r="WIU61" s="69"/>
      <c r="WIV61" s="69"/>
      <c r="WIW61" s="69"/>
      <c r="WIX61" s="69"/>
      <c r="WIY61" s="69"/>
      <c r="WIZ61" s="69"/>
      <c r="WJA61" s="69"/>
      <c r="WJB61" s="69"/>
      <c r="WJC61" s="69"/>
      <c r="WJD61" s="69"/>
      <c r="WJE61" s="69"/>
      <c r="WJF61" s="69"/>
      <c r="WJG61" s="69"/>
      <c r="WJH61" s="69"/>
      <c r="WJI61" s="69"/>
      <c r="WJJ61" s="69"/>
      <c r="WJK61" s="69"/>
      <c r="WJL61" s="69"/>
      <c r="WJM61" s="69"/>
      <c r="WJN61" s="69"/>
      <c r="WJO61" s="69"/>
      <c r="WJP61" s="69"/>
      <c r="WJQ61" s="69"/>
      <c r="WJR61" s="69"/>
      <c r="WJS61" s="69"/>
      <c r="WJT61" s="69"/>
      <c r="WJU61" s="69"/>
      <c r="WJV61" s="69"/>
      <c r="WJW61" s="69"/>
      <c r="WJX61" s="69"/>
      <c r="WJY61" s="69"/>
      <c r="WJZ61" s="69"/>
      <c r="WKA61" s="69"/>
      <c r="WKB61" s="69"/>
      <c r="WKC61" s="69"/>
      <c r="WKD61" s="69"/>
      <c r="WKE61" s="69"/>
      <c r="WKF61" s="69"/>
      <c r="WKG61" s="69"/>
      <c r="WKH61" s="69"/>
      <c r="WKI61" s="69"/>
      <c r="WKJ61" s="69"/>
      <c r="WKK61" s="69"/>
      <c r="WKL61" s="69"/>
      <c r="WKM61" s="69"/>
      <c r="WKN61" s="69"/>
      <c r="WKO61" s="69"/>
      <c r="WKP61" s="69"/>
      <c r="WKQ61" s="69"/>
      <c r="WKR61" s="69"/>
      <c r="WKS61" s="69"/>
      <c r="WKT61" s="69"/>
      <c r="WKU61" s="69"/>
      <c r="WKV61" s="69"/>
      <c r="WKW61" s="69"/>
      <c r="WKX61" s="69"/>
      <c r="WKY61" s="69"/>
      <c r="WKZ61" s="69"/>
      <c r="WLA61" s="69"/>
      <c r="WLB61" s="69"/>
      <c r="WLC61" s="69"/>
      <c r="WLD61" s="69"/>
      <c r="WLE61" s="69"/>
      <c r="WLF61" s="69"/>
      <c r="WLG61" s="69"/>
      <c r="WLH61" s="69"/>
      <c r="WLI61" s="69"/>
      <c r="WLJ61" s="69"/>
      <c r="WLK61" s="69"/>
      <c r="WLL61" s="69"/>
      <c r="WLM61" s="69"/>
      <c r="WLN61" s="69"/>
      <c r="WLO61" s="69"/>
      <c r="WLP61" s="69"/>
      <c r="WLQ61" s="69"/>
      <c r="WLR61" s="69"/>
      <c r="WLS61" s="69"/>
      <c r="WLT61" s="69"/>
      <c r="WLU61" s="69"/>
      <c r="WLV61" s="69"/>
      <c r="WLW61" s="69"/>
      <c r="WLX61" s="69"/>
      <c r="WLY61" s="69"/>
      <c r="WLZ61" s="69"/>
      <c r="WMA61" s="69"/>
      <c r="WMB61" s="69"/>
      <c r="WMC61" s="69"/>
      <c r="WMD61" s="69"/>
      <c r="WME61" s="69"/>
      <c r="WMF61" s="69"/>
      <c r="WMG61" s="69"/>
      <c r="WMH61" s="69"/>
      <c r="WMI61" s="69"/>
      <c r="WMJ61" s="69"/>
      <c r="WMK61" s="69"/>
      <c r="WML61" s="69"/>
      <c r="WMM61" s="69"/>
      <c r="WMN61" s="69"/>
      <c r="WMO61" s="69"/>
      <c r="WMP61" s="69"/>
      <c r="WMQ61" s="69"/>
      <c r="WMR61" s="69"/>
      <c r="WMS61" s="69"/>
      <c r="WMT61" s="69"/>
      <c r="WMU61" s="69"/>
      <c r="WMV61" s="69"/>
      <c r="WMW61" s="69"/>
      <c r="WMX61" s="69"/>
      <c r="WMY61" s="69"/>
      <c r="WMZ61" s="69"/>
      <c r="WNA61" s="69"/>
      <c r="WNB61" s="69"/>
      <c r="WNC61" s="69"/>
      <c r="WND61" s="69"/>
      <c r="WNE61" s="69"/>
      <c r="WNF61" s="69"/>
      <c r="WNG61" s="69"/>
      <c r="WNH61" s="69"/>
      <c r="WNI61" s="69"/>
      <c r="WNJ61" s="69"/>
      <c r="WNK61" s="69"/>
      <c r="WNL61" s="69"/>
      <c r="WNM61" s="69"/>
      <c r="WNN61" s="69"/>
      <c r="WNO61" s="69"/>
      <c r="WNP61" s="69"/>
      <c r="WNQ61" s="69"/>
      <c r="WNR61" s="69"/>
      <c r="WNS61" s="69"/>
      <c r="WNT61" s="69"/>
      <c r="WNU61" s="69"/>
      <c r="WNV61" s="69"/>
      <c r="WNW61" s="69"/>
      <c r="WNX61" s="69"/>
      <c r="WNY61" s="69"/>
      <c r="WNZ61" s="69"/>
      <c r="WOA61" s="69"/>
      <c r="WOB61" s="69"/>
      <c r="WOC61" s="69"/>
      <c r="WOD61" s="69"/>
      <c r="WOE61" s="69"/>
      <c r="WOF61" s="69"/>
      <c r="WOG61" s="69"/>
      <c r="WOH61" s="69"/>
      <c r="WOI61" s="69"/>
      <c r="WOJ61" s="69"/>
      <c r="WOK61" s="69"/>
      <c r="WOL61" s="69"/>
      <c r="WOM61" s="69"/>
      <c r="WON61" s="69"/>
      <c r="WOO61" s="69"/>
      <c r="WOP61" s="69"/>
      <c r="WOQ61" s="69"/>
      <c r="WOR61" s="69"/>
      <c r="WOS61" s="69"/>
      <c r="WOT61" s="69"/>
      <c r="WOU61" s="69"/>
      <c r="WOV61" s="69"/>
      <c r="WOW61" s="69"/>
      <c r="WOX61" s="69"/>
      <c r="WOY61" s="69"/>
      <c r="WOZ61" s="69"/>
      <c r="WPA61" s="69"/>
      <c r="WPB61" s="69"/>
      <c r="WPC61" s="69"/>
      <c r="WPD61" s="69"/>
      <c r="WPE61" s="69"/>
      <c r="WPF61" s="69"/>
      <c r="WPG61" s="69"/>
      <c r="WPH61" s="69"/>
      <c r="WPI61" s="69"/>
      <c r="WPJ61" s="69"/>
      <c r="WPK61" s="69"/>
      <c r="WPL61" s="69"/>
      <c r="WPM61" s="69"/>
      <c r="WPN61" s="69"/>
      <c r="WPO61" s="69"/>
      <c r="WPP61" s="69"/>
      <c r="WPQ61" s="69"/>
      <c r="WPR61" s="69"/>
      <c r="WPS61" s="69"/>
      <c r="WPT61" s="69"/>
      <c r="WPU61" s="69"/>
      <c r="WPV61" s="69"/>
      <c r="WPW61" s="69"/>
      <c r="WPX61" s="69"/>
      <c r="WPY61" s="69"/>
      <c r="WPZ61" s="69"/>
      <c r="WQA61" s="69"/>
      <c r="WQB61" s="69"/>
      <c r="WQC61" s="69"/>
      <c r="WQD61" s="69"/>
      <c r="WQE61" s="69"/>
      <c r="WQF61" s="69"/>
      <c r="WQG61" s="69"/>
      <c r="WQH61" s="69"/>
      <c r="WQI61" s="69"/>
      <c r="WQJ61" s="69"/>
      <c r="WQK61" s="69"/>
      <c r="WQL61" s="69"/>
      <c r="WQM61" s="69"/>
      <c r="WQN61" s="69"/>
      <c r="WQO61" s="69"/>
      <c r="WQP61" s="69"/>
      <c r="WQQ61" s="69"/>
      <c r="WQR61" s="69"/>
      <c r="WQS61" s="69"/>
      <c r="WQT61" s="69"/>
      <c r="WQU61" s="69"/>
      <c r="WQV61" s="69"/>
      <c r="WQW61" s="69"/>
      <c r="WQX61" s="69"/>
      <c r="WQY61" s="69"/>
      <c r="WQZ61" s="69"/>
      <c r="WRA61" s="69"/>
      <c r="WRB61" s="69"/>
      <c r="WRC61" s="69"/>
      <c r="WRD61" s="69"/>
      <c r="WRE61" s="69"/>
      <c r="WRF61" s="69"/>
      <c r="WRG61" s="69"/>
      <c r="WRH61" s="69"/>
      <c r="WRI61" s="69"/>
      <c r="WRJ61" s="69"/>
      <c r="WRK61" s="69"/>
      <c r="WRL61" s="69"/>
      <c r="WRM61" s="69"/>
      <c r="WRN61" s="69"/>
      <c r="WRO61" s="69"/>
      <c r="WRP61" s="69"/>
      <c r="WRQ61" s="69"/>
      <c r="WRR61" s="69"/>
      <c r="WRS61" s="69"/>
      <c r="WRT61" s="69"/>
      <c r="WRU61" s="69"/>
      <c r="WRV61" s="69"/>
      <c r="WRW61" s="69"/>
      <c r="WRX61" s="69"/>
      <c r="WRY61" s="69"/>
      <c r="WRZ61" s="69"/>
      <c r="WSA61" s="69"/>
      <c r="WSB61" s="69"/>
      <c r="WSC61" s="69"/>
      <c r="WSD61" s="69"/>
      <c r="WSE61" s="69"/>
      <c r="WSF61" s="69"/>
      <c r="WSG61" s="69"/>
      <c r="WSH61" s="69"/>
      <c r="WSI61" s="69"/>
      <c r="WSJ61" s="69"/>
      <c r="WSK61" s="69"/>
      <c r="WSL61" s="69"/>
      <c r="WSM61" s="69"/>
      <c r="WSN61" s="69"/>
      <c r="WSO61" s="69"/>
      <c r="WSP61" s="69"/>
      <c r="WSQ61" s="69"/>
      <c r="WSR61" s="69"/>
      <c r="WSS61" s="69"/>
      <c r="WST61" s="69"/>
      <c r="WSU61" s="69"/>
      <c r="WSV61" s="69"/>
      <c r="WSW61" s="69"/>
      <c r="WSX61" s="69"/>
      <c r="WSY61" s="69"/>
      <c r="WSZ61" s="69"/>
      <c r="WTA61" s="69"/>
      <c r="WTB61" s="69"/>
      <c r="WTC61" s="69"/>
      <c r="WTD61" s="69"/>
      <c r="WTE61" s="69"/>
      <c r="WTF61" s="69"/>
      <c r="WTG61" s="69"/>
      <c r="WTH61" s="69"/>
      <c r="WTI61" s="69"/>
      <c r="WTJ61" s="69"/>
      <c r="WTK61" s="69"/>
      <c r="WTL61" s="69"/>
      <c r="WTM61" s="69"/>
      <c r="WTN61" s="69"/>
      <c r="WTO61" s="69"/>
      <c r="WTP61" s="69"/>
      <c r="WTQ61" s="69"/>
      <c r="WTR61" s="69"/>
      <c r="WTS61" s="69"/>
      <c r="WTT61" s="69"/>
      <c r="WTU61" s="69"/>
      <c r="WTV61" s="69"/>
      <c r="WTW61" s="69"/>
      <c r="WTX61" s="69"/>
      <c r="WTY61" s="69"/>
      <c r="WTZ61" s="69"/>
      <c r="WUA61" s="69"/>
      <c r="WUB61" s="69"/>
      <c r="WUC61" s="69"/>
      <c r="WUD61" s="69"/>
      <c r="WUE61" s="69"/>
      <c r="WUF61" s="69"/>
      <c r="WUG61" s="69"/>
      <c r="WUH61" s="69"/>
      <c r="WUI61" s="69"/>
      <c r="WUJ61" s="69"/>
      <c r="WUK61" s="69"/>
      <c r="WUL61" s="69"/>
      <c r="WUM61" s="69"/>
      <c r="WUN61" s="69"/>
      <c r="WUO61" s="69"/>
      <c r="WUP61" s="69"/>
      <c r="WUQ61" s="69"/>
      <c r="WUR61" s="69"/>
      <c r="WUS61" s="69"/>
      <c r="WUT61" s="69"/>
      <c r="WUU61" s="69"/>
      <c r="WUV61" s="69"/>
      <c r="WUW61" s="69"/>
      <c r="WUX61" s="69"/>
      <c r="WUY61" s="69"/>
      <c r="WUZ61" s="69"/>
      <c r="WVA61" s="69"/>
      <c r="WVB61" s="69"/>
      <c r="WVC61" s="69"/>
      <c r="WVD61" s="69"/>
      <c r="WVE61" s="69"/>
      <c r="WVF61" s="69"/>
      <c r="WVG61" s="69"/>
      <c r="WVH61" s="69"/>
      <c r="WVI61" s="69"/>
      <c r="WVJ61" s="69"/>
      <c r="WVK61" s="69"/>
      <c r="WVL61" s="69"/>
      <c r="WVM61" s="69"/>
      <c r="WVN61" s="69"/>
      <c r="WVO61" s="69"/>
      <c r="WVP61" s="69"/>
      <c r="WVQ61" s="69"/>
      <c r="WVR61" s="69"/>
      <c r="WVS61" s="69"/>
      <c r="WVT61" s="69"/>
      <c r="WVU61" s="69"/>
      <c r="WVV61" s="69"/>
      <c r="WVW61" s="69"/>
      <c r="WVX61" s="69"/>
      <c r="WVY61" s="69"/>
      <c r="WVZ61" s="69"/>
      <c r="WWA61" s="69"/>
      <c r="WWB61" s="69"/>
      <c r="WWC61" s="69"/>
      <c r="WWD61" s="69"/>
      <c r="WWE61" s="69"/>
      <c r="WWF61" s="69"/>
      <c r="WWG61" s="69"/>
      <c r="WWH61" s="69"/>
      <c r="WWI61" s="69"/>
      <c r="WWJ61" s="69"/>
      <c r="WWK61" s="69"/>
      <c r="WWL61" s="69"/>
      <c r="WWM61" s="69"/>
      <c r="WWN61" s="69"/>
      <c r="WWO61" s="69"/>
      <c r="WWP61" s="69"/>
      <c r="WWQ61" s="69"/>
      <c r="WWR61" s="69"/>
      <c r="WWS61" s="69"/>
      <c r="WWT61" s="69"/>
      <c r="WWU61" s="69"/>
      <c r="WWV61" s="69"/>
      <c r="WWW61" s="69"/>
      <c r="WWX61" s="69"/>
      <c r="WWY61" s="69"/>
      <c r="WWZ61" s="69"/>
      <c r="WXA61" s="69"/>
      <c r="WXB61" s="69"/>
      <c r="WXC61" s="69"/>
      <c r="WXD61" s="69"/>
      <c r="WXE61" s="69"/>
      <c r="WXF61" s="69"/>
      <c r="WXG61" s="69"/>
      <c r="WXH61" s="69"/>
      <c r="WXI61" s="69"/>
      <c r="WXJ61" s="69"/>
      <c r="WXK61" s="69"/>
      <c r="WXL61" s="69"/>
      <c r="WXM61" s="69"/>
      <c r="WXN61" s="69"/>
      <c r="WXO61" s="69"/>
      <c r="WXP61" s="69"/>
      <c r="WXQ61" s="69"/>
      <c r="WXR61" s="69"/>
      <c r="WXS61" s="69"/>
      <c r="WXT61" s="69"/>
      <c r="WXU61" s="69"/>
      <c r="WXV61" s="69"/>
      <c r="WXW61" s="69"/>
      <c r="WXX61" s="69"/>
      <c r="WXY61" s="69"/>
      <c r="WXZ61" s="69"/>
      <c r="WYA61" s="69"/>
      <c r="WYB61" s="69"/>
      <c r="WYC61" s="69"/>
      <c r="WYD61" s="69"/>
      <c r="WYE61" s="69"/>
      <c r="WYF61" s="69"/>
      <c r="WYG61" s="69"/>
      <c r="WYH61" s="69"/>
      <c r="WYI61" s="69"/>
      <c r="WYJ61" s="69"/>
      <c r="WYK61" s="69"/>
      <c r="WYL61" s="69"/>
      <c r="WYM61" s="69"/>
      <c r="WYN61" s="69"/>
      <c r="WYO61" s="69"/>
      <c r="WYP61" s="69"/>
      <c r="WYQ61" s="69"/>
      <c r="WYR61" s="69"/>
      <c r="WYS61" s="69"/>
      <c r="WYT61" s="69"/>
      <c r="WYU61" s="69"/>
      <c r="WYV61" s="69"/>
      <c r="WYW61" s="69"/>
      <c r="WYX61" s="69"/>
      <c r="WYY61" s="69"/>
      <c r="WYZ61" s="69"/>
      <c r="WZA61" s="69"/>
      <c r="WZB61" s="69"/>
      <c r="WZC61" s="69"/>
      <c r="WZD61" s="69"/>
      <c r="WZE61" s="69"/>
      <c r="WZF61" s="69"/>
      <c r="WZG61" s="69"/>
      <c r="WZH61" s="69"/>
      <c r="WZI61" s="69"/>
      <c r="WZJ61" s="69"/>
      <c r="WZK61" s="69"/>
      <c r="WZL61" s="69"/>
      <c r="WZM61" s="69"/>
      <c r="WZN61" s="69"/>
      <c r="WZO61" s="69"/>
      <c r="WZP61" s="69"/>
      <c r="WZQ61" s="69"/>
      <c r="WZR61" s="69"/>
      <c r="WZS61" s="69"/>
      <c r="WZT61" s="69"/>
      <c r="WZU61" s="69"/>
      <c r="WZV61" s="69"/>
      <c r="WZW61" s="69"/>
      <c r="WZX61" s="69"/>
      <c r="WZY61" s="69"/>
      <c r="WZZ61" s="69"/>
      <c r="XAA61" s="69"/>
      <c r="XAB61" s="69"/>
      <c r="XAC61" s="69"/>
      <c r="XAD61" s="69"/>
      <c r="XAE61" s="69"/>
      <c r="XAF61" s="69"/>
      <c r="XAG61" s="69"/>
      <c r="XAH61" s="69"/>
      <c r="XAI61" s="69"/>
      <c r="XAJ61" s="69"/>
      <c r="XAK61" s="69"/>
      <c r="XAL61" s="69"/>
      <c r="XAM61" s="69"/>
      <c r="XAN61" s="69"/>
      <c r="XAO61" s="69"/>
      <c r="XAP61" s="69"/>
      <c r="XAQ61" s="69"/>
      <c r="XAR61" s="69"/>
      <c r="XAS61" s="69"/>
      <c r="XAT61" s="69"/>
      <c r="XAU61" s="69"/>
      <c r="XAV61" s="69"/>
      <c r="XAW61" s="69"/>
      <c r="XAX61" s="69"/>
      <c r="XAY61" s="69"/>
      <c r="XAZ61" s="69"/>
      <c r="XBA61" s="69"/>
      <c r="XBB61" s="69"/>
      <c r="XBC61" s="69"/>
      <c r="XBD61" s="69"/>
      <c r="XBE61" s="69"/>
      <c r="XBF61" s="69"/>
      <c r="XBG61" s="69"/>
      <c r="XBH61" s="69"/>
      <c r="XBI61" s="69"/>
      <c r="XBJ61" s="69"/>
      <c r="XBK61" s="69"/>
      <c r="XBL61" s="69"/>
      <c r="XBM61" s="69"/>
      <c r="XBN61" s="69"/>
      <c r="XBO61" s="69"/>
      <c r="XBP61" s="69"/>
      <c r="XBQ61" s="69"/>
      <c r="XBR61" s="69"/>
      <c r="XBS61" s="69"/>
      <c r="XBT61" s="69"/>
      <c r="XBU61" s="69"/>
      <c r="XBV61" s="69"/>
      <c r="XBW61" s="69"/>
      <c r="XBX61" s="69"/>
      <c r="XBY61" s="69"/>
      <c r="XBZ61" s="69"/>
      <c r="XCA61" s="69"/>
      <c r="XCB61" s="69"/>
      <c r="XCC61" s="69"/>
      <c r="XCD61" s="69"/>
      <c r="XCE61" s="69"/>
      <c r="XCF61" s="69"/>
      <c r="XCG61" s="69"/>
      <c r="XCH61" s="69"/>
      <c r="XCI61" s="69"/>
      <c r="XCJ61" s="69"/>
      <c r="XCK61" s="69"/>
      <c r="XCL61" s="69"/>
      <c r="XCM61" s="69"/>
      <c r="XCN61" s="69"/>
      <c r="XCO61" s="69"/>
      <c r="XCP61" s="69"/>
      <c r="XCQ61" s="69"/>
      <c r="XCR61" s="69"/>
      <c r="XCS61" s="69"/>
      <c r="XCT61" s="69"/>
      <c r="XCU61" s="69"/>
      <c r="XCV61" s="69"/>
      <c r="XCW61" s="69"/>
      <c r="XCX61" s="69"/>
      <c r="XCY61" s="69"/>
      <c r="XCZ61" s="69"/>
      <c r="XDA61" s="69"/>
      <c r="XDB61" s="69"/>
      <c r="XDC61" s="69"/>
      <c r="XDD61" s="69"/>
      <c r="XDE61" s="69"/>
      <c r="XDF61" s="69"/>
      <c r="XDG61" s="69"/>
      <c r="XDH61" s="69"/>
      <c r="XDI61" s="69"/>
      <c r="XDJ61" s="69"/>
      <c r="XDK61" s="69"/>
      <c r="XDL61" s="69"/>
      <c r="XDM61" s="69"/>
      <c r="XDN61" s="69"/>
      <c r="XDO61" s="69"/>
      <c r="XDP61" s="69"/>
      <c r="XDQ61" s="69"/>
      <c r="XDR61" s="69"/>
      <c r="XDS61" s="69"/>
      <c r="XDT61" s="69"/>
      <c r="XDU61" s="69"/>
      <c r="XDV61" s="69"/>
      <c r="XDW61" s="69"/>
      <c r="XDX61" s="69"/>
      <c r="XDY61" s="69"/>
      <c r="XDZ61" s="69"/>
      <c r="XEA61" s="69"/>
      <c r="XEB61" s="69"/>
      <c r="XEC61" s="69"/>
      <c r="XED61" s="69"/>
      <c r="XEE61" s="69"/>
      <c r="XEF61" s="69"/>
      <c r="XEG61" s="69"/>
      <c r="XEH61" s="69"/>
      <c r="XEI61" s="69"/>
      <c r="XEJ61" s="69"/>
      <c r="XEK61" s="69"/>
      <c r="XEL61" s="69"/>
      <c r="XEM61" s="69"/>
      <c r="XEN61" s="69"/>
      <c r="XEO61" s="69"/>
      <c r="XEP61" s="69"/>
    </row>
    <row r="62" spans="1:16370" hidden="1" outlineLevel="1">
      <c r="A62" s="70" t="s">
        <v>123</v>
      </c>
      <c r="B62" s="85" t="s">
        <v>85</v>
      </c>
      <c r="C62" s="72"/>
      <c r="D62" s="77">
        <f>'0'!D12</f>
        <v>15</v>
      </c>
      <c r="E62" s="77">
        <f>'0'!E12</f>
        <v>16</v>
      </c>
      <c r="F62" s="77">
        <f>'0'!F12</f>
        <v>17</v>
      </c>
      <c r="G62" s="77">
        <f>'0'!G12</f>
        <v>18</v>
      </c>
      <c r="H62" s="77">
        <f>'0'!H12</f>
        <v>19</v>
      </c>
      <c r="I62" s="77">
        <f>'0'!I12</f>
        <v>20</v>
      </c>
      <c r="J62" s="77">
        <f>'0'!J12</f>
        <v>20</v>
      </c>
      <c r="K62" s="77">
        <f>'0'!K12</f>
        <v>22</v>
      </c>
      <c r="L62" s="77">
        <f>'0'!L12</f>
        <v>24</v>
      </c>
      <c r="M62" s="77">
        <f>'0'!M12</f>
        <v>26</v>
      </c>
      <c r="N62" s="77">
        <f>'0'!N12</f>
        <v>28</v>
      </c>
      <c r="O62" s="77">
        <f>'0'!O12</f>
        <v>30</v>
      </c>
      <c r="P62" s="77">
        <f>'0'!P12</f>
        <v>30</v>
      </c>
      <c r="Q62" s="77">
        <f>'0'!Q12</f>
        <v>30</v>
      </c>
      <c r="R62" s="77">
        <f>'0'!R12</f>
        <v>30</v>
      </c>
      <c r="S62" s="77">
        <f>'0'!S12</f>
        <v>30</v>
      </c>
      <c r="T62" s="77">
        <f>'0'!T12</f>
        <v>30</v>
      </c>
      <c r="U62" s="77">
        <f>'0'!U12</f>
        <v>30</v>
      </c>
      <c r="V62" s="77">
        <f>'0'!V12</f>
        <v>30</v>
      </c>
      <c r="W62" s="77">
        <f>'0'!W12</f>
        <v>30</v>
      </c>
      <c r="X62" s="77">
        <f>'0'!X12</f>
        <v>30</v>
      </c>
      <c r="Y62" s="77">
        <f>'0'!Y12</f>
        <v>30</v>
      </c>
      <c r="Z62" s="77">
        <f>'0'!Z12</f>
        <v>30</v>
      </c>
      <c r="AA62" s="77">
        <f>'0'!AA12</f>
        <v>30</v>
      </c>
      <c r="AB62" s="77">
        <f>'0'!AB12</f>
        <v>30</v>
      </c>
      <c r="AC62" s="77">
        <f>'0'!AC12</f>
        <v>30</v>
      </c>
      <c r="AD62" s="77">
        <f>'0'!AD12</f>
        <v>30</v>
      </c>
      <c r="AE62" s="77">
        <f>'0'!AE12</f>
        <v>30</v>
      </c>
      <c r="AF62" s="77">
        <f>'0'!AF12</f>
        <v>30</v>
      </c>
      <c r="AG62" s="77">
        <f>'0'!AG12</f>
        <v>30</v>
      </c>
      <c r="AH62" s="77">
        <f>'0'!AH12</f>
        <v>30</v>
      </c>
      <c r="AI62" s="77">
        <f>'0'!AI12</f>
        <v>30</v>
      </c>
      <c r="AJ62" s="77">
        <f>'0'!AJ12</f>
        <v>30</v>
      </c>
      <c r="AK62" s="77">
        <f>'0'!AK12</f>
        <v>30</v>
      </c>
      <c r="AL62" s="77">
        <f>'0'!AL12</f>
        <v>30</v>
      </c>
      <c r="AM62" s="77">
        <f>'0'!AM12</f>
        <v>30</v>
      </c>
      <c r="AN62" s="81"/>
      <c r="AO62" s="75">
        <f>O62</f>
        <v>30</v>
      </c>
      <c r="AP62" s="75">
        <f>AA62</f>
        <v>30</v>
      </c>
      <c r="AQ62" s="75">
        <f>AM62</f>
        <v>30</v>
      </c>
    </row>
    <row r="63" spans="1:16370" hidden="1" outlineLevel="1">
      <c r="A63" s="70" t="s">
        <v>147</v>
      </c>
      <c r="B63" s="85" t="s">
        <v>85</v>
      </c>
      <c r="C63" s="72"/>
      <c r="D63" s="86">
        <v>30</v>
      </c>
      <c r="E63" s="86">
        <v>30</v>
      </c>
      <c r="F63" s="86">
        <v>30</v>
      </c>
      <c r="G63" s="86">
        <v>30</v>
      </c>
      <c r="H63" s="86">
        <v>30</v>
      </c>
      <c r="I63" s="86">
        <v>30</v>
      </c>
      <c r="J63" s="86">
        <v>30</v>
      </c>
      <c r="K63" s="86">
        <v>30</v>
      </c>
      <c r="L63" s="86">
        <v>30</v>
      </c>
      <c r="M63" s="86">
        <v>30</v>
      </c>
      <c r="N63" s="86">
        <v>30</v>
      </c>
      <c r="O63" s="86">
        <v>30</v>
      </c>
      <c r="P63" s="86">
        <v>30</v>
      </c>
      <c r="Q63" s="86">
        <v>30</v>
      </c>
      <c r="R63" s="86">
        <v>30</v>
      </c>
      <c r="S63" s="86">
        <v>30</v>
      </c>
      <c r="T63" s="86">
        <v>30</v>
      </c>
      <c r="U63" s="86">
        <v>30</v>
      </c>
      <c r="V63" s="86">
        <v>30</v>
      </c>
      <c r="W63" s="86">
        <v>30</v>
      </c>
      <c r="X63" s="86">
        <v>30</v>
      </c>
      <c r="Y63" s="86">
        <v>30</v>
      </c>
      <c r="Z63" s="86">
        <v>30</v>
      </c>
      <c r="AA63" s="86">
        <v>30</v>
      </c>
      <c r="AB63" s="86">
        <v>30</v>
      </c>
      <c r="AC63" s="86">
        <v>30</v>
      </c>
      <c r="AD63" s="86">
        <v>30</v>
      </c>
      <c r="AE63" s="86">
        <v>30</v>
      </c>
      <c r="AF63" s="86">
        <v>30</v>
      </c>
      <c r="AG63" s="86">
        <v>30</v>
      </c>
      <c r="AH63" s="86">
        <v>30</v>
      </c>
      <c r="AI63" s="86">
        <v>30</v>
      </c>
      <c r="AJ63" s="86">
        <v>30</v>
      </c>
      <c r="AK63" s="86">
        <v>30</v>
      </c>
      <c r="AL63" s="86">
        <v>30</v>
      </c>
      <c r="AM63" s="86">
        <v>30</v>
      </c>
      <c r="AN63" s="81"/>
      <c r="AO63" s="75">
        <f>AVERAGE(D63:O63)</f>
        <v>30</v>
      </c>
      <c r="AP63" s="75">
        <f>AVERAGE(P63:AA63)</f>
        <v>30</v>
      </c>
      <c r="AQ63" s="75">
        <f>AVERAGE(AB63:AM63)</f>
        <v>30</v>
      </c>
    </row>
    <row r="64" spans="1:16370" hidden="1" outlineLevel="1">
      <c r="A64" s="70" t="s">
        <v>148</v>
      </c>
      <c r="B64" s="85" t="s">
        <v>85</v>
      </c>
      <c r="C64" s="72"/>
      <c r="D64" s="77">
        <f t="shared" ref="D64:AM64" si="38">D62*D63</f>
        <v>450</v>
      </c>
      <c r="E64" s="77">
        <f t="shared" si="38"/>
        <v>480</v>
      </c>
      <c r="F64" s="77">
        <f t="shared" si="38"/>
        <v>510</v>
      </c>
      <c r="G64" s="77">
        <f t="shared" si="38"/>
        <v>540</v>
      </c>
      <c r="H64" s="77">
        <f t="shared" si="38"/>
        <v>570</v>
      </c>
      <c r="I64" s="77">
        <f t="shared" si="38"/>
        <v>600</v>
      </c>
      <c r="J64" s="77">
        <f t="shared" si="38"/>
        <v>600</v>
      </c>
      <c r="K64" s="77">
        <f t="shared" si="38"/>
        <v>660</v>
      </c>
      <c r="L64" s="77">
        <f t="shared" si="38"/>
        <v>720</v>
      </c>
      <c r="M64" s="77">
        <f t="shared" si="38"/>
        <v>780</v>
      </c>
      <c r="N64" s="77">
        <f t="shared" si="38"/>
        <v>840</v>
      </c>
      <c r="O64" s="77">
        <f t="shared" si="38"/>
        <v>900</v>
      </c>
      <c r="P64" s="77">
        <f t="shared" si="38"/>
        <v>900</v>
      </c>
      <c r="Q64" s="77">
        <f t="shared" si="38"/>
        <v>900</v>
      </c>
      <c r="R64" s="77">
        <f t="shared" si="38"/>
        <v>900</v>
      </c>
      <c r="S64" s="77">
        <f t="shared" si="38"/>
        <v>900</v>
      </c>
      <c r="T64" s="77">
        <f t="shared" si="38"/>
        <v>900</v>
      </c>
      <c r="U64" s="77">
        <f t="shared" si="38"/>
        <v>900</v>
      </c>
      <c r="V64" s="77">
        <f t="shared" si="38"/>
        <v>900</v>
      </c>
      <c r="W64" s="77">
        <f t="shared" si="38"/>
        <v>900</v>
      </c>
      <c r="X64" s="77">
        <f t="shared" si="38"/>
        <v>900</v>
      </c>
      <c r="Y64" s="77">
        <f t="shared" si="38"/>
        <v>900</v>
      </c>
      <c r="Z64" s="77">
        <f t="shared" si="38"/>
        <v>900</v>
      </c>
      <c r="AA64" s="77">
        <f t="shared" si="38"/>
        <v>900</v>
      </c>
      <c r="AB64" s="77">
        <f t="shared" si="38"/>
        <v>900</v>
      </c>
      <c r="AC64" s="77">
        <f t="shared" si="38"/>
        <v>900</v>
      </c>
      <c r="AD64" s="77">
        <f t="shared" si="38"/>
        <v>900</v>
      </c>
      <c r="AE64" s="77">
        <f t="shared" si="38"/>
        <v>900</v>
      </c>
      <c r="AF64" s="77">
        <f t="shared" si="38"/>
        <v>900</v>
      </c>
      <c r="AG64" s="77">
        <f t="shared" si="38"/>
        <v>900</v>
      </c>
      <c r="AH64" s="77">
        <f t="shared" si="38"/>
        <v>900</v>
      </c>
      <c r="AI64" s="77">
        <f t="shared" si="38"/>
        <v>900</v>
      </c>
      <c r="AJ64" s="77">
        <f t="shared" si="38"/>
        <v>900</v>
      </c>
      <c r="AK64" s="77">
        <f t="shared" si="38"/>
        <v>900</v>
      </c>
      <c r="AL64" s="77">
        <f t="shared" si="38"/>
        <v>900</v>
      </c>
      <c r="AM64" s="77">
        <f t="shared" si="38"/>
        <v>900</v>
      </c>
      <c r="AN64" s="81"/>
      <c r="AO64" s="75">
        <f>SUM(D64:O64)</f>
        <v>7650</v>
      </c>
      <c r="AP64" s="75">
        <f>SUM(P64:AA64)</f>
        <v>10800</v>
      </c>
      <c r="AQ64" s="75">
        <f>SUM(AB64:AM64)</f>
        <v>10800</v>
      </c>
    </row>
    <row r="65" spans="1:43" hidden="1" outlineLevel="1">
      <c r="A65" s="70" t="s">
        <v>149</v>
      </c>
      <c r="B65" s="71" t="s">
        <v>164</v>
      </c>
      <c r="C65" s="72"/>
      <c r="D65" s="104">
        <v>0.5</v>
      </c>
      <c r="E65" s="104">
        <v>0.5</v>
      </c>
      <c r="F65" s="104">
        <v>0.5</v>
      </c>
      <c r="G65" s="104">
        <v>0.5</v>
      </c>
      <c r="H65" s="104">
        <v>0.5</v>
      </c>
      <c r="I65" s="104">
        <v>0.5</v>
      </c>
      <c r="J65" s="104">
        <v>0.5</v>
      </c>
      <c r="K65" s="104">
        <v>0.5</v>
      </c>
      <c r="L65" s="104">
        <v>0.5</v>
      </c>
      <c r="M65" s="104">
        <v>0.5</v>
      </c>
      <c r="N65" s="104">
        <v>0.5</v>
      </c>
      <c r="O65" s="104">
        <v>0.5</v>
      </c>
      <c r="P65" s="104">
        <v>0.5</v>
      </c>
      <c r="Q65" s="104">
        <v>0.5</v>
      </c>
      <c r="R65" s="104">
        <v>0.5</v>
      </c>
      <c r="S65" s="104">
        <v>0.5</v>
      </c>
      <c r="T65" s="104">
        <v>0.5</v>
      </c>
      <c r="U65" s="104">
        <v>0.5</v>
      </c>
      <c r="V65" s="104">
        <v>0.5</v>
      </c>
      <c r="W65" s="104">
        <v>0.5</v>
      </c>
      <c r="X65" s="104">
        <v>0.5</v>
      </c>
      <c r="Y65" s="104">
        <v>0.5</v>
      </c>
      <c r="Z65" s="104">
        <v>0.5</v>
      </c>
      <c r="AA65" s="104">
        <v>0.5</v>
      </c>
      <c r="AB65" s="104">
        <v>0.5</v>
      </c>
      <c r="AC65" s="104">
        <v>0.5</v>
      </c>
      <c r="AD65" s="104">
        <v>0.5</v>
      </c>
      <c r="AE65" s="104">
        <v>0.5</v>
      </c>
      <c r="AF65" s="104">
        <v>0.5</v>
      </c>
      <c r="AG65" s="104">
        <v>0.5</v>
      </c>
      <c r="AH65" s="104">
        <v>0.5</v>
      </c>
      <c r="AI65" s="104">
        <v>0.5</v>
      </c>
      <c r="AJ65" s="104">
        <v>0.5</v>
      </c>
      <c r="AK65" s="104">
        <v>0.5</v>
      </c>
      <c r="AL65" s="104">
        <v>0.5</v>
      </c>
      <c r="AM65" s="104">
        <v>0.5</v>
      </c>
      <c r="AN65" s="81"/>
      <c r="AO65" s="75">
        <f>AVERAGE(D65:O65)</f>
        <v>0.5</v>
      </c>
      <c r="AP65" s="75">
        <f>AVERAGE(P65:AA65)</f>
        <v>0.5</v>
      </c>
      <c r="AQ65" s="75">
        <f>AVERAGE(AB65:AM65)</f>
        <v>0.5</v>
      </c>
    </row>
    <row r="66" spans="1:43" hidden="1" outlineLevel="1">
      <c r="A66" s="70" t="s">
        <v>150</v>
      </c>
      <c r="B66" s="71" t="s">
        <v>164</v>
      </c>
      <c r="C66" s="72"/>
      <c r="D66" s="77">
        <f t="shared" ref="D66:AM66" si="39">D64*D65</f>
        <v>225</v>
      </c>
      <c r="E66" s="77">
        <f t="shared" si="39"/>
        <v>240</v>
      </c>
      <c r="F66" s="77">
        <f t="shared" si="39"/>
        <v>255</v>
      </c>
      <c r="G66" s="77">
        <f t="shared" si="39"/>
        <v>270</v>
      </c>
      <c r="H66" s="77">
        <f t="shared" si="39"/>
        <v>285</v>
      </c>
      <c r="I66" s="77">
        <f t="shared" si="39"/>
        <v>300</v>
      </c>
      <c r="J66" s="77">
        <f t="shared" si="39"/>
        <v>300</v>
      </c>
      <c r="K66" s="77">
        <f t="shared" si="39"/>
        <v>330</v>
      </c>
      <c r="L66" s="77">
        <f t="shared" si="39"/>
        <v>360</v>
      </c>
      <c r="M66" s="77">
        <f t="shared" si="39"/>
        <v>390</v>
      </c>
      <c r="N66" s="77">
        <f t="shared" si="39"/>
        <v>420</v>
      </c>
      <c r="O66" s="77">
        <f t="shared" si="39"/>
        <v>450</v>
      </c>
      <c r="P66" s="77">
        <f t="shared" si="39"/>
        <v>450</v>
      </c>
      <c r="Q66" s="77">
        <f t="shared" si="39"/>
        <v>450</v>
      </c>
      <c r="R66" s="77">
        <f t="shared" si="39"/>
        <v>450</v>
      </c>
      <c r="S66" s="77">
        <f t="shared" si="39"/>
        <v>450</v>
      </c>
      <c r="T66" s="77">
        <f t="shared" si="39"/>
        <v>450</v>
      </c>
      <c r="U66" s="77">
        <f t="shared" si="39"/>
        <v>450</v>
      </c>
      <c r="V66" s="77">
        <f t="shared" si="39"/>
        <v>450</v>
      </c>
      <c r="W66" s="77">
        <f t="shared" si="39"/>
        <v>450</v>
      </c>
      <c r="X66" s="77">
        <f t="shared" si="39"/>
        <v>450</v>
      </c>
      <c r="Y66" s="77">
        <f t="shared" si="39"/>
        <v>450</v>
      </c>
      <c r="Z66" s="77">
        <f t="shared" si="39"/>
        <v>450</v>
      </c>
      <c r="AA66" s="77">
        <f t="shared" si="39"/>
        <v>450</v>
      </c>
      <c r="AB66" s="77">
        <f t="shared" si="39"/>
        <v>450</v>
      </c>
      <c r="AC66" s="77">
        <f t="shared" si="39"/>
        <v>450</v>
      </c>
      <c r="AD66" s="77">
        <f t="shared" si="39"/>
        <v>450</v>
      </c>
      <c r="AE66" s="77">
        <f t="shared" si="39"/>
        <v>450</v>
      </c>
      <c r="AF66" s="77">
        <f t="shared" si="39"/>
        <v>450</v>
      </c>
      <c r="AG66" s="77">
        <f t="shared" si="39"/>
        <v>450</v>
      </c>
      <c r="AH66" s="77">
        <f t="shared" si="39"/>
        <v>450</v>
      </c>
      <c r="AI66" s="77">
        <f t="shared" si="39"/>
        <v>450</v>
      </c>
      <c r="AJ66" s="77">
        <f t="shared" si="39"/>
        <v>450</v>
      </c>
      <c r="AK66" s="77">
        <f t="shared" si="39"/>
        <v>450</v>
      </c>
      <c r="AL66" s="77">
        <f t="shared" si="39"/>
        <v>450</v>
      </c>
      <c r="AM66" s="77">
        <f t="shared" si="39"/>
        <v>450</v>
      </c>
      <c r="AN66" s="81"/>
      <c r="AO66" s="75">
        <f>SUM(D66:O66)</f>
        <v>3825</v>
      </c>
      <c r="AP66" s="75">
        <f>SUM(P66:AA66)</f>
        <v>5400</v>
      </c>
      <c r="AQ66" s="75">
        <f>SUM(AB66:AM66)</f>
        <v>5400</v>
      </c>
    </row>
    <row r="67" spans="1:43" hidden="1" outlineLevel="1">
      <c r="A67" s="70" t="s">
        <v>153</v>
      </c>
      <c r="B67" s="71" t="s">
        <v>164</v>
      </c>
      <c r="C67" s="72"/>
      <c r="D67" s="77"/>
      <c r="E67" s="77">
        <f t="shared" ref="E67:AM67" si="40">-D74/2</f>
        <v>0.65625000000000011</v>
      </c>
      <c r="F67" s="77">
        <f t="shared" si="40"/>
        <v>1.9597265625000002</v>
      </c>
      <c r="G67" s="77">
        <f t="shared" si="40"/>
        <v>3.2477959472656255</v>
      </c>
      <c r="H67" s="77">
        <f t="shared" si="40"/>
        <v>4.5235848923136404</v>
      </c>
      <c r="I67" s="77">
        <f t="shared" si="40"/>
        <v>5.7880360120696102</v>
      </c>
      <c r="J67" s="77">
        <f t="shared" si="40"/>
        <v>7.0420252387015942</v>
      </c>
      <c r="K67" s="77">
        <f t="shared" si="40"/>
        <v>8.2426108141245447</v>
      </c>
      <c r="L67" s="77">
        <f t="shared" si="40"/>
        <v>9.4378067681015754</v>
      </c>
      <c r="M67" s="77">
        <f t="shared" si="40"/>
        <v>10.715390755374605</v>
      </c>
      <c r="N67" s="77">
        <f t="shared" si="40"/>
        <v>12.068721685203528</v>
      </c>
      <c r="O67" s="77">
        <f t="shared" si="40"/>
        <v>13.491948539388256</v>
      </c>
      <c r="P67" s="77">
        <f t="shared" si="40"/>
        <v>14.979671449260961</v>
      </c>
      <c r="Q67" s="77">
        <f t="shared" si="40"/>
        <v>16.439407720122773</v>
      </c>
      <c r="R67" s="77">
        <f t="shared" si="40"/>
        <v>17.78609605768991</v>
      </c>
      <c r="S67" s="77">
        <f t="shared" si="40"/>
        <v>19.02874577223437</v>
      </c>
      <c r="T67" s="77">
        <f t="shared" si="40"/>
        <v>20.175393579885455</v>
      </c>
      <c r="U67" s="77">
        <f t="shared" si="40"/>
        <v>21.233456188005349</v>
      </c>
      <c r="V67" s="77">
        <f t="shared" si="40"/>
        <v>22.209777317494584</v>
      </c>
      <c r="W67" s="77">
        <f t="shared" si="40"/>
        <v>23.110671972094408</v>
      </c>
      <c r="X67" s="77">
        <f t="shared" si="40"/>
        <v>23.941967284847845</v>
      </c>
      <c r="Y67" s="77">
        <f t="shared" si="40"/>
        <v>24.709040208943275</v>
      </c>
      <c r="Z67" s="77">
        <f t="shared" si="40"/>
        <v>25.416852296721562</v>
      </c>
      <c r="AA67" s="77">
        <f t="shared" si="40"/>
        <v>26.069981791802949</v>
      </c>
      <c r="AB67" s="77">
        <f t="shared" si="40"/>
        <v>26.672653241910904</v>
      </c>
      <c r="AC67" s="77">
        <f t="shared" si="40"/>
        <v>27.228764823933322</v>
      </c>
      <c r="AD67" s="77">
        <f t="shared" si="40"/>
        <v>27.741913557964264</v>
      </c>
      <c r="AE67" s="77">
        <f t="shared" si="40"/>
        <v>28.215418573414443</v>
      </c>
      <c r="AF67" s="77">
        <f t="shared" si="40"/>
        <v>28.652342577679761</v>
      </c>
      <c r="AG67" s="77">
        <f t="shared" si="40"/>
        <v>29.055511666230469</v>
      </c>
      <c r="AH67" s="77">
        <f t="shared" si="40"/>
        <v>29.427533602256005</v>
      </c>
      <c r="AI67" s="77">
        <f t="shared" si="40"/>
        <v>29.770814684101087</v>
      </c>
      <c r="AJ67" s="77">
        <f t="shared" si="40"/>
        <v>30.087575309594541</v>
      </c>
      <c r="AK67" s="77">
        <f t="shared" si="40"/>
        <v>30.379864337943285</v>
      </c>
      <c r="AL67" s="77">
        <f t="shared" si="40"/>
        <v>30.64957234208666</v>
      </c>
      <c r="AM67" s="77">
        <f t="shared" si="40"/>
        <v>30.898443837229532</v>
      </c>
      <c r="AN67" s="81"/>
      <c r="AO67" s="75">
        <f>SUM(D67:O67)</f>
        <v>77.173897215042984</v>
      </c>
      <c r="AP67" s="75">
        <f>SUM(P67:AA67)</f>
        <v>255.10106163910342</v>
      </c>
      <c r="AQ67" s="75">
        <f>SUM(AB67:AM67)</f>
        <v>348.78040855434426</v>
      </c>
    </row>
    <row r="68" spans="1:43" s="90" customFormat="1" hidden="1" outlineLevel="1">
      <c r="A68" s="70" t="s">
        <v>88</v>
      </c>
      <c r="B68" s="71" t="s">
        <v>89</v>
      </c>
      <c r="C68" s="87"/>
      <c r="D68" s="86">
        <v>12</v>
      </c>
      <c r="E68" s="86">
        <v>12</v>
      </c>
      <c r="F68" s="86">
        <v>12</v>
      </c>
      <c r="G68" s="86">
        <v>12</v>
      </c>
      <c r="H68" s="86">
        <v>12</v>
      </c>
      <c r="I68" s="86">
        <v>12</v>
      </c>
      <c r="J68" s="86">
        <v>12</v>
      </c>
      <c r="K68" s="86">
        <v>12</v>
      </c>
      <c r="L68" s="86">
        <v>12</v>
      </c>
      <c r="M68" s="86">
        <v>12</v>
      </c>
      <c r="N68" s="86">
        <v>12</v>
      </c>
      <c r="O68" s="86">
        <v>12</v>
      </c>
      <c r="P68" s="86">
        <v>12</v>
      </c>
      <c r="Q68" s="86">
        <v>12</v>
      </c>
      <c r="R68" s="86">
        <v>12</v>
      </c>
      <c r="S68" s="86">
        <v>12</v>
      </c>
      <c r="T68" s="86">
        <v>12</v>
      </c>
      <c r="U68" s="86">
        <v>12</v>
      </c>
      <c r="V68" s="86">
        <v>12</v>
      </c>
      <c r="W68" s="86">
        <v>12</v>
      </c>
      <c r="X68" s="86">
        <v>12</v>
      </c>
      <c r="Y68" s="86">
        <v>12</v>
      </c>
      <c r="Z68" s="86">
        <v>12</v>
      </c>
      <c r="AA68" s="86">
        <v>12</v>
      </c>
      <c r="AB68" s="86">
        <v>12</v>
      </c>
      <c r="AC68" s="86">
        <v>12</v>
      </c>
      <c r="AD68" s="86">
        <v>12</v>
      </c>
      <c r="AE68" s="86">
        <v>12</v>
      </c>
      <c r="AF68" s="86">
        <v>12</v>
      </c>
      <c r="AG68" s="86">
        <v>12</v>
      </c>
      <c r="AH68" s="86">
        <v>12</v>
      </c>
      <c r="AI68" s="86">
        <v>12</v>
      </c>
      <c r="AJ68" s="86">
        <v>12</v>
      </c>
      <c r="AK68" s="86">
        <v>12</v>
      </c>
      <c r="AL68" s="86">
        <v>12</v>
      </c>
      <c r="AM68" s="86">
        <v>12</v>
      </c>
      <c r="AN68" s="88"/>
      <c r="AO68" s="75">
        <f>AVERAGE(D68:O68)</f>
        <v>12</v>
      </c>
      <c r="AP68" s="75">
        <f>AVERAGE(P68:AA68)</f>
        <v>12</v>
      </c>
      <c r="AQ68" s="75">
        <f>AVERAGE(AB68:AM68)</f>
        <v>12</v>
      </c>
    </row>
    <row r="69" spans="1:43" hidden="1" outlineLevel="1">
      <c r="A69" s="91" t="s">
        <v>151</v>
      </c>
      <c r="B69" s="71" t="s">
        <v>164</v>
      </c>
      <c r="C69" s="72"/>
      <c r="D69" s="78">
        <v>0</v>
      </c>
      <c r="E69" s="81">
        <f t="shared" ref="E69:AM69" si="41">D70/E68</f>
        <v>18.75</v>
      </c>
      <c r="F69" s="81">
        <f t="shared" si="41"/>
        <v>37.2421875</v>
      </c>
      <c r="G69" s="81">
        <f t="shared" si="41"/>
        <v>55.551982421875003</v>
      </c>
      <c r="H69" s="81">
        <f t="shared" si="41"/>
        <v>73.693300215657558</v>
      </c>
      <c r="I69" s="81">
        <f t="shared" si="41"/>
        <v>91.679157272045572</v>
      </c>
      <c r="J69" s="81">
        <f t="shared" si="41"/>
        <v>109.52156383371424</v>
      </c>
      <c r="K69" s="81">
        <f t="shared" si="41"/>
        <v>125.98160228412985</v>
      </c>
      <c r="L69" s="81">
        <f t="shared" si="41"/>
        <v>143.67001966162942</v>
      </c>
      <c r="M69" s="81">
        <f t="shared" si="41"/>
        <v>162.4840019205021</v>
      </c>
      <c r="N69" s="81">
        <f t="shared" si="41"/>
        <v>182.33661765674151</v>
      </c>
      <c r="O69" s="81">
        <f t="shared" si="41"/>
        <v>203.14762632578001</v>
      </c>
      <c r="P69" s="81">
        <f t="shared" si="41"/>
        <v>224.84298651024736</v>
      </c>
      <c r="Q69" s="81">
        <f t="shared" si="41"/>
        <v>244.8543769218318</v>
      </c>
      <c r="R69" s="81">
        <f t="shared" si="41"/>
        <v>263.31979615502274</v>
      </c>
      <c r="S69" s="81">
        <f t="shared" si="41"/>
        <v>280.35865448024498</v>
      </c>
      <c r="T69" s="81">
        <f t="shared" si="41"/>
        <v>296.08116208791074</v>
      </c>
      <c r="U69" s="81">
        <f t="shared" si="41"/>
        <v>310.58901471224198</v>
      </c>
      <c r="V69" s="81">
        <f t="shared" si="41"/>
        <v>323.97605150188889</v>
      </c>
      <c r="W69" s="81">
        <f t="shared" si="41"/>
        <v>336.32886198652272</v>
      </c>
      <c r="X69" s="81">
        <f t="shared" si="41"/>
        <v>347.72734615198709</v>
      </c>
      <c r="Y69" s="81">
        <f t="shared" si="41"/>
        <v>358.24523124639217</v>
      </c>
      <c r="Z69" s="81">
        <f t="shared" si="41"/>
        <v>367.95054865993808</v>
      </c>
      <c r="AA69" s="81">
        <f t="shared" si="41"/>
        <v>376.90607396300334</v>
      </c>
      <c r="AB69" s="81">
        <f t="shared" si="41"/>
        <v>385.16973294873668</v>
      </c>
      <c r="AC69" s="81">
        <f t="shared" si="41"/>
        <v>392.79497630650116</v>
      </c>
      <c r="AD69" s="81">
        <f t="shared" si="41"/>
        <v>399.83112534962055</v>
      </c>
      <c r="AE69" s="81">
        <f t="shared" si="41"/>
        <v>406.32369103364914</v>
      </c>
      <c r="AF69" s="81">
        <f t="shared" si="41"/>
        <v>412.31466832862958</v>
      </c>
      <c r="AG69" s="81">
        <f t="shared" si="41"/>
        <v>417.84280784938375</v>
      </c>
      <c r="AH69" s="81">
        <f t="shared" si="41"/>
        <v>422.94386650078769</v>
      </c>
      <c r="AI69" s="81">
        <f t="shared" si="41"/>
        <v>427.65083875924341</v>
      </c>
      <c r="AJ69" s="81">
        <f t="shared" si="41"/>
        <v>431.99417008631491</v>
      </c>
      <c r="AK69" s="81">
        <f t="shared" si="41"/>
        <v>436.00195385492157</v>
      </c>
      <c r="AL69" s="81">
        <f t="shared" si="41"/>
        <v>439.70011306184006</v>
      </c>
      <c r="AM69" s="81">
        <f t="shared" si="41"/>
        <v>443.11256800186061</v>
      </c>
      <c r="AN69" s="81"/>
      <c r="AO69" s="75">
        <f>SUM(D69:O69)</f>
        <v>1204.0580590920754</v>
      </c>
      <c r="AP69" s="75">
        <f>SUM(P69:AA69)</f>
        <v>3731.1801043772321</v>
      </c>
      <c r="AQ69" s="75">
        <f>SUM(AB69:AM69)</f>
        <v>5015.6805120814888</v>
      </c>
    </row>
    <row r="70" spans="1:43" s="69" customFormat="1" hidden="1" outlineLevel="1">
      <c r="A70" s="70" t="s">
        <v>152</v>
      </c>
      <c r="B70" s="71" t="s">
        <v>164</v>
      </c>
      <c r="C70" s="72"/>
      <c r="D70" s="73">
        <f>D66-D69</f>
        <v>225</v>
      </c>
      <c r="E70" s="73">
        <f t="shared" ref="E70:AM70" si="42">D70+E66-E69+E67</f>
        <v>446.90625</v>
      </c>
      <c r="F70" s="73">
        <f t="shared" si="42"/>
        <v>666.62378906250001</v>
      </c>
      <c r="G70" s="73">
        <f t="shared" si="42"/>
        <v>884.3196025878907</v>
      </c>
      <c r="H70" s="73">
        <f t="shared" si="42"/>
        <v>1100.1498872645468</v>
      </c>
      <c r="I70" s="73">
        <f t="shared" si="42"/>
        <v>1314.2587660045708</v>
      </c>
      <c r="J70" s="73">
        <f t="shared" si="42"/>
        <v>1511.7792274095582</v>
      </c>
      <c r="K70" s="73">
        <f t="shared" si="42"/>
        <v>1724.040235939553</v>
      </c>
      <c r="L70" s="73">
        <f t="shared" si="42"/>
        <v>1949.8080230460253</v>
      </c>
      <c r="M70" s="73">
        <f t="shared" si="42"/>
        <v>2188.0394118808981</v>
      </c>
      <c r="N70" s="73">
        <f t="shared" si="42"/>
        <v>2437.77151590936</v>
      </c>
      <c r="O70" s="73">
        <f t="shared" si="42"/>
        <v>2698.1158381229684</v>
      </c>
      <c r="P70" s="73">
        <f t="shared" si="42"/>
        <v>2938.2525230619817</v>
      </c>
      <c r="Q70" s="73">
        <f t="shared" si="42"/>
        <v>3159.8375538602727</v>
      </c>
      <c r="R70" s="73">
        <f t="shared" si="42"/>
        <v>3364.30385376294</v>
      </c>
      <c r="S70" s="73">
        <f t="shared" si="42"/>
        <v>3552.9739450549291</v>
      </c>
      <c r="T70" s="73">
        <f t="shared" si="42"/>
        <v>3727.0681765469039</v>
      </c>
      <c r="U70" s="73">
        <f t="shared" si="42"/>
        <v>3887.7126180226669</v>
      </c>
      <c r="V70" s="73">
        <f t="shared" si="42"/>
        <v>4035.9463438382727</v>
      </c>
      <c r="W70" s="73">
        <f t="shared" si="42"/>
        <v>4172.7281538238449</v>
      </c>
      <c r="X70" s="73">
        <f t="shared" si="42"/>
        <v>4298.9427749567058</v>
      </c>
      <c r="Y70" s="73">
        <f t="shared" si="42"/>
        <v>4415.4065839192572</v>
      </c>
      <c r="Z70" s="73">
        <f t="shared" si="42"/>
        <v>4522.87288755604</v>
      </c>
      <c r="AA70" s="73">
        <f t="shared" si="42"/>
        <v>4622.0367953848399</v>
      </c>
      <c r="AB70" s="73">
        <f t="shared" si="42"/>
        <v>4713.5397156780136</v>
      </c>
      <c r="AC70" s="73">
        <f t="shared" si="42"/>
        <v>4797.9735041954464</v>
      </c>
      <c r="AD70" s="73">
        <f t="shared" si="42"/>
        <v>4875.8842924037899</v>
      </c>
      <c r="AE70" s="73">
        <f t="shared" si="42"/>
        <v>4947.7760199435552</v>
      </c>
      <c r="AF70" s="73">
        <f t="shared" si="42"/>
        <v>5014.1136941926052</v>
      </c>
      <c r="AG70" s="73">
        <f t="shared" si="42"/>
        <v>5075.3263980094525</v>
      </c>
      <c r="AH70" s="73">
        <f t="shared" si="42"/>
        <v>5131.8100651109207</v>
      </c>
      <c r="AI70" s="73">
        <f t="shared" si="42"/>
        <v>5183.9300410357791</v>
      </c>
      <c r="AJ70" s="73">
        <f t="shared" si="42"/>
        <v>5232.0234462590588</v>
      </c>
      <c r="AK70" s="73">
        <f t="shared" si="42"/>
        <v>5276.4013567420807</v>
      </c>
      <c r="AL70" s="73">
        <f t="shared" si="42"/>
        <v>5317.3508160223273</v>
      </c>
      <c r="AM70" s="73">
        <f t="shared" si="42"/>
        <v>5355.1366918576969</v>
      </c>
      <c r="AN70" s="74"/>
      <c r="AO70" s="75">
        <f>O70</f>
        <v>2698.1158381229684</v>
      </c>
      <c r="AP70" s="75">
        <f>AA70</f>
        <v>4622.0367953848399</v>
      </c>
      <c r="AQ70" s="75">
        <f>AM70</f>
        <v>5355.1366918576969</v>
      </c>
    </row>
    <row r="71" spans="1:43" s="69" customFormat="1" hidden="1" outlineLevel="1">
      <c r="A71" s="70" t="s">
        <v>99</v>
      </c>
      <c r="B71" s="71" t="s">
        <v>79</v>
      </c>
      <c r="C71" s="72"/>
      <c r="D71" s="92">
        <v>0.01</v>
      </c>
      <c r="E71" s="92">
        <v>0.01</v>
      </c>
      <c r="F71" s="92">
        <v>0.01</v>
      </c>
      <c r="G71" s="92">
        <v>0.01</v>
      </c>
      <c r="H71" s="92">
        <v>0.01</v>
      </c>
      <c r="I71" s="92">
        <v>0.01</v>
      </c>
      <c r="J71" s="92">
        <v>0.01</v>
      </c>
      <c r="K71" s="92">
        <v>0.01</v>
      </c>
      <c r="L71" s="92">
        <v>0.01</v>
      </c>
      <c r="M71" s="92">
        <v>0.01</v>
      </c>
      <c r="N71" s="92">
        <v>0.01</v>
      </c>
      <c r="O71" s="92">
        <v>0.01</v>
      </c>
      <c r="P71" s="92">
        <v>0.01</v>
      </c>
      <c r="Q71" s="92">
        <v>0.01</v>
      </c>
      <c r="R71" s="92">
        <v>0.01</v>
      </c>
      <c r="S71" s="92">
        <v>0.01</v>
      </c>
      <c r="T71" s="92">
        <v>0.01</v>
      </c>
      <c r="U71" s="92">
        <v>0.01</v>
      </c>
      <c r="V71" s="92">
        <v>0.01</v>
      </c>
      <c r="W71" s="92">
        <v>0.01</v>
      </c>
      <c r="X71" s="92">
        <v>0.01</v>
      </c>
      <c r="Y71" s="92">
        <v>0.01</v>
      </c>
      <c r="Z71" s="92">
        <v>0.01</v>
      </c>
      <c r="AA71" s="92">
        <v>0.01</v>
      </c>
      <c r="AB71" s="92">
        <v>0.01</v>
      </c>
      <c r="AC71" s="92">
        <v>0.01</v>
      </c>
      <c r="AD71" s="92">
        <v>0.01</v>
      </c>
      <c r="AE71" s="92">
        <v>0.01</v>
      </c>
      <c r="AF71" s="92">
        <v>0.01</v>
      </c>
      <c r="AG71" s="92">
        <v>0.01</v>
      </c>
      <c r="AH71" s="92">
        <v>0.01</v>
      </c>
      <c r="AI71" s="92">
        <v>0.01</v>
      </c>
      <c r="AJ71" s="92">
        <v>0.01</v>
      </c>
      <c r="AK71" s="92">
        <v>0.01</v>
      </c>
      <c r="AL71" s="92">
        <v>0.01</v>
      </c>
      <c r="AM71" s="92">
        <v>0.01</v>
      </c>
      <c r="AN71" s="74"/>
      <c r="AO71" s="93">
        <f>AVERAGE(D71:O71)</f>
        <v>9.9999999999999985E-3</v>
      </c>
      <c r="AP71" s="93">
        <f>AVERAGE(P71:AA71)</f>
        <v>9.9999999999999985E-3</v>
      </c>
      <c r="AQ71" s="93">
        <f>AVERAGE(AB71:AM71)</f>
        <v>9.9999999999999985E-3</v>
      </c>
    </row>
    <row r="72" spans="1:43" hidden="1" outlineLevel="1">
      <c r="A72" s="70" t="s">
        <v>91</v>
      </c>
      <c r="B72" s="71" t="s">
        <v>79</v>
      </c>
      <c r="C72" s="72"/>
      <c r="D72" s="92">
        <v>0.14000000000000001</v>
      </c>
      <c r="E72" s="92">
        <v>0.14000000000000001</v>
      </c>
      <c r="F72" s="92">
        <v>0.14000000000000001</v>
      </c>
      <c r="G72" s="92">
        <v>0.14000000000000001</v>
      </c>
      <c r="H72" s="92">
        <v>0.14000000000000001</v>
      </c>
      <c r="I72" s="92">
        <v>0.14000000000000001</v>
      </c>
      <c r="J72" s="92">
        <v>0.14000000000000001</v>
      </c>
      <c r="K72" s="92">
        <v>0.14000000000000001</v>
      </c>
      <c r="L72" s="92">
        <v>0.14000000000000001</v>
      </c>
      <c r="M72" s="92">
        <v>0.14000000000000001</v>
      </c>
      <c r="N72" s="92">
        <v>0.14000000000000001</v>
      </c>
      <c r="O72" s="92">
        <v>0.14000000000000001</v>
      </c>
      <c r="P72" s="92">
        <v>0.14000000000000001</v>
      </c>
      <c r="Q72" s="92">
        <v>0.14000000000000001</v>
      </c>
      <c r="R72" s="92">
        <v>0.14000000000000001</v>
      </c>
      <c r="S72" s="92">
        <v>0.14000000000000001</v>
      </c>
      <c r="T72" s="92">
        <v>0.14000000000000001</v>
      </c>
      <c r="U72" s="92">
        <v>0.14000000000000001</v>
      </c>
      <c r="V72" s="92">
        <v>0.14000000000000001</v>
      </c>
      <c r="W72" s="92">
        <v>0.14000000000000001</v>
      </c>
      <c r="X72" s="92">
        <v>0.14000000000000001</v>
      </c>
      <c r="Y72" s="92">
        <v>0.14000000000000001</v>
      </c>
      <c r="Z72" s="92">
        <v>0.14000000000000001</v>
      </c>
      <c r="AA72" s="92">
        <v>0.14000000000000001</v>
      </c>
      <c r="AB72" s="92">
        <v>0.14000000000000001</v>
      </c>
      <c r="AC72" s="92">
        <v>0.14000000000000001</v>
      </c>
      <c r="AD72" s="92">
        <v>0.14000000000000001</v>
      </c>
      <c r="AE72" s="92">
        <v>0.14000000000000001</v>
      </c>
      <c r="AF72" s="92">
        <v>0.14000000000000001</v>
      </c>
      <c r="AG72" s="92">
        <v>0.14000000000000001</v>
      </c>
      <c r="AH72" s="92">
        <v>0.14000000000000001</v>
      </c>
      <c r="AI72" s="92">
        <v>0.14000000000000001</v>
      </c>
      <c r="AJ72" s="92">
        <v>0.14000000000000001</v>
      </c>
      <c r="AK72" s="92">
        <v>0.14000000000000001</v>
      </c>
      <c r="AL72" s="92">
        <v>0.14000000000000001</v>
      </c>
      <c r="AM72" s="92">
        <v>0.14000000000000001</v>
      </c>
      <c r="AN72" s="81"/>
      <c r="AO72" s="93">
        <f>AVERAGE(D72:O72)</f>
        <v>0.14000000000000004</v>
      </c>
      <c r="AP72" s="93">
        <f>AVERAGE(P72:AA72)</f>
        <v>0.14000000000000004</v>
      </c>
      <c r="AQ72" s="93">
        <f>AVERAGE(AB72:AM72)</f>
        <v>0.14000000000000004</v>
      </c>
    </row>
    <row r="73" spans="1:43" hidden="1" outlineLevel="1">
      <c r="A73" s="70" t="s">
        <v>80</v>
      </c>
      <c r="B73" s="71" t="s">
        <v>79</v>
      </c>
      <c r="C73" s="72"/>
      <c r="D73" s="92">
        <v>0.16</v>
      </c>
      <c r="E73" s="92">
        <v>0.16</v>
      </c>
      <c r="F73" s="92">
        <v>0.16</v>
      </c>
      <c r="G73" s="92">
        <v>0.16</v>
      </c>
      <c r="H73" s="92">
        <v>0.16</v>
      </c>
      <c r="I73" s="92">
        <v>0.16</v>
      </c>
      <c r="J73" s="92">
        <v>0.16</v>
      </c>
      <c r="K73" s="92">
        <v>0.16</v>
      </c>
      <c r="L73" s="92">
        <v>0.16</v>
      </c>
      <c r="M73" s="92">
        <v>0.16</v>
      </c>
      <c r="N73" s="92">
        <v>0.16</v>
      </c>
      <c r="O73" s="92">
        <v>0.16</v>
      </c>
      <c r="P73" s="92">
        <v>0.16</v>
      </c>
      <c r="Q73" s="92">
        <v>0.16</v>
      </c>
      <c r="R73" s="92">
        <v>0.16</v>
      </c>
      <c r="S73" s="92">
        <v>0.16</v>
      </c>
      <c r="T73" s="92">
        <v>0.16</v>
      </c>
      <c r="U73" s="92">
        <v>0.16</v>
      </c>
      <c r="V73" s="92">
        <v>0.16</v>
      </c>
      <c r="W73" s="92">
        <v>0.16</v>
      </c>
      <c r="X73" s="92">
        <v>0.16</v>
      </c>
      <c r="Y73" s="92">
        <v>0.16</v>
      </c>
      <c r="Z73" s="92">
        <v>0.16</v>
      </c>
      <c r="AA73" s="92">
        <v>0.16</v>
      </c>
      <c r="AB73" s="92">
        <v>0.16</v>
      </c>
      <c r="AC73" s="92">
        <v>0.16</v>
      </c>
      <c r="AD73" s="92">
        <v>0.16</v>
      </c>
      <c r="AE73" s="92">
        <v>0.16</v>
      </c>
      <c r="AF73" s="92">
        <v>0.16</v>
      </c>
      <c r="AG73" s="92">
        <v>0.16</v>
      </c>
      <c r="AH73" s="92">
        <v>0.16</v>
      </c>
      <c r="AI73" s="92">
        <v>0.16</v>
      </c>
      <c r="AJ73" s="92">
        <v>0.16</v>
      </c>
      <c r="AK73" s="92">
        <v>0.16</v>
      </c>
      <c r="AL73" s="92">
        <v>0.16</v>
      </c>
      <c r="AM73" s="92">
        <v>0.16</v>
      </c>
      <c r="AN73" s="81"/>
      <c r="AO73" s="93">
        <f>AVERAGE(D73:O73)</f>
        <v>0.15999999999999998</v>
      </c>
      <c r="AP73" s="93">
        <f>AVERAGE(P73:AA73)</f>
        <v>0.15999999999999998</v>
      </c>
      <c r="AQ73" s="93">
        <f>AVERAGE(AB73:AM73)</f>
        <v>0.15999999999999998</v>
      </c>
    </row>
    <row r="74" spans="1:43" hidden="1" outlineLevel="1">
      <c r="A74" s="70" t="s">
        <v>145</v>
      </c>
      <c r="B74" s="71" t="s">
        <v>164</v>
      </c>
      <c r="C74" s="72"/>
      <c r="D74" s="73">
        <f t="shared" ref="D74:AM74" si="43">-(C70+D70)/2*D72/12</f>
        <v>-1.3125000000000002</v>
      </c>
      <c r="E74" s="73">
        <f t="shared" si="43"/>
        <v>-3.9194531250000004</v>
      </c>
      <c r="F74" s="73">
        <f t="shared" si="43"/>
        <v>-6.495591894531251</v>
      </c>
      <c r="G74" s="73">
        <f t="shared" si="43"/>
        <v>-9.0471697846272807</v>
      </c>
      <c r="H74" s="73">
        <f t="shared" si="43"/>
        <v>-11.57607202413922</v>
      </c>
      <c r="I74" s="73">
        <f t="shared" si="43"/>
        <v>-14.084050477403188</v>
      </c>
      <c r="J74" s="73">
        <f t="shared" si="43"/>
        <v>-16.485221628249089</v>
      </c>
      <c r="K74" s="73">
        <f t="shared" si="43"/>
        <v>-18.875613536203151</v>
      </c>
      <c r="L74" s="73">
        <f t="shared" si="43"/>
        <v>-21.43078151074921</v>
      </c>
      <c r="M74" s="73">
        <f t="shared" si="43"/>
        <v>-24.137443370407055</v>
      </c>
      <c r="N74" s="73">
        <f t="shared" si="43"/>
        <v>-26.983897078776511</v>
      </c>
      <c r="O74" s="73">
        <f t="shared" si="43"/>
        <v>-29.959342898521921</v>
      </c>
      <c r="P74" s="73">
        <f t="shared" si="43"/>
        <v>-32.878815440245546</v>
      </c>
      <c r="Q74" s="73">
        <f t="shared" si="43"/>
        <v>-35.572192115379821</v>
      </c>
      <c r="R74" s="73">
        <f t="shared" si="43"/>
        <v>-38.057491544468739</v>
      </c>
      <c r="S74" s="73">
        <f t="shared" si="43"/>
        <v>-40.35078715977091</v>
      </c>
      <c r="T74" s="73">
        <f t="shared" si="43"/>
        <v>-42.466912376010697</v>
      </c>
      <c r="U74" s="73">
        <f t="shared" si="43"/>
        <v>-44.419554634989169</v>
      </c>
      <c r="V74" s="73">
        <f t="shared" si="43"/>
        <v>-46.221343944188817</v>
      </c>
      <c r="W74" s="73">
        <f t="shared" si="43"/>
        <v>-47.88393456969569</v>
      </c>
      <c r="X74" s="73">
        <f t="shared" si="43"/>
        <v>-49.41808041788655</v>
      </c>
      <c r="Y74" s="73">
        <f t="shared" si="43"/>
        <v>-50.833704593443123</v>
      </c>
      <c r="Z74" s="73">
        <f t="shared" si="43"/>
        <v>-52.139963583605898</v>
      </c>
      <c r="AA74" s="73">
        <f t="shared" si="43"/>
        <v>-53.345306483821808</v>
      </c>
      <c r="AB74" s="73">
        <f t="shared" si="43"/>
        <v>-54.457529647866643</v>
      </c>
      <c r="AC74" s="73">
        <f t="shared" si="43"/>
        <v>-55.483827115928527</v>
      </c>
      <c r="AD74" s="73">
        <f t="shared" si="43"/>
        <v>-56.430837146828885</v>
      </c>
      <c r="AE74" s="73">
        <f t="shared" si="43"/>
        <v>-57.304685155359522</v>
      </c>
      <c r="AF74" s="73">
        <f t="shared" si="43"/>
        <v>-58.111023332460938</v>
      </c>
      <c r="AG74" s="73">
        <f t="shared" si="43"/>
        <v>-58.855067204512011</v>
      </c>
      <c r="AH74" s="73">
        <f t="shared" si="43"/>
        <v>-59.541629368202173</v>
      </c>
      <c r="AI74" s="73">
        <f t="shared" si="43"/>
        <v>-60.175150619189083</v>
      </c>
      <c r="AJ74" s="73">
        <f t="shared" si="43"/>
        <v>-60.759728675886571</v>
      </c>
      <c r="AK74" s="73">
        <f t="shared" si="43"/>
        <v>-61.299144684173321</v>
      </c>
      <c r="AL74" s="73">
        <f t="shared" si="43"/>
        <v>-61.796887674459064</v>
      </c>
      <c r="AM74" s="73">
        <f t="shared" si="43"/>
        <v>-62.256177129300148</v>
      </c>
      <c r="AN74" s="81"/>
      <c r="AO74" s="75">
        <f>SUM(D74:O74)</f>
        <v>-184.30713732860789</v>
      </c>
      <c r="AP74" s="75">
        <f>SUM(P74:AA74)</f>
        <v>-533.58808686350676</v>
      </c>
      <c r="AQ74" s="75">
        <f>SUM(AB74:AM74)</f>
        <v>-706.47168775416685</v>
      </c>
    </row>
    <row r="75" spans="1:43" hidden="1" outlineLevel="1">
      <c r="A75" s="70" t="s">
        <v>146</v>
      </c>
      <c r="B75" s="71" t="s">
        <v>164</v>
      </c>
      <c r="C75" s="72"/>
      <c r="D75" s="73">
        <f t="shared" ref="D75:AM75" si="44">(C70+D70)/2*D73/12</f>
        <v>1.5</v>
      </c>
      <c r="E75" s="73">
        <f t="shared" si="44"/>
        <v>4.4793750000000001</v>
      </c>
      <c r="F75" s="73">
        <f t="shared" si="44"/>
        <v>7.4235335937500002</v>
      </c>
      <c r="G75" s="73">
        <f t="shared" si="44"/>
        <v>10.339622611002605</v>
      </c>
      <c r="H75" s="73">
        <f t="shared" si="44"/>
        <v>13.229796599016252</v>
      </c>
      <c r="I75" s="73">
        <f t="shared" si="44"/>
        <v>16.096057688460785</v>
      </c>
      <c r="J75" s="73">
        <f t="shared" si="44"/>
        <v>18.84025328942753</v>
      </c>
      <c r="K75" s="73">
        <f t="shared" si="44"/>
        <v>21.57212975566074</v>
      </c>
      <c r="L75" s="73">
        <f t="shared" si="44"/>
        <v>24.492321726570523</v>
      </c>
      <c r="M75" s="73">
        <f t="shared" si="44"/>
        <v>27.585649566179494</v>
      </c>
      <c r="N75" s="73">
        <f t="shared" si="44"/>
        <v>30.838739518601724</v>
      </c>
      <c r="O75" s="73">
        <f t="shared" si="44"/>
        <v>34.239249026882192</v>
      </c>
      <c r="P75" s="73">
        <f t="shared" si="44"/>
        <v>37.575789074566337</v>
      </c>
      <c r="Q75" s="73">
        <f t="shared" si="44"/>
        <v>40.653933846148362</v>
      </c>
      <c r="R75" s="73">
        <f t="shared" si="44"/>
        <v>43.494276050821412</v>
      </c>
      <c r="S75" s="73">
        <f t="shared" si="44"/>
        <v>46.115185325452465</v>
      </c>
      <c r="T75" s="73">
        <f t="shared" si="44"/>
        <v>48.533614144012226</v>
      </c>
      <c r="U75" s="73">
        <f t="shared" si="44"/>
        <v>50.765205297130478</v>
      </c>
      <c r="V75" s="73">
        <f t="shared" si="44"/>
        <v>52.824393079072934</v>
      </c>
      <c r="W75" s="73">
        <f t="shared" si="44"/>
        <v>54.724496651080784</v>
      </c>
      <c r="X75" s="73">
        <f t="shared" si="44"/>
        <v>56.477806191870336</v>
      </c>
      <c r="Y75" s="73">
        <f t="shared" si="44"/>
        <v>58.095662392506419</v>
      </c>
      <c r="Z75" s="73">
        <f t="shared" si="44"/>
        <v>59.588529809835308</v>
      </c>
      <c r="AA75" s="73">
        <f t="shared" si="44"/>
        <v>60.966064552939208</v>
      </c>
      <c r="AB75" s="73">
        <f t="shared" si="44"/>
        <v>62.237176740419017</v>
      </c>
      <c r="AC75" s="73">
        <f t="shared" si="44"/>
        <v>63.41008813248974</v>
      </c>
      <c r="AD75" s="73">
        <f t="shared" si="44"/>
        <v>64.492385310661589</v>
      </c>
      <c r="AE75" s="73">
        <f t="shared" si="44"/>
        <v>65.4910687489823</v>
      </c>
      <c r="AF75" s="73">
        <f t="shared" si="44"/>
        <v>66.412598094241062</v>
      </c>
      <c r="AG75" s="73">
        <f t="shared" si="44"/>
        <v>67.262933948013725</v>
      </c>
      <c r="AH75" s="73">
        <f t="shared" si="44"/>
        <v>68.047576420802486</v>
      </c>
      <c r="AI75" s="73">
        <f t="shared" si="44"/>
        <v>68.771600707644666</v>
      </c>
      <c r="AJ75" s="73">
        <f t="shared" si="44"/>
        <v>69.439689915298928</v>
      </c>
      <c r="AK75" s="73">
        <f t="shared" si="44"/>
        <v>70.056165353340944</v>
      </c>
      <c r="AL75" s="73">
        <f t="shared" si="44"/>
        <v>70.62501448509606</v>
      </c>
      <c r="AM75" s="73">
        <f t="shared" si="44"/>
        <v>71.149916719200164</v>
      </c>
      <c r="AN75" s="81"/>
      <c r="AO75" s="75">
        <f>SUM(D75:O75)</f>
        <v>210.63672837555185</v>
      </c>
      <c r="AP75" s="75">
        <f>SUM(P75:AA75)</f>
        <v>609.81495641543631</v>
      </c>
      <c r="AQ75" s="75">
        <f>SUM(AB75:AM75)</f>
        <v>807.39621457619057</v>
      </c>
    </row>
    <row r="76" spans="1:43" hidden="1" outlineLevel="1">
      <c r="A76" s="70" t="s">
        <v>99</v>
      </c>
      <c r="B76" s="71" t="s">
        <v>164</v>
      </c>
      <c r="C76" s="72"/>
      <c r="D76" s="73">
        <f t="shared" ref="D76:AM76" si="45">-D71*D66</f>
        <v>-2.25</v>
      </c>
      <c r="E76" s="73">
        <f t="shared" si="45"/>
        <v>-2.4</v>
      </c>
      <c r="F76" s="73">
        <f t="shared" si="45"/>
        <v>-2.5500000000000003</v>
      </c>
      <c r="G76" s="73">
        <f t="shared" si="45"/>
        <v>-2.7</v>
      </c>
      <c r="H76" s="73">
        <f t="shared" si="45"/>
        <v>-2.85</v>
      </c>
      <c r="I76" s="73">
        <f t="shared" si="45"/>
        <v>-3</v>
      </c>
      <c r="J76" s="73">
        <f t="shared" si="45"/>
        <v>-3</v>
      </c>
      <c r="K76" s="73">
        <f t="shared" si="45"/>
        <v>-3.3000000000000003</v>
      </c>
      <c r="L76" s="73">
        <f t="shared" si="45"/>
        <v>-3.6</v>
      </c>
      <c r="M76" s="73">
        <f t="shared" si="45"/>
        <v>-3.9</v>
      </c>
      <c r="N76" s="73">
        <f t="shared" si="45"/>
        <v>-4.2</v>
      </c>
      <c r="O76" s="73">
        <f t="shared" si="45"/>
        <v>-4.5</v>
      </c>
      <c r="P76" s="73">
        <f t="shared" si="45"/>
        <v>-4.5</v>
      </c>
      <c r="Q76" s="73">
        <f t="shared" si="45"/>
        <v>-4.5</v>
      </c>
      <c r="R76" s="73">
        <f t="shared" si="45"/>
        <v>-4.5</v>
      </c>
      <c r="S76" s="73">
        <f t="shared" si="45"/>
        <v>-4.5</v>
      </c>
      <c r="T76" s="73">
        <f t="shared" si="45"/>
        <v>-4.5</v>
      </c>
      <c r="U76" s="73">
        <f t="shared" si="45"/>
        <v>-4.5</v>
      </c>
      <c r="V76" s="73">
        <f t="shared" si="45"/>
        <v>-4.5</v>
      </c>
      <c r="W76" s="73">
        <f t="shared" si="45"/>
        <v>-4.5</v>
      </c>
      <c r="X76" s="73">
        <f t="shared" si="45"/>
        <v>-4.5</v>
      </c>
      <c r="Y76" s="73">
        <f t="shared" si="45"/>
        <v>-4.5</v>
      </c>
      <c r="Z76" s="73">
        <f t="shared" si="45"/>
        <v>-4.5</v>
      </c>
      <c r="AA76" s="73">
        <f t="shared" si="45"/>
        <v>-4.5</v>
      </c>
      <c r="AB76" s="73">
        <f t="shared" si="45"/>
        <v>-4.5</v>
      </c>
      <c r="AC76" s="73">
        <f t="shared" si="45"/>
        <v>-4.5</v>
      </c>
      <c r="AD76" s="73">
        <f t="shared" si="45"/>
        <v>-4.5</v>
      </c>
      <c r="AE76" s="73">
        <f t="shared" si="45"/>
        <v>-4.5</v>
      </c>
      <c r="AF76" s="73">
        <f t="shared" si="45"/>
        <v>-4.5</v>
      </c>
      <c r="AG76" s="73">
        <f t="shared" si="45"/>
        <v>-4.5</v>
      </c>
      <c r="AH76" s="73">
        <f t="shared" si="45"/>
        <v>-4.5</v>
      </c>
      <c r="AI76" s="73">
        <f t="shared" si="45"/>
        <v>-4.5</v>
      </c>
      <c r="AJ76" s="73">
        <f t="shared" si="45"/>
        <v>-4.5</v>
      </c>
      <c r="AK76" s="73">
        <f t="shared" si="45"/>
        <v>-4.5</v>
      </c>
      <c r="AL76" s="73">
        <f t="shared" si="45"/>
        <v>-4.5</v>
      </c>
      <c r="AM76" s="73">
        <f t="shared" si="45"/>
        <v>-4.5</v>
      </c>
      <c r="AN76" s="81"/>
      <c r="AO76" s="75">
        <f>SUM(D76:O76)</f>
        <v>-38.25</v>
      </c>
      <c r="AP76" s="75">
        <f>SUM(P76:AA76)</f>
        <v>-54</v>
      </c>
      <c r="AQ76" s="75">
        <f>SUM(AB76:AM76)</f>
        <v>-54</v>
      </c>
    </row>
    <row r="77" spans="1:43" hidden="1" outlineLevel="1">
      <c r="A77" s="70" t="s">
        <v>122</v>
      </c>
      <c r="B77" s="71" t="s">
        <v>164</v>
      </c>
      <c r="C77" s="72"/>
      <c r="D77" s="78">
        <f t="shared" ref="D77:AM77" si="46">SUM(D74:D76)</f>
        <v>-2.0625</v>
      </c>
      <c r="E77" s="78">
        <f t="shared" si="46"/>
        <v>-1.8400781250000002</v>
      </c>
      <c r="F77" s="78">
        <f t="shared" si="46"/>
        <v>-1.622058300781251</v>
      </c>
      <c r="G77" s="78">
        <f t="shared" si="46"/>
        <v>-1.4075471736246756</v>
      </c>
      <c r="H77" s="78">
        <f t="shared" si="46"/>
        <v>-1.1962754251229684</v>
      </c>
      <c r="I77" s="78">
        <f t="shared" si="46"/>
        <v>-0.98799278894240317</v>
      </c>
      <c r="J77" s="78">
        <f t="shared" si="46"/>
        <v>-0.64496833882155968</v>
      </c>
      <c r="K77" s="78">
        <f t="shared" si="46"/>
        <v>-0.60348378054241136</v>
      </c>
      <c r="L77" s="78">
        <f t="shared" si="46"/>
        <v>-0.53845978417868645</v>
      </c>
      <c r="M77" s="78">
        <f t="shared" si="46"/>
        <v>-0.45179380422756088</v>
      </c>
      <c r="N77" s="78">
        <f t="shared" si="46"/>
        <v>-0.34515756017478783</v>
      </c>
      <c r="O77" s="78">
        <f t="shared" si="46"/>
        <v>-0.2200938716397296</v>
      </c>
      <c r="P77" s="78">
        <f t="shared" si="46"/>
        <v>0.19697363432079129</v>
      </c>
      <c r="Q77" s="78">
        <f t="shared" si="46"/>
        <v>0.58174173076854174</v>
      </c>
      <c r="R77" s="78">
        <f t="shared" si="46"/>
        <v>0.93678450635267296</v>
      </c>
      <c r="S77" s="78">
        <f t="shared" si="46"/>
        <v>1.2643981656815555</v>
      </c>
      <c r="T77" s="78">
        <f t="shared" si="46"/>
        <v>1.5667017680015292</v>
      </c>
      <c r="U77" s="78">
        <f t="shared" si="46"/>
        <v>1.8456506621413098</v>
      </c>
      <c r="V77" s="78">
        <f t="shared" si="46"/>
        <v>2.1030491348841167</v>
      </c>
      <c r="W77" s="78">
        <f t="shared" si="46"/>
        <v>2.3405620813850945</v>
      </c>
      <c r="X77" s="78">
        <f t="shared" si="46"/>
        <v>2.5597257739837858</v>
      </c>
      <c r="Y77" s="78">
        <f t="shared" si="46"/>
        <v>2.7619577990632962</v>
      </c>
      <c r="Z77" s="78">
        <f t="shared" si="46"/>
        <v>2.9485662262294099</v>
      </c>
      <c r="AA77" s="78">
        <f t="shared" si="46"/>
        <v>3.1207580691174002</v>
      </c>
      <c r="AB77" s="78">
        <f t="shared" si="46"/>
        <v>3.2796470925523735</v>
      </c>
      <c r="AC77" s="78">
        <f t="shared" si="46"/>
        <v>3.4262610165612131</v>
      </c>
      <c r="AD77" s="78">
        <f t="shared" si="46"/>
        <v>3.561548163832704</v>
      </c>
      <c r="AE77" s="78">
        <f t="shared" si="46"/>
        <v>3.6863835936227787</v>
      </c>
      <c r="AF77" s="78">
        <f t="shared" si="46"/>
        <v>3.8015747617801239</v>
      </c>
      <c r="AG77" s="78">
        <f t="shared" si="46"/>
        <v>3.9078667435017138</v>
      </c>
      <c r="AH77" s="78">
        <f t="shared" si="46"/>
        <v>4.0059470526003125</v>
      </c>
      <c r="AI77" s="78">
        <f t="shared" si="46"/>
        <v>4.0964500884555832</v>
      </c>
      <c r="AJ77" s="78">
        <f t="shared" si="46"/>
        <v>4.1799612394123571</v>
      </c>
      <c r="AK77" s="78">
        <f t="shared" si="46"/>
        <v>4.2570206691676233</v>
      </c>
      <c r="AL77" s="78">
        <f t="shared" si="46"/>
        <v>4.328126810636995</v>
      </c>
      <c r="AM77" s="78">
        <f t="shared" si="46"/>
        <v>4.3937395899000151</v>
      </c>
      <c r="AN77" s="81"/>
      <c r="AO77" s="75">
        <f>SUM(D77:O77)</f>
        <v>-11.920408953056036</v>
      </c>
      <c r="AP77" s="75">
        <f>SUM(P77:AA77)</f>
        <v>22.226869551929504</v>
      </c>
      <c r="AQ77" s="75">
        <f>SUM(AB77:AM77)</f>
        <v>46.924526822023793</v>
      </c>
    </row>
    <row r="78" spans="1:43" hidden="1" outlineLevel="1">
      <c r="A78" s="106" t="s">
        <v>161</v>
      </c>
      <c r="B78" s="71"/>
      <c r="C78" s="72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81"/>
      <c r="AO78" s="75"/>
      <c r="AP78" s="75"/>
      <c r="AQ78" s="75"/>
    </row>
    <row r="79" spans="1:43" hidden="1" outlineLevel="1">
      <c r="A79" s="91" t="s">
        <v>165</v>
      </c>
      <c r="B79" s="71" t="s">
        <v>162</v>
      </c>
      <c r="C79" s="72"/>
      <c r="D79" s="105">
        <f>'0'!D27</f>
        <v>85</v>
      </c>
      <c r="E79" s="105">
        <f>'0'!E27</f>
        <v>85</v>
      </c>
      <c r="F79" s="105">
        <f>'0'!F27</f>
        <v>85</v>
      </c>
      <c r="G79" s="105">
        <f>'0'!G27</f>
        <v>85</v>
      </c>
      <c r="H79" s="105">
        <f>'0'!H27</f>
        <v>85</v>
      </c>
      <c r="I79" s="105">
        <f>'0'!I27</f>
        <v>85</v>
      </c>
      <c r="J79" s="105">
        <f>'0'!J27</f>
        <v>85</v>
      </c>
      <c r="K79" s="105">
        <f>'0'!K27</f>
        <v>85</v>
      </c>
      <c r="L79" s="105">
        <f>'0'!L27</f>
        <v>85</v>
      </c>
      <c r="M79" s="105">
        <f>'0'!M27</f>
        <v>85</v>
      </c>
      <c r="N79" s="105">
        <f>'0'!N27</f>
        <v>85</v>
      </c>
      <c r="O79" s="105">
        <f>'0'!O27</f>
        <v>85</v>
      </c>
      <c r="P79" s="105">
        <f>'0'!P27</f>
        <v>85</v>
      </c>
      <c r="Q79" s="105">
        <f>'0'!Q27</f>
        <v>85</v>
      </c>
      <c r="R79" s="105">
        <f>'0'!R27</f>
        <v>85</v>
      </c>
      <c r="S79" s="105">
        <f>'0'!S27</f>
        <v>85</v>
      </c>
      <c r="T79" s="105">
        <f>'0'!T27</f>
        <v>85</v>
      </c>
      <c r="U79" s="105">
        <f>'0'!U27</f>
        <v>85</v>
      </c>
      <c r="V79" s="105">
        <f>'0'!V27</f>
        <v>85</v>
      </c>
      <c r="W79" s="105">
        <f>'0'!W27</f>
        <v>85</v>
      </c>
      <c r="X79" s="105">
        <f>'0'!X27</f>
        <v>85</v>
      </c>
      <c r="Y79" s="105">
        <f>'0'!Y27</f>
        <v>85</v>
      </c>
      <c r="Z79" s="105">
        <f>'0'!Z27</f>
        <v>85</v>
      </c>
      <c r="AA79" s="105">
        <f>'0'!AA27</f>
        <v>85</v>
      </c>
      <c r="AB79" s="105">
        <f>'0'!AB27</f>
        <v>85</v>
      </c>
      <c r="AC79" s="105">
        <f>'0'!AC27</f>
        <v>85</v>
      </c>
      <c r="AD79" s="105">
        <f>'0'!AD27</f>
        <v>85</v>
      </c>
      <c r="AE79" s="105">
        <f>'0'!AE27</f>
        <v>85</v>
      </c>
      <c r="AF79" s="105">
        <f>'0'!AF27</f>
        <v>85</v>
      </c>
      <c r="AG79" s="105">
        <f>'0'!AG27</f>
        <v>85</v>
      </c>
      <c r="AH79" s="105">
        <f>'0'!AH27</f>
        <v>85</v>
      </c>
      <c r="AI79" s="105">
        <f>'0'!AI27</f>
        <v>85</v>
      </c>
      <c r="AJ79" s="105">
        <f>'0'!AJ27</f>
        <v>85</v>
      </c>
      <c r="AK79" s="105">
        <f>'0'!AK27</f>
        <v>85</v>
      </c>
      <c r="AL79" s="105">
        <f>'0'!AL27</f>
        <v>85</v>
      </c>
      <c r="AM79" s="105">
        <f>'0'!AM27</f>
        <v>85</v>
      </c>
      <c r="AN79" s="81"/>
      <c r="AO79" s="75"/>
      <c r="AP79" s="75"/>
      <c r="AQ79" s="75"/>
    </row>
    <row r="80" spans="1:43" s="69" customFormat="1" hidden="1" outlineLevel="1">
      <c r="A80" s="70" t="s">
        <v>152</v>
      </c>
      <c r="B80" s="71" t="s">
        <v>78</v>
      </c>
      <c r="C80" s="72"/>
      <c r="D80" s="73">
        <f t="shared" ref="D80:AM80" si="47">D70*D$79</f>
        <v>19125</v>
      </c>
      <c r="E80" s="73">
        <f t="shared" si="47"/>
        <v>37987.03125</v>
      </c>
      <c r="F80" s="73">
        <f t="shared" si="47"/>
        <v>56663.022070312501</v>
      </c>
      <c r="G80" s="73">
        <f t="shared" si="47"/>
        <v>75167.166219970706</v>
      </c>
      <c r="H80" s="73">
        <f t="shared" si="47"/>
        <v>93512.740417486479</v>
      </c>
      <c r="I80" s="73">
        <f t="shared" si="47"/>
        <v>111711.99511038853</v>
      </c>
      <c r="J80" s="73">
        <f t="shared" si="47"/>
        <v>128501.23432981245</v>
      </c>
      <c r="K80" s="73">
        <f t="shared" si="47"/>
        <v>146543.42005486201</v>
      </c>
      <c r="L80" s="73">
        <f t="shared" si="47"/>
        <v>165733.68195891214</v>
      </c>
      <c r="M80" s="73">
        <f t="shared" si="47"/>
        <v>185983.35000987633</v>
      </c>
      <c r="N80" s="73">
        <f t="shared" si="47"/>
        <v>207210.57885229561</v>
      </c>
      <c r="O80" s="73">
        <f t="shared" si="47"/>
        <v>229339.84624045232</v>
      </c>
      <c r="P80" s="73">
        <f t="shared" si="47"/>
        <v>249751.46446026844</v>
      </c>
      <c r="Q80" s="73">
        <f t="shared" si="47"/>
        <v>268586.19207812316</v>
      </c>
      <c r="R80" s="73">
        <f t="shared" si="47"/>
        <v>285965.82756984991</v>
      </c>
      <c r="S80" s="73">
        <f t="shared" si="47"/>
        <v>302002.78532966896</v>
      </c>
      <c r="T80" s="73">
        <f t="shared" si="47"/>
        <v>316800.79500648682</v>
      </c>
      <c r="U80" s="73">
        <f t="shared" si="47"/>
        <v>330455.57253192668</v>
      </c>
      <c r="V80" s="73">
        <f t="shared" si="47"/>
        <v>343055.43922625319</v>
      </c>
      <c r="W80" s="73">
        <f t="shared" si="47"/>
        <v>354681.8930750268</v>
      </c>
      <c r="X80" s="73">
        <f t="shared" si="47"/>
        <v>365410.13587131997</v>
      </c>
      <c r="Y80" s="73">
        <f t="shared" si="47"/>
        <v>375309.55963313684</v>
      </c>
      <c r="Z80" s="73">
        <f t="shared" si="47"/>
        <v>384444.19544226339</v>
      </c>
      <c r="AA80" s="73">
        <f t="shared" si="47"/>
        <v>392873.12760771142</v>
      </c>
      <c r="AB80" s="73">
        <f t="shared" si="47"/>
        <v>400650.87583263114</v>
      </c>
      <c r="AC80" s="73">
        <f t="shared" si="47"/>
        <v>407827.74785661296</v>
      </c>
      <c r="AD80" s="73">
        <f t="shared" si="47"/>
        <v>414450.16485432215</v>
      </c>
      <c r="AE80" s="73">
        <f t="shared" si="47"/>
        <v>420560.96169520222</v>
      </c>
      <c r="AF80" s="73">
        <f t="shared" si="47"/>
        <v>426199.66400637146</v>
      </c>
      <c r="AG80" s="73">
        <f t="shared" si="47"/>
        <v>431402.74383080349</v>
      </c>
      <c r="AH80" s="73">
        <f t="shared" si="47"/>
        <v>436203.85553442826</v>
      </c>
      <c r="AI80" s="73">
        <f t="shared" si="47"/>
        <v>440634.05348804122</v>
      </c>
      <c r="AJ80" s="73">
        <f t="shared" si="47"/>
        <v>444721.99293201999</v>
      </c>
      <c r="AK80" s="73">
        <f t="shared" si="47"/>
        <v>448494.11532307684</v>
      </c>
      <c r="AL80" s="73">
        <f t="shared" si="47"/>
        <v>451974.81936189783</v>
      </c>
      <c r="AM80" s="73">
        <f t="shared" si="47"/>
        <v>455186.61880790425</v>
      </c>
      <c r="AN80" s="74"/>
      <c r="AO80" s="75">
        <f>O80</f>
        <v>229339.84624045232</v>
      </c>
      <c r="AP80" s="75">
        <f>AA80</f>
        <v>392873.12760771142</v>
      </c>
      <c r="AQ80" s="75">
        <f>AM80</f>
        <v>455186.61880790425</v>
      </c>
    </row>
    <row r="81" spans="1:43" hidden="1" outlineLevel="1">
      <c r="A81" s="70" t="s">
        <v>145</v>
      </c>
      <c r="B81" s="71" t="s">
        <v>78</v>
      </c>
      <c r="C81" s="72"/>
      <c r="D81" s="73">
        <f t="shared" ref="D81:AM81" si="48">D74*D$79</f>
        <v>-111.56250000000001</v>
      </c>
      <c r="E81" s="73">
        <f t="shared" si="48"/>
        <v>-333.15351562500001</v>
      </c>
      <c r="F81" s="73">
        <f t="shared" si="48"/>
        <v>-552.1253110351563</v>
      </c>
      <c r="G81" s="73">
        <f t="shared" si="48"/>
        <v>-769.0094316933189</v>
      </c>
      <c r="H81" s="73">
        <f t="shared" si="48"/>
        <v>-983.96612205183374</v>
      </c>
      <c r="I81" s="73">
        <f t="shared" si="48"/>
        <v>-1197.144290579271</v>
      </c>
      <c r="J81" s="73">
        <f t="shared" si="48"/>
        <v>-1401.2438384011725</v>
      </c>
      <c r="K81" s="73">
        <f t="shared" si="48"/>
        <v>-1604.4271505772679</v>
      </c>
      <c r="L81" s="73">
        <f t="shared" si="48"/>
        <v>-1821.6164284136828</v>
      </c>
      <c r="M81" s="73">
        <f t="shared" si="48"/>
        <v>-2051.6826864845998</v>
      </c>
      <c r="N81" s="73">
        <f t="shared" si="48"/>
        <v>-2293.6312516960033</v>
      </c>
      <c r="O81" s="73">
        <f t="shared" si="48"/>
        <v>-2546.5441463743632</v>
      </c>
      <c r="P81" s="73">
        <f t="shared" si="48"/>
        <v>-2794.6993124208716</v>
      </c>
      <c r="Q81" s="73">
        <f t="shared" si="48"/>
        <v>-3023.6363298072847</v>
      </c>
      <c r="R81" s="73">
        <f t="shared" si="48"/>
        <v>-3234.886781279843</v>
      </c>
      <c r="S81" s="73">
        <f t="shared" si="48"/>
        <v>-3429.8169085805275</v>
      </c>
      <c r="T81" s="73">
        <f t="shared" si="48"/>
        <v>-3609.6875519609093</v>
      </c>
      <c r="U81" s="73">
        <f t="shared" si="48"/>
        <v>-3775.6621439740793</v>
      </c>
      <c r="V81" s="73">
        <f t="shared" si="48"/>
        <v>-3928.8142352560494</v>
      </c>
      <c r="W81" s="73">
        <f t="shared" si="48"/>
        <v>-4070.1344384241338</v>
      </c>
      <c r="X81" s="73">
        <f t="shared" si="48"/>
        <v>-4200.5368355203564</v>
      </c>
      <c r="Y81" s="73">
        <f t="shared" si="48"/>
        <v>-4320.8648904426655</v>
      </c>
      <c r="Z81" s="73">
        <f t="shared" si="48"/>
        <v>-4431.8969046065013</v>
      </c>
      <c r="AA81" s="73">
        <f t="shared" si="48"/>
        <v>-4534.3510511248533</v>
      </c>
      <c r="AB81" s="73">
        <f t="shared" si="48"/>
        <v>-4628.8900200686649</v>
      </c>
      <c r="AC81" s="73">
        <f t="shared" si="48"/>
        <v>-4716.1253048539247</v>
      </c>
      <c r="AD81" s="73">
        <f t="shared" si="48"/>
        <v>-4796.6211574804556</v>
      </c>
      <c r="AE81" s="73">
        <f t="shared" si="48"/>
        <v>-4870.8982382055592</v>
      </c>
      <c r="AF81" s="73">
        <f t="shared" si="48"/>
        <v>-4939.4369832591801</v>
      </c>
      <c r="AG81" s="73">
        <f t="shared" si="48"/>
        <v>-5002.6807123835206</v>
      </c>
      <c r="AH81" s="73">
        <f t="shared" si="48"/>
        <v>-5061.0384962971848</v>
      </c>
      <c r="AI81" s="73">
        <f t="shared" si="48"/>
        <v>-5114.8878026310722</v>
      </c>
      <c r="AJ81" s="73">
        <f t="shared" si="48"/>
        <v>-5164.5769374503589</v>
      </c>
      <c r="AK81" s="73">
        <f t="shared" si="48"/>
        <v>-5210.4272981547319</v>
      </c>
      <c r="AL81" s="73">
        <f t="shared" si="48"/>
        <v>-5252.7354523290205</v>
      </c>
      <c r="AM81" s="73">
        <f t="shared" si="48"/>
        <v>-5291.7750559905126</v>
      </c>
      <c r="AN81" s="81"/>
      <c r="AO81" s="75">
        <f>SUM(D81:O81)</f>
        <v>-15666.106672931666</v>
      </c>
      <c r="AP81" s="75">
        <f>SUM(P81:AA81)</f>
        <v>-45354.987383398075</v>
      </c>
      <c r="AQ81" s="75">
        <f>SUM(AB81:AM81)</f>
        <v>-60050.093459104181</v>
      </c>
    </row>
    <row r="82" spans="1:43" hidden="1" outlineLevel="1">
      <c r="A82" s="70" t="s">
        <v>146</v>
      </c>
      <c r="B82" s="71" t="s">
        <v>78</v>
      </c>
      <c r="C82" s="72"/>
      <c r="D82" s="73">
        <f t="shared" ref="D82:AM82" si="49">D75*D$79</f>
        <v>127.5</v>
      </c>
      <c r="E82" s="73">
        <f t="shared" si="49"/>
        <v>380.74687499999999</v>
      </c>
      <c r="F82" s="73">
        <f t="shared" si="49"/>
        <v>631.00035546875006</v>
      </c>
      <c r="G82" s="73">
        <f t="shared" si="49"/>
        <v>878.86792193522149</v>
      </c>
      <c r="H82" s="73">
        <f t="shared" si="49"/>
        <v>1124.5327109163813</v>
      </c>
      <c r="I82" s="73">
        <f t="shared" si="49"/>
        <v>1368.1649035191667</v>
      </c>
      <c r="J82" s="73">
        <f t="shared" si="49"/>
        <v>1601.4215296013401</v>
      </c>
      <c r="K82" s="73">
        <f t="shared" si="49"/>
        <v>1833.6310292311628</v>
      </c>
      <c r="L82" s="73">
        <f t="shared" si="49"/>
        <v>2081.8473467584945</v>
      </c>
      <c r="M82" s="73">
        <f t="shared" si="49"/>
        <v>2344.780213125257</v>
      </c>
      <c r="N82" s="73">
        <f t="shared" si="49"/>
        <v>2621.2928590811466</v>
      </c>
      <c r="O82" s="73">
        <f t="shared" si="49"/>
        <v>2910.3361672849865</v>
      </c>
      <c r="P82" s="73">
        <f t="shared" si="49"/>
        <v>3193.9420713381387</v>
      </c>
      <c r="Q82" s="73">
        <f t="shared" si="49"/>
        <v>3455.5843769226108</v>
      </c>
      <c r="R82" s="73">
        <f t="shared" si="49"/>
        <v>3697.0134643198198</v>
      </c>
      <c r="S82" s="73">
        <f t="shared" si="49"/>
        <v>3919.7907526634594</v>
      </c>
      <c r="T82" s="73">
        <f t="shared" si="49"/>
        <v>4125.357202241039</v>
      </c>
      <c r="U82" s="73">
        <f t="shared" si="49"/>
        <v>4315.0424502560909</v>
      </c>
      <c r="V82" s="73">
        <f t="shared" si="49"/>
        <v>4490.0734117211996</v>
      </c>
      <c r="W82" s="73">
        <f t="shared" si="49"/>
        <v>4651.5822153418667</v>
      </c>
      <c r="X82" s="73">
        <f t="shared" si="49"/>
        <v>4800.6135263089782</v>
      </c>
      <c r="Y82" s="73">
        <f t="shared" si="49"/>
        <v>4938.1313033630458</v>
      </c>
      <c r="Z82" s="73">
        <f t="shared" si="49"/>
        <v>5065.0250338360011</v>
      </c>
      <c r="AA82" s="73">
        <f t="shared" si="49"/>
        <v>5182.1154869998327</v>
      </c>
      <c r="AB82" s="73">
        <f t="shared" si="49"/>
        <v>5290.1600229356163</v>
      </c>
      <c r="AC82" s="73">
        <f t="shared" si="49"/>
        <v>5389.8574912616277</v>
      </c>
      <c r="AD82" s="73">
        <f t="shared" si="49"/>
        <v>5481.8527514062353</v>
      </c>
      <c r="AE82" s="73">
        <f t="shared" si="49"/>
        <v>5566.740843663496</v>
      </c>
      <c r="AF82" s="73">
        <f t="shared" si="49"/>
        <v>5645.0708380104907</v>
      </c>
      <c r="AG82" s="73">
        <f t="shared" si="49"/>
        <v>5717.3493855811666</v>
      </c>
      <c r="AH82" s="73">
        <f t="shared" si="49"/>
        <v>5784.0439957682111</v>
      </c>
      <c r="AI82" s="73">
        <f t="shared" si="49"/>
        <v>5845.586060149797</v>
      </c>
      <c r="AJ82" s="73">
        <f t="shared" si="49"/>
        <v>5902.3736428004086</v>
      </c>
      <c r="AK82" s="73">
        <f t="shared" si="49"/>
        <v>5954.7740550339804</v>
      </c>
      <c r="AL82" s="73">
        <f t="shared" si="49"/>
        <v>6003.1262312331646</v>
      </c>
      <c r="AM82" s="73">
        <f t="shared" si="49"/>
        <v>6047.7429211320141</v>
      </c>
      <c r="AN82" s="81"/>
      <c r="AO82" s="75">
        <f>SUM(D82:O82)</f>
        <v>17904.121911921906</v>
      </c>
      <c r="AP82" s="75">
        <f>SUM(P82:AA82)</f>
        <v>51834.271295312079</v>
      </c>
      <c r="AQ82" s="75">
        <f>SUM(AB82:AM82)</f>
        <v>68628.678238976208</v>
      </c>
    </row>
    <row r="83" spans="1:43" hidden="1" outlineLevel="1">
      <c r="A83" s="70" t="s">
        <v>99</v>
      </c>
      <c r="B83" s="71" t="s">
        <v>78</v>
      </c>
      <c r="C83" s="72"/>
      <c r="D83" s="73">
        <f t="shared" ref="D83:AM83" si="50">D76*D$79</f>
        <v>-191.25</v>
      </c>
      <c r="E83" s="73">
        <f t="shared" si="50"/>
        <v>-204</v>
      </c>
      <c r="F83" s="73">
        <f t="shared" si="50"/>
        <v>-216.75000000000003</v>
      </c>
      <c r="G83" s="73">
        <f t="shared" si="50"/>
        <v>-229.50000000000003</v>
      </c>
      <c r="H83" s="73">
        <f t="shared" si="50"/>
        <v>-242.25</v>
      </c>
      <c r="I83" s="73">
        <f t="shared" si="50"/>
        <v>-255</v>
      </c>
      <c r="J83" s="73">
        <f t="shared" si="50"/>
        <v>-255</v>
      </c>
      <c r="K83" s="73">
        <f t="shared" si="50"/>
        <v>-280.5</v>
      </c>
      <c r="L83" s="73">
        <f t="shared" si="50"/>
        <v>-306</v>
      </c>
      <c r="M83" s="73">
        <f t="shared" si="50"/>
        <v>-331.5</v>
      </c>
      <c r="N83" s="73">
        <f t="shared" si="50"/>
        <v>-357</v>
      </c>
      <c r="O83" s="73">
        <f t="shared" si="50"/>
        <v>-382.5</v>
      </c>
      <c r="P83" s="73">
        <f t="shared" si="50"/>
        <v>-382.5</v>
      </c>
      <c r="Q83" s="73">
        <f t="shared" si="50"/>
        <v>-382.5</v>
      </c>
      <c r="R83" s="73">
        <f t="shared" si="50"/>
        <v>-382.5</v>
      </c>
      <c r="S83" s="73">
        <f t="shared" si="50"/>
        <v>-382.5</v>
      </c>
      <c r="T83" s="73">
        <f t="shared" si="50"/>
        <v>-382.5</v>
      </c>
      <c r="U83" s="73">
        <f t="shared" si="50"/>
        <v>-382.5</v>
      </c>
      <c r="V83" s="73">
        <f t="shared" si="50"/>
        <v>-382.5</v>
      </c>
      <c r="W83" s="73">
        <f t="shared" si="50"/>
        <v>-382.5</v>
      </c>
      <c r="X83" s="73">
        <f t="shared" si="50"/>
        <v>-382.5</v>
      </c>
      <c r="Y83" s="73">
        <f t="shared" si="50"/>
        <v>-382.5</v>
      </c>
      <c r="Z83" s="73">
        <f t="shared" si="50"/>
        <v>-382.5</v>
      </c>
      <c r="AA83" s="73">
        <f t="shared" si="50"/>
        <v>-382.5</v>
      </c>
      <c r="AB83" s="73">
        <f t="shared" si="50"/>
        <v>-382.5</v>
      </c>
      <c r="AC83" s="73">
        <f t="shared" si="50"/>
        <v>-382.5</v>
      </c>
      <c r="AD83" s="73">
        <f t="shared" si="50"/>
        <v>-382.5</v>
      </c>
      <c r="AE83" s="73">
        <f t="shared" si="50"/>
        <v>-382.5</v>
      </c>
      <c r="AF83" s="73">
        <f t="shared" si="50"/>
        <v>-382.5</v>
      </c>
      <c r="AG83" s="73">
        <f t="shared" si="50"/>
        <v>-382.5</v>
      </c>
      <c r="AH83" s="73">
        <f t="shared" si="50"/>
        <v>-382.5</v>
      </c>
      <c r="AI83" s="73">
        <f t="shared" si="50"/>
        <v>-382.5</v>
      </c>
      <c r="AJ83" s="73">
        <f t="shared" si="50"/>
        <v>-382.5</v>
      </c>
      <c r="AK83" s="73">
        <f t="shared" si="50"/>
        <v>-382.5</v>
      </c>
      <c r="AL83" s="73">
        <f t="shared" si="50"/>
        <v>-382.5</v>
      </c>
      <c r="AM83" s="73">
        <f t="shared" si="50"/>
        <v>-382.5</v>
      </c>
      <c r="AN83" s="81"/>
      <c r="AO83" s="75">
        <f>SUM(D83:O83)</f>
        <v>-3251.25</v>
      </c>
      <c r="AP83" s="75">
        <f>SUM(P83:AA83)</f>
        <v>-4590</v>
      </c>
      <c r="AQ83" s="75">
        <f>SUM(AB83:AM83)</f>
        <v>-4590</v>
      </c>
    </row>
    <row r="84" spans="1:43" hidden="1" outlineLevel="1">
      <c r="A84" s="70" t="s">
        <v>122</v>
      </c>
      <c r="B84" s="71" t="s">
        <v>78</v>
      </c>
      <c r="C84" s="72"/>
      <c r="D84" s="73">
        <f t="shared" ref="D84:AM84" si="51">D77*D$79</f>
        <v>-175.3125</v>
      </c>
      <c r="E84" s="73">
        <f t="shared" si="51"/>
        <v>-156.40664062500002</v>
      </c>
      <c r="F84" s="73">
        <f t="shared" si="51"/>
        <v>-137.87495556640633</v>
      </c>
      <c r="G84" s="73">
        <f t="shared" si="51"/>
        <v>-119.64150975809743</v>
      </c>
      <c r="H84" s="73">
        <f t="shared" si="51"/>
        <v>-101.68341113545232</v>
      </c>
      <c r="I84" s="73">
        <f t="shared" si="51"/>
        <v>-83.979387060104273</v>
      </c>
      <c r="J84" s="73">
        <f t="shared" si="51"/>
        <v>-54.82230879983257</v>
      </c>
      <c r="K84" s="73">
        <f t="shared" si="51"/>
        <v>-51.296121346104968</v>
      </c>
      <c r="L84" s="73">
        <f t="shared" si="51"/>
        <v>-45.769081655188351</v>
      </c>
      <c r="M84" s="73">
        <f t="shared" si="51"/>
        <v>-38.402473359342672</v>
      </c>
      <c r="N84" s="73">
        <f t="shared" si="51"/>
        <v>-29.338392614856964</v>
      </c>
      <c r="O84" s="73">
        <f t="shared" si="51"/>
        <v>-18.707979089377016</v>
      </c>
      <c r="P84" s="73">
        <f t="shared" si="51"/>
        <v>16.74275891726726</v>
      </c>
      <c r="Q84" s="73">
        <f t="shared" si="51"/>
        <v>49.448047115326048</v>
      </c>
      <c r="R84" s="73">
        <f t="shared" si="51"/>
        <v>79.626683039977195</v>
      </c>
      <c r="S84" s="73">
        <f t="shared" si="51"/>
        <v>107.47384408293222</v>
      </c>
      <c r="T84" s="73">
        <f t="shared" si="51"/>
        <v>133.16965028012999</v>
      </c>
      <c r="U84" s="73">
        <f t="shared" si="51"/>
        <v>156.88030628201133</v>
      </c>
      <c r="V84" s="73">
        <f t="shared" si="51"/>
        <v>178.75917646514992</v>
      </c>
      <c r="W84" s="73">
        <f t="shared" si="51"/>
        <v>198.94777691773302</v>
      </c>
      <c r="X84" s="73">
        <f t="shared" si="51"/>
        <v>217.57669078862179</v>
      </c>
      <c r="Y84" s="73">
        <f t="shared" si="51"/>
        <v>234.76641292038016</v>
      </c>
      <c r="Z84" s="73">
        <f t="shared" si="51"/>
        <v>250.62812922949985</v>
      </c>
      <c r="AA84" s="73">
        <f t="shared" si="51"/>
        <v>265.26443587497903</v>
      </c>
      <c r="AB84" s="73">
        <f t="shared" si="51"/>
        <v>278.77000286695176</v>
      </c>
      <c r="AC84" s="73">
        <f t="shared" si="51"/>
        <v>291.23218640770313</v>
      </c>
      <c r="AD84" s="73">
        <f t="shared" si="51"/>
        <v>302.73159392577986</v>
      </c>
      <c r="AE84" s="73">
        <f t="shared" si="51"/>
        <v>313.3426054579362</v>
      </c>
      <c r="AF84" s="73">
        <f t="shared" si="51"/>
        <v>323.13385475131054</v>
      </c>
      <c r="AG84" s="73">
        <f t="shared" si="51"/>
        <v>332.16867319764566</v>
      </c>
      <c r="AH84" s="73">
        <f t="shared" si="51"/>
        <v>340.50549947102655</v>
      </c>
      <c r="AI84" s="73">
        <f t="shared" si="51"/>
        <v>348.19825751872457</v>
      </c>
      <c r="AJ84" s="73">
        <f t="shared" si="51"/>
        <v>355.29670535005033</v>
      </c>
      <c r="AK84" s="73">
        <f t="shared" si="51"/>
        <v>361.84675687924801</v>
      </c>
      <c r="AL84" s="73">
        <f t="shared" si="51"/>
        <v>367.89077890414455</v>
      </c>
      <c r="AM84" s="73">
        <f t="shared" si="51"/>
        <v>373.46786514150131</v>
      </c>
      <c r="AN84" s="81"/>
      <c r="AO84" s="75">
        <f>SUM(D84:O84)</f>
        <v>-1013.2347610097629</v>
      </c>
      <c r="AP84" s="75">
        <f>SUM(P84:AA84)</f>
        <v>1889.2839119140076</v>
      </c>
      <c r="AQ84" s="75">
        <f>SUM(AB84:AM84)</f>
        <v>3988.5847798720224</v>
      </c>
    </row>
    <row r="85" spans="1:43" collapsed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87ED-87E7-4046-BF6C-E4207927636E}">
  <sheetPr>
    <tabColor theme="0"/>
  </sheetPr>
  <dimension ref="A1:XEP166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A95" sqref="A95"/>
    </sheetView>
  </sheetViews>
  <sheetFormatPr defaultColWidth="8.88671875" defaultRowHeight="13.2" outlineLevelRow="1" outlineLevelCol="1"/>
  <cols>
    <col min="1" max="1" width="74.6640625" style="80" customWidth="1"/>
    <col min="2" max="2" width="9.88671875" style="80" bestFit="1" customWidth="1"/>
    <col min="3" max="3" width="4.21875" style="80" customWidth="1" outlineLevel="1"/>
    <col min="4" max="4" width="11.109375" style="70" customWidth="1" outlineLevel="1"/>
    <col min="5" max="14" width="11" style="80" customWidth="1" outlineLevel="1"/>
    <col min="15" max="18" width="9.88671875" style="80" customWidth="1" outlineLevel="1"/>
    <col min="19" max="39" width="10.88671875" style="80" customWidth="1" outlineLevel="1"/>
    <col min="40" max="40" width="5.44140625" style="80" customWidth="1"/>
    <col min="41" max="43" width="13.77734375" style="80" bestFit="1" customWidth="1"/>
    <col min="44" max="16384" width="8.88671875" style="80"/>
  </cols>
  <sheetData>
    <row r="1" spans="1:16370" s="4" customFormat="1" ht="15.6">
      <c r="A1" s="1" t="s">
        <v>133</v>
      </c>
      <c r="B1" s="2"/>
      <c r="C1" s="2"/>
      <c r="D1" s="54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16370" s="56" customFormat="1" ht="17.25" customHeight="1">
      <c r="A2" s="55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 spans="1:16370" s="56" customFormat="1" ht="15" customHeight="1">
      <c r="D3" s="59">
        <v>46023</v>
      </c>
      <c r="E3" s="59">
        <v>46054</v>
      </c>
      <c r="F3" s="59">
        <v>46082</v>
      </c>
      <c r="G3" s="59">
        <v>46113</v>
      </c>
      <c r="H3" s="59">
        <v>46143</v>
      </c>
      <c r="I3" s="59">
        <v>46174</v>
      </c>
      <c r="J3" s="59">
        <v>46204</v>
      </c>
      <c r="K3" s="59">
        <v>46235</v>
      </c>
      <c r="L3" s="59">
        <v>46266</v>
      </c>
      <c r="M3" s="59">
        <v>46296</v>
      </c>
      <c r="N3" s="59">
        <v>46327</v>
      </c>
      <c r="O3" s="59">
        <v>46357</v>
      </c>
      <c r="P3" s="59">
        <v>46388</v>
      </c>
      <c r="Q3" s="59">
        <v>46419</v>
      </c>
      <c r="R3" s="59">
        <v>46447</v>
      </c>
      <c r="S3" s="59">
        <v>46478</v>
      </c>
      <c r="T3" s="59">
        <v>46508</v>
      </c>
      <c r="U3" s="59">
        <v>46539</v>
      </c>
      <c r="V3" s="59">
        <v>46569</v>
      </c>
      <c r="W3" s="59">
        <v>46600</v>
      </c>
      <c r="X3" s="59">
        <v>46631</v>
      </c>
      <c r="Y3" s="59">
        <v>46661</v>
      </c>
      <c r="Z3" s="59">
        <v>46692</v>
      </c>
      <c r="AA3" s="59">
        <v>46722</v>
      </c>
      <c r="AB3" s="59">
        <v>46753</v>
      </c>
      <c r="AC3" s="59">
        <v>46784</v>
      </c>
      <c r="AD3" s="59">
        <v>46813</v>
      </c>
      <c r="AE3" s="59">
        <v>46844</v>
      </c>
      <c r="AF3" s="59">
        <v>46874</v>
      </c>
      <c r="AG3" s="59">
        <v>46905</v>
      </c>
      <c r="AH3" s="59">
        <v>46935</v>
      </c>
      <c r="AI3" s="59">
        <v>46966</v>
      </c>
      <c r="AJ3" s="59">
        <v>46997</v>
      </c>
      <c r="AK3" s="59">
        <v>47027</v>
      </c>
      <c r="AL3" s="59">
        <v>47058</v>
      </c>
      <c r="AM3" s="59">
        <v>47088</v>
      </c>
      <c r="AO3" s="57">
        <f>YEAR(O3)</f>
        <v>2026</v>
      </c>
      <c r="AP3" s="57">
        <f>YEAR(AA3)</f>
        <v>2027</v>
      </c>
      <c r="AQ3" s="57">
        <f>YEAR(AM3)</f>
        <v>2028</v>
      </c>
    </row>
    <row r="4" spans="1:16370" s="61" customFormat="1">
      <c r="A4" s="56"/>
      <c r="B4" s="56"/>
      <c r="C4" s="56"/>
      <c r="D4" s="60" t="s">
        <v>1</v>
      </c>
      <c r="E4" s="60" t="s">
        <v>2</v>
      </c>
      <c r="F4" s="60" t="s">
        <v>3</v>
      </c>
      <c r="G4" s="60" t="s">
        <v>4</v>
      </c>
      <c r="H4" s="60" t="s">
        <v>5</v>
      </c>
      <c r="I4" s="60" t="s">
        <v>6</v>
      </c>
      <c r="J4" s="60" t="s">
        <v>7</v>
      </c>
      <c r="K4" s="60" t="s">
        <v>8</v>
      </c>
      <c r="L4" s="60" t="s">
        <v>9</v>
      </c>
      <c r="M4" s="60" t="s">
        <v>10</v>
      </c>
      <c r="N4" s="60" t="s">
        <v>11</v>
      </c>
      <c r="O4" s="60" t="s">
        <v>12</v>
      </c>
      <c r="P4" s="60" t="s">
        <v>13</v>
      </c>
      <c r="Q4" s="60" t="s">
        <v>14</v>
      </c>
      <c r="R4" s="60" t="s">
        <v>15</v>
      </c>
      <c r="S4" s="60" t="s">
        <v>16</v>
      </c>
      <c r="T4" s="60" t="s">
        <v>17</v>
      </c>
      <c r="U4" s="60" t="s">
        <v>18</v>
      </c>
      <c r="V4" s="60" t="s">
        <v>19</v>
      </c>
      <c r="W4" s="60" t="s">
        <v>20</v>
      </c>
      <c r="X4" s="60" t="s">
        <v>21</v>
      </c>
      <c r="Y4" s="60" t="s">
        <v>22</v>
      </c>
      <c r="Z4" s="60" t="s">
        <v>23</v>
      </c>
      <c r="AA4" s="60" t="s">
        <v>24</v>
      </c>
      <c r="AB4" s="60" t="s">
        <v>25</v>
      </c>
      <c r="AC4" s="60" t="s">
        <v>26</v>
      </c>
      <c r="AD4" s="60" t="s">
        <v>27</v>
      </c>
      <c r="AE4" s="60" t="s">
        <v>28</v>
      </c>
      <c r="AF4" s="60" t="s">
        <v>29</v>
      </c>
      <c r="AG4" s="60" t="s">
        <v>30</v>
      </c>
      <c r="AH4" s="60" t="s">
        <v>31</v>
      </c>
      <c r="AI4" s="60" t="s">
        <v>32</v>
      </c>
      <c r="AJ4" s="60" t="s">
        <v>33</v>
      </c>
      <c r="AK4" s="60" t="s">
        <v>34</v>
      </c>
      <c r="AL4" s="60" t="s">
        <v>35</v>
      </c>
      <c r="AM4" s="60" t="s">
        <v>36</v>
      </c>
      <c r="AO4" s="60" t="s">
        <v>37</v>
      </c>
      <c r="AP4" s="60" t="s">
        <v>38</v>
      </c>
      <c r="AQ4" s="60" t="s">
        <v>39</v>
      </c>
    </row>
    <row r="5" spans="1:16370" s="62" customFormat="1">
      <c r="D5" s="95">
        <v>1</v>
      </c>
      <c r="E5" s="63">
        <f t="shared" ref="E5:AM5" si="0">D5+1</f>
        <v>2</v>
      </c>
      <c r="F5" s="63">
        <f t="shared" si="0"/>
        <v>3</v>
      </c>
      <c r="G5" s="63">
        <f t="shared" si="0"/>
        <v>4</v>
      </c>
      <c r="H5" s="63">
        <f t="shared" si="0"/>
        <v>5</v>
      </c>
      <c r="I5" s="63">
        <f t="shared" si="0"/>
        <v>6</v>
      </c>
      <c r="J5" s="63">
        <f t="shared" si="0"/>
        <v>7</v>
      </c>
      <c r="K5" s="63">
        <f t="shared" si="0"/>
        <v>8</v>
      </c>
      <c r="L5" s="63">
        <f t="shared" si="0"/>
        <v>9</v>
      </c>
      <c r="M5" s="63">
        <f t="shared" si="0"/>
        <v>10</v>
      </c>
      <c r="N5" s="63">
        <f t="shared" si="0"/>
        <v>11</v>
      </c>
      <c r="O5" s="63">
        <f t="shared" si="0"/>
        <v>12</v>
      </c>
      <c r="P5" s="63">
        <f t="shared" si="0"/>
        <v>13</v>
      </c>
      <c r="Q5" s="63">
        <f t="shared" si="0"/>
        <v>14</v>
      </c>
      <c r="R5" s="63">
        <f t="shared" si="0"/>
        <v>15</v>
      </c>
      <c r="S5" s="63">
        <f t="shared" si="0"/>
        <v>16</v>
      </c>
      <c r="T5" s="63">
        <f t="shared" si="0"/>
        <v>17</v>
      </c>
      <c r="U5" s="63">
        <f t="shared" si="0"/>
        <v>18</v>
      </c>
      <c r="V5" s="63">
        <f t="shared" si="0"/>
        <v>19</v>
      </c>
      <c r="W5" s="63">
        <f t="shared" si="0"/>
        <v>20</v>
      </c>
      <c r="X5" s="63">
        <f t="shared" si="0"/>
        <v>21</v>
      </c>
      <c r="Y5" s="63">
        <f t="shared" si="0"/>
        <v>22</v>
      </c>
      <c r="Z5" s="63">
        <f t="shared" si="0"/>
        <v>23</v>
      </c>
      <c r="AA5" s="63">
        <f t="shared" si="0"/>
        <v>24</v>
      </c>
      <c r="AB5" s="63">
        <f t="shared" si="0"/>
        <v>25</v>
      </c>
      <c r="AC5" s="63">
        <f t="shared" si="0"/>
        <v>26</v>
      </c>
      <c r="AD5" s="63">
        <f t="shared" si="0"/>
        <v>27</v>
      </c>
      <c r="AE5" s="63">
        <f t="shared" si="0"/>
        <v>28</v>
      </c>
      <c r="AF5" s="63">
        <f t="shared" si="0"/>
        <v>29</v>
      </c>
      <c r="AG5" s="63">
        <f t="shared" si="0"/>
        <v>30</v>
      </c>
      <c r="AH5" s="63">
        <f t="shared" si="0"/>
        <v>31</v>
      </c>
      <c r="AI5" s="63">
        <f t="shared" si="0"/>
        <v>32</v>
      </c>
      <c r="AJ5" s="63">
        <f t="shared" si="0"/>
        <v>33</v>
      </c>
      <c r="AK5" s="63">
        <f t="shared" si="0"/>
        <v>34</v>
      </c>
      <c r="AL5" s="63">
        <f t="shared" si="0"/>
        <v>35</v>
      </c>
      <c r="AM5" s="63">
        <f t="shared" si="0"/>
        <v>36</v>
      </c>
      <c r="AO5" s="64"/>
      <c r="AP5" s="64"/>
      <c r="AQ5" s="64"/>
    </row>
    <row r="6" spans="1:16370" s="62" customFormat="1" ht="6.6" customHeight="1"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O6" s="64"/>
      <c r="AP6" s="64"/>
      <c r="AQ6" s="64"/>
    </row>
    <row r="7" spans="1:16370">
      <c r="A7" s="83" t="s">
        <v>134</v>
      </c>
      <c r="B7" s="66"/>
      <c r="C7" s="101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9"/>
      <c r="AO7" s="102"/>
      <c r="AP7" s="68"/>
      <c r="AQ7" s="68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</row>
    <row r="8" spans="1:16370" hidden="1" outlineLevel="1">
      <c r="A8" s="70" t="s">
        <v>123</v>
      </c>
      <c r="B8" s="85" t="s">
        <v>85</v>
      </c>
      <c r="C8" s="72"/>
      <c r="D8" s="77">
        <f>'0'!D13</f>
        <v>15</v>
      </c>
      <c r="E8" s="77">
        <f>'0'!E13</f>
        <v>16</v>
      </c>
      <c r="F8" s="77">
        <f>'0'!F13</f>
        <v>17</v>
      </c>
      <c r="G8" s="77">
        <f>'0'!G13</f>
        <v>18</v>
      </c>
      <c r="H8" s="77">
        <f>'0'!H13</f>
        <v>19</v>
      </c>
      <c r="I8" s="77">
        <f>'0'!I13</f>
        <v>20</v>
      </c>
      <c r="J8" s="77">
        <f>'0'!J13</f>
        <v>20</v>
      </c>
      <c r="K8" s="77">
        <f>'0'!K13</f>
        <v>22</v>
      </c>
      <c r="L8" s="77">
        <f>'0'!L13</f>
        <v>24</v>
      </c>
      <c r="M8" s="77">
        <f>'0'!M13</f>
        <v>26</v>
      </c>
      <c r="N8" s="77">
        <f>'0'!N13</f>
        <v>28</v>
      </c>
      <c r="O8" s="77">
        <f>'0'!O13</f>
        <v>30</v>
      </c>
      <c r="P8" s="77">
        <f>'0'!P13</f>
        <v>30</v>
      </c>
      <c r="Q8" s="77">
        <f>'0'!Q13</f>
        <v>30</v>
      </c>
      <c r="R8" s="77">
        <f>'0'!R13</f>
        <v>30</v>
      </c>
      <c r="S8" s="77">
        <f>'0'!S13</f>
        <v>30</v>
      </c>
      <c r="T8" s="77">
        <f>'0'!T13</f>
        <v>30</v>
      </c>
      <c r="U8" s="77">
        <f>'0'!U13</f>
        <v>30</v>
      </c>
      <c r="V8" s="77">
        <f>'0'!V13</f>
        <v>30</v>
      </c>
      <c r="W8" s="77">
        <f>'0'!W13</f>
        <v>30</v>
      </c>
      <c r="X8" s="77">
        <f>'0'!X13</f>
        <v>30</v>
      </c>
      <c r="Y8" s="77">
        <f>'0'!Y13</f>
        <v>30</v>
      </c>
      <c r="Z8" s="77">
        <f>'0'!Z13</f>
        <v>30</v>
      </c>
      <c r="AA8" s="77">
        <f>'0'!AA13</f>
        <v>30</v>
      </c>
      <c r="AB8" s="77">
        <f>'0'!AB13</f>
        <v>30</v>
      </c>
      <c r="AC8" s="77">
        <f>'0'!AC13</f>
        <v>30</v>
      </c>
      <c r="AD8" s="77">
        <f>'0'!AD13</f>
        <v>30</v>
      </c>
      <c r="AE8" s="77">
        <f>'0'!AE13</f>
        <v>30</v>
      </c>
      <c r="AF8" s="77">
        <f>'0'!AF13</f>
        <v>30</v>
      </c>
      <c r="AG8" s="77">
        <f>'0'!AG13</f>
        <v>30</v>
      </c>
      <c r="AH8" s="77">
        <f>'0'!AH13</f>
        <v>30</v>
      </c>
      <c r="AI8" s="77">
        <f>'0'!AI13</f>
        <v>30</v>
      </c>
      <c r="AJ8" s="77">
        <f>'0'!AJ13</f>
        <v>30</v>
      </c>
      <c r="AK8" s="77">
        <f>'0'!AK13</f>
        <v>30</v>
      </c>
      <c r="AL8" s="77">
        <f>'0'!AL13</f>
        <v>30</v>
      </c>
      <c r="AM8" s="77">
        <f>'0'!AM13</f>
        <v>30</v>
      </c>
      <c r="AN8" s="81"/>
      <c r="AO8" s="75">
        <f>O8</f>
        <v>30</v>
      </c>
      <c r="AP8" s="75">
        <f>AA8</f>
        <v>30</v>
      </c>
      <c r="AQ8" s="75">
        <f>AM8</f>
        <v>30</v>
      </c>
    </row>
    <row r="9" spans="1:16370" hidden="1" outlineLevel="1">
      <c r="A9" s="70" t="s">
        <v>167</v>
      </c>
      <c r="B9" s="85" t="s">
        <v>85</v>
      </c>
      <c r="C9" s="72"/>
      <c r="D9" s="86">
        <v>100</v>
      </c>
      <c r="E9" s="86">
        <v>100</v>
      </c>
      <c r="F9" s="86">
        <v>100</v>
      </c>
      <c r="G9" s="86">
        <v>100</v>
      </c>
      <c r="H9" s="86">
        <v>100</v>
      </c>
      <c r="I9" s="86">
        <v>100</v>
      </c>
      <c r="J9" s="86">
        <v>100</v>
      </c>
      <c r="K9" s="86">
        <v>100</v>
      </c>
      <c r="L9" s="86">
        <v>100</v>
      </c>
      <c r="M9" s="86">
        <v>100</v>
      </c>
      <c r="N9" s="86">
        <v>100</v>
      </c>
      <c r="O9" s="86">
        <v>100</v>
      </c>
      <c r="P9" s="86">
        <v>100</v>
      </c>
      <c r="Q9" s="86">
        <v>100</v>
      </c>
      <c r="R9" s="86">
        <v>100</v>
      </c>
      <c r="S9" s="86">
        <v>100</v>
      </c>
      <c r="T9" s="86">
        <v>100</v>
      </c>
      <c r="U9" s="86">
        <v>100</v>
      </c>
      <c r="V9" s="86">
        <v>100</v>
      </c>
      <c r="W9" s="86">
        <v>100</v>
      </c>
      <c r="X9" s="86">
        <v>100</v>
      </c>
      <c r="Y9" s="86">
        <v>100</v>
      </c>
      <c r="Z9" s="86">
        <v>100</v>
      </c>
      <c r="AA9" s="86">
        <v>100</v>
      </c>
      <c r="AB9" s="86">
        <v>100</v>
      </c>
      <c r="AC9" s="86">
        <v>100</v>
      </c>
      <c r="AD9" s="86">
        <v>100</v>
      </c>
      <c r="AE9" s="86">
        <v>100</v>
      </c>
      <c r="AF9" s="86">
        <v>100</v>
      </c>
      <c r="AG9" s="86">
        <v>100</v>
      </c>
      <c r="AH9" s="86">
        <v>100</v>
      </c>
      <c r="AI9" s="86">
        <v>100</v>
      </c>
      <c r="AJ9" s="86">
        <v>100</v>
      </c>
      <c r="AK9" s="86">
        <v>100</v>
      </c>
      <c r="AL9" s="86">
        <v>100</v>
      </c>
      <c r="AM9" s="86">
        <v>100</v>
      </c>
      <c r="AN9" s="81"/>
      <c r="AO9" s="75">
        <f>AVERAGE(D9:O9)</f>
        <v>100</v>
      </c>
      <c r="AP9" s="75">
        <f>AVERAGE(P9:AA9)</f>
        <v>100</v>
      </c>
      <c r="AQ9" s="75">
        <f>AVERAGE(AB9:AM9)</f>
        <v>100</v>
      </c>
    </row>
    <row r="10" spans="1:16370" hidden="1" outlineLevel="1">
      <c r="A10" s="70" t="s">
        <v>166</v>
      </c>
      <c r="B10" s="85" t="s">
        <v>85</v>
      </c>
      <c r="C10" s="72"/>
      <c r="D10" s="77">
        <f>D8*D9</f>
        <v>1500</v>
      </c>
      <c r="E10" s="77">
        <f t="shared" ref="E10:AM10" si="1">E8*E9</f>
        <v>1600</v>
      </c>
      <c r="F10" s="77">
        <f t="shared" si="1"/>
        <v>1700</v>
      </c>
      <c r="G10" s="77">
        <f t="shared" si="1"/>
        <v>1800</v>
      </c>
      <c r="H10" s="77">
        <f t="shared" si="1"/>
        <v>1900</v>
      </c>
      <c r="I10" s="77">
        <f t="shared" si="1"/>
        <v>2000</v>
      </c>
      <c r="J10" s="77">
        <f t="shared" si="1"/>
        <v>2000</v>
      </c>
      <c r="K10" s="77">
        <f t="shared" si="1"/>
        <v>2200</v>
      </c>
      <c r="L10" s="77">
        <f t="shared" si="1"/>
        <v>2400</v>
      </c>
      <c r="M10" s="77">
        <f t="shared" si="1"/>
        <v>2600</v>
      </c>
      <c r="N10" s="77">
        <f t="shared" si="1"/>
        <v>2800</v>
      </c>
      <c r="O10" s="77">
        <f t="shared" si="1"/>
        <v>3000</v>
      </c>
      <c r="P10" s="77">
        <f t="shared" si="1"/>
        <v>3000</v>
      </c>
      <c r="Q10" s="77">
        <f t="shared" si="1"/>
        <v>3000</v>
      </c>
      <c r="R10" s="77">
        <f t="shared" si="1"/>
        <v>3000</v>
      </c>
      <c r="S10" s="77">
        <f t="shared" si="1"/>
        <v>3000</v>
      </c>
      <c r="T10" s="77">
        <f t="shared" si="1"/>
        <v>3000</v>
      </c>
      <c r="U10" s="77">
        <f t="shared" si="1"/>
        <v>3000</v>
      </c>
      <c r="V10" s="77">
        <f t="shared" si="1"/>
        <v>3000</v>
      </c>
      <c r="W10" s="77">
        <f t="shared" si="1"/>
        <v>3000</v>
      </c>
      <c r="X10" s="77">
        <f t="shared" si="1"/>
        <v>3000</v>
      </c>
      <c r="Y10" s="77">
        <f t="shared" si="1"/>
        <v>3000</v>
      </c>
      <c r="Z10" s="77">
        <f t="shared" si="1"/>
        <v>3000</v>
      </c>
      <c r="AA10" s="77">
        <f t="shared" si="1"/>
        <v>3000</v>
      </c>
      <c r="AB10" s="77">
        <f t="shared" si="1"/>
        <v>3000</v>
      </c>
      <c r="AC10" s="77">
        <f t="shared" si="1"/>
        <v>3000</v>
      </c>
      <c r="AD10" s="77">
        <f t="shared" si="1"/>
        <v>3000</v>
      </c>
      <c r="AE10" s="77">
        <f t="shared" si="1"/>
        <v>3000</v>
      </c>
      <c r="AF10" s="77">
        <f t="shared" si="1"/>
        <v>3000</v>
      </c>
      <c r="AG10" s="77">
        <f t="shared" si="1"/>
        <v>3000</v>
      </c>
      <c r="AH10" s="77">
        <f t="shared" si="1"/>
        <v>3000</v>
      </c>
      <c r="AI10" s="77">
        <f t="shared" si="1"/>
        <v>3000</v>
      </c>
      <c r="AJ10" s="77">
        <f t="shared" si="1"/>
        <v>3000</v>
      </c>
      <c r="AK10" s="77">
        <f t="shared" si="1"/>
        <v>3000</v>
      </c>
      <c r="AL10" s="77">
        <f t="shared" si="1"/>
        <v>3000</v>
      </c>
      <c r="AM10" s="77">
        <f t="shared" si="1"/>
        <v>3000</v>
      </c>
      <c r="AN10" s="81"/>
      <c r="AO10" s="75">
        <f t="shared" ref="AO10" si="2">SUM(D10:O10)</f>
        <v>25500</v>
      </c>
      <c r="AP10" s="75">
        <f t="shared" ref="AP10" si="3">SUM(P10:AA10)</f>
        <v>36000</v>
      </c>
      <c r="AQ10" s="75">
        <f t="shared" ref="AQ10" si="4">SUM(AB10:AM10)</f>
        <v>36000</v>
      </c>
    </row>
    <row r="11" spans="1:16370" hidden="1" outlineLevel="1">
      <c r="A11" s="70" t="s">
        <v>168</v>
      </c>
      <c r="B11" s="85" t="s">
        <v>85</v>
      </c>
      <c r="C11" s="72"/>
      <c r="D11" s="86">
        <v>1</v>
      </c>
      <c r="E11" s="86">
        <v>1</v>
      </c>
      <c r="F11" s="86">
        <v>1</v>
      </c>
      <c r="G11" s="86">
        <v>1</v>
      </c>
      <c r="H11" s="86">
        <v>1</v>
      </c>
      <c r="I11" s="86">
        <v>1</v>
      </c>
      <c r="J11" s="86">
        <v>1</v>
      </c>
      <c r="K11" s="86">
        <v>1</v>
      </c>
      <c r="L11" s="86">
        <v>1</v>
      </c>
      <c r="M11" s="86">
        <v>1</v>
      </c>
      <c r="N11" s="86">
        <v>1</v>
      </c>
      <c r="O11" s="86">
        <v>1</v>
      </c>
      <c r="P11" s="86">
        <v>1</v>
      </c>
      <c r="Q11" s="86">
        <v>1</v>
      </c>
      <c r="R11" s="86">
        <v>1</v>
      </c>
      <c r="S11" s="86">
        <v>1</v>
      </c>
      <c r="T11" s="86">
        <v>1</v>
      </c>
      <c r="U11" s="86">
        <v>1</v>
      </c>
      <c r="V11" s="86">
        <v>1</v>
      </c>
      <c r="W11" s="86">
        <v>1</v>
      </c>
      <c r="X11" s="86">
        <v>1</v>
      </c>
      <c r="Y11" s="86">
        <v>1</v>
      </c>
      <c r="Z11" s="86">
        <v>1</v>
      </c>
      <c r="AA11" s="86">
        <v>1</v>
      </c>
      <c r="AB11" s="86">
        <v>1</v>
      </c>
      <c r="AC11" s="86">
        <v>1</v>
      </c>
      <c r="AD11" s="86">
        <v>1</v>
      </c>
      <c r="AE11" s="86">
        <v>1</v>
      </c>
      <c r="AF11" s="86">
        <v>1</v>
      </c>
      <c r="AG11" s="86">
        <v>1</v>
      </c>
      <c r="AH11" s="86">
        <v>1</v>
      </c>
      <c r="AI11" s="86">
        <v>1</v>
      </c>
      <c r="AJ11" s="86">
        <v>1</v>
      </c>
      <c r="AK11" s="86">
        <v>1</v>
      </c>
      <c r="AL11" s="86">
        <v>1</v>
      </c>
      <c r="AM11" s="86">
        <v>1</v>
      </c>
      <c r="AN11" s="81"/>
      <c r="AO11" s="75">
        <f>AVERAGE(D11:O11)</f>
        <v>1</v>
      </c>
      <c r="AP11" s="75">
        <f>AVERAGE(P11:AA11)</f>
        <v>1</v>
      </c>
      <c r="AQ11" s="75">
        <f>AVERAGE(AB11:AM11)</f>
        <v>1</v>
      </c>
    </row>
    <row r="12" spans="1:16370" hidden="1" outlineLevel="1">
      <c r="A12" s="70" t="s">
        <v>169</v>
      </c>
      <c r="B12" s="85" t="s">
        <v>85</v>
      </c>
      <c r="C12" s="72"/>
      <c r="D12" s="77">
        <f>D10*D11</f>
        <v>1500</v>
      </c>
      <c r="E12" s="77">
        <f t="shared" ref="E12:AM12" si="5">E10*E11</f>
        <v>1600</v>
      </c>
      <c r="F12" s="77">
        <f t="shared" si="5"/>
        <v>1700</v>
      </c>
      <c r="G12" s="77">
        <f t="shared" si="5"/>
        <v>1800</v>
      </c>
      <c r="H12" s="77">
        <f t="shared" si="5"/>
        <v>1900</v>
      </c>
      <c r="I12" s="77">
        <f t="shared" si="5"/>
        <v>2000</v>
      </c>
      <c r="J12" s="77">
        <f t="shared" si="5"/>
        <v>2000</v>
      </c>
      <c r="K12" s="77">
        <f t="shared" si="5"/>
        <v>2200</v>
      </c>
      <c r="L12" s="77">
        <f t="shared" si="5"/>
        <v>2400</v>
      </c>
      <c r="M12" s="77">
        <f t="shared" si="5"/>
        <v>2600</v>
      </c>
      <c r="N12" s="77">
        <f t="shared" si="5"/>
        <v>2800</v>
      </c>
      <c r="O12" s="77">
        <f t="shared" si="5"/>
        <v>3000</v>
      </c>
      <c r="P12" s="77">
        <f t="shared" si="5"/>
        <v>3000</v>
      </c>
      <c r="Q12" s="77">
        <f t="shared" si="5"/>
        <v>3000</v>
      </c>
      <c r="R12" s="77">
        <f t="shared" si="5"/>
        <v>3000</v>
      </c>
      <c r="S12" s="77">
        <f t="shared" si="5"/>
        <v>3000</v>
      </c>
      <c r="T12" s="77">
        <f t="shared" si="5"/>
        <v>3000</v>
      </c>
      <c r="U12" s="77">
        <f t="shared" si="5"/>
        <v>3000</v>
      </c>
      <c r="V12" s="77">
        <f t="shared" si="5"/>
        <v>3000</v>
      </c>
      <c r="W12" s="77">
        <f t="shared" si="5"/>
        <v>3000</v>
      </c>
      <c r="X12" s="77">
        <f t="shared" si="5"/>
        <v>3000</v>
      </c>
      <c r="Y12" s="77">
        <f t="shared" si="5"/>
        <v>3000</v>
      </c>
      <c r="Z12" s="77">
        <f t="shared" si="5"/>
        <v>3000</v>
      </c>
      <c r="AA12" s="77">
        <f t="shared" si="5"/>
        <v>3000</v>
      </c>
      <c r="AB12" s="77">
        <f t="shared" si="5"/>
        <v>3000</v>
      </c>
      <c r="AC12" s="77">
        <f t="shared" si="5"/>
        <v>3000</v>
      </c>
      <c r="AD12" s="77">
        <f t="shared" si="5"/>
        <v>3000</v>
      </c>
      <c r="AE12" s="77">
        <f t="shared" si="5"/>
        <v>3000</v>
      </c>
      <c r="AF12" s="77">
        <f t="shared" si="5"/>
        <v>3000</v>
      </c>
      <c r="AG12" s="77">
        <f t="shared" si="5"/>
        <v>3000</v>
      </c>
      <c r="AH12" s="77">
        <f t="shared" si="5"/>
        <v>3000</v>
      </c>
      <c r="AI12" s="77">
        <f t="shared" si="5"/>
        <v>3000</v>
      </c>
      <c r="AJ12" s="77">
        <f t="shared" si="5"/>
        <v>3000</v>
      </c>
      <c r="AK12" s="77">
        <f t="shared" si="5"/>
        <v>3000</v>
      </c>
      <c r="AL12" s="77">
        <f t="shared" si="5"/>
        <v>3000</v>
      </c>
      <c r="AM12" s="77">
        <f t="shared" si="5"/>
        <v>3000</v>
      </c>
      <c r="AN12" s="81"/>
      <c r="AO12" s="75">
        <f t="shared" ref="AO12" si="6">SUM(D12:O12)</f>
        <v>25500</v>
      </c>
      <c r="AP12" s="75">
        <f t="shared" ref="AP12" si="7">SUM(P12:AA12)</f>
        <v>36000</v>
      </c>
      <c r="AQ12" s="75">
        <f t="shared" ref="AQ12" si="8">SUM(AB12:AM12)</f>
        <v>36000</v>
      </c>
    </row>
    <row r="13" spans="1:16370" hidden="1" outlineLevel="1">
      <c r="A13" s="70" t="s">
        <v>171</v>
      </c>
      <c r="B13" s="85" t="s">
        <v>162</v>
      </c>
      <c r="C13" s="72"/>
      <c r="D13" s="86">
        <v>50</v>
      </c>
      <c r="E13" s="86">
        <v>50</v>
      </c>
      <c r="F13" s="86">
        <v>50</v>
      </c>
      <c r="G13" s="86">
        <v>50</v>
      </c>
      <c r="H13" s="86">
        <v>50</v>
      </c>
      <c r="I13" s="86">
        <v>50</v>
      </c>
      <c r="J13" s="86">
        <v>50</v>
      </c>
      <c r="K13" s="86">
        <v>50</v>
      </c>
      <c r="L13" s="86">
        <v>50</v>
      </c>
      <c r="M13" s="86">
        <v>50</v>
      </c>
      <c r="N13" s="86">
        <v>50</v>
      </c>
      <c r="O13" s="86">
        <v>50</v>
      </c>
      <c r="P13" s="86">
        <v>50</v>
      </c>
      <c r="Q13" s="86">
        <v>50</v>
      </c>
      <c r="R13" s="86">
        <v>50</v>
      </c>
      <c r="S13" s="86">
        <v>50</v>
      </c>
      <c r="T13" s="86">
        <v>50</v>
      </c>
      <c r="U13" s="86">
        <v>50</v>
      </c>
      <c r="V13" s="86">
        <v>50</v>
      </c>
      <c r="W13" s="86">
        <v>50</v>
      </c>
      <c r="X13" s="86">
        <v>50</v>
      </c>
      <c r="Y13" s="86">
        <v>50</v>
      </c>
      <c r="Z13" s="86">
        <v>50</v>
      </c>
      <c r="AA13" s="86">
        <v>50</v>
      </c>
      <c r="AB13" s="86">
        <v>50</v>
      </c>
      <c r="AC13" s="86">
        <v>50</v>
      </c>
      <c r="AD13" s="86">
        <v>50</v>
      </c>
      <c r="AE13" s="86">
        <v>50</v>
      </c>
      <c r="AF13" s="86">
        <v>50</v>
      </c>
      <c r="AG13" s="86">
        <v>50</v>
      </c>
      <c r="AH13" s="86">
        <v>50</v>
      </c>
      <c r="AI13" s="86">
        <v>50</v>
      </c>
      <c r="AJ13" s="86">
        <v>50</v>
      </c>
      <c r="AK13" s="86">
        <v>50</v>
      </c>
      <c r="AL13" s="86">
        <v>50</v>
      </c>
      <c r="AM13" s="86">
        <v>50</v>
      </c>
      <c r="AN13" s="81"/>
      <c r="AO13" s="75">
        <f>AVERAGE(D13:O13)</f>
        <v>50</v>
      </c>
      <c r="AP13" s="75">
        <f>AVERAGE(P13:AA13)</f>
        <v>50</v>
      </c>
      <c r="AQ13" s="75">
        <f>AVERAGE(AB13:AM13)</f>
        <v>50</v>
      </c>
    </row>
    <row r="14" spans="1:16370" hidden="1" outlineLevel="1">
      <c r="A14" s="70" t="s">
        <v>97</v>
      </c>
      <c r="B14" s="85" t="s">
        <v>78</v>
      </c>
      <c r="C14" s="72"/>
      <c r="D14" s="77">
        <f>D12*D13/1000*(1-2/102)</f>
        <v>73.529411764705884</v>
      </c>
      <c r="E14" s="77">
        <f>E12*E13/1000*(1-2/102)</f>
        <v>78.431372549019599</v>
      </c>
      <c r="F14" s="77">
        <f t="shared" ref="F14:AM14" si="9">F12*F13/1000*(1-2/102)</f>
        <v>83.333333333333329</v>
      </c>
      <c r="G14" s="77">
        <f t="shared" si="9"/>
        <v>88.235294117647058</v>
      </c>
      <c r="H14" s="77">
        <f t="shared" si="9"/>
        <v>93.137254901960787</v>
      </c>
      <c r="I14" s="77">
        <f t="shared" si="9"/>
        <v>98.039215686274503</v>
      </c>
      <c r="J14" s="77">
        <f t="shared" si="9"/>
        <v>98.039215686274503</v>
      </c>
      <c r="K14" s="77">
        <f t="shared" si="9"/>
        <v>107.84313725490196</v>
      </c>
      <c r="L14" s="77">
        <f t="shared" si="9"/>
        <v>117.64705882352941</v>
      </c>
      <c r="M14" s="77">
        <f t="shared" si="9"/>
        <v>127.45098039215685</v>
      </c>
      <c r="N14" s="77">
        <f t="shared" si="9"/>
        <v>137.25490196078431</v>
      </c>
      <c r="O14" s="77">
        <f t="shared" si="9"/>
        <v>147.05882352941177</v>
      </c>
      <c r="P14" s="77">
        <f t="shared" si="9"/>
        <v>147.05882352941177</v>
      </c>
      <c r="Q14" s="77">
        <f t="shared" si="9"/>
        <v>147.05882352941177</v>
      </c>
      <c r="R14" s="77">
        <f t="shared" si="9"/>
        <v>147.05882352941177</v>
      </c>
      <c r="S14" s="77">
        <f t="shared" si="9"/>
        <v>147.05882352941177</v>
      </c>
      <c r="T14" s="77">
        <f t="shared" si="9"/>
        <v>147.05882352941177</v>
      </c>
      <c r="U14" s="77">
        <f t="shared" si="9"/>
        <v>147.05882352941177</v>
      </c>
      <c r="V14" s="77">
        <f t="shared" si="9"/>
        <v>147.05882352941177</v>
      </c>
      <c r="W14" s="77">
        <f t="shared" si="9"/>
        <v>147.05882352941177</v>
      </c>
      <c r="X14" s="77">
        <f t="shared" si="9"/>
        <v>147.05882352941177</v>
      </c>
      <c r="Y14" s="77">
        <f t="shared" si="9"/>
        <v>147.05882352941177</v>
      </c>
      <c r="Z14" s="77">
        <f t="shared" si="9"/>
        <v>147.05882352941177</v>
      </c>
      <c r="AA14" s="77">
        <f t="shared" si="9"/>
        <v>147.05882352941177</v>
      </c>
      <c r="AB14" s="77">
        <f t="shared" si="9"/>
        <v>147.05882352941177</v>
      </c>
      <c r="AC14" s="77">
        <f t="shared" si="9"/>
        <v>147.05882352941177</v>
      </c>
      <c r="AD14" s="77">
        <f t="shared" si="9"/>
        <v>147.05882352941177</v>
      </c>
      <c r="AE14" s="77">
        <f t="shared" si="9"/>
        <v>147.05882352941177</v>
      </c>
      <c r="AF14" s="77">
        <f t="shared" si="9"/>
        <v>147.05882352941177</v>
      </c>
      <c r="AG14" s="77">
        <f t="shared" si="9"/>
        <v>147.05882352941177</v>
      </c>
      <c r="AH14" s="77">
        <f t="shared" si="9"/>
        <v>147.05882352941177</v>
      </c>
      <c r="AI14" s="77">
        <f t="shared" si="9"/>
        <v>147.05882352941177</v>
      </c>
      <c r="AJ14" s="77">
        <f t="shared" si="9"/>
        <v>147.05882352941177</v>
      </c>
      <c r="AK14" s="77">
        <f t="shared" si="9"/>
        <v>147.05882352941177</v>
      </c>
      <c r="AL14" s="77">
        <f t="shared" si="9"/>
        <v>147.05882352941177</v>
      </c>
      <c r="AM14" s="77">
        <f t="shared" si="9"/>
        <v>147.05882352941177</v>
      </c>
      <c r="AN14" s="81"/>
      <c r="AO14" s="75">
        <f t="shared" ref="AO14" si="10">SUM(D14:O14)</f>
        <v>1249.9999999999998</v>
      </c>
      <c r="AP14" s="75">
        <f t="shared" ref="AP14" si="11">SUM(P14:AA14)</f>
        <v>1764.7058823529408</v>
      </c>
      <c r="AQ14" s="75">
        <f>SUM(AB14:AM14)</f>
        <v>1764.7058823529408</v>
      </c>
    </row>
    <row r="15" spans="1:16370" hidden="1" outlineLevel="1">
      <c r="A15" s="70" t="s">
        <v>328</v>
      </c>
      <c r="B15" s="85" t="s">
        <v>162</v>
      </c>
      <c r="C15" s="72"/>
      <c r="D15" s="77">
        <f>-0.29*'0'!D27</f>
        <v>-24.65</v>
      </c>
      <c r="E15" s="77">
        <f>-0.29*'0'!E27</f>
        <v>-24.65</v>
      </c>
      <c r="F15" s="77">
        <f>-0.29*'0'!F27</f>
        <v>-24.65</v>
      </c>
      <c r="G15" s="77">
        <f>-0.29*'0'!G27</f>
        <v>-24.65</v>
      </c>
      <c r="H15" s="77">
        <f>-0.29*'0'!H27</f>
        <v>-24.65</v>
      </c>
      <c r="I15" s="77">
        <f>-0.29*'0'!I27</f>
        <v>-24.65</v>
      </c>
      <c r="J15" s="77">
        <f>-0.29*'0'!J27</f>
        <v>-24.65</v>
      </c>
      <c r="K15" s="77">
        <f>-0.29*'0'!K27</f>
        <v>-24.65</v>
      </c>
      <c r="L15" s="77">
        <f>-0.29*'0'!L27</f>
        <v>-24.65</v>
      </c>
      <c r="M15" s="77">
        <f>-0.29*'0'!M27</f>
        <v>-24.65</v>
      </c>
      <c r="N15" s="77">
        <f>-0.29*'0'!N27</f>
        <v>-24.65</v>
      </c>
      <c r="O15" s="77">
        <f>-0.29*'0'!O27</f>
        <v>-24.65</v>
      </c>
      <c r="P15" s="77">
        <f>-0.29*'0'!P27</f>
        <v>-24.65</v>
      </c>
      <c r="Q15" s="77">
        <f>-0.29*'0'!Q27</f>
        <v>-24.65</v>
      </c>
      <c r="R15" s="77">
        <f>-0.29*'0'!R27</f>
        <v>-24.65</v>
      </c>
      <c r="S15" s="77">
        <f>-0.29*'0'!S27</f>
        <v>-24.65</v>
      </c>
      <c r="T15" s="77">
        <f>-0.29*'0'!T27</f>
        <v>-24.65</v>
      </c>
      <c r="U15" s="77">
        <f>-0.29*'0'!U27</f>
        <v>-24.65</v>
      </c>
      <c r="V15" s="77">
        <f>-0.29*'0'!V27</f>
        <v>-24.65</v>
      </c>
      <c r="W15" s="77">
        <f>-0.29*'0'!W27</f>
        <v>-24.65</v>
      </c>
      <c r="X15" s="77">
        <f>-0.29*'0'!X27</f>
        <v>-24.65</v>
      </c>
      <c r="Y15" s="77">
        <f>-0.29*'0'!Y27</f>
        <v>-24.65</v>
      </c>
      <c r="Z15" s="77">
        <f>-0.29*'0'!Z27</f>
        <v>-24.65</v>
      </c>
      <c r="AA15" s="77">
        <f>-0.29*'0'!AA27</f>
        <v>-24.65</v>
      </c>
      <c r="AB15" s="77">
        <f>-0.29*'0'!AB27</f>
        <v>-24.65</v>
      </c>
      <c r="AC15" s="77">
        <f>-0.29*'0'!AC27</f>
        <v>-24.65</v>
      </c>
      <c r="AD15" s="77">
        <f>-0.29*'0'!AD27</f>
        <v>-24.65</v>
      </c>
      <c r="AE15" s="77">
        <f>-0.29*'0'!AE27</f>
        <v>-24.65</v>
      </c>
      <c r="AF15" s="77">
        <f>-0.29*'0'!AF27</f>
        <v>-24.65</v>
      </c>
      <c r="AG15" s="77">
        <f>-0.29*'0'!AG27</f>
        <v>-24.65</v>
      </c>
      <c r="AH15" s="77">
        <f>-0.29*'0'!AH27</f>
        <v>-24.65</v>
      </c>
      <c r="AI15" s="77">
        <f>-0.29*'0'!AI27</f>
        <v>-24.65</v>
      </c>
      <c r="AJ15" s="77">
        <f>-0.29*'0'!AJ27</f>
        <v>-24.65</v>
      </c>
      <c r="AK15" s="77">
        <f>-0.29*'0'!AK27</f>
        <v>-24.65</v>
      </c>
      <c r="AL15" s="77">
        <f>-0.29*'0'!AL27</f>
        <v>-24.65</v>
      </c>
      <c r="AM15" s="77">
        <f>-0.29*'0'!AM27</f>
        <v>-24.65</v>
      </c>
      <c r="AN15" s="81"/>
      <c r="AO15" s="75">
        <f t="shared" ref="AO15" si="12">SUM(D15:O15)</f>
        <v>-295.8</v>
      </c>
      <c r="AP15" s="75">
        <f t="shared" ref="AP15" si="13">SUM(P15:AA15)</f>
        <v>-295.8</v>
      </c>
      <c r="AQ15" s="75">
        <f>SUM(AB15:AM15)</f>
        <v>-295.8</v>
      </c>
    </row>
    <row r="16" spans="1:16370" hidden="1" outlineLevel="1">
      <c r="A16" s="70" t="s">
        <v>289</v>
      </c>
      <c r="B16" s="85" t="s">
        <v>78</v>
      </c>
      <c r="C16" s="72"/>
      <c r="D16" s="77">
        <f>D12*D15/1000</f>
        <v>-36.975000000000001</v>
      </c>
      <c r="E16" s="77">
        <f t="shared" ref="E16:AM16" si="14">E12*E15/1000</f>
        <v>-39.44</v>
      </c>
      <c r="F16" s="77">
        <f t="shared" si="14"/>
        <v>-41.905000000000001</v>
      </c>
      <c r="G16" s="77">
        <f t="shared" si="14"/>
        <v>-44.37</v>
      </c>
      <c r="H16" s="77">
        <f t="shared" si="14"/>
        <v>-46.835000000000001</v>
      </c>
      <c r="I16" s="77">
        <f t="shared" si="14"/>
        <v>-49.3</v>
      </c>
      <c r="J16" s="77">
        <f t="shared" si="14"/>
        <v>-49.3</v>
      </c>
      <c r="K16" s="77">
        <f t="shared" si="14"/>
        <v>-54.23</v>
      </c>
      <c r="L16" s="77">
        <f t="shared" si="14"/>
        <v>-59.16</v>
      </c>
      <c r="M16" s="77">
        <f t="shared" si="14"/>
        <v>-64.089999999999989</v>
      </c>
      <c r="N16" s="77">
        <f t="shared" si="14"/>
        <v>-69.02</v>
      </c>
      <c r="O16" s="77">
        <f t="shared" si="14"/>
        <v>-73.95</v>
      </c>
      <c r="P16" s="77">
        <f t="shared" si="14"/>
        <v>-73.95</v>
      </c>
      <c r="Q16" s="77">
        <f t="shared" si="14"/>
        <v>-73.95</v>
      </c>
      <c r="R16" s="77">
        <f t="shared" si="14"/>
        <v>-73.95</v>
      </c>
      <c r="S16" s="77">
        <f t="shared" si="14"/>
        <v>-73.95</v>
      </c>
      <c r="T16" s="77">
        <f t="shared" si="14"/>
        <v>-73.95</v>
      </c>
      <c r="U16" s="77">
        <f t="shared" si="14"/>
        <v>-73.95</v>
      </c>
      <c r="V16" s="77">
        <f t="shared" si="14"/>
        <v>-73.95</v>
      </c>
      <c r="W16" s="77">
        <f t="shared" si="14"/>
        <v>-73.95</v>
      </c>
      <c r="X16" s="77">
        <f t="shared" si="14"/>
        <v>-73.95</v>
      </c>
      <c r="Y16" s="77">
        <f t="shared" si="14"/>
        <v>-73.95</v>
      </c>
      <c r="Z16" s="77">
        <f t="shared" si="14"/>
        <v>-73.95</v>
      </c>
      <c r="AA16" s="77">
        <f t="shared" si="14"/>
        <v>-73.95</v>
      </c>
      <c r="AB16" s="77">
        <f t="shared" si="14"/>
        <v>-73.95</v>
      </c>
      <c r="AC16" s="77">
        <f t="shared" si="14"/>
        <v>-73.95</v>
      </c>
      <c r="AD16" s="77">
        <f t="shared" si="14"/>
        <v>-73.95</v>
      </c>
      <c r="AE16" s="77">
        <f t="shared" si="14"/>
        <v>-73.95</v>
      </c>
      <c r="AF16" s="77">
        <f t="shared" si="14"/>
        <v>-73.95</v>
      </c>
      <c r="AG16" s="77">
        <f t="shared" si="14"/>
        <v>-73.95</v>
      </c>
      <c r="AH16" s="77">
        <f t="shared" si="14"/>
        <v>-73.95</v>
      </c>
      <c r="AI16" s="77">
        <f t="shared" si="14"/>
        <v>-73.95</v>
      </c>
      <c r="AJ16" s="77">
        <f t="shared" si="14"/>
        <v>-73.95</v>
      </c>
      <c r="AK16" s="77">
        <f t="shared" si="14"/>
        <v>-73.95</v>
      </c>
      <c r="AL16" s="77">
        <f t="shared" si="14"/>
        <v>-73.95</v>
      </c>
      <c r="AM16" s="77">
        <f t="shared" si="14"/>
        <v>-73.95</v>
      </c>
      <c r="AN16" s="81"/>
      <c r="AO16" s="75">
        <f t="shared" ref="AO16" si="15">SUM(D16:O16)</f>
        <v>-628.57500000000005</v>
      </c>
      <c r="AP16" s="75">
        <f t="shared" ref="AP16" si="16">SUM(P16:AA16)</f>
        <v>-887.4000000000002</v>
      </c>
      <c r="AQ16" s="75">
        <f>SUM(AB16:AM16)</f>
        <v>-887.4000000000002</v>
      </c>
    </row>
    <row r="17" spans="1:16370" hidden="1" outlineLevel="1">
      <c r="A17" s="70" t="s">
        <v>290</v>
      </c>
      <c r="B17" s="85" t="s">
        <v>78</v>
      </c>
      <c r="C17" s="72"/>
      <c r="D17" s="77">
        <f>-('OPEX+CAPEX'!E50+'OPEX+CAPEX'!E52+'OPEX+CAPEX'!E53)</f>
        <v>-100</v>
      </c>
      <c r="E17" s="77">
        <f>-('OPEX+CAPEX'!F50+'OPEX+CAPEX'!F52+'OPEX+CAPEX'!F53)</f>
        <v>-142.5</v>
      </c>
      <c r="F17" s="77">
        <f>-('OPEX+CAPEX'!G50+'OPEX+CAPEX'!G52+'OPEX+CAPEX'!G53)</f>
        <v>-206.25</v>
      </c>
      <c r="G17" s="77">
        <f>-('OPEX+CAPEX'!H50+'OPEX+CAPEX'!H52+'OPEX+CAPEX'!H53)</f>
        <v>-270</v>
      </c>
      <c r="H17" s="77">
        <f>-('OPEX+CAPEX'!I50+'OPEX+CAPEX'!I52+'OPEX+CAPEX'!I53)</f>
        <v>-270</v>
      </c>
      <c r="I17" s="77">
        <f>-('OPEX+CAPEX'!J50+'OPEX+CAPEX'!J52+'OPEX+CAPEX'!J53)</f>
        <v>-270</v>
      </c>
      <c r="J17" s="77">
        <f>-('OPEX+CAPEX'!K50+'OPEX+CAPEX'!K52+'OPEX+CAPEX'!K53)</f>
        <v>-270</v>
      </c>
      <c r="K17" s="77">
        <f>-('OPEX+CAPEX'!L50+'OPEX+CAPEX'!L52+'OPEX+CAPEX'!L53)</f>
        <v>-270</v>
      </c>
      <c r="L17" s="77">
        <f>-('OPEX+CAPEX'!M50+'OPEX+CAPEX'!M52+'OPEX+CAPEX'!M53)</f>
        <v>-270</v>
      </c>
      <c r="M17" s="77">
        <f>-('OPEX+CAPEX'!N50+'OPEX+CAPEX'!N52+'OPEX+CAPEX'!N53)</f>
        <v>-270</v>
      </c>
      <c r="N17" s="77">
        <f>-('OPEX+CAPEX'!O50+'OPEX+CAPEX'!O52+'OPEX+CAPEX'!O53)</f>
        <v>-270</v>
      </c>
      <c r="O17" s="77">
        <f>-('OPEX+CAPEX'!P50+'OPEX+CAPEX'!P52+'OPEX+CAPEX'!P53)</f>
        <v>-270</v>
      </c>
      <c r="P17" s="77">
        <f>-('OPEX+CAPEX'!Q50+'OPEX+CAPEX'!Q52+'OPEX+CAPEX'!Q53)</f>
        <v>-277.08333333333331</v>
      </c>
      <c r="Q17" s="77">
        <f>-('OPEX+CAPEX'!R50+'OPEX+CAPEX'!R52+'OPEX+CAPEX'!R53)</f>
        <v>-277.08333333333331</v>
      </c>
      <c r="R17" s="77">
        <f>-('OPEX+CAPEX'!S50+'OPEX+CAPEX'!S52+'OPEX+CAPEX'!S53)</f>
        <v>-277.08333333333331</v>
      </c>
      <c r="S17" s="77">
        <f>-('OPEX+CAPEX'!T50+'OPEX+CAPEX'!T52+'OPEX+CAPEX'!T53)</f>
        <v>-277.08333333333331</v>
      </c>
      <c r="T17" s="77">
        <f>-('OPEX+CAPEX'!U50+'OPEX+CAPEX'!U52+'OPEX+CAPEX'!U53)</f>
        <v>-277.08333333333331</v>
      </c>
      <c r="U17" s="77">
        <f>-('OPEX+CAPEX'!V50+'OPEX+CAPEX'!V52+'OPEX+CAPEX'!V53)</f>
        <v>-277.08333333333331</v>
      </c>
      <c r="V17" s="77">
        <f>-('OPEX+CAPEX'!W50+'OPEX+CAPEX'!W52+'OPEX+CAPEX'!W53)</f>
        <v>-277.08333333333331</v>
      </c>
      <c r="W17" s="77">
        <f>-('OPEX+CAPEX'!X50+'OPEX+CAPEX'!X52+'OPEX+CAPEX'!X53)</f>
        <v>-277.08333333333331</v>
      </c>
      <c r="X17" s="77">
        <f>-('OPEX+CAPEX'!Y50+'OPEX+CAPEX'!Y52+'OPEX+CAPEX'!Y53)</f>
        <v>-277.08333333333331</v>
      </c>
      <c r="Y17" s="77">
        <f>-('OPEX+CAPEX'!Z50+'OPEX+CAPEX'!Z52+'OPEX+CAPEX'!Z53)</f>
        <v>-277.08333333333331</v>
      </c>
      <c r="Z17" s="77">
        <f>-('OPEX+CAPEX'!AA50+'OPEX+CAPEX'!AA52+'OPEX+CAPEX'!AA53)</f>
        <v>-277.08333333333331</v>
      </c>
      <c r="AA17" s="77">
        <f>-('OPEX+CAPEX'!AB50+'OPEX+CAPEX'!AB52+'OPEX+CAPEX'!AB53)</f>
        <v>-277.08333333333331</v>
      </c>
      <c r="AB17" s="77">
        <f>-('OPEX+CAPEX'!AC50+'OPEX+CAPEX'!AC52+'OPEX+CAPEX'!AC53)</f>
        <v>-277.08333333333331</v>
      </c>
      <c r="AC17" s="77">
        <f>-('OPEX+CAPEX'!AD50+'OPEX+CAPEX'!AD52+'OPEX+CAPEX'!AD53)</f>
        <v>-277.08333333333331</v>
      </c>
      <c r="AD17" s="77">
        <f>-('OPEX+CAPEX'!AE50+'OPEX+CAPEX'!AE52+'OPEX+CAPEX'!AE53)</f>
        <v>-277.08333333333331</v>
      </c>
      <c r="AE17" s="77">
        <f>-('OPEX+CAPEX'!AF50+'OPEX+CAPEX'!AF52+'OPEX+CAPEX'!AF53)</f>
        <v>-277.08333333333331</v>
      </c>
      <c r="AF17" s="77">
        <f>-('OPEX+CAPEX'!AG50+'OPEX+CAPEX'!AG52+'OPEX+CAPEX'!AG53)</f>
        <v>-277.08333333333331</v>
      </c>
      <c r="AG17" s="77">
        <f>-('OPEX+CAPEX'!AH50+'OPEX+CAPEX'!AH52+'OPEX+CAPEX'!AH53)</f>
        <v>-277.08333333333331</v>
      </c>
      <c r="AH17" s="77">
        <f>-('OPEX+CAPEX'!AI50+'OPEX+CAPEX'!AI52+'OPEX+CAPEX'!AI53)</f>
        <v>-277.08333333333331</v>
      </c>
      <c r="AI17" s="77">
        <f>-('OPEX+CAPEX'!AJ50+'OPEX+CAPEX'!AJ52+'OPEX+CAPEX'!AJ53)</f>
        <v>-277.08333333333331</v>
      </c>
      <c r="AJ17" s="77">
        <f>-('OPEX+CAPEX'!AK50+'OPEX+CAPEX'!AK52+'OPEX+CAPEX'!AK53)</f>
        <v>-277.08333333333331</v>
      </c>
      <c r="AK17" s="77">
        <f>-('OPEX+CAPEX'!AL50+'OPEX+CAPEX'!AL52+'OPEX+CAPEX'!AL53)</f>
        <v>-277.08333333333331</v>
      </c>
      <c r="AL17" s="77">
        <f>-('OPEX+CAPEX'!AM50+'OPEX+CAPEX'!AM52+'OPEX+CAPEX'!AM53)</f>
        <v>-277.08333333333331</v>
      </c>
      <c r="AM17" s="77">
        <f>-('OPEX+CAPEX'!AN50+'OPEX+CAPEX'!AN52+'OPEX+CAPEX'!AN53)</f>
        <v>-277.08333333333331</v>
      </c>
      <c r="AN17" s="81"/>
      <c r="AO17" s="75">
        <f t="shared" ref="AO17" si="17">SUM(D17:O17)</f>
        <v>-2878.75</v>
      </c>
      <c r="AP17" s="75">
        <f t="shared" ref="AP17" si="18">SUM(P17:AA17)</f>
        <v>-3325.0000000000005</v>
      </c>
      <c r="AQ17" s="75">
        <f>SUM(AB17:AM17)</f>
        <v>-3325.0000000000005</v>
      </c>
    </row>
    <row r="18" spans="1:16370" hidden="1" outlineLevel="1">
      <c r="A18" s="70" t="s">
        <v>177</v>
      </c>
      <c r="B18" s="71" t="s">
        <v>78</v>
      </c>
      <c r="C18" s="72"/>
      <c r="D18" s="78">
        <f>D14+D16+D17</f>
        <v>-63.445588235294117</v>
      </c>
      <c r="E18" s="78">
        <f t="shared" ref="E18:AM18" si="19">E14+E16+E17</f>
        <v>-103.5086274509804</v>
      </c>
      <c r="F18" s="78">
        <f t="shared" si="19"/>
        <v>-164.82166666666666</v>
      </c>
      <c r="G18" s="78">
        <f t="shared" si="19"/>
        <v>-226.13470588235293</v>
      </c>
      <c r="H18" s="78">
        <f t="shared" si="19"/>
        <v>-223.69774509803921</v>
      </c>
      <c r="I18" s="78">
        <f t="shared" si="19"/>
        <v>-221.26078431372548</v>
      </c>
      <c r="J18" s="78">
        <f t="shared" si="19"/>
        <v>-221.26078431372548</v>
      </c>
      <c r="K18" s="78">
        <f t="shared" si="19"/>
        <v>-216.38686274509803</v>
      </c>
      <c r="L18" s="78">
        <f t="shared" si="19"/>
        <v>-211.51294117647058</v>
      </c>
      <c r="M18" s="78">
        <f t="shared" si="19"/>
        <v>-206.63901960784312</v>
      </c>
      <c r="N18" s="78">
        <f t="shared" si="19"/>
        <v>-201.76509803921567</v>
      </c>
      <c r="O18" s="78">
        <f t="shared" si="19"/>
        <v>-196.89117647058822</v>
      </c>
      <c r="P18" s="78">
        <f t="shared" si="19"/>
        <v>-203.97450980392153</v>
      </c>
      <c r="Q18" s="78">
        <f t="shared" si="19"/>
        <v>-203.97450980392153</v>
      </c>
      <c r="R18" s="78">
        <f t="shared" si="19"/>
        <v>-203.97450980392153</v>
      </c>
      <c r="S18" s="78">
        <f t="shared" si="19"/>
        <v>-203.97450980392153</v>
      </c>
      <c r="T18" s="78">
        <f t="shared" si="19"/>
        <v>-203.97450980392153</v>
      </c>
      <c r="U18" s="78">
        <f t="shared" si="19"/>
        <v>-203.97450980392153</v>
      </c>
      <c r="V18" s="78">
        <f t="shared" si="19"/>
        <v>-203.97450980392153</v>
      </c>
      <c r="W18" s="78">
        <f t="shared" si="19"/>
        <v>-203.97450980392153</v>
      </c>
      <c r="X18" s="78">
        <f t="shared" si="19"/>
        <v>-203.97450980392153</v>
      </c>
      <c r="Y18" s="78">
        <f>Y14+Y16+Y17</f>
        <v>-203.97450980392153</v>
      </c>
      <c r="Z18" s="78">
        <f t="shared" si="19"/>
        <v>-203.97450980392153</v>
      </c>
      <c r="AA18" s="78">
        <f t="shared" si="19"/>
        <v>-203.97450980392153</v>
      </c>
      <c r="AB18" s="78">
        <f t="shared" si="19"/>
        <v>-203.97450980392153</v>
      </c>
      <c r="AC18" s="78">
        <f t="shared" si="19"/>
        <v>-203.97450980392153</v>
      </c>
      <c r="AD18" s="78">
        <f t="shared" si="19"/>
        <v>-203.97450980392153</v>
      </c>
      <c r="AE18" s="78">
        <f t="shared" si="19"/>
        <v>-203.97450980392153</v>
      </c>
      <c r="AF18" s="78">
        <f t="shared" si="19"/>
        <v>-203.97450980392153</v>
      </c>
      <c r="AG18" s="78">
        <f t="shared" si="19"/>
        <v>-203.97450980392153</v>
      </c>
      <c r="AH18" s="78">
        <f t="shared" si="19"/>
        <v>-203.97450980392153</v>
      </c>
      <c r="AI18" s="78">
        <f t="shared" si="19"/>
        <v>-203.97450980392153</v>
      </c>
      <c r="AJ18" s="78">
        <f t="shared" si="19"/>
        <v>-203.97450980392153</v>
      </c>
      <c r="AK18" s="78">
        <f t="shared" si="19"/>
        <v>-203.97450980392153</v>
      </c>
      <c r="AL18" s="78">
        <f t="shared" si="19"/>
        <v>-203.97450980392153</v>
      </c>
      <c r="AM18" s="78">
        <f t="shared" si="19"/>
        <v>-203.97450980392153</v>
      </c>
      <c r="AN18" s="81"/>
      <c r="AO18" s="75">
        <f t="shared" ref="AO18" si="20">SUM(D18:O18)</f>
        <v>-2257.3249999999998</v>
      </c>
      <c r="AP18" s="75">
        <f t="shared" ref="AP18" si="21">SUM(P18:AA18)</f>
        <v>-2447.6941176470586</v>
      </c>
      <c r="AQ18" s="75">
        <f t="shared" ref="AQ18" si="22">SUM(AB18:AM18)</f>
        <v>-2447.6941176470586</v>
      </c>
    </row>
    <row r="19" spans="1:16370" collapsed="1">
      <c r="A19" s="70"/>
      <c r="B19" s="71"/>
      <c r="C19" s="72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81"/>
      <c r="AO19" s="75"/>
      <c r="AP19" s="75"/>
      <c r="AQ19" s="75"/>
    </row>
    <row r="20" spans="1:16370">
      <c r="A20" s="83" t="s">
        <v>135</v>
      </c>
      <c r="B20" s="66"/>
      <c r="C20" s="101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9"/>
      <c r="AO20" s="102"/>
      <c r="AP20" s="68"/>
      <c r="AQ20" s="68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69"/>
      <c r="DA20" s="69"/>
      <c r="DB20" s="69"/>
      <c r="DC20" s="69"/>
      <c r="DD20" s="69"/>
      <c r="DE20" s="69"/>
      <c r="DF20" s="69"/>
      <c r="DG20" s="69"/>
      <c r="DH20" s="69"/>
      <c r="DI20" s="69"/>
      <c r="DJ20" s="69"/>
      <c r="DK20" s="69"/>
      <c r="DL20" s="69"/>
      <c r="DM20" s="69"/>
      <c r="DN20" s="69"/>
      <c r="DO20" s="69"/>
      <c r="DP20" s="69"/>
      <c r="DQ20" s="69"/>
      <c r="DR20" s="69"/>
      <c r="DS20" s="69"/>
      <c r="DT20" s="69"/>
      <c r="DU20" s="69"/>
      <c r="DV20" s="69"/>
      <c r="DW20" s="69"/>
      <c r="DX20" s="69"/>
      <c r="DY20" s="69"/>
      <c r="DZ20" s="69"/>
      <c r="EA20" s="69"/>
      <c r="EB20" s="69"/>
      <c r="EC20" s="69"/>
      <c r="ED20" s="69"/>
      <c r="EE20" s="69"/>
      <c r="EF20" s="69"/>
      <c r="EG20" s="69"/>
      <c r="EH20" s="69"/>
      <c r="EI20" s="69"/>
      <c r="EJ20" s="69"/>
      <c r="EK20" s="69"/>
      <c r="EL20" s="69"/>
      <c r="EM20" s="69"/>
      <c r="EN20" s="69"/>
      <c r="EO20" s="69"/>
      <c r="EP20" s="69"/>
      <c r="EQ20" s="69"/>
      <c r="ER20" s="69"/>
      <c r="ES20" s="69"/>
      <c r="ET20" s="69"/>
      <c r="EU20" s="69"/>
      <c r="EV20" s="69"/>
      <c r="EW20" s="69"/>
      <c r="EX20" s="69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  <c r="FK20" s="69"/>
      <c r="FL20" s="69"/>
      <c r="FM20" s="69"/>
      <c r="FN20" s="69"/>
      <c r="FO20" s="69"/>
      <c r="FP20" s="69"/>
      <c r="FQ20" s="69"/>
      <c r="FR20" s="69"/>
      <c r="FS20" s="69"/>
      <c r="FT20" s="69"/>
      <c r="FU20" s="69"/>
      <c r="FV20" s="69"/>
      <c r="FW20" s="69"/>
      <c r="FX20" s="69"/>
      <c r="FY20" s="69"/>
      <c r="FZ20" s="69"/>
      <c r="GA20" s="69"/>
      <c r="GB20" s="69"/>
      <c r="GC20" s="69"/>
      <c r="GD20" s="69"/>
      <c r="GE20" s="69"/>
      <c r="GF20" s="69"/>
      <c r="GG20" s="69"/>
      <c r="GH20" s="69"/>
      <c r="GI20" s="69"/>
      <c r="GJ20" s="69"/>
      <c r="GK20" s="69"/>
      <c r="GL20" s="69"/>
      <c r="GM20" s="69"/>
      <c r="GN20" s="69"/>
      <c r="GO20" s="69"/>
      <c r="GP20" s="69"/>
      <c r="GQ20" s="69"/>
      <c r="GR20" s="69"/>
      <c r="GS20" s="69"/>
      <c r="GT20" s="69"/>
      <c r="GU20" s="69"/>
      <c r="GV20" s="69"/>
      <c r="GW20" s="69"/>
      <c r="GX20" s="69"/>
      <c r="GY20" s="69"/>
      <c r="GZ20" s="69"/>
      <c r="HA20" s="69"/>
      <c r="HB20" s="69"/>
      <c r="HC20" s="69"/>
      <c r="HD20" s="69"/>
      <c r="HE20" s="69"/>
      <c r="HF20" s="69"/>
      <c r="HG20" s="69"/>
      <c r="HH20" s="69"/>
      <c r="HI20" s="69"/>
      <c r="HJ20" s="69"/>
      <c r="HK20" s="69"/>
      <c r="HL20" s="69"/>
      <c r="HM20" s="69"/>
      <c r="HN20" s="69"/>
      <c r="HO20" s="69"/>
      <c r="HP20" s="69"/>
      <c r="HQ20" s="69"/>
      <c r="HR20" s="69"/>
      <c r="HS20" s="69"/>
      <c r="HT20" s="69"/>
      <c r="HU20" s="69"/>
      <c r="HV20" s="69"/>
      <c r="HW20" s="69"/>
      <c r="HX20" s="69"/>
      <c r="HY20" s="69"/>
      <c r="HZ20" s="69"/>
      <c r="IA20" s="69"/>
      <c r="IB20" s="69"/>
      <c r="IC20" s="69"/>
      <c r="ID20" s="69"/>
      <c r="IE20" s="69"/>
      <c r="IF20" s="69"/>
      <c r="IG20" s="69"/>
      <c r="IH20" s="69"/>
      <c r="II20" s="69"/>
      <c r="IJ20" s="69"/>
      <c r="IK20" s="69"/>
      <c r="IL20" s="69"/>
      <c r="IM20" s="69"/>
      <c r="IN20" s="69"/>
      <c r="IO20" s="69"/>
      <c r="IP20" s="69"/>
      <c r="IQ20" s="69"/>
      <c r="IR20" s="69"/>
      <c r="IS20" s="69"/>
      <c r="IT20" s="69"/>
      <c r="IU20" s="69"/>
      <c r="IV20" s="69"/>
      <c r="IW20" s="69"/>
      <c r="IX20" s="69"/>
      <c r="IY20" s="69"/>
      <c r="IZ20" s="69"/>
      <c r="JA20" s="69"/>
      <c r="JB20" s="69"/>
      <c r="JC20" s="69"/>
      <c r="JD20" s="69"/>
      <c r="JE20" s="69"/>
      <c r="JF20" s="69"/>
      <c r="JG20" s="69"/>
      <c r="JH20" s="69"/>
      <c r="JI20" s="69"/>
      <c r="JJ20" s="69"/>
      <c r="JK20" s="69"/>
      <c r="JL20" s="69"/>
      <c r="JM20" s="69"/>
      <c r="JN20" s="69"/>
      <c r="JO20" s="69"/>
      <c r="JP20" s="69"/>
      <c r="JQ20" s="69"/>
      <c r="JR20" s="69"/>
      <c r="JS20" s="69"/>
      <c r="JT20" s="69"/>
      <c r="JU20" s="69"/>
      <c r="JV20" s="69"/>
      <c r="JW20" s="69"/>
      <c r="JX20" s="69"/>
      <c r="JY20" s="69"/>
      <c r="JZ20" s="69"/>
      <c r="KA20" s="69"/>
      <c r="KB20" s="69"/>
      <c r="KC20" s="69"/>
      <c r="KD20" s="69"/>
      <c r="KE20" s="69"/>
      <c r="KF20" s="69"/>
      <c r="KG20" s="69"/>
      <c r="KH20" s="69"/>
      <c r="KI20" s="69"/>
      <c r="KJ20" s="69"/>
      <c r="KK20" s="69"/>
      <c r="KL20" s="69"/>
      <c r="KM20" s="69"/>
      <c r="KN20" s="69"/>
      <c r="KO20" s="69"/>
      <c r="KP20" s="69"/>
      <c r="KQ20" s="69"/>
      <c r="KR20" s="69"/>
      <c r="KS20" s="69"/>
      <c r="KT20" s="69"/>
      <c r="KU20" s="69"/>
      <c r="KV20" s="69"/>
      <c r="KW20" s="69"/>
      <c r="KX20" s="69"/>
      <c r="KY20" s="69"/>
      <c r="KZ20" s="69"/>
      <c r="LA20" s="69"/>
      <c r="LB20" s="69"/>
      <c r="LC20" s="69"/>
      <c r="LD20" s="69"/>
      <c r="LE20" s="69"/>
      <c r="LF20" s="69"/>
      <c r="LG20" s="69"/>
      <c r="LH20" s="69"/>
      <c r="LI20" s="69"/>
      <c r="LJ20" s="69"/>
      <c r="LK20" s="69"/>
      <c r="LL20" s="69"/>
      <c r="LM20" s="69"/>
      <c r="LN20" s="69"/>
      <c r="LO20" s="69"/>
      <c r="LP20" s="69"/>
      <c r="LQ20" s="69"/>
      <c r="LR20" s="69"/>
      <c r="LS20" s="69"/>
      <c r="LT20" s="69"/>
      <c r="LU20" s="69"/>
      <c r="LV20" s="69"/>
      <c r="LW20" s="69"/>
      <c r="LX20" s="69"/>
      <c r="LY20" s="69"/>
      <c r="LZ20" s="69"/>
      <c r="MA20" s="69"/>
      <c r="MB20" s="69"/>
      <c r="MC20" s="69"/>
      <c r="MD20" s="69"/>
      <c r="ME20" s="69"/>
      <c r="MF20" s="69"/>
      <c r="MG20" s="69"/>
      <c r="MH20" s="69"/>
      <c r="MI20" s="69"/>
      <c r="MJ20" s="69"/>
      <c r="MK20" s="69"/>
      <c r="ML20" s="69"/>
      <c r="MM20" s="69"/>
      <c r="MN20" s="69"/>
      <c r="MO20" s="69"/>
      <c r="MP20" s="69"/>
      <c r="MQ20" s="69"/>
      <c r="MR20" s="69"/>
      <c r="MS20" s="69"/>
      <c r="MT20" s="69"/>
      <c r="MU20" s="69"/>
      <c r="MV20" s="69"/>
      <c r="MW20" s="69"/>
      <c r="MX20" s="69"/>
      <c r="MY20" s="69"/>
      <c r="MZ20" s="69"/>
      <c r="NA20" s="69"/>
      <c r="NB20" s="69"/>
      <c r="NC20" s="69"/>
      <c r="ND20" s="69"/>
      <c r="NE20" s="69"/>
      <c r="NF20" s="69"/>
      <c r="NG20" s="69"/>
      <c r="NH20" s="69"/>
      <c r="NI20" s="69"/>
      <c r="NJ20" s="69"/>
      <c r="NK20" s="69"/>
      <c r="NL20" s="69"/>
      <c r="NM20" s="69"/>
      <c r="NN20" s="69"/>
      <c r="NO20" s="69"/>
      <c r="NP20" s="69"/>
      <c r="NQ20" s="69"/>
      <c r="NR20" s="69"/>
      <c r="NS20" s="69"/>
      <c r="NT20" s="69"/>
      <c r="NU20" s="69"/>
      <c r="NV20" s="69"/>
      <c r="NW20" s="69"/>
      <c r="NX20" s="69"/>
      <c r="NY20" s="69"/>
      <c r="NZ20" s="69"/>
      <c r="OA20" s="69"/>
      <c r="OB20" s="69"/>
      <c r="OC20" s="69"/>
      <c r="OD20" s="69"/>
      <c r="OE20" s="69"/>
      <c r="OF20" s="69"/>
      <c r="OG20" s="69"/>
      <c r="OH20" s="69"/>
      <c r="OI20" s="69"/>
      <c r="OJ20" s="69"/>
      <c r="OK20" s="69"/>
      <c r="OL20" s="69"/>
      <c r="OM20" s="69"/>
      <c r="ON20" s="69"/>
      <c r="OO20" s="69"/>
      <c r="OP20" s="69"/>
      <c r="OQ20" s="69"/>
      <c r="OR20" s="69"/>
      <c r="OS20" s="69"/>
      <c r="OT20" s="69"/>
      <c r="OU20" s="69"/>
      <c r="OV20" s="69"/>
      <c r="OW20" s="69"/>
      <c r="OX20" s="69"/>
      <c r="OY20" s="69"/>
      <c r="OZ20" s="69"/>
      <c r="PA20" s="69"/>
      <c r="PB20" s="69"/>
      <c r="PC20" s="69"/>
      <c r="PD20" s="69"/>
      <c r="PE20" s="69"/>
      <c r="PF20" s="69"/>
      <c r="PG20" s="69"/>
      <c r="PH20" s="69"/>
      <c r="PI20" s="69"/>
      <c r="PJ20" s="69"/>
      <c r="PK20" s="69"/>
      <c r="PL20" s="69"/>
      <c r="PM20" s="69"/>
      <c r="PN20" s="69"/>
      <c r="PO20" s="69"/>
      <c r="PP20" s="69"/>
      <c r="PQ20" s="69"/>
      <c r="PR20" s="69"/>
      <c r="PS20" s="69"/>
      <c r="PT20" s="69"/>
      <c r="PU20" s="69"/>
      <c r="PV20" s="69"/>
      <c r="PW20" s="69"/>
      <c r="PX20" s="69"/>
      <c r="PY20" s="69"/>
      <c r="PZ20" s="69"/>
      <c r="QA20" s="69"/>
      <c r="QB20" s="69"/>
      <c r="QC20" s="69"/>
      <c r="QD20" s="69"/>
      <c r="QE20" s="69"/>
      <c r="QF20" s="69"/>
      <c r="QG20" s="69"/>
      <c r="QH20" s="69"/>
      <c r="QI20" s="69"/>
      <c r="QJ20" s="69"/>
      <c r="QK20" s="69"/>
      <c r="QL20" s="69"/>
      <c r="QM20" s="69"/>
      <c r="QN20" s="69"/>
      <c r="QO20" s="69"/>
      <c r="QP20" s="69"/>
      <c r="QQ20" s="69"/>
      <c r="QR20" s="69"/>
      <c r="QS20" s="69"/>
      <c r="QT20" s="69"/>
      <c r="QU20" s="69"/>
      <c r="QV20" s="69"/>
      <c r="QW20" s="69"/>
      <c r="QX20" s="69"/>
      <c r="QY20" s="69"/>
      <c r="QZ20" s="69"/>
      <c r="RA20" s="69"/>
      <c r="RB20" s="69"/>
      <c r="RC20" s="69"/>
      <c r="RD20" s="69"/>
      <c r="RE20" s="69"/>
      <c r="RF20" s="69"/>
      <c r="RG20" s="69"/>
      <c r="RH20" s="69"/>
      <c r="RI20" s="69"/>
      <c r="RJ20" s="69"/>
      <c r="RK20" s="69"/>
      <c r="RL20" s="69"/>
      <c r="RM20" s="69"/>
      <c r="RN20" s="69"/>
      <c r="RO20" s="69"/>
      <c r="RP20" s="69"/>
      <c r="RQ20" s="69"/>
      <c r="RR20" s="69"/>
      <c r="RS20" s="69"/>
      <c r="RT20" s="69"/>
      <c r="RU20" s="69"/>
      <c r="RV20" s="69"/>
      <c r="RW20" s="69"/>
      <c r="RX20" s="69"/>
      <c r="RY20" s="69"/>
      <c r="RZ20" s="69"/>
      <c r="SA20" s="69"/>
      <c r="SB20" s="69"/>
      <c r="SC20" s="69"/>
      <c r="SD20" s="69"/>
      <c r="SE20" s="69"/>
      <c r="SF20" s="69"/>
      <c r="SG20" s="69"/>
      <c r="SH20" s="69"/>
      <c r="SI20" s="69"/>
      <c r="SJ20" s="69"/>
      <c r="SK20" s="69"/>
      <c r="SL20" s="69"/>
      <c r="SM20" s="69"/>
      <c r="SN20" s="69"/>
      <c r="SO20" s="69"/>
      <c r="SP20" s="69"/>
      <c r="SQ20" s="69"/>
      <c r="SR20" s="69"/>
      <c r="SS20" s="69"/>
      <c r="ST20" s="69"/>
      <c r="SU20" s="69"/>
      <c r="SV20" s="69"/>
      <c r="SW20" s="69"/>
      <c r="SX20" s="69"/>
      <c r="SY20" s="69"/>
      <c r="SZ20" s="69"/>
      <c r="TA20" s="69"/>
      <c r="TB20" s="69"/>
      <c r="TC20" s="69"/>
      <c r="TD20" s="69"/>
      <c r="TE20" s="69"/>
      <c r="TF20" s="69"/>
      <c r="TG20" s="69"/>
      <c r="TH20" s="69"/>
      <c r="TI20" s="69"/>
      <c r="TJ20" s="69"/>
      <c r="TK20" s="69"/>
      <c r="TL20" s="69"/>
      <c r="TM20" s="69"/>
      <c r="TN20" s="69"/>
      <c r="TO20" s="69"/>
      <c r="TP20" s="69"/>
      <c r="TQ20" s="69"/>
      <c r="TR20" s="69"/>
      <c r="TS20" s="69"/>
      <c r="TT20" s="69"/>
      <c r="TU20" s="69"/>
      <c r="TV20" s="69"/>
      <c r="TW20" s="69"/>
      <c r="TX20" s="69"/>
      <c r="TY20" s="69"/>
      <c r="TZ20" s="69"/>
      <c r="UA20" s="69"/>
      <c r="UB20" s="69"/>
      <c r="UC20" s="69"/>
      <c r="UD20" s="69"/>
      <c r="UE20" s="69"/>
      <c r="UF20" s="69"/>
      <c r="UG20" s="69"/>
      <c r="UH20" s="69"/>
      <c r="UI20" s="69"/>
      <c r="UJ20" s="69"/>
      <c r="UK20" s="69"/>
      <c r="UL20" s="69"/>
      <c r="UM20" s="69"/>
      <c r="UN20" s="69"/>
      <c r="UO20" s="69"/>
      <c r="UP20" s="69"/>
      <c r="UQ20" s="69"/>
      <c r="UR20" s="69"/>
      <c r="US20" s="69"/>
      <c r="UT20" s="69"/>
      <c r="UU20" s="69"/>
      <c r="UV20" s="69"/>
      <c r="UW20" s="69"/>
      <c r="UX20" s="69"/>
      <c r="UY20" s="69"/>
      <c r="UZ20" s="69"/>
      <c r="VA20" s="69"/>
      <c r="VB20" s="69"/>
      <c r="VC20" s="69"/>
      <c r="VD20" s="69"/>
      <c r="VE20" s="69"/>
      <c r="VF20" s="69"/>
      <c r="VG20" s="69"/>
      <c r="VH20" s="69"/>
      <c r="VI20" s="69"/>
      <c r="VJ20" s="69"/>
      <c r="VK20" s="69"/>
      <c r="VL20" s="69"/>
      <c r="VM20" s="69"/>
      <c r="VN20" s="69"/>
      <c r="VO20" s="69"/>
      <c r="VP20" s="69"/>
      <c r="VQ20" s="69"/>
      <c r="VR20" s="69"/>
      <c r="VS20" s="69"/>
      <c r="VT20" s="69"/>
      <c r="VU20" s="69"/>
      <c r="VV20" s="69"/>
      <c r="VW20" s="69"/>
      <c r="VX20" s="69"/>
      <c r="VY20" s="69"/>
      <c r="VZ20" s="69"/>
      <c r="WA20" s="69"/>
      <c r="WB20" s="69"/>
      <c r="WC20" s="69"/>
      <c r="WD20" s="69"/>
      <c r="WE20" s="69"/>
      <c r="WF20" s="69"/>
      <c r="WG20" s="69"/>
      <c r="WH20" s="69"/>
      <c r="WI20" s="69"/>
      <c r="WJ20" s="69"/>
      <c r="WK20" s="69"/>
      <c r="WL20" s="69"/>
      <c r="WM20" s="69"/>
      <c r="WN20" s="69"/>
      <c r="WO20" s="69"/>
      <c r="WP20" s="69"/>
      <c r="WQ20" s="69"/>
      <c r="WR20" s="69"/>
      <c r="WS20" s="69"/>
      <c r="WT20" s="69"/>
      <c r="WU20" s="69"/>
      <c r="WV20" s="69"/>
      <c r="WW20" s="69"/>
      <c r="WX20" s="69"/>
      <c r="WY20" s="69"/>
      <c r="WZ20" s="69"/>
      <c r="XA20" s="69"/>
      <c r="XB20" s="69"/>
      <c r="XC20" s="69"/>
      <c r="XD20" s="69"/>
      <c r="XE20" s="69"/>
      <c r="XF20" s="69"/>
      <c r="XG20" s="69"/>
      <c r="XH20" s="69"/>
      <c r="XI20" s="69"/>
      <c r="XJ20" s="69"/>
      <c r="XK20" s="69"/>
      <c r="XL20" s="69"/>
      <c r="XM20" s="69"/>
      <c r="XN20" s="69"/>
      <c r="XO20" s="69"/>
      <c r="XP20" s="69"/>
      <c r="XQ20" s="69"/>
      <c r="XR20" s="69"/>
      <c r="XS20" s="69"/>
      <c r="XT20" s="69"/>
      <c r="XU20" s="69"/>
      <c r="XV20" s="69"/>
      <c r="XW20" s="69"/>
      <c r="XX20" s="69"/>
      <c r="XY20" s="69"/>
      <c r="XZ20" s="69"/>
      <c r="YA20" s="69"/>
      <c r="YB20" s="69"/>
      <c r="YC20" s="69"/>
      <c r="YD20" s="69"/>
      <c r="YE20" s="69"/>
      <c r="YF20" s="69"/>
      <c r="YG20" s="69"/>
      <c r="YH20" s="69"/>
      <c r="YI20" s="69"/>
      <c r="YJ20" s="69"/>
      <c r="YK20" s="69"/>
      <c r="YL20" s="69"/>
      <c r="YM20" s="69"/>
      <c r="YN20" s="69"/>
      <c r="YO20" s="69"/>
      <c r="YP20" s="69"/>
      <c r="YQ20" s="69"/>
      <c r="YR20" s="69"/>
      <c r="YS20" s="69"/>
      <c r="YT20" s="69"/>
      <c r="YU20" s="69"/>
      <c r="YV20" s="69"/>
      <c r="YW20" s="69"/>
      <c r="YX20" s="69"/>
      <c r="YY20" s="69"/>
      <c r="YZ20" s="69"/>
      <c r="ZA20" s="69"/>
      <c r="ZB20" s="69"/>
      <c r="ZC20" s="69"/>
      <c r="ZD20" s="69"/>
      <c r="ZE20" s="69"/>
      <c r="ZF20" s="69"/>
      <c r="ZG20" s="69"/>
      <c r="ZH20" s="69"/>
      <c r="ZI20" s="69"/>
      <c r="ZJ20" s="69"/>
      <c r="ZK20" s="69"/>
      <c r="ZL20" s="69"/>
      <c r="ZM20" s="69"/>
      <c r="ZN20" s="69"/>
      <c r="ZO20" s="69"/>
      <c r="ZP20" s="69"/>
      <c r="ZQ20" s="69"/>
      <c r="ZR20" s="69"/>
      <c r="ZS20" s="69"/>
      <c r="ZT20" s="69"/>
      <c r="ZU20" s="69"/>
      <c r="ZV20" s="69"/>
      <c r="ZW20" s="69"/>
      <c r="ZX20" s="69"/>
      <c r="ZY20" s="69"/>
      <c r="ZZ20" s="69"/>
      <c r="AAA20" s="69"/>
      <c r="AAB20" s="69"/>
      <c r="AAC20" s="69"/>
      <c r="AAD20" s="69"/>
      <c r="AAE20" s="69"/>
      <c r="AAF20" s="69"/>
      <c r="AAG20" s="69"/>
      <c r="AAH20" s="69"/>
      <c r="AAI20" s="69"/>
      <c r="AAJ20" s="69"/>
      <c r="AAK20" s="69"/>
      <c r="AAL20" s="69"/>
      <c r="AAM20" s="69"/>
      <c r="AAN20" s="69"/>
      <c r="AAO20" s="69"/>
      <c r="AAP20" s="69"/>
      <c r="AAQ20" s="69"/>
      <c r="AAR20" s="69"/>
      <c r="AAS20" s="69"/>
      <c r="AAT20" s="69"/>
      <c r="AAU20" s="69"/>
      <c r="AAV20" s="69"/>
      <c r="AAW20" s="69"/>
      <c r="AAX20" s="69"/>
      <c r="AAY20" s="69"/>
      <c r="AAZ20" s="69"/>
      <c r="ABA20" s="69"/>
      <c r="ABB20" s="69"/>
      <c r="ABC20" s="69"/>
      <c r="ABD20" s="69"/>
      <c r="ABE20" s="69"/>
      <c r="ABF20" s="69"/>
      <c r="ABG20" s="69"/>
      <c r="ABH20" s="69"/>
      <c r="ABI20" s="69"/>
      <c r="ABJ20" s="69"/>
      <c r="ABK20" s="69"/>
      <c r="ABL20" s="69"/>
      <c r="ABM20" s="69"/>
      <c r="ABN20" s="69"/>
      <c r="ABO20" s="69"/>
      <c r="ABP20" s="69"/>
      <c r="ABQ20" s="69"/>
      <c r="ABR20" s="69"/>
      <c r="ABS20" s="69"/>
      <c r="ABT20" s="69"/>
      <c r="ABU20" s="69"/>
      <c r="ABV20" s="69"/>
      <c r="ABW20" s="69"/>
      <c r="ABX20" s="69"/>
      <c r="ABY20" s="69"/>
      <c r="ABZ20" s="69"/>
      <c r="ACA20" s="69"/>
      <c r="ACB20" s="69"/>
      <c r="ACC20" s="69"/>
      <c r="ACD20" s="69"/>
      <c r="ACE20" s="69"/>
      <c r="ACF20" s="69"/>
      <c r="ACG20" s="69"/>
      <c r="ACH20" s="69"/>
      <c r="ACI20" s="69"/>
      <c r="ACJ20" s="69"/>
      <c r="ACK20" s="69"/>
      <c r="ACL20" s="69"/>
      <c r="ACM20" s="69"/>
      <c r="ACN20" s="69"/>
      <c r="ACO20" s="69"/>
      <c r="ACP20" s="69"/>
      <c r="ACQ20" s="69"/>
      <c r="ACR20" s="69"/>
      <c r="ACS20" s="69"/>
      <c r="ACT20" s="69"/>
      <c r="ACU20" s="69"/>
      <c r="ACV20" s="69"/>
      <c r="ACW20" s="69"/>
      <c r="ACX20" s="69"/>
      <c r="ACY20" s="69"/>
      <c r="ACZ20" s="69"/>
      <c r="ADA20" s="69"/>
      <c r="ADB20" s="69"/>
      <c r="ADC20" s="69"/>
      <c r="ADD20" s="69"/>
      <c r="ADE20" s="69"/>
      <c r="ADF20" s="69"/>
      <c r="ADG20" s="69"/>
      <c r="ADH20" s="69"/>
      <c r="ADI20" s="69"/>
      <c r="ADJ20" s="69"/>
      <c r="ADK20" s="69"/>
      <c r="ADL20" s="69"/>
      <c r="ADM20" s="69"/>
      <c r="ADN20" s="69"/>
      <c r="ADO20" s="69"/>
      <c r="ADP20" s="69"/>
      <c r="ADQ20" s="69"/>
      <c r="ADR20" s="69"/>
      <c r="ADS20" s="69"/>
      <c r="ADT20" s="69"/>
      <c r="ADU20" s="69"/>
      <c r="ADV20" s="69"/>
      <c r="ADW20" s="69"/>
      <c r="ADX20" s="69"/>
      <c r="ADY20" s="69"/>
      <c r="ADZ20" s="69"/>
      <c r="AEA20" s="69"/>
      <c r="AEB20" s="69"/>
      <c r="AEC20" s="69"/>
      <c r="AED20" s="69"/>
      <c r="AEE20" s="69"/>
      <c r="AEF20" s="69"/>
      <c r="AEG20" s="69"/>
      <c r="AEH20" s="69"/>
      <c r="AEI20" s="69"/>
      <c r="AEJ20" s="69"/>
      <c r="AEK20" s="69"/>
      <c r="AEL20" s="69"/>
      <c r="AEM20" s="69"/>
      <c r="AEN20" s="69"/>
      <c r="AEO20" s="69"/>
      <c r="AEP20" s="69"/>
      <c r="AEQ20" s="69"/>
      <c r="AER20" s="69"/>
      <c r="AES20" s="69"/>
      <c r="AET20" s="69"/>
      <c r="AEU20" s="69"/>
      <c r="AEV20" s="69"/>
      <c r="AEW20" s="69"/>
      <c r="AEX20" s="69"/>
      <c r="AEY20" s="69"/>
      <c r="AEZ20" s="69"/>
      <c r="AFA20" s="69"/>
      <c r="AFB20" s="69"/>
      <c r="AFC20" s="69"/>
      <c r="AFD20" s="69"/>
      <c r="AFE20" s="69"/>
      <c r="AFF20" s="69"/>
      <c r="AFG20" s="69"/>
      <c r="AFH20" s="69"/>
      <c r="AFI20" s="69"/>
      <c r="AFJ20" s="69"/>
      <c r="AFK20" s="69"/>
      <c r="AFL20" s="69"/>
      <c r="AFM20" s="69"/>
      <c r="AFN20" s="69"/>
      <c r="AFO20" s="69"/>
      <c r="AFP20" s="69"/>
      <c r="AFQ20" s="69"/>
      <c r="AFR20" s="69"/>
      <c r="AFS20" s="69"/>
      <c r="AFT20" s="69"/>
      <c r="AFU20" s="69"/>
      <c r="AFV20" s="69"/>
      <c r="AFW20" s="69"/>
      <c r="AFX20" s="69"/>
      <c r="AFY20" s="69"/>
      <c r="AFZ20" s="69"/>
      <c r="AGA20" s="69"/>
      <c r="AGB20" s="69"/>
      <c r="AGC20" s="69"/>
      <c r="AGD20" s="69"/>
      <c r="AGE20" s="69"/>
      <c r="AGF20" s="69"/>
      <c r="AGG20" s="69"/>
      <c r="AGH20" s="69"/>
      <c r="AGI20" s="69"/>
      <c r="AGJ20" s="69"/>
      <c r="AGK20" s="69"/>
      <c r="AGL20" s="69"/>
      <c r="AGM20" s="69"/>
      <c r="AGN20" s="69"/>
      <c r="AGO20" s="69"/>
      <c r="AGP20" s="69"/>
      <c r="AGQ20" s="69"/>
      <c r="AGR20" s="69"/>
      <c r="AGS20" s="69"/>
      <c r="AGT20" s="69"/>
      <c r="AGU20" s="69"/>
      <c r="AGV20" s="69"/>
      <c r="AGW20" s="69"/>
      <c r="AGX20" s="69"/>
      <c r="AGY20" s="69"/>
      <c r="AGZ20" s="69"/>
      <c r="AHA20" s="69"/>
      <c r="AHB20" s="69"/>
      <c r="AHC20" s="69"/>
      <c r="AHD20" s="69"/>
      <c r="AHE20" s="69"/>
      <c r="AHF20" s="69"/>
      <c r="AHG20" s="69"/>
      <c r="AHH20" s="69"/>
      <c r="AHI20" s="69"/>
      <c r="AHJ20" s="69"/>
      <c r="AHK20" s="69"/>
      <c r="AHL20" s="69"/>
      <c r="AHM20" s="69"/>
      <c r="AHN20" s="69"/>
      <c r="AHO20" s="69"/>
      <c r="AHP20" s="69"/>
      <c r="AHQ20" s="69"/>
      <c r="AHR20" s="69"/>
      <c r="AHS20" s="69"/>
      <c r="AHT20" s="69"/>
      <c r="AHU20" s="69"/>
      <c r="AHV20" s="69"/>
      <c r="AHW20" s="69"/>
      <c r="AHX20" s="69"/>
      <c r="AHY20" s="69"/>
      <c r="AHZ20" s="69"/>
      <c r="AIA20" s="69"/>
      <c r="AIB20" s="69"/>
      <c r="AIC20" s="69"/>
      <c r="AID20" s="69"/>
      <c r="AIE20" s="69"/>
      <c r="AIF20" s="69"/>
      <c r="AIG20" s="69"/>
      <c r="AIH20" s="69"/>
      <c r="AII20" s="69"/>
      <c r="AIJ20" s="69"/>
      <c r="AIK20" s="69"/>
      <c r="AIL20" s="69"/>
      <c r="AIM20" s="69"/>
      <c r="AIN20" s="69"/>
      <c r="AIO20" s="69"/>
      <c r="AIP20" s="69"/>
      <c r="AIQ20" s="69"/>
      <c r="AIR20" s="69"/>
      <c r="AIS20" s="69"/>
      <c r="AIT20" s="69"/>
      <c r="AIU20" s="69"/>
      <c r="AIV20" s="69"/>
      <c r="AIW20" s="69"/>
      <c r="AIX20" s="69"/>
      <c r="AIY20" s="69"/>
      <c r="AIZ20" s="69"/>
      <c r="AJA20" s="69"/>
      <c r="AJB20" s="69"/>
      <c r="AJC20" s="69"/>
      <c r="AJD20" s="69"/>
      <c r="AJE20" s="69"/>
      <c r="AJF20" s="69"/>
      <c r="AJG20" s="69"/>
      <c r="AJH20" s="69"/>
      <c r="AJI20" s="69"/>
      <c r="AJJ20" s="69"/>
      <c r="AJK20" s="69"/>
      <c r="AJL20" s="69"/>
      <c r="AJM20" s="69"/>
      <c r="AJN20" s="69"/>
      <c r="AJO20" s="69"/>
      <c r="AJP20" s="69"/>
      <c r="AJQ20" s="69"/>
      <c r="AJR20" s="69"/>
      <c r="AJS20" s="69"/>
      <c r="AJT20" s="69"/>
      <c r="AJU20" s="69"/>
      <c r="AJV20" s="69"/>
      <c r="AJW20" s="69"/>
      <c r="AJX20" s="69"/>
      <c r="AJY20" s="69"/>
      <c r="AJZ20" s="69"/>
      <c r="AKA20" s="69"/>
      <c r="AKB20" s="69"/>
      <c r="AKC20" s="69"/>
      <c r="AKD20" s="69"/>
      <c r="AKE20" s="69"/>
      <c r="AKF20" s="69"/>
      <c r="AKG20" s="69"/>
      <c r="AKH20" s="69"/>
      <c r="AKI20" s="69"/>
      <c r="AKJ20" s="69"/>
      <c r="AKK20" s="69"/>
      <c r="AKL20" s="69"/>
      <c r="AKM20" s="69"/>
      <c r="AKN20" s="69"/>
      <c r="AKO20" s="69"/>
      <c r="AKP20" s="69"/>
      <c r="AKQ20" s="69"/>
      <c r="AKR20" s="69"/>
      <c r="AKS20" s="69"/>
      <c r="AKT20" s="69"/>
      <c r="AKU20" s="69"/>
      <c r="AKV20" s="69"/>
      <c r="AKW20" s="69"/>
      <c r="AKX20" s="69"/>
      <c r="AKY20" s="69"/>
      <c r="AKZ20" s="69"/>
      <c r="ALA20" s="69"/>
      <c r="ALB20" s="69"/>
      <c r="ALC20" s="69"/>
      <c r="ALD20" s="69"/>
      <c r="ALE20" s="69"/>
      <c r="ALF20" s="69"/>
      <c r="ALG20" s="69"/>
      <c r="ALH20" s="69"/>
      <c r="ALI20" s="69"/>
      <c r="ALJ20" s="69"/>
      <c r="ALK20" s="69"/>
      <c r="ALL20" s="69"/>
      <c r="ALM20" s="69"/>
      <c r="ALN20" s="69"/>
      <c r="ALO20" s="69"/>
      <c r="ALP20" s="69"/>
      <c r="ALQ20" s="69"/>
      <c r="ALR20" s="69"/>
      <c r="ALS20" s="69"/>
      <c r="ALT20" s="69"/>
      <c r="ALU20" s="69"/>
      <c r="ALV20" s="69"/>
      <c r="ALW20" s="69"/>
      <c r="ALX20" s="69"/>
      <c r="ALY20" s="69"/>
      <c r="ALZ20" s="69"/>
      <c r="AMA20" s="69"/>
      <c r="AMB20" s="69"/>
      <c r="AMC20" s="69"/>
      <c r="AMD20" s="69"/>
      <c r="AME20" s="69"/>
      <c r="AMF20" s="69"/>
      <c r="AMG20" s="69"/>
      <c r="AMH20" s="69"/>
      <c r="AMI20" s="69"/>
      <c r="AMJ20" s="69"/>
      <c r="AMK20" s="69"/>
      <c r="AML20" s="69"/>
      <c r="AMM20" s="69"/>
      <c r="AMN20" s="69"/>
      <c r="AMO20" s="69"/>
      <c r="AMP20" s="69"/>
      <c r="AMQ20" s="69"/>
      <c r="AMR20" s="69"/>
      <c r="AMS20" s="69"/>
      <c r="AMT20" s="69"/>
      <c r="AMU20" s="69"/>
      <c r="AMV20" s="69"/>
      <c r="AMW20" s="69"/>
      <c r="AMX20" s="69"/>
      <c r="AMY20" s="69"/>
      <c r="AMZ20" s="69"/>
      <c r="ANA20" s="69"/>
      <c r="ANB20" s="69"/>
      <c r="ANC20" s="69"/>
      <c r="AND20" s="69"/>
      <c r="ANE20" s="69"/>
      <c r="ANF20" s="69"/>
      <c r="ANG20" s="69"/>
      <c r="ANH20" s="69"/>
      <c r="ANI20" s="69"/>
      <c r="ANJ20" s="69"/>
      <c r="ANK20" s="69"/>
      <c r="ANL20" s="69"/>
      <c r="ANM20" s="69"/>
      <c r="ANN20" s="69"/>
      <c r="ANO20" s="69"/>
      <c r="ANP20" s="69"/>
      <c r="ANQ20" s="69"/>
      <c r="ANR20" s="69"/>
      <c r="ANS20" s="69"/>
      <c r="ANT20" s="69"/>
      <c r="ANU20" s="69"/>
      <c r="ANV20" s="69"/>
      <c r="ANW20" s="69"/>
      <c r="ANX20" s="69"/>
      <c r="ANY20" s="69"/>
      <c r="ANZ20" s="69"/>
      <c r="AOA20" s="69"/>
      <c r="AOB20" s="69"/>
      <c r="AOC20" s="69"/>
      <c r="AOD20" s="69"/>
      <c r="AOE20" s="69"/>
      <c r="AOF20" s="69"/>
      <c r="AOG20" s="69"/>
      <c r="AOH20" s="69"/>
      <c r="AOI20" s="69"/>
      <c r="AOJ20" s="69"/>
      <c r="AOK20" s="69"/>
      <c r="AOL20" s="69"/>
      <c r="AOM20" s="69"/>
      <c r="AON20" s="69"/>
      <c r="AOO20" s="69"/>
      <c r="AOP20" s="69"/>
      <c r="AOQ20" s="69"/>
      <c r="AOR20" s="69"/>
      <c r="AOS20" s="69"/>
      <c r="AOT20" s="69"/>
      <c r="AOU20" s="69"/>
      <c r="AOV20" s="69"/>
      <c r="AOW20" s="69"/>
      <c r="AOX20" s="69"/>
      <c r="AOY20" s="69"/>
      <c r="AOZ20" s="69"/>
      <c r="APA20" s="69"/>
      <c r="APB20" s="69"/>
      <c r="APC20" s="69"/>
      <c r="APD20" s="69"/>
      <c r="APE20" s="69"/>
      <c r="APF20" s="69"/>
      <c r="APG20" s="69"/>
      <c r="APH20" s="69"/>
      <c r="API20" s="69"/>
      <c r="APJ20" s="69"/>
      <c r="APK20" s="69"/>
      <c r="APL20" s="69"/>
      <c r="APM20" s="69"/>
      <c r="APN20" s="69"/>
      <c r="APO20" s="69"/>
      <c r="APP20" s="69"/>
      <c r="APQ20" s="69"/>
      <c r="APR20" s="69"/>
      <c r="APS20" s="69"/>
      <c r="APT20" s="69"/>
      <c r="APU20" s="69"/>
      <c r="APV20" s="69"/>
      <c r="APW20" s="69"/>
      <c r="APX20" s="69"/>
      <c r="APY20" s="69"/>
      <c r="APZ20" s="69"/>
      <c r="AQA20" s="69"/>
      <c r="AQB20" s="69"/>
      <c r="AQC20" s="69"/>
      <c r="AQD20" s="69"/>
      <c r="AQE20" s="69"/>
      <c r="AQF20" s="69"/>
      <c r="AQG20" s="69"/>
      <c r="AQH20" s="69"/>
      <c r="AQI20" s="69"/>
      <c r="AQJ20" s="69"/>
      <c r="AQK20" s="69"/>
      <c r="AQL20" s="69"/>
      <c r="AQM20" s="69"/>
      <c r="AQN20" s="69"/>
      <c r="AQO20" s="69"/>
      <c r="AQP20" s="69"/>
      <c r="AQQ20" s="69"/>
      <c r="AQR20" s="69"/>
      <c r="AQS20" s="69"/>
      <c r="AQT20" s="69"/>
      <c r="AQU20" s="69"/>
      <c r="AQV20" s="69"/>
      <c r="AQW20" s="69"/>
      <c r="AQX20" s="69"/>
      <c r="AQY20" s="69"/>
      <c r="AQZ20" s="69"/>
      <c r="ARA20" s="69"/>
      <c r="ARB20" s="69"/>
      <c r="ARC20" s="69"/>
      <c r="ARD20" s="69"/>
      <c r="ARE20" s="69"/>
      <c r="ARF20" s="69"/>
      <c r="ARG20" s="69"/>
      <c r="ARH20" s="69"/>
      <c r="ARI20" s="69"/>
      <c r="ARJ20" s="69"/>
      <c r="ARK20" s="69"/>
      <c r="ARL20" s="69"/>
      <c r="ARM20" s="69"/>
      <c r="ARN20" s="69"/>
      <c r="ARO20" s="69"/>
      <c r="ARP20" s="69"/>
      <c r="ARQ20" s="69"/>
      <c r="ARR20" s="69"/>
      <c r="ARS20" s="69"/>
      <c r="ART20" s="69"/>
      <c r="ARU20" s="69"/>
      <c r="ARV20" s="69"/>
      <c r="ARW20" s="69"/>
      <c r="ARX20" s="69"/>
      <c r="ARY20" s="69"/>
      <c r="ARZ20" s="69"/>
      <c r="ASA20" s="69"/>
      <c r="ASB20" s="69"/>
      <c r="ASC20" s="69"/>
      <c r="ASD20" s="69"/>
      <c r="ASE20" s="69"/>
      <c r="ASF20" s="69"/>
      <c r="ASG20" s="69"/>
      <c r="ASH20" s="69"/>
      <c r="ASI20" s="69"/>
      <c r="ASJ20" s="69"/>
      <c r="ASK20" s="69"/>
      <c r="ASL20" s="69"/>
      <c r="ASM20" s="69"/>
      <c r="ASN20" s="69"/>
      <c r="ASO20" s="69"/>
      <c r="ASP20" s="69"/>
      <c r="ASQ20" s="69"/>
      <c r="ASR20" s="69"/>
      <c r="ASS20" s="69"/>
      <c r="AST20" s="69"/>
      <c r="ASU20" s="69"/>
      <c r="ASV20" s="69"/>
      <c r="ASW20" s="69"/>
      <c r="ASX20" s="69"/>
      <c r="ASY20" s="69"/>
      <c r="ASZ20" s="69"/>
      <c r="ATA20" s="69"/>
      <c r="ATB20" s="69"/>
      <c r="ATC20" s="69"/>
      <c r="ATD20" s="69"/>
      <c r="ATE20" s="69"/>
      <c r="ATF20" s="69"/>
      <c r="ATG20" s="69"/>
      <c r="ATH20" s="69"/>
      <c r="ATI20" s="69"/>
      <c r="ATJ20" s="69"/>
      <c r="ATK20" s="69"/>
      <c r="ATL20" s="69"/>
      <c r="ATM20" s="69"/>
      <c r="ATN20" s="69"/>
      <c r="ATO20" s="69"/>
      <c r="ATP20" s="69"/>
      <c r="ATQ20" s="69"/>
      <c r="ATR20" s="69"/>
      <c r="ATS20" s="69"/>
      <c r="ATT20" s="69"/>
      <c r="ATU20" s="69"/>
      <c r="ATV20" s="69"/>
      <c r="ATW20" s="69"/>
      <c r="ATX20" s="69"/>
      <c r="ATY20" s="69"/>
      <c r="ATZ20" s="69"/>
      <c r="AUA20" s="69"/>
      <c r="AUB20" s="69"/>
      <c r="AUC20" s="69"/>
      <c r="AUD20" s="69"/>
      <c r="AUE20" s="69"/>
      <c r="AUF20" s="69"/>
      <c r="AUG20" s="69"/>
      <c r="AUH20" s="69"/>
      <c r="AUI20" s="69"/>
      <c r="AUJ20" s="69"/>
      <c r="AUK20" s="69"/>
      <c r="AUL20" s="69"/>
      <c r="AUM20" s="69"/>
      <c r="AUN20" s="69"/>
      <c r="AUO20" s="69"/>
      <c r="AUP20" s="69"/>
      <c r="AUQ20" s="69"/>
      <c r="AUR20" s="69"/>
      <c r="AUS20" s="69"/>
      <c r="AUT20" s="69"/>
      <c r="AUU20" s="69"/>
      <c r="AUV20" s="69"/>
      <c r="AUW20" s="69"/>
      <c r="AUX20" s="69"/>
      <c r="AUY20" s="69"/>
      <c r="AUZ20" s="69"/>
      <c r="AVA20" s="69"/>
      <c r="AVB20" s="69"/>
      <c r="AVC20" s="69"/>
      <c r="AVD20" s="69"/>
      <c r="AVE20" s="69"/>
      <c r="AVF20" s="69"/>
      <c r="AVG20" s="69"/>
      <c r="AVH20" s="69"/>
      <c r="AVI20" s="69"/>
      <c r="AVJ20" s="69"/>
      <c r="AVK20" s="69"/>
      <c r="AVL20" s="69"/>
      <c r="AVM20" s="69"/>
      <c r="AVN20" s="69"/>
      <c r="AVO20" s="69"/>
      <c r="AVP20" s="69"/>
      <c r="AVQ20" s="69"/>
      <c r="AVR20" s="69"/>
      <c r="AVS20" s="69"/>
      <c r="AVT20" s="69"/>
      <c r="AVU20" s="69"/>
      <c r="AVV20" s="69"/>
      <c r="AVW20" s="69"/>
      <c r="AVX20" s="69"/>
      <c r="AVY20" s="69"/>
      <c r="AVZ20" s="69"/>
      <c r="AWA20" s="69"/>
      <c r="AWB20" s="69"/>
      <c r="AWC20" s="69"/>
      <c r="AWD20" s="69"/>
      <c r="AWE20" s="69"/>
      <c r="AWF20" s="69"/>
      <c r="AWG20" s="69"/>
      <c r="AWH20" s="69"/>
      <c r="AWI20" s="69"/>
      <c r="AWJ20" s="69"/>
      <c r="AWK20" s="69"/>
      <c r="AWL20" s="69"/>
      <c r="AWM20" s="69"/>
      <c r="AWN20" s="69"/>
      <c r="AWO20" s="69"/>
      <c r="AWP20" s="69"/>
      <c r="AWQ20" s="69"/>
      <c r="AWR20" s="69"/>
      <c r="AWS20" s="69"/>
      <c r="AWT20" s="69"/>
      <c r="AWU20" s="69"/>
      <c r="AWV20" s="69"/>
      <c r="AWW20" s="69"/>
      <c r="AWX20" s="69"/>
      <c r="AWY20" s="69"/>
      <c r="AWZ20" s="69"/>
      <c r="AXA20" s="69"/>
      <c r="AXB20" s="69"/>
      <c r="AXC20" s="69"/>
      <c r="AXD20" s="69"/>
      <c r="AXE20" s="69"/>
      <c r="AXF20" s="69"/>
      <c r="AXG20" s="69"/>
      <c r="AXH20" s="69"/>
      <c r="AXI20" s="69"/>
      <c r="AXJ20" s="69"/>
      <c r="AXK20" s="69"/>
      <c r="AXL20" s="69"/>
      <c r="AXM20" s="69"/>
      <c r="AXN20" s="69"/>
      <c r="AXO20" s="69"/>
      <c r="AXP20" s="69"/>
      <c r="AXQ20" s="69"/>
      <c r="AXR20" s="69"/>
      <c r="AXS20" s="69"/>
      <c r="AXT20" s="69"/>
      <c r="AXU20" s="69"/>
      <c r="AXV20" s="69"/>
      <c r="AXW20" s="69"/>
      <c r="AXX20" s="69"/>
      <c r="AXY20" s="69"/>
      <c r="AXZ20" s="69"/>
      <c r="AYA20" s="69"/>
      <c r="AYB20" s="69"/>
      <c r="AYC20" s="69"/>
      <c r="AYD20" s="69"/>
      <c r="AYE20" s="69"/>
      <c r="AYF20" s="69"/>
      <c r="AYG20" s="69"/>
      <c r="AYH20" s="69"/>
      <c r="AYI20" s="69"/>
      <c r="AYJ20" s="69"/>
      <c r="AYK20" s="69"/>
      <c r="AYL20" s="69"/>
      <c r="AYM20" s="69"/>
      <c r="AYN20" s="69"/>
      <c r="AYO20" s="69"/>
      <c r="AYP20" s="69"/>
      <c r="AYQ20" s="69"/>
      <c r="AYR20" s="69"/>
      <c r="AYS20" s="69"/>
      <c r="AYT20" s="69"/>
      <c r="AYU20" s="69"/>
      <c r="AYV20" s="69"/>
      <c r="AYW20" s="69"/>
      <c r="AYX20" s="69"/>
      <c r="AYY20" s="69"/>
      <c r="AYZ20" s="69"/>
      <c r="AZA20" s="69"/>
      <c r="AZB20" s="69"/>
      <c r="AZC20" s="69"/>
      <c r="AZD20" s="69"/>
      <c r="AZE20" s="69"/>
      <c r="AZF20" s="69"/>
      <c r="AZG20" s="69"/>
      <c r="AZH20" s="69"/>
      <c r="AZI20" s="69"/>
      <c r="AZJ20" s="69"/>
      <c r="AZK20" s="69"/>
      <c r="AZL20" s="69"/>
      <c r="AZM20" s="69"/>
      <c r="AZN20" s="69"/>
      <c r="AZO20" s="69"/>
      <c r="AZP20" s="69"/>
      <c r="AZQ20" s="69"/>
      <c r="AZR20" s="69"/>
      <c r="AZS20" s="69"/>
      <c r="AZT20" s="69"/>
      <c r="AZU20" s="69"/>
      <c r="AZV20" s="69"/>
      <c r="AZW20" s="69"/>
      <c r="AZX20" s="69"/>
      <c r="AZY20" s="69"/>
      <c r="AZZ20" s="69"/>
      <c r="BAA20" s="69"/>
      <c r="BAB20" s="69"/>
      <c r="BAC20" s="69"/>
      <c r="BAD20" s="69"/>
      <c r="BAE20" s="69"/>
      <c r="BAF20" s="69"/>
      <c r="BAG20" s="69"/>
      <c r="BAH20" s="69"/>
      <c r="BAI20" s="69"/>
      <c r="BAJ20" s="69"/>
      <c r="BAK20" s="69"/>
      <c r="BAL20" s="69"/>
      <c r="BAM20" s="69"/>
      <c r="BAN20" s="69"/>
      <c r="BAO20" s="69"/>
      <c r="BAP20" s="69"/>
      <c r="BAQ20" s="69"/>
      <c r="BAR20" s="69"/>
      <c r="BAS20" s="69"/>
      <c r="BAT20" s="69"/>
      <c r="BAU20" s="69"/>
      <c r="BAV20" s="69"/>
      <c r="BAW20" s="69"/>
      <c r="BAX20" s="69"/>
      <c r="BAY20" s="69"/>
      <c r="BAZ20" s="69"/>
      <c r="BBA20" s="69"/>
      <c r="BBB20" s="69"/>
      <c r="BBC20" s="69"/>
      <c r="BBD20" s="69"/>
      <c r="BBE20" s="69"/>
      <c r="BBF20" s="69"/>
      <c r="BBG20" s="69"/>
      <c r="BBH20" s="69"/>
      <c r="BBI20" s="69"/>
      <c r="BBJ20" s="69"/>
      <c r="BBK20" s="69"/>
      <c r="BBL20" s="69"/>
      <c r="BBM20" s="69"/>
      <c r="BBN20" s="69"/>
      <c r="BBO20" s="69"/>
      <c r="BBP20" s="69"/>
      <c r="BBQ20" s="69"/>
      <c r="BBR20" s="69"/>
      <c r="BBS20" s="69"/>
      <c r="BBT20" s="69"/>
      <c r="BBU20" s="69"/>
      <c r="BBV20" s="69"/>
      <c r="BBW20" s="69"/>
      <c r="BBX20" s="69"/>
      <c r="BBY20" s="69"/>
      <c r="BBZ20" s="69"/>
      <c r="BCA20" s="69"/>
      <c r="BCB20" s="69"/>
      <c r="BCC20" s="69"/>
      <c r="BCD20" s="69"/>
      <c r="BCE20" s="69"/>
      <c r="BCF20" s="69"/>
      <c r="BCG20" s="69"/>
      <c r="BCH20" s="69"/>
      <c r="BCI20" s="69"/>
      <c r="BCJ20" s="69"/>
      <c r="BCK20" s="69"/>
      <c r="BCL20" s="69"/>
      <c r="BCM20" s="69"/>
      <c r="BCN20" s="69"/>
      <c r="BCO20" s="69"/>
      <c r="BCP20" s="69"/>
      <c r="BCQ20" s="69"/>
      <c r="BCR20" s="69"/>
      <c r="BCS20" s="69"/>
      <c r="BCT20" s="69"/>
      <c r="BCU20" s="69"/>
      <c r="BCV20" s="69"/>
      <c r="BCW20" s="69"/>
      <c r="BCX20" s="69"/>
      <c r="BCY20" s="69"/>
      <c r="BCZ20" s="69"/>
      <c r="BDA20" s="69"/>
      <c r="BDB20" s="69"/>
      <c r="BDC20" s="69"/>
      <c r="BDD20" s="69"/>
      <c r="BDE20" s="69"/>
      <c r="BDF20" s="69"/>
      <c r="BDG20" s="69"/>
      <c r="BDH20" s="69"/>
      <c r="BDI20" s="69"/>
      <c r="BDJ20" s="69"/>
      <c r="BDK20" s="69"/>
      <c r="BDL20" s="69"/>
      <c r="BDM20" s="69"/>
      <c r="BDN20" s="69"/>
      <c r="BDO20" s="69"/>
      <c r="BDP20" s="69"/>
      <c r="BDQ20" s="69"/>
      <c r="BDR20" s="69"/>
      <c r="BDS20" s="69"/>
      <c r="BDT20" s="69"/>
      <c r="BDU20" s="69"/>
      <c r="BDV20" s="69"/>
      <c r="BDW20" s="69"/>
      <c r="BDX20" s="69"/>
      <c r="BDY20" s="69"/>
      <c r="BDZ20" s="69"/>
      <c r="BEA20" s="69"/>
      <c r="BEB20" s="69"/>
      <c r="BEC20" s="69"/>
      <c r="BED20" s="69"/>
      <c r="BEE20" s="69"/>
      <c r="BEF20" s="69"/>
      <c r="BEG20" s="69"/>
      <c r="BEH20" s="69"/>
      <c r="BEI20" s="69"/>
      <c r="BEJ20" s="69"/>
      <c r="BEK20" s="69"/>
      <c r="BEL20" s="69"/>
      <c r="BEM20" s="69"/>
      <c r="BEN20" s="69"/>
      <c r="BEO20" s="69"/>
      <c r="BEP20" s="69"/>
      <c r="BEQ20" s="69"/>
      <c r="BER20" s="69"/>
      <c r="BES20" s="69"/>
      <c r="BET20" s="69"/>
      <c r="BEU20" s="69"/>
      <c r="BEV20" s="69"/>
      <c r="BEW20" s="69"/>
      <c r="BEX20" s="69"/>
      <c r="BEY20" s="69"/>
      <c r="BEZ20" s="69"/>
      <c r="BFA20" s="69"/>
      <c r="BFB20" s="69"/>
      <c r="BFC20" s="69"/>
      <c r="BFD20" s="69"/>
      <c r="BFE20" s="69"/>
      <c r="BFF20" s="69"/>
      <c r="BFG20" s="69"/>
      <c r="BFH20" s="69"/>
      <c r="BFI20" s="69"/>
      <c r="BFJ20" s="69"/>
      <c r="BFK20" s="69"/>
      <c r="BFL20" s="69"/>
      <c r="BFM20" s="69"/>
      <c r="BFN20" s="69"/>
      <c r="BFO20" s="69"/>
      <c r="BFP20" s="69"/>
      <c r="BFQ20" s="69"/>
      <c r="BFR20" s="69"/>
      <c r="BFS20" s="69"/>
      <c r="BFT20" s="69"/>
      <c r="BFU20" s="69"/>
      <c r="BFV20" s="69"/>
      <c r="BFW20" s="69"/>
      <c r="BFX20" s="69"/>
      <c r="BFY20" s="69"/>
      <c r="BFZ20" s="69"/>
      <c r="BGA20" s="69"/>
      <c r="BGB20" s="69"/>
      <c r="BGC20" s="69"/>
      <c r="BGD20" s="69"/>
      <c r="BGE20" s="69"/>
      <c r="BGF20" s="69"/>
      <c r="BGG20" s="69"/>
      <c r="BGH20" s="69"/>
      <c r="BGI20" s="69"/>
      <c r="BGJ20" s="69"/>
      <c r="BGK20" s="69"/>
      <c r="BGL20" s="69"/>
      <c r="BGM20" s="69"/>
      <c r="BGN20" s="69"/>
      <c r="BGO20" s="69"/>
      <c r="BGP20" s="69"/>
      <c r="BGQ20" s="69"/>
      <c r="BGR20" s="69"/>
      <c r="BGS20" s="69"/>
      <c r="BGT20" s="69"/>
      <c r="BGU20" s="69"/>
      <c r="BGV20" s="69"/>
      <c r="BGW20" s="69"/>
      <c r="BGX20" s="69"/>
      <c r="BGY20" s="69"/>
      <c r="BGZ20" s="69"/>
      <c r="BHA20" s="69"/>
      <c r="BHB20" s="69"/>
      <c r="BHC20" s="69"/>
      <c r="BHD20" s="69"/>
      <c r="BHE20" s="69"/>
      <c r="BHF20" s="69"/>
      <c r="BHG20" s="69"/>
      <c r="BHH20" s="69"/>
      <c r="BHI20" s="69"/>
      <c r="BHJ20" s="69"/>
      <c r="BHK20" s="69"/>
      <c r="BHL20" s="69"/>
      <c r="BHM20" s="69"/>
      <c r="BHN20" s="69"/>
      <c r="BHO20" s="69"/>
      <c r="BHP20" s="69"/>
      <c r="BHQ20" s="69"/>
      <c r="BHR20" s="69"/>
      <c r="BHS20" s="69"/>
      <c r="BHT20" s="69"/>
      <c r="BHU20" s="69"/>
      <c r="BHV20" s="69"/>
      <c r="BHW20" s="69"/>
      <c r="BHX20" s="69"/>
      <c r="BHY20" s="69"/>
      <c r="BHZ20" s="69"/>
      <c r="BIA20" s="69"/>
      <c r="BIB20" s="69"/>
      <c r="BIC20" s="69"/>
      <c r="BID20" s="69"/>
      <c r="BIE20" s="69"/>
      <c r="BIF20" s="69"/>
      <c r="BIG20" s="69"/>
      <c r="BIH20" s="69"/>
      <c r="BII20" s="69"/>
      <c r="BIJ20" s="69"/>
      <c r="BIK20" s="69"/>
      <c r="BIL20" s="69"/>
      <c r="BIM20" s="69"/>
      <c r="BIN20" s="69"/>
      <c r="BIO20" s="69"/>
      <c r="BIP20" s="69"/>
      <c r="BIQ20" s="69"/>
      <c r="BIR20" s="69"/>
      <c r="BIS20" s="69"/>
      <c r="BIT20" s="69"/>
      <c r="BIU20" s="69"/>
      <c r="BIV20" s="69"/>
      <c r="BIW20" s="69"/>
      <c r="BIX20" s="69"/>
      <c r="BIY20" s="69"/>
      <c r="BIZ20" s="69"/>
      <c r="BJA20" s="69"/>
      <c r="BJB20" s="69"/>
      <c r="BJC20" s="69"/>
      <c r="BJD20" s="69"/>
      <c r="BJE20" s="69"/>
      <c r="BJF20" s="69"/>
      <c r="BJG20" s="69"/>
      <c r="BJH20" s="69"/>
      <c r="BJI20" s="69"/>
      <c r="BJJ20" s="69"/>
      <c r="BJK20" s="69"/>
      <c r="BJL20" s="69"/>
      <c r="BJM20" s="69"/>
      <c r="BJN20" s="69"/>
      <c r="BJO20" s="69"/>
      <c r="BJP20" s="69"/>
      <c r="BJQ20" s="69"/>
      <c r="BJR20" s="69"/>
      <c r="BJS20" s="69"/>
      <c r="BJT20" s="69"/>
      <c r="BJU20" s="69"/>
      <c r="BJV20" s="69"/>
      <c r="BJW20" s="69"/>
      <c r="BJX20" s="69"/>
      <c r="BJY20" s="69"/>
      <c r="BJZ20" s="69"/>
      <c r="BKA20" s="69"/>
      <c r="BKB20" s="69"/>
      <c r="BKC20" s="69"/>
      <c r="BKD20" s="69"/>
      <c r="BKE20" s="69"/>
      <c r="BKF20" s="69"/>
      <c r="BKG20" s="69"/>
      <c r="BKH20" s="69"/>
      <c r="BKI20" s="69"/>
      <c r="BKJ20" s="69"/>
      <c r="BKK20" s="69"/>
      <c r="BKL20" s="69"/>
      <c r="BKM20" s="69"/>
      <c r="BKN20" s="69"/>
      <c r="BKO20" s="69"/>
      <c r="BKP20" s="69"/>
      <c r="BKQ20" s="69"/>
      <c r="BKR20" s="69"/>
      <c r="BKS20" s="69"/>
      <c r="BKT20" s="69"/>
      <c r="BKU20" s="69"/>
      <c r="BKV20" s="69"/>
      <c r="BKW20" s="69"/>
      <c r="BKX20" s="69"/>
      <c r="BKY20" s="69"/>
      <c r="BKZ20" s="69"/>
      <c r="BLA20" s="69"/>
      <c r="BLB20" s="69"/>
      <c r="BLC20" s="69"/>
      <c r="BLD20" s="69"/>
      <c r="BLE20" s="69"/>
      <c r="BLF20" s="69"/>
      <c r="BLG20" s="69"/>
      <c r="BLH20" s="69"/>
      <c r="BLI20" s="69"/>
      <c r="BLJ20" s="69"/>
      <c r="BLK20" s="69"/>
      <c r="BLL20" s="69"/>
      <c r="BLM20" s="69"/>
      <c r="BLN20" s="69"/>
      <c r="BLO20" s="69"/>
      <c r="BLP20" s="69"/>
      <c r="BLQ20" s="69"/>
      <c r="BLR20" s="69"/>
      <c r="BLS20" s="69"/>
      <c r="BLT20" s="69"/>
      <c r="BLU20" s="69"/>
      <c r="BLV20" s="69"/>
      <c r="BLW20" s="69"/>
      <c r="BLX20" s="69"/>
      <c r="BLY20" s="69"/>
      <c r="BLZ20" s="69"/>
      <c r="BMA20" s="69"/>
      <c r="BMB20" s="69"/>
      <c r="BMC20" s="69"/>
      <c r="BMD20" s="69"/>
      <c r="BME20" s="69"/>
      <c r="BMF20" s="69"/>
      <c r="BMG20" s="69"/>
      <c r="BMH20" s="69"/>
      <c r="BMI20" s="69"/>
      <c r="BMJ20" s="69"/>
      <c r="BMK20" s="69"/>
      <c r="BML20" s="69"/>
      <c r="BMM20" s="69"/>
      <c r="BMN20" s="69"/>
      <c r="BMO20" s="69"/>
      <c r="BMP20" s="69"/>
      <c r="BMQ20" s="69"/>
      <c r="BMR20" s="69"/>
      <c r="BMS20" s="69"/>
      <c r="BMT20" s="69"/>
      <c r="BMU20" s="69"/>
      <c r="BMV20" s="69"/>
      <c r="BMW20" s="69"/>
      <c r="BMX20" s="69"/>
      <c r="BMY20" s="69"/>
      <c r="BMZ20" s="69"/>
      <c r="BNA20" s="69"/>
      <c r="BNB20" s="69"/>
      <c r="BNC20" s="69"/>
      <c r="BND20" s="69"/>
      <c r="BNE20" s="69"/>
      <c r="BNF20" s="69"/>
      <c r="BNG20" s="69"/>
      <c r="BNH20" s="69"/>
      <c r="BNI20" s="69"/>
      <c r="BNJ20" s="69"/>
      <c r="BNK20" s="69"/>
      <c r="BNL20" s="69"/>
      <c r="BNM20" s="69"/>
      <c r="BNN20" s="69"/>
      <c r="BNO20" s="69"/>
      <c r="BNP20" s="69"/>
      <c r="BNQ20" s="69"/>
      <c r="BNR20" s="69"/>
      <c r="BNS20" s="69"/>
      <c r="BNT20" s="69"/>
      <c r="BNU20" s="69"/>
      <c r="BNV20" s="69"/>
      <c r="BNW20" s="69"/>
      <c r="BNX20" s="69"/>
      <c r="BNY20" s="69"/>
      <c r="BNZ20" s="69"/>
      <c r="BOA20" s="69"/>
      <c r="BOB20" s="69"/>
      <c r="BOC20" s="69"/>
      <c r="BOD20" s="69"/>
      <c r="BOE20" s="69"/>
      <c r="BOF20" s="69"/>
      <c r="BOG20" s="69"/>
      <c r="BOH20" s="69"/>
      <c r="BOI20" s="69"/>
      <c r="BOJ20" s="69"/>
      <c r="BOK20" s="69"/>
      <c r="BOL20" s="69"/>
      <c r="BOM20" s="69"/>
      <c r="BON20" s="69"/>
      <c r="BOO20" s="69"/>
      <c r="BOP20" s="69"/>
      <c r="BOQ20" s="69"/>
      <c r="BOR20" s="69"/>
      <c r="BOS20" s="69"/>
      <c r="BOT20" s="69"/>
      <c r="BOU20" s="69"/>
      <c r="BOV20" s="69"/>
      <c r="BOW20" s="69"/>
      <c r="BOX20" s="69"/>
      <c r="BOY20" s="69"/>
      <c r="BOZ20" s="69"/>
      <c r="BPA20" s="69"/>
      <c r="BPB20" s="69"/>
      <c r="BPC20" s="69"/>
      <c r="BPD20" s="69"/>
      <c r="BPE20" s="69"/>
      <c r="BPF20" s="69"/>
      <c r="BPG20" s="69"/>
      <c r="BPH20" s="69"/>
      <c r="BPI20" s="69"/>
      <c r="BPJ20" s="69"/>
      <c r="BPK20" s="69"/>
      <c r="BPL20" s="69"/>
      <c r="BPM20" s="69"/>
      <c r="BPN20" s="69"/>
      <c r="BPO20" s="69"/>
      <c r="BPP20" s="69"/>
      <c r="BPQ20" s="69"/>
      <c r="BPR20" s="69"/>
      <c r="BPS20" s="69"/>
      <c r="BPT20" s="69"/>
      <c r="BPU20" s="69"/>
      <c r="BPV20" s="69"/>
      <c r="BPW20" s="69"/>
      <c r="BPX20" s="69"/>
      <c r="BPY20" s="69"/>
      <c r="BPZ20" s="69"/>
      <c r="BQA20" s="69"/>
      <c r="BQB20" s="69"/>
      <c r="BQC20" s="69"/>
      <c r="BQD20" s="69"/>
      <c r="BQE20" s="69"/>
      <c r="BQF20" s="69"/>
      <c r="BQG20" s="69"/>
      <c r="BQH20" s="69"/>
      <c r="BQI20" s="69"/>
      <c r="BQJ20" s="69"/>
      <c r="BQK20" s="69"/>
      <c r="BQL20" s="69"/>
      <c r="BQM20" s="69"/>
      <c r="BQN20" s="69"/>
      <c r="BQO20" s="69"/>
      <c r="BQP20" s="69"/>
      <c r="BQQ20" s="69"/>
      <c r="BQR20" s="69"/>
      <c r="BQS20" s="69"/>
      <c r="BQT20" s="69"/>
      <c r="BQU20" s="69"/>
      <c r="BQV20" s="69"/>
      <c r="BQW20" s="69"/>
      <c r="BQX20" s="69"/>
      <c r="BQY20" s="69"/>
      <c r="BQZ20" s="69"/>
      <c r="BRA20" s="69"/>
      <c r="BRB20" s="69"/>
      <c r="BRC20" s="69"/>
      <c r="BRD20" s="69"/>
      <c r="BRE20" s="69"/>
      <c r="BRF20" s="69"/>
      <c r="BRG20" s="69"/>
      <c r="BRH20" s="69"/>
      <c r="BRI20" s="69"/>
      <c r="BRJ20" s="69"/>
      <c r="BRK20" s="69"/>
      <c r="BRL20" s="69"/>
      <c r="BRM20" s="69"/>
      <c r="BRN20" s="69"/>
      <c r="BRO20" s="69"/>
      <c r="BRP20" s="69"/>
      <c r="BRQ20" s="69"/>
      <c r="BRR20" s="69"/>
      <c r="BRS20" s="69"/>
      <c r="BRT20" s="69"/>
      <c r="BRU20" s="69"/>
      <c r="BRV20" s="69"/>
      <c r="BRW20" s="69"/>
      <c r="BRX20" s="69"/>
      <c r="BRY20" s="69"/>
      <c r="BRZ20" s="69"/>
      <c r="BSA20" s="69"/>
      <c r="BSB20" s="69"/>
      <c r="BSC20" s="69"/>
      <c r="BSD20" s="69"/>
      <c r="BSE20" s="69"/>
      <c r="BSF20" s="69"/>
      <c r="BSG20" s="69"/>
      <c r="BSH20" s="69"/>
      <c r="BSI20" s="69"/>
      <c r="BSJ20" s="69"/>
      <c r="BSK20" s="69"/>
      <c r="BSL20" s="69"/>
      <c r="BSM20" s="69"/>
      <c r="BSN20" s="69"/>
      <c r="BSO20" s="69"/>
      <c r="BSP20" s="69"/>
      <c r="BSQ20" s="69"/>
      <c r="BSR20" s="69"/>
      <c r="BSS20" s="69"/>
      <c r="BST20" s="69"/>
      <c r="BSU20" s="69"/>
      <c r="BSV20" s="69"/>
      <c r="BSW20" s="69"/>
      <c r="BSX20" s="69"/>
      <c r="BSY20" s="69"/>
      <c r="BSZ20" s="69"/>
      <c r="BTA20" s="69"/>
      <c r="BTB20" s="69"/>
      <c r="BTC20" s="69"/>
      <c r="BTD20" s="69"/>
      <c r="BTE20" s="69"/>
      <c r="BTF20" s="69"/>
      <c r="BTG20" s="69"/>
      <c r="BTH20" s="69"/>
      <c r="BTI20" s="69"/>
      <c r="BTJ20" s="69"/>
      <c r="BTK20" s="69"/>
      <c r="BTL20" s="69"/>
      <c r="BTM20" s="69"/>
      <c r="BTN20" s="69"/>
      <c r="BTO20" s="69"/>
      <c r="BTP20" s="69"/>
      <c r="BTQ20" s="69"/>
      <c r="BTR20" s="69"/>
      <c r="BTS20" s="69"/>
      <c r="BTT20" s="69"/>
      <c r="BTU20" s="69"/>
      <c r="BTV20" s="69"/>
      <c r="BTW20" s="69"/>
      <c r="BTX20" s="69"/>
      <c r="BTY20" s="69"/>
      <c r="BTZ20" s="69"/>
      <c r="BUA20" s="69"/>
      <c r="BUB20" s="69"/>
      <c r="BUC20" s="69"/>
      <c r="BUD20" s="69"/>
      <c r="BUE20" s="69"/>
      <c r="BUF20" s="69"/>
      <c r="BUG20" s="69"/>
      <c r="BUH20" s="69"/>
      <c r="BUI20" s="69"/>
      <c r="BUJ20" s="69"/>
      <c r="BUK20" s="69"/>
      <c r="BUL20" s="69"/>
      <c r="BUM20" s="69"/>
      <c r="BUN20" s="69"/>
      <c r="BUO20" s="69"/>
      <c r="BUP20" s="69"/>
      <c r="BUQ20" s="69"/>
      <c r="BUR20" s="69"/>
      <c r="BUS20" s="69"/>
      <c r="BUT20" s="69"/>
      <c r="BUU20" s="69"/>
      <c r="BUV20" s="69"/>
      <c r="BUW20" s="69"/>
      <c r="BUX20" s="69"/>
      <c r="BUY20" s="69"/>
      <c r="BUZ20" s="69"/>
      <c r="BVA20" s="69"/>
      <c r="BVB20" s="69"/>
      <c r="BVC20" s="69"/>
      <c r="BVD20" s="69"/>
      <c r="BVE20" s="69"/>
      <c r="BVF20" s="69"/>
      <c r="BVG20" s="69"/>
      <c r="BVH20" s="69"/>
      <c r="BVI20" s="69"/>
      <c r="BVJ20" s="69"/>
      <c r="BVK20" s="69"/>
      <c r="BVL20" s="69"/>
      <c r="BVM20" s="69"/>
      <c r="BVN20" s="69"/>
      <c r="BVO20" s="69"/>
      <c r="BVP20" s="69"/>
      <c r="BVQ20" s="69"/>
      <c r="BVR20" s="69"/>
      <c r="BVS20" s="69"/>
      <c r="BVT20" s="69"/>
      <c r="BVU20" s="69"/>
      <c r="BVV20" s="69"/>
      <c r="BVW20" s="69"/>
      <c r="BVX20" s="69"/>
      <c r="BVY20" s="69"/>
      <c r="BVZ20" s="69"/>
      <c r="BWA20" s="69"/>
      <c r="BWB20" s="69"/>
      <c r="BWC20" s="69"/>
      <c r="BWD20" s="69"/>
      <c r="BWE20" s="69"/>
      <c r="BWF20" s="69"/>
      <c r="BWG20" s="69"/>
      <c r="BWH20" s="69"/>
      <c r="BWI20" s="69"/>
      <c r="BWJ20" s="69"/>
      <c r="BWK20" s="69"/>
      <c r="BWL20" s="69"/>
      <c r="BWM20" s="69"/>
      <c r="BWN20" s="69"/>
      <c r="BWO20" s="69"/>
      <c r="BWP20" s="69"/>
      <c r="BWQ20" s="69"/>
      <c r="BWR20" s="69"/>
      <c r="BWS20" s="69"/>
      <c r="BWT20" s="69"/>
      <c r="BWU20" s="69"/>
      <c r="BWV20" s="69"/>
      <c r="BWW20" s="69"/>
      <c r="BWX20" s="69"/>
      <c r="BWY20" s="69"/>
      <c r="BWZ20" s="69"/>
      <c r="BXA20" s="69"/>
      <c r="BXB20" s="69"/>
      <c r="BXC20" s="69"/>
      <c r="BXD20" s="69"/>
      <c r="BXE20" s="69"/>
      <c r="BXF20" s="69"/>
      <c r="BXG20" s="69"/>
      <c r="BXH20" s="69"/>
      <c r="BXI20" s="69"/>
      <c r="BXJ20" s="69"/>
      <c r="BXK20" s="69"/>
      <c r="BXL20" s="69"/>
      <c r="BXM20" s="69"/>
      <c r="BXN20" s="69"/>
      <c r="BXO20" s="69"/>
      <c r="BXP20" s="69"/>
      <c r="BXQ20" s="69"/>
      <c r="BXR20" s="69"/>
      <c r="BXS20" s="69"/>
      <c r="BXT20" s="69"/>
      <c r="BXU20" s="69"/>
      <c r="BXV20" s="69"/>
      <c r="BXW20" s="69"/>
      <c r="BXX20" s="69"/>
      <c r="BXY20" s="69"/>
      <c r="BXZ20" s="69"/>
      <c r="BYA20" s="69"/>
      <c r="BYB20" s="69"/>
      <c r="BYC20" s="69"/>
      <c r="BYD20" s="69"/>
      <c r="BYE20" s="69"/>
      <c r="BYF20" s="69"/>
      <c r="BYG20" s="69"/>
      <c r="BYH20" s="69"/>
      <c r="BYI20" s="69"/>
      <c r="BYJ20" s="69"/>
      <c r="BYK20" s="69"/>
      <c r="BYL20" s="69"/>
      <c r="BYM20" s="69"/>
      <c r="BYN20" s="69"/>
      <c r="BYO20" s="69"/>
      <c r="BYP20" s="69"/>
      <c r="BYQ20" s="69"/>
      <c r="BYR20" s="69"/>
      <c r="BYS20" s="69"/>
      <c r="BYT20" s="69"/>
      <c r="BYU20" s="69"/>
      <c r="BYV20" s="69"/>
      <c r="BYW20" s="69"/>
      <c r="BYX20" s="69"/>
      <c r="BYY20" s="69"/>
      <c r="BYZ20" s="69"/>
      <c r="BZA20" s="69"/>
      <c r="BZB20" s="69"/>
      <c r="BZC20" s="69"/>
      <c r="BZD20" s="69"/>
      <c r="BZE20" s="69"/>
      <c r="BZF20" s="69"/>
      <c r="BZG20" s="69"/>
      <c r="BZH20" s="69"/>
      <c r="BZI20" s="69"/>
      <c r="BZJ20" s="69"/>
      <c r="BZK20" s="69"/>
      <c r="BZL20" s="69"/>
      <c r="BZM20" s="69"/>
      <c r="BZN20" s="69"/>
      <c r="BZO20" s="69"/>
      <c r="BZP20" s="69"/>
      <c r="BZQ20" s="69"/>
      <c r="BZR20" s="69"/>
      <c r="BZS20" s="69"/>
      <c r="BZT20" s="69"/>
      <c r="BZU20" s="69"/>
      <c r="BZV20" s="69"/>
      <c r="BZW20" s="69"/>
      <c r="BZX20" s="69"/>
      <c r="BZY20" s="69"/>
      <c r="BZZ20" s="69"/>
      <c r="CAA20" s="69"/>
      <c r="CAB20" s="69"/>
      <c r="CAC20" s="69"/>
      <c r="CAD20" s="69"/>
      <c r="CAE20" s="69"/>
      <c r="CAF20" s="69"/>
      <c r="CAG20" s="69"/>
      <c r="CAH20" s="69"/>
      <c r="CAI20" s="69"/>
      <c r="CAJ20" s="69"/>
      <c r="CAK20" s="69"/>
      <c r="CAL20" s="69"/>
      <c r="CAM20" s="69"/>
      <c r="CAN20" s="69"/>
      <c r="CAO20" s="69"/>
      <c r="CAP20" s="69"/>
      <c r="CAQ20" s="69"/>
      <c r="CAR20" s="69"/>
      <c r="CAS20" s="69"/>
      <c r="CAT20" s="69"/>
      <c r="CAU20" s="69"/>
      <c r="CAV20" s="69"/>
      <c r="CAW20" s="69"/>
      <c r="CAX20" s="69"/>
      <c r="CAY20" s="69"/>
      <c r="CAZ20" s="69"/>
      <c r="CBA20" s="69"/>
      <c r="CBB20" s="69"/>
      <c r="CBC20" s="69"/>
      <c r="CBD20" s="69"/>
      <c r="CBE20" s="69"/>
      <c r="CBF20" s="69"/>
      <c r="CBG20" s="69"/>
      <c r="CBH20" s="69"/>
      <c r="CBI20" s="69"/>
      <c r="CBJ20" s="69"/>
      <c r="CBK20" s="69"/>
      <c r="CBL20" s="69"/>
      <c r="CBM20" s="69"/>
      <c r="CBN20" s="69"/>
      <c r="CBO20" s="69"/>
      <c r="CBP20" s="69"/>
      <c r="CBQ20" s="69"/>
      <c r="CBR20" s="69"/>
      <c r="CBS20" s="69"/>
      <c r="CBT20" s="69"/>
      <c r="CBU20" s="69"/>
      <c r="CBV20" s="69"/>
      <c r="CBW20" s="69"/>
      <c r="CBX20" s="69"/>
      <c r="CBY20" s="69"/>
      <c r="CBZ20" s="69"/>
      <c r="CCA20" s="69"/>
      <c r="CCB20" s="69"/>
      <c r="CCC20" s="69"/>
      <c r="CCD20" s="69"/>
      <c r="CCE20" s="69"/>
      <c r="CCF20" s="69"/>
      <c r="CCG20" s="69"/>
      <c r="CCH20" s="69"/>
      <c r="CCI20" s="69"/>
      <c r="CCJ20" s="69"/>
      <c r="CCK20" s="69"/>
      <c r="CCL20" s="69"/>
      <c r="CCM20" s="69"/>
      <c r="CCN20" s="69"/>
      <c r="CCO20" s="69"/>
      <c r="CCP20" s="69"/>
      <c r="CCQ20" s="69"/>
      <c r="CCR20" s="69"/>
      <c r="CCS20" s="69"/>
      <c r="CCT20" s="69"/>
      <c r="CCU20" s="69"/>
      <c r="CCV20" s="69"/>
      <c r="CCW20" s="69"/>
      <c r="CCX20" s="69"/>
      <c r="CCY20" s="69"/>
      <c r="CCZ20" s="69"/>
      <c r="CDA20" s="69"/>
      <c r="CDB20" s="69"/>
      <c r="CDC20" s="69"/>
      <c r="CDD20" s="69"/>
      <c r="CDE20" s="69"/>
      <c r="CDF20" s="69"/>
      <c r="CDG20" s="69"/>
      <c r="CDH20" s="69"/>
      <c r="CDI20" s="69"/>
      <c r="CDJ20" s="69"/>
      <c r="CDK20" s="69"/>
      <c r="CDL20" s="69"/>
      <c r="CDM20" s="69"/>
      <c r="CDN20" s="69"/>
      <c r="CDO20" s="69"/>
      <c r="CDP20" s="69"/>
      <c r="CDQ20" s="69"/>
      <c r="CDR20" s="69"/>
      <c r="CDS20" s="69"/>
      <c r="CDT20" s="69"/>
      <c r="CDU20" s="69"/>
      <c r="CDV20" s="69"/>
      <c r="CDW20" s="69"/>
      <c r="CDX20" s="69"/>
      <c r="CDY20" s="69"/>
      <c r="CDZ20" s="69"/>
      <c r="CEA20" s="69"/>
      <c r="CEB20" s="69"/>
      <c r="CEC20" s="69"/>
      <c r="CED20" s="69"/>
      <c r="CEE20" s="69"/>
      <c r="CEF20" s="69"/>
      <c r="CEG20" s="69"/>
      <c r="CEH20" s="69"/>
      <c r="CEI20" s="69"/>
      <c r="CEJ20" s="69"/>
      <c r="CEK20" s="69"/>
      <c r="CEL20" s="69"/>
      <c r="CEM20" s="69"/>
      <c r="CEN20" s="69"/>
      <c r="CEO20" s="69"/>
      <c r="CEP20" s="69"/>
      <c r="CEQ20" s="69"/>
      <c r="CER20" s="69"/>
      <c r="CES20" s="69"/>
      <c r="CET20" s="69"/>
      <c r="CEU20" s="69"/>
      <c r="CEV20" s="69"/>
      <c r="CEW20" s="69"/>
      <c r="CEX20" s="69"/>
      <c r="CEY20" s="69"/>
      <c r="CEZ20" s="69"/>
      <c r="CFA20" s="69"/>
      <c r="CFB20" s="69"/>
      <c r="CFC20" s="69"/>
      <c r="CFD20" s="69"/>
      <c r="CFE20" s="69"/>
      <c r="CFF20" s="69"/>
      <c r="CFG20" s="69"/>
      <c r="CFH20" s="69"/>
      <c r="CFI20" s="69"/>
      <c r="CFJ20" s="69"/>
      <c r="CFK20" s="69"/>
      <c r="CFL20" s="69"/>
      <c r="CFM20" s="69"/>
      <c r="CFN20" s="69"/>
      <c r="CFO20" s="69"/>
      <c r="CFP20" s="69"/>
      <c r="CFQ20" s="69"/>
      <c r="CFR20" s="69"/>
      <c r="CFS20" s="69"/>
      <c r="CFT20" s="69"/>
      <c r="CFU20" s="69"/>
      <c r="CFV20" s="69"/>
      <c r="CFW20" s="69"/>
      <c r="CFX20" s="69"/>
      <c r="CFY20" s="69"/>
      <c r="CFZ20" s="69"/>
      <c r="CGA20" s="69"/>
      <c r="CGB20" s="69"/>
      <c r="CGC20" s="69"/>
      <c r="CGD20" s="69"/>
      <c r="CGE20" s="69"/>
      <c r="CGF20" s="69"/>
      <c r="CGG20" s="69"/>
      <c r="CGH20" s="69"/>
      <c r="CGI20" s="69"/>
      <c r="CGJ20" s="69"/>
      <c r="CGK20" s="69"/>
      <c r="CGL20" s="69"/>
      <c r="CGM20" s="69"/>
      <c r="CGN20" s="69"/>
      <c r="CGO20" s="69"/>
      <c r="CGP20" s="69"/>
      <c r="CGQ20" s="69"/>
      <c r="CGR20" s="69"/>
      <c r="CGS20" s="69"/>
      <c r="CGT20" s="69"/>
      <c r="CGU20" s="69"/>
      <c r="CGV20" s="69"/>
      <c r="CGW20" s="69"/>
      <c r="CGX20" s="69"/>
      <c r="CGY20" s="69"/>
      <c r="CGZ20" s="69"/>
      <c r="CHA20" s="69"/>
      <c r="CHB20" s="69"/>
      <c r="CHC20" s="69"/>
      <c r="CHD20" s="69"/>
      <c r="CHE20" s="69"/>
      <c r="CHF20" s="69"/>
      <c r="CHG20" s="69"/>
      <c r="CHH20" s="69"/>
      <c r="CHI20" s="69"/>
      <c r="CHJ20" s="69"/>
      <c r="CHK20" s="69"/>
      <c r="CHL20" s="69"/>
      <c r="CHM20" s="69"/>
      <c r="CHN20" s="69"/>
      <c r="CHO20" s="69"/>
      <c r="CHP20" s="69"/>
      <c r="CHQ20" s="69"/>
      <c r="CHR20" s="69"/>
      <c r="CHS20" s="69"/>
      <c r="CHT20" s="69"/>
      <c r="CHU20" s="69"/>
      <c r="CHV20" s="69"/>
      <c r="CHW20" s="69"/>
      <c r="CHX20" s="69"/>
      <c r="CHY20" s="69"/>
      <c r="CHZ20" s="69"/>
      <c r="CIA20" s="69"/>
      <c r="CIB20" s="69"/>
      <c r="CIC20" s="69"/>
      <c r="CID20" s="69"/>
      <c r="CIE20" s="69"/>
      <c r="CIF20" s="69"/>
      <c r="CIG20" s="69"/>
      <c r="CIH20" s="69"/>
      <c r="CII20" s="69"/>
      <c r="CIJ20" s="69"/>
      <c r="CIK20" s="69"/>
      <c r="CIL20" s="69"/>
      <c r="CIM20" s="69"/>
      <c r="CIN20" s="69"/>
      <c r="CIO20" s="69"/>
      <c r="CIP20" s="69"/>
      <c r="CIQ20" s="69"/>
      <c r="CIR20" s="69"/>
      <c r="CIS20" s="69"/>
      <c r="CIT20" s="69"/>
      <c r="CIU20" s="69"/>
      <c r="CIV20" s="69"/>
      <c r="CIW20" s="69"/>
      <c r="CIX20" s="69"/>
      <c r="CIY20" s="69"/>
      <c r="CIZ20" s="69"/>
      <c r="CJA20" s="69"/>
      <c r="CJB20" s="69"/>
      <c r="CJC20" s="69"/>
      <c r="CJD20" s="69"/>
      <c r="CJE20" s="69"/>
      <c r="CJF20" s="69"/>
      <c r="CJG20" s="69"/>
      <c r="CJH20" s="69"/>
      <c r="CJI20" s="69"/>
      <c r="CJJ20" s="69"/>
      <c r="CJK20" s="69"/>
      <c r="CJL20" s="69"/>
      <c r="CJM20" s="69"/>
      <c r="CJN20" s="69"/>
      <c r="CJO20" s="69"/>
      <c r="CJP20" s="69"/>
      <c r="CJQ20" s="69"/>
      <c r="CJR20" s="69"/>
      <c r="CJS20" s="69"/>
      <c r="CJT20" s="69"/>
      <c r="CJU20" s="69"/>
      <c r="CJV20" s="69"/>
      <c r="CJW20" s="69"/>
      <c r="CJX20" s="69"/>
      <c r="CJY20" s="69"/>
      <c r="CJZ20" s="69"/>
      <c r="CKA20" s="69"/>
      <c r="CKB20" s="69"/>
      <c r="CKC20" s="69"/>
      <c r="CKD20" s="69"/>
      <c r="CKE20" s="69"/>
      <c r="CKF20" s="69"/>
      <c r="CKG20" s="69"/>
      <c r="CKH20" s="69"/>
      <c r="CKI20" s="69"/>
      <c r="CKJ20" s="69"/>
      <c r="CKK20" s="69"/>
      <c r="CKL20" s="69"/>
      <c r="CKM20" s="69"/>
      <c r="CKN20" s="69"/>
      <c r="CKO20" s="69"/>
      <c r="CKP20" s="69"/>
      <c r="CKQ20" s="69"/>
      <c r="CKR20" s="69"/>
      <c r="CKS20" s="69"/>
      <c r="CKT20" s="69"/>
      <c r="CKU20" s="69"/>
      <c r="CKV20" s="69"/>
      <c r="CKW20" s="69"/>
      <c r="CKX20" s="69"/>
      <c r="CKY20" s="69"/>
      <c r="CKZ20" s="69"/>
      <c r="CLA20" s="69"/>
      <c r="CLB20" s="69"/>
      <c r="CLC20" s="69"/>
      <c r="CLD20" s="69"/>
      <c r="CLE20" s="69"/>
      <c r="CLF20" s="69"/>
      <c r="CLG20" s="69"/>
      <c r="CLH20" s="69"/>
      <c r="CLI20" s="69"/>
      <c r="CLJ20" s="69"/>
      <c r="CLK20" s="69"/>
      <c r="CLL20" s="69"/>
      <c r="CLM20" s="69"/>
      <c r="CLN20" s="69"/>
      <c r="CLO20" s="69"/>
      <c r="CLP20" s="69"/>
      <c r="CLQ20" s="69"/>
      <c r="CLR20" s="69"/>
      <c r="CLS20" s="69"/>
      <c r="CLT20" s="69"/>
      <c r="CLU20" s="69"/>
      <c r="CLV20" s="69"/>
      <c r="CLW20" s="69"/>
      <c r="CLX20" s="69"/>
      <c r="CLY20" s="69"/>
      <c r="CLZ20" s="69"/>
      <c r="CMA20" s="69"/>
      <c r="CMB20" s="69"/>
      <c r="CMC20" s="69"/>
      <c r="CMD20" s="69"/>
      <c r="CME20" s="69"/>
      <c r="CMF20" s="69"/>
      <c r="CMG20" s="69"/>
      <c r="CMH20" s="69"/>
      <c r="CMI20" s="69"/>
      <c r="CMJ20" s="69"/>
      <c r="CMK20" s="69"/>
      <c r="CML20" s="69"/>
      <c r="CMM20" s="69"/>
      <c r="CMN20" s="69"/>
      <c r="CMO20" s="69"/>
      <c r="CMP20" s="69"/>
      <c r="CMQ20" s="69"/>
      <c r="CMR20" s="69"/>
      <c r="CMS20" s="69"/>
      <c r="CMT20" s="69"/>
      <c r="CMU20" s="69"/>
      <c r="CMV20" s="69"/>
      <c r="CMW20" s="69"/>
      <c r="CMX20" s="69"/>
      <c r="CMY20" s="69"/>
      <c r="CMZ20" s="69"/>
      <c r="CNA20" s="69"/>
      <c r="CNB20" s="69"/>
      <c r="CNC20" s="69"/>
      <c r="CND20" s="69"/>
      <c r="CNE20" s="69"/>
      <c r="CNF20" s="69"/>
      <c r="CNG20" s="69"/>
      <c r="CNH20" s="69"/>
      <c r="CNI20" s="69"/>
      <c r="CNJ20" s="69"/>
      <c r="CNK20" s="69"/>
      <c r="CNL20" s="69"/>
      <c r="CNM20" s="69"/>
      <c r="CNN20" s="69"/>
      <c r="CNO20" s="69"/>
      <c r="CNP20" s="69"/>
      <c r="CNQ20" s="69"/>
      <c r="CNR20" s="69"/>
      <c r="CNS20" s="69"/>
      <c r="CNT20" s="69"/>
      <c r="CNU20" s="69"/>
      <c r="CNV20" s="69"/>
      <c r="CNW20" s="69"/>
      <c r="CNX20" s="69"/>
      <c r="CNY20" s="69"/>
      <c r="CNZ20" s="69"/>
      <c r="COA20" s="69"/>
      <c r="COB20" s="69"/>
      <c r="COC20" s="69"/>
      <c r="COD20" s="69"/>
      <c r="COE20" s="69"/>
      <c r="COF20" s="69"/>
      <c r="COG20" s="69"/>
      <c r="COH20" s="69"/>
      <c r="COI20" s="69"/>
      <c r="COJ20" s="69"/>
      <c r="COK20" s="69"/>
      <c r="COL20" s="69"/>
      <c r="COM20" s="69"/>
      <c r="CON20" s="69"/>
      <c r="COO20" s="69"/>
      <c r="COP20" s="69"/>
      <c r="COQ20" s="69"/>
      <c r="COR20" s="69"/>
      <c r="COS20" s="69"/>
      <c r="COT20" s="69"/>
      <c r="COU20" s="69"/>
      <c r="COV20" s="69"/>
      <c r="COW20" s="69"/>
      <c r="COX20" s="69"/>
      <c r="COY20" s="69"/>
      <c r="COZ20" s="69"/>
      <c r="CPA20" s="69"/>
      <c r="CPB20" s="69"/>
      <c r="CPC20" s="69"/>
      <c r="CPD20" s="69"/>
      <c r="CPE20" s="69"/>
      <c r="CPF20" s="69"/>
      <c r="CPG20" s="69"/>
      <c r="CPH20" s="69"/>
      <c r="CPI20" s="69"/>
      <c r="CPJ20" s="69"/>
      <c r="CPK20" s="69"/>
      <c r="CPL20" s="69"/>
      <c r="CPM20" s="69"/>
      <c r="CPN20" s="69"/>
      <c r="CPO20" s="69"/>
      <c r="CPP20" s="69"/>
      <c r="CPQ20" s="69"/>
      <c r="CPR20" s="69"/>
      <c r="CPS20" s="69"/>
      <c r="CPT20" s="69"/>
      <c r="CPU20" s="69"/>
      <c r="CPV20" s="69"/>
      <c r="CPW20" s="69"/>
      <c r="CPX20" s="69"/>
      <c r="CPY20" s="69"/>
      <c r="CPZ20" s="69"/>
      <c r="CQA20" s="69"/>
      <c r="CQB20" s="69"/>
      <c r="CQC20" s="69"/>
      <c r="CQD20" s="69"/>
      <c r="CQE20" s="69"/>
      <c r="CQF20" s="69"/>
      <c r="CQG20" s="69"/>
      <c r="CQH20" s="69"/>
      <c r="CQI20" s="69"/>
      <c r="CQJ20" s="69"/>
      <c r="CQK20" s="69"/>
      <c r="CQL20" s="69"/>
      <c r="CQM20" s="69"/>
      <c r="CQN20" s="69"/>
      <c r="CQO20" s="69"/>
      <c r="CQP20" s="69"/>
      <c r="CQQ20" s="69"/>
      <c r="CQR20" s="69"/>
      <c r="CQS20" s="69"/>
      <c r="CQT20" s="69"/>
      <c r="CQU20" s="69"/>
      <c r="CQV20" s="69"/>
      <c r="CQW20" s="69"/>
      <c r="CQX20" s="69"/>
      <c r="CQY20" s="69"/>
      <c r="CQZ20" s="69"/>
      <c r="CRA20" s="69"/>
      <c r="CRB20" s="69"/>
      <c r="CRC20" s="69"/>
      <c r="CRD20" s="69"/>
      <c r="CRE20" s="69"/>
      <c r="CRF20" s="69"/>
      <c r="CRG20" s="69"/>
      <c r="CRH20" s="69"/>
      <c r="CRI20" s="69"/>
      <c r="CRJ20" s="69"/>
      <c r="CRK20" s="69"/>
      <c r="CRL20" s="69"/>
      <c r="CRM20" s="69"/>
      <c r="CRN20" s="69"/>
      <c r="CRO20" s="69"/>
      <c r="CRP20" s="69"/>
      <c r="CRQ20" s="69"/>
      <c r="CRR20" s="69"/>
      <c r="CRS20" s="69"/>
      <c r="CRT20" s="69"/>
      <c r="CRU20" s="69"/>
      <c r="CRV20" s="69"/>
      <c r="CRW20" s="69"/>
      <c r="CRX20" s="69"/>
      <c r="CRY20" s="69"/>
      <c r="CRZ20" s="69"/>
      <c r="CSA20" s="69"/>
      <c r="CSB20" s="69"/>
      <c r="CSC20" s="69"/>
      <c r="CSD20" s="69"/>
      <c r="CSE20" s="69"/>
      <c r="CSF20" s="69"/>
      <c r="CSG20" s="69"/>
      <c r="CSH20" s="69"/>
      <c r="CSI20" s="69"/>
      <c r="CSJ20" s="69"/>
      <c r="CSK20" s="69"/>
      <c r="CSL20" s="69"/>
      <c r="CSM20" s="69"/>
      <c r="CSN20" s="69"/>
      <c r="CSO20" s="69"/>
      <c r="CSP20" s="69"/>
      <c r="CSQ20" s="69"/>
      <c r="CSR20" s="69"/>
      <c r="CSS20" s="69"/>
      <c r="CST20" s="69"/>
      <c r="CSU20" s="69"/>
      <c r="CSV20" s="69"/>
      <c r="CSW20" s="69"/>
      <c r="CSX20" s="69"/>
      <c r="CSY20" s="69"/>
      <c r="CSZ20" s="69"/>
      <c r="CTA20" s="69"/>
      <c r="CTB20" s="69"/>
      <c r="CTC20" s="69"/>
      <c r="CTD20" s="69"/>
      <c r="CTE20" s="69"/>
      <c r="CTF20" s="69"/>
      <c r="CTG20" s="69"/>
      <c r="CTH20" s="69"/>
      <c r="CTI20" s="69"/>
      <c r="CTJ20" s="69"/>
      <c r="CTK20" s="69"/>
      <c r="CTL20" s="69"/>
      <c r="CTM20" s="69"/>
      <c r="CTN20" s="69"/>
      <c r="CTO20" s="69"/>
      <c r="CTP20" s="69"/>
      <c r="CTQ20" s="69"/>
      <c r="CTR20" s="69"/>
      <c r="CTS20" s="69"/>
      <c r="CTT20" s="69"/>
      <c r="CTU20" s="69"/>
      <c r="CTV20" s="69"/>
      <c r="CTW20" s="69"/>
      <c r="CTX20" s="69"/>
      <c r="CTY20" s="69"/>
      <c r="CTZ20" s="69"/>
      <c r="CUA20" s="69"/>
      <c r="CUB20" s="69"/>
      <c r="CUC20" s="69"/>
      <c r="CUD20" s="69"/>
      <c r="CUE20" s="69"/>
      <c r="CUF20" s="69"/>
      <c r="CUG20" s="69"/>
      <c r="CUH20" s="69"/>
      <c r="CUI20" s="69"/>
      <c r="CUJ20" s="69"/>
      <c r="CUK20" s="69"/>
      <c r="CUL20" s="69"/>
      <c r="CUM20" s="69"/>
      <c r="CUN20" s="69"/>
      <c r="CUO20" s="69"/>
      <c r="CUP20" s="69"/>
      <c r="CUQ20" s="69"/>
      <c r="CUR20" s="69"/>
      <c r="CUS20" s="69"/>
      <c r="CUT20" s="69"/>
      <c r="CUU20" s="69"/>
      <c r="CUV20" s="69"/>
      <c r="CUW20" s="69"/>
      <c r="CUX20" s="69"/>
      <c r="CUY20" s="69"/>
      <c r="CUZ20" s="69"/>
      <c r="CVA20" s="69"/>
      <c r="CVB20" s="69"/>
      <c r="CVC20" s="69"/>
      <c r="CVD20" s="69"/>
      <c r="CVE20" s="69"/>
      <c r="CVF20" s="69"/>
      <c r="CVG20" s="69"/>
      <c r="CVH20" s="69"/>
      <c r="CVI20" s="69"/>
      <c r="CVJ20" s="69"/>
      <c r="CVK20" s="69"/>
      <c r="CVL20" s="69"/>
      <c r="CVM20" s="69"/>
      <c r="CVN20" s="69"/>
      <c r="CVO20" s="69"/>
      <c r="CVP20" s="69"/>
      <c r="CVQ20" s="69"/>
      <c r="CVR20" s="69"/>
      <c r="CVS20" s="69"/>
      <c r="CVT20" s="69"/>
      <c r="CVU20" s="69"/>
      <c r="CVV20" s="69"/>
      <c r="CVW20" s="69"/>
      <c r="CVX20" s="69"/>
      <c r="CVY20" s="69"/>
      <c r="CVZ20" s="69"/>
      <c r="CWA20" s="69"/>
      <c r="CWB20" s="69"/>
      <c r="CWC20" s="69"/>
      <c r="CWD20" s="69"/>
      <c r="CWE20" s="69"/>
      <c r="CWF20" s="69"/>
      <c r="CWG20" s="69"/>
      <c r="CWH20" s="69"/>
      <c r="CWI20" s="69"/>
      <c r="CWJ20" s="69"/>
      <c r="CWK20" s="69"/>
      <c r="CWL20" s="69"/>
      <c r="CWM20" s="69"/>
      <c r="CWN20" s="69"/>
      <c r="CWO20" s="69"/>
      <c r="CWP20" s="69"/>
      <c r="CWQ20" s="69"/>
      <c r="CWR20" s="69"/>
      <c r="CWS20" s="69"/>
      <c r="CWT20" s="69"/>
      <c r="CWU20" s="69"/>
      <c r="CWV20" s="69"/>
      <c r="CWW20" s="69"/>
      <c r="CWX20" s="69"/>
      <c r="CWY20" s="69"/>
      <c r="CWZ20" s="69"/>
      <c r="CXA20" s="69"/>
      <c r="CXB20" s="69"/>
      <c r="CXC20" s="69"/>
      <c r="CXD20" s="69"/>
      <c r="CXE20" s="69"/>
      <c r="CXF20" s="69"/>
      <c r="CXG20" s="69"/>
      <c r="CXH20" s="69"/>
      <c r="CXI20" s="69"/>
      <c r="CXJ20" s="69"/>
      <c r="CXK20" s="69"/>
      <c r="CXL20" s="69"/>
      <c r="CXM20" s="69"/>
      <c r="CXN20" s="69"/>
      <c r="CXO20" s="69"/>
      <c r="CXP20" s="69"/>
      <c r="CXQ20" s="69"/>
      <c r="CXR20" s="69"/>
      <c r="CXS20" s="69"/>
      <c r="CXT20" s="69"/>
      <c r="CXU20" s="69"/>
      <c r="CXV20" s="69"/>
      <c r="CXW20" s="69"/>
      <c r="CXX20" s="69"/>
      <c r="CXY20" s="69"/>
      <c r="CXZ20" s="69"/>
      <c r="CYA20" s="69"/>
      <c r="CYB20" s="69"/>
      <c r="CYC20" s="69"/>
      <c r="CYD20" s="69"/>
      <c r="CYE20" s="69"/>
      <c r="CYF20" s="69"/>
      <c r="CYG20" s="69"/>
      <c r="CYH20" s="69"/>
      <c r="CYI20" s="69"/>
      <c r="CYJ20" s="69"/>
      <c r="CYK20" s="69"/>
      <c r="CYL20" s="69"/>
      <c r="CYM20" s="69"/>
      <c r="CYN20" s="69"/>
      <c r="CYO20" s="69"/>
      <c r="CYP20" s="69"/>
      <c r="CYQ20" s="69"/>
      <c r="CYR20" s="69"/>
      <c r="CYS20" s="69"/>
      <c r="CYT20" s="69"/>
      <c r="CYU20" s="69"/>
      <c r="CYV20" s="69"/>
      <c r="CYW20" s="69"/>
      <c r="CYX20" s="69"/>
      <c r="CYY20" s="69"/>
      <c r="CYZ20" s="69"/>
      <c r="CZA20" s="69"/>
      <c r="CZB20" s="69"/>
      <c r="CZC20" s="69"/>
      <c r="CZD20" s="69"/>
      <c r="CZE20" s="69"/>
      <c r="CZF20" s="69"/>
      <c r="CZG20" s="69"/>
      <c r="CZH20" s="69"/>
      <c r="CZI20" s="69"/>
      <c r="CZJ20" s="69"/>
      <c r="CZK20" s="69"/>
      <c r="CZL20" s="69"/>
      <c r="CZM20" s="69"/>
      <c r="CZN20" s="69"/>
      <c r="CZO20" s="69"/>
      <c r="CZP20" s="69"/>
      <c r="CZQ20" s="69"/>
      <c r="CZR20" s="69"/>
      <c r="CZS20" s="69"/>
      <c r="CZT20" s="69"/>
      <c r="CZU20" s="69"/>
      <c r="CZV20" s="69"/>
      <c r="CZW20" s="69"/>
      <c r="CZX20" s="69"/>
      <c r="CZY20" s="69"/>
      <c r="CZZ20" s="69"/>
      <c r="DAA20" s="69"/>
      <c r="DAB20" s="69"/>
      <c r="DAC20" s="69"/>
      <c r="DAD20" s="69"/>
      <c r="DAE20" s="69"/>
      <c r="DAF20" s="69"/>
      <c r="DAG20" s="69"/>
      <c r="DAH20" s="69"/>
      <c r="DAI20" s="69"/>
      <c r="DAJ20" s="69"/>
      <c r="DAK20" s="69"/>
      <c r="DAL20" s="69"/>
      <c r="DAM20" s="69"/>
      <c r="DAN20" s="69"/>
      <c r="DAO20" s="69"/>
      <c r="DAP20" s="69"/>
      <c r="DAQ20" s="69"/>
      <c r="DAR20" s="69"/>
      <c r="DAS20" s="69"/>
      <c r="DAT20" s="69"/>
      <c r="DAU20" s="69"/>
      <c r="DAV20" s="69"/>
      <c r="DAW20" s="69"/>
      <c r="DAX20" s="69"/>
      <c r="DAY20" s="69"/>
      <c r="DAZ20" s="69"/>
      <c r="DBA20" s="69"/>
      <c r="DBB20" s="69"/>
      <c r="DBC20" s="69"/>
      <c r="DBD20" s="69"/>
      <c r="DBE20" s="69"/>
      <c r="DBF20" s="69"/>
      <c r="DBG20" s="69"/>
      <c r="DBH20" s="69"/>
      <c r="DBI20" s="69"/>
      <c r="DBJ20" s="69"/>
      <c r="DBK20" s="69"/>
      <c r="DBL20" s="69"/>
      <c r="DBM20" s="69"/>
      <c r="DBN20" s="69"/>
      <c r="DBO20" s="69"/>
      <c r="DBP20" s="69"/>
      <c r="DBQ20" s="69"/>
      <c r="DBR20" s="69"/>
      <c r="DBS20" s="69"/>
      <c r="DBT20" s="69"/>
      <c r="DBU20" s="69"/>
      <c r="DBV20" s="69"/>
      <c r="DBW20" s="69"/>
      <c r="DBX20" s="69"/>
      <c r="DBY20" s="69"/>
      <c r="DBZ20" s="69"/>
      <c r="DCA20" s="69"/>
      <c r="DCB20" s="69"/>
      <c r="DCC20" s="69"/>
      <c r="DCD20" s="69"/>
      <c r="DCE20" s="69"/>
      <c r="DCF20" s="69"/>
      <c r="DCG20" s="69"/>
      <c r="DCH20" s="69"/>
      <c r="DCI20" s="69"/>
      <c r="DCJ20" s="69"/>
      <c r="DCK20" s="69"/>
      <c r="DCL20" s="69"/>
      <c r="DCM20" s="69"/>
      <c r="DCN20" s="69"/>
      <c r="DCO20" s="69"/>
      <c r="DCP20" s="69"/>
      <c r="DCQ20" s="69"/>
      <c r="DCR20" s="69"/>
      <c r="DCS20" s="69"/>
      <c r="DCT20" s="69"/>
      <c r="DCU20" s="69"/>
      <c r="DCV20" s="69"/>
      <c r="DCW20" s="69"/>
      <c r="DCX20" s="69"/>
      <c r="DCY20" s="69"/>
      <c r="DCZ20" s="69"/>
      <c r="DDA20" s="69"/>
      <c r="DDB20" s="69"/>
      <c r="DDC20" s="69"/>
      <c r="DDD20" s="69"/>
      <c r="DDE20" s="69"/>
      <c r="DDF20" s="69"/>
      <c r="DDG20" s="69"/>
      <c r="DDH20" s="69"/>
      <c r="DDI20" s="69"/>
      <c r="DDJ20" s="69"/>
      <c r="DDK20" s="69"/>
      <c r="DDL20" s="69"/>
      <c r="DDM20" s="69"/>
      <c r="DDN20" s="69"/>
      <c r="DDO20" s="69"/>
      <c r="DDP20" s="69"/>
      <c r="DDQ20" s="69"/>
      <c r="DDR20" s="69"/>
      <c r="DDS20" s="69"/>
      <c r="DDT20" s="69"/>
      <c r="DDU20" s="69"/>
      <c r="DDV20" s="69"/>
      <c r="DDW20" s="69"/>
      <c r="DDX20" s="69"/>
      <c r="DDY20" s="69"/>
      <c r="DDZ20" s="69"/>
      <c r="DEA20" s="69"/>
      <c r="DEB20" s="69"/>
      <c r="DEC20" s="69"/>
      <c r="DED20" s="69"/>
      <c r="DEE20" s="69"/>
      <c r="DEF20" s="69"/>
      <c r="DEG20" s="69"/>
      <c r="DEH20" s="69"/>
      <c r="DEI20" s="69"/>
      <c r="DEJ20" s="69"/>
      <c r="DEK20" s="69"/>
      <c r="DEL20" s="69"/>
      <c r="DEM20" s="69"/>
      <c r="DEN20" s="69"/>
      <c r="DEO20" s="69"/>
      <c r="DEP20" s="69"/>
      <c r="DEQ20" s="69"/>
      <c r="DER20" s="69"/>
      <c r="DES20" s="69"/>
      <c r="DET20" s="69"/>
      <c r="DEU20" s="69"/>
      <c r="DEV20" s="69"/>
      <c r="DEW20" s="69"/>
      <c r="DEX20" s="69"/>
      <c r="DEY20" s="69"/>
      <c r="DEZ20" s="69"/>
      <c r="DFA20" s="69"/>
      <c r="DFB20" s="69"/>
      <c r="DFC20" s="69"/>
      <c r="DFD20" s="69"/>
      <c r="DFE20" s="69"/>
      <c r="DFF20" s="69"/>
      <c r="DFG20" s="69"/>
      <c r="DFH20" s="69"/>
      <c r="DFI20" s="69"/>
      <c r="DFJ20" s="69"/>
      <c r="DFK20" s="69"/>
      <c r="DFL20" s="69"/>
      <c r="DFM20" s="69"/>
      <c r="DFN20" s="69"/>
      <c r="DFO20" s="69"/>
      <c r="DFP20" s="69"/>
      <c r="DFQ20" s="69"/>
      <c r="DFR20" s="69"/>
      <c r="DFS20" s="69"/>
      <c r="DFT20" s="69"/>
      <c r="DFU20" s="69"/>
      <c r="DFV20" s="69"/>
      <c r="DFW20" s="69"/>
      <c r="DFX20" s="69"/>
      <c r="DFY20" s="69"/>
      <c r="DFZ20" s="69"/>
      <c r="DGA20" s="69"/>
      <c r="DGB20" s="69"/>
      <c r="DGC20" s="69"/>
      <c r="DGD20" s="69"/>
      <c r="DGE20" s="69"/>
      <c r="DGF20" s="69"/>
      <c r="DGG20" s="69"/>
      <c r="DGH20" s="69"/>
      <c r="DGI20" s="69"/>
      <c r="DGJ20" s="69"/>
      <c r="DGK20" s="69"/>
      <c r="DGL20" s="69"/>
      <c r="DGM20" s="69"/>
      <c r="DGN20" s="69"/>
      <c r="DGO20" s="69"/>
      <c r="DGP20" s="69"/>
      <c r="DGQ20" s="69"/>
      <c r="DGR20" s="69"/>
      <c r="DGS20" s="69"/>
      <c r="DGT20" s="69"/>
      <c r="DGU20" s="69"/>
      <c r="DGV20" s="69"/>
      <c r="DGW20" s="69"/>
      <c r="DGX20" s="69"/>
      <c r="DGY20" s="69"/>
      <c r="DGZ20" s="69"/>
      <c r="DHA20" s="69"/>
      <c r="DHB20" s="69"/>
      <c r="DHC20" s="69"/>
      <c r="DHD20" s="69"/>
      <c r="DHE20" s="69"/>
      <c r="DHF20" s="69"/>
      <c r="DHG20" s="69"/>
      <c r="DHH20" s="69"/>
      <c r="DHI20" s="69"/>
      <c r="DHJ20" s="69"/>
      <c r="DHK20" s="69"/>
      <c r="DHL20" s="69"/>
      <c r="DHM20" s="69"/>
      <c r="DHN20" s="69"/>
      <c r="DHO20" s="69"/>
      <c r="DHP20" s="69"/>
      <c r="DHQ20" s="69"/>
      <c r="DHR20" s="69"/>
      <c r="DHS20" s="69"/>
      <c r="DHT20" s="69"/>
      <c r="DHU20" s="69"/>
      <c r="DHV20" s="69"/>
      <c r="DHW20" s="69"/>
      <c r="DHX20" s="69"/>
      <c r="DHY20" s="69"/>
      <c r="DHZ20" s="69"/>
      <c r="DIA20" s="69"/>
      <c r="DIB20" s="69"/>
      <c r="DIC20" s="69"/>
      <c r="DID20" s="69"/>
      <c r="DIE20" s="69"/>
      <c r="DIF20" s="69"/>
      <c r="DIG20" s="69"/>
      <c r="DIH20" s="69"/>
      <c r="DII20" s="69"/>
      <c r="DIJ20" s="69"/>
      <c r="DIK20" s="69"/>
      <c r="DIL20" s="69"/>
      <c r="DIM20" s="69"/>
      <c r="DIN20" s="69"/>
      <c r="DIO20" s="69"/>
      <c r="DIP20" s="69"/>
      <c r="DIQ20" s="69"/>
      <c r="DIR20" s="69"/>
      <c r="DIS20" s="69"/>
      <c r="DIT20" s="69"/>
      <c r="DIU20" s="69"/>
      <c r="DIV20" s="69"/>
      <c r="DIW20" s="69"/>
      <c r="DIX20" s="69"/>
      <c r="DIY20" s="69"/>
      <c r="DIZ20" s="69"/>
      <c r="DJA20" s="69"/>
      <c r="DJB20" s="69"/>
      <c r="DJC20" s="69"/>
      <c r="DJD20" s="69"/>
      <c r="DJE20" s="69"/>
      <c r="DJF20" s="69"/>
      <c r="DJG20" s="69"/>
      <c r="DJH20" s="69"/>
      <c r="DJI20" s="69"/>
      <c r="DJJ20" s="69"/>
      <c r="DJK20" s="69"/>
      <c r="DJL20" s="69"/>
      <c r="DJM20" s="69"/>
      <c r="DJN20" s="69"/>
      <c r="DJO20" s="69"/>
      <c r="DJP20" s="69"/>
      <c r="DJQ20" s="69"/>
      <c r="DJR20" s="69"/>
      <c r="DJS20" s="69"/>
      <c r="DJT20" s="69"/>
      <c r="DJU20" s="69"/>
      <c r="DJV20" s="69"/>
      <c r="DJW20" s="69"/>
      <c r="DJX20" s="69"/>
      <c r="DJY20" s="69"/>
      <c r="DJZ20" s="69"/>
      <c r="DKA20" s="69"/>
      <c r="DKB20" s="69"/>
      <c r="DKC20" s="69"/>
      <c r="DKD20" s="69"/>
      <c r="DKE20" s="69"/>
      <c r="DKF20" s="69"/>
      <c r="DKG20" s="69"/>
      <c r="DKH20" s="69"/>
      <c r="DKI20" s="69"/>
      <c r="DKJ20" s="69"/>
      <c r="DKK20" s="69"/>
      <c r="DKL20" s="69"/>
      <c r="DKM20" s="69"/>
      <c r="DKN20" s="69"/>
      <c r="DKO20" s="69"/>
      <c r="DKP20" s="69"/>
      <c r="DKQ20" s="69"/>
      <c r="DKR20" s="69"/>
      <c r="DKS20" s="69"/>
      <c r="DKT20" s="69"/>
      <c r="DKU20" s="69"/>
      <c r="DKV20" s="69"/>
      <c r="DKW20" s="69"/>
      <c r="DKX20" s="69"/>
      <c r="DKY20" s="69"/>
      <c r="DKZ20" s="69"/>
      <c r="DLA20" s="69"/>
      <c r="DLB20" s="69"/>
      <c r="DLC20" s="69"/>
      <c r="DLD20" s="69"/>
      <c r="DLE20" s="69"/>
      <c r="DLF20" s="69"/>
      <c r="DLG20" s="69"/>
      <c r="DLH20" s="69"/>
      <c r="DLI20" s="69"/>
      <c r="DLJ20" s="69"/>
      <c r="DLK20" s="69"/>
      <c r="DLL20" s="69"/>
      <c r="DLM20" s="69"/>
      <c r="DLN20" s="69"/>
      <c r="DLO20" s="69"/>
      <c r="DLP20" s="69"/>
      <c r="DLQ20" s="69"/>
      <c r="DLR20" s="69"/>
      <c r="DLS20" s="69"/>
      <c r="DLT20" s="69"/>
      <c r="DLU20" s="69"/>
      <c r="DLV20" s="69"/>
      <c r="DLW20" s="69"/>
      <c r="DLX20" s="69"/>
      <c r="DLY20" s="69"/>
      <c r="DLZ20" s="69"/>
      <c r="DMA20" s="69"/>
      <c r="DMB20" s="69"/>
      <c r="DMC20" s="69"/>
      <c r="DMD20" s="69"/>
      <c r="DME20" s="69"/>
      <c r="DMF20" s="69"/>
      <c r="DMG20" s="69"/>
      <c r="DMH20" s="69"/>
      <c r="DMI20" s="69"/>
      <c r="DMJ20" s="69"/>
      <c r="DMK20" s="69"/>
      <c r="DML20" s="69"/>
      <c r="DMM20" s="69"/>
      <c r="DMN20" s="69"/>
      <c r="DMO20" s="69"/>
      <c r="DMP20" s="69"/>
      <c r="DMQ20" s="69"/>
      <c r="DMR20" s="69"/>
      <c r="DMS20" s="69"/>
      <c r="DMT20" s="69"/>
      <c r="DMU20" s="69"/>
      <c r="DMV20" s="69"/>
      <c r="DMW20" s="69"/>
      <c r="DMX20" s="69"/>
      <c r="DMY20" s="69"/>
      <c r="DMZ20" s="69"/>
      <c r="DNA20" s="69"/>
      <c r="DNB20" s="69"/>
      <c r="DNC20" s="69"/>
      <c r="DND20" s="69"/>
      <c r="DNE20" s="69"/>
      <c r="DNF20" s="69"/>
      <c r="DNG20" s="69"/>
      <c r="DNH20" s="69"/>
      <c r="DNI20" s="69"/>
      <c r="DNJ20" s="69"/>
      <c r="DNK20" s="69"/>
      <c r="DNL20" s="69"/>
      <c r="DNM20" s="69"/>
      <c r="DNN20" s="69"/>
      <c r="DNO20" s="69"/>
      <c r="DNP20" s="69"/>
      <c r="DNQ20" s="69"/>
      <c r="DNR20" s="69"/>
      <c r="DNS20" s="69"/>
      <c r="DNT20" s="69"/>
      <c r="DNU20" s="69"/>
      <c r="DNV20" s="69"/>
      <c r="DNW20" s="69"/>
      <c r="DNX20" s="69"/>
      <c r="DNY20" s="69"/>
      <c r="DNZ20" s="69"/>
      <c r="DOA20" s="69"/>
      <c r="DOB20" s="69"/>
      <c r="DOC20" s="69"/>
      <c r="DOD20" s="69"/>
      <c r="DOE20" s="69"/>
      <c r="DOF20" s="69"/>
      <c r="DOG20" s="69"/>
      <c r="DOH20" s="69"/>
      <c r="DOI20" s="69"/>
      <c r="DOJ20" s="69"/>
      <c r="DOK20" s="69"/>
      <c r="DOL20" s="69"/>
      <c r="DOM20" s="69"/>
      <c r="DON20" s="69"/>
      <c r="DOO20" s="69"/>
      <c r="DOP20" s="69"/>
      <c r="DOQ20" s="69"/>
      <c r="DOR20" s="69"/>
      <c r="DOS20" s="69"/>
      <c r="DOT20" s="69"/>
      <c r="DOU20" s="69"/>
      <c r="DOV20" s="69"/>
      <c r="DOW20" s="69"/>
      <c r="DOX20" s="69"/>
      <c r="DOY20" s="69"/>
      <c r="DOZ20" s="69"/>
      <c r="DPA20" s="69"/>
      <c r="DPB20" s="69"/>
      <c r="DPC20" s="69"/>
      <c r="DPD20" s="69"/>
      <c r="DPE20" s="69"/>
      <c r="DPF20" s="69"/>
      <c r="DPG20" s="69"/>
      <c r="DPH20" s="69"/>
      <c r="DPI20" s="69"/>
      <c r="DPJ20" s="69"/>
      <c r="DPK20" s="69"/>
      <c r="DPL20" s="69"/>
      <c r="DPM20" s="69"/>
      <c r="DPN20" s="69"/>
      <c r="DPO20" s="69"/>
      <c r="DPP20" s="69"/>
      <c r="DPQ20" s="69"/>
      <c r="DPR20" s="69"/>
      <c r="DPS20" s="69"/>
      <c r="DPT20" s="69"/>
      <c r="DPU20" s="69"/>
      <c r="DPV20" s="69"/>
      <c r="DPW20" s="69"/>
      <c r="DPX20" s="69"/>
      <c r="DPY20" s="69"/>
      <c r="DPZ20" s="69"/>
      <c r="DQA20" s="69"/>
      <c r="DQB20" s="69"/>
      <c r="DQC20" s="69"/>
      <c r="DQD20" s="69"/>
      <c r="DQE20" s="69"/>
      <c r="DQF20" s="69"/>
      <c r="DQG20" s="69"/>
      <c r="DQH20" s="69"/>
      <c r="DQI20" s="69"/>
      <c r="DQJ20" s="69"/>
      <c r="DQK20" s="69"/>
      <c r="DQL20" s="69"/>
      <c r="DQM20" s="69"/>
      <c r="DQN20" s="69"/>
      <c r="DQO20" s="69"/>
      <c r="DQP20" s="69"/>
      <c r="DQQ20" s="69"/>
      <c r="DQR20" s="69"/>
      <c r="DQS20" s="69"/>
      <c r="DQT20" s="69"/>
      <c r="DQU20" s="69"/>
      <c r="DQV20" s="69"/>
      <c r="DQW20" s="69"/>
      <c r="DQX20" s="69"/>
      <c r="DQY20" s="69"/>
      <c r="DQZ20" s="69"/>
      <c r="DRA20" s="69"/>
      <c r="DRB20" s="69"/>
      <c r="DRC20" s="69"/>
      <c r="DRD20" s="69"/>
      <c r="DRE20" s="69"/>
      <c r="DRF20" s="69"/>
      <c r="DRG20" s="69"/>
      <c r="DRH20" s="69"/>
      <c r="DRI20" s="69"/>
      <c r="DRJ20" s="69"/>
      <c r="DRK20" s="69"/>
      <c r="DRL20" s="69"/>
      <c r="DRM20" s="69"/>
      <c r="DRN20" s="69"/>
      <c r="DRO20" s="69"/>
      <c r="DRP20" s="69"/>
      <c r="DRQ20" s="69"/>
      <c r="DRR20" s="69"/>
      <c r="DRS20" s="69"/>
      <c r="DRT20" s="69"/>
      <c r="DRU20" s="69"/>
      <c r="DRV20" s="69"/>
      <c r="DRW20" s="69"/>
      <c r="DRX20" s="69"/>
      <c r="DRY20" s="69"/>
      <c r="DRZ20" s="69"/>
      <c r="DSA20" s="69"/>
      <c r="DSB20" s="69"/>
      <c r="DSC20" s="69"/>
      <c r="DSD20" s="69"/>
      <c r="DSE20" s="69"/>
      <c r="DSF20" s="69"/>
      <c r="DSG20" s="69"/>
      <c r="DSH20" s="69"/>
      <c r="DSI20" s="69"/>
      <c r="DSJ20" s="69"/>
      <c r="DSK20" s="69"/>
      <c r="DSL20" s="69"/>
      <c r="DSM20" s="69"/>
      <c r="DSN20" s="69"/>
      <c r="DSO20" s="69"/>
      <c r="DSP20" s="69"/>
      <c r="DSQ20" s="69"/>
      <c r="DSR20" s="69"/>
      <c r="DSS20" s="69"/>
      <c r="DST20" s="69"/>
      <c r="DSU20" s="69"/>
      <c r="DSV20" s="69"/>
      <c r="DSW20" s="69"/>
      <c r="DSX20" s="69"/>
      <c r="DSY20" s="69"/>
      <c r="DSZ20" s="69"/>
      <c r="DTA20" s="69"/>
      <c r="DTB20" s="69"/>
      <c r="DTC20" s="69"/>
      <c r="DTD20" s="69"/>
      <c r="DTE20" s="69"/>
      <c r="DTF20" s="69"/>
      <c r="DTG20" s="69"/>
      <c r="DTH20" s="69"/>
      <c r="DTI20" s="69"/>
      <c r="DTJ20" s="69"/>
      <c r="DTK20" s="69"/>
      <c r="DTL20" s="69"/>
      <c r="DTM20" s="69"/>
      <c r="DTN20" s="69"/>
      <c r="DTO20" s="69"/>
      <c r="DTP20" s="69"/>
      <c r="DTQ20" s="69"/>
      <c r="DTR20" s="69"/>
      <c r="DTS20" s="69"/>
      <c r="DTT20" s="69"/>
      <c r="DTU20" s="69"/>
      <c r="DTV20" s="69"/>
      <c r="DTW20" s="69"/>
      <c r="DTX20" s="69"/>
      <c r="DTY20" s="69"/>
      <c r="DTZ20" s="69"/>
      <c r="DUA20" s="69"/>
      <c r="DUB20" s="69"/>
      <c r="DUC20" s="69"/>
      <c r="DUD20" s="69"/>
      <c r="DUE20" s="69"/>
      <c r="DUF20" s="69"/>
      <c r="DUG20" s="69"/>
      <c r="DUH20" s="69"/>
      <c r="DUI20" s="69"/>
      <c r="DUJ20" s="69"/>
      <c r="DUK20" s="69"/>
      <c r="DUL20" s="69"/>
      <c r="DUM20" s="69"/>
      <c r="DUN20" s="69"/>
      <c r="DUO20" s="69"/>
      <c r="DUP20" s="69"/>
      <c r="DUQ20" s="69"/>
      <c r="DUR20" s="69"/>
      <c r="DUS20" s="69"/>
      <c r="DUT20" s="69"/>
      <c r="DUU20" s="69"/>
      <c r="DUV20" s="69"/>
      <c r="DUW20" s="69"/>
      <c r="DUX20" s="69"/>
      <c r="DUY20" s="69"/>
      <c r="DUZ20" s="69"/>
      <c r="DVA20" s="69"/>
      <c r="DVB20" s="69"/>
      <c r="DVC20" s="69"/>
      <c r="DVD20" s="69"/>
      <c r="DVE20" s="69"/>
      <c r="DVF20" s="69"/>
      <c r="DVG20" s="69"/>
      <c r="DVH20" s="69"/>
      <c r="DVI20" s="69"/>
      <c r="DVJ20" s="69"/>
      <c r="DVK20" s="69"/>
      <c r="DVL20" s="69"/>
      <c r="DVM20" s="69"/>
      <c r="DVN20" s="69"/>
      <c r="DVO20" s="69"/>
      <c r="DVP20" s="69"/>
      <c r="DVQ20" s="69"/>
      <c r="DVR20" s="69"/>
      <c r="DVS20" s="69"/>
      <c r="DVT20" s="69"/>
      <c r="DVU20" s="69"/>
      <c r="DVV20" s="69"/>
      <c r="DVW20" s="69"/>
      <c r="DVX20" s="69"/>
      <c r="DVY20" s="69"/>
      <c r="DVZ20" s="69"/>
      <c r="DWA20" s="69"/>
      <c r="DWB20" s="69"/>
      <c r="DWC20" s="69"/>
      <c r="DWD20" s="69"/>
      <c r="DWE20" s="69"/>
      <c r="DWF20" s="69"/>
      <c r="DWG20" s="69"/>
      <c r="DWH20" s="69"/>
      <c r="DWI20" s="69"/>
      <c r="DWJ20" s="69"/>
      <c r="DWK20" s="69"/>
      <c r="DWL20" s="69"/>
      <c r="DWM20" s="69"/>
      <c r="DWN20" s="69"/>
      <c r="DWO20" s="69"/>
      <c r="DWP20" s="69"/>
      <c r="DWQ20" s="69"/>
      <c r="DWR20" s="69"/>
      <c r="DWS20" s="69"/>
      <c r="DWT20" s="69"/>
      <c r="DWU20" s="69"/>
      <c r="DWV20" s="69"/>
      <c r="DWW20" s="69"/>
      <c r="DWX20" s="69"/>
      <c r="DWY20" s="69"/>
      <c r="DWZ20" s="69"/>
      <c r="DXA20" s="69"/>
      <c r="DXB20" s="69"/>
      <c r="DXC20" s="69"/>
      <c r="DXD20" s="69"/>
      <c r="DXE20" s="69"/>
      <c r="DXF20" s="69"/>
      <c r="DXG20" s="69"/>
      <c r="DXH20" s="69"/>
      <c r="DXI20" s="69"/>
      <c r="DXJ20" s="69"/>
      <c r="DXK20" s="69"/>
      <c r="DXL20" s="69"/>
      <c r="DXM20" s="69"/>
      <c r="DXN20" s="69"/>
      <c r="DXO20" s="69"/>
      <c r="DXP20" s="69"/>
      <c r="DXQ20" s="69"/>
      <c r="DXR20" s="69"/>
      <c r="DXS20" s="69"/>
      <c r="DXT20" s="69"/>
      <c r="DXU20" s="69"/>
      <c r="DXV20" s="69"/>
      <c r="DXW20" s="69"/>
      <c r="DXX20" s="69"/>
      <c r="DXY20" s="69"/>
      <c r="DXZ20" s="69"/>
      <c r="DYA20" s="69"/>
      <c r="DYB20" s="69"/>
      <c r="DYC20" s="69"/>
      <c r="DYD20" s="69"/>
      <c r="DYE20" s="69"/>
      <c r="DYF20" s="69"/>
      <c r="DYG20" s="69"/>
      <c r="DYH20" s="69"/>
      <c r="DYI20" s="69"/>
      <c r="DYJ20" s="69"/>
      <c r="DYK20" s="69"/>
      <c r="DYL20" s="69"/>
      <c r="DYM20" s="69"/>
      <c r="DYN20" s="69"/>
      <c r="DYO20" s="69"/>
      <c r="DYP20" s="69"/>
      <c r="DYQ20" s="69"/>
      <c r="DYR20" s="69"/>
      <c r="DYS20" s="69"/>
      <c r="DYT20" s="69"/>
      <c r="DYU20" s="69"/>
      <c r="DYV20" s="69"/>
      <c r="DYW20" s="69"/>
      <c r="DYX20" s="69"/>
      <c r="DYY20" s="69"/>
      <c r="DYZ20" s="69"/>
      <c r="DZA20" s="69"/>
      <c r="DZB20" s="69"/>
      <c r="DZC20" s="69"/>
      <c r="DZD20" s="69"/>
      <c r="DZE20" s="69"/>
      <c r="DZF20" s="69"/>
      <c r="DZG20" s="69"/>
      <c r="DZH20" s="69"/>
      <c r="DZI20" s="69"/>
      <c r="DZJ20" s="69"/>
      <c r="DZK20" s="69"/>
      <c r="DZL20" s="69"/>
      <c r="DZM20" s="69"/>
      <c r="DZN20" s="69"/>
      <c r="DZO20" s="69"/>
      <c r="DZP20" s="69"/>
      <c r="DZQ20" s="69"/>
      <c r="DZR20" s="69"/>
      <c r="DZS20" s="69"/>
      <c r="DZT20" s="69"/>
      <c r="DZU20" s="69"/>
      <c r="DZV20" s="69"/>
      <c r="DZW20" s="69"/>
      <c r="DZX20" s="69"/>
      <c r="DZY20" s="69"/>
      <c r="DZZ20" s="69"/>
      <c r="EAA20" s="69"/>
      <c r="EAB20" s="69"/>
      <c r="EAC20" s="69"/>
      <c r="EAD20" s="69"/>
      <c r="EAE20" s="69"/>
      <c r="EAF20" s="69"/>
      <c r="EAG20" s="69"/>
      <c r="EAH20" s="69"/>
      <c r="EAI20" s="69"/>
      <c r="EAJ20" s="69"/>
      <c r="EAK20" s="69"/>
      <c r="EAL20" s="69"/>
      <c r="EAM20" s="69"/>
      <c r="EAN20" s="69"/>
      <c r="EAO20" s="69"/>
      <c r="EAP20" s="69"/>
      <c r="EAQ20" s="69"/>
      <c r="EAR20" s="69"/>
      <c r="EAS20" s="69"/>
      <c r="EAT20" s="69"/>
      <c r="EAU20" s="69"/>
      <c r="EAV20" s="69"/>
      <c r="EAW20" s="69"/>
      <c r="EAX20" s="69"/>
      <c r="EAY20" s="69"/>
      <c r="EAZ20" s="69"/>
      <c r="EBA20" s="69"/>
      <c r="EBB20" s="69"/>
      <c r="EBC20" s="69"/>
      <c r="EBD20" s="69"/>
      <c r="EBE20" s="69"/>
      <c r="EBF20" s="69"/>
      <c r="EBG20" s="69"/>
      <c r="EBH20" s="69"/>
      <c r="EBI20" s="69"/>
      <c r="EBJ20" s="69"/>
      <c r="EBK20" s="69"/>
      <c r="EBL20" s="69"/>
      <c r="EBM20" s="69"/>
      <c r="EBN20" s="69"/>
      <c r="EBO20" s="69"/>
      <c r="EBP20" s="69"/>
      <c r="EBQ20" s="69"/>
      <c r="EBR20" s="69"/>
      <c r="EBS20" s="69"/>
      <c r="EBT20" s="69"/>
      <c r="EBU20" s="69"/>
      <c r="EBV20" s="69"/>
      <c r="EBW20" s="69"/>
      <c r="EBX20" s="69"/>
      <c r="EBY20" s="69"/>
      <c r="EBZ20" s="69"/>
      <c r="ECA20" s="69"/>
      <c r="ECB20" s="69"/>
      <c r="ECC20" s="69"/>
      <c r="ECD20" s="69"/>
      <c r="ECE20" s="69"/>
      <c r="ECF20" s="69"/>
      <c r="ECG20" s="69"/>
      <c r="ECH20" s="69"/>
      <c r="ECI20" s="69"/>
      <c r="ECJ20" s="69"/>
      <c r="ECK20" s="69"/>
      <c r="ECL20" s="69"/>
      <c r="ECM20" s="69"/>
      <c r="ECN20" s="69"/>
      <c r="ECO20" s="69"/>
      <c r="ECP20" s="69"/>
      <c r="ECQ20" s="69"/>
      <c r="ECR20" s="69"/>
      <c r="ECS20" s="69"/>
      <c r="ECT20" s="69"/>
      <c r="ECU20" s="69"/>
      <c r="ECV20" s="69"/>
      <c r="ECW20" s="69"/>
      <c r="ECX20" s="69"/>
      <c r="ECY20" s="69"/>
      <c r="ECZ20" s="69"/>
      <c r="EDA20" s="69"/>
      <c r="EDB20" s="69"/>
      <c r="EDC20" s="69"/>
      <c r="EDD20" s="69"/>
      <c r="EDE20" s="69"/>
      <c r="EDF20" s="69"/>
      <c r="EDG20" s="69"/>
      <c r="EDH20" s="69"/>
      <c r="EDI20" s="69"/>
      <c r="EDJ20" s="69"/>
      <c r="EDK20" s="69"/>
      <c r="EDL20" s="69"/>
      <c r="EDM20" s="69"/>
      <c r="EDN20" s="69"/>
      <c r="EDO20" s="69"/>
      <c r="EDP20" s="69"/>
      <c r="EDQ20" s="69"/>
      <c r="EDR20" s="69"/>
      <c r="EDS20" s="69"/>
      <c r="EDT20" s="69"/>
      <c r="EDU20" s="69"/>
      <c r="EDV20" s="69"/>
      <c r="EDW20" s="69"/>
      <c r="EDX20" s="69"/>
      <c r="EDY20" s="69"/>
      <c r="EDZ20" s="69"/>
      <c r="EEA20" s="69"/>
      <c r="EEB20" s="69"/>
      <c r="EEC20" s="69"/>
      <c r="EED20" s="69"/>
      <c r="EEE20" s="69"/>
      <c r="EEF20" s="69"/>
      <c r="EEG20" s="69"/>
      <c r="EEH20" s="69"/>
      <c r="EEI20" s="69"/>
      <c r="EEJ20" s="69"/>
      <c r="EEK20" s="69"/>
      <c r="EEL20" s="69"/>
      <c r="EEM20" s="69"/>
      <c r="EEN20" s="69"/>
      <c r="EEO20" s="69"/>
      <c r="EEP20" s="69"/>
      <c r="EEQ20" s="69"/>
      <c r="EER20" s="69"/>
      <c r="EES20" s="69"/>
      <c r="EET20" s="69"/>
      <c r="EEU20" s="69"/>
      <c r="EEV20" s="69"/>
      <c r="EEW20" s="69"/>
      <c r="EEX20" s="69"/>
      <c r="EEY20" s="69"/>
      <c r="EEZ20" s="69"/>
      <c r="EFA20" s="69"/>
      <c r="EFB20" s="69"/>
      <c r="EFC20" s="69"/>
      <c r="EFD20" s="69"/>
      <c r="EFE20" s="69"/>
      <c r="EFF20" s="69"/>
      <c r="EFG20" s="69"/>
      <c r="EFH20" s="69"/>
      <c r="EFI20" s="69"/>
      <c r="EFJ20" s="69"/>
      <c r="EFK20" s="69"/>
      <c r="EFL20" s="69"/>
      <c r="EFM20" s="69"/>
      <c r="EFN20" s="69"/>
      <c r="EFO20" s="69"/>
      <c r="EFP20" s="69"/>
      <c r="EFQ20" s="69"/>
      <c r="EFR20" s="69"/>
      <c r="EFS20" s="69"/>
      <c r="EFT20" s="69"/>
      <c r="EFU20" s="69"/>
      <c r="EFV20" s="69"/>
      <c r="EFW20" s="69"/>
      <c r="EFX20" s="69"/>
      <c r="EFY20" s="69"/>
      <c r="EFZ20" s="69"/>
      <c r="EGA20" s="69"/>
      <c r="EGB20" s="69"/>
      <c r="EGC20" s="69"/>
      <c r="EGD20" s="69"/>
      <c r="EGE20" s="69"/>
      <c r="EGF20" s="69"/>
      <c r="EGG20" s="69"/>
      <c r="EGH20" s="69"/>
      <c r="EGI20" s="69"/>
      <c r="EGJ20" s="69"/>
      <c r="EGK20" s="69"/>
      <c r="EGL20" s="69"/>
      <c r="EGM20" s="69"/>
      <c r="EGN20" s="69"/>
      <c r="EGO20" s="69"/>
      <c r="EGP20" s="69"/>
      <c r="EGQ20" s="69"/>
      <c r="EGR20" s="69"/>
      <c r="EGS20" s="69"/>
      <c r="EGT20" s="69"/>
      <c r="EGU20" s="69"/>
      <c r="EGV20" s="69"/>
      <c r="EGW20" s="69"/>
      <c r="EGX20" s="69"/>
      <c r="EGY20" s="69"/>
      <c r="EGZ20" s="69"/>
      <c r="EHA20" s="69"/>
      <c r="EHB20" s="69"/>
      <c r="EHC20" s="69"/>
      <c r="EHD20" s="69"/>
      <c r="EHE20" s="69"/>
      <c r="EHF20" s="69"/>
      <c r="EHG20" s="69"/>
      <c r="EHH20" s="69"/>
      <c r="EHI20" s="69"/>
      <c r="EHJ20" s="69"/>
      <c r="EHK20" s="69"/>
      <c r="EHL20" s="69"/>
      <c r="EHM20" s="69"/>
      <c r="EHN20" s="69"/>
      <c r="EHO20" s="69"/>
      <c r="EHP20" s="69"/>
      <c r="EHQ20" s="69"/>
      <c r="EHR20" s="69"/>
      <c r="EHS20" s="69"/>
      <c r="EHT20" s="69"/>
      <c r="EHU20" s="69"/>
      <c r="EHV20" s="69"/>
      <c r="EHW20" s="69"/>
      <c r="EHX20" s="69"/>
      <c r="EHY20" s="69"/>
      <c r="EHZ20" s="69"/>
      <c r="EIA20" s="69"/>
      <c r="EIB20" s="69"/>
      <c r="EIC20" s="69"/>
      <c r="EID20" s="69"/>
      <c r="EIE20" s="69"/>
      <c r="EIF20" s="69"/>
      <c r="EIG20" s="69"/>
      <c r="EIH20" s="69"/>
      <c r="EII20" s="69"/>
      <c r="EIJ20" s="69"/>
      <c r="EIK20" s="69"/>
      <c r="EIL20" s="69"/>
      <c r="EIM20" s="69"/>
      <c r="EIN20" s="69"/>
      <c r="EIO20" s="69"/>
      <c r="EIP20" s="69"/>
      <c r="EIQ20" s="69"/>
      <c r="EIR20" s="69"/>
      <c r="EIS20" s="69"/>
      <c r="EIT20" s="69"/>
      <c r="EIU20" s="69"/>
      <c r="EIV20" s="69"/>
      <c r="EIW20" s="69"/>
      <c r="EIX20" s="69"/>
      <c r="EIY20" s="69"/>
      <c r="EIZ20" s="69"/>
      <c r="EJA20" s="69"/>
      <c r="EJB20" s="69"/>
      <c r="EJC20" s="69"/>
      <c r="EJD20" s="69"/>
      <c r="EJE20" s="69"/>
      <c r="EJF20" s="69"/>
      <c r="EJG20" s="69"/>
      <c r="EJH20" s="69"/>
      <c r="EJI20" s="69"/>
      <c r="EJJ20" s="69"/>
      <c r="EJK20" s="69"/>
      <c r="EJL20" s="69"/>
      <c r="EJM20" s="69"/>
      <c r="EJN20" s="69"/>
      <c r="EJO20" s="69"/>
      <c r="EJP20" s="69"/>
      <c r="EJQ20" s="69"/>
      <c r="EJR20" s="69"/>
      <c r="EJS20" s="69"/>
      <c r="EJT20" s="69"/>
      <c r="EJU20" s="69"/>
      <c r="EJV20" s="69"/>
      <c r="EJW20" s="69"/>
      <c r="EJX20" s="69"/>
      <c r="EJY20" s="69"/>
      <c r="EJZ20" s="69"/>
      <c r="EKA20" s="69"/>
      <c r="EKB20" s="69"/>
      <c r="EKC20" s="69"/>
      <c r="EKD20" s="69"/>
      <c r="EKE20" s="69"/>
      <c r="EKF20" s="69"/>
      <c r="EKG20" s="69"/>
      <c r="EKH20" s="69"/>
      <c r="EKI20" s="69"/>
      <c r="EKJ20" s="69"/>
      <c r="EKK20" s="69"/>
      <c r="EKL20" s="69"/>
      <c r="EKM20" s="69"/>
      <c r="EKN20" s="69"/>
      <c r="EKO20" s="69"/>
      <c r="EKP20" s="69"/>
      <c r="EKQ20" s="69"/>
      <c r="EKR20" s="69"/>
      <c r="EKS20" s="69"/>
      <c r="EKT20" s="69"/>
      <c r="EKU20" s="69"/>
      <c r="EKV20" s="69"/>
      <c r="EKW20" s="69"/>
      <c r="EKX20" s="69"/>
      <c r="EKY20" s="69"/>
      <c r="EKZ20" s="69"/>
      <c r="ELA20" s="69"/>
      <c r="ELB20" s="69"/>
      <c r="ELC20" s="69"/>
      <c r="ELD20" s="69"/>
      <c r="ELE20" s="69"/>
      <c r="ELF20" s="69"/>
      <c r="ELG20" s="69"/>
      <c r="ELH20" s="69"/>
      <c r="ELI20" s="69"/>
      <c r="ELJ20" s="69"/>
      <c r="ELK20" s="69"/>
      <c r="ELL20" s="69"/>
      <c r="ELM20" s="69"/>
      <c r="ELN20" s="69"/>
      <c r="ELO20" s="69"/>
      <c r="ELP20" s="69"/>
      <c r="ELQ20" s="69"/>
      <c r="ELR20" s="69"/>
      <c r="ELS20" s="69"/>
      <c r="ELT20" s="69"/>
      <c r="ELU20" s="69"/>
      <c r="ELV20" s="69"/>
      <c r="ELW20" s="69"/>
      <c r="ELX20" s="69"/>
      <c r="ELY20" s="69"/>
      <c r="ELZ20" s="69"/>
      <c r="EMA20" s="69"/>
      <c r="EMB20" s="69"/>
      <c r="EMC20" s="69"/>
      <c r="EMD20" s="69"/>
      <c r="EME20" s="69"/>
      <c r="EMF20" s="69"/>
      <c r="EMG20" s="69"/>
      <c r="EMH20" s="69"/>
      <c r="EMI20" s="69"/>
      <c r="EMJ20" s="69"/>
      <c r="EMK20" s="69"/>
      <c r="EML20" s="69"/>
      <c r="EMM20" s="69"/>
      <c r="EMN20" s="69"/>
      <c r="EMO20" s="69"/>
      <c r="EMP20" s="69"/>
      <c r="EMQ20" s="69"/>
      <c r="EMR20" s="69"/>
      <c r="EMS20" s="69"/>
      <c r="EMT20" s="69"/>
      <c r="EMU20" s="69"/>
      <c r="EMV20" s="69"/>
      <c r="EMW20" s="69"/>
      <c r="EMX20" s="69"/>
      <c r="EMY20" s="69"/>
      <c r="EMZ20" s="69"/>
      <c r="ENA20" s="69"/>
      <c r="ENB20" s="69"/>
      <c r="ENC20" s="69"/>
      <c r="END20" s="69"/>
      <c r="ENE20" s="69"/>
      <c r="ENF20" s="69"/>
      <c r="ENG20" s="69"/>
      <c r="ENH20" s="69"/>
      <c r="ENI20" s="69"/>
      <c r="ENJ20" s="69"/>
      <c r="ENK20" s="69"/>
      <c r="ENL20" s="69"/>
      <c r="ENM20" s="69"/>
      <c r="ENN20" s="69"/>
      <c r="ENO20" s="69"/>
      <c r="ENP20" s="69"/>
      <c r="ENQ20" s="69"/>
      <c r="ENR20" s="69"/>
      <c r="ENS20" s="69"/>
      <c r="ENT20" s="69"/>
      <c r="ENU20" s="69"/>
      <c r="ENV20" s="69"/>
      <c r="ENW20" s="69"/>
      <c r="ENX20" s="69"/>
      <c r="ENY20" s="69"/>
      <c r="ENZ20" s="69"/>
      <c r="EOA20" s="69"/>
      <c r="EOB20" s="69"/>
      <c r="EOC20" s="69"/>
      <c r="EOD20" s="69"/>
      <c r="EOE20" s="69"/>
      <c r="EOF20" s="69"/>
      <c r="EOG20" s="69"/>
      <c r="EOH20" s="69"/>
      <c r="EOI20" s="69"/>
      <c r="EOJ20" s="69"/>
      <c r="EOK20" s="69"/>
      <c r="EOL20" s="69"/>
      <c r="EOM20" s="69"/>
      <c r="EON20" s="69"/>
      <c r="EOO20" s="69"/>
      <c r="EOP20" s="69"/>
      <c r="EOQ20" s="69"/>
      <c r="EOR20" s="69"/>
      <c r="EOS20" s="69"/>
      <c r="EOT20" s="69"/>
      <c r="EOU20" s="69"/>
      <c r="EOV20" s="69"/>
      <c r="EOW20" s="69"/>
      <c r="EOX20" s="69"/>
      <c r="EOY20" s="69"/>
      <c r="EOZ20" s="69"/>
      <c r="EPA20" s="69"/>
      <c r="EPB20" s="69"/>
      <c r="EPC20" s="69"/>
      <c r="EPD20" s="69"/>
      <c r="EPE20" s="69"/>
      <c r="EPF20" s="69"/>
      <c r="EPG20" s="69"/>
      <c r="EPH20" s="69"/>
      <c r="EPI20" s="69"/>
      <c r="EPJ20" s="69"/>
      <c r="EPK20" s="69"/>
      <c r="EPL20" s="69"/>
      <c r="EPM20" s="69"/>
      <c r="EPN20" s="69"/>
      <c r="EPO20" s="69"/>
      <c r="EPP20" s="69"/>
      <c r="EPQ20" s="69"/>
      <c r="EPR20" s="69"/>
      <c r="EPS20" s="69"/>
      <c r="EPT20" s="69"/>
      <c r="EPU20" s="69"/>
      <c r="EPV20" s="69"/>
      <c r="EPW20" s="69"/>
      <c r="EPX20" s="69"/>
      <c r="EPY20" s="69"/>
      <c r="EPZ20" s="69"/>
      <c r="EQA20" s="69"/>
      <c r="EQB20" s="69"/>
      <c r="EQC20" s="69"/>
      <c r="EQD20" s="69"/>
      <c r="EQE20" s="69"/>
      <c r="EQF20" s="69"/>
      <c r="EQG20" s="69"/>
      <c r="EQH20" s="69"/>
      <c r="EQI20" s="69"/>
      <c r="EQJ20" s="69"/>
      <c r="EQK20" s="69"/>
      <c r="EQL20" s="69"/>
      <c r="EQM20" s="69"/>
      <c r="EQN20" s="69"/>
      <c r="EQO20" s="69"/>
      <c r="EQP20" s="69"/>
      <c r="EQQ20" s="69"/>
      <c r="EQR20" s="69"/>
      <c r="EQS20" s="69"/>
      <c r="EQT20" s="69"/>
      <c r="EQU20" s="69"/>
      <c r="EQV20" s="69"/>
      <c r="EQW20" s="69"/>
      <c r="EQX20" s="69"/>
      <c r="EQY20" s="69"/>
      <c r="EQZ20" s="69"/>
      <c r="ERA20" s="69"/>
      <c r="ERB20" s="69"/>
      <c r="ERC20" s="69"/>
      <c r="ERD20" s="69"/>
      <c r="ERE20" s="69"/>
      <c r="ERF20" s="69"/>
      <c r="ERG20" s="69"/>
      <c r="ERH20" s="69"/>
      <c r="ERI20" s="69"/>
      <c r="ERJ20" s="69"/>
      <c r="ERK20" s="69"/>
      <c r="ERL20" s="69"/>
      <c r="ERM20" s="69"/>
      <c r="ERN20" s="69"/>
      <c r="ERO20" s="69"/>
      <c r="ERP20" s="69"/>
      <c r="ERQ20" s="69"/>
      <c r="ERR20" s="69"/>
      <c r="ERS20" s="69"/>
      <c r="ERT20" s="69"/>
      <c r="ERU20" s="69"/>
      <c r="ERV20" s="69"/>
      <c r="ERW20" s="69"/>
      <c r="ERX20" s="69"/>
      <c r="ERY20" s="69"/>
      <c r="ERZ20" s="69"/>
      <c r="ESA20" s="69"/>
      <c r="ESB20" s="69"/>
      <c r="ESC20" s="69"/>
      <c r="ESD20" s="69"/>
      <c r="ESE20" s="69"/>
      <c r="ESF20" s="69"/>
      <c r="ESG20" s="69"/>
      <c r="ESH20" s="69"/>
      <c r="ESI20" s="69"/>
      <c r="ESJ20" s="69"/>
      <c r="ESK20" s="69"/>
      <c r="ESL20" s="69"/>
      <c r="ESM20" s="69"/>
      <c r="ESN20" s="69"/>
      <c r="ESO20" s="69"/>
      <c r="ESP20" s="69"/>
      <c r="ESQ20" s="69"/>
      <c r="ESR20" s="69"/>
      <c r="ESS20" s="69"/>
      <c r="EST20" s="69"/>
      <c r="ESU20" s="69"/>
      <c r="ESV20" s="69"/>
      <c r="ESW20" s="69"/>
      <c r="ESX20" s="69"/>
      <c r="ESY20" s="69"/>
      <c r="ESZ20" s="69"/>
      <c r="ETA20" s="69"/>
      <c r="ETB20" s="69"/>
      <c r="ETC20" s="69"/>
      <c r="ETD20" s="69"/>
      <c r="ETE20" s="69"/>
      <c r="ETF20" s="69"/>
      <c r="ETG20" s="69"/>
      <c r="ETH20" s="69"/>
      <c r="ETI20" s="69"/>
      <c r="ETJ20" s="69"/>
      <c r="ETK20" s="69"/>
      <c r="ETL20" s="69"/>
      <c r="ETM20" s="69"/>
      <c r="ETN20" s="69"/>
      <c r="ETO20" s="69"/>
      <c r="ETP20" s="69"/>
      <c r="ETQ20" s="69"/>
      <c r="ETR20" s="69"/>
      <c r="ETS20" s="69"/>
      <c r="ETT20" s="69"/>
      <c r="ETU20" s="69"/>
      <c r="ETV20" s="69"/>
      <c r="ETW20" s="69"/>
      <c r="ETX20" s="69"/>
      <c r="ETY20" s="69"/>
      <c r="ETZ20" s="69"/>
      <c r="EUA20" s="69"/>
      <c r="EUB20" s="69"/>
      <c r="EUC20" s="69"/>
      <c r="EUD20" s="69"/>
      <c r="EUE20" s="69"/>
      <c r="EUF20" s="69"/>
      <c r="EUG20" s="69"/>
      <c r="EUH20" s="69"/>
      <c r="EUI20" s="69"/>
      <c r="EUJ20" s="69"/>
      <c r="EUK20" s="69"/>
      <c r="EUL20" s="69"/>
      <c r="EUM20" s="69"/>
      <c r="EUN20" s="69"/>
      <c r="EUO20" s="69"/>
      <c r="EUP20" s="69"/>
      <c r="EUQ20" s="69"/>
      <c r="EUR20" s="69"/>
      <c r="EUS20" s="69"/>
      <c r="EUT20" s="69"/>
      <c r="EUU20" s="69"/>
      <c r="EUV20" s="69"/>
      <c r="EUW20" s="69"/>
      <c r="EUX20" s="69"/>
      <c r="EUY20" s="69"/>
      <c r="EUZ20" s="69"/>
      <c r="EVA20" s="69"/>
      <c r="EVB20" s="69"/>
      <c r="EVC20" s="69"/>
      <c r="EVD20" s="69"/>
      <c r="EVE20" s="69"/>
      <c r="EVF20" s="69"/>
      <c r="EVG20" s="69"/>
      <c r="EVH20" s="69"/>
      <c r="EVI20" s="69"/>
      <c r="EVJ20" s="69"/>
      <c r="EVK20" s="69"/>
      <c r="EVL20" s="69"/>
      <c r="EVM20" s="69"/>
      <c r="EVN20" s="69"/>
      <c r="EVO20" s="69"/>
      <c r="EVP20" s="69"/>
      <c r="EVQ20" s="69"/>
      <c r="EVR20" s="69"/>
      <c r="EVS20" s="69"/>
      <c r="EVT20" s="69"/>
      <c r="EVU20" s="69"/>
      <c r="EVV20" s="69"/>
      <c r="EVW20" s="69"/>
      <c r="EVX20" s="69"/>
      <c r="EVY20" s="69"/>
      <c r="EVZ20" s="69"/>
      <c r="EWA20" s="69"/>
      <c r="EWB20" s="69"/>
      <c r="EWC20" s="69"/>
      <c r="EWD20" s="69"/>
      <c r="EWE20" s="69"/>
      <c r="EWF20" s="69"/>
      <c r="EWG20" s="69"/>
      <c r="EWH20" s="69"/>
      <c r="EWI20" s="69"/>
      <c r="EWJ20" s="69"/>
      <c r="EWK20" s="69"/>
      <c r="EWL20" s="69"/>
      <c r="EWM20" s="69"/>
      <c r="EWN20" s="69"/>
      <c r="EWO20" s="69"/>
      <c r="EWP20" s="69"/>
      <c r="EWQ20" s="69"/>
      <c r="EWR20" s="69"/>
      <c r="EWS20" s="69"/>
      <c r="EWT20" s="69"/>
      <c r="EWU20" s="69"/>
      <c r="EWV20" s="69"/>
      <c r="EWW20" s="69"/>
      <c r="EWX20" s="69"/>
      <c r="EWY20" s="69"/>
      <c r="EWZ20" s="69"/>
      <c r="EXA20" s="69"/>
      <c r="EXB20" s="69"/>
      <c r="EXC20" s="69"/>
      <c r="EXD20" s="69"/>
      <c r="EXE20" s="69"/>
      <c r="EXF20" s="69"/>
      <c r="EXG20" s="69"/>
      <c r="EXH20" s="69"/>
      <c r="EXI20" s="69"/>
      <c r="EXJ20" s="69"/>
      <c r="EXK20" s="69"/>
      <c r="EXL20" s="69"/>
      <c r="EXM20" s="69"/>
      <c r="EXN20" s="69"/>
      <c r="EXO20" s="69"/>
      <c r="EXP20" s="69"/>
      <c r="EXQ20" s="69"/>
      <c r="EXR20" s="69"/>
      <c r="EXS20" s="69"/>
      <c r="EXT20" s="69"/>
      <c r="EXU20" s="69"/>
      <c r="EXV20" s="69"/>
      <c r="EXW20" s="69"/>
      <c r="EXX20" s="69"/>
      <c r="EXY20" s="69"/>
      <c r="EXZ20" s="69"/>
      <c r="EYA20" s="69"/>
      <c r="EYB20" s="69"/>
      <c r="EYC20" s="69"/>
      <c r="EYD20" s="69"/>
      <c r="EYE20" s="69"/>
      <c r="EYF20" s="69"/>
      <c r="EYG20" s="69"/>
      <c r="EYH20" s="69"/>
      <c r="EYI20" s="69"/>
      <c r="EYJ20" s="69"/>
      <c r="EYK20" s="69"/>
      <c r="EYL20" s="69"/>
      <c r="EYM20" s="69"/>
      <c r="EYN20" s="69"/>
      <c r="EYO20" s="69"/>
      <c r="EYP20" s="69"/>
      <c r="EYQ20" s="69"/>
      <c r="EYR20" s="69"/>
      <c r="EYS20" s="69"/>
      <c r="EYT20" s="69"/>
      <c r="EYU20" s="69"/>
      <c r="EYV20" s="69"/>
      <c r="EYW20" s="69"/>
      <c r="EYX20" s="69"/>
      <c r="EYY20" s="69"/>
      <c r="EYZ20" s="69"/>
      <c r="EZA20" s="69"/>
      <c r="EZB20" s="69"/>
      <c r="EZC20" s="69"/>
      <c r="EZD20" s="69"/>
      <c r="EZE20" s="69"/>
      <c r="EZF20" s="69"/>
      <c r="EZG20" s="69"/>
      <c r="EZH20" s="69"/>
      <c r="EZI20" s="69"/>
      <c r="EZJ20" s="69"/>
      <c r="EZK20" s="69"/>
      <c r="EZL20" s="69"/>
      <c r="EZM20" s="69"/>
      <c r="EZN20" s="69"/>
      <c r="EZO20" s="69"/>
      <c r="EZP20" s="69"/>
      <c r="EZQ20" s="69"/>
      <c r="EZR20" s="69"/>
      <c r="EZS20" s="69"/>
      <c r="EZT20" s="69"/>
      <c r="EZU20" s="69"/>
      <c r="EZV20" s="69"/>
      <c r="EZW20" s="69"/>
      <c r="EZX20" s="69"/>
      <c r="EZY20" s="69"/>
      <c r="EZZ20" s="69"/>
      <c r="FAA20" s="69"/>
      <c r="FAB20" s="69"/>
      <c r="FAC20" s="69"/>
      <c r="FAD20" s="69"/>
      <c r="FAE20" s="69"/>
      <c r="FAF20" s="69"/>
      <c r="FAG20" s="69"/>
      <c r="FAH20" s="69"/>
      <c r="FAI20" s="69"/>
      <c r="FAJ20" s="69"/>
      <c r="FAK20" s="69"/>
      <c r="FAL20" s="69"/>
      <c r="FAM20" s="69"/>
      <c r="FAN20" s="69"/>
      <c r="FAO20" s="69"/>
      <c r="FAP20" s="69"/>
      <c r="FAQ20" s="69"/>
      <c r="FAR20" s="69"/>
      <c r="FAS20" s="69"/>
      <c r="FAT20" s="69"/>
      <c r="FAU20" s="69"/>
      <c r="FAV20" s="69"/>
      <c r="FAW20" s="69"/>
      <c r="FAX20" s="69"/>
      <c r="FAY20" s="69"/>
      <c r="FAZ20" s="69"/>
      <c r="FBA20" s="69"/>
      <c r="FBB20" s="69"/>
      <c r="FBC20" s="69"/>
      <c r="FBD20" s="69"/>
      <c r="FBE20" s="69"/>
      <c r="FBF20" s="69"/>
      <c r="FBG20" s="69"/>
      <c r="FBH20" s="69"/>
      <c r="FBI20" s="69"/>
      <c r="FBJ20" s="69"/>
      <c r="FBK20" s="69"/>
      <c r="FBL20" s="69"/>
      <c r="FBM20" s="69"/>
      <c r="FBN20" s="69"/>
      <c r="FBO20" s="69"/>
      <c r="FBP20" s="69"/>
      <c r="FBQ20" s="69"/>
      <c r="FBR20" s="69"/>
      <c r="FBS20" s="69"/>
      <c r="FBT20" s="69"/>
      <c r="FBU20" s="69"/>
      <c r="FBV20" s="69"/>
      <c r="FBW20" s="69"/>
      <c r="FBX20" s="69"/>
      <c r="FBY20" s="69"/>
      <c r="FBZ20" s="69"/>
      <c r="FCA20" s="69"/>
      <c r="FCB20" s="69"/>
      <c r="FCC20" s="69"/>
      <c r="FCD20" s="69"/>
      <c r="FCE20" s="69"/>
      <c r="FCF20" s="69"/>
      <c r="FCG20" s="69"/>
      <c r="FCH20" s="69"/>
      <c r="FCI20" s="69"/>
      <c r="FCJ20" s="69"/>
      <c r="FCK20" s="69"/>
      <c r="FCL20" s="69"/>
      <c r="FCM20" s="69"/>
      <c r="FCN20" s="69"/>
      <c r="FCO20" s="69"/>
      <c r="FCP20" s="69"/>
      <c r="FCQ20" s="69"/>
      <c r="FCR20" s="69"/>
      <c r="FCS20" s="69"/>
      <c r="FCT20" s="69"/>
      <c r="FCU20" s="69"/>
      <c r="FCV20" s="69"/>
      <c r="FCW20" s="69"/>
      <c r="FCX20" s="69"/>
      <c r="FCY20" s="69"/>
      <c r="FCZ20" s="69"/>
      <c r="FDA20" s="69"/>
      <c r="FDB20" s="69"/>
      <c r="FDC20" s="69"/>
      <c r="FDD20" s="69"/>
      <c r="FDE20" s="69"/>
      <c r="FDF20" s="69"/>
      <c r="FDG20" s="69"/>
      <c r="FDH20" s="69"/>
      <c r="FDI20" s="69"/>
      <c r="FDJ20" s="69"/>
      <c r="FDK20" s="69"/>
      <c r="FDL20" s="69"/>
      <c r="FDM20" s="69"/>
      <c r="FDN20" s="69"/>
      <c r="FDO20" s="69"/>
      <c r="FDP20" s="69"/>
      <c r="FDQ20" s="69"/>
      <c r="FDR20" s="69"/>
      <c r="FDS20" s="69"/>
      <c r="FDT20" s="69"/>
      <c r="FDU20" s="69"/>
      <c r="FDV20" s="69"/>
      <c r="FDW20" s="69"/>
      <c r="FDX20" s="69"/>
      <c r="FDY20" s="69"/>
      <c r="FDZ20" s="69"/>
      <c r="FEA20" s="69"/>
      <c r="FEB20" s="69"/>
      <c r="FEC20" s="69"/>
      <c r="FED20" s="69"/>
      <c r="FEE20" s="69"/>
      <c r="FEF20" s="69"/>
      <c r="FEG20" s="69"/>
      <c r="FEH20" s="69"/>
      <c r="FEI20" s="69"/>
      <c r="FEJ20" s="69"/>
      <c r="FEK20" s="69"/>
      <c r="FEL20" s="69"/>
      <c r="FEM20" s="69"/>
      <c r="FEN20" s="69"/>
      <c r="FEO20" s="69"/>
      <c r="FEP20" s="69"/>
      <c r="FEQ20" s="69"/>
      <c r="FER20" s="69"/>
      <c r="FES20" s="69"/>
      <c r="FET20" s="69"/>
      <c r="FEU20" s="69"/>
      <c r="FEV20" s="69"/>
      <c r="FEW20" s="69"/>
      <c r="FEX20" s="69"/>
      <c r="FEY20" s="69"/>
      <c r="FEZ20" s="69"/>
      <c r="FFA20" s="69"/>
      <c r="FFB20" s="69"/>
      <c r="FFC20" s="69"/>
      <c r="FFD20" s="69"/>
      <c r="FFE20" s="69"/>
      <c r="FFF20" s="69"/>
      <c r="FFG20" s="69"/>
      <c r="FFH20" s="69"/>
      <c r="FFI20" s="69"/>
      <c r="FFJ20" s="69"/>
      <c r="FFK20" s="69"/>
      <c r="FFL20" s="69"/>
      <c r="FFM20" s="69"/>
      <c r="FFN20" s="69"/>
      <c r="FFO20" s="69"/>
      <c r="FFP20" s="69"/>
      <c r="FFQ20" s="69"/>
      <c r="FFR20" s="69"/>
      <c r="FFS20" s="69"/>
      <c r="FFT20" s="69"/>
      <c r="FFU20" s="69"/>
      <c r="FFV20" s="69"/>
      <c r="FFW20" s="69"/>
      <c r="FFX20" s="69"/>
      <c r="FFY20" s="69"/>
      <c r="FFZ20" s="69"/>
      <c r="FGA20" s="69"/>
      <c r="FGB20" s="69"/>
      <c r="FGC20" s="69"/>
      <c r="FGD20" s="69"/>
      <c r="FGE20" s="69"/>
      <c r="FGF20" s="69"/>
      <c r="FGG20" s="69"/>
      <c r="FGH20" s="69"/>
      <c r="FGI20" s="69"/>
      <c r="FGJ20" s="69"/>
      <c r="FGK20" s="69"/>
      <c r="FGL20" s="69"/>
      <c r="FGM20" s="69"/>
      <c r="FGN20" s="69"/>
      <c r="FGO20" s="69"/>
      <c r="FGP20" s="69"/>
      <c r="FGQ20" s="69"/>
      <c r="FGR20" s="69"/>
      <c r="FGS20" s="69"/>
      <c r="FGT20" s="69"/>
      <c r="FGU20" s="69"/>
      <c r="FGV20" s="69"/>
      <c r="FGW20" s="69"/>
      <c r="FGX20" s="69"/>
      <c r="FGY20" s="69"/>
      <c r="FGZ20" s="69"/>
      <c r="FHA20" s="69"/>
      <c r="FHB20" s="69"/>
      <c r="FHC20" s="69"/>
      <c r="FHD20" s="69"/>
      <c r="FHE20" s="69"/>
      <c r="FHF20" s="69"/>
      <c r="FHG20" s="69"/>
      <c r="FHH20" s="69"/>
      <c r="FHI20" s="69"/>
      <c r="FHJ20" s="69"/>
      <c r="FHK20" s="69"/>
      <c r="FHL20" s="69"/>
      <c r="FHM20" s="69"/>
      <c r="FHN20" s="69"/>
      <c r="FHO20" s="69"/>
      <c r="FHP20" s="69"/>
      <c r="FHQ20" s="69"/>
      <c r="FHR20" s="69"/>
      <c r="FHS20" s="69"/>
      <c r="FHT20" s="69"/>
      <c r="FHU20" s="69"/>
      <c r="FHV20" s="69"/>
      <c r="FHW20" s="69"/>
      <c r="FHX20" s="69"/>
      <c r="FHY20" s="69"/>
      <c r="FHZ20" s="69"/>
      <c r="FIA20" s="69"/>
      <c r="FIB20" s="69"/>
      <c r="FIC20" s="69"/>
      <c r="FID20" s="69"/>
      <c r="FIE20" s="69"/>
      <c r="FIF20" s="69"/>
      <c r="FIG20" s="69"/>
      <c r="FIH20" s="69"/>
      <c r="FII20" s="69"/>
      <c r="FIJ20" s="69"/>
      <c r="FIK20" s="69"/>
      <c r="FIL20" s="69"/>
      <c r="FIM20" s="69"/>
      <c r="FIN20" s="69"/>
      <c r="FIO20" s="69"/>
      <c r="FIP20" s="69"/>
      <c r="FIQ20" s="69"/>
      <c r="FIR20" s="69"/>
      <c r="FIS20" s="69"/>
      <c r="FIT20" s="69"/>
      <c r="FIU20" s="69"/>
      <c r="FIV20" s="69"/>
      <c r="FIW20" s="69"/>
      <c r="FIX20" s="69"/>
      <c r="FIY20" s="69"/>
      <c r="FIZ20" s="69"/>
      <c r="FJA20" s="69"/>
      <c r="FJB20" s="69"/>
      <c r="FJC20" s="69"/>
      <c r="FJD20" s="69"/>
      <c r="FJE20" s="69"/>
      <c r="FJF20" s="69"/>
      <c r="FJG20" s="69"/>
      <c r="FJH20" s="69"/>
      <c r="FJI20" s="69"/>
      <c r="FJJ20" s="69"/>
      <c r="FJK20" s="69"/>
      <c r="FJL20" s="69"/>
      <c r="FJM20" s="69"/>
      <c r="FJN20" s="69"/>
      <c r="FJO20" s="69"/>
      <c r="FJP20" s="69"/>
      <c r="FJQ20" s="69"/>
      <c r="FJR20" s="69"/>
      <c r="FJS20" s="69"/>
      <c r="FJT20" s="69"/>
      <c r="FJU20" s="69"/>
      <c r="FJV20" s="69"/>
      <c r="FJW20" s="69"/>
      <c r="FJX20" s="69"/>
      <c r="FJY20" s="69"/>
      <c r="FJZ20" s="69"/>
      <c r="FKA20" s="69"/>
      <c r="FKB20" s="69"/>
      <c r="FKC20" s="69"/>
      <c r="FKD20" s="69"/>
      <c r="FKE20" s="69"/>
      <c r="FKF20" s="69"/>
      <c r="FKG20" s="69"/>
      <c r="FKH20" s="69"/>
      <c r="FKI20" s="69"/>
      <c r="FKJ20" s="69"/>
      <c r="FKK20" s="69"/>
      <c r="FKL20" s="69"/>
      <c r="FKM20" s="69"/>
      <c r="FKN20" s="69"/>
      <c r="FKO20" s="69"/>
      <c r="FKP20" s="69"/>
      <c r="FKQ20" s="69"/>
      <c r="FKR20" s="69"/>
      <c r="FKS20" s="69"/>
      <c r="FKT20" s="69"/>
      <c r="FKU20" s="69"/>
      <c r="FKV20" s="69"/>
      <c r="FKW20" s="69"/>
      <c r="FKX20" s="69"/>
      <c r="FKY20" s="69"/>
      <c r="FKZ20" s="69"/>
      <c r="FLA20" s="69"/>
      <c r="FLB20" s="69"/>
      <c r="FLC20" s="69"/>
      <c r="FLD20" s="69"/>
      <c r="FLE20" s="69"/>
      <c r="FLF20" s="69"/>
      <c r="FLG20" s="69"/>
      <c r="FLH20" s="69"/>
      <c r="FLI20" s="69"/>
      <c r="FLJ20" s="69"/>
      <c r="FLK20" s="69"/>
      <c r="FLL20" s="69"/>
      <c r="FLM20" s="69"/>
      <c r="FLN20" s="69"/>
      <c r="FLO20" s="69"/>
      <c r="FLP20" s="69"/>
      <c r="FLQ20" s="69"/>
      <c r="FLR20" s="69"/>
      <c r="FLS20" s="69"/>
      <c r="FLT20" s="69"/>
      <c r="FLU20" s="69"/>
      <c r="FLV20" s="69"/>
      <c r="FLW20" s="69"/>
      <c r="FLX20" s="69"/>
      <c r="FLY20" s="69"/>
      <c r="FLZ20" s="69"/>
      <c r="FMA20" s="69"/>
      <c r="FMB20" s="69"/>
      <c r="FMC20" s="69"/>
      <c r="FMD20" s="69"/>
      <c r="FME20" s="69"/>
      <c r="FMF20" s="69"/>
      <c r="FMG20" s="69"/>
      <c r="FMH20" s="69"/>
      <c r="FMI20" s="69"/>
      <c r="FMJ20" s="69"/>
      <c r="FMK20" s="69"/>
      <c r="FML20" s="69"/>
      <c r="FMM20" s="69"/>
      <c r="FMN20" s="69"/>
      <c r="FMO20" s="69"/>
      <c r="FMP20" s="69"/>
      <c r="FMQ20" s="69"/>
      <c r="FMR20" s="69"/>
      <c r="FMS20" s="69"/>
      <c r="FMT20" s="69"/>
      <c r="FMU20" s="69"/>
      <c r="FMV20" s="69"/>
      <c r="FMW20" s="69"/>
      <c r="FMX20" s="69"/>
      <c r="FMY20" s="69"/>
      <c r="FMZ20" s="69"/>
      <c r="FNA20" s="69"/>
      <c r="FNB20" s="69"/>
      <c r="FNC20" s="69"/>
      <c r="FND20" s="69"/>
      <c r="FNE20" s="69"/>
      <c r="FNF20" s="69"/>
      <c r="FNG20" s="69"/>
      <c r="FNH20" s="69"/>
      <c r="FNI20" s="69"/>
      <c r="FNJ20" s="69"/>
      <c r="FNK20" s="69"/>
      <c r="FNL20" s="69"/>
      <c r="FNM20" s="69"/>
      <c r="FNN20" s="69"/>
      <c r="FNO20" s="69"/>
      <c r="FNP20" s="69"/>
      <c r="FNQ20" s="69"/>
      <c r="FNR20" s="69"/>
      <c r="FNS20" s="69"/>
      <c r="FNT20" s="69"/>
      <c r="FNU20" s="69"/>
      <c r="FNV20" s="69"/>
      <c r="FNW20" s="69"/>
      <c r="FNX20" s="69"/>
      <c r="FNY20" s="69"/>
      <c r="FNZ20" s="69"/>
      <c r="FOA20" s="69"/>
      <c r="FOB20" s="69"/>
      <c r="FOC20" s="69"/>
      <c r="FOD20" s="69"/>
      <c r="FOE20" s="69"/>
      <c r="FOF20" s="69"/>
      <c r="FOG20" s="69"/>
      <c r="FOH20" s="69"/>
      <c r="FOI20" s="69"/>
      <c r="FOJ20" s="69"/>
      <c r="FOK20" s="69"/>
      <c r="FOL20" s="69"/>
      <c r="FOM20" s="69"/>
      <c r="FON20" s="69"/>
      <c r="FOO20" s="69"/>
      <c r="FOP20" s="69"/>
      <c r="FOQ20" s="69"/>
      <c r="FOR20" s="69"/>
      <c r="FOS20" s="69"/>
      <c r="FOT20" s="69"/>
      <c r="FOU20" s="69"/>
      <c r="FOV20" s="69"/>
      <c r="FOW20" s="69"/>
      <c r="FOX20" s="69"/>
      <c r="FOY20" s="69"/>
      <c r="FOZ20" s="69"/>
      <c r="FPA20" s="69"/>
      <c r="FPB20" s="69"/>
      <c r="FPC20" s="69"/>
      <c r="FPD20" s="69"/>
      <c r="FPE20" s="69"/>
      <c r="FPF20" s="69"/>
      <c r="FPG20" s="69"/>
      <c r="FPH20" s="69"/>
      <c r="FPI20" s="69"/>
      <c r="FPJ20" s="69"/>
      <c r="FPK20" s="69"/>
      <c r="FPL20" s="69"/>
      <c r="FPM20" s="69"/>
      <c r="FPN20" s="69"/>
      <c r="FPO20" s="69"/>
      <c r="FPP20" s="69"/>
      <c r="FPQ20" s="69"/>
      <c r="FPR20" s="69"/>
      <c r="FPS20" s="69"/>
      <c r="FPT20" s="69"/>
      <c r="FPU20" s="69"/>
      <c r="FPV20" s="69"/>
      <c r="FPW20" s="69"/>
      <c r="FPX20" s="69"/>
      <c r="FPY20" s="69"/>
      <c r="FPZ20" s="69"/>
      <c r="FQA20" s="69"/>
      <c r="FQB20" s="69"/>
      <c r="FQC20" s="69"/>
      <c r="FQD20" s="69"/>
      <c r="FQE20" s="69"/>
      <c r="FQF20" s="69"/>
      <c r="FQG20" s="69"/>
      <c r="FQH20" s="69"/>
      <c r="FQI20" s="69"/>
      <c r="FQJ20" s="69"/>
      <c r="FQK20" s="69"/>
      <c r="FQL20" s="69"/>
      <c r="FQM20" s="69"/>
      <c r="FQN20" s="69"/>
      <c r="FQO20" s="69"/>
      <c r="FQP20" s="69"/>
      <c r="FQQ20" s="69"/>
      <c r="FQR20" s="69"/>
      <c r="FQS20" s="69"/>
      <c r="FQT20" s="69"/>
      <c r="FQU20" s="69"/>
      <c r="FQV20" s="69"/>
      <c r="FQW20" s="69"/>
      <c r="FQX20" s="69"/>
      <c r="FQY20" s="69"/>
      <c r="FQZ20" s="69"/>
      <c r="FRA20" s="69"/>
      <c r="FRB20" s="69"/>
      <c r="FRC20" s="69"/>
      <c r="FRD20" s="69"/>
      <c r="FRE20" s="69"/>
      <c r="FRF20" s="69"/>
      <c r="FRG20" s="69"/>
      <c r="FRH20" s="69"/>
      <c r="FRI20" s="69"/>
      <c r="FRJ20" s="69"/>
      <c r="FRK20" s="69"/>
      <c r="FRL20" s="69"/>
      <c r="FRM20" s="69"/>
      <c r="FRN20" s="69"/>
      <c r="FRO20" s="69"/>
      <c r="FRP20" s="69"/>
      <c r="FRQ20" s="69"/>
      <c r="FRR20" s="69"/>
      <c r="FRS20" s="69"/>
      <c r="FRT20" s="69"/>
      <c r="FRU20" s="69"/>
      <c r="FRV20" s="69"/>
      <c r="FRW20" s="69"/>
      <c r="FRX20" s="69"/>
      <c r="FRY20" s="69"/>
      <c r="FRZ20" s="69"/>
      <c r="FSA20" s="69"/>
      <c r="FSB20" s="69"/>
      <c r="FSC20" s="69"/>
      <c r="FSD20" s="69"/>
      <c r="FSE20" s="69"/>
      <c r="FSF20" s="69"/>
      <c r="FSG20" s="69"/>
      <c r="FSH20" s="69"/>
      <c r="FSI20" s="69"/>
      <c r="FSJ20" s="69"/>
      <c r="FSK20" s="69"/>
      <c r="FSL20" s="69"/>
      <c r="FSM20" s="69"/>
      <c r="FSN20" s="69"/>
      <c r="FSO20" s="69"/>
      <c r="FSP20" s="69"/>
      <c r="FSQ20" s="69"/>
      <c r="FSR20" s="69"/>
      <c r="FSS20" s="69"/>
      <c r="FST20" s="69"/>
      <c r="FSU20" s="69"/>
      <c r="FSV20" s="69"/>
      <c r="FSW20" s="69"/>
      <c r="FSX20" s="69"/>
      <c r="FSY20" s="69"/>
      <c r="FSZ20" s="69"/>
      <c r="FTA20" s="69"/>
      <c r="FTB20" s="69"/>
      <c r="FTC20" s="69"/>
      <c r="FTD20" s="69"/>
      <c r="FTE20" s="69"/>
      <c r="FTF20" s="69"/>
      <c r="FTG20" s="69"/>
      <c r="FTH20" s="69"/>
      <c r="FTI20" s="69"/>
      <c r="FTJ20" s="69"/>
      <c r="FTK20" s="69"/>
      <c r="FTL20" s="69"/>
      <c r="FTM20" s="69"/>
      <c r="FTN20" s="69"/>
      <c r="FTO20" s="69"/>
      <c r="FTP20" s="69"/>
      <c r="FTQ20" s="69"/>
      <c r="FTR20" s="69"/>
      <c r="FTS20" s="69"/>
      <c r="FTT20" s="69"/>
      <c r="FTU20" s="69"/>
      <c r="FTV20" s="69"/>
      <c r="FTW20" s="69"/>
      <c r="FTX20" s="69"/>
      <c r="FTY20" s="69"/>
      <c r="FTZ20" s="69"/>
      <c r="FUA20" s="69"/>
      <c r="FUB20" s="69"/>
      <c r="FUC20" s="69"/>
      <c r="FUD20" s="69"/>
      <c r="FUE20" s="69"/>
      <c r="FUF20" s="69"/>
      <c r="FUG20" s="69"/>
      <c r="FUH20" s="69"/>
      <c r="FUI20" s="69"/>
      <c r="FUJ20" s="69"/>
      <c r="FUK20" s="69"/>
      <c r="FUL20" s="69"/>
      <c r="FUM20" s="69"/>
      <c r="FUN20" s="69"/>
      <c r="FUO20" s="69"/>
      <c r="FUP20" s="69"/>
      <c r="FUQ20" s="69"/>
      <c r="FUR20" s="69"/>
      <c r="FUS20" s="69"/>
      <c r="FUT20" s="69"/>
      <c r="FUU20" s="69"/>
      <c r="FUV20" s="69"/>
      <c r="FUW20" s="69"/>
      <c r="FUX20" s="69"/>
      <c r="FUY20" s="69"/>
      <c r="FUZ20" s="69"/>
      <c r="FVA20" s="69"/>
      <c r="FVB20" s="69"/>
      <c r="FVC20" s="69"/>
      <c r="FVD20" s="69"/>
      <c r="FVE20" s="69"/>
      <c r="FVF20" s="69"/>
      <c r="FVG20" s="69"/>
      <c r="FVH20" s="69"/>
      <c r="FVI20" s="69"/>
      <c r="FVJ20" s="69"/>
      <c r="FVK20" s="69"/>
      <c r="FVL20" s="69"/>
      <c r="FVM20" s="69"/>
      <c r="FVN20" s="69"/>
      <c r="FVO20" s="69"/>
      <c r="FVP20" s="69"/>
      <c r="FVQ20" s="69"/>
      <c r="FVR20" s="69"/>
      <c r="FVS20" s="69"/>
      <c r="FVT20" s="69"/>
      <c r="FVU20" s="69"/>
      <c r="FVV20" s="69"/>
      <c r="FVW20" s="69"/>
      <c r="FVX20" s="69"/>
      <c r="FVY20" s="69"/>
      <c r="FVZ20" s="69"/>
      <c r="FWA20" s="69"/>
      <c r="FWB20" s="69"/>
      <c r="FWC20" s="69"/>
      <c r="FWD20" s="69"/>
      <c r="FWE20" s="69"/>
      <c r="FWF20" s="69"/>
      <c r="FWG20" s="69"/>
      <c r="FWH20" s="69"/>
      <c r="FWI20" s="69"/>
      <c r="FWJ20" s="69"/>
      <c r="FWK20" s="69"/>
      <c r="FWL20" s="69"/>
      <c r="FWM20" s="69"/>
      <c r="FWN20" s="69"/>
      <c r="FWO20" s="69"/>
      <c r="FWP20" s="69"/>
      <c r="FWQ20" s="69"/>
      <c r="FWR20" s="69"/>
      <c r="FWS20" s="69"/>
      <c r="FWT20" s="69"/>
      <c r="FWU20" s="69"/>
      <c r="FWV20" s="69"/>
      <c r="FWW20" s="69"/>
      <c r="FWX20" s="69"/>
      <c r="FWY20" s="69"/>
      <c r="FWZ20" s="69"/>
      <c r="FXA20" s="69"/>
      <c r="FXB20" s="69"/>
      <c r="FXC20" s="69"/>
      <c r="FXD20" s="69"/>
      <c r="FXE20" s="69"/>
      <c r="FXF20" s="69"/>
      <c r="FXG20" s="69"/>
      <c r="FXH20" s="69"/>
      <c r="FXI20" s="69"/>
      <c r="FXJ20" s="69"/>
      <c r="FXK20" s="69"/>
      <c r="FXL20" s="69"/>
      <c r="FXM20" s="69"/>
      <c r="FXN20" s="69"/>
      <c r="FXO20" s="69"/>
      <c r="FXP20" s="69"/>
      <c r="FXQ20" s="69"/>
      <c r="FXR20" s="69"/>
      <c r="FXS20" s="69"/>
      <c r="FXT20" s="69"/>
      <c r="FXU20" s="69"/>
      <c r="FXV20" s="69"/>
      <c r="FXW20" s="69"/>
      <c r="FXX20" s="69"/>
      <c r="FXY20" s="69"/>
      <c r="FXZ20" s="69"/>
      <c r="FYA20" s="69"/>
      <c r="FYB20" s="69"/>
      <c r="FYC20" s="69"/>
      <c r="FYD20" s="69"/>
      <c r="FYE20" s="69"/>
      <c r="FYF20" s="69"/>
      <c r="FYG20" s="69"/>
      <c r="FYH20" s="69"/>
      <c r="FYI20" s="69"/>
      <c r="FYJ20" s="69"/>
      <c r="FYK20" s="69"/>
      <c r="FYL20" s="69"/>
      <c r="FYM20" s="69"/>
      <c r="FYN20" s="69"/>
      <c r="FYO20" s="69"/>
      <c r="FYP20" s="69"/>
      <c r="FYQ20" s="69"/>
      <c r="FYR20" s="69"/>
      <c r="FYS20" s="69"/>
      <c r="FYT20" s="69"/>
      <c r="FYU20" s="69"/>
      <c r="FYV20" s="69"/>
      <c r="FYW20" s="69"/>
      <c r="FYX20" s="69"/>
      <c r="FYY20" s="69"/>
      <c r="FYZ20" s="69"/>
      <c r="FZA20" s="69"/>
      <c r="FZB20" s="69"/>
      <c r="FZC20" s="69"/>
      <c r="FZD20" s="69"/>
      <c r="FZE20" s="69"/>
      <c r="FZF20" s="69"/>
      <c r="FZG20" s="69"/>
      <c r="FZH20" s="69"/>
      <c r="FZI20" s="69"/>
      <c r="FZJ20" s="69"/>
      <c r="FZK20" s="69"/>
      <c r="FZL20" s="69"/>
      <c r="FZM20" s="69"/>
      <c r="FZN20" s="69"/>
      <c r="FZO20" s="69"/>
      <c r="FZP20" s="69"/>
      <c r="FZQ20" s="69"/>
      <c r="FZR20" s="69"/>
      <c r="FZS20" s="69"/>
      <c r="FZT20" s="69"/>
      <c r="FZU20" s="69"/>
      <c r="FZV20" s="69"/>
      <c r="FZW20" s="69"/>
      <c r="FZX20" s="69"/>
      <c r="FZY20" s="69"/>
      <c r="FZZ20" s="69"/>
      <c r="GAA20" s="69"/>
      <c r="GAB20" s="69"/>
      <c r="GAC20" s="69"/>
      <c r="GAD20" s="69"/>
      <c r="GAE20" s="69"/>
      <c r="GAF20" s="69"/>
      <c r="GAG20" s="69"/>
      <c r="GAH20" s="69"/>
      <c r="GAI20" s="69"/>
      <c r="GAJ20" s="69"/>
      <c r="GAK20" s="69"/>
      <c r="GAL20" s="69"/>
      <c r="GAM20" s="69"/>
      <c r="GAN20" s="69"/>
      <c r="GAO20" s="69"/>
      <c r="GAP20" s="69"/>
      <c r="GAQ20" s="69"/>
      <c r="GAR20" s="69"/>
      <c r="GAS20" s="69"/>
      <c r="GAT20" s="69"/>
      <c r="GAU20" s="69"/>
      <c r="GAV20" s="69"/>
      <c r="GAW20" s="69"/>
      <c r="GAX20" s="69"/>
      <c r="GAY20" s="69"/>
      <c r="GAZ20" s="69"/>
      <c r="GBA20" s="69"/>
      <c r="GBB20" s="69"/>
      <c r="GBC20" s="69"/>
      <c r="GBD20" s="69"/>
      <c r="GBE20" s="69"/>
      <c r="GBF20" s="69"/>
      <c r="GBG20" s="69"/>
      <c r="GBH20" s="69"/>
      <c r="GBI20" s="69"/>
      <c r="GBJ20" s="69"/>
      <c r="GBK20" s="69"/>
      <c r="GBL20" s="69"/>
      <c r="GBM20" s="69"/>
      <c r="GBN20" s="69"/>
      <c r="GBO20" s="69"/>
      <c r="GBP20" s="69"/>
      <c r="GBQ20" s="69"/>
      <c r="GBR20" s="69"/>
      <c r="GBS20" s="69"/>
      <c r="GBT20" s="69"/>
      <c r="GBU20" s="69"/>
      <c r="GBV20" s="69"/>
      <c r="GBW20" s="69"/>
      <c r="GBX20" s="69"/>
      <c r="GBY20" s="69"/>
      <c r="GBZ20" s="69"/>
      <c r="GCA20" s="69"/>
      <c r="GCB20" s="69"/>
      <c r="GCC20" s="69"/>
      <c r="GCD20" s="69"/>
      <c r="GCE20" s="69"/>
      <c r="GCF20" s="69"/>
      <c r="GCG20" s="69"/>
      <c r="GCH20" s="69"/>
      <c r="GCI20" s="69"/>
      <c r="GCJ20" s="69"/>
      <c r="GCK20" s="69"/>
      <c r="GCL20" s="69"/>
      <c r="GCM20" s="69"/>
      <c r="GCN20" s="69"/>
      <c r="GCO20" s="69"/>
      <c r="GCP20" s="69"/>
      <c r="GCQ20" s="69"/>
      <c r="GCR20" s="69"/>
      <c r="GCS20" s="69"/>
      <c r="GCT20" s="69"/>
      <c r="GCU20" s="69"/>
      <c r="GCV20" s="69"/>
      <c r="GCW20" s="69"/>
      <c r="GCX20" s="69"/>
      <c r="GCY20" s="69"/>
      <c r="GCZ20" s="69"/>
      <c r="GDA20" s="69"/>
      <c r="GDB20" s="69"/>
      <c r="GDC20" s="69"/>
      <c r="GDD20" s="69"/>
      <c r="GDE20" s="69"/>
      <c r="GDF20" s="69"/>
      <c r="GDG20" s="69"/>
      <c r="GDH20" s="69"/>
      <c r="GDI20" s="69"/>
      <c r="GDJ20" s="69"/>
      <c r="GDK20" s="69"/>
      <c r="GDL20" s="69"/>
      <c r="GDM20" s="69"/>
      <c r="GDN20" s="69"/>
      <c r="GDO20" s="69"/>
      <c r="GDP20" s="69"/>
      <c r="GDQ20" s="69"/>
      <c r="GDR20" s="69"/>
      <c r="GDS20" s="69"/>
      <c r="GDT20" s="69"/>
      <c r="GDU20" s="69"/>
      <c r="GDV20" s="69"/>
      <c r="GDW20" s="69"/>
      <c r="GDX20" s="69"/>
      <c r="GDY20" s="69"/>
      <c r="GDZ20" s="69"/>
      <c r="GEA20" s="69"/>
      <c r="GEB20" s="69"/>
      <c r="GEC20" s="69"/>
      <c r="GED20" s="69"/>
      <c r="GEE20" s="69"/>
      <c r="GEF20" s="69"/>
      <c r="GEG20" s="69"/>
      <c r="GEH20" s="69"/>
      <c r="GEI20" s="69"/>
      <c r="GEJ20" s="69"/>
      <c r="GEK20" s="69"/>
      <c r="GEL20" s="69"/>
      <c r="GEM20" s="69"/>
      <c r="GEN20" s="69"/>
      <c r="GEO20" s="69"/>
      <c r="GEP20" s="69"/>
      <c r="GEQ20" s="69"/>
      <c r="GER20" s="69"/>
      <c r="GES20" s="69"/>
      <c r="GET20" s="69"/>
      <c r="GEU20" s="69"/>
      <c r="GEV20" s="69"/>
      <c r="GEW20" s="69"/>
      <c r="GEX20" s="69"/>
      <c r="GEY20" s="69"/>
      <c r="GEZ20" s="69"/>
      <c r="GFA20" s="69"/>
      <c r="GFB20" s="69"/>
      <c r="GFC20" s="69"/>
      <c r="GFD20" s="69"/>
      <c r="GFE20" s="69"/>
      <c r="GFF20" s="69"/>
      <c r="GFG20" s="69"/>
      <c r="GFH20" s="69"/>
      <c r="GFI20" s="69"/>
      <c r="GFJ20" s="69"/>
      <c r="GFK20" s="69"/>
      <c r="GFL20" s="69"/>
      <c r="GFM20" s="69"/>
      <c r="GFN20" s="69"/>
      <c r="GFO20" s="69"/>
      <c r="GFP20" s="69"/>
      <c r="GFQ20" s="69"/>
      <c r="GFR20" s="69"/>
      <c r="GFS20" s="69"/>
      <c r="GFT20" s="69"/>
      <c r="GFU20" s="69"/>
      <c r="GFV20" s="69"/>
      <c r="GFW20" s="69"/>
      <c r="GFX20" s="69"/>
      <c r="GFY20" s="69"/>
      <c r="GFZ20" s="69"/>
      <c r="GGA20" s="69"/>
      <c r="GGB20" s="69"/>
      <c r="GGC20" s="69"/>
      <c r="GGD20" s="69"/>
      <c r="GGE20" s="69"/>
      <c r="GGF20" s="69"/>
      <c r="GGG20" s="69"/>
      <c r="GGH20" s="69"/>
      <c r="GGI20" s="69"/>
      <c r="GGJ20" s="69"/>
      <c r="GGK20" s="69"/>
      <c r="GGL20" s="69"/>
      <c r="GGM20" s="69"/>
      <c r="GGN20" s="69"/>
      <c r="GGO20" s="69"/>
      <c r="GGP20" s="69"/>
      <c r="GGQ20" s="69"/>
      <c r="GGR20" s="69"/>
      <c r="GGS20" s="69"/>
      <c r="GGT20" s="69"/>
      <c r="GGU20" s="69"/>
      <c r="GGV20" s="69"/>
      <c r="GGW20" s="69"/>
      <c r="GGX20" s="69"/>
      <c r="GGY20" s="69"/>
      <c r="GGZ20" s="69"/>
      <c r="GHA20" s="69"/>
      <c r="GHB20" s="69"/>
      <c r="GHC20" s="69"/>
      <c r="GHD20" s="69"/>
      <c r="GHE20" s="69"/>
      <c r="GHF20" s="69"/>
      <c r="GHG20" s="69"/>
      <c r="GHH20" s="69"/>
      <c r="GHI20" s="69"/>
      <c r="GHJ20" s="69"/>
      <c r="GHK20" s="69"/>
      <c r="GHL20" s="69"/>
      <c r="GHM20" s="69"/>
      <c r="GHN20" s="69"/>
      <c r="GHO20" s="69"/>
      <c r="GHP20" s="69"/>
      <c r="GHQ20" s="69"/>
      <c r="GHR20" s="69"/>
      <c r="GHS20" s="69"/>
      <c r="GHT20" s="69"/>
      <c r="GHU20" s="69"/>
      <c r="GHV20" s="69"/>
      <c r="GHW20" s="69"/>
      <c r="GHX20" s="69"/>
      <c r="GHY20" s="69"/>
      <c r="GHZ20" s="69"/>
      <c r="GIA20" s="69"/>
      <c r="GIB20" s="69"/>
      <c r="GIC20" s="69"/>
      <c r="GID20" s="69"/>
      <c r="GIE20" s="69"/>
      <c r="GIF20" s="69"/>
      <c r="GIG20" s="69"/>
      <c r="GIH20" s="69"/>
      <c r="GII20" s="69"/>
      <c r="GIJ20" s="69"/>
      <c r="GIK20" s="69"/>
      <c r="GIL20" s="69"/>
      <c r="GIM20" s="69"/>
      <c r="GIN20" s="69"/>
      <c r="GIO20" s="69"/>
      <c r="GIP20" s="69"/>
      <c r="GIQ20" s="69"/>
      <c r="GIR20" s="69"/>
      <c r="GIS20" s="69"/>
      <c r="GIT20" s="69"/>
      <c r="GIU20" s="69"/>
      <c r="GIV20" s="69"/>
      <c r="GIW20" s="69"/>
      <c r="GIX20" s="69"/>
      <c r="GIY20" s="69"/>
      <c r="GIZ20" s="69"/>
      <c r="GJA20" s="69"/>
      <c r="GJB20" s="69"/>
      <c r="GJC20" s="69"/>
      <c r="GJD20" s="69"/>
      <c r="GJE20" s="69"/>
      <c r="GJF20" s="69"/>
      <c r="GJG20" s="69"/>
      <c r="GJH20" s="69"/>
      <c r="GJI20" s="69"/>
      <c r="GJJ20" s="69"/>
      <c r="GJK20" s="69"/>
      <c r="GJL20" s="69"/>
      <c r="GJM20" s="69"/>
      <c r="GJN20" s="69"/>
      <c r="GJO20" s="69"/>
      <c r="GJP20" s="69"/>
      <c r="GJQ20" s="69"/>
      <c r="GJR20" s="69"/>
      <c r="GJS20" s="69"/>
      <c r="GJT20" s="69"/>
      <c r="GJU20" s="69"/>
      <c r="GJV20" s="69"/>
      <c r="GJW20" s="69"/>
      <c r="GJX20" s="69"/>
      <c r="GJY20" s="69"/>
      <c r="GJZ20" s="69"/>
      <c r="GKA20" s="69"/>
      <c r="GKB20" s="69"/>
      <c r="GKC20" s="69"/>
      <c r="GKD20" s="69"/>
      <c r="GKE20" s="69"/>
      <c r="GKF20" s="69"/>
      <c r="GKG20" s="69"/>
      <c r="GKH20" s="69"/>
      <c r="GKI20" s="69"/>
      <c r="GKJ20" s="69"/>
      <c r="GKK20" s="69"/>
      <c r="GKL20" s="69"/>
      <c r="GKM20" s="69"/>
      <c r="GKN20" s="69"/>
      <c r="GKO20" s="69"/>
      <c r="GKP20" s="69"/>
      <c r="GKQ20" s="69"/>
      <c r="GKR20" s="69"/>
      <c r="GKS20" s="69"/>
      <c r="GKT20" s="69"/>
      <c r="GKU20" s="69"/>
      <c r="GKV20" s="69"/>
      <c r="GKW20" s="69"/>
      <c r="GKX20" s="69"/>
      <c r="GKY20" s="69"/>
      <c r="GKZ20" s="69"/>
      <c r="GLA20" s="69"/>
      <c r="GLB20" s="69"/>
      <c r="GLC20" s="69"/>
      <c r="GLD20" s="69"/>
      <c r="GLE20" s="69"/>
      <c r="GLF20" s="69"/>
      <c r="GLG20" s="69"/>
      <c r="GLH20" s="69"/>
      <c r="GLI20" s="69"/>
      <c r="GLJ20" s="69"/>
      <c r="GLK20" s="69"/>
      <c r="GLL20" s="69"/>
      <c r="GLM20" s="69"/>
      <c r="GLN20" s="69"/>
      <c r="GLO20" s="69"/>
      <c r="GLP20" s="69"/>
      <c r="GLQ20" s="69"/>
      <c r="GLR20" s="69"/>
      <c r="GLS20" s="69"/>
      <c r="GLT20" s="69"/>
      <c r="GLU20" s="69"/>
      <c r="GLV20" s="69"/>
      <c r="GLW20" s="69"/>
      <c r="GLX20" s="69"/>
      <c r="GLY20" s="69"/>
      <c r="GLZ20" s="69"/>
      <c r="GMA20" s="69"/>
      <c r="GMB20" s="69"/>
      <c r="GMC20" s="69"/>
      <c r="GMD20" s="69"/>
      <c r="GME20" s="69"/>
      <c r="GMF20" s="69"/>
      <c r="GMG20" s="69"/>
      <c r="GMH20" s="69"/>
      <c r="GMI20" s="69"/>
      <c r="GMJ20" s="69"/>
      <c r="GMK20" s="69"/>
      <c r="GML20" s="69"/>
      <c r="GMM20" s="69"/>
      <c r="GMN20" s="69"/>
      <c r="GMO20" s="69"/>
      <c r="GMP20" s="69"/>
      <c r="GMQ20" s="69"/>
      <c r="GMR20" s="69"/>
      <c r="GMS20" s="69"/>
      <c r="GMT20" s="69"/>
      <c r="GMU20" s="69"/>
      <c r="GMV20" s="69"/>
      <c r="GMW20" s="69"/>
      <c r="GMX20" s="69"/>
      <c r="GMY20" s="69"/>
      <c r="GMZ20" s="69"/>
      <c r="GNA20" s="69"/>
      <c r="GNB20" s="69"/>
      <c r="GNC20" s="69"/>
      <c r="GND20" s="69"/>
      <c r="GNE20" s="69"/>
      <c r="GNF20" s="69"/>
      <c r="GNG20" s="69"/>
      <c r="GNH20" s="69"/>
      <c r="GNI20" s="69"/>
      <c r="GNJ20" s="69"/>
      <c r="GNK20" s="69"/>
      <c r="GNL20" s="69"/>
      <c r="GNM20" s="69"/>
      <c r="GNN20" s="69"/>
      <c r="GNO20" s="69"/>
      <c r="GNP20" s="69"/>
      <c r="GNQ20" s="69"/>
      <c r="GNR20" s="69"/>
      <c r="GNS20" s="69"/>
      <c r="GNT20" s="69"/>
      <c r="GNU20" s="69"/>
      <c r="GNV20" s="69"/>
      <c r="GNW20" s="69"/>
      <c r="GNX20" s="69"/>
      <c r="GNY20" s="69"/>
      <c r="GNZ20" s="69"/>
      <c r="GOA20" s="69"/>
      <c r="GOB20" s="69"/>
      <c r="GOC20" s="69"/>
      <c r="GOD20" s="69"/>
      <c r="GOE20" s="69"/>
      <c r="GOF20" s="69"/>
      <c r="GOG20" s="69"/>
      <c r="GOH20" s="69"/>
      <c r="GOI20" s="69"/>
      <c r="GOJ20" s="69"/>
      <c r="GOK20" s="69"/>
      <c r="GOL20" s="69"/>
      <c r="GOM20" s="69"/>
      <c r="GON20" s="69"/>
      <c r="GOO20" s="69"/>
      <c r="GOP20" s="69"/>
      <c r="GOQ20" s="69"/>
      <c r="GOR20" s="69"/>
      <c r="GOS20" s="69"/>
      <c r="GOT20" s="69"/>
      <c r="GOU20" s="69"/>
      <c r="GOV20" s="69"/>
      <c r="GOW20" s="69"/>
      <c r="GOX20" s="69"/>
      <c r="GOY20" s="69"/>
      <c r="GOZ20" s="69"/>
      <c r="GPA20" s="69"/>
      <c r="GPB20" s="69"/>
      <c r="GPC20" s="69"/>
      <c r="GPD20" s="69"/>
      <c r="GPE20" s="69"/>
      <c r="GPF20" s="69"/>
      <c r="GPG20" s="69"/>
      <c r="GPH20" s="69"/>
      <c r="GPI20" s="69"/>
      <c r="GPJ20" s="69"/>
      <c r="GPK20" s="69"/>
      <c r="GPL20" s="69"/>
      <c r="GPM20" s="69"/>
      <c r="GPN20" s="69"/>
      <c r="GPO20" s="69"/>
      <c r="GPP20" s="69"/>
      <c r="GPQ20" s="69"/>
      <c r="GPR20" s="69"/>
      <c r="GPS20" s="69"/>
      <c r="GPT20" s="69"/>
      <c r="GPU20" s="69"/>
      <c r="GPV20" s="69"/>
      <c r="GPW20" s="69"/>
      <c r="GPX20" s="69"/>
      <c r="GPY20" s="69"/>
      <c r="GPZ20" s="69"/>
      <c r="GQA20" s="69"/>
      <c r="GQB20" s="69"/>
      <c r="GQC20" s="69"/>
      <c r="GQD20" s="69"/>
      <c r="GQE20" s="69"/>
      <c r="GQF20" s="69"/>
      <c r="GQG20" s="69"/>
      <c r="GQH20" s="69"/>
      <c r="GQI20" s="69"/>
      <c r="GQJ20" s="69"/>
      <c r="GQK20" s="69"/>
      <c r="GQL20" s="69"/>
      <c r="GQM20" s="69"/>
      <c r="GQN20" s="69"/>
      <c r="GQO20" s="69"/>
      <c r="GQP20" s="69"/>
      <c r="GQQ20" s="69"/>
      <c r="GQR20" s="69"/>
      <c r="GQS20" s="69"/>
      <c r="GQT20" s="69"/>
      <c r="GQU20" s="69"/>
      <c r="GQV20" s="69"/>
      <c r="GQW20" s="69"/>
      <c r="GQX20" s="69"/>
      <c r="GQY20" s="69"/>
      <c r="GQZ20" s="69"/>
      <c r="GRA20" s="69"/>
      <c r="GRB20" s="69"/>
      <c r="GRC20" s="69"/>
      <c r="GRD20" s="69"/>
      <c r="GRE20" s="69"/>
      <c r="GRF20" s="69"/>
      <c r="GRG20" s="69"/>
      <c r="GRH20" s="69"/>
      <c r="GRI20" s="69"/>
      <c r="GRJ20" s="69"/>
      <c r="GRK20" s="69"/>
      <c r="GRL20" s="69"/>
      <c r="GRM20" s="69"/>
      <c r="GRN20" s="69"/>
      <c r="GRO20" s="69"/>
      <c r="GRP20" s="69"/>
      <c r="GRQ20" s="69"/>
      <c r="GRR20" s="69"/>
      <c r="GRS20" s="69"/>
      <c r="GRT20" s="69"/>
      <c r="GRU20" s="69"/>
      <c r="GRV20" s="69"/>
      <c r="GRW20" s="69"/>
      <c r="GRX20" s="69"/>
      <c r="GRY20" s="69"/>
      <c r="GRZ20" s="69"/>
      <c r="GSA20" s="69"/>
      <c r="GSB20" s="69"/>
      <c r="GSC20" s="69"/>
      <c r="GSD20" s="69"/>
      <c r="GSE20" s="69"/>
      <c r="GSF20" s="69"/>
      <c r="GSG20" s="69"/>
      <c r="GSH20" s="69"/>
      <c r="GSI20" s="69"/>
      <c r="GSJ20" s="69"/>
      <c r="GSK20" s="69"/>
      <c r="GSL20" s="69"/>
      <c r="GSM20" s="69"/>
      <c r="GSN20" s="69"/>
      <c r="GSO20" s="69"/>
      <c r="GSP20" s="69"/>
      <c r="GSQ20" s="69"/>
      <c r="GSR20" s="69"/>
      <c r="GSS20" s="69"/>
      <c r="GST20" s="69"/>
      <c r="GSU20" s="69"/>
      <c r="GSV20" s="69"/>
      <c r="GSW20" s="69"/>
      <c r="GSX20" s="69"/>
      <c r="GSY20" s="69"/>
      <c r="GSZ20" s="69"/>
      <c r="GTA20" s="69"/>
      <c r="GTB20" s="69"/>
      <c r="GTC20" s="69"/>
      <c r="GTD20" s="69"/>
      <c r="GTE20" s="69"/>
      <c r="GTF20" s="69"/>
      <c r="GTG20" s="69"/>
      <c r="GTH20" s="69"/>
      <c r="GTI20" s="69"/>
      <c r="GTJ20" s="69"/>
      <c r="GTK20" s="69"/>
      <c r="GTL20" s="69"/>
      <c r="GTM20" s="69"/>
      <c r="GTN20" s="69"/>
      <c r="GTO20" s="69"/>
      <c r="GTP20" s="69"/>
      <c r="GTQ20" s="69"/>
      <c r="GTR20" s="69"/>
      <c r="GTS20" s="69"/>
      <c r="GTT20" s="69"/>
      <c r="GTU20" s="69"/>
      <c r="GTV20" s="69"/>
      <c r="GTW20" s="69"/>
      <c r="GTX20" s="69"/>
      <c r="GTY20" s="69"/>
      <c r="GTZ20" s="69"/>
      <c r="GUA20" s="69"/>
      <c r="GUB20" s="69"/>
      <c r="GUC20" s="69"/>
      <c r="GUD20" s="69"/>
      <c r="GUE20" s="69"/>
      <c r="GUF20" s="69"/>
      <c r="GUG20" s="69"/>
      <c r="GUH20" s="69"/>
      <c r="GUI20" s="69"/>
      <c r="GUJ20" s="69"/>
      <c r="GUK20" s="69"/>
      <c r="GUL20" s="69"/>
      <c r="GUM20" s="69"/>
      <c r="GUN20" s="69"/>
      <c r="GUO20" s="69"/>
      <c r="GUP20" s="69"/>
      <c r="GUQ20" s="69"/>
      <c r="GUR20" s="69"/>
      <c r="GUS20" s="69"/>
      <c r="GUT20" s="69"/>
      <c r="GUU20" s="69"/>
      <c r="GUV20" s="69"/>
      <c r="GUW20" s="69"/>
      <c r="GUX20" s="69"/>
      <c r="GUY20" s="69"/>
      <c r="GUZ20" s="69"/>
      <c r="GVA20" s="69"/>
      <c r="GVB20" s="69"/>
      <c r="GVC20" s="69"/>
      <c r="GVD20" s="69"/>
      <c r="GVE20" s="69"/>
      <c r="GVF20" s="69"/>
      <c r="GVG20" s="69"/>
      <c r="GVH20" s="69"/>
      <c r="GVI20" s="69"/>
      <c r="GVJ20" s="69"/>
      <c r="GVK20" s="69"/>
      <c r="GVL20" s="69"/>
      <c r="GVM20" s="69"/>
      <c r="GVN20" s="69"/>
      <c r="GVO20" s="69"/>
      <c r="GVP20" s="69"/>
      <c r="GVQ20" s="69"/>
      <c r="GVR20" s="69"/>
      <c r="GVS20" s="69"/>
      <c r="GVT20" s="69"/>
      <c r="GVU20" s="69"/>
      <c r="GVV20" s="69"/>
      <c r="GVW20" s="69"/>
      <c r="GVX20" s="69"/>
      <c r="GVY20" s="69"/>
      <c r="GVZ20" s="69"/>
      <c r="GWA20" s="69"/>
      <c r="GWB20" s="69"/>
      <c r="GWC20" s="69"/>
      <c r="GWD20" s="69"/>
      <c r="GWE20" s="69"/>
      <c r="GWF20" s="69"/>
      <c r="GWG20" s="69"/>
      <c r="GWH20" s="69"/>
      <c r="GWI20" s="69"/>
      <c r="GWJ20" s="69"/>
      <c r="GWK20" s="69"/>
      <c r="GWL20" s="69"/>
      <c r="GWM20" s="69"/>
      <c r="GWN20" s="69"/>
      <c r="GWO20" s="69"/>
      <c r="GWP20" s="69"/>
      <c r="GWQ20" s="69"/>
      <c r="GWR20" s="69"/>
      <c r="GWS20" s="69"/>
      <c r="GWT20" s="69"/>
      <c r="GWU20" s="69"/>
      <c r="GWV20" s="69"/>
      <c r="GWW20" s="69"/>
      <c r="GWX20" s="69"/>
      <c r="GWY20" s="69"/>
      <c r="GWZ20" s="69"/>
      <c r="GXA20" s="69"/>
      <c r="GXB20" s="69"/>
      <c r="GXC20" s="69"/>
      <c r="GXD20" s="69"/>
      <c r="GXE20" s="69"/>
      <c r="GXF20" s="69"/>
      <c r="GXG20" s="69"/>
      <c r="GXH20" s="69"/>
      <c r="GXI20" s="69"/>
      <c r="GXJ20" s="69"/>
      <c r="GXK20" s="69"/>
      <c r="GXL20" s="69"/>
      <c r="GXM20" s="69"/>
      <c r="GXN20" s="69"/>
      <c r="GXO20" s="69"/>
      <c r="GXP20" s="69"/>
      <c r="GXQ20" s="69"/>
      <c r="GXR20" s="69"/>
      <c r="GXS20" s="69"/>
      <c r="GXT20" s="69"/>
      <c r="GXU20" s="69"/>
      <c r="GXV20" s="69"/>
      <c r="GXW20" s="69"/>
      <c r="GXX20" s="69"/>
      <c r="GXY20" s="69"/>
      <c r="GXZ20" s="69"/>
      <c r="GYA20" s="69"/>
      <c r="GYB20" s="69"/>
      <c r="GYC20" s="69"/>
      <c r="GYD20" s="69"/>
      <c r="GYE20" s="69"/>
      <c r="GYF20" s="69"/>
      <c r="GYG20" s="69"/>
      <c r="GYH20" s="69"/>
      <c r="GYI20" s="69"/>
      <c r="GYJ20" s="69"/>
      <c r="GYK20" s="69"/>
      <c r="GYL20" s="69"/>
      <c r="GYM20" s="69"/>
      <c r="GYN20" s="69"/>
      <c r="GYO20" s="69"/>
      <c r="GYP20" s="69"/>
      <c r="GYQ20" s="69"/>
      <c r="GYR20" s="69"/>
      <c r="GYS20" s="69"/>
      <c r="GYT20" s="69"/>
      <c r="GYU20" s="69"/>
      <c r="GYV20" s="69"/>
      <c r="GYW20" s="69"/>
      <c r="GYX20" s="69"/>
      <c r="GYY20" s="69"/>
      <c r="GYZ20" s="69"/>
      <c r="GZA20" s="69"/>
      <c r="GZB20" s="69"/>
      <c r="GZC20" s="69"/>
      <c r="GZD20" s="69"/>
      <c r="GZE20" s="69"/>
      <c r="GZF20" s="69"/>
      <c r="GZG20" s="69"/>
      <c r="GZH20" s="69"/>
      <c r="GZI20" s="69"/>
      <c r="GZJ20" s="69"/>
      <c r="GZK20" s="69"/>
      <c r="GZL20" s="69"/>
      <c r="GZM20" s="69"/>
      <c r="GZN20" s="69"/>
      <c r="GZO20" s="69"/>
      <c r="GZP20" s="69"/>
      <c r="GZQ20" s="69"/>
      <c r="GZR20" s="69"/>
      <c r="GZS20" s="69"/>
      <c r="GZT20" s="69"/>
      <c r="GZU20" s="69"/>
      <c r="GZV20" s="69"/>
      <c r="GZW20" s="69"/>
      <c r="GZX20" s="69"/>
      <c r="GZY20" s="69"/>
      <c r="GZZ20" s="69"/>
      <c r="HAA20" s="69"/>
      <c r="HAB20" s="69"/>
      <c r="HAC20" s="69"/>
      <c r="HAD20" s="69"/>
      <c r="HAE20" s="69"/>
      <c r="HAF20" s="69"/>
      <c r="HAG20" s="69"/>
      <c r="HAH20" s="69"/>
      <c r="HAI20" s="69"/>
      <c r="HAJ20" s="69"/>
      <c r="HAK20" s="69"/>
      <c r="HAL20" s="69"/>
      <c r="HAM20" s="69"/>
      <c r="HAN20" s="69"/>
      <c r="HAO20" s="69"/>
      <c r="HAP20" s="69"/>
      <c r="HAQ20" s="69"/>
      <c r="HAR20" s="69"/>
      <c r="HAS20" s="69"/>
      <c r="HAT20" s="69"/>
      <c r="HAU20" s="69"/>
      <c r="HAV20" s="69"/>
      <c r="HAW20" s="69"/>
      <c r="HAX20" s="69"/>
      <c r="HAY20" s="69"/>
      <c r="HAZ20" s="69"/>
      <c r="HBA20" s="69"/>
      <c r="HBB20" s="69"/>
      <c r="HBC20" s="69"/>
      <c r="HBD20" s="69"/>
      <c r="HBE20" s="69"/>
      <c r="HBF20" s="69"/>
      <c r="HBG20" s="69"/>
      <c r="HBH20" s="69"/>
      <c r="HBI20" s="69"/>
      <c r="HBJ20" s="69"/>
      <c r="HBK20" s="69"/>
      <c r="HBL20" s="69"/>
      <c r="HBM20" s="69"/>
      <c r="HBN20" s="69"/>
      <c r="HBO20" s="69"/>
      <c r="HBP20" s="69"/>
      <c r="HBQ20" s="69"/>
      <c r="HBR20" s="69"/>
      <c r="HBS20" s="69"/>
      <c r="HBT20" s="69"/>
      <c r="HBU20" s="69"/>
      <c r="HBV20" s="69"/>
      <c r="HBW20" s="69"/>
      <c r="HBX20" s="69"/>
      <c r="HBY20" s="69"/>
      <c r="HBZ20" s="69"/>
      <c r="HCA20" s="69"/>
      <c r="HCB20" s="69"/>
      <c r="HCC20" s="69"/>
      <c r="HCD20" s="69"/>
      <c r="HCE20" s="69"/>
      <c r="HCF20" s="69"/>
      <c r="HCG20" s="69"/>
      <c r="HCH20" s="69"/>
      <c r="HCI20" s="69"/>
      <c r="HCJ20" s="69"/>
      <c r="HCK20" s="69"/>
      <c r="HCL20" s="69"/>
      <c r="HCM20" s="69"/>
      <c r="HCN20" s="69"/>
      <c r="HCO20" s="69"/>
      <c r="HCP20" s="69"/>
      <c r="HCQ20" s="69"/>
      <c r="HCR20" s="69"/>
      <c r="HCS20" s="69"/>
      <c r="HCT20" s="69"/>
      <c r="HCU20" s="69"/>
      <c r="HCV20" s="69"/>
      <c r="HCW20" s="69"/>
      <c r="HCX20" s="69"/>
      <c r="HCY20" s="69"/>
      <c r="HCZ20" s="69"/>
      <c r="HDA20" s="69"/>
      <c r="HDB20" s="69"/>
      <c r="HDC20" s="69"/>
      <c r="HDD20" s="69"/>
      <c r="HDE20" s="69"/>
      <c r="HDF20" s="69"/>
      <c r="HDG20" s="69"/>
      <c r="HDH20" s="69"/>
      <c r="HDI20" s="69"/>
      <c r="HDJ20" s="69"/>
      <c r="HDK20" s="69"/>
      <c r="HDL20" s="69"/>
      <c r="HDM20" s="69"/>
      <c r="HDN20" s="69"/>
      <c r="HDO20" s="69"/>
      <c r="HDP20" s="69"/>
      <c r="HDQ20" s="69"/>
      <c r="HDR20" s="69"/>
      <c r="HDS20" s="69"/>
      <c r="HDT20" s="69"/>
      <c r="HDU20" s="69"/>
      <c r="HDV20" s="69"/>
      <c r="HDW20" s="69"/>
      <c r="HDX20" s="69"/>
      <c r="HDY20" s="69"/>
      <c r="HDZ20" s="69"/>
      <c r="HEA20" s="69"/>
      <c r="HEB20" s="69"/>
      <c r="HEC20" s="69"/>
      <c r="HED20" s="69"/>
      <c r="HEE20" s="69"/>
      <c r="HEF20" s="69"/>
      <c r="HEG20" s="69"/>
      <c r="HEH20" s="69"/>
      <c r="HEI20" s="69"/>
      <c r="HEJ20" s="69"/>
      <c r="HEK20" s="69"/>
      <c r="HEL20" s="69"/>
      <c r="HEM20" s="69"/>
      <c r="HEN20" s="69"/>
      <c r="HEO20" s="69"/>
      <c r="HEP20" s="69"/>
      <c r="HEQ20" s="69"/>
      <c r="HER20" s="69"/>
      <c r="HES20" s="69"/>
      <c r="HET20" s="69"/>
      <c r="HEU20" s="69"/>
      <c r="HEV20" s="69"/>
      <c r="HEW20" s="69"/>
      <c r="HEX20" s="69"/>
      <c r="HEY20" s="69"/>
      <c r="HEZ20" s="69"/>
      <c r="HFA20" s="69"/>
      <c r="HFB20" s="69"/>
      <c r="HFC20" s="69"/>
      <c r="HFD20" s="69"/>
      <c r="HFE20" s="69"/>
      <c r="HFF20" s="69"/>
      <c r="HFG20" s="69"/>
      <c r="HFH20" s="69"/>
      <c r="HFI20" s="69"/>
      <c r="HFJ20" s="69"/>
      <c r="HFK20" s="69"/>
      <c r="HFL20" s="69"/>
      <c r="HFM20" s="69"/>
      <c r="HFN20" s="69"/>
      <c r="HFO20" s="69"/>
      <c r="HFP20" s="69"/>
      <c r="HFQ20" s="69"/>
      <c r="HFR20" s="69"/>
      <c r="HFS20" s="69"/>
      <c r="HFT20" s="69"/>
      <c r="HFU20" s="69"/>
      <c r="HFV20" s="69"/>
      <c r="HFW20" s="69"/>
      <c r="HFX20" s="69"/>
      <c r="HFY20" s="69"/>
      <c r="HFZ20" s="69"/>
      <c r="HGA20" s="69"/>
      <c r="HGB20" s="69"/>
      <c r="HGC20" s="69"/>
      <c r="HGD20" s="69"/>
      <c r="HGE20" s="69"/>
      <c r="HGF20" s="69"/>
      <c r="HGG20" s="69"/>
      <c r="HGH20" s="69"/>
      <c r="HGI20" s="69"/>
      <c r="HGJ20" s="69"/>
      <c r="HGK20" s="69"/>
      <c r="HGL20" s="69"/>
      <c r="HGM20" s="69"/>
      <c r="HGN20" s="69"/>
      <c r="HGO20" s="69"/>
      <c r="HGP20" s="69"/>
      <c r="HGQ20" s="69"/>
      <c r="HGR20" s="69"/>
      <c r="HGS20" s="69"/>
      <c r="HGT20" s="69"/>
      <c r="HGU20" s="69"/>
      <c r="HGV20" s="69"/>
      <c r="HGW20" s="69"/>
      <c r="HGX20" s="69"/>
      <c r="HGY20" s="69"/>
      <c r="HGZ20" s="69"/>
      <c r="HHA20" s="69"/>
      <c r="HHB20" s="69"/>
      <c r="HHC20" s="69"/>
      <c r="HHD20" s="69"/>
      <c r="HHE20" s="69"/>
      <c r="HHF20" s="69"/>
      <c r="HHG20" s="69"/>
      <c r="HHH20" s="69"/>
      <c r="HHI20" s="69"/>
      <c r="HHJ20" s="69"/>
      <c r="HHK20" s="69"/>
      <c r="HHL20" s="69"/>
      <c r="HHM20" s="69"/>
      <c r="HHN20" s="69"/>
      <c r="HHO20" s="69"/>
      <c r="HHP20" s="69"/>
      <c r="HHQ20" s="69"/>
      <c r="HHR20" s="69"/>
      <c r="HHS20" s="69"/>
      <c r="HHT20" s="69"/>
      <c r="HHU20" s="69"/>
      <c r="HHV20" s="69"/>
      <c r="HHW20" s="69"/>
      <c r="HHX20" s="69"/>
      <c r="HHY20" s="69"/>
      <c r="HHZ20" s="69"/>
      <c r="HIA20" s="69"/>
      <c r="HIB20" s="69"/>
      <c r="HIC20" s="69"/>
      <c r="HID20" s="69"/>
      <c r="HIE20" s="69"/>
      <c r="HIF20" s="69"/>
      <c r="HIG20" s="69"/>
      <c r="HIH20" s="69"/>
      <c r="HII20" s="69"/>
      <c r="HIJ20" s="69"/>
      <c r="HIK20" s="69"/>
      <c r="HIL20" s="69"/>
      <c r="HIM20" s="69"/>
      <c r="HIN20" s="69"/>
      <c r="HIO20" s="69"/>
      <c r="HIP20" s="69"/>
      <c r="HIQ20" s="69"/>
      <c r="HIR20" s="69"/>
      <c r="HIS20" s="69"/>
      <c r="HIT20" s="69"/>
      <c r="HIU20" s="69"/>
      <c r="HIV20" s="69"/>
      <c r="HIW20" s="69"/>
      <c r="HIX20" s="69"/>
      <c r="HIY20" s="69"/>
      <c r="HIZ20" s="69"/>
      <c r="HJA20" s="69"/>
      <c r="HJB20" s="69"/>
      <c r="HJC20" s="69"/>
      <c r="HJD20" s="69"/>
      <c r="HJE20" s="69"/>
      <c r="HJF20" s="69"/>
      <c r="HJG20" s="69"/>
      <c r="HJH20" s="69"/>
      <c r="HJI20" s="69"/>
      <c r="HJJ20" s="69"/>
      <c r="HJK20" s="69"/>
      <c r="HJL20" s="69"/>
      <c r="HJM20" s="69"/>
      <c r="HJN20" s="69"/>
      <c r="HJO20" s="69"/>
      <c r="HJP20" s="69"/>
      <c r="HJQ20" s="69"/>
      <c r="HJR20" s="69"/>
      <c r="HJS20" s="69"/>
      <c r="HJT20" s="69"/>
      <c r="HJU20" s="69"/>
      <c r="HJV20" s="69"/>
      <c r="HJW20" s="69"/>
      <c r="HJX20" s="69"/>
      <c r="HJY20" s="69"/>
      <c r="HJZ20" s="69"/>
      <c r="HKA20" s="69"/>
      <c r="HKB20" s="69"/>
      <c r="HKC20" s="69"/>
      <c r="HKD20" s="69"/>
      <c r="HKE20" s="69"/>
      <c r="HKF20" s="69"/>
      <c r="HKG20" s="69"/>
      <c r="HKH20" s="69"/>
      <c r="HKI20" s="69"/>
      <c r="HKJ20" s="69"/>
      <c r="HKK20" s="69"/>
      <c r="HKL20" s="69"/>
      <c r="HKM20" s="69"/>
      <c r="HKN20" s="69"/>
      <c r="HKO20" s="69"/>
      <c r="HKP20" s="69"/>
      <c r="HKQ20" s="69"/>
      <c r="HKR20" s="69"/>
      <c r="HKS20" s="69"/>
      <c r="HKT20" s="69"/>
      <c r="HKU20" s="69"/>
      <c r="HKV20" s="69"/>
      <c r="HKW20" s="69"/>
      <c r="HKX20" s="69"/>
      <c r="HKY20" s="69"/>
      <c r="HKZ20" s="69"/>
      <c r="HLA20" s="69"/>
      <c r="HLB20" s="69"/>
      <c r="HLC20" s="69"/>
      <c r="HLD20" s="69"/>
      <c r="HLE20" s="69"/>
      <c r="HLF20" s="69"/>
      <c r="HLG20" s="69"/>
      <c r="HLH20" s="69"/>
      <c r="HLI20" s="69"/>
      <c r="HLJ20" s="69"/>
      <c r="HLK20" s="69"/>
      <c r="HLL20" s="69"/>
      <c r="HLM20" s="69"/>
      <c r="HLN20" s="69"/>
      <c r="HLO20" s="69"/>
      <c r="HLP20" s="69"/>
      <c r="HLQ20" s="69"/>
      <c r="HLR20" s="69"/>
      <c r="HLS20" s="69"/>
      <c r="HLT20" s="69"/>
      <c r="HLU20" s="69"/>
      <c r="HLV20" s="69"/>
      <c r="HLW20" s="69"/>
      <c r="HLX20" s="69"/>
      <c r="HLY20" s="69"/>
      <c r="HLZ20" s="69"/>
      <c r="HMA20" s="69"/>
      <c r="HMB20" s="69"/>
      <c r="HMC20" s="69"/>
      <c r="HMD20" s="69"/>
      <c r="HME20" s="69"/>
      <c r="HMF20" s="69"/>
      <c r="HMG20" s="69"/>
      <c r="HMH20" s="69"/>
      <c r="HMI20" s="69"/>
      <c r="HMJ20" s="69"/>
      <c r="HMK20" s="69"/>
      <c r="HML20" s="69"/>
      <c r="HMM20" s="69"/>
      <c r="HMN20" s="69"/>
      <c r="HMO20" s="69"/>
      <c r="HMP20" s="69"/>
      <c r="HMQ20" s="69"/>
      <c r="HMR20" s="69"/>
      <c r="HMS20" s="69"/>
      <c r="HMT20" s="69"/>
      <c r="HMU20" s="69"/>
      <c r="HMV20" s="69"/>
      <c r="HMW20" s="69"/>
      <c r="HMX20" s="69"/>
      <c r="HMY20" s="69"/>
      <c r="HMZ20" s="69"/>
      <c r="HNA20" s="69"/>
      <c r="HNB20" s="69"/>
      <c r="HNC20" s="69"/>
      <c r="HND20" s="69"/>
      <c r="HNE20" s="69"/>
      <c r="HNF20" s="69"/>
      <c r="HNG20" s="69"/>
      <c r="HNH20" s="69"/>
      <c r="HNI20" s="69"/>
      <c r="HNJ20" s="69"/>
      <c r="HNK20" s="69"/>
      <c r="HNL20" s="69"/>
      <c r="HNM20" s="69"/>
      <c r="HNN20" s="69"/>
      <c r="HNO20" s="69"/>
      <c r="HNP20" s="69"/>
      <c r="HNQ20" s="69"/>
      <c r="HNR20" s="69"/>
      <c r="HNS20" s="69"/>
      <c r="HNT20" s="69"/>
      <c r="HNU20" s="69"/>
      <c r="HNV20" s="69"/>
      <c r="HNW20" s="69"/>
      <c r="HNX20" s="69"/>
      <c r="HNY20" s="69"/>
      <c r="HNZ20" s="69"/>
      <c r="HOA20" s="69"/>
      <c r="HOB20" s="69"/>
      <c r="HOC20" s="69"/>
      <c r="HOD20" s="69"/>
      <c r="HOE20" s="69"/>
      <c r="HOF20" s="69"/>
      <c r="HOG20" s="69"/>
      <c r="HOH20" s="69"/>
      <c r="HOI20" s="69"/>
      <c r="HOJ20" s="69"/>
      <c r="HOK20" s="69"/>
      <c r="HOL20" s="69"/>
      <c r="HOM20" s="69"/>
      <c r="HON20" s="69"/>
      <c r="HOO20" s="69"/>
      <c r="HOP20" s="69"/>
      <c r="HOQ20" s="69"/>
      <c r="HOR20" s="69"/>
      <c r="HOS20" s="69"/>
      <c r="HOT20" s="69"/>
      <c r="HOU20" s="69"/>
      <c r="HOV20" s="69"/>
      <c r="HOW20" s="69"/>
      <c r="HOX20" s="69"/>
      <c r="HOY20" s="69"/>
      <c r="HOZ20" s="69"/>
      <c r="HPA20" s="69"/>
      <c r="HPB20" s="69"/>
      <c r="HPC20" s="69"/>
      <c r="HPD20" s="69"/>
      <c r="HPE20" s="69"/>
      <c r="HPF20" s="69"/>
      <c r="HPG20" s="69"/>
      <c r="HPH20" s="69"/>
      <c r="HPI20" s="69"/>
      <c r="HPJ20" s="69"/>
      <c r="HPK20" s="69"/>
      <c r="HPL20" s="69"/>
      <c r="HPM20" s="69"/>
      <c r="HPN20" s="69"/>
      <c r="HPO20" s="69"/>
      <c r="HPP20" s="69"/>
      <c r="HPQ20" s="69"/>
      <c r="HPR20" s="69"/>
      <c r="HPS20" s="69"/>
      <c r="HPT20" s="69"/>
      <c r="HPU20" s="69"/>
      <c r="HPV20" s="69"/>
      <c r="HPW20" s="69"/>
      <c r="HPX20" s="69"/>
      <c r="HPY20" s="69"/>
      <c r="HPZ20" s="69"/>
      <c r="HQA20" s="69"/>
      <c r="HQB20" s="69"/>
      <c r="HQC20" s="69"/>
      <c r="HQD20" s="69"/>
      <c r="HQE20" s="69"/>
      <c r="HQF20" s="69"/>
      <c r="HQG20" s="69"/>
      <c r="HQH20" s="69"/>
      <c r="HQI20" s="69"/>
      <c r="HQJ20" s="69"/>
      <c r="HQK20" s="69"/>
      <c r="HQL20" s="69"/>
      <c r="HQM20" s="69"/>
      <c r="HQN20" s="69"/>
      <c r="HQO20" s="69"/>
      <c r="HQP20" s="69"/>
      <c r="HQQ20" s="69"/>
      <c r="HQR20" s="69"/>
      <c r="HQS20" s="69"/>
      <c r="HQT20" s="69"/>
      <c r="HQU20" s="69"/>
      <c r="HQV20" s="69"/>
      <c r="HQW20" s="69"/>
      <c r="HQX20" s="69"/>
      <c r="HQY20" s="69"/>
      <c r="HQZ20" s="69"/>
      <c r="HRA20" s="69"/>
      <c r="HRB20" s="69"/>
      <c r="HRC20" s="69"/>
      <c r="HRD20" s="69"/>
      <c r="HRE20" s="69"/>
      <c r="HRF20" s="69"/>
      <c r="HRG20" s="69"/>
      <c r="HRH20" s="69"/>
      <c r="HRI20" s="69"/>
      <c r="HRJ20" s="69"/>
      <c r="HRK20" s="69"/>
      <c r="HRL20" s="69"/>
      <c r="HRM20" s="69"/>
      <c r="HRN20" s="69"/>
      <c r="HRO20" s="69"/>
      <c r="HRP20" s="69"/>
      <c r="HRQ20" s="69"/>
      <c r="HRR20" s="69"/>
      <c r="HRS20" s="69"/>
      <c r="HRT20" s="69"/>
      <c r="HRU20" s="69"/>
      <c r="HRV20" s="69"/>
      <c r="HRW20" s="69"/>
      <c r="HRX20" s="69"/>
      <c r="HRY20" s="69"/>
      <c r="HRZ20" s="69"/>
      <c r="HSA20" s="69"/>
      <c r="HSB20" s="69"/>
      <c r="HSC20" s="69"/>
      <c r="HSD20" s="69"/>
      <c r="HSE20" s="69"/>
      <c r="HSF20" s="69"/>
      <c r="HSG20" s="69"/>
      <c r="HSH20" s="69"/>
      <c r="HSI20" s="69"/>
      <c r="HSJ20" s="69"/>
      <c r="HSK20" s="69"/>
      <c r="HSL20" s="69"/>
      <c r="HSM20" s="69"/>
      <c r="HSN20" s="69"/>
      <c r="HSO20" s="69"/>
      <c r="HSP20" s="69"/>
      <c r="HSQ20" s="69"/>
      <c r="HSR20" s="69"/>
      <c r="HSS20" s="69"/>
      <c r="HST20" s="69"/>
      <c r="HSU20" s="69"/>
      <c r="HSV20" s="69"/>
      <c r="HSW20" s="69"/>
      <c r="HSX20" s="69"/>
      <c r="HSY20" s="69"/>
      <c r="HSZ20" s="69"/>
      <c r="HTA20" s="69"/>
      <c r="HTB20" s="69"/>
      <c r="HTC20" s="69"/>
      <c r="HTD20" s="69"/>
      <c r="HTE20" s="69"/>
      <c r="HTF20" s="69"/>
      <c r="HTG20" s="69"/>
      <c r="HTH20" s="69"/>
      <c r="HTI20" s="69"/>
      <c r="HTJ20" s="69"/>
      <c r="HTK20" s="69"/>
      <c r="HTL20" s="69"/>
      <c r="HTM20" s="69"/>
      <c r="HTN20" s="69"/>
      <c r="HTO20" s="69"/>
      <c r="HTP20" s="69"/>
      <c r="HTQ20" s="69"/>
      <c r="HTR20" s="69"/>
      <c r="HTS20" s="69"/>
      <c r="HTT20" s="69"/>
      <c r="HTU20" s="69"/>
      <c r="HTV20" s="69"/>
      <c r="HTW20" s="69"/>
      <c r="HTX20" s="69"/>
      <c r="HTY20" s="69"/>
      <c r="HTZ20" s="69"/>
      <c r="HUA20" s="69"/>
      <c r="HUB20" s="69"/>
      <c r="HUC20" s="69"/>
      <c r="HUD20" s="69"/>
      <c r="HUE20" s="69"/>
      <c r="HUF20" s="69"/>
      <c r="HUG20" s="69"/>
      <c r="HUH20" s="69"/>
      <c r="HUI20" s="69"/>
      <c r="HUJ20" s="69"/>
      <c r="HUK20" s="69"/>
      <c r="HUL20" s="69"/>
      <c r="HUM20" s="69"/>
      <c r="HUN20" s="69"/>
      <c r="HUO20" s="69"/>
      <c r="HUP20" s="69"/>
      <c r="HUQ20" s="69"/>
      <c r="HUR20" s="69"/>
      <c r="HUS20" s="69"/>
      <c r="HUT20" s="69"/>
      <c r="HUU20" s="69"/>
      <c r="HUV20" s="69"/>
      <c r="HUW20" s="69"/>
      <c r="HUX20" s="69"/>
      <c r="HUY20" s="69"/>
      <c r="HUZ20" s="69"/>
      <c r="HVA20" s="69"/>
      <c r="HVB20" s="69"/>
      <c r="HVC20" s="69"/>
      <c r="HVD20" s="69"/>
      <c r="HVE20" s="69"/>
      <c r="HVF20" s="69"/>
      <c r="HVG20" s="69"/>
      <c r="HVH20" s="69"/>
      <c r="HVI20" s="69"/>
      <c r="HVJ20" s="69"/>
      <c r="HVK20" s="69"/>
      <c r="HVL20" s="69"/>
      <c r="HVM20" s="69"/>
      <c r="HVN20" s="69"/>
      <c r="HVO20" s="69"/>
      <c r="HVP20" s="69"/>
      <c r="HVQ20" s="69"/>
      <c r="HVR20" s="69"/>
      <c r="HVS20" s="69"/>
      <c r="HVT20" s="69"/>
      <c r="HVU20" s="69"/>
      <c r="HVV20" s="69"/>
      <c r="HVW20" s="69"/>
      <c r="HVX20" s="69"/>
      <c r="HVY20" s="69"/>
      <c r="HVZ20" s="69"/>
      <c r="HWA20" s="69"/>
      <c r="HWB20" s="69"/>
      <c r="HWC20" s="69"/>
      <c r="HWD20" s="69"/>
      <c r="HWE20" s="69"/>
      <c r="HWF20" s="69"/>
      <c r="HWG20" s="69"/>
      <c r="HWH20" s="69"/>
      <c r="HWI20" s="69"/>
      <c r="HWJ20" s="69"/>
      <c r="HWK20" s="69"/>
      <c r="HWL20" s="69"/>
      <c r="HWM20" s="69"/>
      <c r="HWN20" s="69"/>
      <c r="HWO20" s="69"/>
      <c r="HWP20" s="69"/>
      <c r="HWQ20" s="69"/>
      <c r="HWR20" s="69"/>
      <c r="HWS20" s="69"/>
      <c r="HWT20" s="69"/>
      <c r="HWU20" s="69"/>
      <c r="HWV20" s="69"/>
      <c r="HWW20" s="69"/>
      <c r="HWX20" s="69"/>
      <c r="HWY20" s="69"/>
      <c r="HWZ20" s="69"/>
      <c r="HXA20" s="69"/>
      <c r="HXB20" s="69"/>
      <c r="HXC20" s="69"/>
      <c r="HXD20" s="69"/>
      <c r="HXE20" s="69"/>
      <c r="HXF20" s="69"/>
      <c r="HXG20" s="69"/>
      <c r="HXH20" s="69"/>
      <c r="HXI20" s="69"/>
      <c r="HXJ20" s="69"/>
      <c r="HXK20" s="69"/>
      <c r="HXL20" s="69"/>
      <c r="HXM20" s="69"/>
      <c r="HXN20" s="69"/>
      <c r="HXO20" s="69"/>
      <c r="HXP20" s="69"/>
      <c r="HXQ20" s="69"/>
      <c r="HXR20" s="69"/>
      <c r="HXS20" s="69"/>
      <c r="HXT20" s="69"/>
      <c r="HXU20" s="69"/>
      <c r="HXV20" s="69"/>
      <c r="HXW20" s="69"/>
      <c r="HXX20" s="69"/>
      <c r="HXY20" s="69"/>
      <c r="HXZ20" s="69"/>
      <c r="HYA20" s="69"/>
      <c r="HYB20" s="69"/>
      <c r="HYC20" s="69"/>
      <c r="HYD20" s="69"/>
      <c r="HYE20" s="69"/>
      <c r="HYF20" s="69"/>
      <c r="HYG20" s="69"/>
      <c r="HYH20" s="69"/>
      <c r="HYI20" s="69"/>
      <c r="HYJ20" s="69"/>
      <c r="HYK20" s="69"/>
      <c r="HYL20" s="69"/>
      <c r="HYM20" s="69"/>
      <c r="HYN20" s="69"/>
      <c r="HYO20" s="69"/>
      <c r="HYP20" s="69"/>
      <c r="HYQ20" s="69"/>
      <c r="HYR20" s="69"/>
      <c r="HYS20" s="69"/>
      <c r="HYT20" s="69"/>
      <c r="HYU20" s="69"/>
      <c r="HYV20" s="69"/>
      <c r="HYW20" s="69"/>
      <c r="HYX20" s="69"/>
      <c r="HYY20" s="69"/>
      <c r="HYZ20" s="69"/>
      <c r="HZA20" s="69"/>
      <c r="HZB20" s="69"/>
      <c r="HZC20" s="69"/>
      <c r="HZD20" s="69"/>
      <c r="HZE20" s="69"/>
      <c r="HZF20" s="69"/>
      <c r="HZG20" s="69"/>
      <c r="HZH20" s="69"/>
      <c r="HZI20" s="69"/>
      <c r="HZJ20" s="69"/>
      <c r="HZK20" s="69"/>
      <c r="HZL20" s="69"/>
      <c r="HZM20" s="69"/>
      <c r="HZN20" s="69"/>
      <c r="HZO20" s="69"/>
      <c r="HZP20" s="69"/>
      <c r="HZQ20" s="69"/>
      <c r="HZR20" s="69"/>
      <c r="HZS20" s="69"/>
      <c r="HZT20" s="69"/>
      <c r="HZU20" s="69"/>
      <c r="HZV20" s="69"/>
      <c r="HZW20" s="69"/>
      <c r="HZX20" s="69"/>
      <c r="HZY20" s="69"/>
      <c r="HZZ20" s="69"/>
      <c r="IAA20" s="69"/>
      <c r="IAB20" s="69"/>
      <c r="IAC20" s="69"/>
      <c r="IAD20" s="69"/>
      <c r="IAE20" s="69"/>
      <c r="IAF20" s="69"/>
      <c r="IAG20" s="69"/>
      <c r="IAH20" s="69"/>
      <c r="IAI20" s="69"/>
      <c r="IAJ20" s="69"/>
      <c r="IAK20" s="69"/>
      <c r="IAL20" s="69"/>
      <c r="IAM20" s="69"/>
      <c r="IAN20" s="69"/>
      <c r="IAO20" s="69"/>
      <c r="IAP20" s="69"/>
      <c r="IAQ20" s="69"/>
      <c r="IAR20" s="69"/>
      <c r="IAS20" s="69"/>
      <c r="IAT20" s="69"/>
      <c r="IAU20" s="69"/>
      <c r="IAV20" s="69"/>
      <c r="IAW20" s="69"/>
      <c r="IAX20" s="69"/>
      <c r="IAY20" s="69"/>
      <c r="IAZ20" s="69"/>
      <c r="IBA20" s="69"/>
      <c r="IBB20" s="69"/>
      <c r="IBC20" s="69"/>
      <c r="IBD20" s="69"/>
      <c r="IBE20" s="69"/>
      <c r="IBF20" s="69"/>
      <c r="IBG20" s="69"/>
      <c r="IBH20" s="69"/>
      <c r="IBI20" s="69"/>
      <c r="IBJ20" s="69"/>
      <c r="IBK20" s="69"/>
      <c r="IBL20" s="69"/>
      <c r="IBM20" s="69"/>
      <c r="IBN20" s="69"/>
      <c r="IBO20" s="69"/>
      <c r="IBP20" s="69"/>
      <c r="IBQ20" s="69"/>
      <c r="IBR20" s="69"/>
      <c r="IBS20" s="69"/>
      <c r="IBT20" s="69"/>
      <c r="IBU20" s="69"/>
      <c r="IBV20" s="69"/>
      <c r="IBW20" s="69"/>
      <c r="IBX20" s="69"/>
      <c r="IBY20" s="69"/>
      <c r="IBZ20" s="69"/>
      <c r="ICA20" s="69"/>
      <c r="ICB20" s="69"/>
      <c r="ICC20" s="69"/>
      <c r="ICD20" s="69"/>
      <c r="ICE20" s="69"/>
      <c r="ICF20" s="69"/>
      <c r="ICG20" s="69"/>
      <c r="ICH20" s="69"/>
      <c r="ICI20" s="69"/>
      <c r="ICJ20" s="69"/>
      <c r="ICK20" s="69"/>
      <c r="ICL20" s="69"/>
      <c r="ICM20" s="69"/>
      <c r="ICN20" s="69"/>
      <c r="ICO20" s="69"/>
      <c r="ICP20" s="69"/>
      <c r="ICQ20" s="69"/>
      <c r="ICR20" s="69"/>
      <c r="ICS20" s="69"/>
      <c r="ICT20" s="69"/>
      <c r="ICU20" s="69"/>
      <c r="ICV20" s="69"/>
      <c r="ICW20" s="69"/>
      <c r="ICX20" s="69"/>
      <c r="ICY20" s="69"/>
      <c r="ICZ20" s="69"/>
      <c r="IDA20" s="69"/>
      <c r="IDB20" s="69"/>
      <c r="IDC20" s="69"/>
      <c r="IDD20" s="69"/>
      <c r="IDE20" s="69"/>
      <c r="IDF20" s="69"/>
      <c r="IDG20" s="69"/>
      <c r="IDH20" s="69"/>
      <c r="IDI20" s="69"/>
      <c r="IDJ20" s="69"/>
      <c r="IDK20" s="69"/>
      <c r="IDL20" s="69"/>
      <c r="IDM20" s="69"/>
      <c r="IDN20" s="69"/>
      <c r="IDO20" s="69"/>
      <c r="IDP20" s="69"/>
      <c r="IDQ20" s="69"/>
      <c r="IDR20" s="69"/>
      <c r="IDS20" s="69"/>
      <c r="IDT20" s="69"/>
      <c r="IDU20" s="69"/>
      <c r="IDV20" s="69"/>
      <c r="IDW20" s="69"/>
      <c r="IDX20" s="69"/>
      <c r="IDY20" s="69"/>
      <c r="IDZ20" s="69"/>
      <c r="IEA20" s="69"/>
      <c r="IEB20" s="69"/>
      <c r="IEC20" s="69"/>
      <c r="IED20" s="69"/>
      <c r="IEE20" s="69"/>
      <c r="IEF20" s="69"/>
      <c r="IEG20" s="69"/>
      <c r="IEH20" s="69"/>
      <c r="IEI20" s="69"/>
      <c r="IEJ20" s="69"/>
      <c r="IEK20" s="69"/>
      <c r="IEL20" s="69"/>
      <c r="IEM20" s="69"/>
      <c r="IEN20" s="69"/>
      <c r="IEO20" s="69"/>
      <c r="IEP20" s="69"/>
      <c r="IEQ20" s="69"/>
      <c r="IER20" s="69"/>
      <c r="IES20" s="69"/>
      <c r="IET20" s="69"/>
      <c r="IEU20" s="69"/>
      <c r="IEV20" s="69"/>
      <c r="IEW20" s="69"/>
      <c r="IEX20" s="69"/>
      <c r="IEY20" s="69"/>
      <c r="IEZ20" s="69"/>
      <c r="IFA20" s="69"/>
      <c r="IFB20" s="69"/>
      <c r="IFC20" s="69"/>
      <c r="IFD20" s="69"/>
      <c r="IFE20" s="69"/>
      <c r="IFF20" s="69"/>
      <c r="IFG20" s="69"/>
      <c r="IFH20" s="69"/>
      <c r="IFI20" s="69"/>
      <c r="IFJ20" s="69"/>
      <c r="IFK20" s="69"/>
      <c r="IFL20" s="69"/>
      <c r="IFM20" s="69"/>
      <c r="IFN20" s="69"/>
      <c r="IFO20" s="69"/>
      <c r="IFP20" s="69"/>
      <c r="IFQ20" s="69"/>
      <c r="IFR20" s="69"/>
      <c r="IFS20" s="69"/>
      <c r="IFT20" s="69"/>
      <c r="IFU20" s="69"/>
      <c r="IFV20" s="69"/>
      <c r="IFW20" s="69"/>
      <c r="IFX20" s="69"/>
      <c r="IFY20" s="69"/>
      <c r="IFZ20" s="69"/>
      <c r="IGA20" s="69"/>
      <c r="IGB20" s="69"/>
      <c r="IGC20" s="69"/>
      <c r="IGD20" s="69"/>
      <c r="IGE20" s="69"/>
      <c r="IGF20" s="69"/>
      <c r="IGG20" s="69"/>
      <c r="IGH20" s="69"/>
      <c r="IGI20" s="69"/>
      <c r="IGJ20" s="69"/>
      <c r="IGK20" s="69"/>
      <c r="IGL20" s="69"/>
      <c r="IGM20" s="69"/>
      <c r="IGN20" s="69"/>
      <c r="IGO20" s="69"/>
      <c r="IGP20" s="69"/>
      <c r="IGQ20" s="69"/>
      <c r="IGR20" s="69"/>
      <c r="IGS20" s="69"/>
      <c r="IGT20" s="69"/>
      <c r="IGU20" s="69"/>
      <c r="IGV20" s="69"/>
      <c r="IGW20" s="69"/>
      <c r="IGX20" s="69"/>
      <c r="IGY20" s="69"/>
      <c r="IGZ20" s="69"/>
      <c r="IHA20" s="69"/>
      <c r="IHB20" s="69"/>
      <c r="IHC20" s="69"/>
      <c r="IHD20" s="69"/>
      <c r="IHE20" s="69"/>
      <c r="IHF20" s="69"/>
      <c r="IHG20" s="69"/>
      <c r="IHH20" s="69"/>
      <c r="IHI20" s="69"/>
      <c r="IHJ20" s="69"/>
      <c r="IHK20" s="69"/>
      <c r="IHL20" s="69"/>
      <c r="IHM20" s="69"/>
      <c r="IHN20" s="69"/>
      <c r="IHO20" s="69"/>
      <c r="IHP20" s="69"/>
      <c r="IHQ20" s="69"/>
      <c r="IHR20" s="69"/>
      <c r="IHS20" s="69"/>
      <c r="IHT20" s="69"/>
      <c r="IHU20" s="69"/>
      <c r="IHV20" s="69"/>
      <c r="IHW20" s="69"/>
      <c r="IHX20" s="69"/>
      <c r="IHY20" s="69"/>
      <c r="IHZ20" s="69"/>
      <c r="IIA20" s="69"/>
      <c r="IIB20" s="69"/>
      <c r="IIC20" s="69"/>
      <c r="IID20" s="69"/>
      <c r="IIE20" s="69"/>
      <c r="IIF20" s="69"/>
      <c r="IIG20" s="69"/>
      <c r="IIH20" s="69"/>
      <c r="III20" s="69"/>
      <c r="IIJ20" s="69"/>
      <c r="IIK20" s="69"/>
      <c r="IIL20" s="69"/>
      <c r="IIM20" s="69"/>
      <c r="IIN20" s="69"/>
      <c r="IIO20" s="69"/>
      <c r="IIP20" s="69"/>
      <c r="IIQ20" s="69"/>
      <c r="IIR20" s="69"/>
      <c r="IIS20" s="69"/>
      <c r="IIT20" s="69"/>
      <c r="IIU20" s="69"/>
      <c r="IIV20" s="69"/>
      <c r="IIW20" s="69"/>
      <c r="IIX20" s="69"/>
      <c r="IIY20" s="69"/>
      <c r="IIZ20" s="69"/>
      <c r="IJA20" s="69"/>
      <c r="IJB20" s="69"/>
      <c r="IJC20" s="69"/>
      <c r="IJD20" s="69"/>
      <c r="IJE20" s="69"/>
      <c r="IJF20" s="69"/>
      <c r="IJG20" s="69"/>
      <c r="IJH20" s="69"/>
      <c r="IJI20" s="69"/>
      <c r="IJJ20" s="69"/>
      <c r="IJK20" s="69"/>
      <c r="IJL20" s="69"/>
      <c r="IJM20" s="69"/>
      <c r="IJN20" s="69"/>
      <c r="IJO20" s="69"/>
      <c r="IJP20" s="69"/>
      <c r="IJQ20" s="69"/>
      <c r="IJR20" s="69"/>
      <c r="IJS20" s="69"/>
      <c r="IJT20" s="69"/>
      <c r="IJU20" s="69"/>
      <c r="IJV20" s="69"/>
      <c r="IJW20" s="69"/>
      <c r="IJX20" s="69"/>
      <c r="IJY20" s="69"/>
      <c r="IJZ20" s="69"/>
      <c r="IKA20" s="69"/>
      <c r="IKB20" s="69"/>
      <c r="IKC20" s="69"/>
      <c r="IKD20" s="69"/>
      <c r="IKE20" s="69"/>
      <c r="IKF20" s="69"/>
      <c r="IKG20" s="69"/>
      <c r="IKH20" s="69"/>
      <c r="IKI20" s="69"/>
      <c r="IKJ20" s="69"/>
      <c r="IKK20" s="69"/>
      <c r="IKL20" s="69"/>
      <c r="IKM20" s="69"/>
      <c r="IKN20" s="69"/>
      <c r="IKO20" s="69"/>
      <c r="IKP20" s="69"/>
      <c r="IKQ20" s="69"/>
      <c r="IKR20" s="69"/>
      <c r="IKS20" s="69"/>
      <c r="IKT20" s="69"/>
      <c r="IKU20" s="69"/>
      <c r="IKV20" s="69"/>
      <c r="IKW20" s="69"/>
      <c r="IKX20" s="69"/>
      <c r="IKY20" s="69"/>
      <c r="IKZ20" s="69"/>
      <c r="ILA20" s="69"/>
      <c r="ILB20" s="69"/>
      <c r="ILC20" s="69"/>
      <c r="ILD20" s="69"/>
      <c r="ILE20" s="69"/>
      <c r="ILF20" s="69"/>
      <c r="ILG20" s="69"/>
      <c r="ILH20" s="69"/>
      <c r="ILI20" s="69"/>
      <c r="ILJ20" s="69"/>
      <c r="ILK20" s="69"/>
      <c r="ILL20" s="69"/>
      <c r="ILM20" s="69"/>
      <c r="ILN20" s="69"/>
      <c r="ILO20" s="69"/>
      <c r="ILP20" s="69"/>
      <c r="ILQ20" s="69"/>
      <c r="ILR20" s="69"/>
      <c r="ILS20" s="69"/>
      <c r="ILT20" s="69"/>
      <c r="ILU20" s="69"/>
      <c r="ILV20" s="69"/>
      <c r="ILW20" s="69"/>
      <c r="ILX20" s="69"/>
      <c r="ILY20" s="69"/>
      <c r="ILZ20" s="69"/>
      <c r="IMA20" s="69"/>
      <c r="IMB20" s="69"/>
      <c r="IMC20" s="69"/>
      <c r="IMD20" s="69"/>
      <c r="IME20" s="69"/>
      <c r="IMF20" s="69"/>
      <c r="IMG20" s="69"/>
      <c r="IMH20" s="69"/>
      <c r="IMI20" s="69"/>
      <c r="IMJ20" s="69"/>
      <c r="IMK20" s="69"/>
      <c r="IML20" s="69"/>
      <c r="IMM20" s="69"/>
      <c r="IMN20" s="69"/>
      <c r="IMO20" s="69"/>
      <c r="IMP20" s="69"/>
      <c r="IMQ20" s="69"/>
      <c r="IMR20" s="69"/>
      <c r="IMS20" s="69"/>
      <c r="IMT20" s="69"/>
      <c r="IMU20" s="69"/>
      <c r="IMV20" s="69"/>
      <c r="IMW20" s="69"/>
      <c r="IMX20" s="69"/>
      <c r="IMY20" s="69"/>
      <c r="IMZ20" s="69"/>
      <c r="INA20" s="69"/>
      <c r="INB20" s="69"/>
      <c r="INC20" s="69"/>
      <c r="IND20" s="69"/>
      <c r="INE20" s="69"/>
      <c r="INF20" s="69"/>
      <c r="ING20" s="69"/>
      <c r="INH20" s="69"/>
      <c r="INI20" s="69"/>
      <c r="INJ20" s="69"/>
      <c r="INK20" s="69"/>
      <c r="INL20" s="69"/>
      <c r="INM20" s="69"/>
      <c r="INN20" s="69"/>
      <c r="INO20" s="69"/>
      <c r="INP20" s="69"/>
      <c r="INQ20" s="69"/>
      <c r="INR20" s="69"/>
      <c r="INS20" s="69"/>
      <c r="INT20" s="69"/>
      <c r="INU20" s="69"/>
      <c r="INV20" s="69"/>
      <c r="INW20" s="69"/>
      <c r="INX20" s="69"/>
      <c r="INY20" s="69"/>
      <c r="INZ20" s="69"/>
      <c r="IOA20" s="69"/>
      <c r="IOB20" s="69"/>
      <c r="IOC20" s="69"/>
      <c r="IOD20" s="69"/>
      <c r="IOE20" s="69"/>
      <c r="IOF20" s="69"/>
      <c r="IOG20" s="69"/>
      <c r="IOH20" s="69"/>
      <c r="IOI20" s="69"/>
      <c r="IOJ20" s="69"/>
      <c r="IOK20" s="69"/>
      <c r="IOL20" s="69"/>
      <c r="IOM20" s="69"/>
      <c r="ION20" s="69"/>
      <c r="IOO20" s="69"/>
      <c r="IOP20" s="69"/>
      <c r="IOQ20" s="69"/>
      <c r="IOR20" s="69"/>
      <c r="IOS20" s="69"/>
      <c r="IOT20" s="69"/>
      <c r="IOU20" s="69"/>
      <c r="IOV20" s="69"/>
      <c r="IOW20" s="69"/>
      <c r="IOX20" s="69"/>
      <c r="IOY20" s="69"/>
      <c r="IOZ20" s="69"/>
      <c r="IPA20" s="69"/>
      <c r="IPB20" s="69"/>
      <c r="IPC20" s="69"/>
      <c r="IPD20" s="69"/>
      <c r="IPE20" s="69"/>
      <c r="IPF20" s="69"/>
      <c r="IPG20" s="69"/>
      <c r="IPH20" s="69"/>
      <c r="IPI20" s="69"/>
      <c r="IPJ20" s="69"/>
      <c r="IPK20" s="69"/>
      <c r="IPL20" s="69"/>
      <c r="IPM20" s="69"/>
      <c r="IPN20" s="69"/>
      <c r="IPO20" s="69"/>
      <c r="IPP20" s="69"/>
      <c r="IPQ20" s="69"/>
      <c r="IPR20" s="69"/>
      <c r="IPS20" s="69"/>
      <c r="IPT20" s="69"/>
      <c r="IPU20" s="69"/>
      <c r="IPV20" s="69"/>
      <c r="IPW20" s="69"/>
      <c r="IPX20" s="69"/>
      <c r="IPY20" s="69"/>
      <c r="IPZ20" s="69"/>
      <c r="IQA20" s="69"/>
      <c r="IQB20" s="69"/>
      <c r="IQC20" s="69"/>
      <c r="IQD20" s="69"/>
      <c r="IQE20" s="69"/>
      <c r="IQF20" s="69"/>
      <c r="IQG20" s="69"/>
      <c r="IQH20" s="69"/>
      <c r="IQI20" s="69"/>
      <c r="IQJ20" s="69"/>
      <c r="IQK20" s="69"/>
      <c r="IQL20" s="69"/>
      <c r="IQM20" s="69"/>
      <c r="IQN20" s="69"/>
      <c r="IQO20" s="69"/>
      <c r="IQP20" s="69"/>
      <c r="IQQ20" s="69"/>
      <c r="IQR20" s="69"/>
      <c r="IQS20" s="69"/>
      <c r="IQT20" s="69"/>
      <c r="IQU20" s="69"/>
      <c r="IQV20" s="69"/>
      <c r="IQW20" s="69"/>
      <c r="IQX20" s="69"/>
      <c r="IQY20" s="69"/>
      <c r="IQZ20" s="69"/>
      <c r="IRA20" s="69"/>
      <c r="IRB20" s="69"/>
      <c r="IRC20" s="69"/>
      <c r="IRD20" s="69"/>
      <c r="IRE20" s="69"/>
      <c r="IRF20" s="69"/>
      <c r="IRG20" s="69"/>
      <c r="IRH20" s="69"/>
      <c r="IRI20" s="69"/>
      <c r="IRJ20" s="69"/>
      <c r="IRK20" s="69"/>
      <c r="IRL20" s="69"/>
      <c r="IRM20" s="69"/>
      <c r="IRN20" s="69"/>
      <c r="IRO20" s="69"/>
      <c r="IRP20" s="69"/>
      <c r="IRQ20" s="69"/>
      <c r="IRR20" s="69"/>
      <c r="IRS20" s="69"/>
      <c r="IRT20" s="69"/>
      <c r="IRU20" s="69"/>
      <c r="IRV20" s="69"/>
      <c r="IRW20" s="69"/>
      <c r="IRX20" s="69"/>
      <c r="IRY20" s="69"/>
      <c r="IRZ20" s="69"/>
      <c r="ISA20" s="69"/>
      <c r="ISB20" s="69"/>
      <c r="ISC20" s="69"/>
      <c r="ISD20" s="69"/>
      <c r="ISE20" s="69"/>
      <c r="ISF20" s="69"/>
      <c r="ISG20" s="69"/>
      <c r="ISH20" s="69"/>
      <c r="ISI20" s="69"/>
      <c r="ISJ20" s="69"/>
      <c r="ISK20" s="69"/>
      <c r="ISL20" s="69"/>
      <c r="ISM20" s="69"/>
      <c r="ISN20" s="69"/>
      <c r="ISO20" s="69"/>
      <c r="ISP20" s="69"/>
      <c r="ISQ20" s="69"/>
      <c r="ISR20" s="69"/>
      <c r="ISS20" s="69"/>
      <c r="IST20" s="69"/>
      <c r="ISU20" s="69"/>
      <c r="ISV20" s="69"/>
      <c r="ISW20" s="69"/>
      <c r="ISX20" s="69"/>
      <c r="ISY20" s="69"/>
      <c r="ISZ20" s="69"/>
      <c r="ITA20" s="69"/>
      <c r="ITB20" s="69"/>
      <c r="ITC20" s="69"/>
      <c r="ITD20" s="69"/>
      <c r="ITE20" s="69"/>
      <c r="ITF20" s="69"/>
      <c r="ITG20" s="69"/>
      <c r="ITH20" s="69"/>
      <c r="ITI20" s="69"/>
      <c r="ITJ20" s="69"/>
      <c r="ITK20" s="69"/>
      <c r="ITL20" s="69"/>
      <c r="ITM20" s="69"/>
      <c r="ITN20" s="69"/>
      <c r="ITO20" s="69"/>
      <c r="ITP20" s="69"/>
      <c r="ITQ20" s="69"/>
      <c r="ITR20" s="69"/>
      <c r="ITS20" s="69"/>
      <c r="ITT20" s="69"/>
      <c r="ITU20" s="69"/>
      <c r="ITV20" s="69"/>
      <c r="ITW20" s="69"/>
      <c r="ITX20" s="69"/>
      <c r="ITY20" s="69"/>
      <c r="ITZ20" s="69"/>
      <c r="IUA20" s="69"/>
      <c r="IUB20" s="69"/>
      <c r="IUC20" s="69"/>
      <c r="IUD20" s="69"/>
      <c r="IUE20" s="69"/>
      <c r="IUF20" s="69"/>
      <c r="IUG20" s="69"/>
      <c r="IUH20" s="69"/>
      <c r="IUI20" s="69"/>
      <c r="IUJ20" s="69"/>
      <c r="IUK20" s="69"/>
      <c r="IUL20" s="69"/>
      <c r="IUM20" s="69"/>
      <c r="IUN20" s="69"/>
      <c r="IUO20" s="69"/>
      <c r="IUP20" s="69"/>
      <c r="IUQ20" s="69"/>
      <c r="IUR20" s="69"/>
      <c r="IUS20" s="69"/>
      <c r="IUT20" s="69"/>
      <c r="IUU20" s="69"/>
      <c r="IUV20" s="69"/>
      <c r="IUW20" s="69"/>
      <c r="IUX20" s="69"/>
      <c r="IUY20" s="69"/>
      <c r="IUZ20" s="69"/>
      <c r="IVA20" s="69"/>
      <c r="IVB20" s="69"/>
      <c r="IVC20" s="69"/>
      <c r="IVD20" s="69"/>
      <c r="IVE20" s="69"/>
      <c r="IVF20" s="69"/>
      <c r="IVG20" s="69"/>
      <c r="IVH20" s="69"/>
      <c r="IVI20" s="69"/>
      <c r="IVJ20" s="69"/>
      <c r="IVK20" s="69"/>
      <c r="IVL20" s="69"/>
      <c r="IVM20" s="69"/>
      <c r="IVN20" s="69"/>
      <c r="IVO20" s="69"/>
      <c r="IVP20" s="69"/>
      <c r="IVQ20" s="69"/>
      <c r="IVR20" s="69"/>
      <c r="IVS20" s="69"/>
      <c r="IVT20" s="69"/>
      <c r="IVU20" s="69"/>
      <c r="IVV20" s="69"/>
      <c r="IVW20" s="69"/>
      <c r="IVX20" s="69"/>
      <c r="IVY20" s="69"/>
      <c r="IVZ20" s="69"/>
      <c r="IWA20" s="69"/>
      <c r="IWB20" s="69"/>
      <c r="IWC20" s="69"/>
      <c r="IWD20" s="69"/>
      <c r="IWE20" s="69"/>
      <c r="IWF20" s="69"/>
      <c r="IWG20" s="69"/>
      <c r="IWH20" s="69"/>
      <c r="IWI20" s="69"/>
      <c r="IWJ20" s="69"/>
      <c r="IWK20" s="69"/>
      <c r="IWL20" s="69"/>
      <c r="IWM20" s="69"/>
      <c r="IWN20" s="69"/>
      <c r="IWO20" s="69"/>
      <c r="IWP20" s="69"/>
      <c r="IWQ20" s="69"/>
      <c r="IWR20" s="69"/>
      <c r="IWS20" s="69"/>
      <c r="IWT20" s="69"/>
      <c r="IWU20" s="69"/>
      <c r="IWV20" s="69"/>
      <c r="IWW20" s="69"/>
      <c r="IWX20" s="69"/>
      <c r="IWY20" s="69"/>
      <c r="IWZ20" s="69"/>
      <c r="IXA20" s="69"/>
      <c r="IXB20" s="69"/>
      <c r="IXC20" s="69"/>
      <c r="IXD20" s="69"/>
      <c r="IXE20" s="69"/>
      <c r="IXF20" s="69"/>
      <c r="IXG20" s="69"/>
      <c r="IXH20" s="69"/>
      <c r="IXI20" s="69"/>
      <c r="IXJ20" s="69"/>
      <c r="IXK20" s="69"/>
      <c r="IXL20" s="69"/>
      <c r="IXM20" s="69"/>
      <c r="IXN20" s="69"/>
      <c r="IXO20" s="69"/>
      <c r="IXP20" s="69"/>
      <c r="IXQ20" s="69"/>
      <c r="IXR20" s="69"/>
      <c r="IXS20" s="69"/>
      <c r="IXT20" s="69"/>
      <c r="IXU20" s="69"/>
      <c r="IXV20" s="69"/>
      <c r="IXW20" s="69"/>
      <c r="IXX20" s="69"/>
      <c r="IXY20" s="69"/>
      <c r="IXZ20" s="69"/>
      <c r="IYA20" s="69"/>
      <c r="IYB20" s="69"/>
      <c r="IYC20" s="69"/>
      <c r="IYD20" s="69"/>
      <c r="IYE20" s="69"/>
      <c r="IYF20" s="69"/>
      <c r="IYG20" s="69"/>
      <c r="IYH20" s="69"/>
      <c r="IYI20" s="69"/>
      <c r="IYJ20" s="69"/>
      <c r="IYK20" s="69"/>
      <c r="IYL20" s="69"/>
      <c r="IYM20" s="69"/>
      <c r="IYN20" s="69"/>
      <c r="IYO20" s="69"/>
      <c r="IYP20" s="69"/>
      <c r="IYQ20" s="69"/>
      <c r="IYR20" s="69"/>
      <c r="IYS20" s="69"/>
      <c r="IYT20" s="69"/>
      <c r="IYU20" s="69"/>
      <c r="IYV20" s="69"/>
      <c r="IYW20" s="69"/>
      <c r="IYX20" s="69"/>
      <c r="IYY20" s="69"/>
      <c r="IYZ20" s="69"/>
      <c r="IZA20" s="69"/>
      <c r="IZB20" s="69"/>
      <c r="IZC20" s="69"/>
      <c r="IZD20" s="69"/>
      <c r="IZE20" s="69"/>
      <c r="IZF20" s="69"/>
      <c r="IZG20" s="69"/>
      <c r="IZH20" s="69"/>
      <c r="IZI20" s="69"/>
      <c r="IZJ20" s="69"/>
      <c r="IZK20" s="69"/>
      <c r="IZL20" s="69"/>
      <c r="IZM20" s="69"/>
      <c r="IZN20" s="69"/>
      <c r="IZO20" s="69"/>
      <c r="IZP20" s="69"/>
      <c r="IZQ20" s="69"/>
      <c r="IZR20" s="69"/>
      <c r="IZS20" s="69"/>
      <c r="IZT20" s="69"/>
      <c r="IZU20" s="69"/>
      <c r="IZV20" s="69"/>
      <c r="IZW20" s="69"/>
      <c r="IZX20" s="69"/>
      <c r="IZY20" s="69"/>
      <c r="IZZ20" s="69"/>
      <c r="JAA20" s="69"/>
      <c r="JAB20" s="69"/>
      <c r="JAC20" s="69"/>
      <c r="JAD20" s="69"/>
      <c r="JAE20" s="69"/>
      <c r="JAF20" s="69"/>
      <c r="JAG20" s="69"/>
      <c r="JAH20" s="69"/>
      <c r="JAI20" s="69"/>
      <c r="JAJ20" s="69"/>
      <c r="JAK20" s="69"/>
      <c r="JAL20" s="69"/>
      <c r="JAM20" s="69"/>
      <c r="JAN20" s="69"/>
      <c r="JAO20" s="69"/>
      <c r="JAP20" s="69"/>
      <c r="JAQ20" s="69"/>
      <c r="JAR20" s="69"/>
      <c r="JAS20" s="69"/>
      <c r="JAT20" s="69"/>
      <c r="JAU20" s="69"/>
      <c r="JAV20" s="69"/>
      <c r="JAW20" s="69"/>
      <c r="JAX20" s="69"/>
      <c r="JAY20" s="69"/>
      <c r="JAZ20" s="69"/>
      <c r="JBA20" s="69"/>
      <c r="JBB20" s="69"/>
      <c r="JBC20" s="69"/>
      <c r="JBD20" s="69"/>
      <c r="JBE20" s="69"/>
      <c r="JBF20" s="69"/>
      <c r="JBG20" s="69"/>
      <c r="JBH20" s="69"/>
      <c r="JBI20" s="69"/>
      <c r="JBJ20" s="69"/>
      <c r="JBK20" s="69"/>
      <c r="JBL20" s="69"/>
      <c r="JBM20" s="69"/>
      <c r="JBN20" s="69"/>
      <c r="JBO20" s="69"/>
      <c r="JBP20" s="69"/>
      <c r="JBQ20" s="69"/>
      <c r="JBR20" s="69"/>
      <c r="JBS20" s="69"/>
      <c r="JBT20" s="69"/>
      <c r="JBU20" s="69"/>
      <c r="JBV20" s="69"/>
      <c r="JBW20" s="69"/>
      <c r="JBX20" s="69"/>
      <c r="JBY20" s="69"/>
      <c r="JBZ20" s="69"/>
      <c r="JCA20" s="69"/>
      <c r="JCB20" s="69"/>
      <c r="JCC20" s="69"/>
      <c r="JCD20" s="69"/>
      <c r="JCE20" s="69"/>
      <c r="JCF20" s="69"/>
      <c r="JCG20" s="69"/>
      <c r="JCH20" s="69"/>
      <c r="JCI20" s="69"/>
      <c r="JCJ20" s="69"/>
      <c r="JCK20" s="69"/>
      <c r="JCL20" s="69"/>
      <c r="JCM20" s="69"/>
      <c r="JCN20" s="69"/>
      <c r="JCO20" s="69"/>
      <c r="JCP20" s="69"/>
      <c r="JCQ20" s="69"/>
      <c r="JCR20" s="69"/>
      <c r="JCS20" s="69"/>
      <c r="JCT20" s="69"/>
      <c r="JCU20" s="69"/>
      <c r="JCV20" s="69"/>
      <c r="JCW20" s="69"/>
      <c r="JCX20" s="69"/>
      <c r="JCY20" s="69"/>
      <c r="JCZ20" s="69"/>
      <c r="JDA20" s="69"/>
      <c r="JDB20" s="69"/>
      <c r="JDC20" s="69"/>
      <c r="JDD20" s="69"/>
      <c r="JDE20" s="69"/>
      <c r="JDF20" s="69"/>
      <c r="JDG20" s="69"/>
      <c r="JDH20" s="69"/>
      <c r="JDI20" s="69"/>
      <c r="JDJ20" s="69"/>
      <c r="JDK20" s="69"/>
      <c r="JDL20" s="69"/>
      <c r="JDM20" s="69"/>
      <c r="JDN20" s="69"/>
      <c r="JDO20" s="69"/>
      <c r="JDP20" s="69"/>
      <c r="JDQ20" s="69"/>
      <c r="JDR20" s="69"/>
      <c r="JDS20" s="69"/>
      <c r="JDT20" s="69"/>
      <c r="JDU20" s="69"/>
      <c r="JDV20" s="69"/>
      <c r="JDW20" s="69"/>
      <c r="JDX20" s="69"/>
      <c r="JDY20" s="69"/>
      <c r="JDZ20" s="69"/>
      <c r="JEA20" s="69"/>
      <c r="JEB20" s="69"/>
      <c r="JEC20" s="69"/>
      <c r="JED20" s="69"/>
      <c r="JEE20" s="69"/>
      <c r="JEF20" s="69"/>
      <c r="JEG20" s="69"/>
      <c r="JEH20" s="69"/>
      <c r="JEI20" s="69"/>
      <c r="JEJ20" s="69"/>
      <c r="JEK20" s="69"/>
      <c r="JEL20" s="69"/>
      <c r="JEM20" s="69"/>
      <c r="JEN20" s="69"/>
      <c r="JEO20" s="69"/>
      <c r="JEP20" s="69"/>
      <c r="JEQ20" s="69"/>
      <c r="JER20" s="69"/>
      <c r="JES20" s="69"/>
      <c r="JET20" s="69"/>
      <c r="JEU20" s="69"/>
      <c r="JEV20" s="69"/>
      <c r="JEW20" s="69"/>
      <c r="JEX20" s="69"/>
      <c r="JEY20" s="69"/>
      <c r="JEZ20" s="69"/>
      <c r="JFA20" s="69"/>
      <c r="JFB20" s="69"/>
      <c r="JFC20" s="69"/>
      <c r="JFD20" s="69"/>
      <c r="JFE20" s="69"/>
      <c r="JFF20" s="69"/>
      <c r="JFG20" s="69"/>
      <c r="JFH20" s="69"/>
      <c r="JFI20" s="69"/>
      <c r="JFJ20" s="69"/>
      <c r="JFK20" s="69"/>
      <c r="JFL20" s="69"/>
      <c r="JFM20" s="69"/>
      <c r="JFN20" s="69"/>
      <c r="JFO20" s="69"/>
      <c r="JFP20" s="69"/>
      <c r="JFQ20" s="69"/>
      <c r="JFR20" s="69"/>
      <c r="JFS20" s="69"/>
      <c r="JFT20" s="69"/>
      <c r="JFU20" s="69"/>
      <c r="JFV20" s="69"/>
      <c r="JFW20" s="69"/>
      <c r="JFX20" s="69"/>
      <c r="JFY20" s="69"/>
      <c r="JFZ20" s="69"/>
      <c r="JGA20" s="69"/>
      <c r="JGB20" s="69"/>
      <c r="JGC20" s="69"/>
      <c r="JGD20" s="69"/>
      <c r="JGE20" s="69"/>
      <c r="JGF20" s="69"/>
      <c r="JGG20" s="69"/>
      <c r="JGH20" s="69"/>
      <c r="JGI20" s="69"/>
      <c r="JGJ20" s="69"/>
      <c r="JGK20" s="69"/>
      <c r="JGL20" s="69"/>
      <c r="JGM20" s="69"/>
      <c r="JGN20" s="69"/>
      <c r="JGO20" s="69"/>
      <c r="JGP20" s="69"/>
      <c r="JGQ20" s="69"/>
      <c r="JGR20" s="69"/>
      <c r="JGS20" s="69"/>
      <c r="JGT20" s="69"/>
      <c r="JGU20" s="69"/>
      <c r="JGV20" s="69"/>
      <c r="JGW20" s="69"/>
      <c r="JGX20" s="69"/>
      <c r="JGY20" s="69"/>
      <c r="JGZ20" s="69"/>
      <c r="JHA20" s="69"/>
      <c r="JHB20" s="69"/>
      <c r="JHC20" s="69"/>
      <c r="JHD20" s="69"/>
      <c r="JHE20" s="69"/>
      <c r="JHF20" s="69"/>
      <c r="JHG20" s="69"/>
      <c r="JHH20" s="69"/>
      <c r="JHI20" s="69"/>
      <c r="JHJ20" s="69"/>
      <c r="JHK20" s="69"/>
      <c r="JHL20" s="69"/>
      <c r="JHM20" s="69"/>
      <c r="JHN20" s="69"/>
      <c r="JHO20" s="69"/>
      <c r="JHP20" s="69"/>
      <c r="JHQ20" s="69"/>
      <c r="JHR20" s="69"/>
      <c r="JHS20" s="69"/>
      <c r="JHT20" s="69"/>
      <c r="JHU20" s="69"/>
      <c r="JHV20" s="69"/>
      <c r="JHW20" s="69"/>
      <c r="JHX20" s="69"/>
      <c r="JHY20" s="69"/>
      <c r="JHZ20" s="69"/>
      <c r="JIA20" s="69"/>
      <c r="JIB20" s="69"/>
      <c r="JIC20" s="69"/>
      <c r="JID20" s="69"/>
      <c r="JIE20" s="69"/>
      <c r="JIF20" s="69"/>
      <c r="JIG20" s="69"/>
      <c r="JIH20" s="69"/>
      <c r="JII20" s="69"/>
      <c r="JIJ20" s="69"/>
      <c r="JIK20" s="69"/>
      <c r="JIL20" s="69"/>
      <c r="JIM20" s="69"/>
      <c r="JIN20" s="69"/>
      <c r="JIO20" s="69"/>
      <c r="JIP20" s="69"/>
      <c r="JIQ20" s="69"/>
      <c r="JIR20" s="69"/>
      <c r="JIS20" s="69"/>
      <c r="JIT20" s="69"/>
      <c r="JIU20" s="69"/>
      <c r="JIV20" s="69"/>
      <c r="JIW20" s="69"/>
      <c r="JIX20" s="69"/>
      <c r="JIY20" s="69"/>
      <c r="JIZ20" s="69"/>
      <c r="JJA20" s="69"/>
      <c r="JJB20" s="69"/>
      <c r="JJC20" s="69"/>
      <c r="JJD20" s="69"/>
      <c r="JJE20" s="69"/>
      <c r="JJF20" s="69"/>
      <c r="JJG20" s="69"/>
      <c r="JJH20" s="69"/>
      <c r="JJI20" s="69"/>
      <c r="JJJ20" s="69"/>
      <c r="JJK20" s="69"/>
      <c r="JJL20" s="69"/>
      <c r="JJM20" s="69"/>
      <c r="JJN20" s="69"/>
      <c r="JJO20" s="69"/>
      <c r="JJP20" s="69"/>
      <c r="JJQ20" s="69"/>
      <c r="JJR20" s="69"/>
      <c r="JJS20" s="69"/>
      <c r="JJT20" s="69"/>
      <c r="JJU20" s="69"/>
      <c r="JJV20" s="69"/>
      <c r="JJW20" s="69"/>
      <c r="JJX20" s="69"/>
      <c r="JJY20" s="69"/>
      <c r="JJZ20" s="69"/>
      <c r="JKA20" s="69"/>
      <c r="JKB20" s="69"/>
      <c r="JKC20" s="69"/>
      <c r="JKD20" s="69"/>
      <c r="JKE20" s="69"/>
      <c r="JKF20" s="69"/>
      <c r="JKG20" s="69"/>
      <c r="JKH20" s="69"/>
      <c r="JKI20" s="69"/>
      <c r="JKJ20" s="69"/>
      <c r="JKK20" s="69"/>
      <c r="JKL20" s="69"/>
      <c r="JKM20" s="69"/>
      <c r="JKN20" s="69"/>
      <c r="JKO20" s="69"/>
      <c r="JKP20" s="69"/>
      <c r="JKQ20" s="69"/>
      <c r="JKR20" s="69"/>
      <c r="JKS20" s="69"/>
      <c r="JKT20" s="69"/>
      <c r="JKU20" s="69"/>
      <c r="JKV20" s="69"/>
      <c r="JKW20" s="69"/>
      <c r="JKX20" s="69"/>
      <c r="JKY20" s="69"/>
      <c r="JKZ20" s="69"/>
      <c r="JLA20" s="69"/>
      <c r="JLB20" s="69"/>
      <c r="JLC20" s="69"/>
      <c r="JLD20" s="69"/>
      <c r="JLE20" s="69"/>
      <c r="JLF20" s="69"/>
      <c r="JLG20" s="69"/>
      <c r="JLH20" s="69"/>
      <c r="JLI20" s="69"/>
      <c r="JLJ20" s="69"/>
      <c r="JLK20" s="69"/>
      <c r="JLL20" s="69"/>
      <c r="JLM20" s="69"/>
      <c r="JLN20" s="69"/>
      <c r="JLO20" s="69"/>
      <c r="JLP20" s="69"/>
      <c r="JLQ20" s="69"/>
      <c r="JLR20" s="69"/>
      <c r="JLS20" s="69"/>
      <c r="JLT20" s="69"/>
      <c r="JLU20" s="69"/>
      <c r="JLV20" s="69"/>
      <c r="JLW20" s="69"/>
      <c r="JLX20" s="69"/>
      <c r="JLY20" s="69"/>
      <c r="JLZ20" s="69"/>
      <c r="JMA20" s="69"/>
      <c r="JMB20" s="69"/>
      <c r="JMC20" s="69"/>
      <c r="JMD20" s="69"/>
      <c r="JME20" s="69"/>
      <c r="JMF20" s="69"/>
      <c r="JMG20" s="69"/>
      <c r="JMH20" s="69"/>
      <c r="JMI20" s="69"/>
      <c r="JMJ20" s="69"/>
      <c r="JMK20" s="69"/>
      <c r="JML20" s="69"/>
      <c r="JMM20" s="69"/>
      <c r="JMN20" s="69"/>
      <c r="JMO20" s="69"/>
      <c r="JMP20" s="69"/>
      <c r="JMQ20" s="69"/>
      <c r="JMR20" s="69"/>
      <c r="JMS20" s="69"/>
      <c r="JMT20" s="69"/>
      <c r="JMU20" s="69"/>
      <c r="JMV20" s="69"/>
      <c r="JMW20" s="69"/>
      <c r="JMX20" s="69"/>
      <c r="JMY20" s="69"/>
      <c r="JMZ20" s="69"/>
      <c r="JNA20" s="69"/>
      <c r="JNB20" s="69"/>
      <c r="JNC20" s="69"/>
      <c r="JND20" s="69"/>
      <c r="JNE20" s="69"/>
      <c r="JNF20" s="69"/>
      <c r="JNG20" s="69"/>
      <c r="JNH20" s="69"/>
      <c r="JNI20" s="69"/>
      <c r="JNJ20" s="69"/>
      <c r="JNK20" s="69"/>
      <c r="JNL20" s="69"/>
      <c r="JNM20" s="69"/>
      <c r="JNN20" s="69"/>
      <c r="JNO20" s="69"/>
      <c r="JNP20" s="69"/>
      <c r="JNQ20" s="69"/>
      <c r="JNR20" s="69"/>
      <c r="JNS20" s="69"/>
      <c r="JNT20" s="69"/>
      <c r="JNU20" s="69"/>
      <c r="JNV20" s="69"/>
      <c r="JNW20" s="69"/>
      <c r="JNX20" s="69"/>
      <c r="JNY20" s="69"/>
      <c r="JNZ20" s="69"/>
      <c r="JOA20" s="69"/>
      <c r="JOB20" s="69"/>
      <c r="JOC20" s="69"/>
      <c r="JOD20" s="69"/>
      <c r="JOE20" s="69"/>
      <c r="JOF20" s="69"/>
      <c r="JOG20" s="69"/>
      <c r="JOH20" s="69"/>
      <c r="JOI20" s="69"/>
      <c r="JOJ20" s="69"/>
      <c r="JOK20" s="69"/>
      <c r="JOL20" s="69"/>
      <c r="JOM20" s="69"/>
      <c r="JON20" s="69"/>
      <c r="JOO20" s="69"/>
      <c r="JOP20" s="69"/>
      <c r="JOQ20" s="69"/>
      <c r="JOR20" s="69"/>
      <c r="JOS20" s="69"/>
      <c r="JOT20" s="69"/>
      <c r="JOU20" s="69"/>
      <c r="JOV20" s="69"/>
      <c r="JOW20" s="69"/>
      <c r="JOX20" s="69"/>
      <c r="JOY20" s="69"/>
      <c r="JOZ20" s="69"/>
      <c r="JPA20" s="69"/>
      <c r="JPB20" s="69"/>
      <c r="JPC20" s="69"/>
      <c r="JPD20" s="69"/>
      <c r="JPE20" s="69"/>
      <c r="JPF20" s="69"/>
      <c r="JPG20" s="69"/>
      <c r="JPH20" s="69"/>
      <c r="JPI20" s="69"/>
      <c r="JPJ20" s="69"/>
      <c r="JPK20" s="69"/>
      <c r="JPL20" s="69"/>
      <c r="JPM20" s="69"/>
      <c r="JPN20" s="69"/>
      <c r="JPO20" s="69"/>
      <c r="JPP20" s="69"/>
      <c r="JPQ20" s="69"/>
      <c r="JPR20" s="69"/>
      <c r="JPS20" s="69"/>
      <c r="JPT20" s="69"/>
      <c r="JPU20" s="69"/>
      <c r="JPV20" s="69"/>
      <c r="JPW20" s="69"/>
      <c r="JPX20" s="69"/>
      <c r="JPY20" s="69"/>
      <c r="JPZ20" s="69"/>
      <c r="JQA20" s="69"/>
      <c r="JQB20" s="69"/>
      <c r="JQC20" s="69"/>
      <c r="JQD20" s="69"/>
      <c r="JQE20" s="69"/>
      <c r="JQF20" s="69"/>
      <c r="JQG20" s="69"/>
      <c r="JQH20" s="69"/>
      <c r="JQI20" s="69"/>
      <c r="JQJ20" s="69"/>
      <c r="JQK20" s="69"/>
      <c r="JQL20" s="69"/>
      <c r="JQM20" s="69"/>
      <c r="JQN20" s="69"/>
      <c r="JQO20" s="69"/>
      <c r="JQP20" s="69"/>
      <c r="JQQ20" s="69"/>
      <c r="JQR20" s="69"/>
      <c r="JQS20" s="69"/>
      <c r="JQT20" s="69"/>
      <c r="JQU20" s="69"/>
      <c r="JQV20" s="69"/>
      <c r="JQW20" s="69"/>
      <c r="JQX20" s="69"/>
      <c r="JQY20" s="69"/>
      <c r="JQZ20" s="69"/>
      <c r="JRA20" s="69"/>
      <c r="JRB20" s="69"/>
      <c r="JRC20" s="69"/>
      <c r="JRD20" s="69"/>
      <c r="JRE20" s="69"/>
      <c r="JRF20" s="69"/>
      <c r="JRG20" s="69"/>
      <c r="JRH20" s="69"/>
      <c r="JRI20" s="69"/>
      <c r="JRJ20" s="69"/>
      <c r="JRK20" s="69"/>
      <c r="JRL20" s="69"/>
      <c r="JRM20" s="69"/>
      <c r="JRN20" s="69"/>
      <c r="JRO20" s="69"/>
      <c r="JRP20" s="69"/>
      <c r="JRQ20" s="69"/>
      <c r="JRR20" s="69"/>
      <c r="JRS20" s="69"/>
      <c r="JRT20" s="69"/>
      <c r="JRU20" s="69"/>
      <c r="JRV20" s="69"/>
      <c r="JRW20" s="69"/>
      <c r="JRX20" s="69"/>
      <c r="JRY20" s="69"/>
      <c r="JRZ20" s="69"/>
      <c r="JSA20" s="69"/>
      <c r="JSB20" s="69"/>
      <c r="JSC20" s="69"/>
      <c r="JSD20" s="69"/>
      <c r="JSE20" s="69"/>
      <c r="JSF20" s="69"/>
      <c r="JSG20" s="69"/>
      <c r="JSH20" s="69"/>
      <c r="JSI20" s="69"/>
      <c r="JSJ20" s="69"/>
      <c r="JSK20" s="69"/>
      <c r="JSL20" s="69"/>
      <c r="JSM20" s="69"/>
      <c r="JSN20" s="69"/>
      <c r="JSO20" s="69"/>
      <c r="JSP20" s="69"/>
      <c r="JSQ20" s="69"/>
      <c r="JSR20" s="69"/>
      <c r="JSS20" s="69"/>
      <c r="JST20" s="69"/>
      <c r="JSU20" s="69"/>
      <c r="JSV20" s="69"/>
      <c r="JSW20" s="69"/>
      <c r="JSX20" s="69"/>
      <c r="JSY20" s="69"/>
      <c r="JSZ20" s="69"/>
      <c r="JTA20" s="69"/>
      <c r="JTB20" s="69"/>
      <c r="JTC20" s="69"/>
      <c r="JTD20" s="69"/>
      <c r="JTE20" s="69"/>
      <c r="JTF20" s="69"/>
      <c r="JTG20" s="69"/>
      <c r="JTH20" s="69"/>
      <c r="JTI20" s="69"/>
      <c r="JTJ20" s="69"/>
      <c r="JTK20" s="69"/>
      <c r="JTL20" s="69"/>
      <c r="JTM20" s="69"/>
      <c r="JTN20" s="69"/>
      <c r="JTO20" s="69"/>
      <c r="JTP20" s="69"/>
      <c r="JTQ20" s="69"/>
      <c r="JTR20" s="69"/>
      <c r="JTS20" s="69"/>
      <c r="JTT20" s="69"/>
      <c r="JTU20" s="69"/>
      <c r="JTV20" s="69"/>
      <c r="JTW20" s="69"/>
      <c r="JTX20" s="69"/>
      <c r="JTY20" s="69"/>
      <c r="JTZ20" s="69"/>
      <c r="JUA20" s="69"/>
      <c r="JUB20" s="69"/>
      <c r="JUC20" s="69"/>
      <c r="JUD20" s="69"/>
      <c r="JUE20" s="69"/>
      <c r="JUF20" s="69"/>
      <c r="JUG20" s="69"/>
      <c r="JUH20" s="69"/>
      <c r="JUI20" s="69"/>
      <c r="JUJ20" s="69"/>
      <c r="JUK20" s="69"/>
      <c r="JUL20" s="69"/>
      <c r="JUM20" s="69"/>
      <c r="JUN20" s="69"/>
      <c r="JUO20" s="69"/>
      <c r="JUP20" s="69"/>
      <c r="JUQ20" s="69"/>
      <c r="JUR20" s="69"/>
      <c r="JUS20" s="69"/>
      <c r="JUT20" s="69"/>
      <c r="JUU20" s="69"/>
      <c r="JUV20" s="69"/>
      <c r="JUW20" s="69"/>
      <c r="JUX20" s="69"/>
      <c r="JUY20" s="69"/>
      <c r="JUZ20" s="69"/>
      <c r="JVA20" s="69"/>
      <c r="JVB20" s="69"/>
      <c r="JVC20" s="69"/>
      <c r="JVD20" s="69"/>
      <c r="JVE20" s="69"/>
      <c r="JVF20" s="69"/>
      <c r="JVG20" s="69"/>
      <c r="JVH20" s="69"/>
      <c r="JVI20" s="69"/>
      <c r="JVJ20" s="69"/>
      <c r="JVK20" s="69"/>
      <c r="JVL20" s="69"/>
      <c r="JVM20" s="69"/>
      <c r="JVN20" s="69"/>
      <c r="JVO20" s="69"/>
      <c r="JVP20" s="69"/>
      <c r="JVQ20" s="69"/>
      <c r="JVR20" s="69"/>
      <c r="JVS20" s="69"/>
      <c r="JVT20" s="69"/>
      <c r="JVU20" s="69"/>
      <c r="JVV20" s="69"/>
      <c r="JVW20" s="69"/>
      <c r="JVX20" s="69"/>
      <c r="JVY20" s="69"/>
      <c r="JVZ20" s="69"/>
      <c r="JWA20" s="69"/>
      <c r="JWB20" s="69"/>
      <c r="JWC20" s="69"/>
      <c r="JWD20" s="69"/>
      <c r="JWE20" s="69"/>
      <c r="JWF20" s="69"/>
      <c r="JWG20" s="69"/>
      <c r="JWH20" s="69"/>
      <c r="JWI20" s="69"/>
      <c r="JWJ20" s="69"/>
      <c r="JWK20" s="69"/>
      <c r="JWL20" s="69"/>
      <c r="JWM20" s="69"/>
      <c r="JWN20" s="69"/>
      <c r="JWO20" s="69"/>
      <c r="JWP20" s="69"/>
      <c r="JWQ20" s="69"/>
      <c r="JWR20" s="69"/>
      <c r="JWS20" s="69"/>
      <c r="JWT20" s="69"/>
      <c r="JWU20" s="69"/>
      <c r="JWV20" s="69"/>
      <c r="JWW20" s="69"/>
      <c r="JWX20" s="69"/>
      <c r="JWY20" s="69"/>
      <c r="JWZ20" s="69"/>
      <c r="JXA20" s="69"/>
      <c r="JXB20" s="69"/>
      <c r="JXC20" s="69"/>
      <c r="JXD20" s="69"/>
      <c r="JXE20" s="69"/>
      <c r="JXF20" s="69"/>
      <c r="JXG20" s="69"/>
      <c r="JXH20" s="69"/>
      <c r="JXI20" s="69"/>
      <c r="JXJ20" s="69"/>
      <c r="JXK20" s="69"/>
      <c r="JXL20" s="69"/>
      <c r="JXM20" s="69"/>
      <c r="JXN20" s="69"/>
      <c r="JXO20" s="69"/>
      <c r="JXP20" s="69"/>
      <c r="JXQ20" s="69"/>
      <c r="JXR20" s="69"/>
      <c r="JXS20" s="69"/>
      <c r="JXT20" s="69"/>
      <c r="JXU20" s="69"/>
      <c r="JXV20" s="69"/>
      <c r="JXW20" s="69"/>
      <c r="JXX20" s="69"/>
      <c r="JXY20" s="69"/>
      <c r="JXZ20" s="69"/>
      <c r="JYA20" s="69"/>
      <c r="JYB20" s="69"/>
      <c r="JYC20" s="69"/>
      <c r="JYD20" s="69"/>
      <c r="JYE20" s="69"/>
      <c r="JYF20" s="69"/>
      <c r="JYG20" s="69"/>
      <c r="JYH20" s="69"/>
      <c r="JYI20" s="69"/>
      <c r="JYJ20" s="69"/>
      <c r="JYK20" s="69"/>
      <c r="JYL20" s="69"/>
      <c r="JYM20" s="69"/>
      <c r="JYN20" s="69"/>
      <c r="JYO20" s="69"/>
      <c r="JYP20" s="69"/>
      <c r="JYQ20" s="69"/>
      <c r="JYR20" s="69"/>
      <c r="JYS20" s="69"/>
      <c r="JYT20" s="69"/>
      <c r="JYU20" s="69"/>
      <c r="JYV20" s="69"/>
      <c r="JYW20" s="69"/>
      <c r="JYX20" s="69"/>
      <c r="JYY20" s="69"/>
      <c r="JYZ20" s="69"/>
      <c r="JZA20" s="69"/>
      <c r="JZB20" s="69"/>
      <c r="JZC20" s="69"/>
      <c r="JZD20" s="69"/>
      <c r="JZE20" s="69"/>
      <c r="JZF20" s="69"/>
      <c r="JZG20" s="69"/>
      <c r="JZH20" s="69"/>
      <c r="JZI20" s="69"/>
      <c r="JZJ20" s="69"/>
      <c r="JZK20" s="69"/>
      <c r="JZL20" s="69"/>
      <c r="JZM20" s="69"/>
      <c r="JZN20" s="69"/>
      <c r="JZO20" s="69"/>
      <c r="JZP20" s="69"/>
      <c r="JZQ20" s="69"/>
      <c r="JZR20" s="69"/>
      <c r="JZS20" s="69"/>
      <c r="JZT20" s="69"/>
      <c r="JZU20" s="69"/>
      <c r="JZV20" s="69"/>
      <c r="JZW20" s="69"/>
      <c r="JZX20" s="69"/>
      <c r="JZY20" s="69"/>
      <c r="JZZ20" s="69"/>
      <c r="KAA20" s="69"/>
      <c r="KAB20" s="69"/>
      <c r="KAC20" s="69"/>
      <c r="KAD20" s="69"/>
      <c r="KAE20" s="69"/>
      <c r="KAF20" s="69"/>
      <c r="KAG20" s="69"/>
      <c r="KAH20" s="69"/>
      <c r="KAI20" s="69"/>
      <c r="KAJ20" s="69"/>
      <c r="KAK20" s="69"/>
      <c r="KAL20" s="69"/>
      <c r="KAM20" s="69"/>
      <c r="KAN20" s="69"/>
      <c r="KAO20" s="69"/>
      <c r="KAP20" s="69"/>
      <c r="KAQ20" s="69"/>
      <c r="KAR20" s="69"/>
      <c r="KAS20" s="69"/>
      <c r="KAT20" s="69"/>
      <c r="KAU20" s="69"/>
      <c r="KAV20" s="69"/>
      <c r="KAW20" s="69"/>
      <c r="KAX20" s="69"/>
      <c r="KAY20" s="69"/>
      <c r="KAZ20" s="69"/>
      <c r="KBA20" s="69"/>
      <c r="KBB20" s="69"/>
      <c r="KBC20" s="69"/>
      <c r="KBD20" s="69"/>
      <c r="KBE20" s="69"/>
      <c r="KBF20" s="69"/>
      <c r="KBG20" s="69"/>
      <c r="KBH20" s="69"/>
      <c r="KBI20" s="69"/>
      <c r="KBJ20" s="69"/>
      <c r="KBK20" s="69"/>
      <c r="KBL20" s="69"/>
      <c r="KBM20" s="69"/>
      <c r="KBN20" s="69"/>
      <c r="KBO20" s="69"/>
      <c r="KBP20" s="69"/>
      <c r="KBQ20" s="69"/>
      <c r="KBR20" s="69"/>
      <c r="KBS20" s="69"/>
      <c r="KBT20" s="69"/>
      <c r="KBU20" s="69"/>
      <c r="KBV20" s="69"/>
      <c r="KBW20" s="69"/>
      <c r="KBX20" s="69"/>
      <c r="KBY20" s="69"/>
      <c r="KBZ20" s="69"/>
      <c r="KCA20" s="69"/>
      <c r="KCB20" s="69"/>
      <c r="KCC20" s="69"/>
      <c r="KCD20" s="69"/>
      <c r="KCE20" s="69"/>
      <c r="KCF20" s="69"/>
      <c r="KCG20" s="69"/>
      <c r="KCH20" s="69"/>
      <c r="KCI20" s="69"/>
      <c r="KCJ20" s="69"/>
      <c r="KCK20" s="69"/>
      <c r="KCL20" s="69"/>
      <c r="KCM20" s="69"/>
      <c r="KCN20" s="69"/>
      <c r="KCO20" s="69"/>
      <c r="KCP20" s="69"/>
      <c r="KCQ20" s="69"/>
      <c r="KCR20" s="69"/>
      <c r="KCS20" s="69"/>
      <c r="KCT20" s="69"/>
      <c r="KCU20" s="69"/>
      <c r="KCV20" s="69"/>
      <c r="KCW20" s="69"/>
      <c r="KCX20" s="69"/>
      <c r="KCY20" s="69"/>
      <c r="KCZ20" s="69"/>
      <c r="KDA20" s="69"/>
      <c r="KDB20" s="69"/>
      <c r="KDC20" s="69"/>
      <c r="KDD20" s="69"/>
      <c r="KDE20" s="69"/>
      <c r="KDF20" s="69"/>
      <c r="KDG20" s="69"/>
      <c r="KDH20" s="69"/>
      <c r="KDI20" s="69"/>
      <c r="KDJ20" s="69"/>
      <c r="KDK20" s="69"/>
      <c r="KDL20" s="69"/>
      <c r="KDM20" s="69"/>
      <c r="KDN20" s="69"/>
      <c r="KDO20" s="69"/>
      <c r="KDP20" s="69"/>
      <c r="KDQ20" s="69"/>
      <c r="KDR20" s="69"/>
      <c r="KDS20" s="69"/>
      <c r="KDT20" s="69"/>
      <c r="KDU20" s="69"/>
      <c r="KDV20" s="69"/>
      <c r="KDW20" s="69"/>
      <c r="KDX20" s="69"/>
      <c r="KDY20" s="69"/>
      <c r="KDZ20" s="69"/>
      <c r="KEA20" s="69"/>
      <c r="KEB20" s="69"/>
      <c r="KEC20" s="69"/>
      <c r="KED20" s="69"/>
      <c r="KEE20" s="69"/>
      <c r="KEF20" s="69"/>
      <c r="KEG20" s="69"/>
      <c r="KEH20" s="69"/>
      <c r="KEI20" s="69"/>
      <c r="KEJ20" s="69"/>
      <c r="KEK20" s="69"/>
      <c r="KEL20" s="69"/>
      <c r="KEM20" s="69"/>
      <c r="KEN20" s="69"/>
      <c r="KEO20" s="69"/>
      <c r="KEP20" s="69"/>
      <c r="KEQ20" s="69"/>
      <c r="KER20" s="69"/>
      <c r="KES20" s="69"/>
      <c r="KET20" s="69"/>
      <c r="KEU20" s="69"/>
      <c r="KEV20" s="69"/>
      <c r="KEW20" s="69"/>
      <c r="KEX20" s="69"/>
      <c r="KEY20" s="69"/>
      <c r="KEZ20" s="69"/>
      <c r="KFA20" s="69"/>
      <c r="KFB20" s="69"/>
      <c r="KFC20" s="69"/>
      <c r="KFD20" s="69"/>
      <c r="KFE20" s="69"/>
      <c r="KFF20" s="69"/>
      <c r="KFG20" s="69"/>
      <c r="KFH20" s="69"/>
      <c r="KFI20" s="69"/>
      <c r="KFJ20" s="69"/>
      <c r="KFK20" s="69"/>
      <c r="KFL20" s="69"/>
      <c r="KFM20" s="69"/>
      <c r="KFN20" s="69"/>
      <c r="KFO20" s="69"/>
      <c r="KFP20" s="69"/>
      <c r="KFQ20" s="69"/>
      <c r="KFR20" s="69"/>
      <c r="KFS20" s="69"/>
      <c r="KFT20" s="69"/>
      <c r="KFU20" s="69"/>
      <c r="KFV20" s="69"/>
      <c r="KFW20" s="69"/>
      <c r="KFX20" s="69"/>
      <c r="KFY20" s="69"/>
      <c r="KFZ20" s="69"/>
      <c r="KGA20" s="69"/>
      <c r="KGB20" s="69"/>
      <c r="KGC20" s="69"/>
      <c r="KGD20" s="69"/>
      <c r="KGE20" s="69"/>
      <c r="KGF20" s="69"/>
      <c r="KGG20" s="69"/>
      <c r="KGH20" s="69"/>
      <c r="KGI20" s="69"/>
      <c r="KGJ20" s="69"/>
      <c r="KGK20" s="69"/>
      <c r="KGL20" s="69"/>
      <c r="KGM20" s="69"/>
      <c r="KGN20" s="69"/>
      <c r="KGO20" s="69"/>
      <c r="KGP20" s="69"/>
      <c r="KGQ20" s="69"/>
      <c r="KGR20" s="69"/>
      <c r="KGS20" s="69"/>
      <c r="KGT20" s="69"/>
      <c r="KGU20" s="69"/>
      <c r="KGV20" s="69"/>
      <c r="KGW20" s="69"/>
      <c r="KGX20" s="69"/>
      <c r="KGY20" s="69"/>
      <c r="KGZ20" s="69"/>
      <c r="KHA20" s="69"/>
      <c r="KHB20" s="69"/>
      <c r="KHC20" s="69"/>
      <c r="KHD20" s="69"/>
      <c r="KHE20" s="69"/>
      <c r="KHF20" s="69"/>
      <c r="KHG20" s="69"/>
      <c r="KHH20" s="69"/>
      <c r="KHI20" s="69"/>
      <c r="KHJ20" s="69"/>
      <c r="KHK20" s="69"/>
      <c r="KHL20" s="69"/>
      <c r="KHM20" s="69"/>
      <c r="KHN20" s="69"/>
      <c r="KHO20" s="69"/>
      <c r="KHP20" s="69"/>
      <c r="KHQ20" s="69"/>
      <c r="KHR20" s="69"/>
      <c r="KHS20" s="69"/>
      <c r="KHT20" s="69"/>
      <c r="KHU20" s="69"/>
      <c r="KHV20" s="69"/>
      <c r="KHW20" s="69"/>
      <c r="KHX20" s="69"/>
      <c r="KHY20" s="69"/>
      <c r="KHZ20" s="69"/>
      <c r="KIA20" s="69"/>
      <c r="KIB20" s="69"/>
      <c r="KIC20" s="69"/>
      <c r="KID20" s="69"/>
      <c r="KIE20" s="69"/>
      <c r="KIF20" s="69"/>
      <c r="KIG20" s="69"/>
      <c r="KIH20" s="69"/>
      <c r="KII20" s="69"/>
      <c r="KIJ20" s="69"/>
      <c r="KIK20" s="69"/>
      <c r="KIL20" s="69"/>
      <c r="KIM20" s="69"/>
      <c r="KIN20" s="69"/>
      <c r="KIO20" s="69"/>
      <c r="KIP20" s="69"/>
      <c r="KIQ20" s="69"/>
      <c r="KIR20" s="69"/>
      <c r="KIS20" s="69"/>
      <c r="KIT20" s="69"/>
      <c r="KIU20" s="69"/>
      <c r="KIV20" s="69"/>
      <c r="KIW20" s="69"/>
      <c r="KIX20" s="69"/>
      <c r="KIY20" s="69"/>
      <c r="KIZ20" s="69"/>
      <c r="KJA20" s="69"/>
      <c r="KJB20" s="69"/>
      <c r="KJC20" s="69"/>
      <c r="KJD20" s="69"/>
      <c r="KJE20" s="69"/>
      <c r="KJF20" s="69"/>
      <c r="KJG20" s="69"/>
      <c r="KJH20" s="69"/>
      <c r="KJI20" s="69"/>
      <c r="KJJ20" s="69"/>
      <c r="KJK20" s="69"/>
      <c r="KJL20" s="69"/>
      <c r="KJM20" s="69"/>
      <c r="KJN20" s="69"/>
      <c r="KJO20" s="69"/>
      <c r="KJP20" s="69"/>
      <c r="KJQ20" s="69"/>
      <c r="KJR20" s="69"/>
      <c r="KJS20" s="69"/>
      <c r="KJT20" s="69"/>
      <c r="KJU20" s="69"/>
      <c r="KJV20" s="69"/>
      <c r="KJW20" s="69"/>
      <c r="KJX20" s="69"/>
      <c r="KJY20" s="69"/>
      <c r="KJZ20" s="69"/>
      <c r="KKA20" s="69"/>
      <c r="KKB20" s="69"/>
      <c r="KKC20" s="69"/>
      <c r="KKD20" s="69"/>
      <c r="KKE20" s="69"/>
      <c r="KKF20" s="69"/>
      <c r="KKG20" s="69"/>
      <c r="KKH20" s="69"/>
      <c r="KKI20" s="69"/>
      <c r="KKJ20" s="69"/>
      <c r="KKK20" s="69"/>
      <c r="KKL20" s="69"/>
      <c r="KKM20" s="69"/>
      <c r="KKN20" s="69"/>
      <c r="KKO20" s="69"/>
      <c r="KKP20" s="69"/>
      <c r="KKQ20" s="69"/>
      <c r="KKR20" s="69"/>
      <c r="KKS20" s="69"/>
      <c r="KKT20" s="69"/>
      <c r="KKU20" s="69"/>
      <c r="KKV20" s="69"/>
      <c r="KKW20" s="69"/>
      <c r="KKX20" s="69"/>
      <c r="KKY20" s="69"/>
      <c r="KKZ20" s="69"/>
      <c r="KLA20" s="69"/>
      <c r="KLB20" s="69"/>
      <c r="KLC20" s="69"/>
      <c r="KLD20" s="69"/>
      <c r="KLE20" s="69"/>
      <c r="KLF20" s="69"/>
      <c r="KLG20" s="69"/>
      <c r="KLH20" s="69"/>
      <c r="KLI20" s="69"/>
      <c r="KLJ20" s="69"/>
      <c r="KLK20" s="69"/>
      <c r="KLL20" s="69"/>
      <c r="KLM20" s="69"/>
      <c r="KLN20" s="69"/>
      <c r="KLO20" s="69"/>
      <c r="KLP20" s="69"/>
      <c r="KLQ20" s="69"/>
      <c r="KLR20" s="69"/>
      <c r="KLS20" s="69"/>
      <c r="KLT20" s="69"/>
      <c r="KLU20" s="69"/>
      <c r="KLV20" s="69"/>
      <c r="KLW20" s="69"/>
      <c r="KLX20" s="69"/>
      <c r="KLY20" s="69"/>
      <c r="KLZ20" s="69"/>
      <c r="KMA20" s="69"/>
      <c r="KMB20" s="69"/>
      <c r="KMC20" s="69"/>
      <c r="KMD20" s="69"/>
      <c r="KME20" s="69"/>
      <c r="KMF20" s="69"/>
      <c r="KMG20" s="69"/>
      <c r="KMH20" s="69"/>
      <c r="KMI20" s="69"/>
      <c r="KMJ20" s="69"/>
      <c r="KMK20" s="69"/>
      <c r="KML20" s="69"/>
      <c r="KMM20" s="69"/>
      <c r="KMN20" s="69"/>
      <c r="KMO20" s="69"/>
      <c r="KMP20" s="69"/>
      <c r="KMQ20" s="69"/>
      <c r="KMR20" s="69"/>
      <c r="KMS20" s="69"/>
      <c r="KMT20" s="69"/>
      <c r="KMU20" s="69"/>
      <c r="KMV20" s="69"/>
      <c r="KMW20" s="69"/>
      <c r="KMX20" s="69"/>
      <c r="KMY20" s="69"/>
      <c r="KMZ20" s="69"/>
      <c r="KNA20" s="69"/>
      <c r="KNB20" s="69"/>
      <c r="KNC20" s="69"/>
      <c r="KND20" s="69"/>
      <c r="KNE20" s="69"/>
      <c r="KNF20" s="69"/>
      <c r="KNG20" s="69"/>
      <c r="KNH20" s="69"/>
      <c r="KNI20" s="69"/>
      <c r="KNJ20" s="69"/>
      <c r="KNK20" s="69"/>
      <c r="KNL20" s="69"/>
      <c r="KNM20" s="69"/>
      <c r="KNN20" s="69"/>
      <c r="KNO20" s="69"/>
      <c r="KNP20" s="69"/>
      <c r="KNQ20" s="69"/>
      <c r="KNR20" s="69"/>
      <c r="KNS20" s="69"/>
      <c r="KNT20" s="69"/>
      <c r="KNU20" s="69"/>
      <c r="KNV20" s="69"/>
      <c r="KNW20" s="69"/>
      <c r="KNX20" s="69"/>
      <c r="KNY20" s="69"/>
      <c r="KNZ20" s="69"/>
      <c r="KOA20" s="69"/>
      <c r="KOB20" s="69"/>
      <c r="KOC20" s="69"/>
      <c r="KOD20" s="69"/>
      <c r="KOE20" s="69"/>
      <c r="KOF20" s="69"/>
      <c r="KOG20" s="69"/>
      <c r="KOH20" s="69"/>
      <c r="KOI20" s="69"/>
      <c r="KOJ20" s="69"/>
      <c r="KOK20" s="69"/>
      <c r="KOL20" s="69"/>
      <c r="KOM20" s="69"/>
      <c r="KON20" s="69"/>
      <c r="KOO20" s="69"/>
      <c r="KOP20" s="69"/>
      <c r="KOQ20" s="69"/>
      <c r="KOR20" s="69"/>
      <c r="KOS20" s="69"/>
      <c r="KOT20" s="69"/>
      <c r="KOU20" s="69"/>
      <c r="KOV20" s="69"/>
      <c r="KOW20" s="69"/>
      <c r="KOX20" s="69"/>
      <c r="KOY20" s="69"/>
      <c r="KOZ20" s="69"/>
      <c r="KPA20" s="69"/>
      <c r="KPB20" s="69"/>
      <c r="KPC20" s="69"/>
      <c r="KPD20" s="69"/>
      <c r="KPE20" s="69"/>
      <c r="KPF20" s="69"/>
      <c r="KPG20" s="69"/>
      <c r="KPH20" s="69"/>
      <c r="KPI20" s="69"/>
      <c r="KPJ20" s="69"/>
      <c r="KPK20" s="69"/>
      <c r="KPL20" s="69"/>
      <c r="KPM20" s="69"/>
      <c r="KPN20" s="69"/>
      <c r="KPO20" s="69"/>
      <c r="KPP20" s="69"/>
      <c r="KPQ20" s="69"/>
      <c r="KPR20" s="69"/>
      <c r="KPS20" s="69"/>
      <c r="KPT20" s="69"/>
      <c r="KPU20" s="69"/>
      <c r="KPV20" s="69"/>
      <c r="KPW20" s="69"/>
      <c r="KPX20" s="69"/>
      <c r="KPY20" s="69"/>
      <c r="KPZ20" s="69"/>
      <c r="KQA20" s="69"/>
      <c r="KQB20" s="69"/>
      <c r="KQC20" s="69"/>
      <c r="KQD20" s="69"/>
      <c r="KQE20" s="69"/>
      <c r="KQF20" s="69"/>
      <c r="KQG20" s="69"/>
      <c r="KQH20" s="69"/>
      <c r="KQI20" s="69"/>
      <c r="KQJ20" s="69"/>
      <c r="KQK20" s="69"/>
      <c r="KQL20" s="69"/>
      <c r="KQM20" s="69"/>
      <c r="KQN20" s="69"/>
      <c r="KQO20" s="69"/>
      <c r="KQP20" s="69"/>
      <c r="KQQ20" s="69"/>
      <c r="KQR20" s="69"/>
      <c r="KQS20" s="69"/>
      <c r="KQT20" s="69"/>
      <c r="KQU20" s="69"/>
      <c r="KQV20" s="69"/>
      <c r="KQW20" s="69"/>
      <c r="KQX20" s="69"/>
      <c r="KQY20" s="69"/>
      <c r="KQZ20" s="69"/>
      <c r="KRA20" s="69"/>
      <c r="KRB20" s="69"/>
      <c r="KRC20" s="69"/>
      <c r="KRD20" s="69"/>
      <c r="KRE20" s="69"/>
      <c r="KRF20" s="69"/>
      <c r="KRG20" s="69"/>
      <c r="KRH20" s="69"/>
      <c r="KRI20" s="69"/>
      <c r="KRJ20" s="69"/>
      <c r="KRK20" s="69"/>
      <c r="KRL20" s="69"/>
      <c r="KRM20" s="69"/>
      <c r="KRN20" s="69"/>
      <c r="KRO20" s="69"/>
      <c r="KRP20" s="69"/>
      <c r="KRQ20" s="69"/>
      <c r="KRR20" s="69"/>
      <c r="KRS20" s="69"/>
      <c r="KRT20" s="69"/>
      <c r="KRU20" s="69"/>
      <c r="KRV20" s="69"/>
      <c r="KRW20" s="69"/>
      <c r="KRX20" s="69"/>
      <c r="KRY20" s="69"/>
      <c r="KRZ20" s="69"/>
      <c r="KSA20" s="69"/>
      <c r="KSB20" s="69"/>
      <c r="KSC20" s="69"/>
      <c r="KSD20" s="69"/>
      <c r="KSE20" s="69"/>
      <c r="KSF20" s="69"/>
      <c r="KSG20" s="69"/>
      <c r="KSH20" s="69"/>
      <c r="KSI20" s="69"/>
      <c r="KSJ20" s="69"/>
      <c r="KSK20" s="69"/>
      <c r="KSL20" s="69"/>
      <c r="KSM20" s="69"/>
      <c r="KSN20" s="69"/>
      <c r="KSO20" s="69"/>
      <c r="KSP20" s="69"/>
      <c r="KSQ20" s="69"/>
      <c r="KSR20" s="69"/>
      <c r="KSS20" s="69"/>
      <c r="KST20" s="69"/>
      <c r="KSU20" s="69"/>
      <c r="KSV20" s="69"/>
      <c r="KSW20" s="69"/>
      <c r="KSX20" s="69"/>
      <c r="KSY20" s="69"/>
      <c r="KSZ20" s="69"/>
      <c r="KTA20" s="69"/>
      <c r="KTB20" s="69"/>
      <c r="KTC20" s="69"/>
      <c r="KTD20" s="69"/>
      <c r="KTE20" s="69"/>
      <c r="KTF20" s="69"/>
      <c r="KTG20" s="69"/>
      <c r="KTH20" s="69"/>
      <c r="KTI20" s="69"/>
      <c r="KTJ20" s="69"/>
      <c r="KTK20" s="69"/>
      <c r="KTL20" s="69"/>
      <c r="KTM20" s="69"/>
      <c r="KTN20" s="69"/>
      <c r="KTO20" s="69"/>
      <c r="KTP20" s="69"/>
      <c r="KTQ20" s="69"/>
      <c r="KTR20" s="69"/>
      <c r="KTS20" s="69"/>
      <c r="KTT20" s="69"/>
      <c r="KTU20" s="69"/>
      <c r="KTV20" s="69"/>
      <c r="KTW20" s="69"/>
      <c r="KTX20" s="69"/>
      <c r="KTY20" s="69"/>
      <c r="KTZ20" s="69"/>
      <c r="KUA20" s="69"/>
      <c r="KUB20" s="69"/>
      <c r="KUC20" s="69"/>
      <c r="KUD20" s="69"/>
      <c r="KUE20" s="69"/>
      <c r="KUF20" s="69"/>
      <c r="KUG20" s="69"/>
      <c r="KUH20" s="69"/>
      <c r="KUI20" s="69"/>
      <c r="KUJ20" s="69"/>
      <c r="KUK20" s="69"/>
      <c r="KUL20" s="69"/>
      <c r="KUM20" s="69"/>
      <c r="KUN20" s="69"/>
      <c r="KUO20" s="69"/>
      <c r="KUP20" s="69"/>
      <c r="KUQ20" s="69"/>
      <c r="KUR20" s="69"/>
      <c r="KUS20" s="69"/>
      <c r="KUT20" s="69"/>
      <c r="KUU20" s="69"/>
      <c r="KUV20" s="69"/>
      <c r="KUW20" s="69"/>
      <c r="KUX20" s="69"/>
      <c r="KUY20" s="69"/>
      <c r="KUZ20" s="69"/>
      <c r="KVA20" s="69"/>
      <c r="KVB20" s="69"/>
      <c r="KVC20" s="69"/>
      <c r="KVD20" s="69"/>
      <c r="KVE20" s="69"/>
      <c r="KVF20" s="69"/>
      <c r="KVG20" s="69"/>
      <c r="KVH20" s="69"/>
      <c r="KVI20" s="69"/>
      <c r="KVJ20" s="69"/>
      <c r="KVK20" s="69"/>
      <c r="KVL20" s="69"/>
      <c r="KVM20" s="69"/>
      <c r="KVN20" s="69"/>
      <c r="KVO20" s="69"/>
      <c r="KVP20" s="69"/>
      <c r="KVQ20" s="69"/>
      <c r="KVR20" s="69"/>
      <c r="KVS20" s="69"/>
      <c r="KVT20" s="69"/>
      <c r="KVU20" s="69"/>
      <c r="KVV20" s="69"/>
      <c r="KVW20" s="69"/>
      <c r="KVX20" s="69"/>
      <c r="KVY20" s="69"/>
      <c r="KVZ20" s="69"/>
      <c r="KWA20" s="69"/>
      <c r="KWB20" s="69"/>
      <c r="KWC20" s="69"/>
      <c r="KWD20" s="69"/>
      <c r="KWE20" s="69"/>
      <c r="KWF20" s="69"/>
      <c r="KWG20" s="69"/>
      <c r="KWH20" s="69"/>
      <c r="KWI20" s="69"/>
      <c r="KWJ20" s="69"/>
      <c r="KWK20" s="69"/>
      <c r="KWL20" s="69"/>
      <c r="KWM20" s="69"/>
      <c r="KWN20" s="69"/>
      <c r="KWO20" s="69"/>
      <c r="KWP20" s="69"/>
      <c r="KWQ20" s="69"/>
      <c r="KWR20" s="69"/>
      <c r="KWS20" s="69"/>
      <c r="KWT20" s="69"/>
      <c r="KWU20" s="69"/>
      <c r="KWV20" s="69"/>
      <c r="KWW20" s="69"/>
      <c r="KWX20" s="69"/>
      <c r="KWY20" s="69"/>
      <c r="KWZ20" s="69"/>
      <c r="KXA20" s="69"/>
      <c r="KXB20" s="69"/>
      <c r="KXC20" s="69"/>
      <c r="KXD20" s="69"/>
      <c r="KXE20" s="69"/>
      <c r="KXF20" s="69"/>
      <c r="KXG20" s="69"/>
      <c r="KXH20" s="69"/>
      <c r="KXI20" s="69"/>
      <c r="KXJ20" s="69"/>
      <c r="KXK20" s="69"/>
      <c r="KXL20" s="69"/>
      <c r="KXM20" s="69"/>
      <c r="KXN20" s="69"/>
      <c r="KXO20" s="69"/>
      <c r="KXP20" s="69"/>
      <c r="KXQ20" s="69"/>
      <c r="KXR20" s="69"/>
      <c r="KXS20" s="69"/>
      <c r="KXT20" s="69"/>
      <c r="KXU20" s="69"/>
      <c r="KXV20" s="69"/>
      <c r="KXW20" s="69"/>
      <c r="KXX20" s="69"/>
      <c r="KXY20" s="69"/>
      <c r="KXZ20" s="69"/>
      <c r="KYA20" s="69"/>
      <c r="KYB20" s="69"/>
      <c r="KYC20" s="69"/>
      <c r="KYD20" s="69"/>
      <c r="KYE20" s="69"/>
      <c r="KYF20" s="69"/>
      <c r="KYG20" s="69"/>
      <c r="KYH20" s="69"/>
      <c r="KYI20" s="69"/>
      <c r="KYJ20" s="69"/>
      <c r="KYK20" s="69"/>
      <c r="KYL20" s="69"/>
      <c r="KYM20" s="69"/>
      <c r="KYN20" s="69"/>
      <c r="KYO20" s="69"/>
      <c r="KYP20" s="69"/>
      <c r="KYQ20" s="69"/>
      <c r="KYR20" s="69"/>
      <c r="KYS20" s="69"/>
      <c r="KYT20" s="69"/>
      <c r="KYU20" s="69"/>
      <c r="KYV20" s="69"/>
      <c r="KYW20" s="69"/>
      <c r="KYX20" s="69"/>
      <c r="KYY20" s="69"/>
      <c r="KYZ20" s="69"/>
      <c r="KZA20" s="69"/>
      <c r="KZB20" s="69"/>
      <c r="KZC20" s="69"/>
      <c r="KZD20" s="69"/>
      <c r="KZE20" s="69"/>
      <c r="KZF20" s="69"/>
      <c r="KZG20" s="69"/>
      <c r="KZH20" s="69"/>
      <c r="KZI20" s="69"/>
      <c r="KZJ20" s="69"/>
      <c r="KZK20" s="69"/>
      <c r="KZL20" s="69"/>
      <c r="KZM20" s="69"/>
      <c r="KZN20" s="69"/>
      <c r="KZO20" s="69"/>
      <c r="KZP20" s="69"/>
      <c r="KZQ20" s="69"/>
      <c r="KZR20" s="69"/>
      <c r="KZS20" s="69"/>
      <c r="KZT20" s="69"/>
      <c r="KZU20" s="69"/>
      <c r="KZV20" s="69"/>
      <c r="KZW20" s="69"/>
      <c r="KZX20" s="69"/>
      <c r="KZY20" s="69"/>
      <c r="KZZ20" s="69"/>
      <c r="LAA20" s="69"/>
      <c r="LAB20" s="69"/>
      <c r="LAC20" s="69"/>
      <c r="LAD20" s="69"/>
      <c r="LAE20" s="69"/>
      <c r="LAF20" s="69"/>
      <c r="LAG20" s="69"/>
      <c r="LAH20" s="69"/>
      <c r="LAI20" s="69"/>
      <c r="LAJ20" s="69"/>
      <c r="LAK20" s="69"/>
      <c r="LAL20" s="69"/>
      <c r="LAM20" s="69"/>
      <c r="LAN20" s="69"/>
      <c r="LAO20" s="69"/>
      <c r="LAP20" s="69"/>
      <c r="LAQ20" s="69"/>
      <c r="LAR20" s="69"/>
      <c r="LAS20" s="69"/>
      <c r="LAT20" s="69"/>
      <c r="LAU20" s="69"/>
      <c r="LAV20" s="69"/>
      <c r="LAW20" s="69"/>
      <c r="LAX20" s="69"/>
      <c r="LAY20" s="69"/>
      <c r="LAZ20" s="69"/>
      <c r="LBA20" s="69"/>
      <c r="LBB20" s="69"/>
      <c r="LBC20" s="69"/>
      <c r="LBD20" s="69"/>
      <c r="LBE20" s="69"/>
      <c r="LBF20" s="69"/>
      <c r="LBG20" s="69"/>
      <c r="LBH20" s="69"/>
      <c r="LBI20" s="69"/>
      <c r="LBJ20" s="69"/>
      <c r="LBK20" s="69"/>
      <c r="LBL20" s="69"/>
      <c r="LBM20" s="69"/>
      <c r="LBN20" s="69"/>
      <c r="LBO20" s="69"/>
      <c r="LBP20" s="69"/>
      <c r="LBQ20" s="69"/>
      <c r="LBR20" s="69"/>
      <c r="LBS20" s="69"/>
      <c r="LBT20" s="69"/>
      <c r="LBU20" s="69"/>
      <c r="LBV20" s="69"/>
      <c r="LBW20" s="69"/>
      <c r="LBX20" s="69"/>
      <c r="LBY20" s="69"/>
      <c r="LBZ20" s="69"/>
      <c r="LCA20" s="69"/>
      <c r="LCB20" s="69"/>
      <c r="LCC20" s="69"/>
      <c r="LCD20" s="69"/>
      <c r="LCE20" s="69"/>
      <c r="LCF20" s="69"/>
      <c r="LCG20" s="69"/>
      <c r="LCH20" s="69"/>
      <c r="LCI20" s="69"/>
      <c r="LCJ20" s="69"/>
      <c r="LCK20" s="69"/>
      <c r="LCL20" s="69"/>
      <c r="LCM20" s="69"/>
      <c r="LCN20" s="69"/>
      <c r="LCO20" s="69"/>
      <c r="LCP20" s="69"/>
      <c r="LCQ20" s="69"/>
      <c r="LCR20" s="69"/>
      <c r="LCS20" s="69"/>
      <c r="LCT20" s="69"/>
      <c r="LCU20" s="69"/>
      <c r="LCV20" s="69"/>
      <c r="LCW20" s="69"/>
      <c r="LCX20" s="69"/>
      <c r="LCY20" s="69"/>
      <c r="LCZ20" s="69"/>
      <c r="LDA20" s="69"/>
      <c r="LDB20" s="69"/>
      <c r="LDC20" s="69"/>
      <c r="LDD20" s="69"/>
      <c r="LDE20" s="69"/>
      <c r="LDF20" s="69"/>
      <c r="LDG20" s="69"/>
      <c r="LDH20" s="69"/>
      <c r="LDI20" s="69"/>
      <c r="LDJ20" s="69"/>
      <c r="LDK20" s="69"/>
      <c r="LDL20" s="69"/>
      <c r="LDM20" s="69"/>
      <c r="LDN20" s="69"/>
      <c r="LDO20" s="69"/>
      <c r="LDP20" s="69"/>
      <c r="LDQ20" s="69"/>
      <c r="LDR20" s="69"/>
      <c r="LDS20" s="69"/>
      <c r="LDT20" s="69"/>
      <c r="LDU20" s="69"/>
      <c r="LDV20" s="69"/>
      <c r="LDW20" s="69"/>
      <c r="LDX20" s="69"/>
      <c r="LDY20" s="69"/>
      <c r="LDZ20" s="69"/>
      <c r="LEA20" s="69"/>
      <c r="LEB20" s="69"/>
      <c r="LEC20" s="69"/>
      <c r="LED20" s="69"/>
      <c r="LEE20" s="69"/>
      <c r="LEF20" s="69"/>
      <c r="LEG20" s="69"/>
      <c r="LEH20" s="69"/>
      <c r="LEI20" s="69"/>
      <c r="LEJ20" s="69"/>
      <c r="LEK20" s="69"/>
      <c r="LEL20" s="69"/>
      <c r="LEM20" s="69"/>
      <c r="LEN20" s="69"/>
      <c r="LEO20" s="69"/>
      <c r="LEP20" s="69"/>
      <c r="LEQ20" s="69"/>
      <c r="LER20" s="69"/>
      <c r="LES20" s="69"/>
      <c r="LET20" s="69"/>
      <c r="LEU20" s="69"/>
      <c r="LEV20" s="69"/>
      <c r="LEW20" s="69"/>
      <c r="LEX20" s="69"/>
      <c r="LEY20" s="69"/>
      <c r="LEZ20" s="69"/>
      <c r="LFA20" s="69"/>
      <c r="LFB20" s="69"/>
      <c r="LFC20" s="69"/>
      <c r="LFD20" s="69"/>
      <c r="LFE20" s="69"/>
      <c r="LFF20" s="69"/>
      <c r="LFG20" s="69"/>
      <c r="LFH20" s="69"/>
      <c r="LFI20" s="69"/>
      <c r="LFJ20" s="69"/>
      <c r="LFK20" s="69"/>
      <c r="LFL20" s="69"/>
      <c r="LFM20" s="69"/>
      <c r="LFN20" s="69"/>
      <c r="LFO20" s="69"/>
      <c r="LFP20" s="69"/>
      <c r="LFQ20" s="69"/>
      <c r="LFR20" s="69"/>
      <c r="LFS20" s="69"/>
      <c r="LFT20" s="69"/>
      <c r="LFU20" s="69"/>
      <c r="LFV20" s="69"/>
      <c r="LFW20" s="69"/>
      <c r="LFX20" s="69"/>
      <c r="LFY20" s="69"/>
      <c r="LFZ20" s="69"/>
      <c r="LGA20" s="69"/>
      <c r="LGB20" s="69"/>
      <c r="LGC20" s="69"/>
      <c r="LGD20" s="69"/>
      <c r="LGE20" s="69"/>
      <c r="LGF20" s="69"/>
      <c r="LGG20" s="69"/>
      <c r="LGH20" s="69"/>
      <c r="LGI20" s="69"/>
      <c r="LGJ20" s="69"/>
      <c r="LGK20" s="69"/>
      <c r="LGL20" s="69"/>
      <c r="LGM20" s="69"/>
      <c r="LGN20" s="69"/>
      <c r="LGO20" s="69"/>
      <c r="LGP20" s="69"/>
      <c r="LGQ20" s="69"/>
      <c r="LGR20" s="69"/>
      <c r="LGS20" s="69"/>
      <c r="LGT20" s="69"/>
      <c r="LGU20" s="69"/>
      <c r="LGV20" s="69"/>
      <c r="LGW20" s="69"/>
      <c r="LGX20" s="69"/>
      <c r="LGY20" s="69"/>
      <c r="LGZ20" s="69"/>
      <c r="LHA20" s="69"/>
      <c r="LHB20" s="69"/>
      <c r="LHC20" s="69"/>
      <c r="LHD20" s="69"/>
      <c r="LHE20" s="69"/>
      <c r="LHF20" s="69"/>
      <c r="LHG20" s="69"/>
      <c r="LHH20" s="69"/>
      <c r="LHI20" s="69"/>
      <c r="LHJ20" s="69"/>
      <c r="LHK20" s="69"/>
      <c r="LHL20" s="69"/>
      <c r="LHM20" s="69"/>
      <c r="LHN20" s="69"/>
      <c r="LHO20" s="69"/>
      <c r="LHP20" s="69"/>
      <c r="LHQ20" s="69"/>
      <c r="LHR20" s="69"/>
      <c r="LHS20" s="69"/>
      <c r="LHT20" s="69"/>
      <c r="LHU20" s="69"/>
      <c r="LHV20" s="69"/>
      <c r="LHW20" s="69"/>
      <c r="LHX20" s="69"/>
      <c r="LHY20" s="69"/>
      <c r="LHZ20" s="69"/>
      <c r="LIA20" s="69"/>
      <c r="LIB20" s="69"/>
      <c r="LIC20" s="69"/>
      <c r="LID20" s="69"/>
      <c r="LIE20" s="69"/>
      <c r="LIF20" s="69"/>
      <c r="LIG20" s="69"/>
      <c r="LIH20" s="69"/>
      <c r="LII20" s="69"/>
      <c r="LIJ20" s="69"/>
      <c r="LIK20" s="69"/>
      <c r="LIL20" s="69"/>
      <c r="LIM20" s="69"/>
      <c r="LIN20" s="69"/>
      <c r="LIO20" s="69"/>
      <c r="LIP20" s="69"/>
      <c r="LIQ20" s="69"/>
      <c r="LIR20" s="69"/>
      <c r="LIS20" s="69"/>
      <c r="LIT20" s="69"/>
      <c r="LIU20" s="69"/>
      <c r="LIV20" s="69"/>
      <c r="LIW20" s="69"/>
      <c r="LIX20" s="69"/>
      <c r="LIY20" s="69"/>
      <c r="LIZ20" s="69"/>
      <c r="LJA20" s="69"/>
      <c r="LJB20" s="69"/>
      <c r="LJC20" s="69"/>
      <c r="LJD20" s="69"/>
      <c r="LJE20" s="69"/>
      <c r="LJF20" s="69"/>
      <c r="LJG20" s="69"/>
      <c r="LJH20" s="69"/>
      <c r="LJI20" s="69"/>
      <c r="LJJ20" s="69"/>
      <c r="LJK20" s="69"/>
      <c r="LJL20" s="69"/>
      <c r="LJM20" s="69"/>
      <c r="LJN20" s="69"/>
      <c r="LJO20" s="69"/>
      <c r="LJP20" s="69"/>
      <c r="LJQ20" s="69"/>
      <c r="LJR20" s="69"/>
      <c r="LJS20" s="69"/>
      <c r="LJT20" s="69"/>
      <c r="LJU20" s="69"/>
      <c r="LJV20" s="69"/>
      <c r="LJW20" s="69"/>
      <c r="LJX20" s="69"/>
      <c r="LJY20" s="69"/>
      <c r="LJZ20" s="69"/>
      <c r="LKA20" s="69"/>
      <c r="LKB20" s="69"/>
      <c r="LKC20" s="69"/>
      <c r="LKD20" s="69"/>
      <c r="LKE20" s="69"/>
      <c r="LKF20" s="69"/>
      <c r="LKG20" s="69"/>
      <c r="LKH20" s="69"/>
      <c r="LKI20" s="69"/>
      <c r="LKJ20" s="69"/>
      <c r="LKK20" s="69"/>
      <c r="LKL20" s="69"/>
      <c r="LKM20" s="69"/>
      <c r="LKN20" s="69"/>
      <c r="LKO20" s="69"/>
      <c r="LKP20" s="69"/>
      <c r="LKQ20" s="69"/>
      <c r="LKR20" s="69"/>
      <c r="LKS20" s="69"/>
      <c r="LKT20" s="69"/>
      <c r="LKU20" s="69"/>
      <c r="LKV20" s="69"/>
      <c r="LKW20" s="69"/>
      <c r="LKX20" s="69"/>
      <c r="LKY20" s="69"/>
      <c r="LKZ20" s="69"/>
      <c r="LLA20" s="69"/>
      <c r="LLB20" s="69"/>
      <c r="LLC20" s="69"/>
      <c r="LLD20" s="69"/>
      <c r="LLE20" s="69"/>
      <c r="LLF20" s="69"/>
      <c r="LLG20" s="69"/>
      <c r="LLH20" s="69"/>
      <c r="LLI20" s="69"/>
      <c r="LLJ20" s="69"/>
      <c r="LLK20" s="69"/>
      <c r="LLL20" s="69"/>
      <c r="LLM20" s="69"/>
      <c r="LLN20" s="69"/>
      <c r="LLO20" s="69"/>
      <c r="LLP20" s="69"/>
      <c r="LLQ20" s="69"/>
      <c r="LLR20" s="69"/>
      <c r="LLS20" s="69"/>
      <c r="LLT20" s="69"/>
      <c r="LLU20" s="69"/>
      <c r="LLV20" s="69"/>
      <c r="LLW20" s="69"/>
      <c r="LLX20" s="69"/>
      <c r="LLY20" s="69"/>
      <c r="LLZ20" s="69"/>
      <c r="LMA20" s="69"/>
      <c r="LMB20" s="69"/>
      <c r="LMC20" s="69"/>
      <c r="LMD20" s="69"/>
      <c r="LME20" s="69"/>
      <c r="LMF20" s="69"/>
      <c r="LMG20" s="69"/>
      <c r="LMH20" s="69"/>
      <c r="LMI20" s="69"/>
      <c r="LMJ20" s="69"/>
      <c r="LMK20" s="69"/>
      <c r="LML20" s="69"/>
      <c r="LMM20" s="69"/>
      <c r="LMN20" s="69"/>
      <c r="LMO20" s="69"/>
      <c r="LMP20" s="69"/>
      <c r="LMQ20" s="69"/>
      <c r="LMR20" s="69"/>
      <c r="LMS20" s="69"/>
      <c r="LMT20" s="69"/>
      <c r="LMU20" s="69"/>
      <c r="LMV20" s="69"/>
      <c r="LMW20" s="69"/>
      <c r="LMX20" s="69"/>
      <c r="LMY20" s="69"/>
      <c r="LMZ20" s="69"/>
      <c r="LNA20" s="69"/>
      <c r="LNB20" s="69"/>
      <c r="LNC20" s="69"/>
      <c r="LND20" s="69"/>
      <c r="LNE20" s="69"/>
      <c r="LNF20" s="69"/>
      <c r="LNG20" s="69"/>
      <c r="LNH20" s="69"/>
      <c r="LNI20" s="69"/>
      <c r="LNJ20" s="69"/>
      <c r="LNK20" s="69"/>
      <c r="LNL20" s="69"/>
      <c r="LNM20" s="69"/>
      <c r="LNN20" s="69"/>
      <c r="LNO20" s="69"/>
      <c r="LNP20" s="69"/>
      <c r="LNQ20" s="69"/>
      <c r="LNR20" s="69"/>
      <c r="LNS20" s="69"/>
      <c r="LNT20" s="69"/>
      <c r="LNU20" s="69"/>
      <c r="LNV20" s="69"/>
      <c r="LNW20" s="69"/>
      <c r="LNX20" s="69"/>
      <c r="LNY20" s="69"/>
      <c r="LNZ20" s="69"/>
      <c r="LOA20" s="69"/>
      <c r="LOB20" s="69"/>
      <c r="LOC20" s="69"/>
      <c r="LOD20" s="69"/>
      <c r="LOE20" s="69"/>
      <c r="LOF20" s="69"/>
      <c r="LOG20" s="69"/>
      <c r="LOH20" s="69"/>
      <c r="LOI20" s="69"/>
      <c r="LOJ20" s="69"/>
      <c r="LOK20" s="69"/>
      <c r="LOL20" s="69"/>
      <c r="LOM20" s="69"/>
      <c r="LON20" s="69"/>
      <c r="LOO20" s="69"/>
      <c r="LOP20" s="69"/>
      <c r="LOQ20" s="69"/>
      <c r="LOR20" s="69"/>
      <c r="LOS20" s="69"/>
      <c r="LOT20" s="69"/>
      <c r="LOU20" s="69"/>
      <c r="LOV20" s="69"/>
      <c r="LOW20" s="69"/>
      <c r="LOX20" s="69"/>
      <c r="LOY20" s="69"/>
      <c r="LOZ20" s="69"/>
      <c r="LPA20" s="69"/>
      <c r="LPB20" s="69"/>
      <c r="LPC20" s="69"/>
      <c r="LPD20" s="69"/>
      <c r="LPE20" s="69"/>
      <c r="LPF20" s="69"/>
      <c r="LPG20" s="69"/>
      <c r="LPH20" s="69"/>
      <c r="LPI20" s="69"/>
      <c r="LPJ20" s="69"/>
      <c r="LPK20" s="69"/>
      <c r="LPL20" s="69"/>
      <c r="LPM20" s="69"/>
      <c r="LPN20" s="69"/>
      <c r="LPO20" s="69"/>
      <c r="LPP20" s="69"/>
      <c r="LPQ20" s="69"/>
      <c r="LPR20" s="69"/>
      <c r="LPS20" s="69"/>
      <c r="LPT20" s="69"/>
      <c r="LPU20" s="69"/>
      <c r="LPV20" s="69"/>
      <c r="LPW20" s="69"/>
      <c r="LPX20" s="69"/>
      <c r="LPY20" s="69"/>
      <c r="LPZ20" s="69"/>
      <c r="LQA20" s="69"/>
      <c r="LQB20" s="69"/>
      <c r="LQC20" s="69"/>
      <c r="LQD20" s="69"/>
      <c r="LQE20" s="69"/>
      <c r="LQF20" s="69"/>
      <c r="LQG20" s="69"/>
      <c r="LQH20" s="69"/>
      <c r="LQI20" s="69"/>
      <c r="LQJ20" s="69"/>
      <c r="LQK20" s="69"/>
      <c r="LQL20" s="69"/>
      <c r="LQM20" s="69"/>
      <c r="LQN20" s="69"/>
      <c r="LQO20" s="69"/>
      <c r="LQP20" s="69"/>
      <c r="LQQ20" s="69"/>
      <c r="LQR20" s="69"/>
      <c r="LQS20" s="69"/>
      <c r="LQT20" s="69"/>
      <c r="LQU20" s="69"/>
      <c r="LQV20" s="69"/>
      <c r="LQW20" s="69"/>
      <c r="LQX20" s="69"/>
      <c r="LQY20" s="69"/>
      <c r="LQZ20" s="69"/>
      <c r="LRA20" s="69"/>
      <c r="LRB20" s="69"/>
      <c r="LRC20" s="69"/>
      <c r="LRD20" s="69"/>
      <c r="LRE20" s="69"/>
      <c r="LRF20" s="69"/>
      <c r="LRG20" s="69"/>
      <c r="LRH20" s="69"/>
      <c r="LRI20" s="69"/>
      <c r="LRJ20" s="69"/>
      <c r="LRK20" s="69"/>
      <c r="LRL20" s="69"/>
      <c r="LRM20" s="69"/>
      <c r="LRN20" s="69"/>
      <c r="LRO20" s="69"/>
      <c r="LRP20" s="69"/>
      <c r="LRQ20" s="69"/>
      <c r="LRR20" s="69"/>
      <c r="LRS20" s="69"/>
      <c r="LRT20" s="69"/>
      <c r="LRU20" s="69"/>
      <c r="LRV20" s="69"/>
      <c r="LRW20" s="69"/>
      <c r="LRX20" s="69"/>
      <c r="LRY20" s="69"/>
      <c r="LRZ20" s="69"/>
      <c r="LSA20" s="69"/>
      <c r="LSB20" s="69"/>
      <c r="LSC20" s="69"/>
      <c r="LSD20" s="69"/>
      <c r="LSE20" s="69"/>
      <c r="LSF20" s="69"/>
      <c r="LSG20" s="69"/>
      <c r="LSH20" s="69"/>
      <c r="LSI20" s="69"/>
      <c r="LSJ20" s="69"/>
      <c r="LSK20" s="69"/>
      <c r="LSL20" s="69"/>
      <c r="LSM20" s="69"/>
      <c r="LSN20" s="69"/>
      <c r="LSO20" s="69"/>
      <c r="LSP20" s="69"/>
      <c r="LSQ20" s="69"/>
      <c r="LSR20" s="69"/>
      <c r="LSS20" s="69"/>
      <c r="LST20" s="69"/>
      <c r="LSU20" s="69"/>
      <c r="LSV20" s="69"/>
      <c r="LSW20" s="69"/>
      <c r="LSX20" s="69"/>
      <c r="LSY20" s="69"/>
      <c r="LSZ20" s="69"/>
      <c r="LTA20" s="69"/>
      <c r="LTB20" s="69"/>
      <c r="LTC20" s="69"/>
      <c r="LTD20" s="69"/>
      <c r="LTE20" s="69"/>
      <c r="LTF20" s="69"/>
      <c r="LTG20" s="69"/>
      <c r="LTH20" s="69"/>
      <c r="LTI20" s="69"/>
      <c r="LTJ20" s="69"/>
      <c r="LTK20" s="69"/>
      <c r="LTL20" s="69"/>
      <c r="LTM20" s="69"/>
      <c r="LTN20" s="69"/>
      <c r="LTO20" s="69"/>
      <c r="LTP20" s="69"/>
      <c r="LTQ20" s="69"/>
      <c r="LTR20" s="69"/>
      <c r="LTS20" s="69"/>
      <c r="LTT20" s="69"/>
      <c r="LTU20" s="69"/>
      <c r="LTV20" s="69"/>
      <c r="LTW20" s="69"/>
      <c r="LTX20" s="69"/>
      <c r="LTY20" s="69"/>
      <c r="LTZ20" s="69"/>
      <c r="LUA20" s="69"/>
      <c r="LUB20" s="69"/>
      <c r="LUC20" s="69"/>
      <c r="LUD20" s="69"/>
      <c r="LUE20" s="69"/>
      <c r="LUF20" s="69"/>
      <c r="LUG20" s="69"/>
      <c r="LUH20" s="69"/>
      <c r="LUI20" s="69"/>
      <c r="LUJ20" s="69"/>
      <c r="LUK20" s="69"/>
      <c r="LUL20" s="69"/>
      <c r="LUM20" s="69"/>
      <c r="LUN20" s="69"/>
      <c r="LUO20" s="69"/>
      <c r="LUP20" s="69"/>
      <c r="LUQ20" s="69"/>
      <c r="LUR20" s="69"/>
      <c r="LUS20" s="69"/>
      <c r="LUT20" s="69"/>
      <c r="LUU20" s="69"/>
      <c r="LUV20" s="69"/>
      <c r="LUW20" s="69"/>
      <c r="LUX20" s="69"/>
      <c r="LUY20" s="69"/>
      <c r="LUZ20" s="69"/>
      <c r="LVA20" s="69"/>
      <c r="LVB20" s="69"/>
      <c r="LVC20" s="69"/>
      <c r="LVD20" s="69"/>
      <c r="LVE20" s="69"/>
      <c r="LVF20" s="69"/>
      <c r="LVG20" s="69"/>
      <c r="LVH20" s="69"/>
      <c r="LVI20" s="69"/>
      <c r="LVJ20" s="69"/>
      <c r="LVK20" s="69"/>
      <c r="LVL20" s="69"/>
      <c r="LVM20" s="69"/>
      <c r="LVN20" s="69"/>
      <c r="LVO20" s="69"/>
      <c r="LVP20" s="69"/>
      <c r="LVQ20" s="69"/>
      <c r="LVR20" s="69"/>
      <c r="LVS20" s="69"/>
      <c r="LVT20" s="69"/>
      <c r="LVU20" s="69"/>
      <c r="LVV20" s="69"/>
      <c r="LVW20" s="69"/>
      <c r="LVX20" s="69"/>
      <c r="LVY20" s="69"/>
      <c r="LVZ20" s="69"/>
      <c r="LWA20" s="69"/>
      <c r="LWB20" s="69"/>
      <c r="LWC20" s="69"/>
      <c r="LWD20" s="69"/>
      <c r="LWE20" s="69"/>
      <c r="LWF20" s="69"/>
      <c r="LWG20" s="69"/>
      <c r="LWH20" s="69"/>
      <c r="LWI20" s="69"/>
      <c r="LWJ20" s="69"/>
      <c r="LWK20" s="69"/>
      <c r="LWL20" s="69"/>
      <c r="LWM20" s="69"/>
      <c r="LWN20" s="69"/>
      <c r="LWO20" s="69"/>
      <c r="LWP20" s="69"/>
      <c r="LWQ20" s="69"/>
      <c r="LWR20" s="69"/>
      <c r="LWS20" s="69"/>
      <c r="LWT20" s="69"/>
      <c r="LWU20" s="69"/>
      <c r="LWV20" s="69"/>
      <c r="LWW20" s="69"/>
      <c r="LWX20" s="69"/>
      <c r="LWY20" s="69"/>
      <c r="LWZ20" s="69"/>
      <c r="LXA20" s="69"/>
      <c r="LXB20" s="69"/>
      <c r="LXC20" s="69"/>
      <c r="LXD20" s="69"/>
      <c r="LXE20" s="69"/>
      <c r="LXF20" s="69"/>
      <c r="LXG20" s="69"/>
      <c r="LXH20" s="69"/>
      <c r="LXI20" s="69"/>
      <c r="LXJ20" s="69"/>
      <c r="LXK20" s="69"/>
      <c r="LXL20" s="69"/>
      <c r="LXM20" s="69"/>
      <c r="LXN20" s="69"/>
      <c r="LXO20" s="69"/>
      <c r="LXP20" s="69"/>
      <c r="LXQ20" s="69"/>
      <c r="LXR20" s="69"/>
      <c r="LXS20" s="69"/>
      <c r="LXT20" s="69"/>
      <c r="LXU20" s="69"/>
      <c r="LXV20" s="69"/>
      <c r="LXW20" s="69"/>
      <c r="LXX20" s="69"/>
      <c r="LXY20" s="69"/>
      <c r="LXZ20" s="69"/>
      <c r="LYA20" s="69"/>
      <c r="LYB20" s="69"/>
      <c r="LYC20" s="69"/>
      <c r="LYD20" s="69"/>
      <c r="LYE20" s="69"/>
      <c r="LYF20" s="69"/>
      <c r="LYG20" s="69"/>
      <c r="LYH20" s="69"/>
      <c r="LYI20" s="69"/>
      <c r="LYJ20" s="69"/>
      <c r="LYK20" s="69"/>
      <c r="LYL20" s="69"/>
      <c r="LYM20" s="69"/>
      <c r="LYN20" s="69"/>
      <c r="LYO20" s="69"/>
      <c r="LYP20" s="69"/>
      <c r="LYQ20" s="69"/>
      <c r="LYR20" s="69"/>
      <c r="LYS20" s="69"/>
      <c r="LYT20" s="69"/>
      <c r="LYU20" s="69"/>
      <c r="LYV20" s="69"/>
      <c r="LYW20" s="69"/>
      <c r="LYX20" s="69"/>
      <c r="LYY20" s="69"/>
      <c r="LYZ20" s="69"/>
      <c r="LZA20" s="69"/>
      <c r="LZB20" s="69"/>
      <c r="LZC20" s="69"/>
      <c r="LZD20" s="69"/>
      <c r="LZE20" s="69"/>
      <c r="LZF20" s="69"/>
      <c r="LZG20" s="69"/>
      <c r="LZH20" s="69"/>
      <c r="LZI20" s="69"/>
      <c r="LZJ20" s="69"/>
      <c r="LZK20" s="69"/>
      <c r="LZL20" s="69"/>
      <c r="LZM20" s="69"/>
      <c r="LZN20" s="69"/>
      <c r="LZO20" s="69"/>
      <c r="LZP20" s="69"/>
      <c r="LZQ20" s="69"/>
      <c r="LZR20" s="69"/>
      <c r="LZS20" s="69"/>
      <c r="LZT20" s="69"/>
      <c r="LZU20" s="69"/>
      <c r="LZV20" s="69"/>
      <c r="LZW20" s="69"/>
      <c r="LZX20" s="69"/>
      <c r="LZY20" s="69"/>
      <c r="LZZ20" s="69"/>
      <c r="MAA20" s="69"/>
      <c r="MAB20" s="69"/>
      <c r="MAC20" s="69"/>
      <c r="MAD20" s="69"/>
      <c r="MAE20" s="69"/>
      <c r="MAF20" s="69"/>
      <c r="MAG20" s="69"/>
      <c r="MAH20" s="69"/>
      <c r="MAI20" s="69"/>
      <c r="MAJ20" s="69"/>
      <c r="MAK20" s="69"/>
      <c r="MAL20" s="69"/>
      <c r="MAM20" s="69"/>
      <c r="MAN20" s="69"/>
      <c r="MAO20" s="69"/>
      <c r="MAP20" s="69"/>
      <c r="MAQ20" s="69"/>
      <c r="MAR20" s="69"/>
      <c r="MAS20" s="69"/>
      <c r="MAT20" s="69"/>
      <c r="MAU20" s="69"/>
      <c r="MAV20" s="69"/>
      <c r="MAW20" s="69"/>
      <c r="MAX20" s="69"/>
      <c r="MAY20" s="69"/>
      <c r="MAZ20" s="69"/>
      <c r="MBA20" s="69"/>
      <c r="MBB20" s="69"/>
      <c r="MBC20" s="69"/>
      <c r="MBD20" s="69"/>
      <c r="MBE20" s="69"/>
      <c r="MBF20" s="69"/>
      <c r="MBG20" s="69"/>
      <c r="MBH20" s="69"/>
      <c r="MBI20" s="69"/>
      <c r="MBJ20" s="69"/>
      <c r="MBK20" s="69"/>
      <c r="MBL20" s="69"/>
      <c r="MBM20" s="69"/>
      <c r="MBN20" s="69"/>
      <c r="MBO20" s="69"/>
      <c r="MBP20" s="69"/>
      <c r="MBQ20" s="69"/>
      <c r="MBR20" s="69"/>
      <c r="MBS20" s="69"/>
      <c r="MBT20" s="69"/>
      <c r="MBU20" s="69"/>
      <c r="MBV20" s="69"/>
      <c r="MBW20" s="69"/>
      <c r="MBX20" s="69"/>
      <c r="MBY20" s="69"/>
      <c r="MBZ20" s="69"/>
      <c r="MCA20" s="69"/>
      <c r="MCB20" s="69"/>
      <c r="MCC20" s="69"/>
      <c r="MCD20" s="69"/>
      <c r="MCE20" s="69"/>
      <c r="MCF20" s="69"/>
      <c r="MCG20" s="69"/>
      <c r="MCH20" s="69"/>
      <c r="MCI20" s="69"/>
      <c r="MCJ20" s="69"/>
      <c r="MCK20" s="69"/>
      <c r="MCL20" s="69"/>
      <c r="MCM20" s="69"/>
      <c r="MCN20" s="69"/>
      <c r="MCO20" s="69"/>
      <c r="MCP20" s="69"/>
      <c r="MCQ20" s="69"/>
      <c r="MCR20" s="69"/>
      <c r="MCS20" s="69"/>
      <c r="MCT20" s="69"/>
      <c r="MCU20" s="69"/>
      <c r="MCV20" s="69"/>
      <c r="MCW20" s="69"/>
      <c r="MCX20" s="69"/>
      <c r="MCY20" s="69"/>
      <c r="MCZ20" s="69"/>
      <c r="MDA20" s="69"/>
      <c r="MDB20" s="69"/>
      <c r="MDC20" s="69"/>
      <c r="MDD20" s="69"/>
      <c r="MDE20" s="69"/>
      <c r="MDF20" s="69"/>
      <c r="MDG20" s="69"/>
      <c r="MDH20" s="69"/>
      <c r="MDI20" s="69"/>
      <c r="MDJ20" s="69"/>
      <c r="MDK20" s="69"/>
      <c r="MDL20" s="69"/>
      <c r="MDM20" s="69"/>
      <c r="MDN20" s="69"/>
      <c r="MDO20" s="69"/>
      <c r="MDP20" s="69"/>
      <c r="MDQ20" s="69"/>
      <c r="MDR20" s="69"/>
      <c r="MDS20" s="69"/>
      <c r="MDT20" s="69"/>
      <c r="MDU20" s="69"/>
      <c r="MDV20" s="69"/>
      <c r="MDW20" s="69"/>
      <c r="MDX20" s="69"/>
      <c r="MDY20" s="69"/>
      <c r="MDZ20" s="69"/>
      <c r="MEA20" s="69"/>
      <c r="MEB20" s="69"/>
      <c r="MEC20" s="69"/>
      <c r="MED20" s="69"/>
      <c r="MEE20" s="69"/>
      <c r="MEF20" s="69"/>
      <c r="MEG20" s="69"/>
      <c r="MEH20" s="69"/>
      <c r="MEI20" s="69"/>
      <c r="MEJ20" s="69"/>
      <c r="MEK20" s="69"/>
      <c r="MEL20" s="69"/>
      <c r="MEM20" s="69"/>
      <c r="MEN20" s="69"/>
      <c r="MEO20" s="69"/>
      <c r="MEP20" s="69"/>
      <c r="MEQ20" s="69"/>
      <c r="MER20" s="69"/>
      <c r="MES20" s="69"/>
      <c r="MET20" s="69"/>
      <c r="MEU20" s="69"/>
      <c r="MEV20" s="69"/>
      <c r="MEW20" s="69"/>
      <c r="MEX20" s="69"/>
      <c r="MEY20" s="69"/>
      <c r="MEZ20" s="69"/>
      <c r="MFA20" s="69"/>
      <c r="MFB20" s="69"/>
      <c r="MFC20" s="69"/>
      <c r="MFD20" s="69"/>
      <c r="MFE20" s="69"/>
      <c r="MFF20" s="69"/>
      <c r="MFG20" s="69"/>
      <c r="MFH20" s="69"/>
      <c r="MFI20" s="69"/>
      <c r="MFJ20" s="69"/>
      <c r="MFK20" s="69"/>
      <c r="MFL20" s="69"/>
      <c r="MFM20" s="69"/>
      <c r="MFN20" s="69"/>
      <c r="MFO20" s="69"/>
      <c r="MFP20" s="69"/>
      <c r="MFQ20" s="69"/>
      <c r="MFR20" s="69"/>
      <c r="MFS20" s="69"/>
      <c r="MFT20" s="69"/>
      <c r="MFU20" s="69"/>
      <c r="MFV20" s="69"/>
      <c r="MFW20" s="69"/>
      <c r="MFX20" s="69"/>
      <c r="MFY20" s="69"/>
      <c r="MFZ20" s="69"/>
      <c r="MGA20" s="69"/>
      <c r="MGB20" s="69"/>
      <c r="MGC20" s="69"/>
      <c r="MGD20" s="69"/>
      <c r="MGE20" s="69"/>
      <c r="MGF20" s="69"/>
      <c r="MGG20" s="69"/>
      <c r="MGH20" s="69"/>
      <c r="MGI20" s="69"/>
      <c r="MGJ20" s="69"/>
      <c r="MGK20" s="69"/>
      <c r="MGL20" s="69"/>
      <c r="MGM20" s="69"/>
      <c r="MGN20" s="69"/>
      <c r="MGO20" s="69"/>
      <c r="MGP20" s="69"/>
      <c r="MGQ20" s="69"/>
      <c r="MGR20" s="69"/>
      <c r="MGS20" s="69"/>
      <c r="MGT20" s="69"/>
      <c r="MGU20" s="69"/>
      <c r="MGV20" s="69"/>
      <c r="MGW20" s="69"/>
      <c r="MGX20" s="69"/>
      <c r="MGY20" s="69"/>
      <c r="MGZ20" s="69"/>
      <c r="MHA20" s="69"/>
      <c r="MHB20" s="69"/>
      <c r="MHC20" s="69"/>
      <c r="MHD20" s="69"/>
      <c r="MHE20" s="69"/>
      <c r="MHF20" s="69"/>
      <c r="MHG20" s="69"/>
      <c r="MHH20" s="69"/>
      <c r="MHI20" s="69"/>
      <c r="MHJ20" s="69"/>
      <c r="MHK20" s="69"/>
      <c r="MHL20" s="69"/>
      <c r="MHM20" s="69"/>
      <c r="MHN20" s="69"/>
      <c r="MHO20" s="69"/>
      <c r="MHP20" s="69"/>
      <c r="MHQ20" s="69"/>
      <c r="MHR20" s="69"/>
      <c r="MHS20" s="69"/>
      <c r="MHT20" s="69"/>
      <c r="MHU20" s="69"/>
      <c r="MHV20" s="69"/>
      <c r="MHW20" s="69"/>
      <c r="MHX20" s="69"/>
      <c r="MHY20" s="69"/>
      <c r="MHZ20" s="69"/>
      <c r="MIA20" s="69"/>
      <c r="MIB20" s="69"/>
      <c r="MIC20" s="69"/>
      <c r="MID20" s="69"/>
      <c r="MIE20" s="69"/>
      <c r="MIF20" s="69"/>
      <c r="MIG20" s="69"/>
      <c r="MIH20" s="69"/>
      <c r="MII20" s="69"/>
      <c r="MIJ20" s="69"/>
      <c r="MIK20" s="69"/>
      <c r="MIL20" s="69"/>
      <c r="MIM20" s="69"/>
      <c r="MIN20" s="69"/>
      <c r="MIO20" s="69"/>
      <c r="MIP20" s="69"/>
      <c r="MIQ20" s="69"/>
      <c r="MIR20" s="69"/>
      <c r="MIS20" s="69"/>
      <c r="MIT20" s="69"/>
      <c r="MIU20" s="69"/>
      <c r="MIV20" s="69"/>
      <c r="MIW20" s="69"/>
      <c r="MIX20" s="69"/>
      <c r="MIY20" s="69"/>
      <c r="MIZ20" s="69"/>
      <c r="MJA20" s="69"/>
      <c r="MJB20" s="69"/>
      <c r="MJC20" s="69"/>
      <c r="MJD20" s="69"/>
      <c r="MJE20" s="69"/>
      <c r="MJF20" s="69"/>
      <c r="MJG20" s="69"/>
      <c r="MJH20" s="69"/>
      <c r="MJI20" s="69"/>
      <c r="MJJ20" s="69"/>
      <c r="MJK20" s="69"/>
      <c r="MJL20" s="69"/>
      <c r="MJM20" s="69"/>
      <c r="MJN20" s="69"/>
      <c r="MJO20" s="69"/>
      <c r="MJP20" s="69"/>
      <c r="MJQ20" s="69"/>
      <c r="MJR20" s="69"/>
      <c r="MJS20" s="69"/>
      <c r="MJT20" s="69"/>
      <c r="MJU20" s="69"/>
      <c r="MJV20" s="69"/>
      <c r="MJW20" s="69"/>
      <c r="MJX20" s="69"/>
      <c r="MJY20" s="69"/>
      <c r="MJZ20" s="69"/>
      <c r="MKA20" s="69"/>
      <c r="MKB20" s="69"/>
      <c r="MKC20" s="69"/>
      <c r="MKD20" s="69"/>
      <c r="MKE20" s="69"/>
      <c r="MKF20" s="69"/>
      <c r="MKG20" s="69"/>
      <c r="MKH20" s="69"/>
      <c r="MKI20" s="69"/>
      <c r="MKJ20" s="69"/>
      <c r="MKK20" s="69"/>
      <c r="MKL20" s="69"/>
      <c r="MKM20" s="69"/>
      <c r="MKN20" s="69"/>
      <c r="MKO20" s="69"/>
      <c r="MKP20" s="69"/>
      <c r="MKQ20" s="69"/>
      <c r="MKR20" s="69"/>
      <c r="MKS20" s="69"/>
      <c r="MKT20" s="69"/>
      <c r="MKU20" s="69"/>
      <c r="MKV20" s="69"/>
      <c r="MKW20" s="69"/>
      <c r="MKX20" s="69"/>
      <c r="MKY20" s="69"/>
      <c r="MKZ20" s="69"/>
      <c r="MLA20" s="69"/>
      <c r="MLB20" s="69"/>
      <c r="MLC20" s="69"/>
      <c r="MLD20" s="69"/>
      <c r="MLE20" s="69"/>
      <c r="MLF20" s="69"/>
      <c r="MLG20" s="69"/>
      <c r="MLH20" s="69"/>
      <c r="MLI20" s="69"/>
      <c r="MLJ20" s="69"/>
      <c r="MLK20" s="69"/>
      <c r="MLL20" s="69"/>
      <c r="MLM20" s="69"/>
      <c r="MLN20" s="69"/>
      <c r="MLO20" s="69"/>
      <c r="MLP20" s="69"/>
      <c r="MLQ20" s="69"/>
      <c r="MLR20" s="69"/>
      <c r="MLS20" s="69"/>
      <c r="MLT20" s="69"/>
      <c r="MLU20" s="69"/>
      <c r="MLV20" s="69"/>
      <c r="MLW20" s="69"/>
      <c r="MLX20" s="69"/>
      <c r="MLY20" s="69"/>
      <c r="MLZ20" s="69"/>
      <c r="MMA20" s="69"/>
      <c r="MMB20" s="69"/>
      <c r="MMC20" s="69"/>
      <c r="MMD20" s="69"/>
      <c r="MME20" s="69"/>
      <c r="MMF20" s="69"/>
      <c r="MMG20" s="69"/>
      <c r="MMH20" s="69"/>
      <c r="MMI20" s="69"/>
      <c r="MMJ20" s="69"/>
      <c r="MMK20" s="69"/>
      <c r="MML20" s="69"/>
      <c r="MMM20" s="69"/>
      <c r="MMN20" s="69"/>
      <c r="MMO20" s="69"/>
      <c r="MMP20" s="69"/>
      <c r="MMQ20" s="69"/>
      <c r="MMR20" s="69"/>
      <c r="MMS20" s="69"/>
      <c r="MMT20" s="69"/>
      <c r="MMU20" s="69"/>
      <c r="MMV20" s="69"/>
      <c r="MMW20" s="69"/>
      <c r="MMX20" s="69"/>
      <c r="MMY20" s="69"/>
      <c r="MMZ20" s="69"/>
      <c r="MNA20" s="69"/>
      <c r="MNB20" s="69"/>
      <c r="MNC20" s="69"/>
      <c r="MND20" s="69"/>
      <c r="MNE20" s="69"/>
      <c r="MNF20" s="69"/>
      <c r="MNG20" s="69"/>
      <c r="MNH20" s="69"/>
      <c r="MNI20" s="69"/>
      <c r="MNJ20" s="69"/>
      <c r="MNK20" s="69"/>
      <c r="MNL20" s="69"/>
      <c r="MNM20" s="69"/>
      <c r="MNN20" s="69"/>
      <c r="MNO20" s="69"/>
      <c r="MNP20" s="69"/>
      <c r="MNQ20" s="69"/>
      <c r="MNR20" s="69"/>
      <c r="MNS20" s="69"/>
      <c r="MNT20" s="69"/>
      <c r="MNU20" s="69"/>
      <c r="MNV20" s="69"/>
      <c r="MNW20" s="69"/>
      <c r="MNX20" s="69"/>
      <c r="MNY20" s="69"/>
      <c r="MNZ20" s="69"/>
      <c r="MOA20" s="69"/>
      <c r="MOB20" s="69"/>
      <c r="MOC20" s="69"/>
      <c r="MOD20" s="69"/>
      <c r="MOE20" s="69"/>
      <c r="MOF20" s="69"/>
      <c r="MOG20" s="69"/>
      <c r="MOH20" s="69"/>
      <c r="MOI20" s="69"/>
      <c r="MOJ20" s="69"/>
      <c r="MOK20" s="69"/>
      <c r="MOL20" s="69"/>
      <c r="MOM20" s="69"/>
      <c r="MON20" s="69"/>
      <c r="MOO20" s="69"/>
      <c r="MOP20" s="69"/>
      <c r="MOQ20" s="69"/>
      <c r="MOR20" s="69"/>
      <c r="MOS20" s="69"/>
      <c r="MOT20" s="69"/>
      <c r="MOU20" s="69"/>
      <c r="MOV20" s="69"/>
      <c r="MOW20" s="69"/>
      <c r="MOX20" s="69"/>
      <c r="MOY20" s="69"/>
      <c r="MOZ20" s="69"/>
      <c r="MPA20" s="69"/>
      <c r="MPB20" s="69"/>
      <c r="MPC20" s="69"/>
      <c r="MPD20" s="69"/>
      <c r="MPE20" s="69"/>
      <c r="MPF20" s="69"/>
      <c r="MPG20" s="69"/>
      <c r="MPH20" s="69"/>
      <c r="MPI20" s="69"/>
      <c r="MPJ20" s="69"/>
      <c r="MPK20" s="69"/>
      <c r="MPL20" s="69"/>
      <c r="MPM20" s="69"/>
      <c r="MPN20" s="69"/>
      <c r="MPO20" s="69"/>
      <c r="MPP20" s="69"/>
      <c r="MPQ20" s="69"/>
      <c r="MPR20" s="69"/>
      <c r="MPS20" s="69"/>
      <c r="MPT20" s="69"/>
      <c r="MPU20" s="69"/>
      <c r="MPV20" s="69"/>
      <c r="MPW20" s="69"/>
      <c r="MPX20" s="69"/>
      <c r="MPY20" s="69"/>
      <c r="MPZ20" s="69"/>
      <c r="MQA20" s="69"/>
      <c r="MQB20" s="69"/>
      <c r="MQC20" s="69"/>
      <c r="MQD20" s="69"/>
      <c r="MQE20" s="69"/>
      <c r="MQF20" s="69"/>
      <c r="MQG20" s="69"/>
      <c r="MQH20" s="69"/>
      <c r="MQI20" s="69"/>
      <c r="MQJ20" s="69"/>
      <c r="MQK20" s="69"/>
      <c r="MQL20" s="69"/>
      <c r="MQM20" s="69"/>
      <c r="MQN20" s="69"/>
      <c r="MQO20" s="69"/>
      <c r="MQP20" s="69"/>
      <c r="MQQ20" s="69"/>
      <c r="MQR20" s="69"/>
      <c r="MQS20" s="69"/>
      <c r="MQT20" s="69"/>
      <c r="MQU20" s="69"/>
      <c r="MQV20" s="69"/>
      <c r="MQW20" s="69"/>
      <c r="MQX20" s="69"/>
      <c r="MQY20" s="69"/>
      <c r="MQZ20" s="69"/>
      <c r="MRA20" s="69"/>
      <c r="MRB20" s="69"/>
      <c r="MRC20" s="69"/>
      <c r="MRD20" s="69"/>
      <c r="MRE20" s="69"/>
      <c r="MRF20" s="69"/>
      <c r="MRG20" s="69"/>
      <c r="MRH20" s="69"/>
      <c r="MRI20" s="69"/>
      <c r="MRJ20" s="69"/>
      <c r="MRK20" s="69"/>
      <c r="MRL20" s="69"/>
      <c r="MRM20" s="69"/>
      <c r="MRN20" s="69"/>
      <c r="MRO20" s="69"/>
      <c r="MRP20" s="69"/>
      <c r="MRQ20" s="69"/>
      <c r="MRR20" s="69"/>
      <c r="MRS20" s="69"/>
      <c r="MRT20" s="69"/>
      <c r="MRU20" s="69"/>
      <c r="MRV20" s="69"/>
      <c r="MRW20" s="69"/>
      <c r="MRX20" s="69"/>
      <c r="MRY20" s="69"/>
      <c r="MRZ20" s="69"/>
      <c r="MSA20" s="69"/>
      <c r="MSB20" s="69"/>
      <c r="MSC20" s="69"/>
      <c r="MSD20" s="69"/>
      <c r="MSE20" s="69"/>
      <c r="MSF20" s="69"/>
      <c r="MSG20" s="69"/>
      <c r="MSH20" s="69"/>
      <c r="MSI20" s="69"/>
      <c r="MSJ20" s="69"/>
      <c r="MSK20" s="69"/>
      <c r="MSL20" s="69"/>
      <c r="MSM20" s="69"/>
      <c r="MSN20" s="69"/>
      <c r="MSO20" s="69"/>
      <c r="MSP20" s="69"/>
      <c r="MSQ20" s="69"/>
      <c r="MSR20" s="69"/>
      <c r="MSS20" s="69"/>
      <c r="MST20" s="69"/>
      <c r="MSU20" s="69"/>
      <c r="MSV20" s="69"/>
      <c r="MSW20" s="69"/>
      <c r="MSX20" s="69"/>
      <c r="MSY20" s="69"/>
      <c r="MSZ20" s="69"/>
      <c r="MTA20" s="69"/>
      <c r="MTB20" s="69"/>
      <c r="MTC20" s="69"/>
      <c r="MTD20" s="69"/>
      <c r="MTE20" s="69"/>
      <c r="MTF20" s="69"/>
      <c r="MTG20" s="69"/>
      <c r="MTH20" s="69"/>
      <c r="MTI20" s="69"/>
      <c r="MTJ20" s="69"/>
      <c r="MTK20" s="69"/>
      <c r="MTL20" s="69"/>
      <c r="MTM20" s="69"/>
      <c r="MTN20" s="69"/>
      <c r="MTO20" s="69"/>
      <c r="MTP20" s="69"/>
      <c r="MTQ20" s="69"/>
      <c r="MTR20" s="69"/>
      <c r="MTS20" s="69"/>
      <c r="MTT20" s="69"/>
      <c r="MTU20" s="69"/>
      <c r="MTV20" s="69"/>
      <c r="MTW20" s="69"/>
      <c r="MTX20" s="69"/>
      <c r="MTY20" s="69"/>
      <c r="MTZ20" s="69"/>
      <c r="MUA20" s="69"/>
      <c r="MUB20" s="69"/>
      <c r="MUC20" s="69"/>
      <c r="MUD20" s="69"/>
      <c r="MUE20" s="69"/>
      <c r="MUF20" s="69"/>
      <c r="MUG20" s="69"/>
      <c r="MUH20" s="69"/>
      <c r="MUI20" s="69"/>
      <c r="MUJ20" s="69"/>
      <c r="MUK20" s="69"/>
      <c r="MUL20" s="69"/>
      <c r="MUM20" s="69"/>
      <c r="MUN20" s="69"/>
      <c r="MUO20" s="69"/>
      <c r="MUP20" s="69"/>
      <c r="MUQ20" s="69"/>
      <c r="MUR20" s="69"/>
      <c r="MUS20" s="69"/>
      <c r="MUT20" s="69"/>
      <c r="MUU20" s="69"/>
      <c r="MUV20" s="69"/>
      <c r="MUW20" s="69"/>
      <c r="MUX20" s="69"/>
      <c r="MUY20" s="69"/>
      <c r="MUZ20" s="69"/>
      <c r="MVA20" s="69"/>
      <c r="MVB20" s="69"/>
      <c r="MVC20" s="69"/>
      <c r="MVD20" s="69"/>
      <c r="MVE20" s="69"/>
      <c r="MVF20" s="69"/>
      <c r="MVG20" s="69"/>
      <c r="MVH20" s="69"/>
      <c r="MVI20" s="69"/>
      <c r="MVJ20" s="69"/>
      <c r="MVK20" s="69"/>
      <c r="MVL20" s="69"/>
      <c r="MVM20" s="69"/>
      <c r="MVN20" s="69"/>
      <c r="MVO20" s="69"/>
      <c r="MVP20" s="69"/>
      <c r="MVQ20" s="69"/>
      <c r="MVR20" s="69"/>
      <c r="MVS20" s="69"/>
      <c r="MVT20" s="69"/>
      <c r="MVU20" s="69"/>
      <c r="MVV20" s="69"/>
      <c r="MVW20" s="69"/>
      <c r="MVX20" s="69"/>
      <c r="MVY20" s="69"/>
      <c r="MVZ20" s="69"/>
      <c r="MWA20" s="69"/>
      <c r="MWB20" s="69"/>
      <c r="MWC20" s="69"/>
      <c r="MWD20" s="69"/>
      <c r="MWE20" s="69"/>
      <c r="MWF20" s="69"/>
      <c r="MWG20" s="69"/>
      <c r="MWH20" s="69"/>
      <c r="MWI20" s="69"/>
      <c r="MWJ20" s="69"/>
      <c r="MWK20" s="69"/>
      <c r="MWL20" s="69"/>
      <c r="MWM20" s="69"/>
      <c r="MWN20" s="69"/>
      <c r="MWO20" s="69"/>
      <c r="MWP20" s="69"/>
      <c r="MWQ20" s="69"/>
      <c r="MWR20" s="69"/>
      <c r="MWS20" s="69"/>
      <c r="MWT20" s="69"/>
      <c r="MWU20" s="69"/>
      <c r="MWV20" s="69"/>
      <c r="MWW20" s="69"/>
      <c r="MWX20" s="69"/>
      <c r="MWY20" s="69"/>
      <c r="MWZ20" s="69"/>
      <c r="MXA20" s="69"/>
      <c r="MXB20" s="69"/>
      <c r="MXC20" s="69"/>
      <c r="MXD20" s="69"/>
      <c r="MXE20" s="69"/>
      <c r="MXF20" s="69"/>
      <c r="MXG20" s="69"/>
      <c r="MXH20" s="69"/>
      <c r="MXI20" s="69"/>
      <c r="MXJ20" s="69"/>
      <c r="MXK20" s="69"/>
      <c r="MXL20" s="69"/>
      <c r="MXM20" s="69"/>
      <c r="MXN20" s="69"/>
      <c r="MXO20" s="69"/>
      <c r="MXP20" s="69"/>
      <c r="MXQ20" s="69"/>
      <c r="MXR20" s="69"/>
      <c r="MXS20" s="69"/>
      <c r="MXT20" s="69"/>
      <c r="MXU20" s="69"/>
      <c r="MXV20" s="69"/>
      <c r="MXW20" s="69"/>
      <c r="MXX20" s="69"/>
      <c r="MXY20" s="69"/>
      <c r="MXZ20" s="69"/>
      <c r="MYA20" s="69"/>
      <c r="MYB20" s="69"/>
      <c r="MYC20" s="69"/>
      <c r="MYD20" s="69"/>
      <c r="MYE20" s="69"/>
      <c r="MYF20" s="69"/>
      <c r="MYG20" s="69"/>
      <c r="MYH20" s="69"/>
      <c r="MYI20" s="69"/>
      <c r="MYJ20" s="69"/>
      <c r="MYK20" s="69"/>
      <c r="MYL20" s="69"/>
      <c r="MYM20" s="69"/>
      <c r="MYN20" s="69"/>
      <c r="MYO20" s="69"/>
      <c r="MYP20" s="69"/>
      <c r="MYQ20" s="69"/>
      <c r="MYR20" s="69"/>
      <c r="MYS20" s="69"/>
      <c r="MYT20" s="69"/>
      <c r="MYU20" s="69"/>
      <c r="MYV20" s="69"/>
      <c r="MYW20" s="69"/>
      <c r="MYX20" s="69"/>
      <c r="MYY20" s="69"/>
      <c r="MYZ20" s="69"/>
      <c r="MZA20" s="69"/>
      <c r="MZB20" s="69"/>
      <c r="MZC20" s="69"/>
      <c r="MZD20" s="69"/>
      <c r="MZE20" s="69"/>
      <c r="MZF20" s="69"/>
      <c r="MZG20" s="69"/>
      <c r="MZH20" s="69"/>
      <c r="MZI20" s="69"/>
      <c r="MZJ20" s="69"/>
      <c r="MZK20" s="69"/>
      <c r="MZL20" s="69"/>
      <c r="MZM20" s="69"/>
      <c r="MZN20" s="69"/>
      <c r="MZO20" s="69"/>
      <c r="MZP20" s="69"/>
      <c r="MZQ20" s="69"/>
      <c r="MZR20" s="69"/>
      <c r="MZS20" s="69"/>
      <c r="MZT20" s="69"/>
      <c r="MZU20" s="69"/>
      <c r="MZV20" s="69"/>
      <c r="MZW20" s="69"/>
      <c r="MZX20" s="69"/>
      <c r="MZY20" s="69"/>
      <c r="MZZ20" s="69"/>
      <c r="NAA20" s="69"/>
      <c r="NAB20" s="69"/>
      <c r="NAC20" s="69"/>
      <c r="NAD20" s="69"/>
      <c r="NAE20" s="69"/>
      <c r="NAF20" s="69"/>
      <c r="NAG20" s="69"/>
      <c r="NAH20" s="69"/>
      <c r="NAI20" s="69"/>
      <c r="NAJ20" s="69"/>
      <c r="NAK20" s="69"/>
      <c r="NAL20" s="69"/>
      <c r="NAM20" s="69"/>
      <c r="NAN20" s="69"/>
      <c r="NAO20" s="69"/>
      <c r="NAP20" s="69"/>
      <c r="NAQ20" s="69"/>
      <c r="NAR20" s="69"/>
      <c r="NAS20" s="69"/>
      <c r="NAT20" s="69"/>
      <c r="NAU20" s="69"/>
      <c r="NAV20" s="69"/>
      <c r="NAW20" s="69"/>
      <c r="NAX20" s="69"/>
      <c r="NAY20" s="69"/>
      <c r="NAZ20" s="69"/>
      <c r="NBA20" s="69"/>
      <c r="NBB20" s="69"/>
      <c r="NBC20" s="69"/>
      <c r="NBD20" s="69"/>
      <c r="NBE20" s="69"/>
      <c r="NBF20" s="69"/>
      <c r="NBG20" s="69"/>
      <c r="NBH20" s="69"/>
      <c r="NBI20" s="69"/>
      <c r="NBJ20" s="69"/>
      <c r="NBK20" s="69"/>
      <c r="NBL20" s="69"/>
      <c r="NBM20" s="69"/>
      <c r="NBN20" s="69"/>
      <c r="NBO20" s="69"/>
      <c r="NBP20" s="69"/>
      <c r="NBQ20" s="69"/>
      <c r="NBR20" s="69"/>
      <c r="NBS20" s="69"/>
      <c r="NBT20" s="69"/>
      <c r="NBU20" s="69"/>
      <c r="NBV20" s="69"/>
      <c r="NBW20" s="69"/>
      <c r="NBX20" s="69"/>
      <c r="NBY20" s="69"/>
      <c r="NBZ20" s="69"/>
      <c r="NCA20" s="69"/>
      <c r="NCB20" s="69"/>
      <c r="NCC20" s="69"/>
      <c r="NCD20" s="69"/>
      <c r="NCE20" s="69"/>
      <c r="NCF20" s="69"/>
      <c r="NCG20" s="69"/>
      <c r="NCH20" s="69"/>
      <c r="NCI20" s="69"/>
      <c r="NCJ20" s="69"/>
      <c r="NCK20" s="69"/>
      <c r="NCL20" s="69"/>
      <c r="NCM20" s="69"/>
      <c r="NCN20" s="69"/>
      <c r="NCO20" s="69"/>
      <c r="NCP20" s="69"/>
      <c r="NCQ20" s="69"/>
      <c r="NCR20" s="69"/>
      <c r="NCS20" s="69"/>
      <c r="NCT20" s="69"/>
      <c r="NCU20" s="69"/>
      <c r="NCV20" s="69"/>
      <c r="NCW20" s="69"/>
      <c r="NCX20" s="69"/>
      <c r="NCY20" s="69"/>
      <c r="NCZ20" s="69"/>
      <c r="NDA20" s="69"/>
      <c r="NDB20" s="69"/>
      <c r="NDC20" s="69"/>
      <c r="NDD20" s="69"/>
      <c r="NDE20" s="69"/>
      <c r="NDF20" s="69"/>
      <c r="NDG20" s="69"/>
      <c r="NDH20" s="69"/>
      <c r="NDI20" s="69"/>
      <c r="NDJ20" s="69"/>
      <c r="NDK20" s="69"/>
      <c r="NDL20" s="69"/>
      <c r="NDM20" s="69"/>
      <c r="NDN20" s="69"/>
      <c r="NDO20" s="69"/>
      <c r="NDP20" s="69"/>
      <c r="NDQ20" s="69"/>
      <c r="NDR20" s="69"/>
      <c r="NDS20" s="69"/>
      <c r="NDT20" s="69"/>
      <c r="NDU20" s="69"/>
      <c r="NDV20" s="69"/>
      <c r="NDW20" s="69"/>
      <c r="NDX20" s="69"/>
      <c r="NDY20" s="69"/>
      <c r="NDZ20" s="69"/>
      <c r="NEA20" s="69"/>
      <c r="NEB20" s="69"/>
      <c r="NEC20" s="69"/>
      <c r="NED20" s="69"/>
      <c r="NEE20" s="69"/>
      <c r="NEF20" s="69"/>
      <c r="NEG20" s="69"/>
      <c r="NEH20" s="69"/>
      <c r="NEI20" s="69"/>
      <c r="NEJ20" s="69"/>
      <c r="NEK20" s="69"/>
      <c r="NEL20" s="69"/>
      <c r="NEM20" s="69"/>
      <c r="NEN20" s="69"/>
      <c r="NEO20" s="69"/>
      <c r="NEP20" s="69"/>
      <c r="NEQ20" s="69"/>
      <c r="NER20" s="69"/>
      <c r="NES20" s="69"/>
      <c r="NET20" s="69"/>
      <c r="NEU20" s="69"/>
      <c r="NEV20" s="69"/>
      <c r="NEW20" s="69"/>
      <c r="NEX20" s="69"/>
      <c r="NEY20" s="69"/>
      <c r="NEZ20" s="69"/>
      <c r="NFA20" s="69"/>
      <c r="NFB20" s="69"/>
      <c r="NFC20" s="69"/>
      <c r="NFD20" s="69"/>
      <c r="NFE20" s="69"/>
      <c r="NFF20" s="69"/>
      <c r="NFG20" s="69"/>
      <c r="NFH20" s="69"/>
      <c r="NFI20" s="69"/>
      <c r="NFJ20" s="69"/>
      <c r="NFK20" s="69"/>
      <c r="NFL20" s="69"/>
      <c r="NFM20" s="69"/>
      <c r="NFN20" s="69"/>
      <c r="NFO20" s="69"/>
      <c r="NFP20" s="69"/>
      <c r="NFQ20" s="69"/>
      <c r="NFR20" s="69"/>
      <c r="NFS20" s="69"/>
      <c r="NFT20" s="69"/>
      <c r="NFU20" s="69"/>
      <c r="NFV20" s="69"/>
      <c r="NFW20" s="69"/>
      <c r="NFX20" s="69"/>
      <c r="NFY20" s="69"/>
      <c r="NFZ20" s="69"/>
      <c r="NGA20" s="69"/>
      <c r="NGB20" s="69"/>
      <c r="NGC20" s="69"/>
      <c r="NGD20" s="69"/>
      <c r="NGE20" s="69"/>
      <c r="NGF20" s="69"/>
      <c r="NGG20" s="69"/>
      <c r="NGH20" s="69"/>
      <c r="NGI20" s="69"/>
      <c r="NGJ20" s="69"/>
      <c r="NGK20" s="69"/>
      <c r="NGL20" s="69"/>
      <c r="NGM20" s="69"/>
      <c r="NGN20" s="69"/>
      <c r="NGO20" s="69"/>
      <c r="NGP20" s="69"/>
      <c r="NGQ20" s="69"/>
      <c r="NGR20" s="69"/>
      <c r="NGS20" s="69"/>
      <c r="NGT20" s="69"/>
      <c r="NGU20" s="69"/>
      <c r="NGV20" s="69"/>
      <c r="NGW20" s="69"/>
      <c r="NGX20" s="69"/>
      <c r="NGY20" s="69"/>
      <c r="NGZ20" s="69"/>
      <c r="NHA20" s="69"/>
      <c r="NHB20" s="69"/>
      <c r="NHC20" s="69"/>
      <c r="NHD20" s="69"/>
      <c r="NHE20" s="69"/>
      <c r="NHF20" s="69"/>
      <c r="NHG20" s="69"/>
      <c r="NHH20" s="69"/>
      <c r="NHI20" s="69"/>
      <c r="NHJ20" s="69"/>
      <c r="NHK20" s="69"/>
      <c r="NHL20" s="69"/>
      <c r="NHM20" s="69"/>
      <c r="NHN20" s="69"/>
      <c r="NHO20" s="69"/>
      <c r="NHP20" s="69"/>
      <c r="NHQ20" s="69"/>
      <c r="NHR20" s="69"/>
      <c r="NHS20" s="69"/>
      <c r="NHT20" s="69"/>
      <c r="NHU20" s="69"/>
      <c r="NHV20" s="69"/>
      <c r="NHW20" s="69"/>
      <c r="NHX20" s="69"/>
      <c r="NHY20" s="69"/>
      <c r="NHZ20" s="69"/>
      <c r="NIA20" s="69"/>
      <c r="NIB20" s="69"/>
      <c r="NIC20" s="69"/>
      <c r="NID20" s="69"/>
      <c r="NIE20" s="69"/>
      <c r="NIF20" s="69"/>
      <c r="NIG20" s="69"/>
      <c r="NIH20" s="69"/>
      <c r="NII20" s="69"/>
      <c r="NIJ20" s="69"/>
      <c r="NIK20" s="69"/>
      <c r="NIL20" s="69"/>
      <c r="NIM20" s="69"/>
      <c r="NIN20" s="69"/>
      <c r="NIO20" s="69"/>
      <c r="NIP20" s="69"/>
      <c r="NIQ20" s="69"/>
      <c r="NIR20" s="69"/>
      <c r="NIS20" s="69"/>
      <c r="NIT20" s="69"/>
      <c r="NIU20" s="69"/>
      <c r="NIV20" s="69"/>
      <c r="NIW20" s="69"/>
      <c r="NIX20" s="69"/>
      <c r="NIY20" s="69"/>
      <c r="NIZ20" s="69"/>
      <c r="NJA20" s="69"/>
      <c r="NJB20" s="69"/>
      <c r="NJC20" s="69"/>
      <c r="NJD20" s="69"/>
      <c r="NJE20" s="69"/>
      <c r="NJF20" s="69"/>
      <c r="NJG20" s="69"/>
      <c r="NJH20" s="69"/>
      <c r="NJI20" s="69"/>
      <c r="NJJ20" s="69"/>
      <c r="NJK20" s="69"/>
      <c r="NJL20" s="69"/>
      <c r="NJM20" s="69"/>
      <c r="NJN20" s="69"/>
      <c r="NJO20" s="69"/>
      <c r="NJP20" s="69"/>
      <c r="NJQ20" s="69"/>
      <c r="NJR20" s="69"/>
      <c r="NJS20" s="69"/>
      <c r="NJT20" s="69"/>
      <c r="NJU20" s="69"/>
      <c r="NJV20" s="69"/>
      <c r="NJW20" s="69"/>
      <c r="NJX20" s="69"/>
      <c r="NJY20" s="69"/>
      <c r="NJZ20" s="69"/>
      <c r="NKA20" s="69"/>
      <c r="NKB20" s="69"/>
      <c r="NKC20" s="69"/>
      <c r="NKD20" s="69"/>
      <c r="NKE20" s="69"/>
      <c r="NKF20" s="69"/>
      <c r="NKG20" s="69"/>
      <c r="NKH20" s="69"/>
      <c r="NKI20" s="69"/>
      <c r="NKJ20" s="69"/>
      <c r="NKK20" s="69"/>
      <c r="NKL20" s="69"/>
      <c r="NKM20" s="69"/>
      <c r="NKN20" s="69"/>
      <c r="NKO20" s="69"/>
      <c r="NKP20" s="69"/>
      <c r="NKQ20" s="69"/>
      <c r="NKR20" s="69"/>
      <c r="NKS20" s="69"/>
      <c r="NKT20" s="69"/>
      <c r="NKU20" s="69"/>
      <c r="NKV20" s="69"/>
      <c r="NKW20" s="69"/>
      <c r="NKX20" s="69"/>
      <c r="NKY20" s="69"/>
      <c r="NKZ20" s="69"/>
      <c r="NLA20" s="69"/>
      <c r="NLB20" s="69"/>
      <c r="NLC20" s="69"/>
      <c r="NLD20" s="69"/>
      <c r="NLE20" s="69"/>
      <c r="NLF20" s="69"/>
      <c r="NLG20" s="69"/>
      <c r="NLH20" s="69"/>
      <c r="NLI20" s="69"/>
      <c r="NLJ20" s="69"/>
      <c r="NLK20" s="69"/>
      <c r="NLL20" s="69"/>
      <c r="NLM20" s="69"/>
      <c r="NLN20" s="69"/>
      <c r="NLO20" s="69"/>
      <c r="NLP20" s="69"/>
      <c r="NLQ20" s="69"/>
      <c r="NLR20" s="69"/>
      <c r="NLS20" s="69"/>
      <c r="NLT20" s="69"/>
      <c r="NLU20" s="69"/>
      <c r="NLV20" s="69"/>
      <c r="NLW20" s="69"/>
      <c r="NLX20" s="69"/>
      <c r="NLY20" s="69"/>
      <c r="NLZ20" s="69"/>
      <c r="NMA20" s="69"/>
      <c r="NMB20" s="69"/>
      <c r="NMC20" s="69"/>
      <c r="NMD20" s="69"/>
      <c r="NME20" s="69"/>
      <c r="NMF20" s="69"/>
      <c r="NMG20" s="69"/>
      <c r="NMH20" s="69"/>
      <c r="NMI20" s="69"/>
      <c r="NMJ20" s="69"/>
      <c r="NMK20" s="69"/>
      <c r="NML20" s="69"/>
      <c r="NMM20" s="69"/>
      <c r="NMN20" s="69"/>
      <c r="NMO20" s="69"/>
      <c r="NMP20" s="69"/>
      <c r="NMQ20" s="69"/>
      <c r="NMR20" s="69"/>
      <c r="NMS20" s="69"/>
      <c r="NMT20" s="69"/>
      <c r="NMU20" s="69"/>
      <c r="NMV20" s="69"/>
      <c r="NMW20" s="69"/>
      <c r="NMX20" s="69"/>
      <c r="NMY20" s="69"/>
      <c r="NMZ20" s="69"/>
      <c r="NNA20" s="69"/>
      <c r="NNB20" s="69"/>
      <c r="NNC20" s="69"/>
      <c r="NND20" s="69"/>
      <c r="NNE20" s="69"/>
      <c r="NNF20" s="69"/>
      <c r="NNG20" s="69"/>
      <c r="NNH20" s="69"/>
      <c r="NNI20" s="69"/>
      <c r="NNJ20" s="69"/>
      <c r="NNK20" s="69"/>
      <c r="NNL20" s="69"/>
      <c r="NNM20" s="69"/>
      <c r="NNN20" s="69"/>
      <c r="NNO20" s="69"/>
      <c r="NNP20" s="69"/>
      <c r="NNQ20" s="69"/>
      <c r="NNR20" s="69"/>
      <c r="NNS20" s="69"/>
      <c r="NNT20" s="69"/>
      <c r="NNU20" s="69"/>
      <c r="NNV20" s="69"/>
      <c r="NNW20" s="69"/>
      <c r="NNX20" s="69"/>
      <c r="NNY20" s="69"/>
      <c r="NNZ20" s="69"/>
      <c r="NOA20" s="69"/>
      <c r="NOB20" s="69"/>
      <c r="NOC20" s="69"/>
      <c r="NOD20" s="69"/>
      <c r="NOE20" s="69"/>
      <c r="NOF20" s="69"/>
      <c r="NOG20" s="69"/>
      <c r="NOH20" s="69"/>
      <c r="NOI20" s="69"/>
      <c r="NOJ20" s="69"/>
      <c r="NOK20" s="69"/>
      <c r="NOL20" s="69"/>
      <c r="NOM20" s="69"/>
      <c r="NON20" s="69"/>
      <c r="NOO20" s="69"/>
      <c r="NOP20" s="69"/>
      <c r="NOQ20" s="69"/>
      <c r="NOR20" s="69"/>
      <c r="NOS20" s="69"/>
      <c r="NOT20" s="69"/>
      <c r="NOU20" s="69"/>
      <c r="NOV20" s="69"/>
      <c r="NOW20" s="69"/>
      <c r="NOX20" s="69"/>
      <c r="NOY20" s="69"/>
      <c r="NOZ20" s="69"/>
      <c r="NPA20" s="69"/>
      <c r="NPB20" s="69"/>
      <c r="NPC20" s="69"/>
      <c r="NPD20" s="69"/>
      <c r="NPE20" s="69"/>
      <c r="NPF20" s="69"/>
      <c r="NPG20" s="69"/>
      <c r="NPH20" s="69"/>
      <c r="NPI20" s="69"/>
      <c r="NPJ20" s="69"/>
      <c r="NPK20" s="69"/>
      <c r="NPL20" s="69"/>
      <c r="NPM20" s="69"/>
      <c r="NPN20" s="69"/>
      <c r="NPO20" s="69"/>
      <c r="NPP20" s="69"/>
      <c r="NPQ20" s="69"/>
      <c r="NPR20" s="69"/>
      <c r="NPS20" s="69"/>
      <c r="NPT20" s="69"/>
      <c r="NPU20" s="69"/>
      <c r="NPV20" s="69"/>
      <c r="NPW20" s="69"/>
      <c r="NPX20" s="69"/>
      <c r="NPY20" s="69"/>
      <c r="NPZ20" s="69"/>
      <c r="NQA20" s="69"/>
      <c r="NQB20" s="69"/>
      <c r="NQC20" s="69"/>
      <c r="NQD20" s="69"/>
      <c r="NQE20" s="69"/>
      <c r="NQF20" s="69"/>
      <c r="NQG20" s="69"/>
      <c r="NQH20" s="69"/>
      <c r="NQI20" s="69"/>
      <c r="NQJ20" s="69"/>
      <c r="NQK20" s="69"/>
      <c r="NQL20" s="69"/>
      <c r="NQM20" s="69"/>
      <c r="NQN20" s="69"/>
      <c r="NQO20" s="69"/>
      <c r="NQP20" s="69"/>
      <c r="NQQ20" s="69"/>
      <c r="NQR20" s="69"/>
      <c r="NQS20" s="69"/>
      <c r="NQT20" s="69"/>
      <c r="NQU20" s="69"/>
      <c r="NQV20" s="69"/>
      <c r="NQW20" s="69"/>
      <c r="NQX20" s="69"/>
      <c r="NQY20" s="69"/>
      <c r="NQZ20" s="69"/>
      <c r="NRA20" s="69"/>
      <c r="NRB20" s="69"/>
      <c r="NRC20" s="69"/>
      <c r="NRD20" s="69"/>
      <c r="NRE20" s="69"/>
      <c r="NRF20" s="69"/>
      <c r="NRG20" s="69"/>
      <c r="NRH20" s="69"/>
      <c r="NRI20" s="69"/>
      <c r="NRJ20" s="69"/>
      <c r="NRK20" s="69"/>
      <c r="NRL20" s="69"/>
      <c r="NRM20" s="69"/>
      <c r="NRN20" s="69"/>
      <c r="NRO20" s="69"/>
      <c r="NRP20" s="69"/>
      <c r="NRQ20" s="69"/>
      <c r="NRR20" s="69"/>
      <c r="NRS20" s="69"/>
      <c r="NRT20" s="69"/>
      <c r="NRU20" s="69"/>
      <c r="NRV20" s="69"/>
      <c r="NRW20" s="69"/>
      <c r="NRX20" s="69"/>
      <c r="NRY20" s="69"/>
      <c r="NRZ20" s="69"/>
      <c r="NSA20" s="69"/>
      <c r="NSB20" s="69"/>
      <c r="NSC20" s="69"/>
      <c r="NSD20" s="69"/>
      <c r="NSE20" s="69"/>
      <c r="NSF20" s="69"/>
      <c r="NSG20" s="69"/>
      <c r="NSH20" s="69"/>
      <c r="NSI20" s="69"/>
      <c r="NSJ20" s="69"/>
      <c r="NSK20" s="69"/>
      <c r="NSL20" s="69"/>
      <c r="NSM20" s="69"/>
      <c r="NSN20" s="69"/>
      <c r="NSO20" s="69"/>
      <c r="NSP20" s="69"/>
      <c r="NSQ20" s="69"/>
      <c r="NSR20" s="69"/>
      <c r="NSS20" s="69"/>
      <c r="NST20" s="69"/>
      <c r="NSU20" s="69"/>
      <c r="NSV20" s="69"/>
      <c r="NSW20" s="69"/>
      <c r="NSX20" s="69"/>
      <c r="NSY20" s="69"/>
      <c r="NSZ20" s="69"/>
      <c r="NTA20" s="69"/>
      <c r="NTB20" s="69"/>
      <c r="NTC20" s="69"/>
      <c r="NTD20" s="69"/>
      <c r="NTE20" s="69"/>
      <c r="NTF20" s="69"/>
      <c r="NTG20" s="69"/>
      <c r="NTH20" s="69"/>
      <c r="NTI20" s="69"/>
      <c r="NTJ20" s="69"/>
      <c r="NTK20" s="69"/>
      <c r="NTL20" s="69"/>
      <c r="NTM20" s="69"/>
      <c r="NTN20" s="69"/>
      <c r="NTO20" s="69"/>
      <c r="NTP20" s="69"/>
      <c r="NTQ20" s="69"/>
      <c r="NTR20" s="69"/>
      <c r="NTS20" s="69"/>
      <c r="NTT20" s="69"/>
      <c r="NTU20" s="69"/>
      <c r="NTV20" s="69"/>
      <c r="NTW20" s="69"/>
      <c r="NTX20" s="69"/>
      <c r="NTY20" s="69"/>
      <c r="NTZ20" s="69"/>
      <c r="NUA20" s="69"/>
      <c r="NUB20" s="69"/>
      <c r="NUC20" s="69"/>
      <c r="NUD20" s="69"/>
      <c r="NUE20" s="69"/>
      <c r="NUF20" s="69"/>
      <c r="NUG20" s="69"/>
      <c r="NUH20" s="69"/>
      <c r="NUI20" s="69"/>
      <c r="NUJ20" s="69"/>
      <c r="NUK20" s="69"/>
      <c r="NUL20" s="69"/>
      <c r="NUM20" s="69"/>
      <c r="NUN20" s="69"/>
      <c r="NUO20" s="69"/>
      <c r="NUP20" s="69"/>
      <c r="NUQ20" s="69"/>
      <c r="NUR20" s="69"/>
      <c r="NUS20" s="69"/>
      <c r="NUT20" s="69"/>
      <c r="NUU20" s="69"/>
      <c r="NUV20" s="69"/>
      <c r="NUW20" s="69"/>
      <c r="NUX20" s="69"/>
      <c r="NUY20" s="69"/>
      <c r="NUZ20" s="69"/>
      <c r="NVA20" s="69"/>
      <c r="NVB20" s="69"/>
      <c r="NVC20" s="69"/>
      <c r="NVD20" s="69"/>
      <c r="NVE20" s="69"/>
      <c r="NVF20" s="69"/>
      <c r="NVG20" s="69"/>
      <c r="NVH20" s="69"/>
      <c r="NVI20" s="69"/>
      <c r="NVJ20" s="69"/>
      <c r="NVK20" s="69"/>
      <c r="NVL20" s="69"/>
      <c r="NVM20" s="69"/>
      <c r="NVN20" s="69"/>
      <c r="NVO20" s="69"/>
      <c r="NVP20" s="69"/>
      <c r="NVQ20" s="69"/>
      <c r="NVR20" s="69"/>
      <c r="NVS20" s="69"/>
      <c r="NVT20" s="69"/>
      <c r="NVU20" s="69"/>
      <c r="NVV20" s="69"/>
      <c r="NVW20" s="69"/>
      <c r="NVX20" s="69"/>
      <c r="NVY20" s="69"/>
      <c r="NVZ20" s="69"/>
      <c r="NWA20" s="69"/>
      <c r="NWB20" s="69"/>
      <c r="NWC20" s="69"/>
      <c r="NWD20" s="69"/>
      <c r="NWE20" s="69"/>
      <c r="NWF20" s="69"/>
      <c r="NWG20" s="69"/>
      <c r="NWH20" s="69"/>
      <c r="NWI20" s="69"/>
      <c r="NWJ20" s="69"/>
      <c r="NWK20" s="69"/>
      <c r="NWL20" s="69"/>
      <c r="NWM20" s="69"/>
      <c r="NWN20" s="69"/>
      <c r="NWO20" s="69"/>
      <c r="NWP20" s="69"/>
      <c r="NWQ20" s="69"/>
      <c r="NWR20" s="69"/>
      <c r="NWS20" s="69"/>
      <c r="NWT20" s="69"/>
      <c r="NWU20" s="69"/>
      <c r="NWV20" s="69"/>
      <c r="NWW20" s="69"/>
      <c r="NWX20" s="69"/>
      <c r="NWY20" s="69"/>
      <c r="NWZ20" s="69"/>
      <c r="NXA20" s="69"/>
      <c r="NXB20" s="69"/>
      <c r="NXC20" s="69"/>
      <c r="NXD20" s="69"/>
      <c r="NXE20" s="69"/>
      <c r="NXF20" s="69"/>
      <c r="NXG20" s="69"/>
      <c r="NXH20" s="69"/>
      <c r="NXI20" s="69"/>
      <c r="NXJ20" s="69"/>
      <c r="NXK20" s="69"/>
      <c r="NXL20" s="69"/>
      <c r="NXM20" s="69"/>
      <c r="NXN20" s="69"/>
      <c r="NXO20" s="69"/>
      <c r="NXP20" s="69"/>
      <c r="NXQ20" s="69"/>
      <c r="NXR20" s="69"/>
      <c r="NXS20" s="69"/>
      <c r="NXT20" s="69"/>
      <c r="NXU20" s="69"/>
      <c r="NXV20" s="69"/>
      <c r="NXW20" s="69"/>
      <c r="NXX20" s="69"/>
      <c r="NXY20" s="69"/>
      <c r="NXZ20" s="69"/>
      <c r="NYA20" s="69"/>
      <c r="NYB20" s="69"/>
      <c r="NYC20" s="69"/>
      <c r="NYD20" s="69"/>
      <c r="NYE20" s="69"/>
      <c r="NYF20" s="69"/>
      <c r="NYG20" s="69"/>
      <c r="NYH20" s="69"/>
      <c r="NYI20" s="69"/>
      <c r="NYJ20" s="69"/>
      <c r="NYK20" s="69"/>
      <c r="NYL20" s="69"/>
      <c r="NYM20" s="69"/>
      <c r="NYN20" s="69"/>
      <c r="NYO20" s="69"/>
      <c r="NYP20" s="69"/>
      <c r="NYQ20" s="69"/>
      <c r="NYR20" s="69"/>
      <c r="NYS20" s="69"/>
      <c r="NYT20" s="69"/>
      <c r="NYU20" s="69"/>
      <c r="NYV20" s="69"/>
      <c r="NYW20" s="69"/>
      <c r="NYX20" s="69"/>
      <c r="NYY20" s="69"/>
      <c r="NYZ20" s="69"/>
      <c r="NZA20" s="69"/>
      <c r="NZB20" s="69"/>
      <c r="NZC20" s="69"/>
      <c r="NZD20" s="69"/>
      <c r="NZE20" s="69"/>
      <c r="NZF20" s="69"/>
      <c r="NZG20" s="69"/>
      <c r="NZH20" s="69"/>
      <c r="NZI20" s="69"/>
      <c r="NZJ20" s="69"/>
      <c r="NZK20" s="69"/>
      <c r="NZL20" s="69"/>
      <c r="NZM20" s="69"/>
      <c r="NZN20" s="69"/>
      <c r="NZO20" s="69"/>
      <c r="NZP20" s="69"/>
      <c r="NZQ20" s="69"/>
      <c r="NZR20" s="69"/>
      <c r="NZS20" s="69"/>
      <c r="NZT20" s="69"/>
      <c r="NZU20" s="69"/>
      <c r="NZV20" s="69"/>
      <c r="NZW20" s="69"/>
      <c r="NZX20" s="69"/>
      <c r="NZY20" s="69"/>
      <c r="NZZ20" s="69"/>
      <c r="OAA20" s="69"/>
      <c r="OAB20" s="69"/>
      <c r="OAC20" s="69"/>
      <c r="OAD20" s="69"/>
      <c r="OAE20" s="69"/>
      <c r="OAF20" s="69"/>
      <c r="OAG20" s="69"/>
      <c r="OAH20" s="69"/>
      <c r="OAI20" s="69"/>
      <c r="OAJ20" s="69"/>
      <c r="OAK20" s="69"/>
      <c r="OAL20" s="69"/>
      <c r="OAM20" s="69"/>
      <c r="OAN20" s="69"/>
      <c r="OAO20" s="69"/>
      <c r="OAP20" s="69"/>
      <c r="OAQ20" s="69"/>
      <c r="OAR20" s="69"/>
      <c r="OAS20" s="69"/>
      <c r="OAT20" s="69"/>
      <c r="OAU20" s="69"/>
      <c r="OAV20" s="69"/>
      <c r="OAW20" s="69"/>
      <c r="OAX20" s="69"/>
      <c r="OAY20" s="69"/>
      <c r="OAZ20" s="69"/>
      <c r="OBA20" s="69"/>
      <c r="OBB20" s="69"/>
      <c r="OBC20" s="69"/>
      <c r="OBD20" s="69"/>
      <c r="OBE20" s="69"/>
      <c r="OBF20" s="69"/>
      <c r="OBG20" s="69"/>
      <c r="OBH20" s="69"/>
      <c r="OBI20" s="69"/>
      <c r="OBJ20" s="69"/>
      <c r="OBK20" s="69"/>
      <c r="OBL20" s="69"/>
      <c r="OBM20" s="69"/>
      <c r="OBN20" s="69"/>
      <c r="OBO20" s="69"/>
      <c r="OBP20" s="69"/>
      <c r="OBQ20" s="69"/>
      <c r="OBR20" s="69"/>
      <c r="OBS20" s="69"/>
      <c r="OBT20" s="69"/>
      <c r="OBU20" s="69"/>
      <c r="OBV20" s="69"/>
      <c r="OBW20" s="69"/>
      <c r="OBX20" s="69"/>
      <c r="OBY20" s="69"/>
      <c r="OBZ20" s="69"/>
      <c r="OCA20" s="69"/>
      <c r="OCB20" s="69"/>
      <c r="OCC20" s="69"/>
      <c r="OCD20" s="69"/>
      <c r="OCE20" s="69"/>
      <c r="OCF20" s="69"/>
      <c r="OCG20" s="69"/>
      <c r="OCH20" s="69"/>
      <c r="OCI20" s="69"/>
      <c r="OCJ20" s="69"/>
      <c r="OCK20" s="69"/>
      <c r="OCL20" s="69"/>
      <c r="OCM20" s="69"/>
      <c r="OCN20" s="69"/>
      <c r="OCO20" s="69"/>
      <c r="OCP20" s="69"/>
      <c r="OCQ20" s="69"/>
      <c r="OCR20" s="69"/>
      <c r="OCS20" s="69"/>
      <c r="OCT20" s="69"/>
      <c r="OCU20" s="69"/>
      <c r="OCV20" s="69"/>
      <c r="OCW20" s="69"/>
      <c r="OCX20" s="69"/>
      <c r="OCY20" s="69"/>
      <c r="OCZ20" s="69"/>
      <c r="ODA20" s="69"/>
      <c r="ODB20" s="69"/>
      <c r="ODC20" s="69"/>
      <c r="ODD20" s="69"/>
      <c r="ODE20" s="69"/>
      <c r="ODF20" s="69"/>
      <c r="ODG20" s="69"/>
      <c r="ODH20" s="69"/>
      <c r="ODI20" s="69"/>
      <c r="ODJ20" s="69"/>
      <c r="ODK20" s="69"/>
      <c r="ODL20" s="69"/>
      <c r="ODM20" s="69"/>
      <c r="ODN20" s="69"/>
      <c r="ODO20" s="69"/>
      <c r="ODP20" s="69"/>
      <c r="ODQ20" s="69"/>
      <c r="ODR20" s="69"/>
      <c r="ODS20" s="69"/>
      <c r="ODT20" s="69"/>
      <c r="ODU20" s="69"/>
      <c r="ODV20" s="69"/>
      <c r="ODW20" s="69"/>
      <c r="ODX20" s="69"/>
      <c r="ODY20" s="69"/>
      <c r="ODZ20" s="69"/>
      <c r="OEA20" s="69"/>
      <c r="OEB20" s="69"/>
      <c r="OEC20" s="69"/>
      <c r="OED20" s="69"/>
      <c r="OEE20" s="69"/>
      <c r="OEF20" s="69"/>
      <c r="OEG20" s="69"/>
      <c r="OEH20" s="69"/>
      <c r="OEI20" s="69"/>
      <c r="OEJ20" s="69"/>
      <c r="OEK20" s="69"/>
      <c r="OEL20" s="69"/>
      <c r="OEM20" s="69"/>
      <c r="OEN20" s="69"/>
      <c r="OEO20" s="69"/>
      <c r="OEP20" s="69"/>
      <c r="OEQ20" s="69"/>
      <c r="OER20" s="69"/>
      <c r="OES20" s="69"/>
      <c r="OET20" s="69"/>
      <c r="OEU20" s="69"/>
      <c r="OEV20" s="69"/>
      <c r="OEW20" s="69"/>
      <c r="OEX20" s="69"/>
      <c r="OEY20" s="69"/>
      <c r="OEZ20" s="69"/>
      <c r="OFA20" s="69"/>
      <c r="OFB20" s="69"/>
      <c r="OFC20" s="69"/>
      <c r="OFD20" s="69"/>
      <c r="OFE20" s="69"/>
      <c r="OFF20" s="69"/>
      <c r="OFG20" s="69"/>
      <c r="OFH20" s="69"/>
      <c r="OFI20" s="69"/>
      <c r="OFJ20" s="69"/>
      <c r="OFK20" s="69"/>
      <c r="OFL20" s="69"/>
      <c r="OFM20" s="69"/>
      <c r="OFN20" s="69"/>
      <c r="OFO20" s="69"/>
      <c r="OFP20" s="69"/>
      <c r="OFQ20" s="69"/>
      <c r="OFR20" s="69"/>
      <c r="OFS20" s="69"/>
      <c r="OFT20" s="69"/>
      <c r="OFU20" s="69"/>
      <c r="OFV20" s="69"/>
      <c r="OFW20" s="69"/>
      <c r="OFX20" s="69"/>
      <c r="OFY20" s="69"/>
      <c r="OFZ20" s="69"/>
      <c r="OGA20" s="69"/>
      <c r="OGB20" s="69"/>
      <c r="OGC20" s="69"/>
      <c r="OGD20" s="69"/>
      <c r="OGE20" s="69"/>
      <c r="OGF20" s="69"/>
      <c r="OGG20" s="69"/>
      <c r="OGH20" s="69"/>
      <c r="OGI20" s="69"/>
      <c r="OGJ20" s="69"/>
      <c r="OGK20" s="69"/>
      <c r="OGL20" s="69"/>
      <c r="OGM20" s="69"/>
      <c r="OGN20" s="69"/>
      <c r="OGO20" s="69"/>
      <c r="OGP20" s="69"/>
      <c r="OGQ20" s="69"/>
      <c r="OGR20" s="69"/>
      <c r="OGS20" s="69"/>
      <c r="OGT20" s="69"/>
      <c r="OGU20" s="69"/>
      <c r="OGV20" s="69"/>
      <c r="OGW20" s="69"/>
      <c r="OGX20" s="69"/>
      <c r="OGY20" s="69"/>
      <c r="OGZ20" s="69"/>
      <c r="OHA20" s="69"/>
      <c r="OHB20" s="69"/>
      <c r="OHC20" s="69"/>
      <c r="OHD20" s="69"/>
      <c r="OHE20" s="69"/>
      <c r="OHF20" s="69"/>
      <c r="OHG20" s="69"/>
      <c r="OHH20" s="69"/>
      <c r="OHI20" s="69"/>
      <c r="OHJ20" s="69"/>
      <c r="OHK20" s="69"/>
      <c r="OHL20" s="69"/>
      <c r="OHM20" s="69"/>
      <c r="OHN20" s="69"/>
      <c r="OHO20" s="69"/>
      <c r="OHP20" s="69"/>
      <c r="OHQ20" s="69"/>
      <c r="OHR20" s="69"/>
      <c r="OHS20" s="69"/>
      <c r="OHT20" s="69"/>
      <c r="OHU20" s="69"/>
      <c r="OHV20" s="69"/>
      <c r="OHW20" s="69"/>
      <c r="OHX20" s="69"/>
      <c r="OHY20" s="69"/>
      <c r="OHZ20" s="69"/>
      <c r="OIA20" s="69"/>
      <c r="OIB20" s="69"/>
      <c r="OIC20" s="69"/>
      <c r="OID20" s="69"/>
      <c r="OIE20" s="69"/>
      <c r="OIF20" s="69"/>
      <c r="OIG20" s="69"/>
      <c r="OIH20" s="69"/>
      <c r="OII20" s="69"/>
      <c r="OIJ20" s="69"/>
      <c r="OIK20" s="69"/>
      <c r="OIL20" s="69"/>
      <c r="OIM20" s="69"/>
      <c r="OIN20" s="69"/>
      <c r="OIO20" s="69"/>
      <c r="OIP20" s="69"/>
      <c r="OIQ20" s="69"/>
      <c r="OIR20" s="69"/>
      <c r="OIS20" s="69"/>
      <c r="OIT20" s="69"/>
      <c r="OIU20" s="69"/>
      <c r="OIV20" s="69"/>
      <c r="OIW20" s="69"/>
      <c r="OIX20" s="69"/>
      <c r="OIY20" s="69"/>
      <c r="OIZ20" s="69"/>
      <c r="OJA20" s="69"/>
      <c r="OJB20" s="69"/>
      <c r="OJC20" s="69"/>
      <c r="OJD20" s="69"/>
      <c r="OJE20" s="69"/>
      <c r="OJF20" s="69"/>
      <c r="OJG20" s="69"/>
      <c r="OJH20" s="69"/>
      <c r="OJI20" s="69"/>
      <c r="OJJ20" s="69"/>
      <c r="OJK20" s="69"/>
      <c r="OJL20" s="69"/>
      <c r="OJM20" s="69"/>
      <c r="OJN20" s="69"/>
      <c r="OJO20" s="69"/>
      <c r="OJP20" s="69"/>
      <c r="OJQ20" s="69"/>
      <c r="OJR20" s="69"/>
      <c r="OJS20" s="69"/>
      <c r="OJT20" s="69"/>
      <c r="OJU20" s="69"/>
      <c r="OJV20" s="69"/>
      <c r="OJW20" s="69"/>
      <c r="OJX20" s="69"/>
      <c r="OJY20" s="69"/>
      <c r="OJZ20" s="69"/>
      <c r="OKA20" s="69"/>
      <c r="OKB20" s="69"/>
      <c r="OKC20" s="69"/>
      <c r="OKD20" s="69"/>
      <c r="OKE20" s="69"/>
      <c r="OKF20" s="69"/>
      <c r="OKG20" s="69"/>
      <c r="OKH20" s="69"/>
      <c r="OKI20" s="69"/>
      <c r="OKJ20" s="69"/>
      <c r="OKK20" s="69"/>
      <c r="OKL20" s="69"/>
      <c r="OKM20" s="69"/>
      <c r="OKN20" s="69"/>
      <c r="OKO20" s="69"/>
      <c r="OKP20" s="69"/>
      <c r="OKQ20" s="69"/>
      <c r="OKR20" s="69"/>
      <c r="OKS20" s="69"/>
      <c r="OKT20" s="69"/>
      <c r="OKU20" s="69"/>
      <c r="OKV20" s="69"/>
      <c r="OKW20" s="69"/>
      <c r="OKX20" s="69"/>
      <c r="OKY20" s="69"/>
      <c r="OKZ20" s="69"/>
      <c r="OLA20" s="69"/>
      <c r="OLB20" s="69"/>
      <c r="OLC20" s="69"/>
      <c r="OLD20" s="69"/>
      <c r="OLE20" s="69"/>
      <c r="OLF20" s="69"/>
      <c r="OLG20" s="69"/>
      <c r="OLH20" s="69"/>
      <c r="OLI20" s="69"/>
      <c r="OLJ20" s="69"/>
      <c r="OLK20" s="69"/>
      <c r="OLL20" s="69"/>
      <c r="OLM20" s="69"/>
      <c r="OLN20" s="69"/>
      <c r="OLO20" s="69"/>
      <c r="OLP20" s="69"/>
      <c r="OLQ20" s="69"/>
      <c r="OLR20" s="69"/>
      <c r="OLS20" s="69"/>
      <c r="OLT20" s="69"/>
      <c r="OLU20" s="69"/>
      <c r="OLV20" s="69"/>
      <c r="OLW20" s="69"/>
      <c r="OLX20" s="69"/>
      <c r="OLY20" s="69"/>
      <c r="OLZ20" s="69"/>
      <c r="OMA20" s="69"/>
      <c r="OMB20" s="69"/>
      <c r="OMC20" s="69"/>
      <c r="OMD20" s="69"/>
      <c r="OME20" s="69"/>
      <c r="OMF20" s="69"/>
      <c r="OMG20" s="69"/>
      <c r="OMH20" s="69"/>
      <c r="OMI20" s="69"/>
      <c r="OMJ20" s="69"/>
      <c r="OMK20" s="69"/>
      <c r="OML20" s="69"/>
      <c r="OMM20" s="69"/>
      <c r="OMN20" s="69"/>
      <c r="OMO20" s="69"/>
      <c r="OMP20" s="69"/>
      <c r="OMQ20" s="69"/>
      <c r="OMR20" s="69"/>
      <c r="OMS20" s="69"/>
      <c r="OMT20" s="69"/>
      <c r="OMU20" s="69"/>
      <c r="OMV20" s="69"/>
      <c r="OMW20" s="69"/>
      <c r="OMX20" s="69"/>
      <c r="OMY20" s="69"/>
      <c r="OMZ20" s="69"/>
      <c r="ONA20" s="69"/>
      <c r="ONB20" s="69"/>
      <c r="ONC20" s="69"/>
      <c r="OND20" s="69"/>
      <c r="ONE20" s="69"/>
      <c r="ONF20" s="69"/>
      <c r="ONG20" s="69"/>
      <c r="ONH20" s="69"/>
      <c r="ONI20" s="69"/>
      <c r="ONJ20" s="69"/>
      <c r="ONK20" s="69"/>
      <c r="ONL20" s="69"/>
      <c r="ONM20" s="69"/>
      <c r="ONN20" s="69"/>
      <c r="ONO20" s="69"/>
      <c r="ONP20" s="69"/>
      <c r="ONQ20" s="69"/>
      <c r="ONR20" s="69"/>
      <c r="ONS20" s="69"/>
      <c r="ONT20" s="69"/>
      <c r="ONU20" s="69"/>
      <c r="ONV20" s="69"/>
      <c r="ONW20" s="69"/>
      <c r="ONX20" s="69"/>
      <c r="ONY20" s="69"/>
      <c r="ONZ20" s="69"/>
      <c r="OOA20" s="69"/>
      <c r="OOB20" s="69"/>
      <c r="OOC20" s="69"/>
      <c r="OOD20" s="69"/>
      <c r="OOE20" s="69"/>
      <c r="OOF20" s="69"/>
      <c r="OOG20" s="69"/>
      <c r="OOH20" s="69"/>
      <c r="OOI20" s="69"/>
      <c r="OOJ20" s="69"/>
      <c r="OOK20" s="69"/>
      <c r="OOL20" s="69"/>
      <c r="OOM20" s="69"/>
      <c r="OON20" s="69"/>
      <c r="OOO20" s="69"/>
      <c r="OOP20" s="69"/>
      <c r="OOQ20" s="69"/>
      <c r="OOR20" s="69"/>
      <c r="OOS20" s="69"/>
      <c r="OOT20" s="69"/>
      <c r="OOU20" s="69"/>
      <c r="OOV20" s="69"/>
      <c r="OOW20" s="69"/>
      <c r="OOX20" s="69"/>
      <c r="OOY20" s="69"/>
      <c r="OOZ20" s="69"/>
      <c r="OPA20" s="69"/>
      <c r="OPB20" s="69"/>
      <c r="OPC20" s="69"/>
      <c r="OPD20" s="69"/>
      <c r="OPE20" s="69"/>
      <c r="OPF20" s="69"/>
      <c r="OPG20" s="69"/>
      <c r="OPH20" s="69"/>
      <c r="OPI20" s="69"/>
      <c r="OPJ20" s="69"/>
      <c r="OPK20" s="69"/>
      <c r="OPL20" s="69"/>
      <c r="OPM20" s="69"/>
      <c r="OPN20" s="69"/>
      <c r="OPO20" s="69"/>
      <c r="OPP20" s="69"/>
      <c r="OPQ20" s="69"/>
      <c r="OPR20" s="69"/>
      <c r="OPS20" s="69"/>
      <c r="OPT20" s="69"/>
      <c r="OPU20" s="69"/>
      <c r="OPV20" s="69"/>
      <c r="OPW20" s="69"/>
      <c r="OPX20" s="69"/>
      <c r="OPY20" s="69"/>
      <c r="OPZ20" s="69"/>
      <c r="OQA20" s="69"/>
      <c r="OQB20" s="69"/>
      <c r="OQC20" s="69"/>
      <c r="OQD20" s="69"/>
      <c r="OQE20" s="69"/>
      <c r="OQF20" s="69"/>
      <c r="OQG20" s="69"/>
      <c r="OQH20" s="69"/>
      <c r="OQI20" s="69"/>
      <c r="OQJ20" s="69"/>
      <c r="OQK20" s="69"/>
      <c r="OQL20" s="69"/>
      <c r="OQM20" s="69"/>
      <c r="OQN20" s="69"/>
      <c r="OQO20" s="69"/>
      <c r="OQP20" s="69"/>
      <c r="OQQ20" s="69"/>
      <c r="OQR20" s="69"/>
      <c r="OQS20" s="69"/>
      <c r="OQT20" s="69"/>
      <c r="OQU20" s="69"/>
      <c r="OQV20" s="69"/>
      <c r="OQW20" s="69"/>
      <c r="OQX20" s="69"/>
      <c r="OQY20" s="69"/>
      <c r="OQZ20" s="69"/>
      <c r="ORA20" s="69"/>
      <c r="ORB20" s="69"/>
      <c r="ORC20" s="69"/>
      <c r="ORD20" s="69"/>
      <c r="ORE20" s="69"/>
      <c r="ORF20" s="69"/>
      <c r="ORG20" s="69"/>
      <c r="ORH20" s="69"/>
      <c r="ORI20" s="69"/>
      <c r="ORJ20" s="69"/>
      <c r="ORK20" s="69"/>
      <c r="ORL20" s="69"/>
      <c r="ORM20" s="69"/>
      <c r="ORN20" s="69"/>
      <c r="ORO20" s="69"/>
      <c r="ORP20" s="69"/>
      <c r="ORQ20" s="69"/>
      <c r="ORR20" s="69"/>
      <c r="ORS20" s="69"/>
      <c r="ORT20" s="69"/>
      <c r="ORU20" s="69"/>
      <c r="ORV20" s="69"/>
      <c r="ORW20" s="69"/>
      <c r="ORX20" s="69"/>
      <c r="ORY20" s="69"/>
      <c r="ORZ20" s="69"/>
      <c r="OSA20" s="69"/>
      <c r="OSB20" s="69"/>
      <c r="OSC20" s="69"/>
      <c r="OSD20" s="69"/>
      <c r="OSE20" s="69"/>
      <c r="OSF20" s="69"/>
      <c r="OSG20" s="69"/>
      <c r="OSH20" s="69"/>
      <c r="OSI20" s="69"/>
      <c r="OSJ20" s="69"/>
      <c r="OSK20" s="69"/>
      <c r="OSL20" s="69"/>
      <c r="OSM20" s="69"/>
      <c r="OSN20" s="69"/>
      <c r="OSO20" s="69"/>
      <c r="OSP20" s="69"/>
      <c r="OSQ20" s="69"/>
      <c r="OSR20" s="69"/>
      <c r="OSS20" s="69"/>
      <c r="OST20" s="69"/>
      <c r="OSU20" s="69"/>
      <c r="OSV20" s="69"/>
      <c r="OSW20" s="69"/>
      <c r="OSX20" s="69"/>
      <c r="OSY20" s="69"/>
      <c r="OSZ20" s="69"/>
      <c r="OTA20" s="69"/>
      <c r="OTB20" s="69"/>
      <c r="OTC20" s="69"/>
      <c r="OTD20" s="69"/>
      <c r="OTE20" s="69"/>
      <c r="OTF20" s="69"/>
      <c r="OTG20" s="69"/>
      <c r="OTH20" s="69"/>
      <c r="OTI20" s="69"/>
      <c r="OTJ20" s="69"/>
      <c r="OTK20" s="69"/>
      <c r="OTL20" s="69"/>
      <c r="OTM20" s="69"/>
      <c r="OTN20" s="69"/>
      <c r="OTO20" s="69"/>
      <c r="OTP20" s="69"/>
      <c r="OTQ20" s="69"/>
      <c r="OTR20" s="69"/>
      <c r="OTS20" s="69"/>
      <c r="OTT20" s="69"/>
      <c r="OTU20" s="69"/>
      <c r="OTV20" s="69"/>
      <c r="OTW20" s="69"/>
      <c r="OTX20" s="69"/>
      <c r="OTY20" s="69"/>
      <c r="OTZ20" s="69"/>
      <c r="OUA20" s="69"/>
      <c r="OUB20" s="69"/>
      <c r="OUC20" s="69"/>
      <c r="OUD20" s="69"/>
      <c r="OUE20" s="69"/>
      <c r="OUF20" s="69"/>
      <c r="OUG20" s="69"/>
      <c r="OUH20" s="69"/>
      <c r="OUI20" s="69"/>
      <c r="OUJ20" s="69"/>
      <c r="OUK20" s="69"/>
      <c r="OUL20" s="69"/>
      <c r="OUM20" s="69"/>
      <c r="OUN20" s="69"/>
      <c r="OUO20" s="69"/>
      <c r="OUP20" s="69"/>
      <c r="OUQ20" s="69"/>
      <c r="OUR20" s="69"/>
      <c r="OUS20" s="69"/>
      <c r="OUT20" s="69"/>
      <c r="OUU20" s="69"/>
      <c r="OUV20" s="69"/>
      <c r="OUW20" s="69"/>
      <c r="OUX20" s="69"/>
      <c r="OUY20" s="69"/>
      <c r="OUZ20" s="69"/>
      <c r="OVA20" s="69"/>
      <c r="OVB20" s="69"/>
      <c r="OVC20" s="69"/>
      <c r="OVD20" s="69"/>
      <c r="OVE20" s="69"/>
      <c r="OVF20" s="69"/>
      <c r="OVG20" s="69"/>
      <c r="OVH20" s="69"/>
      <c r="OVI20" s="69"/>
      <c r="OVJ20" s="69"/>
      <c r="OVK20" s="69"/>
      <c r="OVL20" s="69"/>
      <c r="OVM20" s="69"/>
      <c r="OVN20" s="69"/>
      <c r="OVO20" s="69"/>
      <c r="OVP20" s="69"/>
      <c r="OVQ20" s="69"/>
      <c r="OVR20" s="69"/>
      <c r="OVS20" s="69"/>
      <c r="OVT20" s="69"/>
      <c r="OVU20" s="69"/>
      <c r="OVV20" s="69"/>
      <c r="OVW20" s="69"/>
      <c r="OVX20" s="69"/>
      <c r="OVY20" s="69"/>
      <c r="OVZ20" s="69"/>
      <c r="OWA20" s="69"/>
      <c r="OWB20" s="69"/>
      <c r="OWC20" s="69"/>
      <c r="OWD20" s="69"/>
      <c r="OWE20" s="69"/>
      <c r="OWF20" s="69"/>
      <c r="OWG20" s="69"/>
      <c r="OWH20" s="69"/>
      <c r="OWI20" s="69"/>
      <c r="OWJ20" s="69"/>
      <c r="OWK20" s="69"/>
      <c r="OWL20" s="69"/>
      <c r="OWM20" s="69"/>
      <c r="OWN20" s="69"/>
      <c r="OWO20" s="69"/>
      <c r="OWP20" s="69"/>
      <c r="OWQ20" s="69"/>
      <c r="OWR20" s="69"/>
      <c r="OWS20" s="69"/>
      <c r="OWT20" s="69"/>
      <c r="OWU20" s="69"/>
      <c r="OWV20" s="69"/>
      <c r="OWW20" s="69"/>
      <c r="OWX20" s="69"/>
      <c r="OWY20" s="69"/>
      <c r="OWZ20" s="69"/>
      <c r="OXA20" s="69"/>
      <c r="OXB20" s="69"/>
      <c r="OXC20" s="69"/>
      <c r="OXD20" s="69"/>
      <c r="OXE20" s="69"/>
      <c r="OXF20" s="69"/>
      <c r="OXG20" s="69"/>
      <c r="OXH20" s="69"/>
      <c r="OXI20" s="69"/>
      <c r="OXJ20" s="69"/>
      <c r="OXK20" s="69"/>
      <c r="OXL20" s="69"/>
      <c r="OXM20" s="69"/>
      <c r="OXN20" s="69"/>
      <c r="OXO20" s="69"/>
      <c r="OXP20" s="69"/>
      <c r="OXQ20" s="69"/>
      <c r="OXR20" s="69"/>
      <c r="OXS20" s="69"/>
      <c r="OXT20" s="69"/>
      <c r="OXU20" s="69"/>
      <c r="OXV20" s="69"/>
      <c r="OXW20" s="69"/>
      <c r="OXX20" s="69"/>
      <c r="OXY20" s="69"/>
      <c r="OXZ20" s="69"/>
      <c r="OYA20" s="69"/>
      <c r="OYB20" s="69"/>
      <c r="OYC20" s="69"/>
      <c r="OYD20" s="69"/>
      <c r="OYE20" s="69"/>
      <c r="OYF20" s="69"/>
      <c r="OYG20" s="69"/>
      <c r="OYH20" s="69"/>
      <c r="OYI20" s="69"/>
      <c r="OYJ20" s="69"/>
      <c r="OYK20" s="69"/>
      <c r="OYL20" s="69"/>
      <c r="OYM20" s="69"/>
      <c r="OYN20" s="69"/>
      <c r="OYO20" s="69"/>
      <c r="OYP20" s="69"/>
      <c r="OYQ20" s="69"/>
      <c r="OYR20" s="69"/>
      <c r="OYS20" s="69"/>
      <c r="OYT20" s="69"/>
      <c r="OYU20" s="69"/>
      <c r="OYV20" s="69"/>
      <c r="OYW20" s="69"/>
      <c r="OYX20" s="69"/>
      <c r="OYY20" s="69"/>
      <c r="OYZ20" s="69"/>
      <c r="OZA20" s="69"/>
      <c r="OZB20" s="69"/>
      <c r="OZC20" s="69"/>
      <c r="OZD20" s="69"/>
      <c r="OZE20" s="69"/>
      <c r="OZF20" s="69"/>
      <c r="OZG20" s="69"/>
      <c r="OZH20" s="69"/>
      <c r="OZI20" s="69"/>
      <c r="OZJ20" s="69"/>
      <c r="OZK20" s="69"/>
      <c r="OZL20" s="69"/>
      <c r="OZM20" s="69"/>
      <c r="OZN20" s="69"/>
      <c r="OZO20" s="69"/>
      <c r="OZP20" s="69"/>
      <c r="OZQ20" s="69"/>
      <c r="OZR20" s="69"/>
      <c r="OZS20" s="69"/>
      <c r="OZT20" s="69"/>
      <c r="OZU20" s="69"/>
      <c r="OZV20" s="69"/>
      <c r="OZW20" s="69"/>
      <c r="OZX20" s="69"/>
      <c r="OZY20" s="69"/>
      <c r="OZZ20" s="69"/>
      <c r="PAA20" s="69"/>
      <c r="PAB20" s="69"/>
      <c r="PAC20" s="69"/>
      <c r="PAD20" s="69"/>
      <c r="PAE20" s="69"/>
      <c r="PAF20" s="69"/>
      <c r="PAG20" s="69"/>
      <c r="PAH20" s="69"/>
      <c r="PAI20" s="69"/>
      <c r="PAJ20" s="69"/>
      <c r="PAK20" s="69"/>
      <c r="PAL20" s="69"/>
      <c r="PAM20" s="69"/>
      <c r="PAN20" s="69"/>
      <c r="PAO20" s="69"/>
      <c r="PAP20" s="69"/>
      <c r="PAQ20" s="69"/>
      <c r="PAR20" s="69"/>
      <c r="PAS20" s="69"/>
      <c r="PAT20" s="69"/>
      <c r="PAU20" s="69"/>
      <c r="PAV20" s="69"/>
      <c r="PAW20" s="69"/>
      <c r="PAX20" s="69"/>
      <c r="PAY20" s="69"/>
      <c r="PAZ20" s="69"/>
      <c r="PBA20" s="69"/>
      <c r="PBB20" s="69"/>
      <c r="PBC20" s="69"/>
      <c r="PBD20" s="69"/>
      <c r="PBE20" s="69"/>
      <c r="PBF20" s="69"/>
      <c r="PBG20" s="69"/>
      <c r="PBH20" s="69"/>
      <c r="PBI20" s="69"/>
      <c r="PBJ20" s="69"/>
      <c r="PBK20" s="69"/>
      <c r="PBL20" s="69"/>
      <c r="PBM20" s="69"/>
      <c r="PBN20" s="69"/>
      <c r="PBO20" s="69"/>
      <c r="PBP20" s="69"/>
      <c r="PBQ20" s="69"/>
      <c r="PBR20" s="69"/>
      <c r="PBS20" s="69"/>
      <c r="PBT20" s="69"/>
      <c r="PBU20" s="69"/>
      <c r="PBV20" s="69"/>
      <c r="PBW20" s="69"/>
      <c r="PBX20" s="69"/>
      <c r="PBY20" s="69"/>
      <c r="PBZ20" s="69"/>
      <c r="PCA20" s="69"/>
      <c r="PCB20" s="69"/>
      <c r="PCC20" s="69"/>
      <c r="PCD20" s="69"/>
      <c r="PCE20" s="69"/>
      <c r="PCF20" s="69"/>
      <c r="PCG20" s="69"/>
      <c r="PCH20" s="69"/>
      <c r="PCI20" s="69"/>
      <c r="PCJ20" s="69"/>
      <c r="PCK20" s="69"/>
      <c r="PCL20" s="69"/>
      <c r="PCM20" s="69"/>
      <c r="PCN20" s="69"/>
      <c r="PCO20" s="69"/>
      <c r="PCP20" s="69"/>
      <c r="PCQ20" s="69"/>
      <c r="PCR20" s="69"/>
      <c r="PCS20" s="69"/>
      <c r="PCT20" s="69"/>
      <c r="PCU20" s="69"/>
      <c r="PCV20" s="69"/>
      <c r="PCW20" s="69"/>
      <c r="PCX20" s="69"/>
      <c r="PCY20" s="69"/>
      <c r="PCZ20" s="69"/>
      <c r="PDA20" s="69"/>
      <c r="PDB20" s="69"/>
      <c r="PDC20" s="69"/>
      <c r="PDD20" s="69"/>
      <c r="PDE20" s="69"/>
      <c r="PDF20" s="69"/>
      <c r="PDG20" s="69"/>
      <c r="PDH20" s="69"/>
      <c r="PDI20" s="69"/>
      <c r="PDJ20" s="69"/>
      <c r="PDK20" s="69"/>
      <c r="PDL20" s="69"/>
      <c r="PDM20" s="69"/>
      <c r="PDN20" s="69"/>
      <c r="PDO20" s="69"/>
      <c r="PDP20" s="69"/>
      <c r="PDQ20" s="69"/>
      <c r="PDR20" s="69"/>
      <c r="PDS20" s="69"/>
      <c r="PDT20" s="69"/>
      <c r="PDU20" s="69"/>
      <c r="PDV20" s="69"/>
      <c r="PDW20" s="69"/>
      <c r="PDX20" s="69"/>
      <c r="PDY20" s="69"/>
      <c r="PDZ20" s="69"/>
      <c r="PEA20" s="69"/>
      <c r="PEB20" s="69"/>
      <c r="PEC20" s="69"/>
      <c r="PED20" s="69"/>
      <c r="PEE20" s="69"/>
      <c r="PEF20" s="69"/>
      <c r="PEG20" s="69"/>
      <c r="PEH20" s="69"/>
      <c r="PEI20" s="69"/>
      <c r="PEJ20" s="69"/>
      <c r="PEK20" s="69"/>
      <c r="PEL20" s="69"/>
      <c r="PEM20" s="69"/>
      <c r="PEN20" s="69"/>
      <c r="PEO20" s="69"/>
      <c r="PEP20" s="69"/>
      <c r="PEQ20" s="69"/>
      <c r="PER20" s="69"/>
      <c r="PES20" s="69"/>
      <c r="PET20" s="69"/>
      <c r="PEU20" s="69"/>
      <c r="PEV20" s="69"/>
      <c r="PEW20" s="69"/>
      <c r="PEX20" s="69"/>
      <c r="PEY20" s="69"/>
      <c r="PEZ20" s="69"/>
      <c r="PFA20" s="69"/>
      <c r="PFB20" s="69"/>
      <c r="PFC20" s="69"/>
      <c r="PFD20" s="69"/>
      <c r="PFE20" s="69"/>
      <c r="PFF20" s="69"/>
      <c r="PFG20" s="69"/>
      <c r="PFH20" s="69"/>
      <c r="PFI20" s="69"/>
      <c r="PFJ20" s="69"/>
      <c r="PFK20" s="69"/>
      <c r="PFL20" s="69"/>
      <c r="PFM20" s="69"/>
      <c r="PFN20" s="69"/>
      <c r="PFO20" s="69"/>
      <c r="PFP20" s="69"/>
      <c r="PFQ20" s="69"/>
      <c r="PFR20" s="69"/>
      <c r="PFS20" s="69"/>
      <c r="PFT20" s="69"/>
      <c r="PFU20" s="69"/>
      <c r="PFV20" s="69"/>
      <c r="PFW20" s="69"/>
      <c r="PFX20" s="69"/>
      <c r="PFY20" s="69"/>
      <c r="PFZ20" s="69"/>
      <c r="PGA20" s="69"/>
      <c r="PGB20" s="69"/>
      <c r="PGC20" s="69"/>
      <c r="PGD20" s="69"/>
      <c r="PGE20" s="69"/>
      <c r="PGF20" s="69"/>
      <c r="PGG20" s="69"/>
      <c r="PGH20" s="69"/>
      <c r="PGI20" s="69"/>
      <c r="PGJ20" s="69"/>
      <c r="PGK20" s="69"/>
      <c r="PGL20" s="69"/>
      <c r="PGM20" s="69"/>
      <c r="PGN20" s="69"/>
      <c r="PGO20" s="69"/>
      <c r="PGP20" s="69"/>
      <c r="PGQ20" s="69"/>
      <c r="PGR20" s="69"/>
      <c r="PGS20" s="69"/>
      <c r="PGT20" s="69"/>
      <c r="PGU20" s="69"/>
      <c r="PGV20" s="69"/>
      <c r="PGW20" s="69"/>
      <c r="PGX20" s="69"/>
      <c r="PGY20" s="69"/>
      <c r="PGZ20" s="69"/>
      <c r="PHA20" s="69"/>
      <c r="PHB20" s="69"/>
      <c r="PHC20" s="69"/>
      <c r="PHD20" s="69"/>
      <c r="PHE20" s="69"/>
      <c r="PHF20" s="69"/>
      <c r="PHG20" s="69"/>
      <c r="PHH20" s="69"/>
      <c r="PHI20" s="69"/>
      <c r="PHJ20" s="69"/>
      <c r="PHK20" s="69"/>
      <c r="PHL20" s="69"/>
      <c r="PHM20" s="69"/>
      <c r="PHN20" s="69"/>
      <c r="PHO20" s="69"/>
      <c r="PHP20" s="69"/>
      <c r="PHQ20" s="69"/>
      <c r="PHR20" s="69"/>
      <c r="PHS20" s="69"/>
      <c r="PHT20" s="69"/>
      <c r="PHU20" s="69"/>
      <c r="PHV20" s="69"/>
      <c r="PHW20" s="69"/>
      <c r="PHX20" s="69"/>
      <c r="PHY20" s="69"/>
      <c r="PHZ20" s="69"/>
      <c r="PIA20" s="69"/>
      <c r="PIB20" s="69"/>
      <c r="PIC20" s="69"/>
      <c r="PID20" s="69"/>
      <c r="PIE20" s="69"/>
      <c r="PIF20" s="69"/>
      <c r="PIG20" s="69"/>
      <c r="PIH20" s="69"/>
      <c r="PII20" s="69"/>
      <c r="PIJ20" s="69"/>
      <c r="PIK20" s="69"/>
      <c r="PIL20" s="69"/>
      <c r="PIM20" s="69"/>
      <c r="PIN20" s="69"/>
      <c r="PIO20" s="69"/>
      <c r="PIP20" s="69"/>
      <c r="PIQ20" s="69"/>
      <c r="PIR20" s="69"/>
      <c r="PIS20" s="69"/>
      <c r="PIT20" s="69"/>
      <c r="PIU20" s="69"/>
      <c r="PIV20" s="69"/>
      <c r="PIW20" s="69"/>
      <c r="PIX20" s="69"/>
      <c r="PIY20" s="69"/>
      <c r="PIZ20" s="69"/>
      <c r="PJA20" s="69"/>
      <c r="PJB20" s="69"/>
      <c r="PJC20" s="69"/>
      <c r="PJD20" s="69"/>
      <c r="PJE20" s="69"/>
      <c r="PJF20" s="69"/>
      <c r="PJG20" s="69"/>
      <c r="PJH20" s="69"/>
      <c r="PJI20" s="69"/>
      <c r="PJJ20" s="69"/>
      <c r="PJK20" s="69"/>
      <c r="PJL20" s="69"/>
      <c r="PJM20" s="69"/>
      <c r="PJN20" s="69"/>
      <c r="PJO20" s="69"/>
      <c r="PJP20" s="69"/>
      <c r="PJQ20" s="69"/>
      <c r="PJR20" s="69"/>
      <c r="PJS20" s="69"/>
      <c r="PJT20" s="69"/>
      <c r="PJU20" s="69"/>
      <c r="PJV20" s="69"/>
      <c r="PJW20" s="69"/>
      <c r="PJX20" s="69"/>
      <c r="PJY20" s="69"/>
      <c r="PJZ20" s="69"/>
      <c r="PKA20" s="69"/>
      <c r="PKB20" s="69"/>
      <c r="PKC20" s="69"/>
      <c r="PKD20" s="69"/>
      <c r="PKE20" s="69"/>
      <c r="PKF20" s="69"/>
      <c r="PKG20" s="69"/>
      <c r="PKH20" s="69"/>
      <c r="PKI20" s="69"/>
      <c r="PKJ20" s="69"/>
      <c r="PKK20" s="69"/>
      <c r="PKL20" s="69"/>
      <c r="PKM20" s="69"/>
      <c r="PKN20" s="69"/>
      <c r="PKO20" s="69"/>
      <c r="PKP20" s="69"/>
      <c r="PKQ20" s="69"/>
      <c r="PKR20" s="69"/>
      <c r="PKS20" s="69"/>
      <c r="PKT20" s="69"/>
      <c r="PKU20" s="69"/>
      <c r="PKV20" s="69"/>
      <c r="PKW20" s="69"/>
      <c r="PKX20" s="69"/>
      <c r="PKY20" s="69"/>
      <c r="PKZ20" s="69"/>
      <c r="PLA20" s="69"/>
      <c r="PLB20" s="69"/>
      <c r="PLC20" s="69"/>
      <c r="PLD20" s="69"/>
      <c r="PLE20" s="69"/>
      <c r="PLF20" s="69"/>
      <c r="PLG20" s="69"/>
      <c r="PLH20" s="69"/>
      <c r="PLI20" s="69"/>
      <c r="PLJ20" s="69"/>
      <c r="PLK20" s="69"/>
      <c r="PLL20" s="69"/>
      <c r="PLM20" s="69"/>
      <c r="PLN20" s="69"/>
      <c r="PLO20" s="69"/>
      <c r="PLP20" s="69"/>
      <c r="PLQ20" s="69"/>
      <c r="PLR20" s="69"/>
      <c r="PLS20" s="69"/>
      <c r="PLT20" s="69"/>
      <c r="PLU20" s="69"/>
      <c r="PLV20" s="69"/>
      <c r="PLW20" s="69"/>
      <c r="PLX20" s="69"/>
      <c r="PLY20" s="69"/>
      <c r="PLZ20" s="69"/>
      <c r="PMA20" s="69"/>
      <c r="PMB20" s="69"/>
      <c r="PMC20" s="69"/>
      <c r="PMD20" s="69"/>
      <c r="PME20" s="69"/>
      <c r="PMF20" s="69"/>
      <c r="PMG20" s="69"/>
      <c r="PMH20" s="69"/>
      <c r="PMI20" s="69"/>
      <c r="PMJ20" s="69"/>
      <c r="PMK20" s="69"/>
      <c r="PML20" s="69"/>
      <c r="PMM20" s="69"/>
      <c r="PMN20" s="69"/>
      <c r="PMO20" s="69"/>
      <c r="PMP20" s="69"/>
      <c r="PMQ20" s="69"/>
      <c r="PMR20" s="69"/>
      <c r="PMS20" s="69"/>
      <c r="PMT20" s="69"/>
      <c r="PMU20" s="69"/>
      <c r="PMV20" s="69"/>
      <c r="PMW20" s="69"/>
      <c r="PMX20" s="69"/>
      <c r="PMY20" s="69"/>
      <c r="PMZ20" s="69"/>
      <c r="PNA20" s="69"/>
      <c r="PNB20" s="69"/>
      <c r="PNC20" s="69"/>
      <c r="PND20" s="69"/>
      <c r="PNE20" s="69"/>
      <c r="PNF20" s="69"/>
      <c r="PNG20" s="69"/>
      <c r="PNH20" s="69"/>
      <c r="PNI20" s="69"/>
      <c r="PNJ20" s="69"/>
      <c r="PNK20" s="69"/>
      <c r="PNL20" s="69"/>
      <c r="PNM20" s="69"/>
      <c r="PNN20" s="69"/>
      <c r="PNO20" s="69"/>
      <c r="PNP20" s="69"/>
      <c r="PNQ20" s="69"/>
      <c r="PNR20" s="69"/>
      <c r="PNS20" s="69"/>
      <c r="PNT20" s="69"/>
      <c r="PNU20" s="69"/>
      <c r="PNV20" s="69"/>
      <c r="PNW20" s="69"/>
      <c r="PNX20" s="69"/>
      <c r="PNY20" s="69"/>
      <c r="PNZ20" s="69"/>
      <c r="POA20" s="69"/>
      <c r="POB20" s="69"/>
      <c r="POC20" s="69"/>
      <c r="POD20" s="69"/>
      <c r="POE20" s="69"/>
      <c r="POF20" s="69"/>
      <c r="POG20" s="69"/>
      <c r="POH20" s="69"/>
      <c r="POI20" s="69"/>
      <c r="POJ20" s="69"/>
      <c r="POK20" s="69"/>
      <c r="POL20" s="69"/>
      <c r="POM20" s="69"/>
      <c r="PON20" s="69"/>
      <c r="POO20" s="69"/>
      <c r="POP20" s="69"/>
      <c r="POQ20" s="69"/>
      <c r="POR20" s="69"/>
      <c r="POS20" s="69"/>
      <c r="POT20" s="69"/>
      <c r="POU20" s="69"/>
      <c r="POV20" s="69"/>
      <c r="POW20" s="69"/>
      <c r="POX20" s="69"/>
      <c r="POY20" s="69"/>
      <c r="POZ20" s="69"/>
      <c r="PPA20" s="69"/>
      <c r="PPB20" s="69"/>
      <c r="PPC20" s="69"/>
      <c r="PPD20" s="69"/>
      <c r="PPE20" s="69"/>
      <c r="PPF20" s="69"/>
      <c r="PPG20" s="69"/>
      <c r="PPH20" s="69"/>
      <c r="PPI20" s="69"/>
      <c r="PPJ20" s="69"/>
      <c r="PPK20" s="69"/>
      <c r="PPL20" s="69"/>
      <c r="PPM20" s="69"/>
      <c r="PPN20" s="69"/>
      <c r="PPO20" s="69"/>
      <c r="PPP20" s="69"/>
      <c r="PPQ20" s="69"/>
      <c r="PPR20" s="69"/>
      <c r="PPS20" s="69"/>
      <c r="PPT20" s="69"/>
      <c r="PPU20" s="69"/>
      <c r="PPV20" s="69"/>
      <c r="PPW20" s="69"/>
      <c r="PPX20" s="69"/>
      <c r="PPY20" s="69"/>
      <c r="PPZ20" s="69"/>
      <c r="PQA20" s="69"/>
      <c r="PQB20" s="69"/>
      <c r="PQC20" s="69"/>
      <c r="PQD20" s="69"/>
      <c r="PQE20" s="69"/>
      <c r="PQF20" s="69"/>
      <c r="PQG20" s="69"/>
      <c r="PQH20" s="69"/>
      <c r="PQI20" s="69"/>
      <c r="PQJ20" s="69"/>
      <c r="PQK20" s="69"/>
      <c r="PQL20" s="69"/>
      <c r="PQM20" s="69"/>
      <c r="PQN20" s="69"/>
      <c r="PQO20" s="69"/>
      <c r="PQP20" s="69"/>
      <c r="PQQ20" s="69"/>
      <c r="PQR20" s="69"/>
      <c r="PQS20" s="69"/>
      <c r="PQT20" s="69"/>
      <c r="PQU20" s="69"/>
      <c r="PQV20" s="69"/>
      <c r="PQW20" s="69"/>
      <c r="PQX20" s="69"/>
      <c r="PQY20" s="69"/>
      <c r="PQZ20" s="69"/>
      <c r="PRA20" s="69"/>
      <c r="PRB20" s="69"/>
      <c r="PRC20" s="69"/>
      <c r="PRD20" s="69"/>
      <c r="PRE20" s="69"/>
      <c r="PRF20" s="69"/>
      <c r="PRG20" s="69"/>
      <c r="PRH20" s="69"/>
      <c r="PRI20" s="69"/>
      <c r="PRJ20" s="69"/>
      <c r="PRK20" s="69"/>
      <c r="PRL20" s="69"/>
      <c r="PRM20" s="69"/>
      <c r="PRN20" s="69"/>
      <c r="PRO20" s="69"/>
      <c r="PRP20" s="69"/>
      <c r="PRQ20" s="69"/>
      <c r="PRR20" s="69"/>
      <c r="PRS20" s="69"/>
      <c r="PRT20" s="69"/>
      <c r="PRU20" s="69"/>
      <c r="PRV20" s="69"/>
      <c r="PRW20" s="69"/>
      <c r="PRX20" s="69"/>
      <c r="PRY20" s="69"/>
      <c r="PRZ20" s="69"/>
      <c r="PSA20" s="69"/>
      <c r="PSB20" s="69"/>
      <c r="PSC20" s="69"/>
      <c r="PSD20" s="69"/>
      <c r="PSE20" s="69"/>
      <c r="PSF20" s="69"/>
      <c r="PSG20" s="69"/>
      <c r="PSH20" s="69"/>
      <c r="PSI20" s="69"/>
      <c r="PSJ20" s="69"/>
      <c r="PSK20" s="69"/>
      <c r="PSL20" s="69"/>
      <c r="PSM20" s="69"/>
      <c r="PSN20" s="69"/>
      <c r="PSO20" s="69"/>
      <c r="PSP20" s="69"/>
      <c r="PSQ20" s="69"/>
      <c r="PSR20" s="69"/>
      <c r="PSS20" s="69"/>
      <c r="PST20" s="69"/>
      <c r="PSU20" s="69"/>
      <c r="PSV20" s="69"/>
      <c r="PSW20" s="69"/>
      <c r="PSX20" s="69"/>
      <c r="PSY20" s="69"/>
      <c r="PSZ20" s="69"/>
      <c r="PTA20" s="69"/>
      <c r="PTB20" s="69"/>
      <c r="PTC20" s="69"/>
      <c r="PTD20" s="69"/>
      <c r="PTE20" s="69"/>
      <c r="PTF20" s="69"/>
      <c r="PTG20" s="69"/>
      <c r="PTH20" s="69"/>
      <c r="PTI20" s="69"/>
      <c r="PTJ20" s="69"/>
      <c r="PTK20" s="69"/>
      <c r="PTL20" s="69"/>
      <c r="PTM20" s="69"/>
      <c r="PTN20" s="69"/>
      <c r="PTO20" s="69"/>
      <c r="PTP20" s="69"/>
      <c r="PTQ20" s="69"/>
      <c r="PTR20" s="69"/>
      <c r="PTS20" s="69"/>
      <c r="PTT20" s="69"/>
      <c r="PTU20" s="69"/>
      <c r="PTV20" s="69"/>
      <c r="PTW20" s="69"/>
      <c r="PTX20" s="69"/>
      <c r="PTY20" s="69"/>
      <c r="PTZ20" s="69"/>
      <c r="PUA20" s="69"/>
      <c r="PUB20" s="69"/>
      <c r="PUC20" s="69"/>
      <c r="PUD20" s="69"/>
      <c r="PUE20" s="69"/>
      <c r="PUF20" s="69"/>
      <c r="PUG20" s="69"/>
      <c r="PUH20" s="69"/>
      <c r="PUI20" s="69"/>
      <c r="PUJ20" s="69"/>
      <c r="PUK20" s="69"/>
      <c r="PUL20" s="69"/>
      <c r="PUM20" s="69"/>
      <c r="PUN20" s="69"/>
      <c r="PUO20" s="69"/>
      <c r="PUP20" s="69"/>
      <c r="PUQ20" s="69"/>
      <c r="PUR20" s="69"/>
      <c r="PUS20" s="69"/>
      <c r="PUT20" s="69"/>
      <c r="PUU20" s="69"/>
      <c r="PUV20" s="69"/>
      <c r="PUW20" s="69"/>
      <c r="PUX20" s="69"/>
      <c r="PUY20" s="69"/>
      <c r="PUZ20" s="69"/>
      <c r="PVA20" s="69"/>
      <c r="PVB20" s="69"/>
      <c r="PVC20" s="69"/>
      <c r="PVD20" s="69"/>
      <c r="PVE20" s="69"/>
      <c r="PVF20" s="69"/>
      <c r="PVG20" s="69"/>
      <c r="PVH20" s="69"/>
      <c r="PVI20" s="69"/>
      <c r="PVJ20" s="69"/>
      <c r="PVK20" s="69"/>
      <c r="PVL20" s="69"/>
      <c r="PVM20" s="69"/>
      <c r="PVN20" s="69"/>
      <c r="PVO20" s="69"/>
      <c r="PVP20" s="69"/>
      <c r="PVQ20" s="69"/>
      <c r="PVR20" s="69"/>
      <c r="PVS20" s="69"/>
      <c r="PVT20" s="69"/>
      <c r="PVU20" s="69"/>
      <c r="PVV20" s="69"/>
      <c r="PVW20" s="69"/>
      <c r="PVX20" s="69"/>
      <c r="PVY20" s="69"/>
      <c r="PVZ20" s="69"/>
      <c r="PWA20" s="69"/>
      <c r="PWB20" s="69"/>
      <c r="PWC20" s="69"/>
      <c r="PWD20" s="69"/>
      <c r="PWE20" s="69"/>
      <c r="PWF20" s="69"/>
      <c r="PWG20" s="69"/>
      <c r="PWH20" s="69"/>
      <c r="PWI20" s="69"/>
      <c r="PWJ20" s="69"/>
      <c r="PWK20" s="69"/>
      <c r="PWL20" s="69"/>
      <c r="PWM20" s="69"/>
      <c r="PWN20" s="69"/>
      <c r="PWO20" s="69"/>
      <c r="PWP20" s="69"/>
      <c r="PWQ20" s="69"/>
      <c r="PWR20" s="69"/>
      <c r="PWS20" s="69"/>
      <c r="PWT20" s="69"/>
      <c r="PWU20" s="69"/>
      <c r="PWV20" s="69"/>
      <c r="PWW20" s="69"/>
      <c r="PWX20" s="69"/>
      <c r="PWY20" s="69"/>
      <c r="PWZ20" s="69"/>
      <c r="PXA20" s="69"/>
      <c r="PXB20" s="69"/>
      <c r="PXC20" s="69"/>
      <c r="PXD20" s="69"/>
      <c r="PXE20" s="69"/>
      <c r="PXF20" s="69"/>
      <c r="PXG20" s="69"/>
      <c r="PXH20" s="69"/>
      <c r="PXI20" s="69"/>
      <c r="PXJ20" s="69"/>
      <c r="PXK20" s="69"/>
      <c r="PXL20" s="69"/>
      <c r="PXM20" s="69"/>
      <c r="PXN20" s="69"/>
      <c r="PXO20" s="69"/>
      <c r="PXP20" s="69"/>
      <c r="PXQ20" s="69"/>
      <c r="PXR20" s="69"/>
      <c r="PXS20" s="69"/>
      <c r="PXT20" s="69"/>
      <c r="PXU20" s="69"/>
      <c r="PXV20" s="69"/>
      <c r="PXW20" s="69"/>
      <c r="PXX20" s="69"/>
      <c r="PXY20" s="69"/>
      <c r="PXZ20" s="69"/>
      <c r="PYA20" s="69"/>
      <c r="PYB20" s="69"/>
      <c r="PYC20" s="69"/>
      <c r="PYD20" s="69"/>
      <c r="PYE20" s="69"/>
      <c r="PYF20" s="69"/>
      <c r="PYG20" s="69"/>
      <c r="PYH20" s="69"/>
      <c r="PYI20" s="69"/>
      <c r="PYJ20" s="69"/>
      <c r="PYK20" s="69"/>
      <c r="PYL20" s="69"/>
      <c r="PYM20" s="69"/>
      <c r="PYN20" s="69"/>
      <c r="PYO20" s="69"/>
      <c r="PYP20" s="69"/>
      <c r="PYQ20" s="69"/>
      <c r="PYR20" s="69"/>
      <c r="PYS20" s="69"/>
      <c r="PYT20" s="69"/>
      <c r="PYU20" s="69"/>
      <c r="PYV20" s="69"/>
      <c r="PYW20" s="69"/>
      <c r="PYX20" s="69"/>
      <c r="PYY20" s="69"/>
      <c r="PYZ20" s="69"/>
      <c r="PZA20" s="69"/>
      <c r="PZB20" s="69"/>
      <c r="PZC20" s="69"/>
      <c r="PZD20" s="69"/>
      <c r="PZE20" s="69"/>
      <c r="PZF20" s="69"/>
      <c r="PZG20" s="69"/>
      <c r="PZH20" s="69"/>
      <c r="PZI20" s="69"/>
      <c r="PZJ20" s="69"/>
      <c r="PZK20" s="69"/>
      <c r="PZL20" s="69"/>
      <c r="PZM20" s="69"/>
      <c r="PZN20" s="69"/>
      <c r="PZO20" s="69"/>
      <c r="PZP20" s="69"/>
      <c r="PZQ20" s="69"/>
      <c r="PZR20" s="69"/>
      <c r="PZS20" s="69"/>
      <c r="PZT20" s="69"/>
      <c r="PZU20" s="69"/>
      <c r="PZV20" s="69"/>
      <c r="PZW20" s="69"/>
      <c r="PZX20" s="69"/>
      <c r="PZY20" s="69"/>
      <c r="PZZ20" s="69"/>
      <c r="QAA20" s="69"/>
      <c r="QAB20" s="69"/>
      <c r="QAC20" s="69"/>
      <c r="QAD20" s="69"/>
      <c r="QAE20" s="69"/>
      <c r="QAF20" s="69"/>
      <c r="QAG20" s="69"/>
      <c r="QAH20" s="69"/>
      <c r="QAI20" s="69"/>
      <c r="QAJ20" s="69"/>
      <c r="QAK20" s="69"/>
      <c r="QAL20" s="69"/>
      <c r="QAM20" s="69"/>
      <c r="QAN20" s="69"/>
      <c r="QAO20" s="69"/>
      <c r="QAP20" s="69"/>
      <c r="QAQ20" s="69"/>
      <c r="QAR20" s="69"/>
      <c r="QAS20" s="69"/>
      <c r="QAT20" s="69"/>
      <c r="QAU20" s="69"/>
      <c r="QAV20" s="69"/>
      <c r="QAW20" s="69"/>
      <c r="QAX20" s="69"/>
      <c r="QAY20" s="69"/>
      <c r="QAZ20" s="69"/>
      <c r="QBA20" s="69"/>
      <c r="QBB20" s="69"/>
      <c r="QBC20" s="69"/>
      <c r="QBD20" s="69"/>
      <c r="QBE20" s="69"/>
      <c r="QBF20" s="69"/>
      <c r="QBG20" s="69"/>
      <c r="QBH20" s="69"/>
      <c r="QBI20" s="69"/>
      <c r="QBJ20" s="69"/>
      <c r="QBK20" s="69"/>
      <c r="QBL20" s="69"/>
      <c r="QBM20" s="69"/>
      <c r="QBN20" s="69"/>
      <c r="QBO20" s="69"/>
      <c r="QBP20" s="69"/>
      <c r="QBQ20" s="69"/>
      <c r="QBR20" s="69"/>
      <c r="QBS20" s="69"/>
      <c r="QBT20" s="69"/>
      <c r="QBU20" s="69"/>
      <c r="QBV20" s="69"/>
      <c r="QBW20" s="69"/>
      <c r="QBX20" s="69"/>
      <c r="QBY20" s="69"/>
      <c r="QBZ20" s="69"/>
      <c r="QCA20" s="69"/>
      <c r="QCB20" s="69"/>
      <c r="QCC20" s="69"/>
      <c r="QCD20" s="69"/>
      <c r="QCE20" s="69"/>
      <c r="QCF20" s="69"/>
      <c r="QCG20" s="69"/>
      <c r="QCH20" s="69"/>
      <c r="QCI20" s="69"/>
      <c r="QCJ20" s="69"/>
      <c r="QCK20" s="69"/>
      <c r="QCL20" s="69"/>
      <c r="QCM20" s="69"/>
      <c r="QCN20" s="69"/>
      <c r="QCO20" s="69"/>
      <c r="QCP20" s="69"/>
      <c r="QCQ20" s="69"/>
      <c r="QCR20" s="69"/>
      <c r="QCS20" s="69"/>
      <c r="QCT20" s="69"/>
      <c r="QCU20" s="69"/>
      <c r="QCV20" s="69"/>
      <c r="QCW20" s="69"/>
      <c r="QCX20" s="69"/>
      <c r="QCY20" s="69"/>
      <c r="QCZ20" s="69"/>
      <c r="QDA20" s="69"/>
      <c r="QDB20" s="69"/>
      <c r="QDC20" s="69"/>
      <c r="QDD20" s="69"/>
      <c r="QDE20" s="69"/>
      <c r="QDF20" s="69"/>
      <c r="QDG20" s="69"/>
      <c r="QDH20" s="69"/>
      <c r="QDI20" s="69"/>
      <c r="QDJ20" s="69"/>
      <c r="QDK20" s="69"/>
      <c r="QDL20" s="69"/>
      <c r="QDM20" s="69"/>
      <c r="QDN20" s="69"/>
      <c r="QDO20" s="69"/>
      <c r="QDP20" s="69"/>
      <c r="QDQ20" s="69"/>
      <c r="QDR20" s="69"/>
      <c r="QDS20" s="69"/>
      <c r="QDT20" s="69"/>
      <c r="QDU20" s="69"/>
      <c r="QDV20" s="69"/>
      <c r="QDW20" s="69"/>
      <c r="QDX20" s="69"/>
      <c r="QDY20" s="69"/>
      <c r="QDZ20" s="69"/>
      <c r="QEA20" s="69"/>
      <c r="QEB20" s="69"/>
      <c r="QEC20" s="69"/>
      <c r="QED20" s="69"/>
      <c r="QEE20" s="69"/>
      <c r="QEF20" s="69"/>
      <c r="QEG20" s="69"/>
      <c r="QEH20" s="69"/>
      <c r="QEI20" s="69"/>
      <c r="QEJ20" s="69"/>
      <c r="QEK20" s="69"/>
      <c r="QEL20" s="69"/>
      <c r="QEM20" s="69"/>
      <c r="QEN20" s="69"/>
      <c r="QEO20" s="69"/>
      <c r="QEP20" s="69"/>
      <c r="QEQ20" s="69"/>
      <c r="QER20" s="69"/>
      <c r="QES20" s="69"/>
      <c r="QET20" s="69"/>
      <c r="QEU20" s="69"/>
      <c r="QEV20" s="69"/>
      <c r="QEW20" s="69"/>
      <c r="QEX20" s="69"/>
      <c r="QEY20" s="69"/>
      <c r="QEZ20" s="69"/>
      <c r="QFA20" s="69"/>
      <c r="QFB20" s="69"/>
      <c r="QFC20" s="69"/>
      <c r="QFD20" s="69"/>
      <c r="QFE20" s="69"/>
      <c r="QFF20" s="69"/>
      <c r="QFG20" s="69"/>
      <c r="QFH20" s="69"/>
      <c r="QFI20" s="69"/>
      <c r="QFJ20" s="69"/>
      <c r="QFK20" s="69"/>
      <c r="QFL20" s="69"/>
      <c r="QFM20" s="69"/>
      <c r="QFN20" s="69"/>
      <c r="QFO20" s="69"/>
      <c r="QFP20" s="69"/>
      <c r="QFQ20" s="69"/>
      <c r="QFR20" s="69"/>
      <c r="QFS20" s="69"/>
      <c r="QFT20" s="69"/>
      <c r="QFU20" s="69"/>
      <c r="QFV20" s="69"/>
      <c r="QFW20" s="69"/>
      <c r="QFX20" s="69"/>
      <c r="QFY20" s="69"/>
      <c r="QFZ20" s="69"/>
      <c r="QGA20" s="69"/>
      <c r="QGB20" s="69"/>
      <c r="QGC20" s="69"/>
      <c r="QGD20" s="69"/>
      <c r="QGE20" s="69"/>
      <c r="QGF20" s="69"/>
      <c r="QGG20" s="69"/>
      <c r="QGH20" s="69"/>
      <c r="QGI20" s="69"/>
      <c r="QGJ20" s="69"/>
      <c r="QGK20" s="69"/>
      <c r="QGL20" s="69"/>
      <c r="QGM20" s="69"/>
      <c r="QGN20" s="69"/>
      <c r="QGO20" s="69"/>
      <c r="QGP20" s="69"/>
      <c r="QGQ20" s="69"/>
      <c r="QGR20" s="69"/>
      <c r="QGS20" s="69"/>
      <c r="QGT20" s="69"/>
      <c r="QGU20" s="69"/>
      <c r="QGV20" s="69"/>
      <c r="QGW20" s="69"/>
      <c r="QGX20" s="69"/>
      <c r="QGY20" s="69"/>
      <c r="QGZ20" s="69"/>
      <c r="QHA20" s="69"/>
      <c r="QHB20" s="69"/>
      <c r="QHC20" s="69"/>
      <c r="QHD20" s="69"/>
      <c r="QHE20" s="69"/>
      <c r="QHF20" s="69"/>
      <c r="QHG20" s="69"/>
      <c r="QHH20" s="69"/>
      <c r="QHI20" s="69"/>
      <c r="QHJ20" s="69"/>
      <c r="QHK20" s="69"/>
      <c r="QHL20" s="69"/>
      <c r="QHM20" s="69"/>
      <c r="QHN20" s="69"/>
      <c r="QHO20" s="69"/>
      <c r="QHP20" s="69"/>
      <c r="QHQ20" s="69"/>
      <c r="QHR20" s="69"/>
      <c r="QHS20" s="69"/>
      <c r="QHT20" s="69"/>
      <c r="QHU20" s="69"/>
      <c r="QHV20" s="69"/>
      <c r="QHW20" s="69"/>
      <c r="QHX20" s="69"/>
      <c r="QHY20" s="69"/>
      <c r="QHZ20" s="69"/>
      <c r="QIA20" s="69"/>
      <c r="QIB20" s="69"/>
      <c r="QIC20" s="69"/>
      <c r="QID20" s="69"/>
      <c r="QIE20" s="69"/>
      <c r="QIF20" s="69"/>
      <c r="QIG20" s="69"/>
      <c r="QIH20" s="69"/>
      <c r="QII20" s="69"/>
      <c r="QIJ20" s="69"/>
      <c r="QIK20" s="69"/>
      <c r="QIL20" s="69"/>
      <c r="QIM20" s="69"/>
      <c r="QIN20" s="69"/>
      <c r="QIO20" s="69"/>
      <c r="QIP20" s="69"/>
      <c r="QIQ20" s="69"/>
      <c r="QIR20" s="69"/>
      <c r="QIS20" s="69"/>
      <c r="QIT20" s="69"/>
      <c r="QIU20" s="69"/>
      <c r="QIV20" s="69"/>
      <c r="QIW20" s="69"/>
      <c r="QIX20" s="69"/>
      <c r="QIY20" s="69"/>
      <c r="QIZ20" s="69"/>
      <c r="QJA20" s="69"/>
      <c r="QJB20" s="69"/>
      <c r="QJC20" s="69"/>
      <c r="QJD20" s="69"/>
      <c r="QJE20" s="69"/>
      <c r="QJF20" s="69"/>
      <c r="QJG20" s="69"/>
      <c r="QJH20" s="69"/>
      <c r="QJI20" s="69"/>
      <c r="QJJ20" s="69"/>
      <c r="QJK20" s="69"/>
      <c r="QJL20" s="69"/>
      <c r="QJM20" s="69"/>
      <c r="QJN20" s="69"/>
      <c r="QJO20" s="69"/>
      <c r="QJP20" s="69"/>
      <c r="QJQ20" s="69"/>
      <c r="QJR20" s="69"/>
      <c r="QJS20" s="69"/>
      <c r="QJT20" s="69"/>
      <c r="QJU20" s="69"/>
      <c r="QJV20" s="69"/>
      <c r="QJW20" s="69"/>
      <c r="QJX20" s="69"/>
      <c r="QJY20" s="69"/>
      <c r="QJZ20" s="69"/>
      <c r="QKA20" s="69"/>
      <c r="QKB20" s="69"/>
      <c r="QKC20" s="69"/>
      <c r="QKD20" s="69"/>
      <c r="QKE20" s="69"/>
      <c r="QKF20" s="69"/>
      <c r="QKG20" s="69"/>
      <c r="QKH20" s="69"/>
      <c r="QKI20" s="69"/>
      <c r="QKJ20" s="69"/>
      <c r="QKK20" s="69"/>
      <c r="QKL20" s="69"/>
      <c r="QKM20" s="69"/>
      <c r="QKN20" s="69"/>
      <c r="QKO20" s="69"/>
      <c r="QKP20" s="69"/>
      <c r="QKQ20" s="69"/>
      <c r="QKR20" s="69"/>
      <c r="QKS20" s="69"/>
      <c r="QKT20" s="69"/>
      <c r="QKU20" s="69"/>
      <c r="QKV20" s="69"/>
      <c r="QKW20" s="69"/>
      <c r="QKX20" s="69"/>
      <c r="QKY20" s="69"/>
      <c r="QKZ20" s="69"/>
      <c r="QLA20" s="69"/>
      <c r="QLB20" s="69"/>
      <c r="QLC20" s="69"/>
      <c r="QLD20" s="69"/>
      <c r="QLE20" s="69"/>
      <c r="QLF20" s="69"/>
      <c r="QLG20" s="69"/>
      <c r="QLH20" s="69"/>
      <c r="QLI20" s="69"/>
      <c r="QLJ20" s="69"/>
      <c r="QLK20" s="69"/>
      <c r="QLL20" s="69"/>
      <c r="QLM20" s="69"/>
      <c r="QLN20" s="69"/>
      <c r="QLO20" s="69"/>
      <c r="QLP20" s="69"/>
      <c r="QLQ20" s="69"/>
      <c r="QLR20" s="69"/>
      <c r="QLS20" s="69"/>
      <c r="QLT20" s="69"/>
      <c r="QLU20" s="69"/>
      <c r="QLV20" s="69"/>
      <c r="QLW20" s="69"/>
      <c r="QLX20" s="69"/>
      <c r="QLY20" s="69"/>
      <c r="QLZ20" s="69"/>
      <c r="QMA20" s="69"/>
      <c r="QMB20" s="69"/>
      <c r="QMC20" s="69"/>
      <c r="QMD20" s="69"/>
      <c r="QME20" s="69"/>
      <c r="QMF20" s="69"/>
      <c r="QMG20" s="69"/>
      <c r="QMH20" s="69"/>
      <c r="QMI20" s="69"/>
      <c r="QMJ20" s="69"/>
      <c r="QMK20" s="69"/>
      <c r="QML20" s="69"/>
      <c r="QMM20" s="69"/>
      <c r="QMN20" s="69"/>
      <c r="QMO20" s="69"/>
      <c r="QMP20" s="69"/>
      <c r="QMQ20" s="69"/>
      <c r="QMR20" s="69"/>
      <c r="QMS20" s="69"/>
      <c r="QMT20" s="69"/>
      <c r="QMU20" s="69"/>
      <c r="QMV20" s="69"/>
      <c r="QMW20" s="69"/>
      <c r="QMX20" s="69"/>
      <c r="QMY20" s="69"/>
      <c r="QMZ20" s="69"/>
      <c r="QNA20" s="69"/>
      <c r="QNB20" s="69"/>
      <c r="QNC20" s="69"/>
      <c r="QND20" s="69"/>
      <c r="QNE20" s="69"/>
      <c r="QNF20" s="69"/>
      <c r="QNG20" s="69"/>
      <c r="QNH20" s="69"/>
      <c r="QNI20" s="69"/>
      <c r="QNJ20" s="69"/>
      <c r="QNK20" s="69"/>
      <c r="QNL20" s="69"/>
      <c r="QNM20" s="69"/>
      <c r="QNN20" s="69"/>
      <c r="QNO20" s="69"/>
      <c r="QNP20" s="69"/>
      <c r="QNQ20" s="69"/>
      <c r="QNR20" s="69"/>
      <c r="QNS20" s="69"/>
      <c r="QNT20" s="69"/>
      <c r="QNU20" s="69"/>
      <c r="QNV20" s="69"/>
      <c r="QNW20" s="69"/>
      <c r="QNX20" s="69"/>
      <c r="QNY20" s="69"/>
      <c r="QNZ20" s="69"/>
      <c r="QOA20" s="69"/>
      <c r="QOB20" s="69"/>
      <c r="QOC20" s="69"/>
      <c r="QOD20" s="69"/>
      <c r="QOE20" s="69"/>
      <c r="QOF20" s="69"/>
      <c r="QOG20" s="69"/>
      <c r="QOH20" s="69"/>
      <c r="QOI20" s="69"/>
      <c r="QOJ20" s="69"/>
      <c r="QOK20" s="69"/>
      <c r="QOL20" s="69"/>
      <c r="QOM20" s="69"/>
      <c r="QON20" s="69"/>
      <c r="QOO20" s="69"/>
      <c r="QOP20" s="69"/>
      <c r="QOQ20" s="69"/>
      <c r="QOR20" s="69"/>
      <c r="QOS20" s="69"/>
      <c r="QOT20" s="69"/>
      <c r="QOU20" s="69"/>
      <c r="QOV20" s="69"/>
      <c r="QOW20" s="69"/>
      <c r="QOX20" s="69"/>
      <c r="QOY20" s="69"/>
      <c r="QOZ20" s="69"/>
      <c r="QPA20" s="69"/>
      <c r="QPB20" s="69"/>
      <c r="QPC20" s="69"/>
      <c r="QPD20" s="69"/>
      <c r="QPE20" s="69"/>
      <c r="QPF20" s="69"/>
      <c r="QPG20" s="69"/>
      <c r="QPH20" s="69"/>
      <c r="QPI20" s="69"/>
      <c r="QPJ20" s="69"/>
      <c r="QPK20" s="69"/>
      <c r="QPL20" s="69"/>
      <c r="QPM20" s="69"/>
      <c r="QPN20" s="69"/>
      <c r="QPO20" s="69"/>
      <c r="QPP20" s="69"/>
      <c r="QPQ20" s="69"/>
      <c r="QPR20" s="69"/>
      <c r="QPS20" s="69"/>
      <c r="QPT20" s="69"/>
      <c r="QPU20" s="69"/>
      <c r="QPV20" s="69"/>
      <c r="QPW20" s="69"/>
      <c r="QPX20" s="69"/>
      <c r="QPY20" s="69"/>
      <c r="QPZ20" s="69"/>
      <c r="QQA20" s="69"/>
      <c r="QQB20" s="69"/>
      <c r="QQC20" s="69"/>
      <c r="QQD20" s="69"/>
      <c r="QQE20" s="69"/>
      <c r="QQF20" s="69"/>
      <c r="QQG20" s="69"/>
      <c r="QQH20" s="69"/>
      <c r="QQI20" s="69"/>
      <c r="QQJ20" s="69"/>
      <c r="QQK20" s="69"/>
      <c r="QQL20" s="69"/>
      <c r="QQM20" s="69"/>
      <c r="QQN20" s="69"/>
      <c r="QQO20" s="69"/>
      <c r="QQP20" s="69"/>
      <c r="QQQ20" s="69"/>
      <c r="QQR20" s="69"/>
      <c r="QQS20" s="69"/>
      <c r="QQT20" s="69"/>
      <c r="QQU20" s="69"/>
      <c r="QQV20" s="69"/>
      <c r="QQW20" s="69"/>
      <c r="QQX20" s="69"/>
      <c r="QQY20" s="69"/>
      <c r="QQZ20" s="69"/>
      <c r="QRA20" s="69"/>
      <c r="QRB20" s="69"/>
      <c r="QRC20" s="69"/>
      <c r="QRD20" s="69"/>
      <c r="QRE20" s="69"/>
      <c r="QRF20" s="69"/>
      <c r="QRG20" s="69"/>
      <c r="QRH20" s="69"/>
      <c r="QRI20" s="69"/>
      <c r="QRJ20" s="69"/>
      <c r="QRK20" s="69"/>
      <c r="QRL20" s="69"/>
      <c r="QRM20" s="69"/>
      <c r="QRN20" s="69"/>
      <c r="QRO20" s="69"/>
      <c r="QRP20" s="69"/>
      <c r="QRQ20" s="69"/>
      <c r="QRR20" s="69"/>
      <c r="QRS20" s="69"/>
      <c r="QRT20" s="69"/>
      <c r="QRU20" s="69"/>
      <c r="QRV20" s="69"/>
      <c r="QRW20" s="69"/>
      <c r="QRX20" s="69"/>
      <c r="QRY20" s="69"/>
      <c r="QRZ20" s="69"/>
      <c r="QSA20" s="69"/>
      <c r="QSB20" s="69"/>
      <c r="QSC20" s="69"/>
      <c r="QSD20" s="69"/>
      <c r="QSE20" s="69"/>
      <c r="QSF20" s="69"/>
      <c r="QSG20" s="69"/>
      <c r="QSH20" s="69"/>
      <c r="QSI20" s="69"/>
      <c r="QSJ20" s="69"/>
      <c r="QSK20" s="69"/>
      <c r="QSL20" s="69"/>
      <c r="QSM20" s="69"/>
      <c r="QSN20" s="69"/>
      <c r="QSO20" s="69"/>
      <c r="QSP20" s="69"/>
      <c r="QSQ20" s="69"/>
      <c r="QSR20" s="69"/>
      <c r="QSS20" s="69"/>
      <c r="QST20" s="69"/>
      <c r="QSU20" s="69"/>
      <c r="QSV20" s="69"/>
      <c r="QSW20" s="69"/>
      <c r="QSX20" s="69"/>
      <c r="QSY20" s="69"/>
      <c r="QSZ20" s="69"/>
      <c r="QTA20" s="69"/>
      <c r="QTB20" s="69"/>
      <c r="QTC20" s="69"/>
      <c r="QTD20" s="69"/>
      <c r="QTE20" s="69"/>
      <c r="QTF20" s="69"/>
      <c r="QTG20" s="69"/>
      <c r="QTH20" s="69"/>
      <c r="QTI20" s="69"/>
      <c r="QTJ20" s="69"/>
      <c r="QTK20" s="69"/>
      <c r="QTL20" s="69"/>
      <c r="QTM20" s="69"/>
      <c r="QTN20" s="69"/>
      <c r="QTO20" s="69"/>
      <c r="QTP20" s="69"/>
      <c r="QTQ20" s="69"/>
      <c r="QTR20" s="69"/>
      <c r="QTS20" s="69"/>
      <c r="QTT20" s="69"/>
      <c r="QTU20" s="69"/>
      <c r="QTV20" s="69"/>
      <c r="QTW20" s="69"/>
      <c r="QTX20" s="69"/>
      <c r="QTY20" s="69"/>
      <c r="QTZ20" s="69"/>
      <c r="QUA20" s="69"/>
      <c r="QUB20" s="69"/>
      <c r="QUC20" s="69"/>
      <c r="QUD20" s="69"/>
      <c r="QUE20" s="69"/>
      <c r="QUF20" s="69"/>
      <c r="QUG20" s="69"/>
      <c r="QUH20" s="69"/>
      <c r="QUI20" s="69"/>
      <c r="QUJ20" s="69"/>
      <c r="QUK20" s="69"/>
      <c r="QUL20" s="69"/>
      <c r="QUM20" s="69"/>
      <c r="QUN20" s="69"/>
      <c r="QUO20" s="69"/>
      <c r="QUP20" s="69"/>
      <c r="QUQ20" s="69"/>
      <c r="QUR20" s="69"/>
      <c r="QUS20" s="69"/>
      <c r="QUT20" s="69"/>
      <c r="QUU20" s="69"/>
      <c r="QUV20" s="69"/>
      <c r="QUW20" s="69"/>
      <c r="QUX20" s="69"/>
      <c r="QUY20" s="69"/>
      <c r="QUZ20" s="69"/>
      <c r="QVA20" s="69"/>
      <c r="QVB20" s="69"/>
      <c r="QVC20" s="69"/>
      <c r="QVD20" s="69"/>
      <c r="QVE20" s="69"/>
      <c r="QVF20" s="69"/>
      <c r="QVG20" s="69"/>
      <c r="QVH20" s="69"/>
      <c r="QVI20" s="69"/>
      <c r="QVJ20" s="69"/>
      <c r="QVK20" s="69"/>
      <c r="QVL20" s="69"/>
      <c r="QVM20" s="69"/>
      <c r="QVN20" s="69"/>
      <c r="QVO20" s="69"/>
      <c r="QVP20" s="69"/>
      <c r="QVQ20" s="69"/>
      <c r="QVR20" s="69"/>
      <c r="QVS20" s="69"/>
      <c r="QVT20" s="69"/>
      <c r="QVU20" s="69"/>
      <c r="QVV20" s="69"/>
      <c r="QVW20" s="69"/>
      <c r="QVX20" s="69"/>
      <c r="QVY20" s="69"/>
      <c r="QVZ20" s="69"/>
      <c r="QWA20" s="69"/>
      <c r="QWB20" s="69"/>
      <c r="QWC20" s="69"/>
      <c r="QWD20" s="69"/>
      <c r="QWE20" s="69"/>
      <c r="QWF20" s="69"/>
      <c r="QWG20" s="69"/>
      <c r="QWH20" s="69"/>
      <c r="QWI20" s="69"/>
      <c r="QWJ20" s="69"/>
      <c r="QWK20" s="69"/>
      <c r="QWL20" s="69"/>
      <c r="QWM20" s="69"/>
      <c r="QWN20" s="69"/>
      <c r="QWO20" s="69"/>
      <c r="QWP20" s="69"/>
      <c r="QWQ20" s="69"/>
      <c r="QWR20" s="69"/>
      <c r="QWS20" s="69"/>
      <c r="QWT20" s="69"/>
      <c r="QWU20" s="69"/>
      <c r="QWV20" s="69"/>
      <c r="QWW20" s="69"/>
      <c r="QWX20" s="69"/>
      <c r="QWY20" s="69"/>
      <c r="QWZ20" s="69"/>
      <c r="QXA20" s="69"/>
      <c r="QXB20" s="69"/>
      <c r="QXC20" s="69"/>
      <c r="QXD20" s="69"/>
      <c r="QXE20" s="69"/>
      <c r="QXF20" s="69"/>
      <c r="QXG20" s="69"/>
      <c r="QXH20" s="69"/>
      <c r="QXI20" s="69"/>
      <c r="QXJ20" s="69"/>
      <c r="QXK20" s="69"/>
      <c r="QXL20" s="69"/>
      <c r="QXM20" s="69"/>
      <c r="QXN20" s="69"/>
      <c r="QXO20" s="69"/>
      <c r="QXP20" s="69"/>
      <c r="QXQ20" s="69"/>
      <c r="QXR20" s="69"/>
      <c r="QXS20" s="69"/>
      <c r="QXT20" s="69"/>
      <c r="QXU20" s="69"/>
      <c r="QXV20" s="69"/>
      <c r="QXW20" s="69"/>
      <c r="QXX20" s="69"/>
      <c r="QXY20" s="69"/>
      <c r="QXZ20" s="69"/>
      <c r="QYA20" s="69"/>
      <c r="QYB20" s="69"/>
      <c r="QYC20" s="69"/>
      <c r="QYD20" s="69"/>
      <c r="QYE20" s="69"/>
      <c r="QYF20" s="69"/>
      <c r="QYG20" s="69"/>
      <c r="QYH20" s="69"/>
      <c r="QYI20" s="69"/>
      <c r="QYJ20" s="69"/>
      <c r="QYK20" s="69"/>
      <c r="QYL20" s="69"/>
      <c r="QYM20" s="69"/>
      <c r="QYN20" s="69"/>
      <c r="QYO20" s="69"/>
      <c r="QYP20" s="69"/>
      <c r="QYQ20" s="69"/>
      <c r="QYR20" s="69"/>
      <c r="QYS20" s="69"/>
      <c r="QYT20" s="69"/>
      <c r="QYU20" s="69"/>
      <c r="QYV20" s="69"/>
      <c r="QYW20" s="69"/>
      <c r="QYX20" s="69"/>
      <c r="QYY20" s="69"/>
      <c r="QYZ20" s="69"/>
      <c r="QZA20" s="69"/>
      <c r="QZB20" s="69"/>
      <c r="QZC20" s="69"/>
      <c r="QZD20" s="69"/>
      <c r="QZE20" s="69"/>
      <c r="QZF20" s="69"/>
      <c r="QZG20" s="69"/>
      <c r="QZH20" s="69"/>
      <c r="QZI20" s="69"/>
      <c r="QZJ20" s="69"/>
      <c r="QZK20" s="69"/>
      <c r="QZL20" s="69"/>
      <c r="QZM20" s="69"/>
      <c r="QZN20" s="69"/>
      <c r="QZO20" s="69"/>
      <c r="QZP20" s="69"/>
      <c r="QZQ20" s="69"/>
      <c r="QZR20" s="69"/>
      <c r="QZS20" s="69"/>
      <c r="QZT20" s="69"/>
      <c r="QZU20" s="69"/>
      <c r="QZV20" s="69"/>
      <c r="QZW20" s="69"/>
      <c r="QZX20" s="69"/>
      <c r="QZY20" s="69"/>
      <c r="QZZ20" s="69"/>
      <c r="RAA20" s="69"/>
      <c r="RAB20" s="69"/>
      <c r="RAC20" s="69"/>
      <c r="RAD20" s="69"/>
      <c r="RAE20" s="69"/>
      <c r="RAF20" s="69"/>
      <c r="RAG20" s="69"/>
      <c r="RAH20" s="69"/>
      <c r="RAI20" s="69"/>
      <c r="RAJ20" s="69"/>
      <c r="RAK20" s="69"/>
      <c r="RAL20" s="69"/>
      <c r="RAM20" s="69"/>
      <c r="RAN20" s="69"/>
      <c r="RAO20" s="69"/>
      <c r="RAP20" s="69"/>
      <c r="RAQ20" s="69"/>
      <c r="RAR20" s="69"/>
      <c r="RAS20" s="69"/>
      <c r="RAT20" s="69"/>
      <c r="RAU20" s="69"/>
      <c r="RAV20" s="69"/>
      <c r="RAW20" s="69"/>
      <c r="RAX20" s="69"/>
      <c r="RAY20" s="69"/>
      <c r="RAZ20" s="69"/>
      <c r="RBA20" s="69"/>
      <c r="RBB20" s="69"/>
      <c r="RBC20" s="69"/>
      <c r="RBD20" s="69"/>
      <c r="RBE20" s="69"/>
      <c r="RBF20" s="69"/>
      <c r="RBG20" s="69"/>
      <c r="RBH20" s="69"/>
      <c r="RBI20" s="69"/>
      <c r="RBJ20" s="69"/>
      <c r="RBK20" s="69"/>
      <c r="RBL20" s="69"/>
      <c r="RBM20" s="69"/>
      <c r="RBN20" s="69"/>
      <c r="RBO20" s="69"/>
      <c r="RBP20" s="69"/>
      <c r="RBQ20" s="69"/>
      <c r="RBR20" s="69"/>
      <c r="RBS20" s="69"/>
      <c r="RBT20" s="69"/>
      <c r="RBU20" s="69"/>
      <c r="RBV20" s="69"/>
      <c r="RBW20" s="69"/>
      <c r="RBX20" s="69"/>
      <c r="RBY20" s="69"/>
      <c r="RBZ20" s="69"/>
      <c r="RCA20" s="69"/>
      <c r="RCB20" s="69"/>
      <c r="RCC20" s="69"/>
      <c r="RCD20" s="69"/>
      <c r="RCE20" s="69"/>
      <c r="RCF20" s="69"/>
      <c r="RCG20" s="69"/>
      <c r="RCH20" s="69"/>
      <c r="RCI20" s="69"/>
      <c r="RCJ20" s="69"/>
      <c r="RCK20" s="69"/>
      <c r="RCL20" s="69"/>
      <c r="RCM20" s="69"/>
      <c r="RCN20" s="69"/>
      <c r="RCO20" s="69"/>
      <c r="RCP20" s="69"/>
      <c r="RCQ20" s="69"/>
      <c r="RCR20" s="69"/>
      <c r="RCS20" s="69"/>
      <c r="RCT20" s="69"/>
      <c r="RCU20" s="69"/>
      <c r="RCV20" s="69"/>
      <c r="RCW20" s="69"/>
      <c r="RCX20" s="69"/>
      <c r="RCY20" s="69"/>
      <c r="RCZ20" s="69"/>
      <c r="RDA20" s="69"/>
      <c r="RDB20" s="69"/>
      <c r="RDC20" s="69"/>
      <c r="RDD20" s="69"/>
      <c r="RDE20" s="69"/>
      <c r="RDF20" s="69"/>
      <c r="RDG20" s="69"/>
      <c r="RDH20" s="69"/>
      <c r="RDI20" s="69"/>
      <c r="RDJ20" s="69"/>
      <c r="RDK20" s="69"/>
      <c r="RDL20" s="69"/>
      <c r="RDM20" s="69"/>
      <c r="RDN20" s="69"/>
      <c r="RDO20" s="69"/>
      <c r="RDP20" s="69"/>
      <c r="RDQ20" s="69"/>
      <c r="RDR20" s="69"/>
      <c r="RDS20" s="69"/>
      <c r="RDT20" s="69"/>
      <c r="RDU20" s="69"/>
      <c r="RDV20" s="69"/>
      <c r="RDW20" s="69"/>
      <c r="RDX20" s="69"/>
      <c r="RDY20" s="69"/>
      <c r="RDZ20" s="69"/>
      <c r="REA20" s="69"/>
      <c r="REB20" s="69"/>
      <c r="REC20" s="69"/>
      <c r="RED20" s="69"/>
      <c r="REE20" s="69"/>
      <c r="REF20" s="69"/>
      <c r="REG20" s="69"/>
      <c r="REH20" s="69"/>
      <c r="REI20" s="69"/>
      <c r="REJ20" s="69"/>
      <c r="REK20" s="69"/>
      <c r="REL20" s="69"/>
      <c r="REM20" s="69"/>
      <c r="REN20" s="69"/>
      <c r="REO20" s="69"/>
      <c r="REP20" s="69"/>
      <c r="REQ20" s="69"/>
      <c r="RER20" s="69"/>
      <c r="RES20" s="69"/>
      <c r="RET20" s="69"/>
      <c r="REU20" s="69"/>
      <c r="REV20" s="69"/>
      <c r="REW20" s="69"/>
      <c r="REX20" s="69"/>
      <c r="REY20" s="69"/>
      <c r="REZ20" s="69"/>
      <c r="RFA20" s="69"/>
      <c r="RFB20" s="69"/>
      <c r="RFC20" s="69"/>
      <c r="RFD20" s="69"/>
      <c r="RFE20" s="69"/>
      <c r="RFF20" s="69"/>
      <c r="RFG20" s="69"/>
      <c r="RFH20" s="69"/>
      <c r="RFI20" s="69"/>
      <c r="RFJ20" s="69"/>
      <c r="RFK20" s="69"/>
      <c r="RFL20" s="69"/>
      <c r="RFM20" s="69"/>
      <c r="RFN20" s="69"/>
      <c r="RFO20" s="69"/>
      <c r="RFP20" s="69"/>
      <c r="RFQ20" s="69"/>
      <c r="RFR20" s="69"/>
      <c r="RFS20" s="69"/>
      <c r="RFT20" s="69"/>
      <c r="RFU20" s="69"/>
      <c r="RFV20" s="69"/>
      <c r="RFW20" s="69"/>
      <c r="RFX20" s="69"/>
      <c r="RFY20" s="69"/>
      <c r="RFZ20" s="69"/>
      <c r="RGA20" s="69"/>
      <c r="RGB20" s="69"/>
      <c r="RGC20" s="69"/>
      <c r="RGD20" s="69"/>
      <c r="RGE20" s="69"/>
      <c r="RGF20" s="69"/>
      <c r="RGG20" s="69"/>
      <c r="RGH20" s="69"/>
      <c r="RGI20" s="69"/>
      <c r="RGJ20" s="69"/>
      <c r="RGK20" s="69"/>
      <c r="RGL20" s="69"/>
      <c r="RGM20" s="69"/>
      <c r="RGN20" s="69"/>
      <c r="RGO20" s="69"/>
      <c r="RGP20" s="69"/>
      <c r="RGQ20" s="69"/>
      <c r="RGR20" s="69"/>
      <c r="RGS20" s="69"/>
      <c r="RGT20" s="69"/>
      <c r="RGU20" s="69"/>
      <c r="RGV20" s="69"/>
      <c r="RGW20" s="69"/>
      <c r="RGX20" s="69"/>
      <c r="RGY20" s="69"/>
      <c r="RGZ20" s="69"/>
      <c r="RHA20" s="69"/>
      <c r="RHB20" s="69"/>
      <c r="RHC20" s="69"/>
      <c r="RHD20" s="69"/>
      <c r="RHE20" s="69"/>
      <c r="RHF20" s="69"/>
      <c r="RHG20" s="69"/>
      <c r="RHH20" s="69"/>
      <c r="RHI20" s="69"/>
      <c r="RHJ20" s="69"/>
      <c r="RHK20" s="69"/>
      <c r="RHL20" s="69"/>
      <c r="RHM20" s="69"/>
      <c r="RHN20" s="69"/>
      <c r="RHO20" s="69"/>
      <c r="RHP20" s="69"/>
      <c r="RHQ20" s="69"/>
      <c r="RHR20" s="69"/>
      <c r="RHS20" s="69"/>
      <c r="RHT20" s="69"/>
      <c r="RHU20" s="69"/>
      <c r="RHV20" s="69"/>
      <c r="RHW20" s="69"/>
      <c r="RHX20" s="69"/>
      <c r="RHY20" s="69"/>
      <c r="RHZ20" s="69"/>
      <c r="RIA20" s="69"/>
      <c r="RIB20" s="69"/>
      <c r="RIC20" s="69"/>
      <c r="RID20" s="69"/>
      <c r="RIE20" s="69"/>
      <c r="RIF20" s="69"/>
      <c r="RIG20" s="69"/>
      <c r="RIH20" s="69"/>
      <c r="RII20" s="69"/>
      <c r="RIJ20" s="69"/>
      <c r="RIK20" s="69"/>
      <c r="RIL20" s="69"/>
      <c r="RIM20" s="69"/>
      <c r="RIN20" s="69"/>
      <c r="RIO20" s="69"/>
      <c r="RIP20" s="69"/>
      <c r="RIQ20" s="69"/>
      <c r="RIR20" s="69"/>
      <c r="RIS20" s="69"/>
      <c r="RIT20" s="69"/>
      <c r="RIU20" s="69"/>
      <c r="RIV20" s="69"/>
      <c r="RIW20" s="69"/>
      <c r="RIX20" s="69"/>
      <c r="RIY20" s="69"/>
      <c r="RIZ20" s="69"/>
      <c r="RJA20" s="69"/>
      <c r="RJB20" s="69"/>
      <c r="RJC20" s="69"/>
      <c r="RJD20" s="69"/>
      <c r="RJE20" s="69"/>
      <c r="RJF20" s="69"/>
      <c r="RJG20" s="69"/>
      <c r="RJH20" s="69"/>
      <c r="RJI20" s="69"/>
      <c r="RJJ20" s="69"/>
      <c r="RJK20" s="69"/>
      <c r="RJL20" s="69"/>
      <c r="RJM20" s="69"/>
      <c r="RJN20" s="69"/>
      <c r="RJO20" s="69"/>
      <c r="RJP20" s="69"/>
      <c r="RJQ20" s="69"/>
      <c r="RJR20" s="69"/>
      <c r="RJS20" s="69"/>
      <c r="RJT20" s="69"/>
      <c r="RJU20" s="69"/>
      <c r="RJV20" s="69"/>
      <c r="RJW20" s="69"/>
      <c r="RJX20" s="69"/>
      <c r="RJY20" s="69"/>
      <c r="RJZ20" s="69"/>
      <c r="RKA20" s="69"/>
      <c r="RKB20" s="69"/>
      <c r="RKC20" s="69"/>
      <c r="RKD20" s="69"/>
      <c r="RKE20" s="69"/>
      <c r="RKF20" s="69"/>
      <c r="RKG20" s="69"/>
      <c r="RKH20" s="69"/>
      <c r="RKI20" s="69"/>
      <c r="RKJ20" s="69"/>
      <c r="RKK20" s="69"/>
      <c r="RKL20" s="69"/>
      <c r="RKM20" s="69"/>
      <c r="RKN20" s="69"/>
      <c r="RKO20" s="69"/>
      <c r="RKP20" s="69"/>
      <c r="RKQ20" s="69"/>
      <c r="RKR20" s="69"/>
      <c r="RKS20" s="69"/>
      <c r="RKT20" s="69"/>
      <c r="RKU20" s="69"/>
      <c r="RKV20" s="69"/>
      <c r="RKW20" s="69"/>
      <c r="RKX20" s="69"/>
      <c r="RKY20" s="69"/>
      <c r="RKZ20" s="69"/>
      <c r="RLA20" s="69"/>
      <c r="RLB20" s="69"/>
      <c r="RLC20" s="69"/>
      <c r="RLD20" s="69"/>
      <c r="RLE20" s="69"/>
      <c r="RLF20" s="69"/>
      <c r="RLG20" s="69"/>
      <c r="RLH20" s="69"/>
      <c r="RLI20" s="69"/>
      <c r="RLJ20" s="69"/>
      <c r="RLK20" s="69"/>
      <c r="RLL20" s="69"/>
      <c r="RLM20" s="69"/>
      <c r="RLN20" s="69"/>
      <c r="RLO20" s="69"/>
      <c r="RLP20" s="69"/>
      <c r="RLQ20" s="69"/>
      <c r="RLR20" s="69"/>
      <c r="RLS20" s="69"/>
      <c r="RLT20" s="69"/>
      <c r="RLU20" s="69"/>
      <c r="RLV20" s="69"/>
      <c r="RLW20" s="69"/>
      <c r="RLX20" s="69"/>
      <c r="RLY20" s="69"/>
      <c r="RLZ20" s="69"/>
      <c r="RMA20" s="69"/>
      <c r="RMB20" s="69"/>
      <c r="RMC20" s="69"/>
      <c r="RMD20" s="69"/>
      <c r="RME20" s="69"/>
      <c r="RMF20" s="69"/>
      <c r="RMG20" s="69"/>
      <c r="RMH20" s="69"/>
      <c r="RMI20" s="69"/>
      <c r="RMJ20" s="69"/>
      <c r="RMK20" s="69"/>
      <c r="RML20" s="69"/>
      <c r="RMM20" s="69"/>
      <c r="RMN20" s="69"/>
      <c r="RMO20" s="69"/>
      <c r="RMP20" s="69"/>
      <c r="RMQ20" s="69"/>
      <c r="RMR20" s="69"/>
      <c r="RMS20" s="69"/>
      <c r="RMT20" s="69"/>
      <c r="RMU20" s="69"/>
      <c r="RMV20" s="69"/>
      <c r="RMW20" s="69"/>
      <c r="RMX20" s="69"/>
      <c r="RMY20" s="69"/>
      <c r="RMZ20" s="69"/>
      <c r="RNA20" s="69"/>
      <c r="RNB20" s="69"/>
      <c r="RNC20" s="69"/>
      <c r="RND20" s="69"/>
      <c r="RNE20" s="69"/>
      <c r="RNF20" s="69"/>
      <c r="RNG20" s="69"/>
      <c r="RNH20" s="69"/>
      <c r="RNI20" s="69"/>
      <c r="RNJ20" s="69"/>
      <c r="RNK20" s="69"/>
      <c r="RNL20" s="69"/>
      <c r="RNM20" s="69"/>
      <c r="RNN20" s="69"/>
      <c r="RNO20" s="69"/>
      <c r="RNP20" s="69"/>
      <c r="RNQ20" s="69"/>
      <c r="RNR20" s="69"/>
      <c r="RNS20" s="69"/>
      <c r="RNT20" s="69"/>
      <c r="RNU20" s="69"/>
      <c r="RNV20" s="69"/>
      <c r="RNW20" s="69"/>
      <c r="RNX20" s="69"/>
      <c r="RNY20" s="69"/>
      <c r="RNZ20" s="69"/>
      <c r="ROA20" s="69"/>
      <c r="ROB20" s="69"/>
      <c r="ROC20" s="69"/>
      <c r="ROD20" s="69"/>
      <c r="ROE20" s="69"/>
      <c r="ROF20" s="69"/>
      <c r="ROG20" s="69"/>
      <c r="ROH20" s="69"/>
      <c r="ROI20" s="69"/>
      <c r="ROJ20" s="69"/>
      <c r="ROK20" s="69"/>
      <c r="ROL20" s="69"/>
      <c r="ROM20" s="69"/>
      <c r="RON20" s="69"/>
      <c r="ROO20" s="69"/>
      <c r="ROP20" s="69"/>
      <c r="ROQ20" s="69"/>
      <c r="ROR20" s="69"/>
      <c r="ROS20" s="69"/>
      <c r="ROT20" s="69"/>
      <c r="ROU20" s="69"/>
      <c r="ROV20" s="69"/>
      <c r="ROW20" s="69"/>
      <c r="ROX20" s="69"/>
      <c r="ROY20" s="69"/>
      <c r="ROZ20" s="69"/>
      <c r="RPA20" s="69"/>
      <c r="RPB20" s="69"/>
      <c r="RPC20" s="69"/>
      <c r="RPD20" s="69"/>
      <c r="RPE20" s="69"/>
      <c r="RPF20" s="69"/>
      <c r="RPG20" s="69"/>
      <c r="RPH20" s="69"/>
      <c r="RPI20" s="69"/>
      <c r="RPJ20" s="69"/>
      <c r="RPK20" s="69"/>
      <c r="RPL20" s="69"/>
      <c r="RPM20" s="69"/>
      <c r="RPN20" s="69"/>
      <c r="RPO20" s="69"/>
      <c r="RPP20" s="69"/>
      <c r="RPQ20" s="69"/>
      <c r="RPR20" s="69"/>
      <c r="RPS20" s="69"/>
      <c r="RPT20" s="69"/>
      <c r="RPU20" s="69"/>
      <c r="RPV20" s="69"/>
      <c r="RPW20" s="69"/>
      <c r="RPX20" s="69"/>
      <c r="RPY20" s="69"/>
      <c r="RPZ20" s="69"/>
      <c r="RQA20" s="69"/>
      <c r="RQB20" s="69"/>
      <c r="RQC20" s="69"/>
      <c r="RQD20" s="69"/>
      <c r="RQE20" s="69"/>
      <c r="RQF20" s="69"/>
      <c r="RQG20" s="69"/>
      <c r="RQH20" s="69"/>
      <c r="RQI20" s="69"/>
      <c r="RQJ20" s="69"/>
      <c r="RQK20" s="69"/>
      <c r="RQL20" s="69"/>
      <c r="RQM20" s="69"/>
      <c r="RQN20" s="69"/>
      <c r="RQO20" s="69"/>
      <c r="RQP20" s="69"/>
      <c r="RQQ20" s="69"/>
      <c r="RQR20" s="69"/>
      <c r="RQS20" s="69"/>
      <c r="RQT20" s="69"/>
      <c r="RQU20" s="69"/>
      <c r="RQV20" s="69"/>
      <c r="RQW20" s="69"/>
      <c r="RQX20" s="69"/>
      <c r="RQY20" s="69"/>
      <c r="RQZ20" s="69"/>
      <c r="RRA20" s="69"/>
      <c r="RRB20" s="69"/>
      <c r="RRC20" s="69"/>
      <c r="RRD20" s="69"/>
      <c r="RRE20" s="69"/>
      <c r="RRF20" s="69"/>
      <c r="RRG20" s="69"/>
      <c r="RRH20" s="69"/>
      <c r="RRI20" s="69"/>
      <c r="RRJ20" s="69"/>
      <c r="RRK20" s="69"/>
      <c r="RRL20" s="69"/>
      <c r="RRM20" s="69"/>
      <c r="RRN20" s="69"/>
      <c r="RRO20" s="69"/>
      <c r="RRP20" s="69"/>
      <c r="RRQ20" s="69"/>
      <c r="RRR20" s="69"/>
      <c r="RRS20" s="69"/>
      <c r="RRT20" s="69"/>
      <c r="RRU20" s="69"/>
      <c r="RRV20" s="69"/>
      <c r="RRW20" s="69"/>
      <c r="RRX20" s="69"/>
      <c r="RRY20" s="69"/>
      <c r="RRZ20" s="69"/>
      <c r="RSA20" s="69"/>
      <c r="RSB20" s="69"/>
      <c r="RSC20" s="69"/>
      <c r="RSD20" s="69"/>
      <c r="RSE20" s="69"/>
      <c r="RSF20" s="69"/>
      <c r="RSG20" s="69"/>
      <c r="RSH20" s="69"/>
      <c r="RSI20" s="69"/>
      <c r="RSJ20" s="69"/>
      <c r="RSK20" s="69"/>
      <c r="RSL20" s="69"/>
      <c r="RSM20" s="69"/>
      <c r="RSN20" s="69"/>
      <c r="RSO20" s="69"/>
      <c r="RSP20" s="69"/>
      <c r="RSQ20" s="69"/>
      <c r="RSR20" s="69"/>
      <c r="RSS20" s="69"/>
      <c r="RST20" s="69"/>
      <c r="RSU20" s="69"/>
      <c r="RSV20" s="69"/>
      <c r="RSW20" s="69"/>
      <c r="RSX20" s="69"/>
      <c r="RSY20" s="69"/>
      <c r="RSZ20" s="69"/>
      <c r="RTA20" s="69"/>
      <c r="RTB20" s="69"/>
      <c r="RTC20" s="69"/>
      <c r="RTD20" s="69"/>
      <c r="RTE20" s="69"/>
      <c r="RTF20" s="69"/>
      <c r="RTG20" s="69"/>
      <c r="RTH20" s="69"/>
      <c r="RTI20" s="69"/>
      <c r="RTJ20" s="69"/>
      <c r="RTK20" s="69"/>
      <c r="RTL20" s="69"/>
      <c r="RTM20" s="69"/>
      <c r="RTN20" s="69"/>
      <c r="RTO20" s="69"/>
      <c r="RTP20" s="69"/>
      <c r="RTQ20" s="69"/>
      <c r="RTR20" s="69"/>
      <c r="RTS20" s="69"/>
      <c r="RTT20" s="69"/>
      <c r="RTU20" s="69"/>
      <c r="RTV20" s="69"/>
      <c r="RTW20" s="69"/>
      <c r="RTX20" s="69"/>
      <c r="RTY20" s="69"/>
      <c r="RTZ20" s="69"/>
      <c r="RUA20" s="69"/>
      <c r="RUB20" s="69"/>
      <c r="RUC20" s="69"/>
      <c r="RUD20" s="69"/>
      <c r="RUE20" s="69"/>
      <c r="RUF20" s="69"/>
      <c r="RUG20" s="69"/>
      <c r="RUH20" s="69"/>
      <c r="RUI20" s="69"/>
      <c r="RUJ20" s="69"/>
      <c r="RUK20" s="69"/>
      <c r="RUL20" s="69"/>
      <c r="RUM20" s="69"/>
      <c r="RUN20" s="69"/>
      <c r="RUO20" s="69"/>
      <c r="RUP20" s="69"/>
      <c r="RUQ20" s="69"/>
      <c r="RUR20" s="69"/>
      <c r="RUS20" s="69"/>
      <c r="RUT20" s="69"/>
      <c r="RUU20" s="69"/>
      <c r="RUV20" s="69"/>
      <c r="RUW20" s="69"/>
      <c r="RUX20" s="69"/>
      <c r="RUY20" s="69"/>
      <c r="RUZ20" s="69"/>
      <c r="RVA20" s="69"/>
      <c r="RVB20" s="69"/>
      <c r="RVC20" s="69"/>
      <c r="RVD20" s="69"/>
      <c r="RVE20" s="69"/>
      <c r="RVF20" s="69"/>
      <c r="RVG20" s="69"/>
      <c r="RVH20" s="69"/>
      <c r="RVI20" s="69"/>
      <c r="RVJ20" s="69"/>
      <c r="RVK20" s="69"/>
      <c r="RVL20" s="69"/>
      <c r="RVM20" s="69"/>
      <c r="RVN20" s="69"/>
      <c r="RVO20" s="69"/>
      <c r="RVP20" s="69"/>
      <c r="RVQ20" s="69"/>
      <c r="RVR20" s="69"/>
      <c r="RVS20" s="69"/>
      <c r="RVT20" s="69"/>
      <c r="RVU20" s="69"/>
      <c r="RVV20" s="69"/>
      <c r="RVW20" s="69"/>
      <c r="RVX20" s="69"/>
      <c r="RVY20" s="69"/>
      <c r="RVZ20" s="69"/>
      <c r="RWA20" s="69"/>
      <c r="RWB20" s="69"/>
      <c r="RWC20" s="69"/>
      <c r="RWD20" s="69"/>
      <c r="RWE20" s="69"/>
      <c r="RWF20" s="69"/>
      <c r="RWG20" s="69"/>
      <c r="RWH20" s="69"/>
      <c r="RWI20" s="69"/>
      <c r="RWJ20" s="69"/>
      <c r="RWK20" s="69"/>
      <c r="RWL20" s="69"/>
      <c r="RWM20" s="69"/>
      <c r="RWN20" s="69"/>
      <c r="RWO20" s="69"/>
      <c r="RWP20" s="69"/>
      <c r="RWQ20" s="69"/>
      <c r="RWR20" s="69"/>
      <c r="RWS20" s="69"/>
      <c r="RWT20" s="69"/>
      <c r="RWU20" s="69"/>
      <c r="RWV20" s="69"/>
      <c r="RWW20" s="69"/>
      <c r="RWX20" s="69"/>
      <c r="RWY20" s="69"/>
      <c r="RWZ20" s="69"/>
      <c r="RXA20" s="69"/>
      <c r="RXB20" s="69"/>
      <c r="RXC20" s="69"/>
      <c r="RXD20" s="69"/>
      <c r="RXE20" s="69"/>
      <c r="RXF20" s="69"/>
      <c r="RXG20" s="69"/>
      <c r="RXH20" s="69"/>
      <c r="RXI20" s="69"/>
      <c r="RXJ20" s="69"/>
      <c r="RXK20" s="69"/>
      <c r="RXL20" s="69"/>
      <c r="RXM20" s="69"/>
      <c r="RXN20" s="69"/>
      <c r="RXO20" s="69"/>
      <c r="RXP20" s="69"/>
      <c r="RXQ20" s="69"/>
      <c r="RXR20" s="69"/>
      <c r="RXS20" s="69"/>
      <c r="RXT20" s="69"/>
      <c r="RXU20" s="69"/>
      <c r="RXV20" s="69"/>
      <c r="RXW20" s="69"/>
      <c r="RXX20" s="69"/>
      <c r="RXY20" s="69"/>
      <c r="RXZ20" s="69"/>
      <c r="RYA20" s="69"/>
      <c r="RYB20" s="69"/>
      <c r="RYC20" s="69"/>
      <c r="RYD20" s="69"/>
      <c r="RYE20" s="69"/>
      <c r="RYF20" s="69"/>
      <c r="RYG20" s="69"/>
      <c r="RYH20" s="69"/>
      <c r="RYI20" s="69"/>
      <c r="RYJ20" s="69"/>
      <c r="RYK20" s="69"/>
      <c r="RYL20" s="69"/>
      <c r="RYM20" s="69"/>
      <c r="RYN20" s="69"/>
      <c r="RYO20" s="69"/>
      <c r="RYP20" s="69"/>
      <c r="RYQ20" s="69"/>
      <c r="RYR20" s="69"/>
      <c r="RYS20" s="69"/>
      <c r="RYT20" s="69"/>
      <c r="RYU20" s="69"/>
      <c r="RYV20" s="69"/>
      <c r="RYW20" s="69"/>
      <c r="RYX20" s="69"/>
      <c r="RYY20" s="69"/>
      <c r="RYZ20" s="69"/>
      <c r="RZA20" s="69"/>
      <c r="RZB20" s="69"/>
      <c r="RZC20" s="69"/>
      <c r="RZD20" s="69"/>
      <c r="RZE20" s="69"/>
      <c r="RZF20" s="69"/>
      <c r="RZG20" s="69"/>
      <c r="RZH20" s="69"/>
      <c r="RZI20" s="69"/>
      <c r="RZJ20" s="69"/>
      <c r="RZK20" s="69"/>
      <c r="RZL20" s="69"/>
      <c r="RZM20" s="69"/>
      <c r="RZN20" s="69"/>
      <c r="RZO20" s="69"/>
      <c r="RZP20" s="69"/>
      <c r="RZQ20" s="69"/>
      <c r="RZR20" s="69"/>
      <c r="RZS20" s="69"/>
      <c r="RZT20" s="69"/>
      <c r="RZU20" s="69"/>
      <c r="RZV20" s="69"/>
      <c r="RZW20" s="69"/>
      <c r="RZX20" s="69"/>
      <c r="RZY20" s="69"/>
      <c r="RZZ20" s="69"/>
      <c r="SAA20" s="69"/>
      <c r="SAB20" s="69"/>
      <c r="SAC20" s="69"/>
      <c r="SAD20" s="69"/>
      <c r="SAE20" s="69"/>
      <c r="SAF20" s="69"/>
      <c r="SAG20" s="69"/>
      <c r="SAH20" s="69"/>
      <c r="SAI20" s="69"/>
      <c r="SAJ20" s="69"/>
      <c r="SAK20" s="69"/>
      <c r="SAL20" s="69"/>
      <c r="SAM20" s="69"/>
      <c r="SAN20" s="69"/>
      <c r="SAO20" s="69"/>
      <c r="SAP20" s="69"/>
      <c r="SAQ20" s="69"/>
      <c r="SAR20" s="69"/>
      <c r="SAS20" s="69"/>
      <c r="SAT20" s="69"/>
      <c r="SAU20" s="69"/>
      <c r="SAV20" s="69"/>
      <c r="SAW20" s="69"/>
      <c r="SAX20" s="69"/>
      <c r="SAY20" s="69"/>
      <c r="SAZ20" s="69"/>
      <c r="SBA20" s="69"/>
      <c r="SBB20" s="69"/>
      <c r="SBC20" s="69"/>
      <c r="SBD20" s="69"/>
      <c r="SBE20" s="69"/>
      <c r="SBF20" s="69"/>
      <c r="SBG20" s="69"/>
      <c r="SBH20" s="69"/>
      <c r="SBI20" s="69"/>
      <c r="SBJ20" s="69"/>
      <c r="SBK20" s="69"/>
      <c r="SBL20" s="69"/>
      <c r="SBM20" s="69"/>
      <c r="SBN20" s="69"/>
      <c r="SBO20" s="69"/>
      <c r="SBP20" s="69"/>
      <c r="SBQ20" s="69"/>
      <c r="SBR20" s="69"/>
      <c r="SBS20" s="69"/>
      <c r="SBT20" s="69"/>
      <c r="SBU20" s="69"/>
      <c r="SBV20" s="69"/>
      <c r="SBW20" s="69"/>
      <c r="SBX20" s="69"/>
      <c r="SBY20" s="69"/>
      <c r="SBZ20" s="69"/>
      <c r="SCA20" s="69"/>
      <c r="SCB20" s="69"/>
      <c r="SCC20" s="69"/>
      <c r="SCD20" s="69"/>
      <c r="SCE20" s="69"/>
      <c r="SCF20" s="69"/>
      <c r="SCG20" s="69"/>
      <c r="SCH20" s="69"/>
      <c r="SCI20" s="69"/>
      <c r="SCJ20" s="69"/>
      <c r="SCK20" s="69"/>
      <c r="SCL20" s="69"/>
      <c r="SCM20" s="69"/>
      <c r="SCN20" s="69"/>
      <c r="SCO20" s="69"/>
      <c r="SCP20" s="69"/>
      <c r="SCQ20" s="69"/>
      <c r="SCR20" s="69"/>
      <c r="SCS20" s="69"/>
      <c r="SCT20" s="69"/>
      <c r="SCU20" s="69"/>
      <c r="SCV20" s="69"/>
      <c r="SCW20" s="69"/>
      <c r="SCX20" s="69"/>
      <c r="SCY20" s="69"/>
      <c r="SCZ20" s="69"/>
      <c r="SDA20" s="69"/>
      <c r="SDB20" s="69"/>
      <c r="SDC20" s="69"/>
      <c r="SDD20" s="69"/>
      <c r="SDE20" s="69"/>
      <c r="SDF20" s="69"/>
      <c r="SDG20" s="69"/>
      <c r="SDH20" s="69"/>
      <c r="SDI20" s="69"/>
      <c r="SDJ20" s="69"/>
      <c r="SDK20" s="69"/>
      <c r="SDL20" s="69"/>
      <c r="SDM20" s="69"/>
      <c r="SDN20" s="69"/>
      <c r="SDO20" s="69"/>
      <c r="SDP20" s="69"/>
      <c r="SDQ20" s="69"/>
      <c r="SDR20" s="69"/>
      <c r="SDS20" s="69"/>
      <c r="SDT20" s="69"/>
      <c r="SDU20" s="69"/>
      <c r="SDV20" s="69"/>
      <c r="SDW20" s="69"/>
      <c r="SDX20" s="69"/>
      <c r="SDY20" s="69"/>
      <c r="SDZ20" s="69"/>
      <c r="SEA20" s="69"/>
      <c r="SEB20" s="69"/>
      <c r="SEC20" s="69"/>
      <c r="SED20" s="69"/>
      <c r="SEE20" s="69"/>
      <c r="SEF20" s="69"/>
      <c r="SEG20" s="69"/>
      <c r="SEH20" s="69"/>
      <c r="SEI20" s="69"/>
      <c r="SEJ20" s="69"/>
      <c r="SEK20" s="69"/>
      <c r="SEL20" s="69"/>
      <c r="SEM20" s="69"/>
      <c r="SEN20" s="69"/>
      <c r="SEO20" s="69"/>
      <c r="SEP20" s="69"/>
      <c r="SEQ20" s="69"/>
      <c r="SER20" s="69"/>
      <c r="SES20" s="69"/>
      <c r="SET20" s="69"/>
      <c r="SEU20" s="69"/>
      <c r="SEV20" s="69"/>
      <c r="SEW20" s="69"/>
      <c r="SEX20" s="69"/>
      <c r="SEY20" s="69"/>
      <c r="SEZ20" s="69"/>
      <c r="SFA20" s="69"/>
      <c r="SFB20" s="69"/>
      <c r="SFC20" s="69"/>
      <c r="SFD20" s="69"/>
      <c r="SFE20" s="69"/>
      <c r="SFF20" s="69"/>
      <c r="SFG20" s="69"/>
      <c r="SFH20" s="69"/>
      <c r="SFI20" s="69"/>
      <c r="SFJ20" s="69"/>
      <c r="SFK20" s="69"/>
      <c r="SFL20" s="69"/>
      <c r="SFM20" s="69"/>
      <c r="SFN20" s="69"/>
      <c r="SFO20" s="69"/>
      <c r="SFP20" s="69"/>
      <c r="SFQ20" s="69"/>
      <c r="SFR20" s="69"/>
      <c r="SFS20" s="69"/>
      <c r="SFT20" s="69"/>
      <c r="SFU20" s="69"/>
      <c r="SFV20" s="69"/>
      <c r="SFW20" s="69"/>
      <c r="SFX20" s="69"/>
      <c r="SFY20" s="69"/>
      <c r="SFZ20" s="69"/>
      <c r="SGA20" s="69"/>
      <c r="SGB20" s="69"/>
      <c r="SGC20" s="69"/>
      <c r="SGD20" s="69"/>
      <c r="SGE20" s="69"/>
      <c r="SGF20" s="69"/>
      <c r="SGG20" s="69"/>
      <c r="SGH20" s="69"/>
      <c r="SGI20" s="69"/>
      <c r="SGJ20" s="69"/>
      <c r="SGK20" s="69"/>
      <c r="SGL20" s="69"/>
      <c r="SGM20" s="69"/>
      <c r="SGN20" s="69"/>
      <c r="SGO20" s="69"/>
      <c r="SGP20" s="69"/>
      <c r="SGQ20" s="69"/>
      <c r="SGR20" s="69"/>
      <c r="SGS20" s="69"/>
      <c r="SGT20" s="69"/>
      <c r="SGU20" s="69"/>
      <c r="SGV20" s="69"/>
      <c r="SGW20" s="69"/>
      <c r="SGX20" s="69"/>
      <c r="SGY20" s="69"/>
      <c r="SGZ20" s="69"/>
      <c r="SHA20" s="69"/>
      <c r="SHB20" s="69"/>
      <c r="SHC20" s="69"/>
      <c r="SHD20" s="69"/>
      <c r="SHE20" s="69"/>
      <c r="SHF20" s="69"/>
      <c r="SHG20" s="69"/>
      <c r="SHH20" s="69"/>
      <c r="SHI20" s="69"/>
      <c r="SHJ20" s="69"/>
      <c r="SHK20" s="69"/>
      <c r="SHL20" s="69"/>
      <c r="SHM20" s="69"/>
      <c r="SHN20" s="69"/>
      <c r="SHO20" s="69"/>
      <c r="SHP20" s="69"/>
      <c r="SHQ20" s="69"/>
      <c r="SHR20" s="69"/>
      <c r="SHS20" s="69"/>
      <c r="SHT20" s="69"/>
      <c r="SHU20" s="69"/>
      <c r="SHV20" s="69"/>
      <c r="SHW20" s="69"/>
      <c r="SHX20" s="69"/>
      <c r="SHY20" s="69"/>
      <c r="SHZ20" s="69"/>
      <c r="SIA20" s="69"/>
      <c r="SIB20" s="69"/>
      <c r="SIC20" s="69"/>
      <c r="SID20" s="69"/>
      <c r="SIE20" s="69"/>
      <c r="SIF20" s="69"/>
      <c r="SIG20" s="69"/>
      <c r="SIH20" s="69"/>
      <c r="SII20" s="69"/>
      <c r="SIJ20" s="69"/>
      <c r="SIK20" s="69"/>
      <c r="SIL20" s="69"/>
      <c r="SIM20" s="69"/>
      <c r="SIN20" s="69"/>
      <c r="SIO20" s="69"/>
      <c r="SIP20" s="69"/>
      <c r="SIQ20" s="69"/>
      <c r="SIR20" s="69"/>
      <c r="SIS20" s="69"/>
      <c r="SIT20" s="69"/>
      <c r="SIU20" s="69"/>
      <c r="SIV20" s="69"/>
      <c r="SIW20" s="69"/>
      <c r="SIX20" s="69"/>
      <c r="SIY20" s="69"/>
      <c r="SIZ20" s="69"/>
      <c r="SJA20" s="69"/>
      <c r="SJB20" s="69"/>
      <c r="SJC20" s="69"/>
      <c r="SJD20" s="69"/>
      <c r="SJE20" s="69"/>
      <c r="SJF20" s="69"/>
      <c r="SJG20" s="69"/>
      <c r="SJH20" s="69"/>
      <c r="SJI20" s="69"/>
      <c r="SJJ20" s="69"/>
      <c r="SJK20" s="69"/>
      <c r="SJL20" s="69"/>
      <c r="SJM20" s="69"/>
      <c r="SJN20" s="69"/>
      <c r="SJO20" s="69"/>
      <c r="SJP20" s="69"/>
      <c r="SJQ20" s="69"/>
      <c r="SJR20" s="69"/>
      <c r="SJS20" s="69"/>
      <c r="SJT20" s="69"/>
      <c r="SJU20" s="69"/>
      <c r="SJV20" s="69"/>
      <c r="SJW20" s="69"/>
      <c r="SJX20" s="69"/>
      <c r="SJY20" s="69"/>
      <c r="SJZ20" s="69"/>
      <c r="SKA20" s="69"/>
      <c r="SKB20" s="69"/>
      <c r="SKC20" s="69"/>
      <c r="SKD20" s="69"/>
      <c r="SKE20" s="69"/>
      <c r="SKF20" s="69"/>
      <c r="SKG20" s="69"/>
      <c r="SKH20" s="69"/>
      <c r="SKI20" s="69"/>
      <c r="SKJ20" s="69"/>
      <c r="SKK20" s="69"/>
      <c r="SKL20" s="69"/>
      <c r="SKM20" s="69"/>
      <c r="SKN20" s="69"/>
      <c r="SKO20" s="69"/>
      <c r="SKP20" s="69"/>
      <c r="SKQ20" s="69"/>
      <c r="SKR20" s="69"/>
      <c r="SKS20" s="69"/>
      <c r="SKT20" s="69"/>
      <c r="SKU20" s="69"/>
      <c r="SKV20" s="69"/>
      <c r="SKW20" s="69"/>
      <c r="SKX20" s="69"/>
      <c r="SKY20" s="69"/>
      <c r="SKZ20" s="69"/>
      <c r="SLA20" s="69"/>
      <c r="SLB20" s="69"/>
      <c r="SLC20" s="69"/>
      <c r="SLD20" s="69"/>
      <c r="SLE20" s="69"/>
      <c r="SLF20" s="69"/>
      <c r="SLG20" s="69"/>
      <c r="SLH20" s="69"/>
      <c r="SLI20" s="69"/>
      <c r="SLJ20" s="69"/>
      <c r="SLK20" s="69"/>
      <c r="SLL20" s="69"/>
      <c r="SLM20" s="69"/>
      <c r="SLN20" s="69"/>
      <c r="SLO20" s="69"/>
      <c r="SLP20" s="69"/>
      <c r="SLQ20" s="69"/>
      <c r="SLR20" s="69"/>
      <c r="SLS20" s="69"/>
      <c r="SLT20" s="69"/>
      <c r="SLU20" s="69"/>
      <c r="SLV20" s="69"/>
      <c r="SLW20" s="69"/>
      <c r="SLX20" s="69"/>
      <c r="SLY20" s="69"/>
      <c r="SLZ20" s="69"/>
      <c r="SMA20" s="69"/>
      <c r="SMB20" s="69"/>
      <c r="SMC20" s="69"/>
      <c r="SMD20" s="69"/>
      <c r="SME20" s="69"/>
      <c r="SMF20" s="69"/>
      <c r="SMG20" s="69"/>
      <c r="SMH20" s="69"/>
      <c r="SMI20" s="69"/>
      <c r="SMJ20" s="69"/>
      <c r="SMK20" s="69"/>
      <c r="SML20" s="69"/>
      <c r="SMM20" s="69"/>
      <c r="SMN20" s="69"/>
      <c r="SMO20" s="69"/>
      <c r="SMP20" s="69"/>
      <c r="SMQ20" s="69"/>
      <c r="SMR20" s="69"/>
      <c r="SMS20" s="69"/>
      <c r="SMT20" s="69"/>
      <c r="SMU20" s="69"/>
      <c r="SMV20" s="69"/>
      <c r="SMW20" s="69"/>
      <c r="SMX20" s="69"/>
      <c r="SMY20" s="69"/>
      <c r="SMZ20" s="69"/>
      <c r="SNA20" s="69"/>
      <c r="SNB20" s="69"/>
      <c r="SNC20" s="69"/>
      <c r="SND20" s="69"/>
      <c r="SNE20" s="69"/>
      <c r="SNF20" s="69"/>
      <c r="SNG20" s="69"/>
      <c r="SNH20" s="69"/>
      <c r="SNI20" s="69"/>
      <c r="SNJ20" s="69"/>
      <c r="SNK20" s="69"/>
      <c r="SNL20" s="69"/>
      <c r="SNM20" s="69"/>
      <c r="SNN20" s="69"/>
      <c r="SNO20" s="69"/>
      <c r="SNP20" s="69"/>
      <c r="SNQ20" s="69"/>
      <c r="SNR20" s="69"/>
      <c r="SNS20" s="69"/>
      <c r="SNT20" s="69"/>
      <c r="SNU20" s="69"/>
      <c r="SNV20" s="69"/>
      <c r="SNW20" s="69"/>
      <c r="SNX20" s="69"/>
      <c r="SNY20" s="69"/>
      <c r="SNZ20" s="69"/>
      <c r="SOA20" s="69"/>
      <c r="SOB20" s="69"/>
      <c r="SOC20" s="69"/>
      <c r="SOD20" s="69"/>
      <c r="SOE20" s="69"/>
      <c r="SOF20" s="69"/>
      <c r="SOG20" s="69"/>
      <c r="SOH20" s="69"/>
      <c r="SOI20" s="69"/>
      <c r="SOJ20" s="69"/>
      <c r="SOK20" s="69"/>
      <c r="SOL20" s="69"/>
      <c r="SOM20" s="69"/>
      <c r="SON20" s="69"/>
      <c r="SOO20" s="69"/>
      <c r="SOP20" s="69"/>
      <c r="SOQ20" s="69"/>
      <c r="SOR20" s="69"/>
      <c r="SOS20" s="69"/>
      <c r="SOT20" s="69"/>
      <c r="SOU20" s="69"/>
      <c r="SOV20" s="69"/>
      <c r="SOW20" s="69"/>
      <c r="SOX20" s="69"/>
      <c r="SOY20" s="69"/>
      <c r="SOZ20" s="69"/>
      <c r="SPA20" s="69"/>
      <c r="SPB20" s="69"/>
      <c r="SPC20" s="69"/>
      <c r="SPD20" s="69"/>
      <c r="SPE20" s="69"/>
      <c r="SPF20" s="69"/>
      <c r="SPG20" s="69"/>
      <c r="SPH20" s="69"/>
      <c r="SPI20" s="69"/>
      <c r="SPJ20" s="69"/>
      <c r="SPK20" s="69"/>
      <c r="SPL20" s="69"/>
      <c r="SPM20" s="69"/>
      <c r="SPN20" s="69"/>
      <c r="SPO20" s="69"/>
      <c r="SPP20" s="69"/>
      <c r="SPQ20" s="69"/>
      <c r="SPR20" s="69"/>
      <c r="SPS20" s="69"/>
      <c r="SPT20" s="69"/>
      <c r="SPU20" s="69"/>
      <c r="SPV20" s="69"/>
      <c r="SPW20" s="69"/>
      <c r="SPX20" s="69"/>
      <c r="SPY20" s="69"/>
      <c r="SPZ20" s="69"/>
      <c r="SQA20" s="69"/>
      <c r="SQB20" s="69"/>
      <c r="SQC20" s="69"/>
      <c r="SQD20" s="69"/>
      <c r="SQE20" s="69"/>
      <c r="SQF20" s="69"/>
      <c r="SQG20" s="69"/>
      <c r="SQH20" s="69"/>
      <c r="SQI20" s="69"/>
      <c r="SQJ20" s="69"/>
      <c r="SQK20" s="69"/>
      <c r="SQL20" s="69"/>
      <c r="SQM20" s="69"/>
      <c r="SQN20" s="69"/>
      <c r="SQO20" s="69"/>
      <c r="SQP20" s="69"/>
      <c r="SQQ20" s="69"/>
      <c r="SQR20" s="69"/>
      <c r="SQS20" s="69"/>
      <c r="SQT20" s="69"/>
      <c r="SQU20" s="69"/>
      <c r="SQV20" s="69"/>
      <c r="SQW20" s="69"/>
      <c r="SQX20" s="69"/>
      <c r="SQY20" s="69"/>
      <c r="SQZ20" s="69"/>
      <c r="SRA20" s="69"/>
      <c r="SRB20" s="69"/>
      <c r="SRC20" s="69"/>
      <c r="SRD20" s="69"/>
      <c r="SRE20" s="69"/>
      <c r="SRF20" s="69"/>
      <c r="SRG20" s="69"/>
      <c r="SRH20" s="69"/>
      <c r="SRI20" s="69"/>
      <c r="SRJ20" s="69"/>
      <c r="SRK20" s="69"/>
      <c r="SRL20" s="69"/>
      <c r="SRM20" s="69"/>
      <c r="SRN20" s="69"/>
      <c r="SRO20" s="69"/>
      <c r="SRP20" s="69"/>
      <c r="SRQ20" s="69"/>
      <c r="SRR20" s="69"/>
      <c r="SRS20" s="69"/>
      <c r="SRT20" s="69"/>
      <c r="SRU20" s="69"/>
      <c r="SRV20" s="69"/>
      <c r="SRW20" s="69"/>
      <c r="SRX20" s="69"/>
      <c r="SRY20" s="69"/>
      <c r="SRZ20" s="69"/>
      <c r="SSA20" s="69"/>
      <c r="SSB20" s="69"/>
      <c r="SSC20" s="69"/>
      <c r="SSD20" s="69"/>
      <c r="SSE20" s="69"/>
      <c r="SSF20" s="69"/>
      <c r="SSG20" s="69"/>
      <c r="SSH20" s="69"/>
      <c r="SSI20" s="69"/>
      <c r="SSJ20" s="69"/>
      <c r="SSK20" s="69"/>
      <c r="SSL20" s="69"/>
      <c r="SSM20" s="69"/>
      <c r="SSN20" s="69"/>
      <c r="SSO20" s="69"/>
      <c r="SSP20" s="69"/>
      <c r="SSQ20" s="69"/>
      <c r="SSR20" s="69"/>
      <c r="SSS20" s="69"/>
      <c r="SST20" s="69"/>
      <c r="SSU20" s="69"/>
      <c r="SSV20" s="69"/>
      <c r="SSW20" s="69"/>
      <c r="SSX20" s="69"/>
      <c r="SSY20" s="69"/>
      <c r="SSZ20" s="69"/>
      <c r="STA20" s="69"/>
      <c r="STB20" s="69"/>
      <c r="STC20" s="69"/>
      <c r="STD20" s="69"/>
      <c r="STE20" s="69"/>
      <c r="STF20" s="69"/>
      <c r="STG20" s="69"/>
      <c r="STH20" s="69"/>
      <c r="STI20" s="69"/>
      <c r="STJ20" s="69"/>
      <c r="STK20" s="69"/>
      <c r="STL20" s="69"/>
      <c r="STM20" s="69"/>
      <c r="STN20" s="69"/>
      <c r="STO20" s="69"/>
      <c r="STP20" s="69"/>
      <c r="STQ20" s="69"/>
      <c r="STR20" s="69"/>
      <c r="STS20" s="69"/>
      <c r="STT20" s="69"/>
      <c r="STU20" s="69"/>
      <c r="STV20" s="69"/>
      <c r="STW20" s="69"/>
      <c r="STX20" s="69"/>
      <c r="STY20" s="69"/>
      <c r="STZ20" s="69"/>
      <c r="SUA20" s="69"/>
      <c r="SUB20" s="69"/>
      <c r="SUC20" s="69"/>
      <c r="SUD20" s="69"/>
      <c r="SUE20" s="69"/>
      <c r="SUF20" s="69"/>
      <c r="SUG20" s="69"/>
      <c r="SUH20" s="69"/>
      <c r="SUI20" s="69"/>
      <c r="SUJ20" s="69"/>
      <c r="SUK20" s="69"/>
      <c r="SUL20" s="69"/>
      <c r="SUM20" s="69"/>
      <c r="SUN20" s="69"/>
      <c r="SUO20" s="69"/>
      <c r="SUP20" s="69"/>
      <c r="SUQ20" s="69"/>
      <c r="SUR20" s="69"/>
      <c r="SUS20" s="69"/>
      <c r="SUT20" s="69"/>
      <c r="SUU20" s="69"/>
      <c r="SUV20" s="69"/>
      <c r="SUW20" s="69"/>
      <c r="SUX20" s="69"/>
      <c r="SUY20" s="69"/>
      <c r="SUZ20" s="69"/>
      <c r="SVA20" s="69"/>
      <c r="SVB20" s="69"/>
      <c r="SVC20" s="69"/>
      <c r="SVD20" s="69"/>
      <c r="SVE20" s="69"/>
      <c r="SVF20" s="69"/>
      <c r="SVG20" s="69"/>
      <c r="SVH20" s="69"/>
      <c r="SVI20" s="69"/>
      <c r="SVJ20" s="69"/>
      <c r="SVK20" s="69"/>
      <c r="SVL20" s="69"/>
      <c r="SVM20" s="69"/>
      <c r="SVN20" s="69"/>
      <c r="SVO20" s="69"/>
      <c r="SVP20" s="69"/>
      <c r="SVQ20" s="69"/>
      <c r="SVR20" s="69"/>
      <c r="SVS20" s="69"/>
      <c r="SVT20" s="69"/>
      <c r="SVU20" s="69"/>
      <c r="SVV20" s="69"/>
      <c r="SVW20" s="69"/>
      <c r="SVX20" s="69"/>
      <c r="SVY20" s="69"/>
      <c r="SVZ20" s="69"/>
      <c r="SWA20" s="69"/>
      <c r="SWB20" s="69"/>
      <c r="SWC20" s="69"/>
      <c r="SWD20" s="69"/>
      <c r="SWE20" s="69"/>
      <c r="SWF20" s="69"/>
      <c r="SWG20" s="69"/>
      <c r="SWH20" s="69"/>
      <c r="SWI20" s="69"/>
      <c r="SWJ20" s="69"/>
      <c r="SWK20" s="69"/>
      <c r="SWL20" s="69"/>
      <c r="SWM20" s="69"/>
      <c r="SWN20" s="69"/>
      <c r="SWO20" s="69"/>
      <c r="SWP20" s="69"/>
      <c r="SWQ20" s="69"/>
      <c r="SWR20" s="69"/>
      <c r="SWS20" s="69"/>
      <c r="SWT20" s="69"/>
      <c r="SWU20" s="69"/>
      <c r="SWV20" s="69"/>
      <c r="SWW20" s="69"/>
      <c r="SWX20" s="69"/>
      <c r="SWY20" s="69"/>
      <c r="SWZ20" s="69"/>
      <c r="SXA20" s="69"/>
      <c r="SXB20" s="69"/>
      <c r="SXC20" s="69"/>
      <c r="SXD20" s="69"/>
      <c r="SXE20" s="69"/>
      <c r="SXF20" s="69"/>
      <c r="SXG20" s="69"/>
      <c r="SXH20" s="69"/>
      <c r="SXI20" s="69"/>
      <c r="SXJ20" s="69"/>
      <c r="SXK20" s="69"/>
      <c r="SXL20" s="69"/>
      <c r="SXM20" s="69"/>
      <c r="SXN20" s="69"/>
      <c r="SXO20" s="69"/>
      <c r="SXP20" s="69"/>
      <c r="SXQ20" s="69"/>
      <c r="SXR20" s="69"/>
      <c r="SXS20" s="69"/>
      <c r="SXT20" s="69"/>
      <c r="SXU20" s="69"/>
      <c r="SXV20" s="69"/>
      <c r="SXW20" s="69"/>
      <c r="SXX20" s="69"/>
      <c r="SXY20" s="69"/>
      <c r="SXZ20" s="69"/>
      <c r="SYA20" s="69"/>
      <c r="SYB20" s="69"/>
      <c r="SYC20" s="69"/>
      <c r="SYD20" s="69"/>
      <c r="SYE20" s="69"/>
      <c r="SYF20" s="69"/>
      <c r="SYG20" s="69"/>
      <c r="SYH20" s="69"/>
      <c r="SYI20" s="69"/>
      <c r="SYJ20" s="69"/>
      <c r="SYK20" s="69"/>
      <c r="SYL20" s="69"/>
      <c r="SYM20" s="69"/>
      <c r="SYN20" s="69"/>
      <c r="SYO20" s="69"/>
      <c r="SYP20" s="69"/>
      <c r="SYQ20" s="69"/>
      <c r="SYR20" s="69"/>
      <c r="SYS20" s="69"/>
      <c r="SYT20" s="69"/>
      <c r="SYU20" s="69"/>
      <c r="SYV20" s="69"/>
      <c r="SYW20" s="69"/>
      <c r="SYX20" s="69"/>
      <c r="SYY20" s="69"/>
      <c r="SYZ20" s="69"/>
      <c r="SZA20" s="69"/>
      <c r="SZB20" s="69"/>
      <c r="SZC20" s="69"/>
      <c r="SZD20" s="69"/>
      <c r="SZE20" s="69"/>
      <c r="SZF20" s="69"/>
      <c r="SZG20" s="69"/>
      <c r="SZH20" s="69"/>
      <c r="SZI20" s="69"/>
      <c r="SZJ20" s="69"/>
      <c r="SZK20" s="69"/>
      <c r="SZL20" s="69"/>
      <c r="SZM20" s="69"/>
      <c r="SZN20" s="69"/>
      <c r="SZO20" s="69"/>
      <c r="SZP20" s="69"/>
      <c r="SZQ20" s="69"/>
      <c r="SZR20" s="69"/>
      <c r="SZS20" s="69"/>
      <c r="SZT20" s="69"/>
      <c r="SZU20" s="69"/>
      <c r="SZV20" s="69"/>
      <c r="SZW20" s="69"/>
      <c r="SZX20" s="69"/>
      <c r="SZY20" s="69"/>
      <c r="SZZ20" s="69"/>
      <c r="TAA20" s="69"/>
      <c r="TAB20" s="69"/>
      <c r="TAC20" s="69"/>
      <c r="TAD20" s="69"/>
      <c r="TAE20" s="69"/>
      <c r="TAF20" s="69"/>
      <c r="TAG20" s="69"/>
      <c r="TAH20" s="69"/>
      <c r="TAI20" s="69"/>
      <c r="TAJ20" s="69"/>
      <c r="TAK20" s="69"/>
      <c r="TAL20" s="69"/>
      <c r="TAM20" s="69"/>
      <c r="TAN20" s="69"/>
      <c r="TAO20" s="69"/>
      <c r="TAP20" s="69"/>
      <c r="TAQ20" s="69"/>
      <c r="TAR20" s="69"/>
      <c r="TAS20" s="69"/>
      <c r="TAT20" s="69"/>
      <c r="TAU20" s="69"/>
      <c r="TAV20" s="69"/>
      <c r="TAW20" s="69"/>
      <c r="TAX20" s="69"/>
      <c r="TAY20" s="69"/>
      <c r="TAZ20" s="69"/>
      <c r="TBA20" s="69"/>
      <c r="TBB20" s="69"/>
      <c r="TBC20" s="69"/>
      <c r="TBD20" s="69"/>
      <c r="TBE20" s="69"/>
      <c r="TBF20" s="69"/>
      <c r="TBG20" s="69"/>
      <c r="TBH20" s="69"/>
      <c r="TBI20" s="69"/>
      <c r="TBJ20" s="69"/>
      <c r="TBK20" s="69"/>
      <c r="TBL20" s="69"/>
      <c r="TBM20" s="69"/>
      <c r="TBN20" s="69"/>
      <c r="TBO20" s="69"/>
      <c r="TBP20" s="69"/>
      <c r="TBQ20" s="69"/>
      <c r="TBR20" s="69"/>
      <c r="TBS20" s="69"/>
      <c r="TBT20" s="69"/>
      <c r="TBU20" s="69"/>
      <c r="TBV20" s="69"/>
      <c r="TBW20" s="69"/>
      <c r="TBX20" s="69"/>
      <c r="TBY20" s="69"/>
      <c r="TBZ20" s="69"/>
      <c r="TCA20" s="69"/>
      <c r="TCB20" s="69"/>
      <c r="TCC20" s="69"/>
      <c r="TCD20" s="69"/>
      <c r="TCE20" s="69"/>
      <c r="TCF20" s="69"/>
      <c r="TCG20" s="69"/>
      <c r="TCH20" s="69"/>
      <c r="TCI20" s="69"/>
      <c r="TCJ20" s="69"/>
      <c r="TCK20" s="69"/>
      <c r="TCL20" s="69"/>
      <c r="TCM20" s="69"/>
      <c r="TCN20" s="69"/>
      <c r="TCO20" s="69"/>
      <c r="TCP20" s="69"/>
      <c r="TCQ20" s="69"/>
      <c r="TCR20" s="69"/>
      <c r="TCS20" s="69"/>
      <c r="TCT20" s="69"/>
      <c r="TCU20" s="69"/>
      <c r="TCV20" s="69"/>
      <c r="TCW20" s="69"/>
      <c r="TCX20" s="69"/>
      <c r="TCY20" s="69"/>
      <c r="TCZ20" s="69"/>
      <c r="TDA20" s="69"/>
      <c r="TDB20" s="69"/>
      <c r="TDC20" s="69"/>
      <c r="TDD20" s="69"/>
      <c r="TDE20" s="69"/>
      <c r="TDF20" s="69"/>
      <c r="TDG20" s="69"/>
      <c r="TDH20" s="69"/>
      <c r="TDI20" s="69"/>
      <c r="TDJ20" s="69"/>
      <c r="TDK20" s="69"/>
      <c r="TDL20" s="69"/>
      <c r="TDM20" s="69"/>
      <c r="TDN20" s="69"/>
      <c r="TDO20" s="69"/>
      <c r="TDP20" s="69"/>
      <c r="TDQ20" s="69"/>
      <c r="TDR20" s="69"/>
      <c r="TDS20" s="69"/>
      <c r="TDT20" s="69"/>
      <c r="TDU20" s="69"/>
      <c r="TDV20" s="69"/>
      <c r="TDW20" s="69"/>
      <c r="TDX20" s="69"/>
      <c r="TDY20" s="69"/>
      <c r="TDZ20" s="69"/>
      <c r="TEA20" s="69"/>
      <c r="TEB20" s="69"/>
      <c r="TEC20" s="69"/>
      <c r="TED20" s="69"/>
      <c r="TEE20" s="69"/>
      <c r="TEF20" s="69"/>
      <c r="TEG20" s="69"/>
      <c r="TEH20" s="69"/>
      <c r="TEI20" s="69"/>
      <c r="TEJ20" s="69"/>
      <c r="TEK20" s="69"/>
      <c r="TEL20" s="69"/>
      <c r="TEM20" s="69"/>
      <c r="TEN20" s="69"/>
      <c r="TEO20" s="69"/>
      <c r="TEP20" s="69"/>
      <c r="TEQ20" s="69"/>
      <c r="TER20" s="69"/>
      <c r="TES20" s="69"/>
      <c r="TET20" s="69"/>
      <c r="TEU20" s="69"/>
      <c r="TEV20" s="69"/>
      <c r="TEW20" s="69"/>
      <c r="TEX20" s="69"/>
      <c r="TEY20" s="69"/>
      <c r="TEZ20" s="69"/>
      <c r="TFA20" s="69"/>
      <c r="TFB20" s="69"/>
      <c r="TFC20" s="69"/>
      <c r="TFD20" s="69"/>
      <c r="TFE20" s="69"/>
      <c r="TFF20" s="69"/>
      <c r="TFG20" s="69"/>
      <c r="TFH20" s="69"/>
      <c r="TFI20" s="69"/>
      <c r="TFJ20" s="69"/>
      <c r="TFK20" s="69"/>
      <c r="TFL20" s="69"/>
      <c r="TFM20" s="69"/>
      <c r="TFN20" s="69"/>
      <c r="TFO20" s="69"/>
      <c r="TFP20" s="69"/>
      <c r="TFQ20" s="69"/>
      <c r="TFR20" s="69"/>
      <c r="TFS20" s="69"/>
      <c r="TFT20" s="69"/>
      <c r="TFU20" s="69"/>
      <c r="TFV20" s="69"/>
      <c r="TFW20" s="69"/>
      <c r="TFX20" s="69"/>
      <c r="TFY20" s="69"/>
      <c r="TFZ20" s="69"/>
      <c r="TGA20" s="69"/>
      <c r="TGB20" s="69"/>
      <c r="TGC20" s="69"/>
      <c r="TGD20" s="69"/>
      <c r="TGE20" s="69"/>
      <c r="TGF20" s="69"/>
      <c r="TGG20" s="69"/>
      <c r="TGH20" s="69"/>
      <c r="TGI20" s="69"/>
      <c r="TGJ20" s="69"/>
      <c r="TGK20" s="69"/>
      <c r="TGL20" s="69"/>
      <c r="TGM20" s="69"/>
      <c r="TGN20" s="69"/>
      <c r="TGO20" s="69"/>
      <c r="TGP20" s="69"/>
      <c r="TGQ20" s="69"/>
      <c r="TGR20" s="69"/>
      <c r="TGS20" s="69"/>
      <c r="TGT20" s="69"/>
      <c r="TGU20" s="69"/>
      <c r="TGV20" s="69"/>
      <c r="TGW20" s="69"/>
      <c r="TGX20" s="69"/>
      <c r="TGY20" s="69"/>
      <c r="TGZ20" s="69"/>
      <c r="THA20" s="69"/>
      <c r="THB20" s="69"/>
      <c r="THC20" s="69"/>
      <c r="THD20" s="69"/>
      <c r="THE20" s="69"/>
      <c r="THF20" s="69"/>
      <c r="THG20" s="69"/>
      <c r="THH20" s="69"/>
      <c r="THI20" s="69"/>
      <c r="THJ20" s="69"/>
      <c r="THK20" s="69"/>
      <c r="THL20" s="69"/>
      <c r="THM20" s="69"/>
      <c r="THN20" s="69"/>
      <c r="THO20" s="69"/>
      <c r="THP20" s="69"/>
      <c r="THQ20" s="69"/>
      <c r="THR20" s="69"/>
      <c r="THS20" s="69"/>
      <c r="THT20" s="69"/>
      <c r="THU20" s="69"/>
      <c r="THV20" s="69"/>
      <c r="THW20" s="69"/>
      <c r="THX20" s="69"/>
      <c r="THY20" s="69"/>
      <c r="THZ20" s="69"/>
      <c r="TIA20" s="69"/>
      <c r="TIB20" s="69"/>
      <c r="TIC20" s="69"/>
      <c r="TID20" s="69"/>
      <c r="TIE20" s="69"/>
      <c r="TIF20" s="69"/>
      <c r="TIG20" s="69"/>
      <c r="TIH20" s="69"/>
      <c r="TII20" s="69"/>
      <c r="TIJ20" s="69"/>
      <c r="TIK20" s="69"/>
      <c r="TIL20" s="69"/>
      <c r="TIM20" s="69"/>
      <c r="TIN20" s="69"/>
      <c r="TIO20" s="69"/>
      <c r="TIP20" s="69"/>
      <c r="TIQ20" s="69"/>
      <c r="TIR20" s="69"/>
      <c r="TIS20" s="69"/>
      <c r="TIT20" s="69"/>
      <c r="TIU20" s="69"/>
      <c r="TIV20" s="69"/>
      <c r="TIW20" s="69"/>
      <c r="TIX20" s="69"/>
      <c r="TIY20" s="69"/>
      <c r="TIZ20" s="69"/>
      <c r="TJA20" s="69"/>
      <c r="TJB20" s="69"/>
      <c r="TJC20" s="69"/>
      <c r="TJD20" s="69"/>
      <c r="TJE20" s="69"/>
      <c r="TJF20" s="69"/>
      <c r="TJG20" s="69"/>
      <c r="TJH20" s="69"/>
      <c r="TJI20" s="69"/>
      <c r="TJJ20" s="69"/>
      <c r="TJK20" s="69"/>
      <c r="TJL20" s="69"/>
      <c r="TJM20" s="69"/>
      <c r="TJN20" s="69"/>
      <c r="TJO20" s="69"/>
      <c r="TJP20" s="69"/>
      <c r="TJQ20" s="69"/>
      <c r="TJR20" s="69"/>
      <c r="TJS20" s="69"/>
      <c r="TJT20" s="69"/>
      <c r="TJU20" s="69"/>
      <c r="TJV20" s="69"/>
      <c r="TJW20" s="69"/>
      <c r="TJX20" s="69"/>
      <c r="TJY20" s="69"/>
      <c r="TJZ20" s="69"/>
      <c r="TKA20" s="69"/>
      <c r="TKB20" s="69"/>
      <c r="TKC20" s="69"/>
      <c r="TKD20" s="69"/>
      <c r="TKE20" s="69"/>
      <c r="TKF20" s="69"/>
      <c r="TKG20" s="69"/>
      <c r="TKH20" s="69"/>
      <c r="TKI20" s="69"/>
      <c r="TKJ20" s="69"/>
      <c r="TKK20" s="69"/>
      <c r="TKL20" s="69"/>
      <c r="TKM20" s="69"/>
      <c r="TKN20" s="69"/>
      <c r="TKO20" s="69"/>
      <c r="TKP20" s="69"/>
      <c r="TKQ20" s="69"/>
      <c r="TKR20" s="69"/>
      <c r="TKS20" s="69"/>
      <c r="TKT20" s="69"/>
      <c r="TKU20" s="69"/>
      <c r="TKV20" s="69"/>
      <c r="TKW20" s="69"/>
      <c r="TKX20" s="69"/>
      <c r="TKY20" s="69"/>
      <c r="TKZ20" s="69"/>
      <c r="TLA20" s="69"/>
      <c r="TLB20" s="69"/>
      <c r="TLC20" s="69"/>
      <c r="TLD20" s="69"/>
      <c r="TLE20" s="69"/>
      <c r="TLF20" s="69"/>
      <c r="TLG20" s="69"/>
      <c r="TLH20" s="69"/>
      <c r="TLI20" s="69"/>
      <c r="TLJ20" s="69"/>
      <c r="TLK20" s="69"/>
      <c r="TLL20" s="69"/>
      <c r="TLM20" s="69"/>
      <c r="TLN20" s="69"/>
      <c r="TLO20" s="69"/>
      <c r="TLP20" s="69"/>
      <c r="TLQ20" s="69"/>
      <c r="TLR20" s="69"/>
      <c r="TLS20" s="69"/>
      <c r="TLT20" s="69"/>
      <c r="TLU20" s="69"/>
      <c r="TLV20" s="69"/>
      <c r="TLW20" s="69"/>
      <c r="TLX20" s="69"/>
      <c r="TLY20" s="69"/>
      <c r="TLZ20" s="69"/>
      <c r="TMA20" s="69"/>
      <c r="TMB20" s="69"/>
      <c r="TMC20" s="69"/>
      <c r="TMD20" s="69"/>
      <c r="TME20" s="69"/>
      <c r="TMF20" s="69"/>
      <c r="TMG20" s="69"/>
      <c r="TMH20" s="69"/>
      <c r="TMI20" s="69"/>
      <c r="TMJ20" s="69"/>
      <c r="TMK20" s="69"/>
      <c r="TML20" s="69"/>
      <c r="TMM20" s="69"/>
      <c r="TMN20" s="69"/>
      <c r="TMO20" s="69"/>
      <c r="TMP20" s="69"/>
      <c r="TMQ20" s="69"/>
      <c r="TMR20" s="69"/>
      <c r="TMS20" s="69"/>
      <c r="TMT20" s="69"/>
      <c r="TMU20" s="69"/>
      <c r="TMV20" s="69"/>
      <c r="TMW20" s="69"/>
      <c r="TMX20" s="69"/>
      <c r="TMY20" s="69"/>
      <c r="TMZ20" s="69"/>
      <c r="TNA20" s="69"/>
      <c r="TNB20" s="69"/>
      <c r="TNC20" s="69"/>
      <c r="TND20" s="69"/>
      <c r="TNE20" s="69"/>
      <c r="TNF20" s="69"/>
      <c r="TNG20" s="69"/>
      <c r="TNH20" s="69"/>
      <c r="TNI20" s="69"/>
      <c r="TNJ20" s="69"/>
      <c r="TNK20" s="69"/>
      <c r="TNL20" s="69"/>
      <c r="TNM20" s="69"/>
      <c r="TNN20" s="69"/>
      <c r="TNO20" s="69"/>
      <c r="TNP20" s="69"/>
      <c r="TNQ20" s="69"/>
      <c r="TNR20" s="69"/>
      <c r="TNS20" s="69"/>
      <c r="TNT20" s="69"/>
      <c r="TNU20" s="69"/>
      <c r="TNV20" s="69"/>
      <c r="TNW20" s="69"/>
      <c r="TNX20" s="69"/>
      <c r="TNY20" s="69"/>
      <c r="TNZ20" s="69"/>
      <c r="TOA20" s="69"/>
      <c r="TOB20" s="69"/>
      <c r="TOC20" s="69"/>
      <c r="TOD20" s="69"/>
      <c r="TOE20" s="69"/>
      <c r="TOF20" s="69"/>
      <c r="TOG20" s="69"/>
      <c r="TOH20" s="69"/>
      <c r="TOI20" s="69"/>
      <c r="TOJ20" s="69"/>
      <c r="TOK20" s="69"/>
      <c r="TOL20" s="69"/>
      <c r="TOM20" s="69"/>
      <c r="TON20" s="69"/>
      <c r="TOO20" s="69"/>
      <c r="TOP20" s="69"/>
      <c r="TOQ20" s="69"/>
      <c r="TOR20" s="69"/>
      <c r="TOS20" s="69"/>
      <c r="TOT20" s="69"/>
      <c r="TOU20" s="69"/>
      <c r="TOV20" s="69"/>
      <c r="TOW20" s="69"/>
      <c r="TOX20" s="69"/>
      <c r="TOY20" s="69"/>
      <c r="TOZ20" s="69"/>
      <c r="TPA20" s="69"/>
      <c r="TPB20" s="69"/>
      <c r="TPC20" s="69"/>
      <c r="TPD20" s="69"/>
      <c r="TPE20" s="69"/>
      <c r="TPF20" s="69"/>
      <c r="TPG20" s="69"/>
      <c r="TPH20" s="69"/>
      <c r="TPI20" s="69"/>
      <c r="TPJ20" s="69"/>
      <c r="TPK20" s="69"/>
      <c r="TPL20" s="69"/>
      <c r="TPM20" s="69"/>
      <c r="TPN20" s="69"/>
      <c r="TPO20" s="69"/>
      <c r="TPP20" s="69"/>
      <c r="TPQ20" s="69"/>
      <c r="TPR20" s="69"/>
      <c r="TPS20" s="69"/>
      <c r="TPT20" s="69"/>
      <c r="TPU20" s="69"/>
      <c r="TPV20" s="69"/>
      <c r="TPW20" s="69"/>
      <c r="TPX20" s="69"/>
      <c r="TPY20" s="69"/>
      <c r="TPZ20" s="69"/>
      <c r="TQA20" s="69"/>
      <c r="TQB20" s="69"/>
      <c r="TQC20" s="69"/>
      <c r="TQD20" s="69"/>
      <c r="TQE20" s="69"/>
      <c r="TQF20" s="69"/>
      <c r="TQG20" s="69"/>
      <c r="TQH20" s="69"/>
      <c r="TQI20" s="69"/>
      <c r="TQJ20" s="69"/>
      <c r="TQK20" s="69"/>
      <c r="TQL20" s="69"/>
      <c r="TQM20" s="69"/>
      <c r="TQN20" s="69"/>
      <c r="TQO20" s="69"/>
      <c r="TQP20" s="69"/>
      <c r="TQQ20" s="69"/>
      <c r="TQR20" s="69"/>
      <c r="TQS20" s="69"/>
      <c r="TQT20" s="69"/>
      <c r="TQU20" s="69"/>
      <c r="TQV20" s="69"/>
      <c r="TQW20" s="69"/>
      <c r="TQX20" s="69"/>
      <c r="TQY20" s="69"/>
      <c r="TQZ20" s="69"/>
      <c r="TRA20" s="69"/>
      <c r="TRB20" s="69"/>
      <c r="TRC20" s="69"/>
      <c r="TRD20" s="69"/>
      <c r="TRE20" s="69"/>
      <c r="TRF20" s="69"/>
      <c r="TRG20" s="69"/>
      <c r="TRH20" s="69"/>
      <c r="TRI20" s="69"/>
      <c r="TRJ20" s="69"/>
      <c r="TRK20" s="69"/>
      <c r="TRL20" s="69"/>
      <c r="TRM20" s="69"/>
      <c r="TRN20" s="69"/>
      <c r="TRO20" s="69"/>
      <c r="TRP20" s="69"/>
      <c r="TRQ20" s="69"/>
      <c r="TRR20" s="69"/>
      <c r="TRS20" s="69"/>
      <c r="TRT20" s="69"/>
      <c r="TRU20" s="69"/>
      <c r="TRV20" s="69"/>
      <c r="TRW20" s="69"/>
      <c r="TRX20" s="69"/>
      <c r="TRY20" s="69"/>
      <c r="TRZ20" s="69"/>
      <c r="TSA20" s="69"/>
      <c r="TSB20" s="69"/>
      <c r="TSC20" s="69"/>
      <c r="TSD20" s="69"/>
      <c r="TSE20" s="69"/>
      <c r="TSF20" s="69"/>
      <c r="TSG20" s="69"/>
      <c r="TSH20" s="69"/>
      <c r="TSI20" s="69"/>
      <c r="TSJ20" s="69"/>
      <c r="TSK20" s="69"/>
      <c r="TSL20" s="69"/>
      <c r="TSM20" s="69"/>
      <c r="TSN20" s="69"/>
      <c r="TSO20" s="69"/>
      <c r="TSP20" s="69"/>
      <c r="TSQ20" s="69"/>
      <c r="TSR20" s="69"/>
      <c r="TSS20" s="69"/>
      <c r="TST20" s="69"/>
      <c r="TSU20" s="69"/>
      <c r="TSV20" s="69"/>
      <c r="TSW20" s="69"/>
      <c r="TSX20" s="69"/>
      <c r="TSY20" s="69"/>
      <c r="TSZ20" s="69"/>
      <c r="TTA20" s="69"/>
      <c r="TTB20" s="69"/>
      <c r="TTC20" s="69"/>
      <c r="TTD20" s="69"/>
      <c r="TTE20" s="69"/>
      <c r="TTF20" s="69"/>
      <c r="TTG20" s="69"/>
      <c r="TTH20" s="69"/>
      <c r="TTI20" s="69"/>
      <c r="TTJ20" s="69"/>
      <c r="TTK20" s="69"/>
      <c r="TTL20" s="69"/>
      <c r="TTM20" s="69"/>
      <c r="TTN20" s="69"/>
      <c r="TTO20" s="69"/>
      <c r="TTP20" s="69"/>
      <c r="TTQ20" s="69"/>
      <c r="TTR20" s="69"/>
      <c r="TTS20" s="69"/>
      <c r="TTT20" s="69"/>
      <c r="TTU20" s="69"/>
      <c r="TTV20" s="69"/>
      <c r="TTW20" s="69"/>
      <c r="TTX20" s="69"/>
      <c r="TTY20" s="69"/>
      <c r="TTZ20" s="69"/>
      <c r="TUA20" s="69"/>
      <c r="TUB20" s="69"/>
      <c r="TUC20" s="69"/>
      <c r="TUD20" s="69"/>
      <c r="TUE20" s="69"/>
      <c r="TUF20" s="69"/>
      <c r="TUG20" s="69"/>
      <c r="TUH20" s="69"/>
      <c r="TUI20" s="69"/>
      <c r="TUJ20" s="69"/>
      <c r="TUK20" s="69"/>
      <c r="TUL20" s="69"/>
      <c r="TUM20" s="69"/>
      <c r="TUN20" s="69"/>
      <c r="TUO20" s="69"/>
      <c r="TUP20" s="69"/>
      <c r="TUQ20" s="69"/>
      <c r="TUR20" s="69"/>
      <c r="TUS20" s="69"/>
      <c r="TUT20" s="69"/>
      <c r="TUU20" s="69"/>
      <c r="TUV20" s="69"/>
      <c r="TUW20" s="69"/>
      <c r="TUX20" s="69"/>
      <c r="TUY20" s="69"/>
      <c r="TUZ20" s="69"/>
      <c r="TVA20" s="69"/>
      <c r="TVB20" s="69"/>
      <c r="TVC20" s="69"/>
      <c r="TVD20" s="69"/>
      <c r="TVE20" s="69"/>
      <c r="TVF20" s="69"/>
      <c r="TVG20" s="69"/>
      <c r="TVH20" s="69"/>
      <c r="TVI20" s="69"/>
      <c r="TVJ20" s="69"/>
      <c r="TVK20" s="69"/>
      <c r="TVL20" s="69"/>
      <c r="TVM20" s="69"/>
      <c r="TVN20" s="69"/>
      <c r="TVO20" s="69"/>
      <c r="TVP20" s="69"/>
      <c r="TVQ20" s="69"/>
      <c r="TVR20" s="69"/>
      <c r="TVS20" s="69"/>
      <c r="TVT20" s="69"/>
      <c r="TVU20" s="69"/>
      <c r="TVV20" s="69"/>
      <c r="TVW20" s="69"/>
      <c r="TVX20" s="69"/>
      <c r="TVY20" s="69"/>
      <c r="TVZ20" s="69"/>
      <c r="TWA20" s="69"/>
      <c r="TWB20" s="69"/>
      <c r="TWC20" s="69"/>
      <c r="TWD20" s="69"/>
      <c r="TWE20" s="69"/>
      <c r="TWF20" s="69"/>
      <c r="TWG20" s="69"/>
      <c r="TWH20" s="69"/>
      <c r="TWI20" s="69"/>
      <c r="TWJ20" s="69"/>
      <c r="TWK20" s="69"/>
      <c r="TWL20" s="69"/>
      <c r="TWM20" s="69"/>
      <c r="TWN20" s="69"/>
      <c r="TWO20" s="69"/>
      <c r="TWP20" s="69"/>
      <c r="TWQ20" s="69"/>
      <c r="TWR20" s="69"/>
      <c r="TWS20" s="69"/>
      <c r="TWT20" s="69"/>
      <c r="TWU20" s="69"/>
      <c r="TWV20" s="69"/>
      <c r="TWW20" s="69"/>
      <c r="TWX20" s="69"/>
      <c r="TWY20" s="69"/>
      <c r="TWZ20" s="69"/>
      <c r="TXA20" s="69"/>
      <c r="TXB20" s="69"/>
      <c r="TXC20" s="69"/>
      <c r="TXD20" s="69"/>
      <c r="TXE20" s="69"/>
      <c r="TXF20" s="69"/>
      <c r="TXG20" s="69"/>
      <c r="TXH20" s="69"/>
      <c r="TXI20" s="69"/>
      <c r="TXJ20" s="69"/>
      <c r="TXK20" s="69"/>
      <c r="TXL20" s="69"/>
      <c r="TXM20" s="69"/>
      <c r="TXN20" s="69"/>
      <c r="TXO20" s="69"/>
      <c r="TXP20" s="69"/>
      <c r="TXQ20" s="69"/>
      <c r="TXR20" s="69"/>
      <c r="TXS20" s="69"/>
      <c r="TXT20" s="69"/>
      <c r="TXU20" s="69"/>
      <c r="TXV20" s="69"/>
      <c r="TXW20" s="69"/>
      <c r="TXX20" s="69"/>
      <c r="TXY20" s="69"/>
      <c r="TXZ20" s="69"/>
      <c r="TYA20" s="69"/>
      <c r="TYB20" s="69"/>
      <c r="TYC20" s="69"/>
      <c r="TYD20" s="69"/>
      <c r="TYE20" s="69"/>
      <c r="TYF20" s="69"/>
      <c r="TYG20" s="69"/>
      <c r="TYH20" s="69"/>
      <c r="TYI20" s="69"/>
      <c r="TYJ20" s="69"/>
      <c r="TYK20" s="69"/>
      <c r="TYL20" s="69"/>
      <c r="TYM20" s="69"/>
      <c r="TYN20" s="69"/>
      <c r="TYO20" s="69"/>
      <c r="TYP20" s="69"/>
      <c r="TYQ20" s="69"/>
      <c r="TYR20" s="69"/>
      <c r="TYS20" s="69"/>
      <c r="TYT20" s="69"/>
      <c r="TYU20" s="69"/>
      <c r="TYV20" s="69"/>
      <c r="TYW20" s="69"/>
      <c r="TYX20" s="69"/>
      <c r="TYY20" s="69"/>
      <c r="TYZ20" s="69"/>
      <c r="TZA20" s="69"/>
      <c r="TZB20" s="69"/>
      <c r="TZC20" s="69"/>
      <c r="TZD20" s="69"/>
      <c r="TZE20" s="69"/>
      <c r="TZF20" s="69"/>
      <c r="TZG20" s="69"/>
      <c r="TZH20" s="69"/>
      <c r="TZI20" s="69"/>
      <c r="TZJ20" s="69"/>
      <c r="TZK20" s="69"/>
      <c r="TZL20" s="69"/>
      <c r="TZM20" s="69"/>
      <c r="TZN20" s="69"/>
      <c r="TZO20" s="69"/>
      <c r="TZP20" s="69"/>
      <c r="TZQ20" s="69"/>
      <c r="TZR20" s="69"/>
      <c r="TZS20" s="69"/>
      <c r="TZT20" s="69"/>
      <c r="TZU20" s="69"/>
      <c r="TZV20" s="69"/>
      <c r="TZW20" s="69"/>
      <c r="TZX20" s="69"/>
      <c r="TZY20" s="69"/>
      <c r="TZZ20" s="69"/>
      <c r="UAA20" s="69"/>
      <c r="UAB20" s="69"/>
      <c r="UAC20" s="69"/>
      <c r="UAD20" s="69"/>
      <c r="UAE20" s="69"/>
      <c r="UAF20" s="69"/>
      <c r="UAG20" s="69"/>
      <c r="UAH20" s="69"/>
      <c r="UAI20" s="69"/>
      <c r="UAJ20" s="69"/>
      <c r="UAK20" s="69"/>
      <c r="UAL20" s="69"/>
      <c r="UAM20" s="69"/>
      <c r="UAN20" s="69"/>
      <c r="UAO20" s="69"/>
      <c r="UAP20" s="69"/>
      <c r="UAQ20" s="69"/>
      <c r="UAR20" s="69"/>
      <c r="UAS20" s="69"/>
      <c r="UAT20" s="69"/>
      <c r="UAU20" s="69"/>
      <c r="UAV20" s="69"/>
      <c r="UAW20" s="69"/>
      <c r="UAX20" s="69"/>
      <c r="UAY20" s="69"/>
      <c r="UAZ20" s="69"/>
      <c r="UBA20" s="69"/>
      <c r="UBB20" s="69"/>
      <c r="UBC20" s="69"/>
      <c r="UBD20" s="69"/>
      <c r="UBE20" s="69"/>
      <c r="UBF20" s="69"/>
      <c r="UBG20" s="69"/>
      <c r="UBH20" s="69"/>
      <c r="UBI20" s="69"/>
      <c r="UBJ20" s="69"/>
      <c r="UBK20" s="69"/>
      <c r="UBL20" s="69"/>
      <c r="UBM20" s="69"/>
      <c r="UBN20" s="69"/>
      <c r="UBO20" s="69"/>
      <c r="UBP20" s="69"/>
      <c r="UBQ20" s="69"/>
      <c r="UBR20" s="69"/>
      <c r="UBS20" s="69"/>
      <c r="UBT20" s="69"/>
      <c r="UBU20" s="69"/>
      <c r="UBV20" s="69"/>
      <c r="UBW20" s="69"/>
      <c r="UBX20" s="69"/>
      <c r="UBY20" s="69"/>
      <c r="UBZ20" s="69"/>
      <c r="UCA20" s="69"/>
      <c r="UCB20" s="69"/>
      <c r="UCC20" s="69"/>
      <c r="UCD20" s="69"/>
      <c r="UCE20" s="69"/>
      <c r="UCF20" s="69"/>
      <c r="UCG20" s="69"/>
      <c r="UCH20" s="69"/>
      <c r="UCI20" s="69"/>
      <c r="UCJ20" s="69"/>
      <c r="UCK20" s="69"/>
      <c r="UCL20" s="69"/>
      <c r="UCM20" s="69"/>
      <c r="UCN20" s="69"/>
      <c r="UCO20" s="69"/>
      <c r="UCP20" s="69"/>
      <c r="UCQ20" s="69"/>
      <c r="UCR20" s="69"/>
      <c r="UCS20" s="69"/>
      <c r="UCT20" s="69"/>
      <c r="UCU20" s="69"/>
      <c r="UCV20" s="69"/>
      <c r="UCW20" s="69"/>
      <c r="UCX20" s="69"/>
      <c r="UCY20" s="69"/>
      <c r="UCZ20" s="69"/>
      <c r="UDA20" s="69"/>
      <c r="UDB20" s="69"/>
      <c r="UDC20" s="69"/>
      <c r="UDD20" s="69"/>
      <c r="UDE20" s="69"/>
      <c r="UDF20" s="69"/>
      <c r="UDG20" s="69"/>
      <c r="UDH20" s="69"/>
      <c r="UDI20" s="69"/>
      <c r="UDJ20" s="69"/>
      <c r="UDK20" s="69"/>
      <c r="UDL20" s="69"/>
      <c r="UDM20" s="69"/>
      <c r="UDN20" s="69"/>
      <c r="UDO20" s="69"/>
      <c r="UDP20" s="69"/>
      <c r="UDQ20" s="69"/>
      <c r="UDR20" s="69"/>
      <c r="UDS20" s="69"/>
      <c r="UDT20" s="69"/>
      <c r="UDU20" s="69"/>
      <c r="UDV20" s="69"/>
      <c r="UDW20" s="69"/>
      <c r="UDX20" s="69"/>
      <c r="UDY20" s="69"/>
      <c r="UDZ20" s="69"/>
      <c r="UEA20" s="69"/>
      <c r="UEB20" s="69"/>
      <c r="UEC20" s="69"/>
      <c r="UED20" s="69"/>
      <c r="UEE20" s="69"/>
      <c r="UEF20" s="69"/>
      <c r="UEG20" s="69"/>
      <c r="UEH20" s="69"/>
      <c r="UEI20" s="69"/>
      <c r="UEJ20" s="69"/>
      <c r="UEK20" s="69"/>
      <c r="UEL20" s="69"/>
      <c r="UEM20" s="69"/>
      <c r="UEN20" s="69"/>
      <c r="UEO20" s="69"/>
      <c r="UEP20" s="69"/>
      <c r="UEQ20" s="69"/>
      <c r="UER20" s="69"/>
      <c r="UES20" s="69"/>
      <c r="UET20" s="69"/>
      <c r="UEU20" s="69"/>
      <c r="UEV20" s="69"/>
      <c r="UEW20" s="69"/>
      <c r="UEX20" s="69"/>
      <c r="UEY20" s="69"/>
      <c r="UEZ20" s="69"/>
      <c r="UFA20" s="69"/>
      <c r="UFB20" s="69"/>
      <c r="UFC20" s="69"/>
      <c r="UFD20" s="69"/>
      <c r="UFE20" s="69"/>
      <c r="UFF20" s="69"/>
      <c r="UFG20" s="69"/>
      <c r="UFH20" s="69"/>
      <c r="UFI20" s="69"/>
      <c r="UFJ20" s="69"/>
      <c r="UFK20" s="69"/>
      <c r="UFL20" s="69"/>
      <c r="UFM20" s="69"/>
      <c r="UFN20" s="69"/>
      <c r="UFO20" s="69"/>
      <c r="UFP20" s="69"/>
      <c r="UFQ20" s="69"/>
      <c r="UFR20" s="69"/>
      <c r="UFS20" s="69"/>
      <c r="UFT20" s="69"/>
      <c r="UFU20" s="69"/>
      <c r="UFV20" s="69"/>
      <c r="UFW20" s="69"/>
      <c r="UFX20" s="69"/>
      <c r="UFY20" s="69"/>
      <c r="UFZ20" s="69"/>
      <c r="UGA20" s="69"/>
      <c r="UGB20" s="69"/>
      <c r="UGC20" s="69"/>
      <c r="UGD20" s="69"/>
      <c r="UGE20" s="69"/>
      <c r="UGF20" s="69"/>
      <c r="UGG20" s="69"/>
      <c r="UGH20" s="69"/>
      <c r="UGI20" s="69"/>
      <c r="UGJ20" s="69"/>
      <c r="UGK20" s="69"/>
      <c r="UGL20" s="69"/>
      <c r="UGM20" s="69"/>
      <c r="UGN20" s="69"/>
      <c r="UGO20" s="69"/>
      <c r="UGP20" s="69"/>
      <c r="UGQ20" s="69"/>
      <c r="UGR20" s="69"/>
      <c r="UGS20" s="69"/>
      <c r="UGT20" s="69"/>
      <c r="UGU20" s="69"/>
      <c r="UGV20" s="69"/>
      <c r="UGW20" s="69"/>
      <c r="UGX20" s="69"/>
      <c r="UGY20" s="69"/>
      <c r="UGZ20" s="69"/>
      <c r="UHA20" s="69"/>
      <c r="UHB20" s="69"/>
      <c r="UHC20" s="69"/>
      <c r="UHD20" s="69"/>
      <c r="UHE20" s="69"/>
      <c r="UHF20" s="69"/>
      <c r="UHG20" s="69"/>
      <c r="UHH20" s="69"/>
      <c r="UHI20" s="69"/>
      <c r="UHJ20" s="69"/>
      <c r="UHK20" s="69"/>
      <c r="UHL20" s="69"/>
      <c r="UHM20" s="69"/>
      <c r="UHN20" s="69"/>
      <c r="UHO20" s="69"/>
      <c r="UHP20" s="69"/>
      <c r="UHQ20" s="69"/>
      <c r="UHR20" s="69"/>
      <c r="UHS20" s="69"/>
      <c r="UHT20" s="69"/>
      <c r="UHU20" s="69"/>
      <c r="UHV20" s="69"/>
      <c r="UHW20" s="69"/>
      <c r="UHX20" s="69"/>
      <c r="UHY20" s="69"/>
      <c r="UHZ20" s="69"/>
      <c r="UIA20" s="69"/>
      <c r="UIB20" s="69"/>
      <c r="UIC20" s="69"/>
      <c r="UID20" s="69"/>
      <c r="UIE20" s="69"/>
      <c r="UIF20" s="69"/>
      <c r="UIG20" s="69"/>
      <c r="UIH20" s="69"/>
      <c r="UII20" s="69"/>
      <c r="UIJ20" s="69"/>
      <c r="UIK20" s="69"/>
      <c r="UIL20" s="69"/>
      <c r="UIM20" s="69"/>
      <c r="UIN20" s="69"/>
      <c r="UIO20" s="69"/>
      <c r="UIP20" s="69"/>
      <c r="UIQ20" s="69"/>
      <c r="UIR20" s="69"/>
      <c r="UIS20" s="69"/>
      <c r="UIT20" s="69"/>
      <c r="UIU20" s="69"/>
      <c r="UIV20" s="69"/>
      <c r="UIW20" s="69"/>
      <c r="UIX20" s="69"/>
      <c r="UIY20" s="69"/>
      <c r="UIZ20" s="69"/>
      <c r="UJA20" s="69"/>
      <c r="UJB20" s="69"/>
      <c r="UJC20" s="69"/>
      <c r="UJD20" s="69"/>
      <c r="UJE20" s="69"/>
      <c r="UJF20" s="69"/>
      <c r="UJG20" s="69"/>
      <c r="UJH20" s="69"/>
      <c r="UJI20" s="69"/>
      <c r="UJJ20" s="69"/>
      <c r="UJK20" s="69"/>
      <c r="UJL20" s="69"/>
      <c r="UJM20" s="69"/>
      <c r="UJN20" s="69"/>
      <c r="UJO20" s="69"/>
      <c r="UJP20" s="69"/>
      <c r="UJQ20" s="69"/>
      <c r="UJR20" s="69"/>
      <c r="UJS20" s="69"/>
      <c r="UJT20" s="69"/>
      <c r="UJU20" s="69"/>
      <c r="UJV20" s="69"/>
      <c r="UJW20" s="69"/>
      <c r="UJX20" s="69"/>
      <c r="UJY20" s="69"/>
      <c r="UJZ20" s="69"/>
      <c r="UKA20" s="69"/>
      <c r="UKB20" s="69"/>
      <c r="UKC20" s="69"/>
      <c r="UKD20" s="69"/>
      <c r="UKE20" s="69"/>
      <c r="UKF20" s="69"/>
      <c r="UKG20" s="69"/>
      <c r="UKH20" s="69"/>
      <c r="UKI20" s="69"/>
      <c r="UKJ20" s="69"/>
      <c r="UKK20" s="69"/>
      <c r="UKL20" s="69"/>
      <c r="UKM20" s="69"/>
      <c r="UKN20" s="69"/>
      <c r="UKO20" s="69"/>
      <c r="UKP20" s="69"/>
      <c r="UKQ20" s="69"/>
      <c r="UKR20" s="69"/>
      <c r="UKS20" s="69"/>
      <c r="UKT20" s="69"/>
      <c r="UKU20" s="69"/>
      <c r="UKV20" s="69"/>
      <c r="UKW20" s="69"/>
      <c r="UKX20" s="69"/>
      <c r="UKY20" s="69"/>
      <c r="UKZ20" s="69"/>
      <c r="ULA20" s="69"/>
      <c r="ULB20" s="69"/>
      <c r="ULC20" s="69"/>
      <c r="ULD20" s="69"/>
      <c r="ULE20" s="69"/>
      <c r="ULF20" s="69"/>
      <c r="ULG20" s="69"/>
      <c r="ULH20" s="69"/>
      <c r="ULI20" s="69"/>
      <c r="ULJ20" s="69"/>
      <c r="ULK20" s="69"/>
      <c r="ULL20" s="69"/>
      <c r="ULM20" s="69"/>
      <c r="ULN20" s="69"/>
      <c r="ULO20" s="69"/>
      <c r="ULP20" s="69"/>
      <c r="ULQ20" s="69"/>
      <c r="ULR20" s="69"/>
      <c r="ULS20" s="69"/>
      <c r="ULT20" s="69"/>
      <c r="ULU20" s="69"/>
      <c r="ULV20" s="69"/>
      <c r="ULW20" s="69"/>
      <c r="ULX20" s="69"/>
      <c r="ULY20" s="69"/>
      <c r="ULZ20" s="69"/>
      <c r="UMA20" s="69"/>
      <c r="UMB20" s="69"/>
      <c r="UMC20" s="69"/>
      <c r="UMD20" s="69"/>
      <c r="UME20" s="69"/>
      <c r="UMF20" s="69"/>
      <c r="UMG20" s="69"/>
      <c r="UMH20" s="69"/>
      <c r="UMI20" s="69"/>
      <c r="UMJ20" s="69"/>
      <c r="UMK20" s="69"/>
      <c r="UML20" s="69"/>
      <c r="UMM20" s="69"/>
      <c r="UMN20" s="69"/>
      <c r="UMO20" s="69"/>
      <c r="UMP20" s="69"/>
      <c r="UMQ20" s="69"/>
      <c r="UMR20" s="69"/>
      <c r="UMS20" s="69"/>
      <c r="UMT20" s="69"/>
      <c r="UMU20" s="69"/>
      <c r="UMV20" s="69"/>
      <c r="UMW20" s="69"/>
      <c r="UMX20" s="69"/>
      <c r="UMY20" s="69"/>
      <c r="UMZ20" s="69"/>
      <c r="UNA20" s="69"/>
      <c r="UNB20" s="69"/>
      <c r="UNC20" s="69"/>
      <c r="UND20" s="69"/>
      <c r="UNE20" s="69"/>
      <c r="UNF20" s="69"/>
      <c r="UNG20" s="69"/>
      <c r="UNH20" s="69"/>
      <c r="UNI20" s="69"/>
      <c r="UNJ20" s="69"/>
      <c r="UNK20" s="69"/>
      <c r="UNL20" s="69"/>
      <c r="UNM20" s="69"/>
      <c r="UNN20" s="69"/>
      <c r="UNO20" s="69"/>
      <c r="UNP20" s="69"/>
      <c r="UNQ20" s="69"/>
      <c r="UNR20" s="69"/>
      <c r="UNS20" s="69"/>
      <c r="UNT20" s="69"/>
      <c r="UNU20" s="69"/>
      <c r="UNV20" s="69"/>
      <c r="UNW20" s="69"/>
      <c r="UNX20" s="69"/>
      <c r="UNY20" s="69"/>
      <c r="UNZ20" s="69"/>
      <c r="UOA20" s="69"/>
      <c r="UOB20" s="69"/>
      <c r="UOC20" s="69"/>
      <c r="UOD20" s="69"/>
      <c r="UOE20" s="69"/>
      <c r="UOF20" s="69"/>
      <c r="UOG20" s="69"/>
      <c r="UOH20" s="69"/>
      <c r="UOI20" s="69"/>
      <c r="UOJ20" s="69"/>
      <c r="UOK20" s="69"/>
      <c r="UOL20" s="69"/>
      <c r="UOM20" s="69"/>
      <c r="UON20" s="69"/>
      <c r="UOO20" s="69"/>
      <c r="UOP20" s="69"/>
      <c r="UOQ20" s="69"/>
      <c r="UOR20" s="69"/>
      <c r="UOS20" s="69"/>
      <c r="UOT20" s="69"/>
      <c r="UOU20" s="69"/>
      <c r="UOV20" s="69"/>
      <c r="UOW20" s="69"/>
      <c r="UOX20" s="69"/>
      <c r="UOY20" s="69"/>
      <c r="UOZ20" s="69"/>
      <c r="UPA20" s="69"/>
      <c r="UPB20" s="69"/>
      <c r="UPC20" s="69"/>
      <c r="UPD20" s="69"/>
      <c r="UPE20" s="69"/>
      <c r="UPF20" s="69"/>
      <c r="UPG20" s="69"/>
      <c r="UPH20" s="69"/>
      <c r="UPI20" s="69"/>
      <c r="UPJ20" s="69"/>
      <c r="UPK20" s="69"/>
      <c r="UPL20" s="69"/>
      <c r="UPM20" s="69"/>
      <c r="UPN20" s="69"/>
      <c r="UPO20" s="69"/>
      <c r="UPP20" s="69"/>
      <c r="UPQ20" s="69"/>
      <c r="UPR20" s="69"/>
      <c r="UPS20" s="69"/>
      <c r="UPT20" s="69"/>
      <c r="UPU20" s="69"/>
      <c r="UPV20" s="69"/>
      <c r="UPW20" s="69"/>
      <c r="UPX20" s="69"/>
      <c r="UPY20" s="69"/>
      <c r="UPZ20" s="69"/>
      <c r="UQA20" s="69"/>
      <c r="UQB20" s="69"/>
      <c r="UQC20" s="69"/>
      <c r="UQD20" s="69"/>
      <c r="UQE20" s="69"/>
      <c r="UQF20" s="69"/>
      <c r="UQG20" s="69"/>
      <c r="UQH20" s="69"/>
      <c r="UQI20" s="69"/>
      <c r="UQJ20" s="69"/>
      <c r="UQK20" s="69"/>
      <c r="UQL20" s="69"/>
      <c r="UQM20" s="69"/>
      <c r="UQN20" s="69"/>
      <c r="UQO20" s="69"/>
      <c r="UQP20" s="69"/>
      <c r="UQQ20" s="69"/>
      <c r="UQR20" s="69"/>
      <c r="UQS20" s="69"/>
      <c r="UQT20" s="69"/>
      <c r="UQU20" s="69"/>
      <c r="UQV20" s="69"/>
      <c r="UQW20" s="69"/>
      <c r="UQX20" s="69"/>
      <c r="UQY20" s="69"/>
      <c r="UQZ20" s="69"/>
      <c r="URA20" s="69"/>
      <c r="URB20" s="69"/>
      <c r="URC20" s="69"/>
      <c r="URD20" s="69"/>
      <c r="URE20" s="69"/>
      <c r="URF20" s="69"/>
      <c r="URG20" s="69"/>
      <c r="URH20" s="69"/>
      <c r="URI20" s="69"/>
      <c r="URJ20" s="69"/>
      <c r="URK20" s="69"/>
      <c r="URL20" s="69"/>
      <c r="URM20" s="69"/>
      <c r="URN20" s="69"/>
      <c r="URO20" s="69"/>
      <c r="URP20" s="69"/>
      <c r="URQ20" s="69"/>
      <c r="URR20" s="69"/>
      <c r="URS20" s="69"/>
      <c r="URT20" s="69"/>
      <c r="URU20" s="69"/>
      <c r="URV20" s="69"/>
      <c r="URW20" s="69"/>
      <c r="URX20" s="69"/>
      <c r="URY20" s="69"/>
      <c r="URZ20" s="69"/>
      <c r="USA20" s="69"/>
      <c r="USB20" s="69"/>
      <c r="USC20" s="69"/>
      <c r="USD20" s="69"/>
      <c r="USE20" s="69"/>
      <c r="USF20" s="69"/>
      <c r="USG20" s="69"/>
      <c r="USH20" s="69"/>
      <c r="USI20" s="69"/>
      <c r="USJ20" s="69"/>
      <c r="USK20" s="69"/>
      <c r="USL20" s="69"/>
      <c r="USM20" s="69"/>
      <c r="USN20" s="69"/>
      <c r="USO20" s="69"/>
      <c r="USP20" s="69"/>
      <c r="USQ20" s="69"/>
      <c r="USR20" s="69"/>
      <c r="USS20" s="69"/>
      <c r="UST20" s="69"/>
      <c r="USU20" s="69"/>
      <c r="USV20" s="69"/>
      <c r="USW20" s="69"/>
      <c r="USX20" s="69"/>
      <c r="USY20" s="69"/>
      <c r="USZ20" s="69"/>
      <c r="UTA20" s="69"/>
      <c r="UTB20" s="69"/>
      <c r="UTC20" s="69"/>
      <c r="UTD20" s="69"/>
      <c r="UTE20" s="69"/>
      <c r="UTF20" s="69"/>
      <c r="UTG20" s="69"/>
      <c r="UTH20" s="69"/>
      <c r="UTI20" s="69"/>
      <c r="UTJ20" s="69"/>
      <c r="UTK20" s="69"/>
      <c r="UTL20" s="69"/>
      <c r="UTM20" s="69"/>
      <c r="UTN20" s="69"/>
      <c r="UTO20" s="69"/>
      <c r="UTP20" s="69"/>
      <c r="UTQ20" s="69"/>
      <c r="UTR20" s="69"/>
      <c r="UTS20" s="69"/>
      <c r="UTT20" s="69"/>
      <c r="UTU20" s="69"/>
      <c r="UTV20" s="69"/>
      <c r="UTW20" s="69"/>
      <c r="UTX20" s="69"/>
      <c r="UTY20" s="69"/>
      <c r="UTZ20" s="69"/>
      <c r="UUA20" s="69"/>
      <c r="UUB20" s="69"/>
      <c r="UUC20" s="69"/>
      <c r="UUD20" s="69"/>
      <c r="UUE20" s="69"/>
      <c r="UUF20" s="69"/>
      <c r="UUG20" s="69"/>
      <c r="UUH20" s="69"/>
      <c r="UUI20" s="69"/>
      <c r="UUJ20" s="69"/>
      <c r="UUK20" s="69"/>
      <c r="UUL20" s="69"/>
      <c r="UUM20" s="69"/>
      <c r="UUN20" s="69"/>
      <c r="UUO20" s="69"/>
      <c r="UUP20" s="69"/>
      <c r="UUQ20" s="69"/>
      <c r="UUR20" s="69"/>
      <c r="UUS20" s="69"/>
      <c r="UUT20" s="69"/>
      <c r="UUU20" s="69"/>
      <c r="UUV20" s="69"/>
      <c r="UUW20" s="69"/>
      <c r="UUX20" s="69"/>
      <c r="UUY20" s="69"/>
      <c r="UUZ20" s="69"/>
      <c r="UVA20" s="69"/>
      <c r="UVB20" s="69"/>
      <c r="UVC20" s="69"/>
      <c r="UVD20" s="69"/>
      <c r="UVE20" s="69"/>
      <c r="UVF20" s="69"/>
      <c r="UVG20" s="69"/>
      <c r="UVH20" s="69"/>
      <c r="UVI20" s="69"/>
      <c r="UVJ20" s="69"/>
      <c r="UVK20" s="69"/>
      <c r="UVL20" s="69"/>
      <c r="UVM20" s="69"/>
      <c r="UVN20" s="69"/>
      <c r="UVO20" s="69"/>
      <c r="UVP20" s="69"/>
      <c r="UVQ20" s="69"/>
      <c r="UVR20" s="69"/>
      <c r="UVS20" s="69"/>
      <c r="UVT20" s="69"/>
      <c r="UVU20" s="69"/>
      <c r="UVV20" s="69"/>
      <c r="UVW20" s="69"/>
      <c r="UVX20" s="69"/>
      <c r="UVY20" s="69"/>
      <c r="UVZ20" s="69"/>
      <c r="UWA20" s="69"/>
      <c r="UWB20" s="69"/>
      <c r="UWC20" s="69"/>
      <c r="UWD20" s="69"/>
      <c r="UWE20" s="69"/>
      <c r="UWF20" s="69"/>
      <c r="UWG20" s="69"/>
      <c r="UWH20" s="69"/>
      <c r="UWI20" s="69"/>
      <c r="UWJ20" s="69"/>
      <c r="UWK20" s="69"/>
      <c r="UWL20" s="69"/>
      <c r="UWM20" s="69"/>
      <c r="UWN20" s="69"/>
      <c r="UWO20" s="69"/>
      <c r="UWP20" s="69"/>
      <c r="UWQ20" s="69"/>
      <c r="UWR20" s="69"/>
      <c r="UWS20" s="69"/>
      <c r="UWT20" s="69"/>
      <c r="UWU20" s="69"/>
      <c r="UWV20" s="69"/>
      <c r="UWW20" s="69"/>
      <c r="UWX20" s="69"/>
      <c r="UWY20" s="69"/>
      <c r="UWZ20" s="69"/>
      <c r="UXA20" s="69"/>
      <c r="UXB20" s="69"/>
      <c r="UXC20" s="69"/>
      <c r="UXD20" s="69"/>
      <c r="UXE20" s="69"/>
      <c r="UXF20" s="69"/>
      <c r="UXG20" s="69"/>
      <c r="UXH20" s="69"/>
      <c r="UXI20" s="69"/>
      <c r="UXJ20" s="69"/>
      <c r="UXK20" s="69"/>
      <c r="UXL20" s="69"/>
      <c r="UXM20" s="69"/>
      <c r="UXN20" s="69"/>
      <c r="UXO20" s="69"/>
      <c r="UXP20" s="69"/>
      <c r="UXQ20" s="69"/>
      <c r="UXR20" s="69"/>
      <c r="UXS20" s="69"/>
      <c r="UXT20" s="69"/>
      <c r="UXU20" s="69"/>
      <c r="UXV20" s="69"/>
      <c r="UXW20" s="69"/>
      <c r="UXX20" s="69"/>
      <c r="UXY20" s="69"/>
      <c r="UXZ20" s="69"/>
      <c r="UYA20" s="69"/>
      <c r="UYB20" s="69"/>
      <c r="UYC20" s="69"/>
      <c r="UYD20" s="69"/>
      <c r="UYE20" s="69"/>
      <c r="UYF20" s="69"/>
      <c r="UYG20" s="69"/>
      <c r="UYH20" s="69"/>
      <c r="UYI20" s="69"/>
      <c r="UYJ20" s="69"/>
      <c r="UYK20" s="69"/>
      <c r="UYL20" s="69"/>
      <c r="UYM20" s="69"/>
      <c r="UYN20" s="69"/>
      <c r="UYO20" s="69"/>
      <c r="UYP20" s="69"/>
      <c r="UYQ20" s="69"/>
      <c r="UYR20" s="69"/>
      <c r="UYS20" s="69"/>
      <c r="UYT20" s="69"/>
      <c r="UYU20" s="69"/>
      <c r="UYV20" s="69"/>
      <c r="UYW20" s="69"/>
      <c r="UYX20" s="69"/>
      <c r="UYY20" s="69"/>
      <c r="UYZ20" s="69"/>
      <c r="UZA20" s="69"/>
      <c r="UZB20" s="69"/>
      <c r="UZC20" s="69"/>
      <c r="UZD20" s="69"/>
      <c r="UZE20" s="69"/>
      <c r="UZF20" s="69"/>
      <c r="UZG20" s="69"/>
      <c r="UZH20" s="69"/>
      <c r="UZI20" s="69"/>
      <c r="UZJ20" s="69"/>
      <c r="UZK20" s="69"/>
      <c r="UZL20" s="69"/>
      <c r="UZM20" s="69"/>
      <c r="UZN20" s="69"/>
      <c r="UZO20" s="69"/>
      <c r="UZP20" s="69"/>
      <c r="UZQ20" s="69"/>
      <c r="UZR20" s="69"/>
      <c r="UZS20" s="69"/>
      <c r="UZT20" s="69"/>
      <c r="UZU20" s="69"/>
      <c r="UZV20" s="69"/>
      <c r="UZW20" s="69"/>
      <c r="UZX20" s="69"/>
      <c r="UZY20" s="69"/>
      <c r="UZZ20" s="69"/>
      <c r="VAA20" s="69"/>
      <c r="VAB20" s="69"/>
      <c r="VAC20" s="69"/>
      <c r="VAD20" s="69"/>
      <c r="VAE20" s="69"/>
      <c r="VAF20" s="69"/>
      <c r="VAG20" s="69"/>
      <c r="VAH20" s="69"/>
      <c r="VAI20" s="69"/>
      <c r="VAJ20" s="69"/>
      <c r="VAK20" s="69"/>
      <c r="VAL20" s="69"/>
      <c r="VAM20" s="69"/>
      <c r="VAN20" s="69"/>
      <c r="VAO20" s="69"/>
      <c r="VAP20" s="69"/>
      <c r="VAQ20" s="69"/>
      <c r="VAR20" s="69"/>
      <c r="VAS20" s="69"/>
      <c r="VAT20" s="69"/>
      <c r="VAU20" s="69"/>
      <c r="VAV20" s="69"/>
      <c r="VAW20" s="69"/>
      <c r="VAX20" s="69"/>
      <c r="VAY20" s="69"/>
      <c r="VAZ20" s="69"/>
      <c r="VBA20" s="69"/>
      <c r="VBB20" s="69"/>
      <c r="VBC20" s="69"/>
      <c r="VBD20" s="69"/>
      <c r="VBE20" s="69"/>
      <c r="VBF20" s="69"/>
      <c r="VBG20" s="69"/>
      <c r="VBH20" s="69"/>
      <c r="VBI20" s="69"/>
      <c r="VBJ20" s="69"/>
      <c r="VBK20" s="69"/>
      <c r="VBL20" s="69"/>
      <c r="VBM20" s="69"/>
      <c r="VBN20" s="69"/>
      <c r="VBO20" s="69"/>
      <c r="VBP20" s="69"/>
      <c r="VBQ20" s="69"/>
      <c r="VBR20" s="69"/>
      <c r="VBS20" s="69"/>
      <c r="VBT20" s="69"/>
      <c r="VBU20" s="69"/>
      <c r="VBV20" s="69"/>
      <c r="VBW20" s="69"/>
      <c r="VBX20" s="69"/>
      <c r="VBY20" s="69"/>
      <c r="VBZ20" s="69"/>
      <c r="VCA20" s="69"/>
      <c r="VCB20" s="69"/>
      <c r="VCC20" s="69"/>
      <c r="VCD20" s="69"/>
      <c r="VCE20" s="69"/>
      <c r="VCF20" s="69"/>
      <c r="VCG20" s="69"/>
      <c r="VCH20" s="69"/>
      <c r="VCI20" s="69"/>
      <c r="VCJ20" s="69"/>
      <c r="VCK20" s="69"/>
      <c r="VCL20" s="69"/>
      <c r="VCM20" s="69"/>
      <c r="VCN20" s="69"/>
      <c r="VCO20" s="69"/>
      <c r="VCP20" s="69"/>
      <c r="VCQ20" s="69"/>
      <c r="VCR20" s="69"/>
      <c r="VCS20" s="69"/>
      <c r="VCT20" s="69"/>
      <c r="VCU20" s="69"/>
      <c r="VCV20" s="69"/>
      <c r="VCW20" s="69"/>
      <c r="VCX20" s="69"/>
      <c r="VCY20" s="69"/>
      <c r="VCZ20" s="69"/>
      <c r="VDA20" s="69"/>
      <c r="VDB20" s="69"/>
      <c r="VDC20" s="69"/>
      <c r="VDD20" s="69"/>
      <c r="VDE20" s="69"/>
      <c r="VDF20" s="69"/>
      <c r="VDG20" s="69"/>
      <c r="VDH20" s="69"/>
      <c r="VDI20" s="69"/>
      <c r="VDJ20" s="69"/>
      <c r="VDK20" s="69"/>
      <c r="VDL20" s="69"/>
      <c r="VDM20" s="69"/>
      <c r="VDN20" s="69"/>
      <c r="VDO20" s="69"/>
      <c r="VDP20" s="69"/>
      <c r="VDQ20" s="69"/>
      <c r="VDR20" s="69"/>
      <c r="VDS20" s="69"/>
      <c r="VDT20" s="69"/>
      <c r="VDU20" s="69"/>
      <c r="VDV20" s="69"/>
      <c r="VDW20" s="69"/>
      <c r="VDX20" s="69"/>
      <c r="VDY20" s="69"/>
      <c r="VDZ20" s="69"/>
      <c r="VEA20" s="69"/>
      <c r="VEB20" s="69"/>
      <c r="VEC20" s="69"/>
      <c r="VED20" s="69"/>
      <c r="VEE20" s="69"/>
      <c r="VEF20" s="69"/>
      <c r="VEG20" s="69"/>
      <c r="VEH20" s="69"/>
      <c r="VEI20" s="69"/>
      <c r="VEJ20" s="69"/>
      <c r="VEK20" s="69"/>
      <c r="VEL20" s="69"/>
      <c r="VEM20" s="69"/>
      <c r="VEN20" s="69"/>
      <c r="VEO20" s="69"/>
      <c r="VEP20" s="69"/>
      <c r="VEQ20" s="69"/>
      <c r="VER20" s="69"/>
      <c r="VES20" s="69"/>
      <c r="VET20" s="69"/>
      <c r="VEU20" s="69"/>
      <c r="VEV20" s="69"/>
      <c r="VEW20" s="69"/>
      <c r="VEX20" s="69"/>
      <c r="VEY20" s="69"/>
      <c r="VEZ20" s="69"/>
      <c r="VFA20" s="69"/>
      <c r="VFB20" s="69"/>
      <c r="VFC20" s="69"/>
      <c r="VFD20" s="69"/>
      <c r="VFE20" s="69"/>
      <c r="VFF20" s="69"/>
      <c r="VFG20" s="69"/>
      <c r="VFH20" s="69"/>
      <c r="VFI20" s="69"/>
      <c r="VFJ20" s="69"/>
      <c r="VFK20" s="69"/>
      <c r="VFL20" s="69"/>
      <c r="VFM20" s="69"/>
      <c r="VFN20" s="69"/>
      <c r="VFO20" s="69"/>
      <c r="VFP20" s="69"/>
      <c r="VFQ20" s="69"/>
      <c r="VFR20" s="69"/>
      <c r="VFS20" s="69"/>
      <c r="VFT20" s="69"/>
      <c r="VFU20" s="69"/>
      <c r="VFV20" s="69"/>
      <c r="VFW20" s="69"/>
      <c r="VFX20" s="69"/>
      <c r="VFY20" s="69"/>
      <c r="VFZ20" s="69"/>
      <c r="VGA20" s="69"/>
      <c r="VGB20" s="69"/>
      <c r="VGC20" s="69"/>
      <c r="VGD20" s="69"/>
      <c r="VGE20" s="69"/>
      <c r="VGF20" s="69"/>
      <c r="VGG20" s="69"/>
      <c r="VGH20" s="69"/>
      <c r="VGI20" s="69"/>
      <c r="VGJ20" s="69"/>
      <c r="VGK20" s="69"/>
      <c r="VGL20" s="69"/>
      <c r="VGM20" s="69"/>
      <c r="VGN20" s="69"/>
      <c r="VGO20" s="69"/>
      <c r="VGP20" s="69"/>
      <c r="VGQ20" s="69"/>
      <c r="VGR20" s="69"/>
      <c r="VGS20" s="69"/>
      <c r="VGT20" s="69"/>
      <c r="VGU20" s="69"/>
      <c r="VGV20" s="69"/>
      <c r="VGW20" s="69"/>
      <c r="VGX20" s="69"/>
      <c r="VGY20" s="69"/>
      <c r="VGZ20" s="69"/>
      <c r="VHA20" s="69"/>
      <c r="VHB20" s="69"/>
      <c r="VHC20" s="69"/>
      <c r="VHD20" s="69"/>
      <c r="VHE20" s="69"/>
      <c r="VHF20" s="69"/>
      <c r="VHG20" s="69"/>
      <c r="VHH20" s="69"/>
      <c r="VHI20" s="69"/>
      <c r="VHJ20" s="69"/>
      <c r="VHK20" s="69"/>
      <c r="VHL20" s="69"/>
      <c r="VHM20" s="69"/>
      <c r="VHN20" s="69"/>
      <c r="VHO20" s="69"/>
      <c r="VHP20" s="69"/>
      <c r="VHQ20" s="69"/>
      <c r="VHR20" s="69"/>
      <c r="VHS20" s="69"/>
      <c r="VHT20" s="69"/>
      <c r="VHU20" s="69"/>
      <c r="VHV20" s="69"/>
      <c r="VHW20" s="69"/>
      <c r="VHX20" s="69"/>
      <c r="VHY20" s="69"/>
      <c r="VHZ20" s="69"/>
      <c r="VIA20" s="69"/>
      <c r="VIB20" s="69"/>
      <c r="VIC20" s="69"/>
      <c r="VID20" s="69"/>
      <c r="VIE20" s="69"/>
      <c r="VIF20" s="69"/>
      <c r="VIG20" s="69"/>
      <c r="VIH20" s="69"/>
      <c r="VII20" s="69"/>
      <c r="VIJ20" s="69"/>
      <c r="VIK20" s="69"/>
      <c r="VIL20" s="69"/>
      <c r="VIM20" s="69"/>
      <c r="VIN20" s="69"/>
      <c r="VIO20" s="69"/>
      <c r="VIP20" s="69"/>
      <c r="VIQ20" s="69"/>
      <c r="VIR20" s="69"/>
      <c r="VIS20" s="69"/>
      <c r="VIT20" s="69"/>
      <c r="VIU20" s="69"/>
      <c r="VIV20" s="69"/>
      <c r="VIW20" s="69"/>
      <c r="VIX20" s="69"/>
      <c r="VIY20" s="69"/>
      <c r="VIZ20" s="69"/>
      <c r="VJA20" s="69"/>
      <c r="VJB20" s="69"/>
      <c r="VJC20" s="69"/>
      <c r="VJD20" s="69"/>
      <c r="VJE20" s="69"/>
      <c r="VJF20" s="69"/>
      <c r="VJG20" s="69"/>
      <c r="VJH20" s="69"/>
      <c r="VJI20" s="69"/>
      <c r="VJJ20" s="69"/>
      <c r="VJK20" s="69"/>
      <c r="VJL20" s="69"/>
      <c r="VJM20" s="69"/>
      <c r="VJN20" s="69"/>
      <c r="VJO20" s="69"/>
      <c r="VJP20" s="69"/>
      <c r="VJQ20" s="69"/>
      <c r="VJR20" s="69"/>
      <c r="VJS20" s="69"/>
      <c r="VJT20" s="69"/>
      <c r="VJU20" s="69"/>
      <c r="VJV20" s="69"/>
      <c r="VJW20" s="69"/>
      <c r="VJX20" s="69"/>
      <c r="VJY20" s="69"/>
      <c r="VJZ20" s="69"/>
      <c r="VKA20" s="69"/>
      <c r="VKB20" s="69"/>
      <c r="VKC20" s="69"/>
      <c r="VKD20" s="69"/>
      <c r="VKE20" s="69"/>
      <c r="VKF20" s="69"/>
      <c r="VKG20" s="69"/>
      <c r="VKH20" s="69"/>
      <c r="VKI20" s="69"/>
      <c r="VKJ20" s="69"/>
      <c r="VKK20" s="69"/>
      <c r="VKL20" s="69"/>
      <c r="VKM20" s="69"/>
      <c r="VKN20" s="69"/>
      <c r="VKO20" s="69"/>
      <c r="VKP20" s="69"/>
      <c r="VKQ20" s="69"/>
      <c r="VKR20" s="69"/>
      <c r="VKS20" s="69"/>
      <c r="VKT20" s="69"/>
      <c r="VKU20" s="69"/>
      <c r="VKV20" s="69"/>
      <c r="VKW20" s="69"/>
      <c r="VKX20" s="69"/>
      <c r="VKY20" s="69"/>
      <c r="VKZ20" s="69"/>
      <c r="VLA20" s="69"/>
      <c r="VLB20" s="69"/>
      <c r="VLC20" s="69"/>
      <c r="VLD20" s="69"/>
      <c r="VLE20" s="69"/>
      <c r="VLF20" s="69"/>
      <c r="VLG20" s="69"/>
      <c r="VLH20" s="69"/>
      <c r="VLI20" s="69"/>
      <c r="VLJ20" s="69"/>
      <c r="VLK20" s="69"/>
      <c r="VLL20" s="69"/>
      <c r="VLM20" s="69"/>
      <c r="VLN20" s="69"/>
      <c r="VLO20" s="69"/>
      <c r="VLP20" s="69"/>
      <c r="VLQ20" s="69"/>
      <c r="VLR20" s="69"/>
      <c r="VLS20" s="69"/>
      <c r="VLT20" s="69"/>
      <c r="VLU20" s="69"/>
      <c r="VLV20" s="69"/>
      <c r="VLW20" s="69"/>
      <c r="VLX20" s="69"/>
      <c r="VLY20" s="69"/>
      <c r="VLZ20" s="69"/>
      <c r="VMA20" s="69"/>
      <c r="VMB20" s="69"/>
      <c r="VMC20" s="69"/>
      <c r="VMD20" s="69"/>
      <c r="VME20" s="69"/>
      <c r="VMF20" s="69"/>
      <c r="VMG20" s="69"/>
      <c r="VMH20" s="69"/>
      <c r="VMI20" s="69"/>
      <c r="VMJ20" s="69"/>
      <c r="VMK20" s="69"/>
      <c r="VML20" s="69"/>
      <c r="VMM20" s="69"/>
      <c r="VMN20" s="69"/>
      <c r="VMO20" s="69"/>
      <c r="VMP20" s="69"/>
      <c r="VMQ20" s="69"/>
      <c r="VMR20" s="69"/>
      <c r="VMS20" s="69"/>
      <c r="VMT20" s="69"/>
      <c r="VMU20" s="69"/>
      <c r="VMV20" s="69"/>
      <c r="VMW20" s="69"/>
      <c r="VMX20" s="69"/>
      <c r="VMY20" s="69"/>
      <c r="VMZ20" s="69"/>
      <c r="VNA20" s="69"/>
      <c r="VNB20" s="69"/>
      <c r="VNC20" s="69"/>
      <c r="VND20" s="69"/>
      <c r="VNE20" s="69"/>
      <c r="VNF20" s="69"/>
      <c r="VNG20" s="69"/>
      <c r="VNH20" s="69"/>
      <c r="VNI20" s="69"/>
      <c r="VNJ20" s="69"/>
      <c r="VNK20" s="69"/>
      <c r="VNL20" s="69"/>
      <c r="VNM20" s="69"/>
      <c r="VNN20" s="69"/>
      <c r="VNO20" s="69"/>
      <c r="VNP20" s="69"/>
      <c r="VNQ20" s="69"/>
      <c r="VNR20" s="69"/>
      <c r="VNS20" s="69"/>
      <c r="VNT20" s="69"/>
      <c r="VNU20" s="69"/>
      <c r="VNV20" s="69"/>
      <c r="VNW20" s="69"/>
      <c r="VNX20" s="69"/>
      <c r="VNY20" s="69"/>
      <c r="VNZ20" s="69"/>
      <c r="VOA20" s="69"/>
      <c r="VOB20" s="69"/>
      <c r="VOC20" s="69"/>
      <c r="VOD20" s="69"/>
      <c r="VOE20" s="69"/>
      <c r="VOF20" s="69"/>
      <c r="VOG20" s="69"/>
      <c r="VOH20" s="69"/>
      <c r="VOI20" s="69"/>
      <c r="VOJ20" s="69"/>
      <c r="VOK20" s="69"/>
      <c r="VOL20" s="69"/>
      <c r="VOM20" s="69"/>
      <c r="VON20" s="69"/>
      <c r="VOO20" s="69"/>
      <c r="VOP20" s="69"/>
      <c r="VOQ20" s="69"/>
      <c r="VOR20" s="69"/>
      <c r="VOS20" s="69"/>
      <c r="VOT20" s="69"/>
      <c r="VOU20" s="69"/>
      <c r="VOV20" s="69"/>
      <c r="VOW20" s="69"/>
      <c r="VOX20" s="69"/>
      <c r="VOY20" s="69"/>
      <c r="VOZ20" s="69"/>
      <c r="VPA20" s="69"/>
      <c r="VPB20" s="69"/>
      <c r="VPC20" s="69"/>
      <c r="VPD20" s="69"/>
      <c r="VPE20" s="69"/>
      <c r="VPF20" s="69"/>
      <c r="VPG20" s="69"/>
      <c r="VPH20" s="69"/>
      <c r="VPI20" s="69"/>
      <c r="VPJ20" s="69"/>
      <c r="VPK20" s="69"/>
      <c r="VPL20" s="69"/>
      <c r="VPM20" s="69"/>
      <c r="VPN20" s="69"/>
      <c r="VPO20" s="69"/>
      <c r="VPP20" s="69"/>
      <c r="VPQ20" s="69"/>
      <c r="VPR20" s="69"/>
      <c r="VPS20" s="69"/>
      <c r="VPT20" s="69"/>
      <c r="VPU20" s="69"/>
      <c r="VPV20" s="69"/>
      <c r="VPW20" s="69"/>
      <c r="VPX20" s="69"/>
      <c r="VPY20" s="69"/>
      <c r="VPZ20" s="69"/>
      <c r="VQA20" s="69"/>
      <c r="VQB20" s="69"/>
      <c r="VQC20" s="69"/>
      <c r="VQD20" s="69"/>
      <c r="VQE20" s="69"/>
      <c r="VQF20" s="69"/>
      <c r="VQG20" s="69"/>
      <c r="VQH20" s="69"/>
      <c r="VQI20" s="69"/>
      <c r="VQJ20" s="69"/>
      <c r="VQK20" s="69"/>
      <c r="VQL20" s="69"/>
      <c r="VQM20" s="69"/>
      <c r="VQN20" s="69"/>
      <c r="VQO20" s="69"/>
      <c r="VQP20" s="69"/>
      <c r="VQQ20" s="69"/>
      <c r="VQR20" s="69"/>
      <c r="VQS20" s="69"/>
      <c r="VQT20" s="69"/>
      <c r="VQU20" s="69"/>
      <c r="VQV20" s="69"/>
      <c r="VQW20" s="69"/>
      <c r="VQX20" s="69"/>
      <c r="VQY20" s="69"/>
      <c r="VQZ20" s="69"/>
      <c r="VRA20" s="69"/>
      <c r="VRB20" s="69"/>
      <c r="VRC20" s="69"/>
      <c r="VRD20" s="69"/>
      <c r="VRE20" s="69"/>
      <c r="VRF20" s="69"/>
      <c r="VRG20" s="69"/>
      <c r="VRH20" s="69"/>
      <c r="VRI20" s="69"/>
      <c r="VRJ20" s="69"/>
      <c r="VRK20" s="69"/>
      <c r="VRL20" s="69"/>
      <c r="VRM20" s="69"/>
      <c r="VRN20" s="69"/>
      <c r="VRO20" s="69"/>
      <c r="VRP20" s="69"/>
      <c r="VRQ20" s="69"/>
      <c r="VRR20" s="69"/>
      <c r="VRS20" s="69"/>
      <c r="VRT20" s="69"/>
      <c r="VRU20" s="69"/>
      <c r="VRV20" s="69"/>
      <c r="VRW20" s="69"/>
      <c r="VRX20" s="69"/>
      <c r="VRY20" s="69"/>
      <c r="VRZ20" s="69"/>
      <c r="VSA20" s="69"/>
      <c r="VSB20" s="69"/>
      <c r="VSC20" s="69"/>
      <c r="VSD20" s="69"/>
      <c r="VSE20" s="69"/>
      <c r="VSF20" s="69"/>
      <c r="VSG20" s="69"/>
      <c r="VSH20" s="69"/>
      <c r="VSI20" s="69"/>
      <c r="VSJ20" s="69"/>
      <c r="VSK20" s="69"/>
      <c r="VSL20" s="69"/>
      <c r="VSM20" s="69"/>
      <c r="VSN20" s="69"/>
      <c r="VSO20" s="69"/>
      <c r="VSP20" s="69"/>
      <c r="VSQ20" s="69"/>
      <c r="VSR20" s="69"/>
      <c r="VSS20" s="69"/>
      <c r="VST20" s="69"/>
      <c r="VSU20" s="69"/>
      <c r="VSV20" s="69"/>
      <c r="VSW20" s="69"/>
      <c r="VSX20" s="69"/>
      <c r="VSY20" s="69"/>
      <c r="VSZ20" s="69"/>
      <c r="VTA20" s="69"/>
      <c r="VTB20" s="69"/>
      <c r="VTC20" s="69"/>
      <c r="VTD20" s="69"/>
      <c r="VTE20" s="69"/>
      <c r="VTF20" s="69"/>
      <c r="VTG20" s="69"/>
      <c r="VTH20" s="69"/>
      <c r="VTI20" s="69"/>
      <c r="VTJ20" s="69"/>
      <c r="VTK20" s="69"/>
      <c r="VTL20" s="69"/>
      <c r="VTM20" s="69"/>
      <c r="VTN20" s="69"/>
      <c r="VTO20" s="69"/>
      <c r="VTP20" s="69"/>
      <c r="VTQ20" s="69"/>
      <c r="VTR20" s="69"/>
      <c r="VTS20" s="69"/>
      <c r="VTT20" s="69"/>
      <c r="VTU20" s="69"/>
      <c r="VTV20" s="69"/>
      <c r="VTW20" s="69"/>
      <c r="VTX20" s="69"/>
      <c r="VTY20" s="69"/>
      <c r="VTZ20" s="69"/>
      <c r="VUA20" s="69"/>
      <c r="VUB20" s="69"/>
      <c r="VUC20" s="69"/>
      <c r="VUD20" s="69"/>
      <c r="VUE20" s="69"/>
      <c r="VUF20" s="69"/>
      <c r="VUG20" s="69"/>
      <c r="VUH20" s="69"/>
      <c r="VUI20" s="69"/>
      <c r="VUJ20" s="69"/>
      <c r="VUK20" s="69"/>
      <c r="VUL20" s="69"/>
      <c r="VUM20" s="69"/>
      <c r="VUN20" s="69"/>
      <c r="VUO20" s="69"/>
      <c r="VUP20" s="69"/>
      <c r="VUQ20" s="69"/>
      <c r="VUR20" s="69"/>
      <c r="VUS20" s="69"/>
      <c r="VUT20" s="69"/>
      <c r="VUU20" s="69"/>
      <c r="VUV20" s="69"/>
      <c r="VUW20" s="69"/>
      <c r="VUX20" s="69"/>
      <c r="VUY20" s="69"/>
      <c r="VUZ20" s="69"/>
      <c r="VVA20" s="69"/>
      <c r="VVB20" s="69"/>
      <c r="VVC20" s="69"/>
      <c r="VVD20" s="69"/>
      <c r="VVE20" s="69"/>
      <c r="VVF20" s="69"/>
      <c r="VVG20" s="69"/>
      <c r="VVH20" s="69"/>
      <c r="VVI20" s="69"/>
      <c r="VVJ20" s="69"/>
      <c r="VVK20" s="69"/>
      <c r="VVL20" s="69"/>
      <c r="VVM20" s="69"/>
      <c r="VVN20" s="69"/>
      <c r="VVO20" s="69"/>
      <c r="VVP20" s="69"/>
      <c r="VVQ20" s="69"/>
      <c r="VVR20" s="69"/>
      <c r="VVS20" s="69"/>
      <c r="VVT20" s="69"/>
      <c r="VVU20" s="69"/>
      <c r="VVV20" s="69"/>
      <c r="VVW20" s="69"/>
      <c r="VVX20" s="69"/>
      <c r="VVY20" s="69"/>
      <c r="VVZ20" s="69"/>
      <c r="VWA20" s="69"/>
      <c r="VWB20" s="69"/>
      <c r="VWC20" s="69"/>
      <c r="VWD20" s="69"/>
      <c r="VWE20" s="69"/>
      <c r="VWF20" s="69"/>
      <c r="VWG20" s="69"/>
      <c r="VWH20" s="69"/>
      <c r="VWI20" s="69"/>
      <c r="VWJ20" s="69"/>
      <c r="VWK20" s="69"/>
      <c r="VWL20" s="69"/>
      <c r="VWM20" s="69"/>
      <c r="VWN20" s="69"/>
      <c r="VWO20" s="69"/>
      <c r="VWP20" s="69"/>
      <c r="VWQ20" s="69"/>
      <c r="VWR20" s="69"/>
      <c r="VWS20" s="69"/>
      <c r="VWT20" s="69"/>
      <c r="VWU20" s="69"/>
      <c r="VWV20" s="69"/>
      <c r="VWW20" s="69"/>
      <c r="VWX20" s="69"/>
      <c r="VWY20" s="69"/>
      <c r="VWZ20" s="69"/>
      <c r="VXA20" s="69"/>
      <c r="VXB20" s="69"/>
      <c r="VXC20" s="69"/>
      <c r="VXD20" s="69"/>
      <c r="VXE20" s="69"/>
      <c r="VXF20" s="69"/>
      <c r="VXG20" s="69"/>
      <c r="VXH20" s="69"/>
      <c r="VXI20" s="69"/>
      <c r="VXJ20" s="69"/>
      <c r="VXK20" s="69"/>
      <c r="VXL20" s="69"/>
      <c r="VXM20" s="69"/>
      <c r="VXN20" s="69"/>
      <c r="VXO20" s="69"/>
      <c r="VXP20" s="69"/>
      <c r="VXQ20" s="69"/>
      <c r="VXR20" s="69"/>
      <c r="VXS20" s="69"/>
      <c r="VXT20" s="69"/>
      <c r="VXU20" s="69"/>
      <c r="VXV20" s="69"/>
      <c r="VXW20" s="69"/>
      <c r="VXX20" s="69"/>
      <c r="VXY20" s="69"/>
      <c r="VXZ20" s="69"/>
      <c r="VYA20" s="69"/>
      <c r="VYB20" s="69"/>
      <c r="VYC20" s="69"/>
      <c r="VYD20" s="69"/>
      <c r="VYE20" s="69"/>
      <c r="VYF20" s="69"/>
      <c r="VYG20" s="69"/>
      <c r="VYH20" s="69"/>
      <c r="VYI20" s="69"/>
      <c r="VYJ20" s="69"/>
      <c r="VYK20" s="69"/>
      <c r="VYL20" s="69"/>
      <c r="VYM20" s="69"/>
      <c r="VYN20" s="69"/>
      <c r="VYO20" s="69"/>
      <c r="VYP20" s="69"/>
      <c r="VYQ20" s="69"/>
      <c r="VYR20" s="69"/>
      <c r="VYS20" s="69"/>
      <c r="VYT20" s="69"/>
      <c r="VYU20" s="69"/>
      <c r="VYV20" s="69"/>
      <c r="VYW20" s="69"/>
      <c r="VYX20" s="69"/>
      <c r="VYY20" s="69"/>
      <c r="VYZ20" s="69"/>
      <c r="VZA20" s="69"/>
      <c r="VZB20" s="69"/>
      <c r="VZC20" s="69"/>
      <c r="VZD20" s="69"/>
      <c r="VZE20" s="69"/>
      <c r="VZF20" s="69"/>
      <c r="VZG20" s="69"/>
      <c r="VZH20" s="69"/>
      <c r="VZI20" s="69"/>
      <c r="VZJ20" s="69"/>
      <c r="VZK20" s="69"/>
      <c r="VZL20" s="69"/>
      <c r="VZM20" s="69"/>
      <c r="VZN20" s="69"/>
      <c r="VZO20" s="69"/>
      <c r="VZP20" s="69"/>
      <c r="VZQ20" s="69"/>
      <c r="VZR20" s="69"/>
      <c r="VZS20" s="69"/>
      <c r="VZT20" s="69"/>
      <c r="VZU20" s="69"/>
      <c r="VZV20" s="69"/>
      <c r="VZW20" s="69"/>
      <c r="VZX20" s="69"/>
      <c r="VZY20" s="69"/>
      <c r="VZZ20" s="69"/>
      <c r="WAA20" s="69"/>
      <c r="WAB20" s="69"/>
      <c r="WAC20" s="69"/>
      <c r="WAD20" s="69"/>
      <c r="WAE20" s="69"/>
      <c r="WAF20" s="69"/>
      <c r="WAG20" s="69"/>
      <c r="WAH20" s="69"/>
      <c r="WAI20" s="69"/>
      <c r="WAJ20" s="69"/>
      <c r="WAK20" s="69"/>
      <c r="WAL20" s="69"/>
      <c r="WAM20" s="69"/>
      <c r="WAN20" s="69"/>
      <c r="WAO20" s="69"/>
      <c r="WAP20" s="69"/>
      <c r="WAQ20" s="69"/>
      <c r="WAR20" s="69"/>
      <c r="WAS20" s="69"/>
      <c r="WAT20" s="69"/>
      <c r="WAU20" s="69"/>
      <c r="WAV20" s="69"/>
      <c r="WAW20" s="69"/>
      <c r="WAX20" s="69"/>
      <c r="WAY20" s="69"/>
      <c r="WAZ20" s="69"/>
      <c r="WBA20" s="69"/>
      <c r="WBB20" s="69"/>
      <c r="WBC20" s="69"/>
      <c r="WBD20" s="69"/>
      <c r="WBE20" s="69"/>
      <c r="WBF20" s="69"/>
      <c r="WBG20" s="69"/>
      <c r="WBH20" s="69"/>
      <c r="WBI20" s="69"/>
      <c r="WBJ20" s="69"/>
      <c r="WBK20" s="69"/>
      <c r="WBL20" s="69"/>
      <c r="WBM20" s="69"/>
      <c r="WBN20" s="69"/>
      <c r="WBO20" s="69"/>
      <c r="WBP20" s="69"/>
      <c r="WBQ20" s="69"/>
      <c r="WBR20" s="69"/>
      <c r="WBS20" s="69"/>
      <c r="WBT20" s="69"/>
      <c r="WBU20" s="69"/>
      <c r="WBV20" s="69"/>
      <c r="WBW20" s="69"/>
      <c r="WBX20" s="69"/>
      <c r="WBY20" s="69"/>
      <c r="WBZ20" s="69"/>
      <c r="WCA20" s="69"/>
      <c r="WCB20" s="69"/>
      <c r="WCC20" s="69"/>
      <c r="WCD20" s="69"/>
      <c r="WCE20" s="69"/>
      <c r="WCF20" s="69"/>
      <c r="WCG20" s="69"/>
      <c r="WCH20" s="69"/>
      <c r="WCI20" s="69"/>
      <c r="WCJ20" s="69"/>
      <c r="WCK20" s="69"/>
      <c r="WCL20" s="69"/>
      <c r="WCM20" s="69"/>
      <c r="WCN20" s="69"/>
      <c r="WCO20" s="69"/>
      <c r="WCP20" s="69"/>
      <c r="WCQ20" s="69"/>
      <c r="WCR20" s="69"/>
      <c r="WCS20" s="69"/>
      <c r="WCT20" s="69"/>
      <c r="WCU20" s="69"/>
      <c r="WCV20" s="69"/>
      <c r="WCW20" s="69"/>
      <c r="WCX20" s="69"/>
      <c r="WCY20" s="69"/>
      <c r="WCZ20" s="69"/>
      <c r="WDA20" s="69"/>
      <c r="WDB20" s="69"/>
      <c r="WDC20" s="69"/>
      <c r="WDD20" s="69"/>
      <c r="WDE20" s="69"/>
      <c r="WDF20" s="69"/>
      <c r="WDG20" s="69"/>
      <c r="WDH20" s="69"/>
      <c r="WDI20" s="69"/>
      <c r="WDJ20" s="69"/>
      <c r="WDK20" s="69"/>
      <c r="WDL20" s="69"/>
      <c r="WDM20" s="69"/>
      <c r="WDN20" s="69"/>
      <c r="WDO20" s="69"/>
      <c r="WDP20" s="69"/>
      <c r="WDQ20" s="69"/>
      <c r="WDR20" s="69"/>
      <c r="WDS20" s="69"/>
      <c r="WDT20" s="69"/>
      <c r="WDU20" s="69"/>
      <c r="WDV20" s="69"/>
      <c r="WDW20" s="69"/>
      <c r="WDX20" s="69"/>
      <c r="WDY20" s="69"/>
      <c r="WDZ20" s="69"/>
      <c r="WEA20" s="69"/>
      <c r="WEB20" s="69"/>
      <c r="WEC20" s="69"/>
      <c r="WED20" s="69"/>
      <c r="WEE20" s="69"/>
      <c r="WEF20" s="69"/>
      <c r="WEG20" s="69"/>
      <c r="WEH20" s="69"/>
      <c r="WEI20" s="69"/>
      <c r="WEJ20" s="69"/>
      <c r="WEK20" s="69"/>
      <c r="WEL20" s="69"/>
      <c r="WEM20" s="69"/>
      <c r="WEN20" s="69"/>
      <c r="WEO20" s="69"/>
      <c r="WEP20" s="69"/>
      <c r="WEQ20" s="69"/>
      <c r="WER20" s="69"/>
      <c r="WES20" s="69"/>
      <c r="WET20" s="69"/>
      <c r="WEU20" s="69"/>
      <c r="WEV20" s="69"/>
      <c r="WEW20" s="69"/>
      <c r="WEX20" s="69"/>
      <c r="WEY20" s="69"/>
      <c r="WEZ20" s="69"/>
      <c r="WFA20" s="69"/>
      <c r="WFB20" s="69"/>
      <c r="WFC20" s="69"/>
      <c r="WFD20" s="69"/>
      <c r="WFE20" s="69"/>
      <c r="WFF20" s="69"/>
      <c r="WFG20" s="69"/>
      <c r="WFH20" s="69"/>
      <c r="WFI20" s="69"/>
      <c r="WFJ20" s="69"/>
      <c r="WFK20" s="69"/>
      <c r="WFL20" s="69"/>
      <c r="WFM20" s="69"/>
      <c r="WFN20" s="69"/>
      <c r="WFO20" s="69"/>
      <c r="WFP20" s="69"/>
      <c r="WFQ20" s="69"/>
      <c r="WFR20" s="69"/>
      <c r="WFS20" s="69"/>
      <c r="WFT20" s="69"/>
      <c r="WFU20" s="69"/>
      <c r="WFV20" s="69"/>
      <c r="WFW20" s="69"/>
      <c r="WFX20" s="69"/>
      <c r="WFY20" s="69"/>
      <c r="WFZ20" s="69"/>
      <c r="WGA20" s="69"/>
      <c r="WGB20" s="69"/>
      <c r="WGC20" s="69"/>
      <c r="WGD20" s="69"/>
      <c r="WGE20" s="69"/>
      <c r="WGF20" s="69"/>
      <c r="WGG20" s="69"/>
      <c r="WGH20" s="69"/>
      <c r="WGI20" s="69"/>
      <c r="WGJ20" s="69"/>
      <c r="WGK20" s="69"/>
      <c r="WGL20" s="69"/>
      <c r="WGM20" s="69"/>
      <c r="WGN20" s="69"/>
      <c r="WGO20" s="69"/>
      <c r="WGP20" s="69"/>
      <c r="WGQ20" s="69"/>
      <c r="WGR20" s="69"/>
      <c r="WGS20" s="69"/>
      <c r="WGT20" s="69"/>
      <c r="WGU20" s="69"/>
      <c r="WGV20" s="69"/>
      <c r="WGW20" s="69"/>
      <c r="WGX20" s="69"/>
      <c r="WGY20" s="69"/>
      <c r="WGZ20" s="69"/>
      <c r="WHA20" s="69"/>
      <c r="WHB20" s="69"/>
      <c r="WHC20" s="69"/>
      <c r="WHD20" s="69"/>
      <c r="WHE20" s="69"/>
      <c r="WHF20" s="69"/>
      <c r="WHG20" s="69"/>
      <c r="WHH20" s="69"/>
      <c r="WHI20" s="69"/>
      <c r="WHJ20" s="69"/>
      <c r="WHK20" s="69"/>
      <c r="WHL20" s="69"/>
      <c r="WHM20" s="69"/>
      <c r="WHN20" s="69"/>
      <c r="WHO20" s="69"/>
      <c r="WHP20" s="69"/>
      <c r="WHQ20" s="69"/>
      <c r="WHR20" s="69"/>
      <c r="WHS20" s="69"/>
      <c r="WHT20" s="69"/>
      <c r="WHU20" s="69"/>
      <c r="WHV20" s="69"/>
      <c r="WHW20" s="69"/>
      <c r="WHX20" s="69"/>
      <c r="WHY20" s="69"/>
      <c r="WHZ20" s="69"/>
      <c r="WIA20" s="69"/>
      <c r="WIB20" s="69"/>
      <c r="WIC20" s="69"/>
      <c r="WID20" s="69"/>
      <c r="WIE20" s="69"/>
      <c r="WIF20" s="69"/>
      <c r="WIG20" s="69"/>
      <c r="WIH20" s="69"/>
      <c r="WII20" s="69"/>
      <c r="WIJ20" s="69"/>
      <c r="WIK20" s="69"/>
      <c r="WIL20" s="69"/>
      <c r="WIM20" s="69"/>
      <c r="WIN20" s="69"/>
      <c r="WIO20" s="69"/>
      <c r="WIP20" s="69"/>
      <c r="WIQ20" s="69"/>
      <c r="WIR20" s="69"/>
      <c r="WIS20" s="69"/>
      <c r="WIT20" s="69"/>
      <c r="WIU20" s="69"/>
      <c r="WIV20" s="69"/>
      <c r="WIW20" s="69"/>
      <c r="WIX20" s="69"/>
      <c r="WIY20" s="69"/>
      <c r="WIZ20" s="69"/>
      <c r="WJA20" s="69"/>
      <c r="WJB20" s="69"/>
      <c r="WJC20" s="69"/>
      <c r="WJD20" s="69"/>
      <c r="WJE20" s="69"/>
      <c r="WJF20" s="69"/>
      <c r="WJG20" s="69"/>
      <c r="WJH20" s="69"/>
      <c r="WJI20" s="69"/>
      <c r="WJJ20" s="69"/>
      <c r="WJK20" s="69"/>
      <c r="WJL20" s="69"/>
      <c r="WJM20" s="69"/>
      <c r="WJN20" s="69"/>
      <c r="WJO20" s="69"/>
      <c r="WJP20" s="69"/>
      <c r="WJQ20" s="69"/>
      <c r="WJR20" s="69"/>
      <c r="WJS20" s="69"/>
      <c r="WJT20" s="69"/>
      <c r="WJU20" s="69"/>
      <c r="WJV20" s="69"/>
      <c r="WJW20" s="69"/>
      <c r="WJX20" s="69"/>
      <c r="WJY20" s="69"/>
      <c r="WJZ20" s="69"/>
      <c r="WKA20" s="69"/>
      <c r="WKB20" s="69"/>
      <c r="WKC20" s="69"/>
      <c r="WKD20" s="69"/>
      <c r="WKE20" s="69"/>
      <c r="WKF20" s="69"/>
      <c r="WKG20" s="69"/>
      <c r="WKH20" s="69"/>
      <c r="WKI20" s="69"/>
      <c r="WKJ20" s="69"/>
      <c r="WKK20" s="69"/>
      <c r="WKL20" s="69"/>
      <c r="WKM20" s="69"/>
      <c r="WKN20" s="69"/>
      <c r="WKO20" s="69"/>
      <c r="WKP20" s="69"/>
      <c r="WKQ20" s="69"/>
      <c r="WKR20" s="69"/>
      <c r="WKS20" s="69"/>
      <c r="WKT20" s="69"/>
      <c r="WKU20" s="69"/>
      <c r="WKV20" s="69"/>
      <c r="WKW20" s="69"/>
      <c r="WKX20" s="69"/>
      <c r="WKY20" s="69"/>
      <c r="WKZ20" s="69"/>
      <c r="WLA20" s="69"/>
      <c r="WLB20" s="69"/>
      <c r="WLC20" s="69"/>
      <c r="WLD20" s="69"/>
      <c r="WLE20" s="69"/>
      <c r="WLF20" s="69"/>
      <c r="WLG20" s="69"/>
      <c r="WLH20" s="69"/>
      <c r="WLI20" s="69"/>
      <c r="WLJ20" s="69"/>
      <c r="WLK20" s="69"/>
      <c r="WLL20" s="69"/>
      <c r="WLM20" s="69"/>
      <c r="WLN20" s="69"/>
      <c r="WLO20" s="69"/>
      <c r="WLP20" s="69"/>
      <c r="WLQ20" s="69"/>
      <c r="WLR20" s="69"/>
      <c r="WLS20" s="69"/>
      <c r="WLT20" s="69"/>
      <c r="WLU20" s="69"/>
      <c r="WLV20" s="69"/>
      <c r="WLW20" s="69"/>
      <c r="WLX20" s="69"/>
      <c r="WLY20" s="69"/>
      <c r="WLZ20" s="69"/>
      <c r="WMA20" s="69"/>
      <c r="WMB20" s="69"/>
      <c r="WMC20" s="69"/>
      <c r="WMD20" s="69"/>
      <c r="WME20" s="69"/>
      <c r="WMF20" s="69"/>
      <c r="WMG20" s="69"/>
      <c r="WMH20" s="69"/>
      <c r="WMI20" s="69"/>
      <c r="WMJ20" s="69"/>
      <c r="WMK20" s="69"/>
      <c r="WML20" s="69"/>
      <c r="WMM20" s="69"/>
      <c r="WMN20" s="69"/>
      <c r="WMO20" s="69"/>
      <c r="WMP20" s="69"/>
      <c r="WMQ20" s="69"/>
      <c r="WMR20" s="69"/>
      <c r="WMS20" s="69"/>
      <c r="WMT20" s="69"/>
      <c r="WMU20" s="69"/>
      <c r="WMV20" s="69"/>
      <c r="WMW20" s="69"/>
      <c r="WMX20" s="69"/>
      <c r="WMY20" s="69"/>
      <c r="WMZ20" s="69"/>
      <c r="WNA20" s="69"/>
      <c r="WNB20" s="69"/>
      <c r="WNC20" s="69"/>
      <c r="WND20" s="69"/>
      <c r="WNE20" s="69"/>
      <c r="WNF20" s="69"/>
      <c r="WNG20" s="69"/>
      <c r="WNH20" s="69"/>
      <c r="WNI20" s="69"/>
      <c r="WNJ20" s="69"/>
      <c r="WNK20" s="69"/>
      <c r="WNL20" s="69"/>
      <c r="WNM20" s="69"/>
      <c r="WNN20" s="69"/>
      <c r="WNO20" s="69"/>
      <c r="WNP20" s="69"/>
      <c r="WNQ20" s="69"/>
      <c r="WNR20" s="69"/>
      <c r="WNS20" s="69"/>
      <c r="WNT20" s="69"/>
      <c r="WNU20" s="69"/>
      <c r="WNV20" s="69"/>
      <c r="WNW20" s="69"/>
      <c r="WNX20" s="69"/>
      <c r="WNY20" s="69"/>
      <c r="WNZ20" s="69"/>
      <c r="WOA20" s="69"/>
      <c r="WOB20" s="69"/>
      <c r="WOC20" s="69"/>
      <c r="WOD20" s="69"/>
      <c r="WOE20" s="69"/>
      <c r="WOF20" s="69"/>
      <c r="WOG20" s="69"/>
      <c r="WOH20" s="69"/>
      <c r="WOI20" s="69"/>
      <c r="WOJ20" s="69"/>
      <c r="WOK20" s="69"/>
      <c r="WOL20" s="69"/>
      <c r="WOM20" s="69"/>
      <c r="WON20" s="69"/>
      <c r="WOO20" s="69"/>
      <c r="WOP20" s="69"/>
      <c r="WOQ20" s="69"/>
      <c r="WOR20" s="69"/>
      <c r="WOS20" s="69"/>
      <c r="WOT20" s="69"/>
      <c r="WOU20" s="69"/>
      <c r="WOV20" s="69"/>
      <c r="WOW20" s="69"/>
      <c r="WOX20" s="69"/>
      <c r="WOY20" s="69"/>
      <c r="WOZ20" s="69"/>
      <c r="WPA20" s="69"/>
      <c r="WPB20" s="69"/>
      <c r="WPC20" s="69"/>
      <c r="WPD20" s="69"/>
      <c r="WPE20" s="69"/>
      <c r="WPF20" s="69"/>
      <c r="WPG20" s="69"/>
      <c r="WPH20" s="69"/>
      <c r="WPI20" s="69"/>
      <c r="WPJ20" s="69"/>
      <c r="WPK20" s="69"/>
      <c r="WPL20" s="69"/>
      <c r="WPM20" s="69"/>
      <c r="WPN20" s="69"/>
      <c r="WPO20" s="69"/>
      <c r="WPP20" s="69"/>
      <c r="WPQ20" s="69"/>
      <c r="WPR20" s="69"/>
      <c r="WPS20" s="69"/>
      <c r="WPT20" s="69"/>
      <c r="WPU20" s="69"/>
      <c r="WPV20" s="69"/>
      <c r="WPW20" s="69"/>
      <c r="WPX20" s="69"/>
      <c r="WPY20" s="69"/>
      <c r="WPZ20" s="69"/>
      <c r="WQA20" s="69"/>
      <c r="WQB20" s="69"/>
      <c r="WQC20" s="69"/>
      <c r="WQD20" s="69"/>
      <c r="WQE20" s="69"/>
      <c r="WQF20" s="69"/>
      <c r="WQG20" s="69"/>
      <c r="WQH20" s="69"/>
      <c r="WQI20" s="69"/>
      <c r="WQJ20" s="69"/>
      <c r="WQK20" s="69"/>
      <c r="WQL20" s="69"/>
      <c r="WQM20" s="69"/>
      <c r="WQN20" s="69"/>
      <c r="WQO20" s="69"/>
      <c r="WQP20" s="69"/>
      <c r="WQQ20" s="69"/>
      <c r="WQR20" s="69"/>
      <c r="WQS20" s="69"/>
      <c r="WQT20" s="69"/>
      <c r="WQU20" s="69"/>
      <c r="WQV20" s="69"/>
      <c r="WQW20" s="69"/>
      <c r="WQX20" s="69"/>
      <c r="WQY20" s="69"/>
      <c r="WQZ20" s="69"/>
      <c r="WRA20" s="69"/>
      <c r="WRB20" s="69"/>
      <c r="WRC20" s="69"/>
      <c r="WRD20" s="69"/>
      <c r="WRE20" s="69"/>
      <c r="WRF20" s="69"/>
      <c r="WRG20" s="69"/>
      <c r="WRH20" s="69"/>
      <c r="WRI20" s="69"/>
      <c r="WRJ20" s="69"/>
      <c r="WRK20" s="69"/>
      <c r="WRL20" s="69"/>
      <c r="WRM20" s="69"/>
      <c r="WRN20" s="69"/>
      <c r="WRO20" s="69"/>
      <c r="WRP20" s="69"/>
      <c r="WRQ20" s="69"/>
      <c r="WRR20" s="69"/>
      <c r="WRS20" s="69"/>
      <c r="WRT20" s="69"/>
      <c r="WRU20" s="69"/>
      <c r="WRV20" s="69"/>
      <c r="WRW20" s="69"/>
      <c r="WRX20" s="69"/>
      <c r="WRY20" s="69"/>
      <c r="WRZ20" s="69"/>
      <c r="WSA20" s="69"/>
      <c r="WSB20" s="69"/>
      <c r="WSC20" s="69"/>
      <c r="WSD20" s="69"/>
      <c r="WSE20" s="69"/>
      <c r="WSF20" s="69"/>
      <c r="WSG20" s="69"/>
      <c r="WSH20" s="69"/>
      <c r="WSI20" s="69"/>
      <c r="WSJ20" s="69"/>
      <c r="WSK20" s="69"/>
      <c r="WSL20" s="69"/>
      <c r="WSM20" s="69"/>
      <c r="WSN20" s="69"/>
      <c r="WSO20" s="69"/>
      <c r="WSP20" s="69"/>
      <c r="WSQ20" s="69"/>
      <c r="WSR20" s="69"/>
      <c r="WSS20" s="69"/>
      <c r="WST20" s="69"/>
      <c r="WSU20" s="69"/>
      <c r="WSV20" s="69"/>
      <c r="WSW20" s="69"/>
      <c r="WSX20" s="69"/>
      <c r="WSY20" s="69"/>
      <c r="WSZ20" s="69"/>
      <c r="WTA20" s="69"/>
      <c r="WTB20" s="69"/>
      <c r="WTC20" s="69"/>
      <c r="WTD20" s="69"/>
      <c r="WTE20" s="69"/>
      <c r="WTF20" s="69"/>
      <c r="WTG20" s="69"/>
      <c r="WTH20" s="69"/>
      <c r="WTI20" s="69"/>
      <c r="WTJ20" s="69"/>
      <c r="WTK20" s="69"/>
      <c r="WTL20" s="69"/>
      <c r="WTM20" s="69"/>
      <c r="WTN20" s="69"/>
      <c r="WTO20" s="69"/>
      <c r="WTP20" s="69"/>
      <c r="WTQ20" s="69"/>
      <c r="WTR20" s="69"/>
      <c r="WTS20" s="69"/>
      <c r="WTT20" s="69"/>
      <c r="WTU20" s="69"/>
      <c r="WTV20" s="69"/>
      <c r="WTW20" s="69"/>
      <c r="WTX20" s="69"/>
      <c r="WTY20" s="69"/>
      <c r="WTZ20" s="69"/>
      <c r="WUA20" s="69"/>
      <c r="WUB20" s="69"/>
      <c r="WUC20" s="69"/>
      <c r="WUD20" s="69"/>
      <c r="WUE20" s="69"/>
      <c r="WUF20" s="69"/>
      <c r="WUG20" s="69"/>
      <c r="WUH20" s="69"/>
      <c r="WUI20" s="69"/>
      <c r="WUJ20" s="69"/>
      <c r="WUK20" s="69"/>
      <c r="WUL20" s="69"/>
      <c r="WUM20" s="69"/>
      <c r="WUN20" s="69"/>
      <c r="WUO20" s="69"/>
      <c r="WUP20" s="69"/>
      <c r="WUQ20" s="69"/>
      <c r="WUR20" s="69"/>
      <c r="WUS20" s="69"/>
      <c r="WUT20" s="69"/>
      <c r="WUU20" s="69"/>
      <c r="WUV20" s="69"/>
      <c r="WUW20" s="69"/>
      <c r="WUX20" s="69"/>
      <c r="WUY20" s="69"/>
      <c r="WUZ20" s="69"/>
      <c r="WVA20" s="69"/>
      <c r="WVB20" s="69"/>
      <c r="WVC20" s="69"/>
      <c r="WVD20" s="69"/>
      <c r="WVE20" s="69"/>
      <c r="WVF20" s="69"/>
      <c r="WVG20" s="69"/>
      <c r="WVH20" s="69"/>
      <c r="WVI20" s="69"/>
      <c r="WVJ20" s="69"/>
      <c r="WVK20" s="69"/>
      <c r="WVL20" s="69"/>
      <c r="WVM20" s="69"/>
      <c r="WVN20" s="69"/>
      <c r="WVO20" s="69"/>
      <c r="WVP20" s="69"/>
      <c r="WVQ20" s="69"/>
      <c r="WVR20" s="69"/>
      <c r="WVS20" s="69"/>
      <c r="WVT20" s="69"/>
      <c r="WVU20" s="69"/>
      <c r="WVV20" s="69"/>
      <c r="WVW20" s="69"/>
      <c r="WVX20" s="69"/>
      <c r="WVY20" s="69"/>
      <c r="WVZ20" s="69"/>
      <c r="WWA20" s="69"/>
      <c r="WWB20" s="69"/>
      <c r="WWC20" s="69"/>
      <c r="WWD20" s="69"/>
      <c r="WWE20" s="69"/>
      <c r="WWF20" s="69"/>
      <c r="WWG20" s="69"/>
      <c r="WWH20" s="69"/>
      <c r="WWI20" s="69"/>
      <c r="WWJ20" s="69"/>
      <c r="WWK20" s="69"/>
      <c r="WWL20" s="69"/>
      <c r="WWM20" s="69"/>
      <c r="WWN20" s="69"/>
      <c r="WWO20" s="69"/>
      <c r="WWP20" s="69"/>
      <c r="WWQ20" s="69"/>
      <c r="WWR20" s="69"/>
      <c r="WWS20" s="69"/>
      <c r="WWT20" s="69"/>
      <c r="WWU20" s="69"/>
      <c r="WWV20" s="69"/>
      <c r="WWW20" s="69"/>
      <c r="WWX20" s="69"/>
      <c r="WWY20" s="69"/>
      <c r="WWZ20" s="69"/>
      <c r="WXA20" s="69"/>
      <c r="WXB20" s="69"/>
      <c r="WXC20" s="69"/>
      <c r="WXD20" s="69"/>
      <c r="WXE20" s="69"/>
      <c r="WXF20" s="69"/>
      <c r="WXG20" s="69"/>
      <c r="WXH20" s="69"/>
      <c r="WXI20" s="69"/>
      <c r="WXJ20" s="69"/>
      <c r="WXK20" s="69"/>
      <c r="WXL20" s="69"/>
      <c r="WXM20" s="69"/>
      <c r="WXN20" s="69"/>
      <c r="WXO20" s="69"/>
      <c r="WXP20" s="69"/>
      <c r="WXQ20" s="69"/>
      <c r="WXR20" s="69"/>
      <c r="WXS20" s="69"/>
      <c r="WXT20" s="69"/>
      <c r="WXU20" s="69"/>
      <c r="WXV20" s="69"/>
      <c r="WXW20" s="69"/>
      <c r="WXX20" s="69"/>
      <c r="WXY20" s="69"/>
      <c r="WXZ20" s="69"/>
      <c r="WYA20" s="69"/>
      <c r="WYB20" s="69"/>
      <c r="WYC20" s="69"/>
      <c r="WYD20" s="69"/>
      <c r="WYE20" s="69"/>
      <c r="WYF20" s="69"/>
      <c r="WYG20" s="69"/>
      <c r="WYH20" s="69"/>
      <c r="WYI20" s="69"/>
      <c r="WYJ20" s="69"/>
      <c r="WYK20" s="69"/>
      <c r="WYL20" s="69"/>
      <c r="WYM20" s="69"/>
      <c r="WYN20" s="69"/>
      <c r="WYO20" s="69"/>
      <c r="WYP20" s="69"/>
      <c r="WYQ20" s="69"/>
      <c r="WYR20" s="69"/>
      <c r="WYS20" s="69"/>
      <c r="WYT20" s="69"/>
      <c r="WYU20" s="69"/>
      <c r="WYV20" s="69"/>
      <c r="WYW20" s="69"/>
      <c r="WYX20" s="69"/>
      <c r="WYY20" s="69"/>
      <c r="WYZ20" s="69"/>
      <c r="WZA20" s="69"/>
      <c r="WZB20" s="69"/>
      <c r="WZC20" s="69"/>
      <c r="WZD20" s="69"/>
      <c r="WZE20" s="69"/>
      <c r="WZF20" s="69"/>
      <c r="WZG20" s="69"/>
      <c r="WZH20" s="69"/>
      <c r="WZI20" s="69"/>
      <c r="WZJ20" s="69"/>
      <c r="WZK20" s="69"/>
      <c r="WZL20" s="69"/>
      <c r="WZM20" s="69"/>
      <c r="WZN20" s="69"/>
      <c r="WZO20" s="69"/>
      <c r="WZP20" s="69"/>
      <c r="WZQ20" s="69"/>
      <c r="WZR20" s="69"/>
      <c r="WZS20" s="69"/>
      <c r="WZT20" s="69"/>
      <c r="WZU20" s="69"/>
      <c r="WZV20" s="69"/>
      <c r="WZW20" s="69"/>
      <c r="WZX20" s="69"/>
      <c r="WZY20" s="69"/>
      <c r="WZZ20" s="69"/>
      <c r="XAA20" s="69"/>
      <c r="XAB20" s="69"/>
      <c r="XAC20" s="69"/>
      <c r="XAD20" s="69"/>
      <c r="XAE20" s="69"/>
      <c r="XAF20" s="69"/>
      <c r="XAG20" s="69"/>
      <c r="XAH20" s="69"/>
      <c r="XAI20" s="69"/>
      <c r="XAJ20" s="69"/>
      <c r="XAK20" s="69"/>
      <c r="XAL20" s="69"/>
      <c r="XAM20" s="69"/>
      <c r="XAN20" s="69"/>
      <c r="XAO20" s="69"/>
      <c r="XAP20" s="69"/>
      <c r="XAQ20" s="69"/>
      <c r="XAR20" s="69"/>
      <c r="XAS20" s="69"/>
      <c r="XAT20" s="69"/>
      <c r="XAU20" s="69"/>
      <c r="XAV20" s="69"/>
      <c r="XAW20" s="69"/>
      <c r="XAX20" s="69"/>
      <c r="XAY20" s="69"/>
      <c r="XAZ20" s="69"/>
      <c r="XBA20" s="69"/>
      <c r="XBB20" s="69"/>
      <c r="XBC20" s="69"/>
      <c r="XBD20" s="69"/>
      <c r="XBE20" s="69"/>
      <c r="XBF20" s="69"/>
      <c r="XBG20" s="69"/>
      <c r="XBH20" s="69"/>
      <c r="XBI20" s="69"/>
      <c r="XBJ20" s="69"/>
      <c r="XBK20" s="69"/>
      <c r="XBL20" s="69"/>
      <c r="XBM20" s="69"/>
      <c r="XBN20" s="69"/>
      <c r="XBO20" s="69"/>
      <c r="XBP20" s="69"/>
      <c r="XBQ20" s="69"/>
      <c r="XBR20" s="69"/>
      <c r="XBS20" s="69"/>
      <c r="XBT20" s="69"/>
      <c r="XBU20" s="69"/>
      <c r="XBV20" s="69"/>
      <c r="XBW20" s="69"/>
      <c r="XBX20" s="69"/>
      <c r="XBY20" s="69"/>
      <c r="XBZ20" s="69"/>
      <c r="XCA20" s="69"/>
      <c r="XCB20" s="69"/>
      <c r="XCC20" s="69"/>
      <c r="XCD20" s="69"/>
      <c r="XCE20" s="69"/>
      <c r="XCF20" s="69"/>
      <c r="XCG20" s="69"/>
      <c r="XCH20" s="69"/>
      <c r="XCI20" s="69"/>
      <c r="XCJ20" s="69"/>
      <c r="XCK20" s="69"/>
      <c r="XCL20" s="69"/>
      <c r="XCM20" s="69"/>
      <c r="XCN20" s="69"/>
      <c r="XCO20" s="69"/>
      <c r="XCP20" s="69"/>
      <c r="XCQ20" s="69"/>
      <c r="XCR20" s="69"/>
      <c r="XCS20" s="69"/>
      <c r="XCT20" s="69"/>
      <c r="XCU20" s="69"/>
      <c r="XCV20" s="69"/>
      <c r="XCW20" s="69"/>
      <c r="XCX20" s="69"/>
      <c r="XCY20" s="69"/>
      <c r="XCZ20" s="69"/>
      <c r="XDA20" s="69"/>
      <c r="XDB20" s="69"/>
      <c r="XDC20" s="69"/>
      <c r="XDD20" s="69"/>
      <c r="XDE20" s="69"/>
      <c r="XDF20" s="69"/>
      <c r="XDG20" s="69"/>
      <c r="XDH20" s="69"/>
      <c r="XDI20" s="69"/>
      <c r="XDJ20" s="69"/>
      <c r="XDK20" s="69"/>
      <c r="XDL20" s="69"/>
      <c r="XDM20" s="69"/>
      <c r="XDN20" s="69"/>
      <c r="XDO20" s="69"/>
      <c r="XDP20" s="69"/>
      <c r="XDQ20" s="69"/>
      <c r="XDR20" s="69"/>
      <c r="XDS20" s="69"/>
      <c r="XDT20" s="69"/>
      <c r="XDU20" s="69"/>
      <c r="XDV20" s="69"/>
      <c r="XDW20" s="69"/>
      <c r="XDX20" s="69"/>
      <c r="XDY20" s="69"/>
      <c r="XDZ20" s="69"/>
      <c r="XEA20" s="69"/>
      <c r="XEB20" s="69"/>
      <c r="XEC20" s="69"/>
      <c r="XED20" s="69"/>
      <c r="XEE20" s="69"/>
      <c r="XEF20" s="69"/>
      <c r="XEG20" s="69"/>
      <c r="XEH20" s="69"/>
      <c r="XEI20" s="69"/>
      <c r="XEJ20" s="69"/>
      <c r="XEK20" s="69"/>
      <c r="XEL20" s="69"/>
      <c r="XEM20" s="69"/>
      <c r="XEN20" s="69"/>
      <c r="XEO20" s="69"/>
      <c r="XEP20" s="69"/>
    </row>
    <row r="21" spans="1:16370" hidden="1" outlineLevel="1">
      <c r="A21" s="70" t="s">
        <v>185</v>
      </c>
      <c r="B21" s="85" t="s">
        <v>85</v>
      </c>
      <c r="C21" s="72"/>
      <c r="D21" s="77">
        <f>'0'!D14</f>
        <v>7</v>
      </c>
      <c r="E21" s="77">
        <f>'0'!E14</f>
        <v>7</v>
      </c>
      <c r="F21" s="77">
        <f>'0'!F14</f>
        <v>8</v>
      </c>
      <c r="G21" s="77">
        <f>'0'!G14</f>
        <v>8</v>
      </c>
      <c r="H21" s="77">
        <f>'0'!H14</f>
        <v>8</v>
      </c>
      <c r="I21" s="77">
        <f>'0'!I14</f>
        <v>9</v>
      </c>
      <c r="J21" s="77">
        <f>'0'!J14</f>
        <v>9</v>
      </c>
      <c r="K21" s="77">
        <f>'0'!K14</f>
        <v>9</v>
      </c>
      <c r="L21" s="77">
        <f>'0'!L14</f>
        <v>10</v>
      </c>
      <c r="M21" s="77">
        <f>'0'!M14</f>
        <v>10</v>
      </c>
      <c r="N21" s="77">
        <f>'0'!N14</f>
        <v>12</v>
      </c>
      <c r="O21" s="77">
        <f>'0'!O14</f>
        <v>14</v>
      </c>
      <c r="P21" s="77">
        <f>'0'!P14</f>
        <v>14</v>
      </c>
      <c r="Q21" s="77">
        <f>'0'!Q14</f>
        <v>14</v>
      </c>
      <c r="R21" s="77">
        <f>'0'!R14</f>
        <v>14</v>
      </c>
      <c r="S21" s="77">
        <f>'0'!S14</f>
        <v>14</v>
      </c>
      <c r="T21" s="77">
        <f>'0'!T14</f>
        <v>14</v>
      </c>
      <c r="U21" s="77">
        <f>'0'!U14</f>
        <v>14</v>
      </c>
      <c r="V21" s="77">
        <f>'0'!V14</f>
        <v>14</v>
      </c>
      <c r="W21" s="77">
        <f>'0'!W14</f>
        <v>14</v>
      </c>
      <c r="X21" s="77">
        <f>'0'!X14</f>
        <v>14</v>
      </c>
      <c r="Y21" s="77">
        <f>'0'!Y14</f>
        <v>14</v>
      </c>
      <c r="Z21" s="77">
        <f>'0'!Z14</f>
        <v>14</v>
      </c>
      <c r="AA21" s="77">
        <f>'0'!AA14</f>
        <v>14</v>
      </c>
      <c r="AB21" s="77">
        <f>'0'!AB14</f>
        <v>14</v>
      </c>
      <c r="AC21" s="77">
        <f>'0'!AC14</f>
        <v>14</v>
      </c>
      <c r="AD21" s="77">
        <f>'0'!AD14</f>
        <v>14</v>
      </c>
      <c r="AE21" s="77">
        <f>'0'!AE14</f>
        <v>14</v>
      </c>
      <c r="AF21" s="77">
        <f>'0'!AF14</f>
        <v>14</v>
      </c>
      <c r="AG21" s="77">
        <f>'0'!AG14</f>
        <v>14</v>
      </c>
      <c r="AH21" s="77">
        <f>'0'!AH14</f>
        <v>14</v>
      </c>
      <c r="AI21" s="77">
        <f>'0'!AI14</f>
        <v>14</v>
      </c>
      <c r="AJ21" s="77">
        <f>'0'!AJ14</f>
        <v>14</v>
      </c>
      <c r="AK21" s="77">
        <f>'0'!AK14</f>
        <v>14</v>
      </c>
      <c r="AL21" s="77">
        <f>'0'!AL14</f>
        <v>14</v>
      </c>
      <c r="AM21" s="77">
        <f>'0'!AM14</f>
        <v>14</v>
      </c>
      <c r="AN21" s="81"/>
      <c r="AO21" s="75">
        <f>O21</f>
        <v>14</v>
      </c>
      <c r="AP21" s="75">
        <f>AA21</f>
        <v>14</v>
      </c>
      <c r="AQ21" s="75">
        <f>AM21</f>
        <v>14</v>
      </c>
    </row>
    <row r="22" spans="1:16370" hidden="1" outlineLevel="1">
      <c r="A22" s="70" t="s">
        <v>187</v>
      </c>
      <c r="B22" s="85" t="s">
        <v>85</v>
      </c>
      <c r="C22" s="72"/>
      <c r="D22" s="77">
        <f>'0'!D15</f>
        <v>5</v>
      </c>
      <c r="E22" s="77">
        <f>'0'!E15</f>
        <v>5</v>
      </c>
      <c r="F22" s="77">
        <f>'0'!F15</f>
        <v>5</v>
      </c>
      <c r="G22" s="77">
        <f>'0'!G15</f>
        <v>6</v>
      </c>
      <c r="H22" s="77">
        <f>'0'!H15</f>
        <v>6</v>
      </c>
      <c r="I22" s="77">
        <f>'0'!I15</f>
        <v>6</v>
      </c>
      <c r="J22" s="77">
        <f>'0'!J15</f>
        <v>7</v>
      </c>
      <c r="K22" s="77">
        <f>'0'!K15</f>
        <v>7</v>
      </c>
      <c r="L22" s="77">
        <f>'0'!L15</f>
        <v>7</v>
      </c>
      <c r="M22" s="77">
        <f>'0'!M15</f>
        <v>8</v>
      </c>
      <c r="N22" s="77">
        <f>'0'!N15</f>
        <v>8</v>
      </c>
      <c r="O22" s="77">
        <f>'0'!O15</f>
        <v>9</v>
      </c>
      <c r="P22" s="77">
        <f>'0'!P15</f>
        <v>9</v>
      </c>
      <c r="Q22" s="77">
        <f>'0'!Q15</f>
        <v>9</v>
      </c>
      <c r="R22" s="77">
        <f>'0'!R15</f>
        <v>9</v>
      </c>
      <c r="S22" s="77">
        <f>'0'!S15</f>
        <v>9</v>
      </c>
      <c r="T22" s="77">
        <f>'0'!T15</f>
        <v>9</v>
      </c>
      <c r="U22" s="77">
        <f>'0'!U15</f>
        <v>9</v>
      </c>
      <c r="V22" s="77">
        <f>'0'!V15</f>
        <v>9</v>
      </c>
      <c r="W22" s="77">
        <f>'0'!W15</f>
        <v>9</v>
      </c>
      <c r="X22" s="77">
        <f>'0'!X15</f>
        <v>9</v>
      </c>
      <c r="Y22" s="77">
        <f>'0'!Y15</f>
        <v>9</v>
      </c>
      <c r="Z22" s="77">
        <f>'0'!Z15</f>
        <v>9</v>
      </c>
      <c r="AA22" s="77">
        <f>'0'!AA15</f>
        <v>9</v>
      </c>
      <c r="AB22" s="77">
        <f>'0'!AB15</f>
        <v>9</v>
      </c>
      <c r="AC22" s="77">
        <f>'0'!AC15</f>
        <v>9</v>
      </c>
      <c r="AD22" s="77">
        <f>'0'!AD15</f>
        <v>9</v>
      </c>
      <c r="AE22" s="77">
        <f>'0'!AE15</f>
        <v>9</v>
      </c>
      <c r="AF22" s="77">
        <f>'0'!AF15</f>
        <v>9</v>
      </c>
      <c r="AG22" s="77">
        <f>'0'!AG15</f>
        <v>9</v>
      </c>
      <c r="AH22" s="77">
        <f>'0'!AH15</f>
        <v>9</v>
      </c>
      <c r="AI22" s="77">
        <f>'0'!AI15</f>
        <v>9</v>
      </c>
      <c r="AJ22" s="77">
        <f>'0'!AJ15</f>
        <v>9</v>
      </c>
      <c r="AK22" s="77">
        <f>'0'!AK15</f>
        <v>9</v>
      </c>
      <c r="AL22" s="77">
        <f>'0'!AL15</f>
        <v>9</v>
      </c>
      <c r="AM22" s="77">
        <f>'0'!AM15</f>
        <v>9</v>
      </c>
      <c r="AN22" s="81"/>
      <c r="AO22" s="75">
        <f>O22</f>
        <v>9</v>
      </c>
      <c r="AP22" s="75">
        <f>AA22</f>
        <v>9</v>
      </c>
      <c r="AQ22" s="75">
        <f>AM22</f>
        <v>9</v>
      </c>
    </row>
    <row r="23" spans="1:16370" hidden="1" outlineLevel="1">
      <c r="A23" s="138" t="s">
        <v>337</v>
      </c>
      <c r="B23" s="85" t="s">
        <v>78</v>
      </c>
      <c r="C23" s="72"/>
      <c r="D23" s="86">
        <f>(270000+50000)/2</f>
        <v>160000</v>
      </c>
      <c r="E23" s="86">
        <f t="shared" ref="E23:AM23" si="23">(270000+50000)/2</f>
        <v>160000</v>
      </c>
      <c r="F23" s="86">
        <f t="shared" si="23"/>
        <v>160000</v>
      </c>
      <c r="G23" s="86">
        <f t="shared" si="23"/>
        <v>160000</v>
      </c>
      <c r="H23" s="86">
        <f t="shared" si="23"/>
        <v>160000</v>
      </c>
      <c r="I23" s="86">
        <f t="shared" si="23"/>
        <v>160000</v>
      </c>
      <c r="J23" s="86">
        <f t="shared" si="23"/>
        <v>160000</v>
      </c>
      <c r="K23" s="86">
        <f t="shared" si="23"/>
        <v>160000</v>
      </c>
      <c r="L23" s="86">
        <f t="shared" si="23"/>
        <v>160000</v>
      </c>
      <c r="M23" s="86">
        <f t="shared" si="23"/>
        <v>160000</v>
      </c>
      <c r="N23" s="86">
        <f t="shared" si="23"/>
        <v>160000</v>
      </c>
      <c r="O23" s="86">
        <f t="shared" si="23"/>
        <v>160000</v>
      </c>
      <c r="P23" s="86">
        <f t="shared" si="23"/>
        <v>160000</v>
      </c>
      <c r="Q23" s="86">
        <f t="shared" si="23"/>
        <v>160000</v>
      </c>
      <c r="R23" s="86">
        <f t="shared" si="23"/>
        <v>160000</v>
      </c>
      <c r="S23" s="86">
        <f t="shared" si="23"/>
        <v>160000</v>
      </c>
      <c r="T23" s="86">
        <f t="shared" si="23"/>
        <v>160000</v>
      </c>
      <c r="U23" s="86">
        <f t="shared" si="23"/>
        <v>160000</v>
      </c>
      <c r="V23" s="86">
        <f t="shared" si="23"/>
        <v>160000</v>
      </c>
      <c r="W23" s="86">
        <f t="shared" si="23"/>
        <v>160000</v>
      </c>
      <c r="X23" s="86">
        <f t="shared" si="23"/>
        <v>160000</v>
      </c>
      <c r="Y23" s="86">
        <f t="shared" si="23"/>
        <v>160000</v>
      </c>
      <c r="Z23" s="86">
        <f t="shared" si="23"/>
        <v>160000</v>
      </c>
      <c r="AA23" s="86">
        <f t="shared" si="23"/>
        <v>160000</v>
      </c>
      <c r="AB23" s="86">
        <f t="shared" si="23"/>
        <v>160000</v>
      </c>
      <c r="AC23" s="86">
        <f t="shared" si="23"/>
        <v>160000</v>
      </c>
      <c r="AD23" s="86">
        <f t="shared" si="23"/>
        <v>160000</v>
      </c>
      <c r="AE23" s="86">
        <f t="shared" si="23"/>
        <v>160000</v>
      </c>
      <c r="AF23" s="86">
        <f t="shared" si="23"/>
        <v>160000</v>
      </c>
      <c r="AG23" s="86">
        <f t="shared" si="23"/>
        <v>160000</v>
      </c>
      <c r="AH23" s="86">
        <f t="shared" si="23"/>
        <v>160000</v>
      </c>
      <c r="AI23" s="86">
        <f t="shared" si="23"/>
        <v>160000</v>
      </c>
      <c r="AJ23" s="86">
        <f t="shared" si="23"/>
        <v>160000</v>
      </c>
      <c r="AK23" s="86">
        <f t="shared" si="23"/>
        <v>160000</v>
      </c>
      <c r="AL23" s="86">
        <f t="shared" si="23"/>
        <v>160000</v>
      </c>
      <c r="AM23" s="86">
        <f t="shared" si="23"/>
        <v>160000</v>
      </c>
      <c r="AN23" s="81"/>
      <c r="AO23" s="75">
        <f>AVERAGE(D23:O23)</f>
        <v>160000</v>
      </c>
      <c r="AP23" s="75">
        <f>AVERAGE(P23:AA23)</f>
        <v>160000</v>
      </c>
      <c r="AQ23" s="75">
        <f>AVERAGE(AB23:AM23)</f>
        <v>160000</v>
      </c>
    </row>
    <row r="24" spans="1:16370" hidden="1" outlineLevel="1">
      <c r="A24" s="70" t="s">
        <v>179</v>
      </c>
      <c r="B24" s="85" t="s">
        <v>78</v>
      </c>
      <c r="C24" s="72"/>
      <c r="D24" s="77">
        <f>D22*D23</f>
        <v>800000</v>
      </c>
      <c r="E24" s="77">
        <f t="shared" ref="E24:AM24" si="24">E22*E23</f>
        <v>800000</v>
      </c>
      <c r="F24" s="77">
        <f t="shared" si="24"/>
        <v>800000</v>
      </c>
      <c r="G24" s="77">
        <f t="shared" si="24"/>
        <v>960000</v>
      </c>
      <c r="H24" s="77">
        <f t="shared" si="24"/>
        <v>960000</v>
      </c>
      <c r="I24" s="77">
        <f t="shared" si="24"/>
        <v>960000</v>
      </c>
      <c r="J24" s="77">
        <f t="shared" si="24"/>
        <v>1120000</v>
      </c>
      <c r="K24" s="77">
        <f t="shared" si="24"/>
        <v>1120000</v>
      </c>
      <c r="L24" s="77">
        <f t="shared" si="24"/>
        <v>1120000</v>
      </c>
      <c r="M24" s="77">
        <f t="shared" si="24"/>
        <v>1280000</v>
      </c>
      <c r="N24" s="77">
        <f t="shared" si="24"/>
        <v>1280000</v>
      </c>
      <c r="O24" s="77">
        <f t="shared" si="24"/>
        <v>1440000</v>
      </c>
      <c r="P24" s="77">
        <f t="shared" si="24"/>
        <v>1440000</v>
      </c>
      <c r="Q24" s="77">
        <f t="shared" si="24"/>
        <v>1440000</v>
      </c>
      <c r="R24" s="77">
        <f t="shared" si="24"/>
        <v>1440000</v>
      </c>
      <c r="S24" s="77">
        <f t="shared" si="24"/>
        <v>1440000</v>
      </c>
      <c r="T24" s="77">
        <f t="shared" si="24"/>
        <v>1440000</v>
      </c>
      <c r="U24" s="77">
        <f t="shared" si="24"/>
        <v>1440000</v>
      </c>
      <c r="V24" s="77">
        <f t="shared" si="24"/>
        <v>1440000</v>
      </c>
      <c r="W24" s="77">
        <f t="shared" si="24"/>
        <v>1440000</v>
      </c>
      <c r="X24" s="77">
        <f t="shared" si="24"/>
        <v>1440000</v>
      </c>
      <c r="Y24" s="77">
        <f t="shared" si="24"/>
        <v>1440000</v>
      </c>
      <c r="Z24" s="77">
        <f t="shared" si="24"/>
        <v>1440000</v>
      </c>
      <c r="AA24" s="77">
        <f t="shared" si="24"/>
        <v>1440000</v>
      </c>
      <c r="AB24" s="77">
        <f t="shared" si="24"/>
        <v>1440000</v>
      </c>
      <c r="AC24" s="77">
        <f t="shared" si="24"/>
        <v>1440000</v>
      </c>
      <c r="AD24" s="77">
        <f t="shared" si="24"/>
        <v>1440000</v>
      </c>
      <c r="AE24" s="77">
        <f t="shared" si="24"/>
        <v>1440000</v>
      </c>
      <c r="AF24" s="77">
        <f t="shared" si="24"/>
        <v>1440000</v>
      </c>
      <c r="AG24" s="77">
        <f t="shared" si="24"/>
        <v>1440000</v>
      </c>
      <c r="AH24" s="77">
        <f t="shared" si="24"/>
        <v>1440000</v>
      </c>
      <c r="AI24" s="77">
        <f t="shared" si="24"/>
        <v>1440000</v>
      </c>
      <c r="AJ24" s="77">
        <f t="shared" si="24"/>
        <v>1440000</v>
      </c>
      <c r="AK24" s="77">
        <f t="shared" si="24"/>
        <v>1440000</v>
      </c>
      <c r="AL24" s="77">
        <f t="shared" si="24"/>
        <v>1440000</v>
      </c>
      <c r="AM24" s="77">
        <f t="shared" si="24"/>
        <v>1440000</v>
      </c>
      <c r="AN24" s="81"/>
      <c r="AO24" s="75">
        <f t="shared" ref="AO24:AO25" si="25">AVERAGE(D24:O24)</f>
        <v>1053333.3333333333</v>
      </c>
      <c r="AP24" s="75">
        <f t="shared" ref="AP24:AP25" si="26">AVERAGE(P24:AA24)</f>
        <v>1440000</v>
      </c>
      <c r="AQ24" s="75">
        <f t="shared" ref="AQ24:AQ25" si="27">AVERAGE(AB24:AM24)</f>
        <v>1440000</v>
      </c>
    </row>
    <row r="25" spans="1:16370" hidden="1" outlineLevel="1">
      <c r="A25" s="70" t="s">
        <v>186</v>
      </c>
      <c r="B25" s="85" t="s">
        <v>78</v>
      </c>
      <c r="C25" s="72"/>
      <c r="D25" s="86">
        <v>10000</v>
      </c>
      <c r="E25" s="86">
        <v>10000</v>
      </c>
      <c r="F25" s="86">
        <v>10000</v>
      </c>
      <c r="G25" s="86">
        <v>10000</v>
      </c>
      <c r="H25" s="86">
        <v>10000</v>
      </c>
      <c r="I25" s="86">
        <v>10000</v>
      </c>
      <c r="J25" s="86">
        <v>10000</v>
      </c>
      <c r="K25" s="86">
        <v>10000</v>
      </c>
      <c r="L25" s="86">
        <v>10000</v>
      </c>
      <c r="M25" s="86">
        <v>10000</v>
      </c>
      <c r="N25" s="86">
        <v>10000</v>
      </c>
      <c r="O25" s="86">
        <v>10000</v>
      </c>
      <c r="P25" s="86">
        <v>10000</v>
      </c>
      <c r="Q25" s="86">
        <v>10000</v>
      </c>
      <c r="R25" s="86">
        <v>10000</v>
      </c>
      <c r="S25" s="86">
        <v>10000</v>
      </c>
      <c r="T25" s="86">
        <v>10000</v>
      </c>
      <c r="U25" s="86">
        <v>10000</v>
      </c>
      <c r="V25" s="86">
        <v>10000</v>
      </c>
      <c r="W25" s="86">
        <v>10000</v>
      </c>
      <c r="X25" s="86">
        <v>10000</v>
      </c>
      <c r="Y25" s="86">
        <v>10000</v>
      </c>
      <c r="Z25" s="86">
        <v>10000</v>
      </c>
      <c r="AA25" s="86">
        <v>10000</v>
      </c>
      <c r="AB25" s="86">
        <v>10000</v>
      </c>
      <c r="AC25" s="86">
        <v>10000</v>
      </c>
      <c r="AD25" s="86">
        <v>10000</v>
      </c>
      <c r="AE25" s="86">
        <v>10000</v>
      </c>
      <c r="AF25" s="86">
        <v>10000</v>
      </c>
      <c r="AG25" s="86">
        <v>10000</v>
      </c>
      <c r="AH25" s="86">
        <v>10000</v>
      </c>
      <c r="AI25" s="86">
        <v>10000</v>
      </c>
      <c r="AJ25" s="86">
        <v>10000</v>
      </c>
      <c r="AK25" s="86">
        <v>10000</v>
      </c>
      <c r="AL25" s="86">
        <v>10000</v>
      </c>
      <c r="AM25" s="86">
        <v>10000</v>
      </c>
      <c r="AN25" s="81"/>
      <c r="AO25" s="75">
        <f t="shared" si="25"/>
        <v>10000</v>
      </c>
      <c r="AP25" s="75">
        <f t="shared" si="26"/>
        <v>10000</v>
      </c>
      <c r="AQ25" s="75">
        <f t="shared" si="27"/>
        <v>10000</v>
      </c>
    </row>
    <row r="26" spans="1:16370" s="70" customFormat="1" hidden="1" outlineLevel="1">
      <c r="A26" s="70" t="s">
        <v>200</v>
      </c>
      <c r="B26" s="85" t="s">
        <v>78</v>
      </c>
      <c r="C26" s="72"/>
      <c r="D26" s="77">
        <f>D21*D25</f>
        <v>70000</v>
      </c>
      <c r="E26" s="77">
        <f t="shared" ref="E26:AM26" si="28">E21*E25</f>
        <v>70000</v>
      </c>
      <c r="F26" s="77">
        <f t="shared" si="28"/>
        <v>80000</v>
      </c>
      <c r="G26" s="77">
        <f t="shared" si="28"/>
        <v>80000</v>
      </c>
      <c r="H26" s="77">
        <f t="shared" si="28"/>
        <v>80000</v>
      </c>
      <c r="I26" s="77">
        <f t="shared" si="28"/>
        <v>90000</v>
      </c>
      <c r="J26" s="77">
        <f t="shared" si="28"/>
        <v>90000</v>
      </c>
      <c r="K26" s="77">
        <f t="shared" si="28"/>
        <v>90000</v>
      </c>
      <c r="L26" s="77">
        <f t="shared" si="28"/>
        <v>100000</v>
      </c>
      <c r="M26" s="77">
        <f t="shared" si="28"/>
        <v>100000</v>
      </c>
      <c r="N26" s="77">
        <f t="shared" si="28"/>
        <v>120000</v>
      </c>
      <c r="O26" s="77">
        <f t="shared" si="28"/>
        <v>140000</v>
      </c>
      <c r="P26" s="77">
        <f t="shared" si="28"/>
        <v>140000</v>
      </c>
      <c r="Q26" s="77">
        <f t="shared" si="28"/>
        <v>140000</v>
      </c>
      <c r="R26" s="77">
        <f t="shared" si="28"/>
        <v>140000</v>
      </c>
      <c r="S26" s="77">
        <f t="shared" si="28"/>
        <v>140000</v>
      </c>
      <c r="T26" s="77">
        <f t="shared" si="28"/>
        <v>140000</v>
      </c>
      <c r="U26" s="77">
        <f t="shared" si="28"/>
        <v>140000</v>
      </c>
      <c r="V26" s="77">
        <f t="shared" si="28"/>
        <v>140000</v>
      </c>
      <c r="W26" s="77">
        <f t="shared" si="28"/>
        <v>140000</v>
      </c>
      <c r="X26" s="77">
        <f t="shared" si="28"/>
        <v>140000</v>
      </c>
      <c r="Y26" s="77">
        <f t="shared" si="28"/>
        <v>140000</v>
      </c>
      <c r="Z26" s="77">
        <f t="shared" si="28"/>
        <v>140000</v>
      </c>
      <c r="AA26" s="77">
        <f t="shared" si="28"/>
        <v>140000</v>
      </c>
      <c r="AB26" s="77">
        <f t="shared" si="28"/>
        <v>140000</v>
      </c>
      <c r="AC26" s="77">
        <f t="shared" si="28"/>
        <v>140000</v>
      </c>
      <c r="AD26" s="77">
        <f t="shared" si="28"/>
        <v>140000</v>
      </c>
      <c r="AE26" s="77">
        <f t="shared" si="28"/>
        <v>140000</v>
      </c>
      <c r="AF26" s="77">
        <f t="shared" si="28"/>
        <v>140000</v>
      </c>
      <c r="AG26" s="77">
        <f t="shared" si="28"/>
        <v>140000</v>
      </c>
      <c r="AH26" s="77">
        <f t="shared" si="28"/>
        <v>140000</v>
      </c>
      <c r="AI26" s="77">
        <f t="shared" si="28"/>
        <v>140000</v>
      </c>
      <c r="AJ26" s="77">
        <f t="shared" si="28"/>
        <v>140000</v>
      </c>
      <c r="AK26" s="77">
        <f t="shared" si="28"/>
        <v>140000</v>
      </c>
      <c r="AL26" s="77">
        <f t="shared" si="28"/>
        <v>140000</v>
      </c>
      <c r="AM26" s="77">
        <f t="shared" si="28"/>
        <v>140000</v>
      </c>
      <c r="AN26" s="78"/>
      <c r="AO26" s="75">
        <f>O26</f>
        <v>140000</v>
      </c>
      <c r="AP26" s="75">
        <f>AA26</f>
        <v>140000</v>
      </c>
      <c r="AQ26" s="75">
        <f>AM26</f>
        <v>140000</v>
      </c>
    </row>
    <row r="27" spans="1:16370" s="70" customFormat="1" hidden="1" outlineLevel="1">
      <c r="A27" s="70" t="s">
        <v>80</v>
      </c>
      <c r="B27" s="71" t="s">
        <v>79</v>
      </c>
      <c r="C27" s="72"/>
      <c r="D27" s="130">
        <v>0.04</v>
      </c>
      <c r="E27" s="130">
        <v>0.04</v>
      </c>
      <c r="F27" s="130">
        <v>0.04</v>
      </c>
      <c r="G27" s="130">
        <v>0.04</v>
      </c>
      <c r="H27" s="130">
        <v>0.04</v>
      </c>
      <c r="I27" s="130">
        <v>0.04</v>
      </c>
      <c r="J27" s="130">
        <v>0.04</v>
      </c>
      <c r="K27" s="130">
        <v>0.04</v>
      </c>
      <c r="L27" s="130">
        <v>0.04</v>
      </c>
      <c r="M27" s="130">
        <v>0.04</v>
      </c>
      <c r="N27" s="130">
        <v>0.04</v>
      </c>
      <c r="O27" s="130">
        <v>0.04</v>
      </c>
      <c r="P27" s="130">
        <v>0.04</v>
      </c>
      <c r="Q27" s="130">
        <v>0.04</v>
      </c>
      <c r="R27" s="130">
        <v>0.04</v>
      </c>
      <c r="S27" s="130">
        <v>0.04</v>
      </c>
      <c r="T27" s="130">
        <v>0.04</v>
      </c>
      <c r="U27" s="130">
        <v>0.04</v>
      </c>
      <c r="V27" s="130">
        <v>0.04</v>
      </c>
      <c r="W27" s="130">
        <v>0.04</v>
      </c>
      <c r="X27" s="130">
        <v>0.04</v>
      </c>
      <c r="Y27" s="130">
        <v>0.04</v>
      </c>
      <c r="Z27" s="130">
        <v>0.04</v>
      </c>
      <c r="AA27" s="130">
        <v>0.04</v>
      </c>
      <c r="AB27" s="130">
        <v>0.04</v>
      </c>
      <c r="AC27" s="130">
        <v>0.04</v>
      </c>
      <c r="AD27" s="130">
        <v>0.04</v>
      </c>
      <c r="AE27" s="130">
        <v>0.04</v>
      </c>
      <c r="AF27" s="130">
        <v>0.04</v>
      </c>
      <c r="AG27" s="130">
        <v>0.04</v>
      </c>
      <c r="AH27" s="130">
        <v>0.04</v>
      </c>
      <c r="AI27" s="130">
        <v>0.04</v>
      </c>
      <c r="AJ27" s="130">
        <v>0.04</v>
      </c>
      <c r="AK27" s="130">
        <v>0.04</v>
      </c>
      <c r="AL27" s="130">
        <v>0.04</v>
      </c>
      <c r="AM27" s="130">
        <v>0.04</v>
      </c>
      <c r="AN27" s="78"/>
      <c r="AO27" s="93">
        <f t="shared" ref="AO27" si="29">AVERAGE(D27:O27)</f>
        <v>3.9999999999999994E-2</v>
      </c>
      <c r="AP27" s="93">
        <f t="shared" ref="AP27" si="30">AVERAGE(P27:AA27)</f>
        <v>3.9999999999999994E-2</v>
      </c>
      <c r="AQ27" s="93">
        <f t="shared" ref="AQ27" si="31">AVERAGE(AB27:AM27)</f>
        <v>3.9999999999999994E-2</v>
      </c>
    </row>
    <row r="28" spans="1:16370" s="70" customFormat="1" hidden="1" outlineLevel="1">
      <c r="A28" s="70" t="s">
        <v>146</v>
      </c>
      <c r="B28" s="71" t="s">
        <v>78</v>
      </c>
      <c r="C28" s="72"/>
      <c r="D28" s="73">
        <f>(C24+D24+C26+D26)/2*D27/12</f>
        <v>1450</v>
      </c>
      <c r="E28" s="73">
        <f>(D24+E24+D26+E26)/2*E27/12</f>
        <v>2900</v>
      </c>
      <c r="F28" s="73">
        <f t="shared" ref="F28:AM28" si="32">(E24+F24+E26+F26)/2*F27/12</f>
        <v>2916.6666666666665</v>
      </c>
      <c r="G28" s="73">
        <f t="shared" si="32"/>
        <v>3200</v>
      </c>
      <c r="H28" s="73">
        <f t="shared" si="32"/>
        <v>3466.6666666666665</v>
      </c>
      <c r="I28" s="73">
        <f t="shared" si="32"/>
        <v>3483.3333333333335</v>
      </c>
      <c r="J28" s="73">
        <f t="shared" si="32"/>
        <v>3766.6666666666665</v>
      </c>
      <c r="K28" s="73">
        <f t="shared" si="32"/>
        <v>4033.3333333333335</v>
      </c>
      <c r="L28" s="73">
        <f t="shared" si="32"/>
        <v>4050</v>
      </c>
      <c r="M28" s="73">
        <f t="shared" si="32"/>
        <v>4333.333333333333</v>
      </c>
      <c r="N28" s="73">
        <f t="shared" si="32"/>
        <v>4633.333333333333</v>
      </c>
      <c r="O28" s="73">
        <f t="shared" si="32"/>
        <v>4966.666666666667</v>
      </c>
      <c r="P28" s="73">
        <f t="shared" si="32"/>
        <v>5266.666666666667</v>
      </c>
      <c r="Q28" s="73">
        <f t="shared" si="32"/>
        <v>5266.666666666667</v>
      </c>
      <c r="R28" s="73">
        <f t="shared" si="32"/>
        <v>5266.666666666667</v>
      </c>
      <c r="S28" s="73">
        <f t="shared" si="32"/>
        <v>5266.666666666667</v>
      </c>
      <c r="T28" s="73">
        <f t="shared" si="32"/>
        <v>5266.666666666667</v>
      </c>
      <c r="U28" s="73">
        <f t="shared" si="32"/>
        <v>5266.666666666667</v>
      </c>
      <c r="V28" s="73">
        <f t="shared" si="32"/>
        <v>5266.666666666667</v>
      </c>
      <c r="W28" s="73">
        <f t="shared" si="32"/>
        <v>5266.666666666667</v>
      </c>
      <c r="X28" s="73">
        <f t="shared" si="32"/>
        <v>5266.666666666667</v>
      </c>
      <c r="Y28" s="73">
        <f t="shared" si="32"/>
        <v>5266.666666666667</v>
      </c>
      <c r="Z28" s="73">
        <f t="shared" si="32"/>
        <v>5266.666666666667</v>
      </c>
      <c r="AA28" s="73">
        <f t="shared" si="32"/>
        <v>5266.666666666667</v>
      </c>
      <c r="AB28" s="73">
        <f t="shared" si="32"/>
        <v>5266.666666666667</v>
      </c>
      <c r="AC28" s="73">
        <f t="shared" si="32"/>
        <v>5266.666666666667</v>
      </c>
      <c r="AD28" s="73">
        <f t="shared" si="32"/>
        <v>5266.666666666667</v>
      </c>
      <c r="AE28" s="73">
        <f t="shared" si="32"/>
        <v>5266.666666666667</v>
      </c>
      <c r="AF28" s="73">
        <f t="shared" si="32"/>
        <v>5266.666666666667</v>
      </c>
      <c r="AG28" s="73">
        <f t="shared" si="32"/>
        <v>5266.666666666667</v>
      </c>
      <c r="AH28" s="73">
        <f t="shared" si="32"/>
        <v>5266.666666666667</v>
      </c>
      <c r="AI28" s="73">
        <f t="shared" si="32"/>
        <v>5266.666666666667</v>
      </c>
      <c r="AJ28" s="73">
        <f t="shared" si="32"/>
        <v>5266.666666666667</v>
      </c>
      <c r="AK28" s="73">
        <f t="shared" si="32"/>
        <v>5266.666666666667</v>
      </c>
      <c r="AL28" s="73">
        <f t="shared" si="32"/>
        <v>5266.666666666667</v>
      </c>
      <c r="AM28" s="73">
        <f t="shared" si="32"/>
        <v>5266.666666666667</v>
      </c>
      <c r="AN28" s="78"/>
      <c r="AO28" s="75">
        <f>SUM(D28:O28)</f>
        <v>43200</v>
      </c>
      <c r="AP28" s="75">
        <f>SUM(P28:AA28)</f>
        <v>63199.999999999993</v>
      </c>
      <c r="AQ28" s="75">
        <f>SUM(AB28:AM28)</f>
        <v>63199.999999999993</v>
      </c>
    </row>
    <row r="29" spans="1:16370" hidden="1" outlineLevel="1">
      <c r="A29" s="70" t="s">
        <v>180</v>
      </c>
      <c r="B29" s="85" t="s">
        <v>78</v>
      </c>
      <c r="C29" s="72"/>
      <c r="D29" s="86">
        <v>150000</v>
      </c>
      <c r="E29" s="86">
        <v>150000</v>
      </c>
      <c r="F29" s="86">
        <v>150000</v>
      </c>
      <c r="G29" s="86">
        <v>150000</v>
      </c>
      <c r="H29" s="86">
        <v>150000</v>
      </c>
      <c r="I29" s="86">
        <v>150000</v>
      </c>
      <c r="J29" s="86">
        <v>150000</v>
      </c>
      <c r="K29" s="86">
        <v>150000</v>
      </c>
      <c r="L29" s="86">
        <v>150000</v>
      </c>
      <c r="M29" s="86">
        <v>150000</v>
      </c>
      <c r="N29" s="86">
        <v>150000</v>
      </c>
      <c r="O29" s="86">
        <v>150000</v>
      </c>
      <c r="P29" s="86">
        <v>150000</v>
      </c>
      <c r="Q29" s="86">
        <v>150000</v>
      </c>
      <c r="R29" s="86">
        <v>150000</v>
      </c>
      <c r="S29" s="86">
        <v>150000</v>
      </c>
      <c r="T29" s="86">
        <v>150000</v>
      </c>
      <c r="U29" s="86">
        <v>150000</v>
      </c>
      <c r="V29" s="86">
        <v>150000</v>
      </c>
      <c r="W29" s="86">
        <v>150000</v>
      </c>
      <c r="X29" s="86">
        <v>150000</v>
      </c>
      <c r="Y29" s="86">
        <v>150000</v>
      </c>
      <c r="Z29" s="86">
        <v>150000</v>
      </c>
      <c r="AA29" s="86">
        <v>150000</v>
      </c>
      <c r="AB29" s="86">
        <v>150000</v>
      </c>
      <c r="AC29" s="86">
        <v>150000</v>
      </c>
      <c r="AD29" s="86">
        <v>150000</v>
      </c>
      <c r="AE29" s="86">
        <v>150000</v>
      </c>
      <c r="AF29" s="86">
        <v>150000</v>
      </c>
      <c r="AG29" s="86">
        <v>150000</v>
      </c>
      <c r="AH29" s="86">
        <v>150000</v>
      </c>
      <c r="AI29" s="86">
        <v>150000</v>
      </c>
      <c r="AJ29" s="86">
        <v>150000</v>
      </c>
      <c r="AK29" s="86">
        <v>150000</v>
      </c>
      <c r="AL29" s="86">
        <v>150000</v>
      </c>
      <c r="AM29" s="86">
        <v>150000</v>
      </c>
      <c r="AN29" s="81"/>
      <c r="AO29" s="75">
        <f t="shared" ref="AO29" si="33">AVERAGE(D29:O29)</f>
        <v>150000</v>
      </c>
      <c r="AP29" s="75">
        <f t="shared" ref="AP29" si="34">AVERAGE(P29:AA29)</f>
        <v>150000</v>
      </c>
      <c r="AQ29" s="75">
        <f t="shared" ref="AQ29" si="35">AVERAGE(AB29:AM29)</f>
        <v>150000</v>
      </c>
    </row>
    <row r="30" spans="1:16370" hidden="1" outlineLevel="1">
      <c r="A30" s="70" t="s">
        <v>181</v>
      </c>
      <c r="B30" s="85" t="s">
        <v>78</v>
      </c>
      <c r="C30" s="72"/>
      <c r="D30" s="86">
        <f>1250000/4</f>
        <v>312500</v>
      </c>
      <c r="E30" s="86">
        <f t="shared" ref="E30:AM30" si="36">1250000/4</f>
        <v>312500</v>
      </c>
      <c r="F30" s="86">
        <f t="shared" si="36"/>
        <v>312500</v>
      </c>
      <c r="G30" s="86">
        <f t="shared" si="36"/>
        <v>312500</v>
      </c>
      <c r="H30" s="86">
        <f t="shared" si="36"/>
        <v>312500</v>
      </c>
      <c r="I30" s="86">
        <f t="shared" si="36"/>
        <v>312500</v>
      </c>
      <c r="J30" s="86">
        <f t="shared" si="36"/>
        <v>312500</v>
      </c>
      <c r="K30" s="86">
        <f t="shared" si="36"/>
        <v>312500</v>
      </c>
      <c r="L30" s="86">
        <f t="shared" si="36"/>
        <v>312500</v>
      </c>
      <c r="M30" s="86">
        <f t="shared" si="36"/>
        <v>312500</v>
      </c>
      <c r="N30" s="86">
        <f t="shared" si="36"/>
        <v>312500</v>
      </c>
      <c r="O30" s="86">
        <f t="shared" si="36"/>
        <v>312500</v>
      </c>
      <c r="P30" s="86">
        <f t="shared" si="36"/>
        <v>312500</v>
      </c>
      <c r="Q30" s="86">
        <f t="shared" si="36"/>
        <v>312500</v>
      </c>
      <c r="R30" s="86">
        <f t="shared" si="36"/>
        <v>312500</v>
      </c>
      <c r="S30" s="86">
        <f t="shared" si="36"/>
        <v>312500</v>
      </c>
      <c r="T30" s="86">
        <f t="shared" si="36"/>
        <v>312500</v>
      </c>
      <c r="U30" s="86">
        <f t="shared" si="36"/>
        <v>312500</v>
      </c>
      <c r="V30" s="86">
        <f t="shared" si="36"/>
        <v>312500</v>
      </c>
      <c r="W30" s="86">
        <f t="shared" si="36"/>
        <v>312500</v>
      </c>
      <c r="X30" s="86">
        <f t="shared" si="36"/>
        <v>312500</v>
      </c>
      <c r="Y30" s="86">
        <f t="shared" si="36"/>
        <v>312500</v>
      </c>
      <c r="Z30" s="86">
        <f t="shared" si="36"/>
        <v>312500</v>
      </c>
      <c r="AA30" s="86">
        <f t="shared" si="36"/>
        <v>312500</v>
      </c>
      <c r="AB30" s="86">
        <f t="shared" si="36"/>
        <v>312500</v>
      </c>
      <c r="AC30" s="86">
        <f t="shared" si="36"/>
        <v>312500</v>
      </c>
      <c r="AD30" s="86">
        <f t="shared" si="36"/>
        <v>312500</v>
      </c>
      <c r="AE30" s="86">
        <f t="shared" si="36"/>
        <v>312500</v>
      </c>
      <c r="AF30" s="86">
        <f t="shared" si="36"/>
        <v>312500</v>
      </c>
      <c r="AG30" s="86">
        <f t="shared" si="36"/>
        <v>312500</v>
      </c>
      <c r="AH30" s="86">
        <f t="shared" si="36"/>
        <v>312500</v>
      </c>
      <c r="AI30" s="86">
        <f t="shared" si="36"/>
        <v>312500</v>
      </c>
      <c r="AJ30" s="86">
        <f t="shared" si="36"/>
        <v>312500</v>
      </c>
      <c r="AK30" s="86">
        <f t="shared" si="36"/>
        <v>312500</v>
      </c>
      <c r="AL30" s="86">
        <f t="shared" si="36"/>
        <v>312500</v>
      </c>
      <c r="AM30" s="86">
        <f t="shared" si="36"/>
        <v>312500</v>
      </c>
      <c r="AN30" s="81"/>
      <c r="AO30" s="75">
        <f t="shared" ref="AO30" si="37">AVERAGE(D30:O30)</f>
        <v>312500</v>
      </c>
      <c r="AP30" s="75">
        <f t="shared" ref="AP30" si="38">AVERAGE(P30:AA30)</f>
        <v>312500</v>
      </c>
      <c r="AQ30" s="75">
        <f t="shared" ref="AQ30" si="39">AVERAGE(AB30:AM30)</f>
        <v>312500</v>
      </c>
    </row>
    <row r="31" spans="1:16370" hidden="1" outlineLevel="1">
      <c r="A31" s="70" t="s">
        <v>182</v>
      </c>
      <c r="B31" s="85" t="s">
        <v>78</v>
      </c>
      <c r="C31" s="72"/>
      <c r="D31" s="77">
        <f t="shared" ref="D31:AM31" si="40">D29*D22</f>
        <v>750000</v>
      </c>
      <c r="E31" s="77">
        <f t="shared" si="40"/>
        <v>750000</v>
      </c>
      <c r="F31" s="77">
        <f t="shared" si="40"/>
        <v>750000</v>
      </c>
      <c r="G31" s="77">
        <f t="shared" si="40"/>
        <v>900000</v>
      </c>
      <c r="H31" s="77">
        <f t="shared" si="40"/>
        <v>900000</v>
      </c>
      <c r="I31" s="77">
        <f t="shared" si="40"/>
        <v>900000</v>
      </c>
      <c r="J31" s="77">
        <f t="shared" si="40"/>
        <v>1050000</v>
      </c>
      <c r="K31" s="77">
        <f t="shared" si="40"/>
        <v>1050000</v>
      </c>
      <c r="L31" s="77">
        <f t="shared" si="40"/>
        <v>1050000</v>
      </c>
      <c r="M31" s="77">
        <f t="shared" si="40"/>
        <v>1200000</v>
      </c>
      <c r="N31" s="77">
        <f t="shared" si="40"/>
        <v>1200000</v>
      </c>
      <c r="O31" s="77">
        <f t="shared" si="40"/>
        <v>1350000</v>
      </c>
      <c r="P31" s="77">
        <f t="shared" si="40"/>
        <v>1350000</v>
      </c>
      <c r="Q31" s="77">
        <f t="shared" si="40"/>
        <v>1350000</v>
      </c>
      <c r="R31" s="77">
        <f t="shared" si="40"/>
        <v>1350000</v>
      </c>
      <c r="S31" s="77">
        <f t="shared" si="40"/>
        <v>1350000</v>
      </c>
      <c r="T31" s="77">
        <f t="shared" si="40"/>
        <v>1350000</v>
      </c>
      <c r="U31" s="77">
        <f t="shared" si="40"/>
        <v>1350000</v>
      </c>
      <c r="V31" s="77">
        <f t="shared" si="40"/>
        <v>1350000</v>
      </c>
      <c r="W31" s="77">
        <f t="shared" si="40"/>
        <v>1350000</v>
      </c>
      <c r="X31" s="77">
        <f t="shared" si="40"/>
        <v>1350000</v>
      </c>
      <c r="Y31" s="77">
        <f t="shared" si="40"/>
        <v>1350000</v>
      </c>
      <c r="Z31" s="77">
        <f t="shared" si="40"/>
        <v>1350000</v>
      </c>
      <c r="AA31" s="77">
        <f t="shared" si="40"/>
        <v>1350000</v>
      </c>
      <c r="AB31" s="77">
        <f t="shared" si="40"/>
        <v>1350000</v>
      </c>
      <c r="AC31" s="77">
        <f t="shared" si="40"/>
        <v>1350000</v>
      </c>
      <c r="AD31" s="77">
        <f t="shared" si="40"/>
        <v>1350000</v>
      </c>
      <c r="AE31" s="77">
        <f t="shared" si="40"/>
        <v>1350000</v>
      </c>
      <c r="AF31" s="77">
        <f t="shared" si="40"/>
        <v>1350000</v>
      </c>
      <c r="AG31" s="77">
        <f t="shared" si="40"/>
        <v>1350000</v>
      </c>
      <c r="AH31" s="77">
        <f t="shared" si="40"/>
        <v>1350000</v>
      </c>
      <c r="AI31" s="77">
        <f t="shared" si="40"/>
        <v>1350000</v>
      </c>
      <c r="AJ31" s="77">
        <f t="shared" si="40"/>
        <v>1350000</v>
      </c>
      <c r="AK31" s="77">
        <f t="shared" si="40"/>
        <v>1350000</v>
      </c>
      <c r="AL31" s="77">
        <f t="shared" si="40"/>
        <v>1350000</v>
      </c>
      <c r="AM31" s="77">
        <f t="shared" si="40"/>
        <v>1350000</v>
      </c>
      <c r="AN31" s="81"/>
      <c r="AO31" s="75">
        <f>SUM(D31:O31)</f>
        <v>11850000</v>
      </c>
      <c r="AP31" s="75">
        <f>SUM(P31:AA31)</f>
        <v>16200000</v>
      </c>
      <c r="AQ31" s="75">
        <f>SUM(AB31:AM31)</f>
        <v>16200000</v>
      </c>
    </row>
    <row r="32" spans="1:16370" hidden="1" outlineLevel="1">
      <c r="A32" s="70" t="s">
        <v>190</v>
      </c>
      <c r="B32" s="85" t="s">
        <v>78</v>
      </c>
      <c r="C32" s="72"/>
      <c r="D32" s="77">
        <f t="shared" ref="D32:AM32" si="41">D30*D21</f>
        <v>2187500</v>
      </c>
      <c r="E32" s="77">
        <f t="shared" si="41"/>
        <v>2187500</v>
      </c>
      <c r="F32" s="77">
        <f t="shared" si="41"/>
        <v>2500000</v>
      </c>
      <c r="G32" s="77">
        <f t="shared" si="41"/>
        <v>2500000</v>
      </c>
      <c r="H32" s="77">
        <f t="shared" si="41"/>
        <v>2500000</v>
      </c>
      <c r="I32" s="77">
        <f t="shared" si="41"/>
        <v>2812500</v>
      </c>
      <c r="J32" s="77">
        <f t="shared" si="41"/>
        <v>2812500</v>
      </c>
      <c r="K32" s="77">
        <f t="shared" si="41"/>
        <v>2812500</v>
      </c>
      <c r="L32" s="77">
        <f t="shared" si="41"/>
        <v>3125000</v>
      </c>
      <c r="M32" s="77">
        <f t="shared" si="41"/>
        <v>3125000</v>
      </c>
      <c r="N32" s="77">
        <f t="shared" si="41"/>
        <v>3750000</v>
      </c>
      <c r="O32" s="77">
        <f t="shared" si="41"/>
        <v>4375000</v>
      </c>
      <c r="P32" s="77">
        <f t="shared" si="41"/>
        <v>4375000</v>
      </c>
      <c r="Q32" s="77">
        <f t="shared" si="41"/>
        <v>4375000</v>
      </c>
      <c r="R32" s="77">
        <f t="shared" si="41"/>
        <v>4375000</v>
      </c>
      <c r="S32" s="77">
        <f t="shared" si="41"/>
        <v>4375000</v>
      </c>
      <c r="T32" s="77">
        <f t="shared" si="41"/>
        <v>4375000</v>
      </c>
      <c r="U32" s="77">
        <f t="shared" si="41"/>
        <v>4375000</v>
      </c>
      <c r="V32" s="77">
        <f t="shared" si="41"/>
        <v>4375000</v>
      </c>
      <c r="W32" s="77">
        <f t="shared" si="41"/>
        <v>4375000</v>
      </c>
      <c r="X32" s="77">
        <f t="shared" si="41"/>
        <v>4375000</v>
      </c>
      <c r="Y32" s="77">
        <f t="shared" si="41"/>
        <v>4375000</v>
      </c>
      <c r="Z32" s="77">
        <f t="shared" si="41"/>
        <v>4375000</v>
      </c>
      <c r="AA32" s="77">
        <f t="shared" si="41"/>
        <v>4375000</v>
      </c>
      <c r="AB32" s="77">
        <f t="shared" si="41"/>
        <v>4375000</v>
      </c>
      <c r="AC32" s="77">
        <f t="shared" si="41"/>
        <v>4375000</v>
      </c>
      <c r="AD32" s="77">
        <f t="shared" si="41"/>
        <v>4375000</v>
      </c>
      <c r="AE32" s="77">
        <f t="shared" si="41"/>
        <v>4375000</v>
      </c>
      <c r="AF32" s="77">
        <f t="shared" si="41"/>
        <v>4375000</v>
      </c>
      <c r="AG32" s="77">
        <f t="shared" si="41"/>
        <v>4375000</v>
      </c>
      <c r="AH32" s="77">
        <f t="shared" si="41"/>
        <v>4375000</v>
      </c>
      <c r="AI32" s="77">
        <f t="shared" si="41"/>
        <v>4375000</v>
      </c>
      <c r="AJ32" s="77">
        <f t="shared" si="41"/>
        <v>4375000</v>
      </c>
      <c r="AK32" s="77">
        <f t="shared" si="41"/>
        <v>4375000</v>
      </c>
      <c r="AL32" s="77">
        <f t="shared" si="41"/>
        <v>4375000</v>
      </c>
      <c r="AM32" s="77">
        <f t="shared" si="41"/>
        <v>4375000</v>
      </c>
      <c r="AN32" s="81"/>
      <c r="AO32" s="75">
        <f>SUM(D32:O32)</f>
        <v>34687500</v>
      </c>
      <c r="AP32" s="75">
        <f>SUM(P32:AA32)</f>
        <v>52500000</v>
      </c>
      <c r="AQ32" s="75">
        <f>SUM(AB32:AM32)</f>
        <v>52500000</v>
      </c>
    </row>
    <row r="33" spans="1:16370" hidden="1" outlineLevel="1">
      <c r="A33" s="70" t="s">
        <v>188</v>
      </c>
      <c r="B33" s="85" t="s">
        <v>79</v>
      </c>
      <c r="C33" s="72"/>
      <c r="D33" s="92">
        <v>5.0000000000000001E-3</v>
      </c>
      <c r="E33" s="92">
        <v>5.0000000000000001E-3</v>
      </c>
      <c r="F33" s="92">
        <v>5.0000000000000001E-3</v>
      </c>
      <c r="G33" s="92">
        <v>5.0000000000000001E-3</v>
      </c>
      <c r="H33" s="92">
        <v>5.0000000000000001E-3</v>
      </c>
      <c r="I33" s="92">
        <v>5.0000000000000001E-3</v>
      </c>
      <c r="J33" s="92">
        <v>5.0000000000000001E-3</v>
      </c>
      <c r="K33" s="92">
        <v>5.0000000000000001E-3</v>
      </c>
      <c r="L33" s="92">
        <v>5.0000000000000001E-3</v>
      </c>
      <c r="M33" s="92">
        <v>5.0000000000000001E-3</v>
      </c>
      <c r="N33" s="92">
        <v>5.0000000000000001E-3</v>
      </c>
      <c r="O33" s="92">
        <v>5.0000000000000001E-3</v>
      </c>
      <c r="P33" s="92">
        <v>5.0000000000000001E-3</v>
      </c>
      <c r="Q33" s="92">
        <v>5.0000000000000001E-3</v>
      </c>
      <c r="R33" s="92">
        <v>5.0000000000000001E-3</v>
      </c>
      <c r="S33" s="92">
        <v>5.0000000000000001E-3</v>
      </c>
      <c r="T33" s="92">
        <v>5.0000000000000001E-3</v>
      </c>
      <c r="U33" s="92">
        <v>5.0000000000000001E-3</v>
      </c>
      <c r="V33" s="92">
        <v>5.0000000000000001E-3</v>
      </c>
      <c r="W33" s="92">
        <v>5.0000000000000001E-3</v>
      </c>
      <c r="X33" s="92">
        <v>5.0000000000000001E-3</v>
      </c>
      <c r="Y33" s="92">
        <v>5.0000000000000001E-3</v>
      </c>
      <c r="Z33" s="92">
        <v>5.0000000000000001E-3</v>
      </c>
      <c r="AA33" s="92">
        <v>5.0000000000000001E-3</v>
      </c>
      <c r="AB33" s="92">
        <v>5.0000000000000001E-3</v>
      </c>
      <c r="AC33" s="92">
        <v>5.0000000000000001E-3</v>
      </c>
      <c r="AD33" s="92">
        <v>5.0000000000000001E-3</v>
      </c>
      <c r="AE33" s="92">
        <v>5.0000000000000001E-3</v>
      </c>
      <c r="AF33" s="92">
        <v>5.0000000000000001E-3</v>
      </c>
      <c r="AG33" s="92">
        <v>5.0000000000000001E-3</v>
      </c>
      <c r="AH33" s="92">
        <v>5.0000000000000001E-3</v>
      </c>
      <c r="AI33" s="92">
        <v>5.0000000000000001E-3</v>
      </c>
      <c r="AJ33" s="92">
        <v>5.0000000000000001E-3</v>
      </c>
      <c r="AK33" s="92">
        <v>5.0000000000000001E-3</v>
      </c>
      <c r="AL33" s="92">
        <v>5.0000000000000001E-3</v>
      </c>
      <c r="AM33" s="92">
        <v>5.0000000000000001E-3</v>
      </c>
      <c r="AN33" s="81"/>
      <c r="AO33" s="109">
        <f t="shared" ref="AO33" si="42">AVERAGE(D33:O33)</f>
        <v>4.9999999999999992E-3</v>
      </c>
      <c r="AP33" s="109">
        <f t="shared" ref="AP33" si="43">AVERAGE(P33:AA33)</f>
        <v>4.9999999999999992E-3</v>
      </c>
      <c r="AQ33" s="109">
        <f t="shared" ref="AQ33" si="44">AVERAGE(AB33:AM33)</f>
        <v>4.9999999999999992E-3</v>
      </c>
    </row>
    <row r="34" spans="1:16370" hidden="1" outlineLevel="1">
      <c r="A34" s="70" t="s">
        <v>195</v>
      </c>
      <c r="B34" s="85" t="s">
        <v>79</v>
      </c>
      <c r="C34" s="72"/>
      <c r="D34" s="92">
        <v>2E-3</v>
      </c>
      <c r="E34" s="92">
        <v>2E-3</v>
      </c>
      <c r="F34" s="92">
        <v>2E-3</v>
      </c>
      <c r="G34" s="92">
        <v>2E-3</v>
      </c>
      <c r="H34" s="92">
        <v>2E-3</v>
      </c>
      <c r="I34" s="92">
        <v>2E-3</v>
      </c>
      <c r="J34" s="92">
        <v>2E-3</v>
      </c>
      <c r="K34" s="92">
        <v>2E-3</v>
      </c>
      <c r="L34" s="92">
        <v>2E-3</v>
      </c>
      <c r="M34" s="92">
        <v>2E-3</v>
      </c>
      <c r="N34" s="92">
        <v>2E-3</v>
      </c>
      <c r="O34" s="92">
        <v>2E-3</v>
      </c>
      <c r="P34" s="92">
        <v>2E-3</v>
      </c>
      <c r="Q34" s="92">
        <v>2E-3</v>
      </c>
      <c r="R34" s="92">
        <v>2E-3</v>
      </c>
      <c r="S34" s="92">
        <v>2E-3</v>
      </c>
      <c r="T34" s="92">
        <v>2E-3</v>
      </c>
      <c r="U34" s="92">
        <v>2E-3</v>
      </c>
      <c r="V34" s="92">
        <v>2E-3</v>
      </c>
      <c r="W34" s="92">
        <v>2E-3</v>
      </c>
      <c r="X34" s="92">
        <v>2E-3</v>
      </c>
      <c r="Y34" s="92">
        <v>2E-3</v>
      </c>
      <c r="Z34" s="92">
        <v>2E-3</v>
      </c>
      <c r="AA34" s="92">
        <v>2E-3</v>
      </c>
      <c r="AB34" s="92">
        <v>2E-3</v>
      </c>
      <c r="AC34" s="92">
        <v>2E-3</v>
      </c>
      <c r="AD34" s="92">
        <v>2E-3</v>
      </c>
      <c r="AE34" s="92">
        <v>2E-3</v>
      </c>
      <c r="AF34" s="92">
        <v>2E-3</v>
      </c>
      <c r="AG34" s="92">
        <v>2E-3</v>
      </c>
      <c r="AH34" s="92">
        <v>2E-3</v>
      </c>
      <c r="AI34" s="92">
        <v>2E-3</v>
      </c>
      <c r="AJ34" s="92">
        <v>2E-3</v>
      </c>
      <c r="AK34" s="92">
        <v>2E-3</v>
      </c>
      <c r="AL34" s="92">
        <v>2E-3</v>
      </c>
      <c r="AM34" s="92">
        <v>2E-3</v>
      </c>
      <c r="AN34" s="81"/>
      <c r="AO34" s="109">
        <f t="shared" ref="AO34:AO35" si="45">AVERAGE(D34:O34)</f>
        <v>2.0000000000000005E-3</v>
      </c>
      <c r="AP34" s="109">
        <f t="shared" ref="AP34:AP35" si="46">AVERAGE(P34:AA34)</f>
        <v>2.0000000000000005E-3</v>
      </c>
      <c r="AQ34" s="109">
        <f t="shared" ref="AQ34:AQ35" si="47">AVERAGE(AB34:AM34)</f>
        <v>2.0000000000000005E-3</v>
      </c>
    </row>
    <row r="35" spans="1:16370" hidden="1" outlineLevel="1">
      <c r="A35" s="70" t="s">
        <v>189</v>
      </c>
      <c r="B35" s="85" t="s">
        <v>79</v>
      </c>
      <c r="C35" s="72"/>
      <c r="D35" s="92">
        <v>5.0000000000000001E-3</v>
      </c>
      <c r="E35" s="92">
        <v>5.0000000000000001E-3</v>
      </c>
      <c r="F35" s="92">
        <v>5.0000000000000001E-3</v>
      </c>
      <c r="G35" s="92">
        <v>5.0000000000000001E-3</v>
      </c>
      <c r="H35" s="92">
        <v>5.0000000000000001E-3</v>
      </c>
      <c r="I35" s="92">
        <v>5.0000000000000001E-3</v>
      </c>
      <c r="J35" s="92">
        <v>5.0000000000000001E-3</v>
      </c>
      <c r="K35" s="92">
        <v>5.0000000000000001E-3</v>
      </c>
      <c r="L35" s="92">
        <v>5.0000000000000001E-3</v>
      </c>
      <c r="M35" s="92">
        <v>5.0000000000000001E-3</v>
      </c>
      <c r="N35" s="92">
        <v>5.0000000000000001E-3</v>
      </c>
      <c r="O35" s="92">
        <v>5.0000000000000001E-3</v>
      </c>
      <c r="P35" s="92">
        <v>5.0000000000000001E-3</v>
      </c>
      <c r="Q35" s="92">
        <v>5.0000000000000001E-3</v>
      </c>
      <c r="R35" s="92">
        <v>5.0000000000000001E-3</v>
      </c>
      <c r="S35" s="92">
        <v>5.0000000000000001E-3</v>
      </c>
      <c r="T35" s="92">
        <v>5.0000000000000001E-3</v>
      </c>
      <c r="U35" s="92">
        <v>5.0000000000000001E-3</v>
      </c>
      <c r="V35" s="92">
        <v>5.0000000000000001E-3</v>
      </c>
      <c r="W35" s="92">
        <v>5.0000000000000001E-3</v>
      </c>
      <c r="X35" s="92">
        <v>5.0000000000000001E-3</v>
      </c>
      <c r="Y35" s="92">
        <v>5.0000000000000001E-3</v>
      </c>
      <c r="Z35" s="92">
        <v>5.0000000000000001E-3</v>
      </c>
      <c r="AA35" s="92">
        <v>5.0000000000000001E-3</v>
      </c>
      <c r="AB35" s="92">
        <v>5.0000000000000001E-3</v>
      </c>
      <c r="AC35" s="92">
        <v>5.0000000000000001E-3</v>
      </c>
      <c r="AD35" s="92">
        <v>5.0000000000000001E-3</v>
      </c>
      <c r="AE35" s="92">
        <v>5.0000000000000001E-3</v>
      </c>
      <c r="AF35" s="92">
        <v>5.0000000000000001E-3</v>
      </c>
      <c r="AG35" s="92">
        <v>5.0000000000000001E-3</v>
      </c>
      <c r="AH35" s="92">
        <v>5.0000000000000001E-3</v>
      </c>
      <c r="AI35" s="92">
        <v>5.0000000000000001E-3</v>
      </c>
      <c r="AJ35" s="92">
        <v>5.0000000000000001E-3</v>
      </c>
      <c r="AK35" s="92">
        <v>5.0000000000000001E-3</v>
      </c>
      <c r="AL35" s="92">
        <v>5.0000000000000001E-3</v>
      </c>
      <c r="AM35" s="92">
        <v>5.0000000000000001E-3</v>
      </c>
      <c r="AN35" s="81"/>
      <c r="AO35" s="109">
        <f t="shared" si="45"/>
        <v>4.9999999999999992E-3</v>
      </c>
      <c r="AP35" s="109">
        <f t="shared" si="46"/>
        <v>4.9999999999999992E-3</v>
      </c>
      <c r="AQ35" s="109">
        <f t="shared" si="47"/>
        <v>4.9999999999999992E-3</v>
      </c>
    </row>
    <row r="36" spans="1:16370" hidden="1" outlineLevel="1">
      <c r="A36" s="70" t="s">
        <v>97</v>
      </c>
      <c r="B36" s="85" t="s">
        <v>78</v>
      </c>
      <c r="C36" s="72"/>
      <c r="D36" s="77">
        <f>(D31*D33+D32*D35+D31*D34)*(1-2/102)</f>
        <v>15870.098039215685</v>
      </c>
      <c r="E36" s="77">
        <f t="shared" ref="E36:AM36" si="48">(E31*E33+E32*E35+E31*E34)*(1-2/102)</f>
        <v>15870.098039215685</v>
      </c>
      <c r="F36" s="77">
        <f t="shared" si="48"/>
        <v>17401.960784313724</v>
      </c>
      <c r="G36" s="77">
        <f t="shared" si="48"/>
        <v>18431.372549019608</v>
      </c>
      <c r="H36" s="77">
        <f t="shared" si="48"/>
        <v>18431.372549019608</v>
      </c>
      <c r="I36" s="77">
        <f t="shared" si="48"/>
        <v>19963.235294117647</v>
      </c>
      <c r="J36" s="77">
        <f t="shared" si="48"/>
        <v>20992.647058823528</v>
      </c>
      <c r="K36" s="77">
        <f t="shared" si="48"/>
        <v>20992.647058823528</v>
      </c>
      <c r="L36" s="77">
        <f t="shared" si="48"/>
        <v>22524.509803921566</v>
      </c>
      <c r="M36" s="77">
        <f t="shared" si="48"/>
        <v>23553.921568627451</v>
      </c>
      <c r="N36" s="77">
        <f t="shared" si="48"/>
        <v>26617.647058823528</v>
      </c>
      <c r="O36" s="77">
        <f t="shared" si="48"/>
        <v>30710.784313725489</v>
      </c>
      <c r="P36" s="77">
        <f t="shared" si="48"/>
        <v>30710.784313725489</v>
      </c>
      <c r="Q36" s="77">
        <f t="shared" si="48"/>
        <v>30710.784313725489</v>
      </c>
      <c r="R36" s="77">
        <f t="shared" si="48"/>
        <v>30710.784313725489</v>
      </c>
      <c r="S36" s="77">
        <f t="shared" si="48"/>
        <v>30710.784313725489</v>
      </c>
      <c r="T36" s="77">
        <f t="shared" si="48"/>
        <v>30710.784313725489</v>
      </c>
      <c r="U36" s="77">
        <f t="shared" si="48"/>
        <v>30710.784313725489</v>
      </c>
      <c r="V36" s="77">
        <f t="shared" si="48"/>
        <v>30710.784313725489</v>
      </c>
      <c r="W36" s="77">
        <f t="shared" si="48"/>
        <v>30710.784313725489</v>
      </c>
      <c r="X36" s="77">
        <f t="shared" si="48"/>
        <v>30710.784313725489</v>
      </c>
      <c r="Y36" s="77">
        <f t="shared" si="48"/>
        <v>30710.784313725489</v>
      </c>
      <c r="Z36" s="77">
        <f t="shared" si="48"/>
        <v>30710.784313725489</v>
      </c>
      <c r="AA36" s="77">
        <f t="shared" si="48"/>
        <v>30710.784313725489</v>
      </c>
      <c r="AB36" s="77">
        <f t="shared" si="48"/>
        <v>30710.784313725489</v>
      </c>
      <c r="AC36" s="77">
        <f t="shared" si="48"/>
        <v>30710.784313725489</v>
      </c>
      <c r="AD36" s="77">
        <f t="shared" si="48"/>
        <v>30710.784313725489</v>
      </c>
      <c r="AE36" s="77">
        <f t="shared" si="48"/>
        <v>30710.784313725489</v>
      </c>
      <c r="AF36" s="77">
        <f t="shared" si="48"/>
        <v>30710.784313725489</v>
      </c>
      <c r="AG36" s="77">
        <f t="shared" si="48"/>
        <v>30710.784313725489</v>
      </c>
      <c r="AH36" s="77">
        <f t="shared" si="48"/>
        <v>30710.784313725489</v>
      </c>
      <c r="AI36" s="77">
        <f t="shared" si="48"/>
        <v>30710.784313725489</v>
      </c>
      <c r="AJ36" s="77">
        <f t="shared" si="48"/>
        <v>30710.784313725489</v>
      </c>
      <c r="AK36" s="77">
        <f t="shared" si="48"/>
        <v>30710.784313725489</v>
      </c>
      <c r="AL36" s="77">
        <f t="shared" si="48"/>
        <v>30710.784313725489</v>
      </c>
      <c r="AM36" s="77">
        <f t="shared" si="48"/>
        <v>30710.784313725489</v>
      </c>
      <c r="AN36" s="81"/>
      <c r="AO36" s="75">
        <f t="shared" ref="AO36" si="49">SUM(D36:O36)</f>
        <v>251360.29411764702</v>
      </c>
      <c r="AP36" s="75">
        <f t="shared" ref="AP36" si="50">SUM(P36:AA36)</f>
        <v>368529.41176470584</v>
      </c>
      <c r="AQ36" s="75">
        <f>SUM(AB36:AM36)</f>
        <v>368529.41176470584</v>
      </c>
    </row>
    <row r="37" spans="1:16370" hidden="1" outlineLevel="1">
      <c r="A37" s="70" t="s">
        <v>192</v>
      </c>
      <c r="B37" s="85" t="s">
        <v>79</v>
      </c>
      <c r="C37" s="72"/>
      <c r="D37" s="92">
        <v>1E-3</v>
      </c>
      <c r="E37" s="92">
        <v>1E-3</v>
      </c>
      <c r="F37" s="92">
        <v>1E-3</v>
      </c>
      <c r="G37" s="92">
        <v>1E-3</v>
      </c>
      <c r="H37" s="92">
        <v>1E-3</v>
      </c>
      <c r="I37" s="92">
        <v>1E-3</v>
      </c>
      <c r="J37" s="92">
        <v>1E-3</v>
      </c>
      <c r="K37" s="92">
        <v>1E-3</v>
      </c>
      <c r="L37" s="92">
        <v>1E-3</v>
      </c>
      <c r="M37" s="92">
        <v>1E-3</v>
      </c>
      <c r="N37" s="92">
        <v>1E-3</v>
      </c>
      <c r="O37" s="92">
        <v>1E-3</v>
      </c>
      <c r="P37" s="92">
        <v>1E-3</v>
      </c>
      <c r="Q37" s="92">
        <v>1E-3</v>
      </c>
      <c r="R37" s="92">
        <v>1E-3</v>
      </c>
      <c r="S37" s="92">
        <v>1E-3</v>
      </c>
      <c r="T37" s="92">
        <v>1E-3</v>
      </c>
      <c r="U37" s="92">
        <v>1E-3</v>
      </c>
      <c r="V37" s="92">
        <v>1E-3</v>
      </c>
      <c r="W37" s="92">
        <v>1E-3</v>
      </c>
      <c r="X37" s="92">
        <v>1E-3</v>
      </c>
      <c r="Y37" s="92">
        <v>1E-3</v>
      </c>
      <c r="Z37" s="92">
        <v>1E-3</v>
      </c>
      <c r="AA37" s="92">
        <v>1E-3</v>
      </c>
      <c r="AB37" s="92">
        <v>1E-3</v>
      </c>
      <c r="AC37" s="92">
        <v>1E-3</v>
      </c>
      <c r="AD37" s="92">
        <v>1E-3</v>
      </c>
      <c r="AE37" s="92">
        <v>1E-3</v>
      </c>
      <c r="AF37" s="92">
        <v>1E-3</v>
      </c>
      <c r="AG37" s="92">
        <v>1E-3</v>
      </c>
      <c r="AH37" s="92">
        <v>1E-3</v>
      </c>
      <c r="AI37" s="92">
        <v>1E-3</v>
      </c>
      <c r="AJ37" s="92">
        <v>1E-3</v>
      </c>
      <c r="AK37" s="92">
        <v>1E-3</v>
      </c>
      <c r="AL37" s="92">
        <v>1E-3</v>
      </c>
      <c r="AM37" s="92">
        <v>1E-3</v>
      </c>
      <c r="AN37" s="81"/>
      <c r="AO37" s="109">
        <f t="shared" ref="AO37" si="51">AVERAGE(D37:O37)</f>
        <v>1.0000000000000002E-3</v>
      </c>
      <c r="AP37" s="109">
        <f t="shared" ref="AP37" si="52">AVERAGE(P37:AA37)</f>
        <v>1.0000000000000002E-3</v>
      </c>
      <c r="AQ37" s="109">
        <f t="shared" ref="AQ37" si="53">AVERAGE(AB37:AM37)</f>
        <v>1.0000000000000002E-3</v>
      </c>
    </row>
    <row r="38" spans="1:16370" hidden="1" outlineLevel="1">
      <c r="A38" s="70" t="s">
        <v>191</v>
      </c>
      <c r="B38" s="85" t="s">
        <v>78</v>
      </c>
      <c r="C38" s="72"/>
      <c r="D38" s="77">
        <f>-D32*D37</f>
        <v>-2187.5</v>
      </c>
      <c r="E38" s="77">
        <f t="shared" ref="E38:AM38" si="54">-E32*E37</f>
        <v>-2187.5</v>
      </c>
      <c r="F38" s="77">
        <f t="shared" si="54"/>
        <v>-2500</v>
      </c>
      <c r="G38" s="77">
        <f t="shared" si="54"/>
        <v>-2500</v>
      </c>
      <c r="H38" s="77">
        <f t="shared" si="54"/>
        <v>-2500</v>
      </c>
      <c r="I38" s="77">
        <f t="shared" si="54"/>
        <v>-2812.5</v>
      </c>
      <c r="J38" s="77">
        <f t="shared" si="54"/>
        <v>-2812.5</v>
      </c>
      <c r="K38" s="77">
        <f t="shared" si="54"/>
        <v>-2812.5</v>
      </c>
      <c r="L38" s="77">
        <f t="shared" si="54"/>
        <v>-3125</v>
      </c>
      <c r="M38" s="77">
        <f t="shared" si="54"/>
        <v>-3125</v>
      </c>
      <c r="N38" s="77">
        <f t="shared" si="54"/>
        <v>-3750</v>
      </c>
      <c r="O38" s="77">
        <f t="shared" si="54"/>
        <v>-4375</v>
      </c>
      <c r="P38" s="77">
        <f t="shared" si="54"/>
        <v>-4375</v>
      </c>
      <c r="Q38" s="77">
        <f t="shared" si="54"/>
        <v>-4375</v>
      </c>
      <c r="R38" s="77">
        <f t="shared" si="54"/>
        <v>-4375</v>
      </c>
      <c r="S38" s="77">
        <f t="shared" si="54"/>
        <v>-4375</v>
      </c>
      <c r="T38" s="77">
        <f t="shared" si="54"/>
        <v>-4375</v>
      </c>
      <c r="U38" s="77">
        <f t="shared" si="54"/>
        <v>-4375</v>
      </c>
      <c r="V38" s="77">
        <f t="shared" si="54"/>
        <v>-4375</v>
      </c>
      <c r="W38" s="77">
        <f t="shared" si="54"/>
        <v>-4375</v>
      </c>
      <c r="X38" s="77">
        <f t="shared" si="54"/>
        <v>-4375</v>
      </c>
      <c r="Y38" s="77">
        <f t="shared" si="54"/>
        <v>-4375</v>
      </c>
      <c r="Z38" s="77">
        <f t="shared" si="54"/>
        <v>-4375</v>
      </c>
      <c r="AA38" s="77">
        <f t="shared" si="54"/>
        <v>-4375</v>
      </c>
      <c r="AB38" s="77">
        <f t="shared" si="54"/>
        <v>-4375</v>
      </c>
      <c r="AC38" s="77">
        <f t="shared" si="54"/>
        <v>-4375</v>
      </c>
      <c r="AD38" s="77">
        <f t="shared" si="54"/>
        <v>-4375</v>
      </c>
      <c r="AE38" s="77">
        <f t="shared" si="54"/>
        <v>-4375</v>
      </c>
      <c r="AF38" s="77">
        <f t="shared" si="54"/>
        <v>-4375</v>
      </c>
      <c r="AG38" s="77">
        <f t="shared" si="54"/>
        <v>-4375</v>
      </c>
      <c r="AH38" s="77">
        <f t="shared" si="54"/>
        <v>-4375</v>
      </c>
      <c r="AI38" s="77">
        <f t="shared" si="54"/>
        <v>-4375</v>
      </c>
      <c r="AJ38" s="77">
        <f t="shared" si="54"/>
        <v>-4375</v>
      </c>
      <c r="AK38" s="77">
        <f t="shared" si="54"/>
        <v>-4375</v>
      </c>
      <c r="AL38" s="77">
        <f t="shared" si="54"/>
        <v>-4375</v>
      </c>
      <c r="AM38" s="77">
        <f t="shared" si="54"/>
        <v>-4375</v>
      </c>
      <c r="AN38" s="81"/>
      <c r="AO38" s="75">
        <f t="shared" ref="AO38" si="55">SUM(D38:O38)</f>
        <v>-34687.5</v>
      </c>
      <c r="AP38" s="75">
        <f t="shared" ref="AP38" si="56">SUM(P38:AA38)</f>
        <v>-52500</v>
      </c>
      <c r="AQ38" s="75">
        <f>SUM(AB38:AM38)</f>
        <v>-52500</v>
      </c>
    </row>
    <row r="39" spans="1:16370" hidden="1" outlineLevel="1">
      <c r="A39" s="70" t="s">
        <v>193</v>
      </c>
      <c r="B39" s="85" t="s">
        <v>79</v>
      </c>
      <c r="C39" s="72"/>
      <c r="D39" s="92">
        <v>2E-3</v>
      </c>
      <c r="E39" s="92">
        <v>2E-3</v>
      </c>
      <c r="F39" s="92">
        <v>2E-3</v>
      </c>
      <c r="G39" s="92">
        <v>2E-3</v>
      </c>
      <c r="H39" s="92">
        <v>2E-3</v>
      </c>
      <c r="I39" s="92">
        <v>2E-3</v>
      </c>
      <c r="J39" s="92">
        <v>2E-3</v>
      </c>
      <c r="K39" s="92">
        <v>2E-3</v>
      </c>
      <c r="L39" s="92">
        <v>2E-3</v>
      </c>
      <c r="M39" s="92">
        <v>2E-3</v>
      </c>
      <c r="N39" s="92">
        <v>2E-3</v>
      </c>
      <c r="O39" s="92">
        <v>2E-3</v>
      </c>
      <c r="P39" s="92">
        <v>2E-3</v>
      </c>
      <c r="Q39" s="92">
        <v>2E-3</v>
      </c>
      <c r="R39" s="92">
        <v>2E-3</v>
      </c>
      <c r="S39" s="92">
        <v>2E-3</v>
      </c>
      <c r="T39" s="92">
        <v>2E-3</v>
      </c>
      <c r="U39" s="92">
        <v>2E-3</v>
      </c>
      <c r="V39" s="92">
        <v>2E-3</v>
      </c>
      <c r="W39" s="92">
        <v>2E-3</v>
      </c>
      <c r="X39" s="92">
        <v>2E-3</v>
      </c>
      <c r="Y39" s="92">
        <v>2E-3</v>
      </c>
      <c r="Z39" s="92">
        <v>2E-3</v>
      </c>
      <c r="AA39" s="92">
        <v>2E-3</v>
      </c>
      <c r="AB39" s="92">
        <v>2E-3</v>
      </c>
      <c r="AC39" s="92">
        <v>2E-3</v>
      </c>
      <c r="AD39" s="92">
        <v>2E-3</v>
      </c>
      <c r="AE39" s="92">
        <v>2E-3</v>
      </c>
      <c r="AF39" s="92">
        <v>2E-3</v>
      </c>
      <c r="AG39" s="92">
        <v>2E-3</v>
      </c>
      <c r="AH39" s="92">
        <v>2E-3</v>
      </c>
      <c r="AI39" s="92">
        <v>2E-3</v>
      </c>
      <c r="AJ39" s="92">
        <v>2E-3</v>
      </c>
      <c r="AK39" s="92">
        <v>2E-3</v>
      </c>
      <c r="AL39" s="92">
        <v>2E-3</v>
      </c>
      <c r="AM39" s="92">
        <v>2E-3</v>
      </c>
      <c r="AN39" s="81"/>
      <c r="AO39" s="109">
        <f t="shared" ref="AO39" si="57">AVERAGE(D39:O39)</f>
        <v>2.0000000000000005E-3</v>
      </c>
      <c r="AP39" s="109">
        <f t="shared" ref="AP39" si="58">AVERAGE(P39:AA39)</f>
        <v>2.0000000000000005E-3</v>
      </c>
      <c r="AQ39" s="109">
        <f t="shared" ref="AQ39" si="59">AVERAGE(AB39:AM39)</f>
        <v>2.0000000000000005E-3</v>
      </c>
    </row>
    <row r="40" spans="1:16370" hidden="1" outlineLevel="1">
      <c r="A40" s="70" t="s">
        <v>194</v>
      </c>
      <c r="B40" s="85" t="s">
        <v>78</v>
      </c>
      <c r="C40" s="72"/>
      <c r="D40" s="77">
        <f>-D32*D39</f>
        <v>-4375</v>
      </c>
      <c r="E40" s="77">
        <f t="shared" ref="E40:AM40" si="60">-E32*E39</f>
        <v>-4375</v>
      </c>
      <c r="F40" s="77">
        <f t="shared" si="60"/>
        <v>-5000</v>
      </c>
      <c r="G40" s="77">
        <f t="shared" si="60"/>
        <v>-5000</v>
      </c>
      <c r="H40" s="77">
        <f t="shared" si="60"/>
        <v>-5000</v>
      </c>
      <c r="I40" s="77">
        <f t="shared" si="60"/>
        <v>-5625</v>
      </c>
      <c r="J40" s="77">
        <f t="shared" si="60"/>
        <v>-5625</v>
      </c>
      <c r="K40" s="77">
        <f t="shared" si="60"/>
        <v>-5625</v>
      </c>
      <c r="L40" s="77">
        <f t="shared" si="60"/>
        <v>-6250</v>
      </c>
      <c r="M40" s="77">
        <f t="shared" si="60"/>
        <v>-6250</v>
      </c>
      <c r="N40" s="77">
        <f t="shared" si="60"/>
        <v>-7500</v>
      </c>
      <c r="O40" s="77">
        <f t="shared" si="60"/>
        <v>-8750</v>
      </c>
      <c r="P40" s="77">
        <f t="shared" si="60"/>
        <v>-8750</v>
      </c>
      <c r="Q40" s="77">
        <f t="shared" si="60"/>
        <v>-8750</v>
      </c>
      <c r="R40" s="77">
        <f t="shared" si="60"/>
        <v>-8750</v>
      </c>
      <c r="S40" s="77">
        <f t="shared" si="60"/>
        <v>-8750</v>
      </c>
      <c r="T40" s="77">
        <f t="shared" si="60"/>
        <v>-8750</v>
      </c>
      <c r="U40" s="77">
        <f t="shared" si="60"/>
        <v>-8750</v>
      </c>
      <c r="V40" s="77">
        <f t="shared" si="60"/>
        <v>-8750</v>
      </c>
      <c r="W40" s="77">
        <f t="shared" si="60"/>
        <v>-8750</v>
      </c>
      <c r="X40" s="77">
        <f t="shared" si="60"/>
        <v>-8750</v>
      </c>
      <c r="Y40" s="77">
        <f t="shared" si="60"/>
        <v>-8750</v>
      </c>
      <c r="Z40" s="77">
        <f t="shared" si="60"/>
        <v>-8750</v>
      </c>
      <c r="AA40" s="77">
        <f t="shared" si="60"/>
        <v>-8750</v>
      </c>
      <c r="AB40" s="77">
        <f t="shared" si="60"/>
        <v>-8750</v>
      </c>
      <c r="AC40" s="77">
        <f t="shared" si="60"/>
        <v>-8750</v>
      </c>
      <c r="AD40" s="77">
        <f t="shared" si="60"/>
        <v>-8750</v>
      </c>
      <c r="AE40" s="77">
        <f t="shared" si="60"/>
        <v>-8750</v>
      </c>
      <c r="AF40" s="77">
        <f t="shared" si="60"/>
        <v>-8750</v>
      </c>
      <c r="AG40" s="77">
        <f t="shared" si="60"/>
        <v>-8750</v>
      </c>
      <c r="AH40" s="77">
        <f t="shared" si="60"/>
        <v>-8750</v>
      </c>
      <c r="AI40" s="77">
        <f t="shared" si="60"/>
        <v>-8750</v>
      </c>
      <c r="AJ40" s="77">
        <f t="shared" si="60"/>
        <v>-8750</v>
      </c>
      <c r="AK40" s="77">
        <f t="shared" si="60"/>
        <v>-8750</v>
      </c>
      <c r="AL40" s="77">
        <f t="shared" si="60"/>
        <v>-8750</v>
      </c>
      <c r="AM40" s="77">
        <f t="shared" si="60"/>
        <v>-8750</v>
      </c>
      <c r="AN40" s="81"/>
      <c r="AO40" s="75">
        <f t="shared" ref="AO40" si="61">SUM(D40:O40)</f>
        <v>-69375</v>
      </c>
      <c r="AP40" s="75">
        <f t="shared" ref="AP40" si="62">SUM(P40:AA40)</f>
        <v>-105000</v>
      </c>
      <c r="AQ40" s="75">
        <f>SUM(AB40:AM40)</f>
        <v>-105000</v>
      </c>
    </row>
    <row r="41" spans="1:16370" hidden="1" outlineLevel="1">
      <c r="A41" s="70" t="s">
        <v>197</v>
      </c>
      <c r="B41" s="85" t="s">
        <v>79</v>
      </c>
      <c r="C41" s="72"/>
      <c r="D41" s="92">
        <v>1E-3</v>
      </c>
      <c r="E41" s="92">
        <v>1E-3</v>
      </c>
      <c r="F41" s="92">
        <v>1E-3</v>
      </c>
      <c r="G41" s="92">
        <v>1E-3</v>
      </c>
      <c r="H41" s="92">
        <v>1E-3</v>
      </c>
      <c r="I41" s="92">
        <v>1E-3</v>
      </c>
      <c r="J41" s="92">
        <v>1E-3</v>
      </c>
      <c r="K41" s="92">
        <v>1E-3</v>
      </c>
      <c r="L41" s="92">
        <v>1E-3</v>
      </c>
      <c r="M41" s="92">
        <v>1E-3</v>
      </c>
      <c r="N41" s="92">
        <v>1E-3</v>
      </c>
      <c r="O41" s="92">
        <v>1E-3</v>
      </c>
      <c r="P41" s="92">
        <v>1E-3</v>
      </c>
      <c r="Q41" s="92">
        <v>1E-3</v>
      </c>
      <c r="R41" s="92">
        <v>1E-3</v>
      </c>
      <c r="S41" s="92">
        <v>1E-3</v>
      </c>
      <c r="T41" s="92">
        <v>1E-3</v>
      </c>
      <c r="U41" s="92">
        <v>1E-3</v>
      </c>
      <c r="V41" s="92">
        <v>1E-3</v>
      </c>
      <c r="W41" s="92">
        <v>1E-3</v>
      </c>
      <c r="X41" s="92">
        <v>1E-3</v>
      </c>
      <c r="Y41" s="92">
        <v>1E-3</v>
      </c>
      <c r="Z41" s="92">
        <v>1E-3</v>
      </c>
      <c r="AA41" s="92">
        <v>1E-3</v>
      </c>
      <c r="AB41" s="92">
        <v>1E-3</v>
      </c>
      <c r="AC41" s="92">
        <v>1E-3</v>
      </c>
      <c r="AD41" s="92">
        <v>1E-3</v>
      </c>
      <c r="AE41" s="92">
        <v>1E-3</v>
      </c>
      <c r="AF41" s="92">
        <v>1E-3</v>
      </c>
      <c r="AG41" s="92">
        <v>1E-3</v>
      </c>
      <c r="AH41" s="92">
        <v>1E-3</v>
      </c>
      <c r="AI41" s="92">
        <v>1E-3</v>
      </c>
      <c r="AJ41" s="92">
        <v>1E-3</v>
      </c>
      <c r="AK41" s="92">
        <v>1E-3</v>
      </c>
      <c r="AL41" s="92">
        <v>1E-3</v>
      </c>
      <c r="AM41" s="92">
        <v>1E-3</v>
      </c>
      <c r="AN41" s="81"/>
      <c r="AO41" s="109">
        <f t="shared" ref="AO41" si="63">AVERAGE(D41:O41)</f>
        <v>1.0000000000000002E-3</v>
      </c>
      <c r="AP41" s="109">
        <f t="shared" ref="AP41" si="64">AVERAGE(P41:AA41)</f>
        <v>1.0000000000000002E-3</v>
      </c>
      <c r="AQ41" s="109">
        <f t="shared" ref="AQ41" si="65">AVERAGE(AB41:AM41)</f>
        <v>1.0000000000000002E-3</v>
      </c>
    </row>
    <row r="42" spans="1:16370" hidden="1" outlineLevel="1">
      <c r="A42" s="70" t="s">
        <v>196</v>
      </c>
      <c r="B42" s="85" t="s">
        <v>78</v>
      </c>
      <c r="C42" s="72"/>
      <c r="D42" s="77">
        <f>-(D41*D31)</f>
        <v>-750</v>
      </c>
      <c r="E42" s="77">
        <f t="shared" ref="E42:AM42" si="66">-(E41*E31)</f>
        <v>-750</v>
      </c>
      <c r="F42" s="77">
        <f t="shared" si="66"/>
        <v>-750</v>
      </c>
      <c r="G42" s="77">
        <f t="shared" si="66"/>
        <v>-900</v>
      </c>
      <c r="H42" s="77">
        <f t="shared" si="66"/>
        <v>-900</v>
      </c>
      <c r="I42" s="77">
        <f t="shared" si="66"/>
        <v>-900</v>
      </c>
      <c r="J42" s="77">
        <f t="shared" si="66"/>
        <v>-1050</v>
      </c>
      <c r="K42" s="77">
        <f t="shared" si="66"/>
        <v>-1050</v>
      </c>
      <c r="L42" s="77">
        <f t="shared" si="66"/>
        <v>-1050</v>
      </c>
      <c r="M42" s="77">
        <f t="shared" si="66"/>
        <v>-1200</v>
      </c>
      <c r="N42" s="77">
        <f t="shared" si="66"/>
        <v>-1200</v>
      </c>
      <c r="O42" s="77">
        <f t="shared" si="66"/>
        <v>-1350</v>
      </c>
      <c r="P42" s="77">
        <f t="shared" si="66"/>
        <v>-1350</v>
      </c>
      <c r="Q42" s="77">
        <f t="shared" si="66"/>
        <v>-1350</v>
      </c>
      <c r="R42" s="77">
        <f t="shared" si="66"/>
        <v>-1350</v>
      </c>
      <c r="S42" s="77">
        <f t="shared" si="66"/>
        <v>-1350</v>
      </c>
      <c r="T42" s="77">
        <f t="shared" si="66"/>
        <v>-1350</v>
      </c>
      <c r="U42" s="77">
        <f t="shared" si="66"/>
        <v>-1350</v>
      </c>
      <c r="V42" s="77">
        <f t="shared" si="66"/>
        <v>-1350</v>
      </c>
      <c r="W42" s="77">
        <f t="shared" si="66"/>
        <v>-1350</v>
      </c>
      <c r="X42" s="77">
        <f t="shared" si="66"/>
        <v>-1350</v>
      </c>
      <c r="Y42" s="77">
        <f t="shared" si="66"/>
        <v>-1350</v>
      </c>
      <c r="Z42" s="77">
        <f t="shared" si="66"/>
        <v>-1350</v>
      </c>
      <c r="AA42" s="77">
        <f t="shared" si="66"/>
        <v>-1350</v>
      </c>
      <c r="AB42" s="77">
        <f t="shared" si="66"/>
        <v>-1350</v>
      </c>
      <c r="AC42" s="77">
        <f t="shared" si="66"/>
        <v>-1350</v>
      </c>
      <c r="AD42" s="77">
        <f t="shared" si="66"/>
        <v>-1350</v>
      </c>
      <c r="AE42" s="77">
        <f t="shared" si="66"/>
        <v>-1350</v>
      </c>
      <c r="AF42" s="77">
        <f t="shared" si="66"/>
        <v>-1350</v>
      </c>
      <c r="AG42" s="77">
        <f t="shared" si="66"/>
        <v>-1350</v>
      </c>
      <c r="AH42" s="77">
        <f t="shared" si="66"/>
        <v>-1350</v>
      </c>
      <c r="AI42" s="77">
        <f t="shared" si="66"/>
        <v>-1350</v>
      </c>
      <c r="AJ42" s="77">
        <f t="shared" si="66"/>
        <v>-1350</v>
      </c>
      <c r="AK42" s="77">
        <f t="shared" si="66"/>
        <v>-1350</v>
      </c>
      <c r="AL42" s="77">
        <f t="shared" si="66"/>
        <v>-1350</v>
      </c>
      <c r="AM42" s="77">
        <f t="shared" si="66"/>
        <v>-1350</v>
      </c>
      <c r="AN42" s="81"/>
      <c r="AO42" s="75">
        <f t="shared" ref="AO42" si="67">SUM(D42:O42)</f>
        <v>-11850</v>
      </c>
      <c r="AP42" s="75">
        <f t="shared" ref="AP42" si="68">SUM(P42:AA42)</f>
        <v>-16200</v>
      </c>
      <c r="AQ42" s="75">
        <f>SUM(AB42:AM42)</f>
        <v>-16200</v>
      </c>
    </row>
    <row r="43" spans="1:16370" hidden="1" outlineLevel="1">
      <c r="A43" s="80" t="s">
        <v>198</v>
      </c>
      <c r="B43" s="85" t="s">
        <v>78</v>
      </c>
      <c r="D43" s="100">
        <f>D38+D40+D42</f>
        <v>-7312.5</v>
      </c>
      <c r="E43" s="100">
        <f t="shared" ref="E43:AM43" si="69">E38+E40+E42</f>
        <v>-7312.5</v>
      </c>
      <c r="F43" s="100">
        <f t="shared" si="69"/>
        <v>-8250</v>
      </c>
      <c r="G43" s="100">
        <f t="shared" si="69"/>
        <v>-8400</v>
      </c>
      <c r="H43" s="100">
        <f t="shared" si="69"/>
        <v>-8400</v>
      </c>
      <c r="I43" s="100">
        <f t="shared" si="69"/>
        <v>-9337.5</v>
      </c>
      <c r="J43" s="100">
        <f t="shared" si="69"/>
        <v>-9487.5</v>
      </c>
      <c r="K43" s="100">
        <f t="shared" si="69"/>
        <v>-9487.5</v>
      </c>
      <c r="L43" s="100">
        <f t="shared" si="69"/>
        <v>-10425</v>
      </c>
      <c r="M43" s="100">
        <f t="shared" si="69"/>
        <v>-10575</v>
      </c>
      <c r="N43" s="100">
        <f t="shared" si="69"/>
        <v>-12450</v>
      </c>
      <c r="O43" s="100">
        <f t="shared" si="69"/>
        <v>-14475</v>
      </c>
      <c r="P43" s="100">
        <f t="shared" si="69"/>
        <v>-14475</v>
      </c>
      <c r="Q43" s="100">
        <f t="shared" si="69"/>
        <v>-14475</v>
      </c>
      <c r="R43" s="100">
        <f t="shared" si="69"/>
        <v>-14475</v>
      </c>
      <c r="S43" s="100">
        <f t="shared" si="69"/>
        <v>-14475</v>
      </c>
      <c r="T43" s="100">
        <f t="shared" si="69"/>
        <v>-14475</v>
      </c>
      <c r="U43" s="100">
        <f t="shared" si="69"/>
        <v>-14475</v>
      </c>
      <c r="V43" s="100">
        <f t="shared" si="69"/>
        <v>-14475</v>
      </c>
      <c r="W43" s="100">
        <f t="shared" si="69"/>
        <v>-14475</v>
      </c>
      <c r="X43" s="100">
        <f t="shared" si="69"/>
        <v>-14475</v>
      </c>
      <c r="Y43" s="100">
        <f t="shared" si="69"/>
        <v>-14475</v>
      </c>
      <c r="Z43" s="100">
        <f t="shared" si="69"/>
        <v>-14475</v>
      </c>
      <c r="AA43" s="100">
        <f t="shared" si="69"/>
        <v>-14475</v>
      </c>
      <c r="AB43" s="100">
        <f t="shared" si="69"/>
        <v>-14475</v>
      </c>
      <c r="AC43" s="100">
        <f t="shared" si="69"/>
        <v>-14475</v>
      </c>
      <c r="AD43" s="100">
        <f t="shared" si="69"/>
        <v>-14475</v>
      </c>
      <c r="AE43" s="100">
        <f t="shared" si="69"/>
        <v>-14475</v>
      </c>
      <c r="AF43" s="100">
        <f t="shared" si="69"/>
        <v>-14475</v>
      </c>
      <c r="AG43" s="100">
        <f t="shared" si="69"/>
        <v>-14475</v>
      </c>
      <c r="AH43" s="100">
        <f t="shared" si="69"/>
        <v>-14475</v>
      </c>
      <c r="AI43" s="100">
        <f t="shared" si="69"/>
        <v>-14475</v>
      </c>
      <c r="AJ43" s="100">
        <f t="shared" si="69"/>
        <v>-14475</v>
      </c>
      <c r="AK43" s="100">
        <f t="shared" si="69"/>
        <v>-14475</v>
      </c>
      <c r="AL43" s="100">
        <f t="shared" si="69"/>
        <v>-14475</v>
      </c>
      <c r="AM43" s="100">
        <f t="shared" si="69"/>
        <v>-14475</v>
      </c>
      <c r="AO43" s="75">
        <f t="shared" ref="AO43" si="70">SUM(D43:O43)</f>
        <v>-115912.5</v>
      </c>
      <c r="AP43" s="75">
        <f t="shared" ref="AP43" si="71">SUM(P43:AA43)</f>
        <v>-173700</v>
      </c>
      <c r="AQ43" s="75">
        <f>SUM(AB43:AM43)</f>
        <v>-173700</v>
      </c>
    </row>
    <row r="44" spans="1:16370" hidden="1" outlineLevel="1">
      <c r="A44" s="70" t="s">
        <v>290</v>
      </c>
      <c r="B44" s="85" t="s">
        <v>78</v>
      </c>
      <c r="C44" s="72"/>
      <c r="D44" s="77">
        <f>-('OPEX+CAPEX'!E60+'OPEX+CAPEX'!E64+'OPEX+CAPEX'!E65)</f>
        <v>-342.14285714285711</v>
      </c>
      <c r="E44" s="77">
        <f>-('OPEX+CAPEX'!F60+'OPEX+CAPEX'!F64+'OPEX+CAPEX'!F65)</f>
        <v>-207.14285714285714</v>
      </c>
      <c r="F44" s="77">
        <f>-('OPEX+CAPEX'!G60+'OPEX+CAPEX'!G64+'OPEX+CAPEX'!G65)</f>
        <v>-239.01785714285714</v>
      </c>
      <c r="G44" s="77">
        <f>-('OPEX+CAPEX'!H60+'OPEX+CAPEX'!H64+'OPEX+CAPEX'!H65)</f>
        <v>-239.01785714285714</v>
      </c>
      <c r="H44" s="77">
        <f>-('OPEX+CAPEX'!I60+'OPEX+CAPEX'!I64+'OPEX+CAPEX'!I65)</f>
        <v>-239.01785714285714</v>
      </c>
      <c r="I44" s="77">
        <f>-('OPEX+CAPEX'!J60+'OPEX+CAPEX'!J64+'OPEX+CAPEX'!J65)</f>
        <v>-239.01785714285714</v>
      </c>
      <c r="J44" s="77">
        <f>-('OPEX+CAPEX'!K60+'OPEX+CAPEX'!K64+'OPEX+CAPEX'!K65)</f>
        <v>-239.01785714285714</v>
      </c>
      <c r="K44" s="77">
        <f>-('OPEX+CAPEX'!L60+'OPEX+CAPEX'!L64+'OPEX+CAPEX'!L65)</f>
        <v>-239.01785714285714</v>
      </c>
      <c r="L44" s="77">
        <f>-('OPEX+CAPEX'!M60+'OPEX+CAPEX'!M64+'OPEX+CAPEX'!M65)</f>
        <v>-239.01785714285714</v>
      </c>
      <c r="M44" s="77">
        <f>-('OPEX+CAPEX'!N60+'OPEX+CAPEX'!N64+'OPEX+CAPEX'!N65)</f>
        <v>-239.01785714285714</v>
      </c>
      <c r="N44" s="77">
        <f>-('OPEX+CAPEX'!O60+'OPEX+CAPEX'!O64+'OPEX+CAPEX'!O65)</f>
        <v>-239.01785714285714</v>
      </c>
      <c r="O44" s="77">
        <f>-('OPEX+CAPEX'!P60+'OPEX+CAPEX'!P64+'OPEX+CAPEX'!P65)</f>
        <v>-239.01785714285714</v>
      </c>
      <c r="P44" s="77">
        <f>-('OPEX+CAPEX'!Q60+'OPEX+CAPEX'!Q64+'OPEX+CAPEX'!Q65)</f>
        <v>-239.01785714285714</v>
      </c>
      <c r="Q44" s="77">
        <f>-('OPEX+CAPEX'!R60+'OPEX+CAPEX'!R64+'OPEX+CAPEX'!R65)</f>
        <v>-239.01785714285714</v>
      </c>
      <c r="R44" s="77">
        <f>-('OPEX+CAPEX'!S60+'OPEX+CAPEX'!S64+'OPEX+CAPEX'!S65)</f>
        <v>-239.01785714285714</v>
      </c>
      <c r="S44" s="77">
        <f>-('OPEX+CAPEX'!T60+'OPEX+CAPEX'!T64+'OPEX+CAPEX'!T65)</f>
        <v>-239.01785714285714</v>
      </c>
      <c r="T44" s="77">
        <f>-('OPEX+CAPEX'!U60+'OPEX+CAPEX'!U64+'OPEX+CAPEX'!U65)</f>
        <v>-239.01785714285714</v>
      </c>
      <c r="U44" s="77">
        <f>-('OPEX+CAPEX'!V60+'OPEX+CAPEX'!V64+'OPEX+CAPEX'!V65)</f>
        <v>-239.01785714285714</v>
      </c>
      <c r="V44" s="77">
        <f>-('OPEX+CAPEX'!W60+'OPEX+CAPEX'!W64+'OPEX+CAPEX'!W65)</f>
        <v>-239.01785714285714</v>
      </c>
      <c r="W44" s="77">
        <f>-('OPEX+CAPEX'!X60+'OPEX+CAPEX'!X64+'OPEX+CAPEX'!X65)</f>
        <v>-239.01785714285714</v>
      </c>
      <c r="X44" s="77">
        <f>-('OPEX+CAPEX'!Y60+'OPEX+CAPEX'!Y64+'OPEX+CAPEX'!Y65)</f>
        <v>-239.01785714285714</v>
      </c>
      <c r="Y44" s="77">
        <f>-('OPEX+CAPEX'!Z60+'OPEX+CAPEX'!Z64+'OPEX+CAPEX'!Z65)</f>
        <v>-239.01785714285714</v>
      </c>
      <c r="Z44" s="77">
        <f>-('OPEX+CAPEX'!AA60+'OPEX+CAPEX'!AA64+'OPEX+CAPEX'!AA65)</f>
        <v>-239.01785714285714</v>
      </c>
      <c r="AA44" s="77">
        <f>-('OPEX+CAPEX'!AB60+'OPEX+CAPEX'!AB64+'OPEX+CAPEX'!AB65)</f>
        <v>-239.01785714285714</v>
      </c>
      <c r="AB44" s="77">
        <f>-('OPEX+CAPEX'!AC60+'OPEX+CAPEX'!AC64+'OPEX+CAPEX'!AC65)</f>
        <v>-239.01785714285714</v>
      </c>
      <c r="AC44" s="77">
        <f>-('OPEX+CAPEX'!AD60+'OPEX+CAPEX'!AD64+'OPEX+CAPEX'!AD65)</f>
        <v>-239.01785714285714</v>
      </c>
      <c r="AD44" s="77">
        <f>-('OPEX+CAPEX'!AE60+'OPEX+CAPEX'!AE64+'OPEX+CAPEX'!AE65)</f>
        <v>-239.01785714285714</v>
      </c>
      <c r="AE44" s="77">
        <f>-('OPEX+CAPEX'!AF60+'OPEX+CAPEX'!AF64+'OPEX+CAPEX'!AF65)</f>
        <v>-239.01785714285714</v>
      </c>
      <c r="AF44" s="77">
        <f>-('OPEX+CAPEX'!AG60+'OPEX+CAPEX'!AG64+'OPEX+CAPEX'!AG65)</f>
        <v>-239.01785714285714</v>
      </c>
      <c r="AG44" s="77">
        <f>-('OPEX+CAPEX'!AH60+'OPEX+CAPEX'!AH64+'OPEX+CAPEX'!AH65)</f>
        <v>-239.01785714285714</v>
      </c>
      <c r="AH44" s="77">
        <f>-('OPEX+CAPEX'!AI60+'OPEX+CAPEX'!AI64+'OPEX+CAPEX'!AI65)</f>
        <v>-239.01785714285714</v>
      </c>
      <c r="AI44" s="77">
        <f>-('OPEX+CAPEX'!AJ60+'OPEX+CAPEX'!AJ64+'OPEX+CAPEX'!AJ65)</f>
        <v>-239.01785714285714</v>
      </c>
      <c r="AJ44" s="77">
        <f>-('OPEX+CAPEX'!AK60+'OPEX+CAPEX'!AK64+'OPEX+CAPEX'!AK65)</f>
        <v>-239.01785714285714</v>
      </c>
      <c r="AK44" s="77">
        <f>-('OPEX+CAPEX'!AL60+'OPEX+CAPEX'!AL64+'OPEX+CAPEX'!AL65)</f>
        <v>-239.01785714285714</v>
      </c>
      <c r="AL44" s="77">
        <f>-('OPEX+CAPEX'!AM60+'OPEX+CAPEX'!AM64+'OPEX+CAPEX'!AM65)</f>
        <v>-239.01785714285714</v>
      </c>
      <c r="AM44" s="77">
        <f>-('OPEX+CAPEX'!AN60+'OPEX+CAPEX'!AN64+'OPEX+CAPEX'!AN65)</f>
        <v>-239.01785714285714</v>
      </c>
      <c r="AN44" s="81"/>
      <c r="AO44" s="75">
        <f t="shared" ref="AO44" si="72">SUM(D44:O44)</f>
        <v>-2939.4642857142862</v>
      </c>
      <c r="AP44" s="75">
        <f t="shared" ref="AP44" si="73">SUM(P44:AA44)</f>
        <v>-2868.2142857142862</v>
      </c>
      <c r="AQ44" s="75">
        <f>SUM(AB44:AM44)</f>
        <v>-2868.2142857142862</v>
      </c>
    </row>
    <row r="45" spans="1:16370" hidden="1" outlineLevel="1">
      <c r="A45" s="70" t="s">
        <v>177</v>
      </c>
      <c r="B45" s="71" t="s">
        <v>78</v>
      </c>
      <c r="C45" s="72"/>
      <c r="D45" s="78">
        <f>D28+D36+D43+D44</f>
        <v>9665.4551820728284</v>
      </c>
      <c r="E45" s="78">
        <f t="shared" ref="E45:AM45" si="74">E28+E36+E43+E44</f>
        <v>11250.455182072828</v>
      </c>
      <c r="F45" s="78">
        <f t="shared" si="74"/>
        <v>11829.609593837535</v>
      </c>
      <c r="G45" s="78">
        <f t="shared" si="74"/>
        <v>12992.354691876752</v>
      </c>
      <c r="H45" s="78">
        <f t="shared" si="74"/>
        <v>13259.021358543419</v>
      </c>
      <c r="I45" s="78">
        <f t="shared" si="74"/>
        <v>13870.050770308122</v>
      </c>
      <c r="J45" s="78">
        <f t="shared" si="74"/>
        <v>15032.795868347339</v>
      </c>
      <c r="K45" s="78">
        <f t="shared" si="74"/>
        <v>15299.462535014003</v>
      </c>
      <c r="L45" s="78">
        <f t="shared" si="74"/>
        <v>15910.491946778709</v>
      </c>
      <c r="M45" s="78">
        <f t="shared" si="74"/>
        <v>17073.237044817924</v>
      </c>
      <c r="N45" s="78">
        <f t="shared" si="74"/>
        <v>18561.962535014001</v>
      </c>
      <c r="O45" s="78">
        <f t="shared" si="74"/>
        <v>20963.433123249295</v>
      </c>
      <c r="P45" s="78">
        <f t="shared" si="74"/>
        <v>21263.433123249295</v>
      </c>
      <c r="Q45" s="78">
        <f t="shared" si="74"/>
        <v>21263.433123249295</v>
      </c>
      <c r="R45" s="78">
        <f t="shared" si="74"/>
        <v>21263.433123249295</v>
      </c>
      <c r="S45" s="78">
        <f t="shared" si="74"/>
        <v>21263.433123249295</v>
      </c>
      <c r="T45" s="78">
        <f t="shared" si="74"/>
        <v>21263.433123249295</v>
      </c>
      <c r="U45" s="78">
        <f t="shared" si="74"/>
        <v>21263.433123249295</v>
      </c>
      <c r="V45" s="78">
        <f t="shared" si="74"/>
        <v>21263.433123249295</v>
      </c>
      <c r="W45" s="78">
        <f t="shared" si="74"/>
        <v>21263.433123249295</v>
      </c>
      <c r="X45" s="78">
        <f t="shared" si="74"/>
        <v>21263.433123249295</v>
      </c>
      <c r="Y45" s="78">
        <f t="shared" si="74"/>
        <v>21263.433123249295</v>
      </c>
      <c r="Z45" s="78">
        <f t="shared" si="74"/>
        <v>21263.433123249295</v>
      </c>
      <c r="AA45" s="78">
        <f t="shared" si="74"/>
        <v>21263.433123249295</v>
      </c>
      <c r="AB45" s="78">
        <f t="shared" si="74"/>
        <v>21263.433123249295</v>
      </c>
      <c r="AC45" s="78">
        <f t="shared" si="74"/>
        <v>21263.433123249295</v>
      </c>
      <c r="AD45" s="78">
        <f t="shared" si="74"/>
        <v>21263.433123249295</v>
      </c>
      <c r="AE45" s="78">
        <f t="shared" si="74"/>
        <v>21263.433123249295</v>
      </c>
      <c r="AF45" s="78">
        <f t="shared" si="74"/>
        <v>21263.433123249295</v>
      </c>
      <c r="AG45" s="78">
        <f t="shared" si="74"/>
        <v>21263.433123249295</v>
      </c>
      <c r="AH45" s="78">
        <f t="shared" si="74"/>
        <v>21263.433123249295</v>
      </c>
      <c r="AI45" s="78">
        <f t="shared" si="74"/>
        <v>21263.433123249295</v>
      </c>
      <c r="AJ45" s="78">
        <f t="shared" si="74"/>
        <v>21263.433123249295</v>
      </c>
      <c r="AK45" s="78">
        <f t="shared" si="74"/>
        <v>21263.433123249295</v>
      </c>
      <c r="AL45" s="78">
        <f t="shared" si="74"/>
        <v>21263.433123249295</v>
      </c>
      <c r="AM45" s="78">
        <f t="shared" si="74"/>
        <v>21263.433123249295</v>
      </c>
      <c r="AN45" s="81"/>
      <c r="AO45" s="75">
        <f>SUM(D45:O45)</f>
        <v>175708.32983193276</v>
      </c>
      <c r="AP45" s="75">
        <f t="shared" ref="AP45" si="75">SUM(P45:AA45)</f>
        <v>255161.19747899155</v>
      </c>
      <c r="AQ45" s="75">
        <f>SUM(AB45:AM45)</f>
        <v>255161.19747899155</v>
      </c>
    </row>
    <row r="46" spans="1:16370" collapsed="1"/>
    <row r="47" spans="1:16370">
      <c r="A47" s="83" t="s">
        <v>201</v>
      </c>
      <c r="B47" s="66"/>
      <c r="C47" s="101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9"/>
      <c r="AO47" s="102"/>
      <c r="AP47" s="68"/>
      <c r="AQ47" s="68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69"/>
      <c r="DA47" s="69"/>
      <c r="DB47" s="69"/>
      <c r="DC47" s="69"/>
      <c r="DD47" s="69"/>
      <c r="DE47" s="69"/>
      <c r="DF47" s="69"/>
      <c r="DG47" s="69"/>
      <c r="DH47" s="69"/>
      <c r="DI47" s="69"/>
      <c r="DJ47" s="69"/>
      <c r="DK47" s="69"/>
      <c r="DL47" s="69"/>
      <c r="DM47" s="69"/>
      <c r="DN47" s="69"/>
      <c r="DO47" s="69"/>
      <c r="DP47" s="69"/>
      <c r="DQ47" s="69"/>
      <c r="DR47" s="69"/>
      <c r="DS47" s="69"/>
      <c r="DT47" s="69"/>
      <c r="DU47" s="69"/>
      <c r="DV47" s="69"/>
      <c r="DW47" s="69"/>
      <c r="DX47" s="69"/>
      <c r="DY47" s="69"/>
      <c r="DZ47" s="69"/>
      <c r="EA47" s="69"/>
      <c r="EB47" s="69"/>
      <c r="EC47" s="69"/>
      <c r="ED47" s="69"/>
      <c r="EE47" s="69"/>
      <c r="EF47" s="69"/>
      <c r="EG47" s="69"/>
      <c r="EH47" s="69"/>
      <c r="EI47" s="69"/>
      <c r="EJ47" s="69"/>
      <c r="EK47" s="69"/>
      <c r="EL47" s="69"/>
      <c r="EM47" s="69"/>
      <c r="EN47" s="69"/>
      <c r="EO47" s="69"/>
      <c r="EP47" s="69"/>
      <c r="EQ47" s="69"/>
      <c r="ER47" s="69"/>
      <c r="ES47" s="69"/>
      <c r="ET47" s="69"/>
      <c r="EU47" s="69"/>
      <c r="EV47" s="69"/>
      <c r="EW47" s="69"/>
      <c r="EX47" s="69"/>
      <c r="EY47" s="69"/>
      <c r="EZ47" s="69"/>
      <c r="FA47" s="69"/>
      <c r="FB47" s="69"/>
      <c r="FC47" s="69"/>
      <c r="FD47" s="69"/>
      <c r="FE47" s="69"/>
      <c r="FF47" s="69"/>
      <c r="FG47" s="69"/>
      <c r="FH47" s="69"/>
      <c r="FI47" s="69"/>
      <c r="FJ47" s="69"/>
      <c r="FK47" s="69"/>
      <c r="FL47" s="69"/>
      <c r="FM47" s="69"/>
      <c r="FN47" s="69"/>
      <c r="FO47" s="69"/>
      <c r="FP47" s="69"/>
      <c r="FQ47" s="69"/>
      <c r="FR47" s="69"/>
      <c r="FS47" s="69"/>
      <c r="FT47" s="69"/>
      <c r="FU47" s="69"/>
      <c r="FV47" s="69"/>
      <c r="FW47" s="69"/>
      <c r="FX47" s="69"/>
      <c r="FY47" s="69"/>
      <c r="FZ47" s="69"/>
      <c r="GA47" s="69"/>
      <c r="GB47" s="69"/>
      <c r="GC47" s="69"/>
      <c r="GD47" s="69"/>
      <c r="GE47" s="69"/>
      <c r="GF47" s="69"/>
      <c r="GG47" s="69"/>
      <c r="GH47" s="69"/>
      <c r="GI47" s="69"/>
      <c r="GJ47" s="69"/>
      <c r="GK47" s="69"/>
      <c r="GL47" s="69"/>
      <c r="GM47" s="69"/>
      <c r="GN47" s="69"/>
      <c r="GO47" s="69"/>
      <c r="GP47" s="69"/>
      <c r="GQ47" s="69"/>
      <c r="GR47" s="69"/>
      <c r="GS47" s="69"/>
      <c r="GT47" s="69"/>
      <c r="GU47" s="69"/>
      <c r="GV47" s="69"/>
      <c r="GW47" s="69"/>
      <c r="GX47" s="69"/>
      <c r="GY47" s="69"/>
      <c r="GZ47" s="69"/>
      <c r="HA47" s="69"/>
      <c r="HB47" s="69"/>
      <c r="HC47" s="69"/>
      <c r="HD47" s="69"/>
      <c r="HE47" s="69"/>
      <c r="HF47" s="69"/>
      <c r="HG47" s="69"/>
      <c r="HH47" s="69"/>
      <c r="HI47" s="69"/>
      <c r="HJ47" s="69"/>
      <c r="HK47" s="69"/>
      <c r="HL47" s="69"/>
      <c r="HM47" s="69"/>
      <c r="HN47" s="69"/>
      <c r="HO47" s="69"/>
      <c r="HP47" s="69"/>
      <c r="HQ47" s="69"/>
      <c r="HR47" s="69"/>
      <c r="HS47" s="69"/>
      <c r="HT47" s="69"/>
      <c r="HU47" s="69"/>
      <c r="HV47" s="69"/>
      <c r="HW47" s="69"/>
      <c r="HX47" s="69"/>
      <c r="HY47" s="69"/>
      <c r="HZ47" s="69"/>
      <c r="IA47" s="69"/>
      <c r="IB47" s="69"/>
      <c r="IC47" s="69"/>
      <c r="ID47" s="69"/>
      <c r="IE47" s="69"/>
      <c r="IF47" s="69"/>
      <c r="IG47" s="69"/>
      <c r="IH47" s="69"/>
      <c r="II47" s="69"/>
      <c r="IJ47" s="69"/>
      <c r="IK47" s="69"/>
      <c r="IL47" s="69"/>
      <c r="IM47" s="69"/>
      <c r="IN47" s="69"/>
      <c r="IO47" s="69"/>
      <c r="IP47" s="69"/>
      <c r="IQ47" s="69"/>
      <c r="IR47" s="69"/>
      <c r="IS47" s="69"/>
      <c r="IT47" s="69"/>
      <c r="IU47" s="69"/>
      <c r="IV47" s="69"/>
      <c r="IW47" s="69"/>
      <c r="IX47" s="69"/>
      <c r="IY47" s="69"/>
      <c r="IZ47" s="69"/>
      <c r="JA47" s="69"/>
      <c r="JB47" s="69"/>
      <c r="JC47" s="69"/>
      <c r="JD47" s="69"/>
      <c r="JE47" s="69"/>
      <c r="JF47" s="69"/>
      <c r="JG47" s="69"/>
      <c r="JH47" s="69"/>
      <c r="JI47" s="69"/>
      <c r="JJ47" s="69"/>
      <c r="JK47" s="69"/>
      <c r="JL47" s="69"/>
      <c r="JM47" s="69"/>
      <c r="JN47" s="69"/>
      <c r="JO47" s="69"/>
      <c r="JP47" s="69"/>
      <c r="JQ47" s="69"/>
      <c r="JR47" s="69"/>
      <c r="JS47" s="69"/>
      <c r="JT47" s="69"/>
      <c r="JU47" s="69"/>
      <c r="JV47" s="69"/>
      <c r="JW47" s="69"/>
      <c r="JX47" s="69"/>
      <c r="JY47" s="69"/>
      <c r="JZ47" s="69"/>
      <c r="KA47" s="69"/>
      <c r="KB47" s="69"/>
      <c r="KC47" s="69"/>
      <c r="KD47" s="69"/>
      <c r="KE47" s="69"/>
      <c r="KF47" s="69"/>
      <c r="KG47" s="69"/>
      <c r="KH47" s="69"/>
      <c r="KI47" s="69"/>
      <c r="KJ47" s="69"/>
      <c r="KK47" s="69"/>
      <c r="KL47" s="69"/>
      <c r="KM47" s="69"/>
      <c r="KN47" s="69"/>
      <c r="KO47" s="69"/>
      <c r="KP47" s="69"/>
      <c r="KQ47" s="69"/>
      <c r="KR47" s="69"/>
      <c r="KS47" s="69"/>
      <c r="KT47" s="69"/>
      <c r="KU47" s="69"/>
      <c r="KV47" s="69"/>
      <c r="KW47" s="69"/>
      <c r="KX47" s="69"/>
      <c r="KY47" s="69"/>
      <c r="KZ47" s="69"/>
      <c r="LA47" s="69"/>
      <c r="LB47" s="69"/>
      <c r="LC47" s="69"/>
      <c r="LD47" s="69"/>
      <c r="LE47" s="69"/>
      <c r="LF47" s="69"/>
      <c r="LG47" s="69"/>
      <c r="LH47" s="69"/>
      <c r="LI47" s="69"/>
      <c r="LJ47" s="69"/>
      <c r="LK47" s="69"/>
      <c r="LL47" s="69"/>
      <c r="LM47" s="69"/>
      <c r="LN47" s="69"/>
      <c r="LO47" s="69"/>
      <c r="LP47" s="69"/>
      <c r="LQ47" s="69"/>
      <c r="LR47" s="69"/>
      <c r="LS47" s="69"/>
      <c r="LT47" s="69"/>
      <c r="LU47" s="69"/>
      <c r="LV47" s="69"/>
      <c r="LW47" s="69"/>
      <c r="LX47" s="69"/>
      <c r="LY47" s="69"/>
      <c r="LZ47" s="69"/>
      <c r="MA47" s="69"/>
      <c r="MB47" s="69"/>
      <c r="MC47" s="69"/>
      <c r="MD47" s="69"/>
      <c r="ME47" s="69"/>
      <c r="MF47" s="69"/>
      <c r="MG47" s="69"/>
      <c r="MH47" s="69"/>
      <c r="MI47" s="69"/>
      <c r="MJ47" s="69"/>
      <c r="MK47" s="69"/>
      <c r="ML47" s="69"/>
      <c r="MM47" s="69"/>
      <c r="MN47" s="69"/>
      <c r="MO47" s="69"/>
      <c r="MP47" s="69"/>
      <c r="MQ47" s="69"/>
      <c r="MR47" s="69"/>
      <c r="MS47" s="69"/>
      <c r="MT47" s="69"/>
      <c r="MU47" s="69"/>
      <c r="MV47" s="69"/>
      <c r="MW47" s="69"/>
      <c r="MX47" s="69"/>
      <c r="MY47" s="69"/>
      <c r="MZ47" s="69"/>
      <c r="NA47" s="69"/>
      <c r="NB47" s="69"/>
      <c r="NC47" s="69"/>
      <c r="ND47" s="69"/>
      <c r="NE47" s="69"/>
      <c r="NF47" s="69"/>
      <c r="NG47" s="69"/>
      <c r="NH47" s="69"/>
      <c r="NI47" s="69"/>
      <c r="NJ47" s="69"/>
      <c r="NK47" s="69"/>
      <c r="NL47" s="69"/>
      <c r="NM47" s="69"/>
      <c r="NN47" s="69"/>
      <c r="NO47" s="69"/>
      <c r="NP47" s="69"/>
      <c r="NQ47" s="69"/>
      <c r="NR47" s="69"/>
      <c r="NS47" s="69"/>
      <c r="NT47" s="69"/>
      <c r="NU47" s="69"/>
      <c r="NV47" s="69"/>
      <c r="NW47" s="69"/>
      <c r="NX47" s="69"/>
      <c r="NY47" s="69"/>
      <c r="NZ47" s="69"/>
      <c r="OA47" s="69"/>
      <c r="OB47" s="69"/>
      <c r="OC47" s="69"/>
      <c r="OD47" s="69"/>
      <c r="OE47" s="69"/>
      <c r="OF47" s="69"/>
      <c r="OG47" s="69"/>
      <c r="OH47" s="69"/>
      <c r="OI47" s="69"/>
      <c r="OJ47" s="69"/>
      <c r="OK47" s="69"/>
      <c r="OL47" s="69"/>
      <c r="OM47" s="69"/>
      <c r="ON47" s="69"/>
      <c r="OO47" s="69"/>
      <c r="OP47" s="69"/>
      <c r="OQ47" s="69"/>
      <c r="OR47" s="69"/>
      <c r="OS47" s="69"/>
      <c r="OT47" s="69"/>
      <c r="OU47" s="69"/>
      <c r="OV47" s="69"/>
      <c r="OW47" s="69"/>
      <c r="OX47" s="69"/>
      <c r="OY47" s="69"/>
      <c r="OZ47" s="69"/>
      <c r="PA47" s="69"/>
      <c r="PB47" s="69"/>
      <c r="PC47" s="69"/>
      <c r="PD47" s="69"/>
      <c r="PE47" s="69"/>
      <c r="PF47" s="69"/>
      <c r="PG47" s="69"/>
      <c r="PH47" s="69"/>
      <c r="PI47" s="69"/>
      <c r="PJ47" s="69"/>
      <c r="PK47" s="69"/>
      <c r="PL47" s="69"/>
      <c r="PM47" s="69"/>
      <c r="PN47" s="69"/>
      <c r="PO47" s="69"/>
      <c r="PP47" s="69"/>
      <c r="PQ47" s="69"/>
      <c r="PR47" s="69"/>
      <c r="PS47" s="69"/>
      <c r="PT47" s="69"/>
      <c r="PU47" s="69"/>
      <c r="PV47" s="69"/>
      <c r="PW47" s="69"/>
      <c r="PX47" s="69"/>
      <c r="PY47" s="69"/>
      <c r="PZ47" s="69"/>
      <c r="QA47" s="69"/>
      <c r="QB47" s="69"/>
      <c r="QC47" s="69"/>
      <c r="QD47" s="69"/>
      <c r="QE47" s="69"/>
      <c r="QF47" s="69"/>
      <c r="QG47" s="69"/>
      <c r="QH47" s="69"/>
      <c r="QI47" s="69"/>
      <c r="QJ47" s="69"/>
      <c r="QK47" s="69"/>
      <c r="QL47" s="69"/>
      <c r="QM47" s="69"/>
      <c r="QN47" s="69"/>
      <c r="QO47" s="69"/>
      <c r="QP47" s="69"/>
      <c r="QQ47" s="69"/>
      <c r="QR47" s="69"/>
      <c r="QS47" s="69"/>
      <c r="QT47" s="69"/>
      <c r="QU47" s="69"/>
      <c r="QV47" s="69"/>
      <c r="QW47" s="69"/>
      <c r="QX47" s="69"/>
      <c r="QY47" s="69"/>
      <c r="QZ47" s="69"/>
      <c r="RA47" s="69"/>
      <c r="RB47" s="69"/>
      <c r="RC47" s="69"/>
      <c r="RD47" s="69"/>
      <c r="RE47" s="69"/>
      <c r="RF47" s="69"/>
      <c r="RG47" s="69"/>
      <c r="RH47" s="69"/>
      <c r="RI47" s="69"/>
      <c r="RJ47" s="69"/>
      <c r="RK47" s="69"/>
      <c r="RL47" s="69"/>
      <c r="RM47" s="69"/>
      <c r="RN47" s="69"/>
      <c r="RO47" s="69"/>
      <c r="RP47" s="69"/>
      <c r="RQ47" s="69"/>
      <c r="RR47" s="69"/>
      <c r="RS47" s="69"/>
      <c r="RT47" s="69"/>
      <c r="RU47" s="69"/>
      <c r="RV47" s="69"/>
      <c r="RW47" s="69"/>
      <c r="RX47" s="69"/>
      <c r="RY47" s="69"/>
      <c r="RZ47" s="69"/>
      <c r="SA47" s="69"/>
      <c r="SB47" s="69"/>
      <c r="SC47" s="69"/>
      <c r="SD47" s="69"/>
      <c r="SE47" s="69"/>
      <c r="SF47" s="69"/>
      <c r="SG47" s="69"/>
      <c r="SH47" s="69"/>
      <c r="SI47" s="69"/>
      <c r="SJ47" s="69"/>
      <c r="SK47" s="69"/>
      <c r="SL47" s="69"/>
      <c r="SM47" s="69"/>
      <c r="SN47" s="69"/>
      <c r="SO47" s="69"/>
      <c r="SP47" s="69"/>
      <c r="SQ47" s="69"/>
      <c r="SR47" s="69"/>
      <c r="SS47" s="69"/>
      <c r="ST47" s="69"/>
      <c r="SU47" s="69"/>
      <c r="SV47" s="69"/>
      <c r="SW47" s="69"/>
      <c r="SX47" s="69"/>
      <c r="SY47" s="69"/>
      <c r="SZ47" s="69"/>
      <c r="TA47" s="69"/>
      <c r="TB47" s="69"/>
      <c r="TC47" s="69"/>
      <c r="TD47" s="69"/>
      <c r="TE47" s="69"/>
      <c r="TF47" s="69"/>
      <c r="TG47" s="69"/>
      <c r="TH47" s="69"/>
      <c r="TI47" s="69"/>
      <c r="TJ47" s="69"/>
      <c r="TK47" s="69"/>
      <c r="TL47" s="69"/>
      <c r="TM47" s="69"/>
      <c r="TN47" s="69"/>
      <c r="TO47" s="69"/>
      <c r="TP47" s="69"/>
      <c r="TQ47" s="69"/>
      <c r="TR47" s="69"/>
      <c r="TS47" s="69"/>
      <c r="TT47" s="69"/>
      <c r="TU47" s="69"/>
      <c r="TV47" s="69"/>
      <c r="TW47" s="69"/>
      <c r="TX47" s="69"/>
      <c r="TY47" s="69"/>
      <c r="TZ47" s="69"/>
      <c r="UA47" s="69"/>
      <c r="UB47" s="69"/>
      <c r="UC47" s="69"/>
      <c r="UD47" s="69"/>
      <c r="UE47" s="69"/>
      <c r="UF47" s="69"/>
      <c r="UG47" s="69"/>
      <c r="UH47" s="69"/>
      <c r="UI47" s="69"/>
      <c r="UJ47" s="69"/>
      <c r="UK47" s="69"/>
      <c r="UL47" s="69"/>
      <c r="UM47" s="69"/>
      <c r="UN47" s="69"/>
      <c r="UO47" s="69"/>
      <c r="UP47" s="69"/>
      <c r="UQ47" s="69"/>
      <c r="UR47" s="69"/>
      <c r="US47" s="69"/>
      <c r="UT47" s="69"/>
      <c r="UU47" s="69"/>
      <c r="UV47" s="69"/>
      <c r="UW47" s="69"/>
      <c r="UX47" s="69"/>
      <c r="UY47" s="69"/>
      <c r="UZ47" s="69"/>
      <c r="VA47" s="69"/>
      <c r="VB47" s="69"/>
      <c r="VC47" s="69"/>
      <c r="VD47" s="69"/>
      <c r="VE47" s="69"/>
      <c r="VF47" s="69"/>
      <c r="VG47" s="69"/>
      <c r="VH47" s="69"/>
      <c r="VI47" s="69"/>
      <c r="VJ47" s="69"/>
      <c r="VK47" s="69"/>
      <c r="VL47" s="69"/>
      <c r="VM47" s="69"/>
      <c r="VN47" s="69"/>
      <c r="VO47" s="69"/>
      <c r="VP47" s="69"/>
      <c r="VQ47" s="69"/>
      <c r="VR47" s="69"/>
      <c r="VS47" s="69"/>
      <c r="VT47" s="69"/>
      <c r="VU47" s="69"/>
      <c r="VV47" s="69"/>
      <c r="VW47" s="69"/>
      <c r="VX47" s="69"/>
      <c r="VY47" s="69"/>
      <c r="VZ47" s="69"/>
      <c r="WA47" s="69"/>
      <c r="WB47" s="69"/>
      <c r="WC47" s="69"/>
      <c r="WD47" s="69"/>
      <c r="WE47" s="69"/>
      <c r="WF47" s="69"/>
      <c r="WG47" s="69"/>
      <c r="WH47" s="69"/>
      <c r="WI47" s="69"/>
      <c r="WJ47" s="69"/>
      <c r="WK47" s="69"/>
      <c r="WL47" s="69"/>
      <c r="WM47" s="69"/>
      <c r="WN47" s="69"/>
      <c r="WO47" s="69"/>
      <c r="WP47" s="69"/>
      <c r="WQ47" s="69"/>
      <c r="WR47" s="69"/>
      <c r="WS47" s="69"/>
      <c r="WT47" s="69"/>
      <c r="WU47" s="69"/>
      <c r="WV47" s="69"/>
      <c r="WW47" s="69"/>
      <c r="WX47" s="69"/>
      <c r="WY47" s="69"/>
      <c r="WZ47" s="69"/>
      <c r="XA47" s="69"/>
      <c r="XB47" s="69"/>
      <c r="XC47" s="69"/>
      <c r="XD47" s="69"/>
      <c r="XE47" s="69"/>
      <c r="XF47" s="69"/>
      <c r="XG47" s="69"/>
      <c r="XH47" s="69"/>
      <c r="XI47" s="69"/>
      <c r="XJ47" s="69"/>
      <c r="XK47" s="69"/>
      <c r="XL47" s="69"/>
      <c r="XM47" s="69"/>
      <c r="XN47" s="69"/>
      <c r="XO47" s="69"/>
      <c r="XP47" s="69"/>
      <c r="XQ47" s="69"/>
      <c r="XR47" s="69"/>
      <c r="XS47" s="69"/>
      <c r="XT47" s="69"/>
      <c r="XU47" s="69"/>
      <c r="XV47" s="69"/>
      <c r="XW47" s="69"/>
      <c r="XX47" s="69"/>
      <c r="XY47" s="69"/>
      <c r="XZ47" s="69"/>
      <c r="YA47" s="69"/>
      <c r="YB47" s="69"/>
      <c r="YC47" s="69"/>
      <c r="YD47" s="69"/>
      <c r="YE47" s="69"/>
      <c r="YF47" s="69"/>
      <c r="YG47" s="69"/>
      <c r="YH47" s="69"/>
      <c r="YI47" s="69"/>
      <c r="YJ47" s="69"/>
      <c r="YK47" s="69"/>
      <c r="YL47" s="69"/>
      <c r="YM47" s="69"/>
      <c r="YN47" s="69"/>
      <c r="YO47" s="69"/>
      <c r="YP47" s="69"/>
      <c r="YQ47" s="69"/>
      <c r="YR47" s="69"/>
      <c r="YS47" s="69"/>
      <c r="YT47" s="69"/>
      <c r="YU47" s="69"/>
      <c r="YV47" s="69"/>
      <c r="YW47" s="69"/>
      <c r="YX47" s="69"/>
      <c r="YY47" s="69"/>
      <c r="YZ47" s="69"/>
      <c r="ZA47" s="69"/>
      <c r="ZB47" s="69"/>
      <c r="ZC47" s="69"/>
      <c r="ZD47" s="69"/>
      <c r="ZE47" s="69"/>
      <c r="ZF47" s="69"/>
      <c r="ZG47" s="69"/>
      <c r="ZH47" s="69"/>
      <c r="ZI47" s="69"/>
      <c r="ZJ47" s="69"/>
      <c r="ZK47" s="69"/>
      <c r="ZL47" s="69"/>
      <c r="ZM47" s="69"/>
      <c r="ZN47" s="69"/>
      <c r="ZO47" s="69"/>
      <c r="ZP47" s="69"/>
      <c r="ZQ47" s="69"/>
      <c r="ZR47" s="69"/>
      <c r="ZS47" s="69"/>
      <c r="ZT47" s="69"/>
      <c r="ZU47" s="69"/>
      <c r="ZV47" s="69"/>
      <c r="ZW47" s="69"/>
      <c r="ZX47" s="69"/>
      <c r="ZY47" s="69"/>
      <c r="ZZ47" s="69"/>
      <c r="AAA47" s="69"/>
      <c r="AAB47" s="69"/>
      <c r="AAC47" s="69"/>
      <c r="AAD47" s="69"/>
      <c r="AAE47" s="69"/>
      <c r="AAF47" s="69"/>
      <c r="AAG47" s="69"/>
      <c r="AAH47" s="69"/>
      <c r="AAI47" s="69"/>
      <c r="AAJ47" s="69"/>
      <c r="AAK47" s="69"/>
      <c r="AAL47" s="69"/>
      <c r="AAM47" s="69"/>
      <c r="AAN47" s="69"/>
      <c r="AAO47" s="69"/>
      <c r="AAP47" s="69"/>
      <c r="AAQ47" s="69"/>
      <c r="AAR47" s="69"/>
      <c r="AAS47" s="69"/>
      <c r="AAT47" s="69"/>
      <c r="AAU47" s="69"/>
      <c r="AAV47" s="69"/>
      <c r="AAW47" s="69"/>
      <c r="AAX47" s="69"/>
      <c r="AAY47" s="69"/>
      <c r="AAZ47" s="69"/>
      <c r="ABA47" s="69"/>
      <c r="ABB47" s="69"/>
      <c r="ABC47" s="69"/>
      <c r="ABD47" s="69"/>
      <c r="ABE47" s="69"/>
      <c r="ABF47" s="69"/>
      <c r="ABG47" s="69"/>
      <c r="ABH47" s="69"/>
      <c r="ABI47" s="69"/>
      <c r="ABJ47" s="69"/>
      <c r="ABK47" s="69"/>
      <c r="ABL47" s="69"/>
      <c r="ABM47" s="69"/>
      <c r="ABN47" s="69"/>
      <c r="ABO47" s="69"/>
      <c r="ABP47" s="69"/>
      <c r="ABQ47" s="69"/>
      <c r="ABR47" s="69"/>
      <c r="ABS47" s="69"/>
      <c r="ABT47" s="69"/>
      <c r="ABU47" s="69"/>
      <c r="ABV47" s="69"/>
      <c r="ABW47" s="69"/>
      <c r="ABX47" s="69"/>
      <c r="ABY47" s="69"/>
      <c r="ABZ47" s="69"/>
      <c r="ACA47" s="69"/>
      <c r="ACB47" s="69"/>
      <c r="ACC47" s="69"/>
      <c r="ACD47" s="69"/>
      <c r="ACE47" s="69"/>
      <c r="ACF47" s="69"/>
      <c r="ACG47" s="69"/>
      <c r="ACH47" s="69"/>
      <c r="ACI47" s="69"/>
      <c r="ACJ47" s="69"/>
      <c r="ACK47" s="69"/>
      <c r="ACL47" s="69"/>
      <c r="ACM47" s="69"/>
      <c r="ACN47" s="69"/>
      <c r="ACO47" s="69"/>
      <c r="ACP47" s="69"/>
      <c r="ACQ47" s="69"/>
      <c r="ACR47" s="69"/>
      <c r="ACS47" s="69"/>
      <c r="ACT47" s="69"/>
      <c r="ACU47" s="69"/>
      <c r="ACV47" s="69"/>
      <c r="ACW47" s="69"/>
      <c r="ACX47" s="69"/>
      <c r="ACY47" s="69"/>
      <c r="ACZ47" s="69"/>
      <c r="ADA47" s="69"/>
      <c r="ADB47" s="69"/>
      <c r="ADC47" s="69"/>
      <c r="ADD47" s="69"/>
      <c r="ADE47" s="69"/>
      <c r="ADF47" s="69"/>
      <c r="ADG47" s="69"/>
      <c r="ADH47" s="69"/>
      <c r="ADI47" s="69"/>
      <c r="ADJ47" s="69"/>
      <c r="ADK47" s="69"/>
      <c r="ADL47" s="69"/>
      <c r="ADM47" s="69"/>
      <c r="ADN47" s="69"/>
      <c r="ADO47" s="69"/>
      <c r="ADP47" s="69"/>
      <c r="ADQ47" s="69"/>
      <c r="ADR47" s="69"/>
      <c r="ADS47" s="69"/>
      <c r="ADT47" s="69"/>
      <c r="ADU47" s="69"/>
      <c r="ADV47" s="69"/>
      <c r="ADW47" s="69"/>
      <c r="ADX47" s="69"/>
      <c r="ADY47" s="69"/>
      <c r="ADZ47" s="69"/>
      <c r="AEA47" s="69"/>
      <c r="AEB47" s="69"/>
      <c r="AEC47" s="69"/>
      <c r="AED47" s="69"/>
      <c r="AEE47" s="69"/>
      <c r="AEF47" s="69"/>
      <c r="AEG47" s="69"/>
      <c r="AEH47" s="69"/>
      <c r="AEI47" s="69"/>
      <c r="AEJ47" s="69"/>
      <c r="AEK47" s="69"/>
      <c r="AEL47" s="69"/>
      <c r="AEM47" s="69"/>
      <c r="AEN47" s="69"/>
      <c r="AEO47" s="69"/>
      <c r="AEP47" s="69"/>
      <c r="AEQ47" s="69"/>
      <c r="AER47" s="69"/>
      <c r="AES47" s="69"/>
      <c r="AET47" s="69"/>
      <c r="AEU47" s="69"/>
      <c r="AEV47" s="69"/>
      <c r="AEW47" s="69"/>
      <c r="AEX47" s="69"/>
      <c r="AEY47" s="69"/>
      <c r="AEZ47" s="69"/>
      <c r="AFA47" s="69"/>
      <c r="AFB47" s="69"/>
      <c r="AFC47" s="69"/>
      <c r="AFD47" s="69"/>
      <c r="AFE47" s="69"/>
      <c r="AFF47" s="69"/>
      <c r="AFG47" s="69"/>
      <c r="AFH47" s="69"/>
      <c r="AFI47" s="69"/>
      <c r="AFJ47" s="69"/>
      <c r="AFK47" s="69"/>
      <c r="AFL47" s="69"/>
      <c r="AFM47" s="69"/>
      <c r="AFN47" s="69"/>
      <c r="AFO47" s="69"/>
      <c r="AFP47" s="69"/>
      <c r="AFQ47" s="69"/>
      <c r="AFR47" s="69"/>
      <c r="AFS47" s="69"/>
      <c r="AFT47" s="69"/>
      <c r="AFU47" s="69"/>
      <c r="AFV47" s="69"/>
      <c r="AFW47" s="69"/>
      <c r="AFX47" s="69"/>
      <c r="AFY47" s="69"/>
      <c r="AFZ47" s="69"/>
      <c r="AGA47" s="69"/>
      <c r="AGB47" s="69"/>
      <c r="AGC47" s="69"/>
      <c r="AGD47" s="69"/>
      <c r="AGE47" s="69"/>
      <c r="AGF47" s="69"/>
      <c r="AGG47" s="69"/>
      <c r="AGH47" s="69"/>
      <c r="AGI47" s="69"/>
      <c r="AGJ47" s="69"/>
      <c r="AGK47" s="69"/>
      <c r="AGL47" s="69"/>
      <c r="AGM47" s="69"/>
      <c r="AGN47" s="69"/>
      <c r="AGO47" s="69"/>
      <c r="AGP47" s="69"/>
      <c r="AGQ47" s="69"/>
      <c r="AGR47" s="69"/>
      <c r="AGS47" s="69"/>
      <c r="AGT47" s="69"/>
      <c r="AGU47" s="69"/>
      <c r="AGV47" s="69"/>
      <c r="AGW47" s="69"/>
      <c r="AGX47" s="69"/>
      <c r="AGY47" s="69"/>
      <c r="AGZ47" s="69"/>
      <c r="AHA47" s="69"/>
      <c r="AHB47" s="69"/>
      <c r="AHC47" s="69"/>
      <c r="AHD47" s="69"/>
      <c r="AHE47" s="69"/>
      <c r="AHF47" s="69"/>
      <c r="AHG47" s="69"/>
      <c r="AHH47" s="69"/>
      <c r="AHI47" s="69"/>
      <c r="AHJ47" s="69"/>
      <c r="AHK47" s="69"/>
      <c r="AHL47" s="69"/>
      <c r="AHM47" s="69"/>
      <c r="AHN47" s="69"/>
      <c r="AHO47" s="69"/>
      <c r="AHP47" s="69"/>
      <c r="AHQ47" s="69"/>
      <c r="AHR47" s="69"/>
      <c r="AHS47" s="69"/>
      <c r="AHT47" s="69"/>
      <c r="AHU47" s="69"/>
      <c r="AHV47" s="69"/>
      <c r="AHW47" s="69"/>
      <c r="AHX47" s="69"/>
      <c r="AHY47" s="69"/>
      <c r="AHZ47" s="69"/>
      <c r="AIA47" s="69"/>
      <c r="AIB47" s="69"/>
      <c r="AIC47" s="69"/>
      <c r="AID47" s="69"/>
      <c r="AIE47" s="69"/>
      <c r="AIF47" s="69"/>
      <c r="AIG47" s="69"/>
      <c r="AIH47" s="69"/>
      <c r="AII47" s="69"/>
      <c r="AIJ47" s="69"/>
      <c r="AIK47" s="69"/>
      <c r="AIL47" s="69"/>
      <c r="AIM47" s="69"/>
      <c r="AIN47" s="69"/>
      <c r="AIO47" s="69"/>
      <c r="AIP47" s="69"/>
      <c r="AIQ47" s="69"/>
      <c r="AIR47" s="69"/>
      <c r="AIS47" s="69"/>
      <c r="AIT47" s="69"/>
      <c r="AIU47" s="69"/>
      <c r="AIV47" s="69"/>
      <c r="AIW47" s="69"/>
      <c r="AIX47" s="69"/>
      <c r="AIY47" s="69"/>
      <c r="AIZ47" s="69"/>
      <c r="AJA47" s="69"/>
      <c r="AJB47" s="69"/>
      <c r="AJC47" s="69"/>
      <c r="AJD47" s="69"/>
      <c r="AJE47" s="69"/>
      <c r="AJF47" s="69"/>
      <c r="AJG47" s="69"/>
      <c r="AJH47" s="69"/>
      <c r="AJI47" s="69"/>
      <c r="AJJ47" s="69"/>
      <c r="AJK47" s="69"/>
      <c r="AJL47" s="69"/>
      <c r="AJM47" s="69"/>
      <c r="AJN47" s="69"/>
      <c r="AJO47" s="69"/>
      <c r="AJP47" s="69"/>
      <c r="AJQ47" s="69"/>
      <c r="AJR47" s="69"/>
      <c r="AJS47" s="69"/>
      <c r="AJT47" s="69"/>
      <c r="AJU47" s="69"/>
      <c r="AJV47" s="69"/>
      <c r="AJW47" s="69"/>
      <c r="AJX47" s="69"/>
      <c r="AJY47" s="69"/>
      <c r="AJZ47" s="69"/>
      <c r="AKA47" s="69"/>
      <c r="AKB47" s="69"/>
      <c r="AKC47" s="69"/>
      <c r="AKD47" s="69"/>
      <c r="AKE47" s="69"/>
      <c r="AKF47" s="69"/>
      <c r="AKG47" s="69"/>
      <c r="AKH47" s="69"/>
      <c r="AKI47" s="69"/>
      <c r="AKJ47" s="69"/>
      <c r="AKK47" s="69"/>
      <c r="AKL47" s="69"/>
      <c r="AKM47" s="69"/>
      <c r="AKN47" s="69"/>
      <c r="AKO47" s="69"/>
      <c r="AKP47" s="69"/>
      <c r="AKQ47" s="69"/>
      <c r="AKR47" s="69"/>
      <c r="AKS47" s="69"/>
      <c r="AKT47" s="69"/>
      <c r="AKU47" s="69"/>
      <c r="AKV47" s="69"/>
      <c r="AKW47" s="69"/>
      <c r="AKX47" s="69"/>
      <c r="AKY47" s="69"/>
      <c r="AKZ47" s="69"/>
      <c r="ALA47" s="69"/>
      <c r="ALB47" s="69"/>
      <c r="ALC47" s="69"/>
      <c r="ALD47" s="69"/>
      <c r="ALE47" s="69"/>
      <c r="ALF47" s="69"/>
      <c r="ALG47" s="69"/>
      <c r="ALH47" s="69"/>
      <c r="ALI47" s="69"/>
      <c r="ALJ47" s="69"/>
      <c r="ALK47" s="69"/>
      <c r="ALL47" s="69"/>
      <c r="ALM47" s="69"/>
      <c r="ALN47" s="69"/>
      <c r="ALO47" s="69"/>
      <c r="ALP47" s="69"/>
      <c r="ALQ47" s="69"/>
      <c r="ALR47" s="69"/>
      <c r="ALS47" s="69"/>
      <c r="ALT47" s="69"/>
      <c r="ALU47" s="69"/>
      <c r="ALV47" s="69"/>
      <c r="ALW47" s="69"/>
      <c r="ALX47" s="69"/>
      <c r="ALY47" s="69"/>
      <c r="ALZ47" s="69"/>
      <c r="AMA47" s="69"/>
      <c r="AMB47" s="69"/>
      <c r="AMC47" s="69"/>
      <c r="AMD47" s="69"/>
      <c r="AME47" s="69"/>
      <c r="AMF47" s="69"/>
      <c r="AMG47" s="69"/>
      <c r="AMH47" s="69"/>
      <c r="AMI47" s="69"/>
      <c r="AMJ47" s="69"/>
      <c r="AMK47" s="69"/>
      <c r="AML47" s="69"/>
      <c r="AMM47" s="69"/>
      <c r="AMN47" s="69"/>
      <c r="AMO47" s="69"/>
      <c r="AMP47" s="69"/>
      <c r="AMQ47" s="69"/>
      <c r="AMR47" s="69"/>
      <c r="AMS47" s="69"/>
      <c r="AMT47" s="69"/>
      <c r="AMU47" s="69"/>
      <c r="AMV47" s="69"/>
      <c r="AMW47" s="69"/>
      <c r="AMX47" s="69"/>
      <c r="AMY47" s="69"/>
      <c r="AMZ47" s="69"/>
      <c r="ANA47" s="69"/>
      <c r="ANB47" s="69"/>
      <c r="ANC47" s="69"/>
      <c r="AND47" s="69"/>
      <c r="ANE47" s="69"/>
      <c r="ANF47" s="69"/>
      <c r="ANG47" s="69"/>
      <c r="ANH47" s="69"/>
      <c r="ANI47" s="69"/>
      <c r="ANJ47" s="69"/>
      <c r="ANK47" s="69"/>
      <c r="ANL47" s="69"/>
      <c r="ANM47" s="69"/>
      <c r="ANN47" s="69"/>
      <c r="ANO47" s="69"/>
      <c r="ANP47" s="69"/>
      <c r="ANQ47" s="69"/>
      <c r="ANR47" s="69"/>
      <c r="ANS47" s="69"/>
      <c r="ANT47" s="69"/>
      <c r="ANU47" s="69"/>
      <c r="ANV47" s="69"/>
      <c r="ANW47" s="69"/>
      <c r="ANX47" s="69"/>
      <c r="ANY47" s="69"/>
      <c r="ANZ47" s="69"/>
      <c r="AOA47" s="69"/>
      <c r="AOB47" s="69"/>
      <c r="AOC47" s="69"/>
      <c r="AOD47" s="69"/>
      <c r="AOE47" s="69"/>
      <c r="AOF47" s="69"/>
      <c r="AOG47" s="69"/>
      <c r="AOH47" s="69"/>
      <c r="AOI47" s="69"/>
      <c r="AOJ47" s="69"/>
      <c r="AOK47" s="69"/>
      <c r="AOL47" s="69"/>
      <c r="AOM47" s="69"/>
      <c r="AON47" s="69"/>
      <c r="AOO47" s="69"/>
      <c r="AOP47" s="69"/>
      <c r="AOQ47" s="69"/>
      <c r="AOR47" s="69"/>
      <c r="AOS47" s="69"/>
      <c r="AOT47" s="69"/>
      <c r="AOU47" s="69"/>
      <c r="AOV47" s="69"/>
      <c r="AOW47" s="69"/>
      <c r="AOX47" s="69"/>
      <c r="AOY47" s="69"/>
      <c r="AOZ47" s="69"/>
      <c r="APA47" s="69"/>
      <c r="APB47" s="69"/>
      <c r="APC47" s="69"/>
      <c r="APD47" s="69"/>
      <c r="APE47" s="69"/>
      <c r="APF47" s="69"/>
      <c r="APG47" s="69"/>
      <c r="APH47" s="69"/>
      <c r="API47" s="69"/>
      <c r="APJ47" s="69"/>
      <c r="APK47" s="69"/>
      <c r="APL47" s="69"/>
      <c r="APM47" s="69"/>
      <c r="APN47" s="69"/>
      <c r="APO47" s="69"/>
      <c r="APP47" s="69"/>
      <c r="APQ47" s="69"/>
      <c r="APR47" s="69"/>
      <c r="APS47" s="69"/>
      <c r="APT47" s="69"/>
      <c r="APU47" s="69"/>
      <c r="APV47" s="69"/>
      <c r="APW47" s="69"/>
      <c r="APX47" s="69"/>
      <c r="APY47" s="69"/>
      <c r="APZ47" s="69"/>
      <c r="AQA47" s="69"/>
      <c r="AQB47" s="69"/>
      <c r="AQC47" s="69"/>
      <c r="AQD47" s="69"/>
      <c r="AQE47" s="69"/>
      <c r="AQF47" s="69"/>
      <c r="AQG47" s="69"/>
      <c r="AQH47" s="69"/>
      <c r="AQI47" s="69"/>
      <c r="AQJ47" s="69"/>
      <c r="AQK47" s="69"/>
      <c r="AQL47" s="69"/>
      <c r="AQM47" s="69"/>
      <c r="AQN47" s="69"/>
      <c r="AQO47" s="69"/>
      <c r="AQP47" s="69"/>
      <c r="AQQ47" s="69"/>
      <c r="AQR47" s="69"/>
      <c r="AQS47" s="69"/>
      <c r="AQT47" s="69"/>
      <c r="AQU47" s="69"/>
      <c r="AQV47" s="69"/>
      <c r="AQW47" s="69"/>
      <c r="AQX47" s="69"/>
      <c r="AQY47" s="69"/>
      <c r="AQZ47" s="69"/>
      <c r="ARA47" s="69"/>
      <c r="ARB47" s="69"/>
      <c r="ARC47" s="69"/>
      <c r="ARD47" s="69"/>
      <c r="ARE47" s="69"/>
      <c r="ARF47" s="69"/>
      <c r="ARG47" s="69"/>
      <c r="ARH47" s="69"/>
      <c r="ARI47" s="69"/>
      <c r="ARJ47" s="69"/>
      <c r="ARK47" s="69"/>
      <c r="ARL47" s="69"/>
      <c r="ARM47" s="69"/>
      <c r="ARN47" s="69"/>
      <c r="ARO47" s="69"/>
      <c r="ARP47" s="69"/>
      <c r="ARQ47" s="69"/>
      <c r="ARR47" s="69"/>
      <c r="ARS47" s="69"/>
      <c r="ART47" s="69"/>
      <c r="ARU47" s="69"/>
      <c r="ARV47" s="69"/>
      <c r="ARW47" s="69"/>
      <c r="ARX47" s="69"/>
      <c r="ARY47" s="69"/>
      <c r="ARZ47" s="69"/>
      <c r="ASA47" s="69"/>
      <c r="ASB47" s="69"/>
      <c r="ASC47" s="69"/>
      <c r="ASD47" s="69"/>
      <c r="ASE47" s="69"/>
      <c r="ASF47" s="69"/>
      <c r="ASG47" s="69"/>
      <c r="ASH47" s="69"/>
      <c r="ASI47" s="69"/>
      <c r="ASJ47" s="69"/>
      <c r="ASK47" s="69"/>
      <c r="ASL47" s="69"/>
      <c r="ASM47" s="69"/>
      <c r="ASN47" s="69"/>
      <c r="ASO47" s="69"/>
      <c r="ASP47" s="69"/>
      <c r="ASQ47" s="69"/>
      <c r="ASR47" s="69"/>
      <c r="ASS47" s="69"/>
      <c r="AST47" s="69"/>
      <c r="ASU47" s="69"/>
      <c r="ASV47" s="69"/>
      <c r="ASW47" s="69"/>
      <c r="ASX47" s="69"/>
      <c r="ASY47" s="69"/>
      <c r="ASZ47" s="69"/>
      <c r="ATA47" s="69"/>
      <c r="ATB47" s="69"/>
      <c r="ATC47" s="69"/>
      <c r="ATD47" s="69"/>
      <c r="ATE47" s="69"/>
      <c r="ATF47" s="69"/>
      <c r="ATG47" s="69"/>
      <c r="ATH47" s="69"/>
      <c r="ATI47" s="69"/>
      <c r="ATJ47" s="69"/>
      <c r="ATK47" s="69"/>
      <c r="ATL47" s="69"/>
      <c r="ATM47" s="69"/>
      <c r="ATN47" s="69"/>
      <c r="ATO47" s="69"/>
      <c r="ATP47" s="69"/>
      <c r="ATQ47" s="69"/>
      <c r="ATR47" s="69"/>
      <c r="ATS47" s="69"/>
      <c r="ATT47" s="69"/>
      <c r="ATU47" s="69"/>
      <c r="ATV47" s="69"/>
      <c r="ATW47" s="69"/>
      <c r="ATX47" s="69"/>
      <c r="ATY47" s="69"/>
      <c r="ATZ47" s="69"/>
      <c r="AUA47" s="69"/>
      <c r="AUB47" s="69"/>
      <c r="AUC47" s="69"/>
      <c r="AUD47" s="69"/>
      <c r="AUE47" s="69"/>
      <c r="AUF47" s="69"/>
      <c r="AUG47" s="69"/>
      <c r="AUH47" s="69"/>
      <c r="AUI47" s="69"/>
      <c r="AUJ47" s="69"/>
      <c r="AUK47" s="69"/>
      <c r="AUL47" s="69"/>
      <c r="AUM47" s="69"/>
      <c r="AUN47" s="69"/>
      <c r="AUO47" s="69"/>
      <c r="AUP47" s="69"/>
      <c r="AUQ47" s="69"/>
      <c r="AUR47" s="69"/>
      <c r="AUS47" s="69"/>
      <c r="AUT47" s="69"/>
      <c r="AUU47" s="69"/>
      <c r="AUV47" s="69"/>
      <c r="AUW47" s="69"/>
      <c r="AUX47" s="69"/>
      <c r="AUY47" s="69"/>
      <c r="AUZ47" s="69"/>
      <c r="AVA47" s="69"/>
      <c r="AVB47" s="69"/>
      <c r="AVC47" s="69"/>
      <c r="AVD47" s="69"/>
      <c r="AVE47" s="69"/>
      <c r="AVF47" s="69"/>
      <c r="AVG47" s="69"/>
      <c r="AVH47" s="69"/>
      <c r="AVI47" s="69"/>
      <c r="AVJ47" s="69"/>
      <c r="AVK47" s="69"/>
      <c r="AVL47" s="69"/>
      <c r="AVM47" s="69"/>
      <c r="AVN47" s="69"/>
      <c r="AVO47" s="69"/>
      <c r="AVP47" s="69"/>
      <c r="AVQ47" s="69"/>
      <c r="AVR47" s="69"/>
      <c r="AVS47" s="69"/>
      <c r="AVT47" s="69"/>
      <c r="AVU47" s="69"/>
      <c r="AVV47" s="69"/>
      <c r="AVW47" s="69"/>
      <c r="AVX47" s="69"/>
      <c r="AVY47" s="69"/>
      <c r="AVZ47" s="69"/>
      <c r="AWA47" s="69"/>
      <c r="AWB47" s="69"/>
      <c r="AWC47" s="69"/>
      <c r="AWD47" s="69"/>
      <c r="AWE47" s="69"/>
      <c r="AWF47" s="69"/>
      <c r="AWG47" s="69"/>
      <c r="AWH47" s="69"/>
      <c r="AWI47" s="69"/>
      <c r="AWJ47" s="69"/>
      <c r="AWK47" s="69"/>
      <c r="AWL47" s="69"/>
      <c r="AWM47" s="69"/>
      <c r="AWN47" s="69"/>
      <c r="AWO47" s="69"/>
      <c r="AWP47" s="69"/>
      <c r="AWQ47" s="69"/>
      <c r="AWR47" s="69"/>
      <c r="AWS47" s="69"/>
      <c r="AWT47" s="69"/>
      <c r="AWU47" s="69"/>
      <c r="AWV47" s="69"/>
      <c r="AWW47" s="69"/>
      <c r="AWX47" s="69"/>
      <c r="AWY47" s="69"/>
      <c r="AWZ47" s="69"/>
      <c r="AXA47" s="69"/>
      <c r="AXB47" s="69"/>
      <c r="AXC47" s="69"/>
      <c r="AXD47" s="69"/>
      <c r="AXE47" s="69"/>
      <c r="AXF47" s="69"/>
      <c r="AXG47" s="69"/>
      <c r="AXH47" s="69"/>
      <c r="AXI47" s="69"/>
      <c r="AXJ47" s="69"/>
      <c r="AXK47" s="69"/>
      <c r="AXL47" s="69"/>
      <c r="AXM47" s="69"/>
      <c r="AXN47" s="69"/>
      <c r="AXO47" s="69"/>
      <c r="AXP47" s="69"/>
      <c r="AXQ47" s="69"/>
      <c r="AXR47" s="69"/>
      <c r="AXS47" s="69"/>
      <c r="AXT47" s="69"/>
      <c r="AXU47" s="69"/>
      <c r="AXV47" s="69"/>
      <c r="AXW47" s="69"/>
      <c r="AXX47" s="69"/>
      <c r="AXY47" s="69"/>
      <c r="AXZ47" s="69"/>
      <c r="AYA47" s="69"/>
      <c r="AYB47" s="69"/>
      <c r="AYC47" s="69"/>
      <c r="AYD47" s="69"/>
      <c r="AYE47" s="69"/>
      <c r="AYF47" s="69"/>
      <c r="AYG47" s="69"/>
      <c r="AYH47" s="69"/>
      <c r="AYI47" s="69"/>
      <c r="AYJ47" s="69"/>
      <c r="AYK47" s="69"/>
      <c r="AYL47" s="69"/>
      <c r="AYM47" s="69"/>
      <c r="AYN47" s="69"/>
      <c r="AYO47" s="69"/>
      <c r="AYP47" s="69"/>
      <c r="AYQ47" s="69"/>
      <c r="AYR47" s="69"/>
      <c r="AYS47" s="69"/>
      <c r="AYT47" s="69"/>
      <c r="AYU47" s="69"/>
      <c r="AYV47" s="69"/>
      <c r="AYW47" s="69"/>
      <c r="AYX47" s="69"/>
      <c r="AYY47" s="69"/>
      <c r="AYZ47" s="69"/>
      <c r="AZA47" s="69"/>
      <c r="AZB47" s="69"/>
      <c r="AZC47" s="69"/>
      <c r="AZD47" s="69"/>
      <c r="AZE47" s="69"/>
      <c r="AZF47" s="69"/>
      <c r="AZG47" s="69"/>
      <c r="AZH47" s="69"/>
      <c r="AZI47" s="69"/>
      <c r="AZJ47" s="69"/>
      <c r="AZK47" s="69"/>
      <c r="AZL47" s="69"/>
      <c r="AZM47" s="69"/>
      <c r="AZN47" s="69"/>
      <c r="AZO47" s="69"/>
      <c r="AZP47" s="69"/>
      <c r="AZQ47" s="69"/>
      <c r="AZR47" s="69"/>
      <c r="AZS47" s="69"/>
      <c r="AZT47" s="69"/>
      <c r="AZU47" s="69"/>
      <c r="AZV47" s="69"/>
      <c r="AZW47" s="69"/>
      <c r="AZX47" s="69"/>
      <c r="AZY47" s="69"/>
      <c r="AZZ47" s="69"/>
      <c r="BAA47" s="69"/>
      <c r="BAB47" s="69"/>
      <c r="BAC47" s="69"/>
      <c r="BAD47" s="69"/>
      <c r="BAE47" s="69"/>
      <c r="BAF47" s="69"/>
      <c r="BAG47" s="69"/>
      <c r="BAH47" s="69"/>
      <c r="BAI47" s="69"/>
      <c r="BAJ47" s="69"/>
      <c r="BAK47" s="69"/>
      <c r="BAL47" s="69"/>
      <c r="BAM47" s="69"/>
      <c r="BAN47" s="69"/>
      <c r="BAO47" s="69"/>
      <c r="BAP47" s="69"/>
      <c r="BAQ47" s="69"/>
      <c r="BAR47" s="69"/>
      <c r="BAS47" s="69"/>
      <c r="BAT47" s="69"/>
      <c r="BAU47" s="69"/>
      <c r="BAV47" s="69"/>
      <c r="BAW47" s="69"/>
      <c r="BAX47" s="69"/>
      <c r="BAY47" s="69"/>
      <c r="BAZ47" s="69"/>
      <c r="BBA47" s="69"/>
      <c r="BBB47" s="69"/>
      <c r="BBC47" s="69"/>
      <c r="BBD47" s="69"/>
      <c r="BBE47" s="69"/>
      <c r="BBF47" s="69"/>
      <c r="BBG47" s="69"/>
      <c r="BBH47" s="69"/>
      <c r="BBI47" s="69"/>
      <c r="BBJ47" s="69"/>
      <c r="BBK47" s="69"/>
      <c r="BBL47" s="69"/>
      <c r="BBM47" s="69"/>
      <c r="BBN47" s="69"/>
      <c r="BBO47" s="69"/>
      <c r="BBP47" s="69"/>
      <c r="BBQ47" s="69"/>
      <c r="BBR47" s="69"/>
      <c r="BBS47" s="69"/>
      <c r="BBT47" s="69"/>
      <c r="BBU47" s="69"/>
      <c r="BBV47" s="69"/>
      <c r="BBW47" s="69"/>
      <c r="BBX47" s="69"/>
      <c r="BBY47" s="69"/>
      <c r="BBZ47" s="69"/>
      <c r="BCA47" s="69"/>
      <c r="BCB47" s="69"/>
      <c r="BCC47" s="69"/>
      <c r="BCD47" s="69"/>
      <c r="BCE47" s="69"/>
      <c r="BCF47" s="69"/>
      <c r="BCG47" s="69"/>
      <c r="BCH47" s="69"/>
      <c r="BCI47" s="69"/>
      <c r="BCJ47" s="69"/>
      <c r="BCK47" s="69"/>
      <c r="BCL47" s="69"/>
      <c r="BCM47" s="69"/>
      <c r="BCN47" s="69"/>
      <c r="BCO47" s="69"/>
      <c r="BCP47" s="69"/>
      <c r="BCQ47" s="69"/>
      <c r="BCR47" s="69"/>
      <c r="BCS47" s="69"/>
      <c r="BCT47" s="69"/>
      <c r="BCU47" s="69"/>
      <c r="BCV47" s="69"/>
      <c r="BCW47" s="69"/>
      <c r="BCX47" s="69"/>
      <c r="BCY47" s="69"/>
      <c r="BCZ47" s="69"/>
      <c r="BDA47" s="69"/>
      <c r="BDB47" s="69"/>
      <c r="BDC47" s="69"/>
      <c r="BDD47" s="69"/>
      <c r="BDE47" s="69"/>
      <c r="BDF47" s="69"/>
      <c r="BDG47" s="69"/>
      <c r="BDH47" s="69"/>
      <c r="BDI47" s="69"/>
      <c r="BDJ47" s="69"/>
      <c r="BDK47" s="69"/>
      <c r="BDL47" s="69"/>
      <c r="BDM47" s="69"/>
      <c r="BDN47" s="69"/>
      <c r="BDO47" s="69"/>
      <c r="BDP47" s="69"/>
      <c r="BDQ47" s="69"/>
      <c r="BDR47" s="69"/>
      <c r="BDS47" s="69"/>
      <c r="BDT47" s="69"/>
      <c r="BDU47" s="69"/>
      <c r="BDV47" s="69"/>
      <c r="BDW47" s="69"/>
      <c r="BDX47" s="69"/>
      <c r="BDY47" s="69"/>
      <c r="BDZ47" s="69"/>
      <c r="BEA47" s="69"/>
      <c r="BEB47" s="69"/>
      <c r="BEC47" s="69"/>
      <c r="BED47" s="69"/>
      <c r="BEE47" s="69"/>
      <c r="BEF47" s="69"/>
      <c r="BEG47" s="69"/>
      <c r="BEH47" s="69"/>
      <c r="BEI47" s="69"/>
      <c r="BEJ47" s="69"/>
      <c r="BEK47" s="69"/>
      <c r="BEL47" s="69"/>
      <c r="BEM47" s="69"/>
      <c r="BEN47" s="69"/>
      <c r="BEO47" s="69"/>
      <c r="BEP47" s="69"/>
      <c r="BEQ47" s="69"/>
      <c r="BER47" s="69"/>
      <c r="BES47" s="69"/>
      <c r="BET47" s="69"/>
      <c r="BEU47" s="69"/>
      <c r="BEV47" s="69"/>
      <c r="BEW47" s="69"/>
      <c r="BEX47" s="69"/>
      <c r="BEY47" s="69"/>
      <c r="BEZ47" s="69"/>
      <c r="BFA47" s="69"/>
      <c r="BFB47" s="69"/>
      <c r="BFC47" s="69"/>
      <c r="BFD47" s="69"/>
      <c r="BFE47" s="69"/>
      <c r="BFF47" s="69"/>
      <c r="BFG47" s="69"/>
      <c r="BFH47" s="69"/>
      <c r="BFI47" s="69"/>
      <c r="BFJ47" s="69"/>
      <c r="BFK47" s="69"/>
      <c r="BFL47" s="69"/>
      <c r="BFM47" s="69"/>
      <c r="BFN47" s="69"/>
      <c r="BFO47" s="69"/>
      <c r="BFP47" s="69"/>
      <c r="BFQ47" s="69"/>
      <c r="BFR47" s="69"/>
      <c r="BFS47" s="69"/>
      <c r="BFT47" s="69"/>
      <c r="BFU47" s="69"/>
      <c r="BFV47" s="69"/>
      <c r="BFW47" s="69"/>
      <c r="BFX47" s="69"/>
      <c r="BFY47" s="69"/>
      <c r="BFZ47" s="69"/>
      <c r="BGA47" s="69"/>
      <c r="BGB47" s="69"/>
      <c r="BGC47" s="69"/>
      <c r="BGD47" s="69"/>
      <c r="BGE47" s="69"/>
      <c r="BGF47" s="69"/>
      <c r="BGG47" s="69"/>
      <c r="BGH47" s="69"/>
      <c r="BGI47" s="69"/>
      <c r="BGJ47" s="69"/>
      <c r="BGK47" s="69"/>
      <c r="BGL47" s="69"/>
      <c r="BGM47" s="69"/>
      <c r="BGN47" s="69"/>
      <c r="BGO47" s="69"/>
      <c r="BGP47" s="69"/>
      <c r="BGQ47" s="69"/>
      <c r="BGR47" s="69"/>
      <c r="BGS47" s="69"/>
      <c r="BGT47" s="69"/>
      <c r="BGU47" s="69"/>
      <c r="BGV47" s="69"/>
      <c r="BGW47" s="69"/>
      <c r="BGX47" s="69"/>
      <c r="BGY47" s="69"/>
      <c r="BGZ47" s="69"/>
      <c r="BHA47" s="69"/>
      <c r="BHB47" s="69"/>
      <c r="BHC47" s="69"/>
      <c r="BHD47" s="69"/>
      <c r="BHE47" s="69"/>
      <c r="BHF47" s="69"/>
      <c r="BHG47" s="69"/>
      <c r="BHH47" s="69"/>
      <c r="BHI47" s="69"/>
      <c r="BHJ47" s="69"/>
      <c r="BHK47" s="69"/>
      <c r="BHL47" s="69"/>
      <c r="BHM47" s="69"/>
      <c r="BHN47" s="69"/>
      <c r="BHO47" s="69"/>
      <c r="BHP47" s="69"/>
      <c r="BHQ47" s="69"/>
      <c r="BHR47" s="69"/>
      <c r="BHS47" s="69"/>
      <c r="BHT47" s="69"/>
      <c r="BHU47" s="69"/>
      <c r="BHV47" s="69"/>
      <c r="BHW47" s="69"/>
      <c r="BHX47" s="69"/>
      <c r="BHY47" s="69"/>
      <c r="BHZ47" s="69"/>
      <c r="BIA47" s="69"/>
      <c r="BIB47" s="69"/>
      <c r="BIC47" s="69"/>
      <c r="BID47" s="69"/>
      <c r="BIE47" s="69"/>
      <c r="BIF47" s="69"/>
      <c r="BIG47" s="69"/>
      <c r="BIH47" s="69"/>
      <c r="BII47" s="69"/>
      <c r="BIJ47" s="69"/>
      <c r="BIK47" s="69"/>
      <c r="BIL47" s="69"/>
      <c r="BIM47" s="69"/>
      <c r="BIN47" s="69"/>
      <c r="BIO47" s="69"/>
      <c r="BIP47" s="69"/>
      <c r="BIQ47" s="69"/>
      <c r="BIR47" s="69"/>
      <c r="BIS47" s="69"/>
      <c r="BIT47" s="69"/>
      <c r="BIU47" s="69"/>
      <c r="BIV47" s="69"/>
      <c r="BIW47" s="69"/>
      <c r="BIX47" s="69"/>
      <c r="BIY47" s="69"/>
      <c r="BIZ47" s="69"/>
      <c r="BJA47" s="69"/>
      <c r="BJB47" s="69"/>
      <c r="BJC47" s="69"/>
      <c r="BJD47" s="69"/>
      <c r="BJE47" s="69"/>
      <c r="BJF47" s="69"/>
      <c r="BJG47" s="69"/>
      <c r="BJH47" s="69"/>
      <c r="BJI47" s="69"/>
      <c r="BJJ47" s="69"/>
      <c r="BJK47" s="69"/>
      <c r="BJL47" s="69"/>
      <c r="BJM47" s="69"/>
      <c r="BJN47" s="69"/>
      <c r="BJO47" s="69"/>
      <c r="BJP47" s="69"/>
      <c r="BJQ47" s="69"/>
      <c r="BJR47" s="69"/>
      <c r="BJS47" s="69"/>
      <c r="BJT47" s="69"/>
      <c r="BJU47" s="69"/>
      <c r="BJV47" s="69"/>
      <c r="BJW47" s="69"/>
      <c r="BJX47" s="69"/>
      <c r="BJY47" s="69"/>
      <c r="BJZ47" s="69"/>
      <c r="BKA47" s="69"/>
      <c r="BKB47" s="69"/>
      <c r="BKC47" s="69"/>
      <c r="BKD47" s="69"/>
      <c r="BKE47" s="69"/>
      <c r="BKF47" s="69"/>
      <c r="BKG47" s="69"/>
      <c r="BKH47" s="69"/>
      <c r="BKI47" s="69"/>
      <c r="BKJ47" s="69"/>
      <c r="BKK47" s="69"/>
      <c r="BKL47" s="69"/>
      <c r="BKM47" s="69"/>
      <c r="BKN47" s="69"/>
      <c r="BKO47" s="69"/>
      <c r="BKP47" s="69"/>
      <c r="BKQ47" s="69"/>
      <c r="BKR47" s="69"/>
      <c r="BKS47" s="69"/>
      <c r="BKT47" s="69"/>
      <c r="BKU47" s="69"/>
      <c r="BKV47" s="69"/>
      <c r="BKW47" s="69"/>
      <c r="BKX47" s="69"/>
      <c r="BKY47" s="69"/>
      <c r="BKZ47" s="69"/>
      <c r="BLA47" s="69"/>
      <c r="BLB47" s="69"/>
      <c r="BLC47" s="69"/>
      <c r="BLD47" s="69"/>
      <c r="BLE47" s="69"/>
      <c r="BLF47" s="69"/>
      <c r="BLG47" s="69"/>
      <c r="BLH47" s="69"/>
      <c r="BLI47" s="69"/>
      <c r="BLJ47" s="69"/>
      <c r="BLK47" s="69"/>
      <c r="BLL47" s="69"/>
      <c r="BLM47" s="69"/>
      <c r="BLN47" s="69"/>
      <c r="BLO47" s="69"/>
      <c r="BLP47" s="69"/>
      <c r="BLQ47" s="69"/>
      <c r="BLR47" s="69"/>
      <c r="BLS47" s="69"/>
      <c r="BLT47" s="69"/>
      <c r="BLU47" s="69"/>
      <c r="BLV47" s="69"/>
      <c r="BLW47" s="69"/>
      <c r="BLX47" s="69"/>
      <c r="BLY47" s="69"/>
      <c r="BLZ47" s="69"/>
      <c r="BMA47" s="69"/>
      <c r="BMB47" s="69"/>
      <c r="BMC47" s="69"/>
      <c r="BMD47" s="69"/>
      <c r="BME47" s="69"/>
      <c r="BMF47" s="69"/>
      <c r="BMG47" s="69"/>
      <c r="BMH47" s="69"/>
      <c r="BMI47" s="69"/>
      <c r="BMJ47" s="69"/>
      <c r="BMK47" s="69"/>
      <c r="BML47" s="69"/>
      <c r="BMM47" s="69"/>
      <c r="BMN47" s="69"/>
      <c r="BMO47" s="69"/>
      <c r="BMP47" s="69"/>
      <c r="BMQ47" s="69"/>
      <c r="BMR47" s="69"/>
      <c r="BMS47" s="69"/>
      <c r="BMT47" s="69"/>
      <c r="BMU47" s="69"/>
      <c r="BMV47" s="69"/>
      <c r="BMW47" s="69"/>
      <c r="BMX47" s="69"/>
      <c r="BMY47" s="69"/>
      <c r="BMZ47" s="69"/>
      <c r="BNA47" s="69"/>
      <c r="BNB47" s="69"/>
      <c r="BNC47" s="69"/>
      <c r="BND47" s="69"/>
      <c r="BNE47" s="69"/>
      <c r="BNF47" s="69"/>
      <c r="BNG47" s="69"/>
      <c r="BNH47" s="69"/>
      <c r="BNI47" s="69"/>
      <c r="BNJ47" s="69"/>
      <c r="BNK47" s="69"/>
      <c r="BNL47" s="69"/>
      <c r="BNM47" s="69"/>
      <c r="BNN47" s="69"/>
      <c r="BNO47" s="69"/>
      <c r="BNP47" s="69"/>
      <c r="BNQ47" s="69"/>
      <c r="BNR47" s="69"/>
      <c r="BNS47" s="69"/>
      <c r="BNT47" s="69"/>
      <c r="BNU47" s="69"/>
      <c r="BNV47" s="69"/>
      <c r="BNW47" s="69"/>
      <c r="BNX47" s="69"/>
      <c r="BNY47" s="69"/>
      <c r="BNZ47" s="69"/>
      <c r="BOA47" s="69"/>
      <c r="BOB47" s="69"/>
      <c r="BOC47" s="69"/>
      <c r="BOD47" s="69"/>
      <c r="BOE47" s="69"/>
      <c r="BOF47" s="69"/>
      <c r="BOG47" s="69"/>
      <c r="BOH47" s="69"/>
      <c r="BOI47" s="69"/>
      <c r="BOJ47" s="69"/>
      <c r="BOK47" s="69"/>
      <c r="BOL47" s="69"/>
      <c r="BOM47" s="69"/>
      <c r="BON47" s="69"/>
      <c r="BOO47" s="69"/>
      <c r="BOP47" s="69"/>
      <c r="BOQ47" s="69"/>
      <c r="BOR47" s="69"/>
      <c r="BOS47" s="69"/>
      <c r="BOT47" s="69"/>
      <c r="BOU47" s="69"/>
      <c r="BOV47" s="69"/>
      <c r="BOW47" s="69"/>
      <c r="BOX47" s="69"/>
      <c r="BOY47" s="69"/>
      <c r="BOZ47" s="69"/>
      <c r="BPA47" s="69"/>
      <c r="BPB47" s="69"/>
      <c r="BPC47" s="69"/>
      <c r="BPD47" s="69"/>
      <c r="BPE47" s="69"/>
      <c r="BPF47" s="69"/>
      <c r="BPG47" s="69"/>
      <c r="BPH47" s="69"/>
      <c r="BPI47" s="69"/>
      <c r="BPJ47" s="69"/>
      <c r="BPK47" s="69"/>
      <c r="BPL47" s="69"/>
      <c r="BPM47" s="69"/>
      <c r="BPN47" s="69"/>
      <c r="BPO47" s="69"/>
      <c r="BPP47" s="69"/>
      <c r="BPQ47" s="69"/>
      <c r="BPR47" s="69"/>
      <c r="BPS47" s="69"/>
      <c r="BPT47" s="69"/>
      <c r="BPU47" s="69"/>
      <c r="BPV47" s="69"/>
      <c r="BPW47" s="69"/>
      <c r="BPX47" s="69"/>
      <c r="BPY47" s="69"/>
      <c r="BPZ47" s="69"/>
      <c r="BQA47" s="69"/>
      <c r="BQB47" s="69"/>
      <c r="BQC47" s="69"/>
      <c r="BQD47" s="69"/>
      <c r="BQE47" s="69"/>
      <c r="BQF47" s="69"/>
      <c r="BQG47" s="69"/>
      <c r="BQH47" s="69"/>
      <c r="BQI47" s="69"/>
      <c r="BQJ47" s="69"/>
      <c r="BQK47" s="69"/>
      <c r="BQL47" s="69"/>
      <c r="BQM47" s="69"/>
      <c r="BQN47" s="69"/>
      <c r="BQO47" s="69"/>
      <c r="BQP47" s="69"/>
      <c r="BQQ47" s="69"/>
      <c r="BQR47" s="69"/>
      <c r="BQS47" s="69"/>
      <c r="BQT47" s="69"/>
      <c r="BQU47" s="69"/>
      <c r="BQV47" s="69"/>
      <c r="BQW47" s="69"/>
      <c r="BQX47" s="69"/>
      <c r="BQY47" s="69"/>
      <c r="BQZ47" s="69"/>
      <c r="BRA47" s="69"/>
      <c r="BRB47" s="69"/>
      <c r="BRC47" s="69"/>
      <c r="BRD47" s="69"/>
      <c r="BRE47" s="69"/>
      <c r="BRF47" s="69"/>
      <c r="BRG47" s="69"/>
      <c r="BRH47" s="69"/>
      <c r="BRI47" s="69"/>
      <c r="BRJ47" s="69"/>
      <c r="BRK47" s="69"/>
      <c r="BRL47" s="69"/>
      <c r="BRM47" s="69"/>
      <c r="BRN47" s="69"/>
      <c r="BRO47" s="69"/>
      <c r="BRP47" s="69"/>
      <c r="BRQ47" s="69"/>
      <c r="BRR47" s="69"/>
      <c r="BRS47" s="69"/>
      <c r="BRT47" s="69"/>
      <c r="BRU47" s="69"/>
      <c r="BRV47" s="69"/>
      <c r="BRW47" s="69"/>
      <c r="BRX47" s="69"/>
      <c r="BRY47" s="69"/>
      <c r="BRZ47" s="69"/>
      <c r="BSA47" s="69"/>
      <c r="BSB47" s="69"/>
      <c r="BSC47" s="69"/>
      <c r="BSD47" s="69"/>
      <c r="BSE47" s="69"/>
      <c r="BSF47" s="69"/>
      <c r="BSG47" s="69"/>
      <c r="BSH47" s="69"/>
      <c r="BSI47" s="69"/>
      <c r="BSJ47" s="69"/>
      <c r="BSK47" s="69"/>
      <c r="BSL47" s="69"/>
      <c r="BSM47" s="69"/>
      <c r="BSN47" s="69"/>
      <c r="BSO47" s="69"/>
      <c r="BSP47" s="69"/>
      <c r="BSQ47" s="69"/>
      <c r="BSR47" s="69"/>
      <c r="BSS47" s="69"/>
      <c r="BST47" s="69"/>
      <c r="BSU47" s="69"/>
      <c r="BSV47" s="69"/>
      <c r="BSW47" s="69"/>
      <c r="BSX47" s="69"/>
      <c r="BSY47" s="69"/>
      <c r="BSZ47" s="69"/>
      <c r="BTA47" s="69"/>
      <c r="BTB47" s="69"/>
      <c r="BTC47" s="69"/>
      <c r="BTD47" s="69"/>
      <c r="BTE47" s="69"/>
      <c r="BTF47" s="69"/>
      <c r="BTG47" s="69"/>
      <c r="BTH47" s="69"/>
      <c r="BTI47" s="69"/>
      <c r="BTJ47" s="69"/>
      <c r="BTK47" s="69"/>
      <c r="BTL47" s="69"/>
      <c r="BTM47" s="69"/>
      <c r="BTN47" s="69"/>
      <c r="BTO47" s="69"/>
      <c r="BTP47" s="69"/>
      <c r="BTQ47" s="69"/>
      <c r="BTR47" s="69"/>
      <c r="BTS47" s="69"/>
      <c r="BTT47" s="69"/>
      <c r="BTU47" s="69"/>
      <c r="BTV47" s="69"/>
      <c r="BTW47" s="69"/>
      <c r="BTX47" s="69"/>
      <c r="BTY47" s="69"/>
      <c r="BTZ47" s="69"/>
      <c r="BUA47" s="69"/>
      <c r="BUB47" s="69"/>
      <c r="BUC47" s="69"/>
      <c r="BUD47" s="69"/>
      <c r="BUE47" s="69"/>
      <c r="BUF47" s="69"/>
      <c r="BUG47" s="69"/>
      <c r="BUH47" s="69"/>
      <c r="BUI47" s="69"/>
      <c r="BUJ47" s="69"/>
      <c r="BUK47" s="69"/>
      <c r="BUL47" s="69"/>
      <c r="BUM47" s="69"/>
      <c r="BUN47" s="69"/>
      <c r="BUO47" s="69"/>
      <c r="BUP47" s="69"/>
      <c r="BUQ47" s="69"/>
      <c r="BUR47" s="69"/>
      <c r="BUS47" s="69"/>
      <c r="BUT47" s="69"/>
      <c r="BUU47" s="69"/>
      <c r="BUV47" s="69"/>
      <c r="BUW47" s="69"/>
      <c r="BUX47" s="69"/>
      <c r="BUY47" s="69"/>
      <c r="BUZ47" s="69"/>
      <c r="BVA47" s="69"/>
      <c r="BVB47" s="69"/>
      <c r="BVC47" s="69"/>
      <c r="BVD47" s="69"/>
      <c r="BVE47" s="69"/>
      <c r="BVF47" s="69"/>
      <c r="BVG47" s="69"/>
      <c r="BVH47" s="69"/>
      <c r="BVI47" s="69"/>
      <c r="BVJ47" s="69"/>
      <c r="BVK47" s="69"/>
      <c r="BVL47" s="69"/>
      <c r="BVM47" s="69"/>
      <c r="BVN47" s="69"/>
      <c r="BVO47" s="69"/>
      <c r="BVP47" s="69"/>
      <c r="BVQ47" s="69"/>
      <c r="BVR47" s="69"/>
      <c r="BVS47" s="69"/>
      <c r="BVT47" s="69"/>
      <c r="BVU47" s="69"/>
      <c r="BVV47" s="69"/>
      <c r="BVW47" s="69"/>
      <c r="BVX47" s="69"/>
      <c r="BVY47" s="69"/>
      <c r="BVZ47" s="69"/>
      <c r="BWA47" s="69"/>
      <c r="BWB47" s="69"/>
      <c r="BWC47" s="69"/>
      <c r="BWD47" s="69"/>
      <c r="BWE47" s="69"/>
      <c r="BWF47" s="69"/>
      <c r="BWG47" s="69"/>
      <c r="BWH47" s="69"/>
      <c r="BWI47" s="69"/>
      <c r="BWJ47" s="69"/>
      <c r="BWK47" s="69"/>
      <c r="BWL47" s="69"/>
      <c r="BWM47" s="69"/>
      <c r="BWN47" s="69"/>
      <c r="BWO47" s="69"/>
      <c r="BWP47" s="69"/>
      <c r="BWQ47" s="69"/>
      <c r="BWR47" s="69"/>
      <c r="BWS47" s="69"/>
      <c r="BWT47" s="69"/>
      <c r="BWU47" s="69"/>
      <c r="BWV47" s="69"/>
      <c r="BWW47" s="69"/>
      <c r="BWX47" s="69"/>
      <c r="BWY47" s="69"/>
      <c r="BWZ47" s="69"/>
      <c r="BXA47" s="69"/>
      <c r="BXB47" s="69"/>
      <c r="BXC47" s="69"/>
      <c r="BXD47" s="69"/>
      <c r="BXE47" s="69"/>
      <c r="BXF47" s="69"/>
      <c r="BXG47" s="69"/>
      <c r="BXH47" s="69"/>
      <c r="BXI47" s="69"/>
      <c r="BXJ47" s="69"/>
      <c r="BXK47" s="69"/>
      <c r="BXL47" s="69"/>
      <c r="BXM47" s="69"/>
      <c r="BXN47" s="69"/>
      <c r="BXO47" s="69"/>
      <c r="BXP47" s="69"/>
      <c r="BXQ47" s="69"/>
      <c r="BXR47" s="69"/>
      <c r="BXS47" s="69"/>
      <c r="BXT47" s="69"/>
      <c r="BXU47" s="69"/>
      <c r="BXV47" s="69"/>
      <c r="BXW47" s="69"/>
      <c r="BXX47" s="69"/>
      <c r="BXY47" s="69"/>
      <c r="BXZ47" s="69"/>
      <c r="BYA47" s="69"/>
      <c r="BYB47" s="69"/>
      <c r="BYC47" s="69"/>
      <c r="BYD47" s="69"/>
      <c r="BYE47" s="69"/>
      <c r="BYF47" s="69"/>
      <c r="BYG47" s="69"/>
      <c r="BYH47" s="69"/>
      <c r="BYI47" s="69"/>
      <c r="BYJ47" s="69"/>
      <c r="BYK47" s="69"/>
      <c r="BYL47" s="69"/>
      <c r="BYM47" s="69"/>
      <c r="BYN47" s="69"/>
      <c r="BYO47" s="69"/>
      <c r="BYP47" s="69"/>
      <c r="BYQ47" s="69"/>
      <c r="BYR47" s="69"/>
      <c r="BYS47" s="69"/>
      <c r="BYT47" s="69"/>
      <c r="BYU47" s="69"/>
      <c r="BYV47" s="69"/>
      <c r="BYW47" s="69"/>
      <c r="BYX47" s="69"/>
      <c r="BYY47" s="69"/>
      <c r="BYZ47" s="69"/>
      <c r="BZA47" s="69"/>
      <c r="BZB47" s="69"/>
      <c r="BZC47" s="69"/>
      <c r="BZD47" s="69"/>
      <c r="BZE47" s="69"/>
      <c r="BZF47" s="69"/>
      <c r="BZG47" s="69"/>
      <c r="BZH47" s="69"/>
      <c r="BZI47" s="69"/>
      <c r="BZJ47" s="69"/>
      <c r="BZK47" s="69"/>
      <c r="BZL47" s="69"/>
      <c r="BZM47" s="69"/>
      <c r="BZN47" s="69"/>
      <c r="BZO47" s="69"/>
      <c r="BZP47" s="69"/>
      <c r="BZQ47" s="69"/>
      <c r="BZR47" s="69"/>
      <c r="BZS47" s="69"/>
      <c r="BZT47" s="69"/>
      <c r="BZU47" s="69"/>
      <c r="BZV47" s="69"/>
      <c r="BZW47" s="69"/>
      <c r="BZX47" s="69"/>
      <c r="BZY47" s="69"/>
      <c r="BZZ47" s="69"/>
      <c r="CAA47" s="69"/>
      <c r="CAB47" s="69"/>
      <c r="CAC47" s="69"/>
      <c r="CAD47" s="69"/>
      <c r="CAE47" s="69"/>
      <c r="CAF47" s="69"/>
      <c r="CAG47" s="69"/>
      <c r="CAH47" s="69"/>
      <c r="CAI47" s="69"/>
      <c r="CAJ47" s="69"/>
      <c r="CAK47" s="69"/>
      <c r="CAL47" s="69"/>
      <c r="CAM47" s="69"/>
      <c r="CAN47" s="69"/>
      <c r="CAO47" s="69"/>
      <c r="CAP47" s="69"/>
      <c r="CAQ47" s="69"/>
      <c r="CAR47" s="69"/>
      <c r="CAS47" s="69"/>
      <c r="CAT47" s="69"/>
      <c r="CAU47" s="69"/>
      <c r="CAV47" s="69"/>
      <c r="CAW47" s="69"/>
      <c r="CAX47" s="69"/>
      <c r="CAY47" s="69"/>
      <c r="CAZ47" s="69"/>
      <c r="CBA47" s="69"/>
      <c r="CBB47" s="69"/>
      <c r="CBC47" s="69"/>
      <c r="CBD47" s="69"/>
      <c r="CBE47" s="69"/>
      <c r="CBF47" s="69"/>
      <c r="CBG47" s="69"/>
      <c r="CBH47" s="69"/>
      <c r="CBI47" s="69"/>
      <c r="CBJ47" s="69"/>
      <c r="CBK47" s="69"/>
      <c r="CBL47" s="69"/>
      <c r="CBM47" s="69"/>
      <c r="CBN47" s="69"/>
      <c r="CBO47" s="69"/>
      <c r="CBP47" s="69"/>
      <c r="CBQ47" s="69"/>
      <c r="CBR47" s="69"/>
      <c r="CBS47" s="69"/>
      <c r="CBT47" s="69"/>
      <c r="CBU47" s="69"/>
      <c r="CBV47" s="69"/>
      <c r="CBW47" s="69"/>
      <c r="CBX47" s="69"/>
      <c r="CBY47" s="69"/>
      <c r="CBZ47" s="69"/>
      <c r="CCA47" s="69"/>
      <c r="CCB47" s="69"/>
      <c r="CCC47" s="69"/>
      <c r="CCD47" s="69"/>
      <c r="CCE47" s="69"/>
      <c r="CCF47" s="69"/>
      <c r="CCG47" s="69"/>
      <c r="CCH47" s="69"/>
      <c r="CCI47" s="69"/>
      <c r="CCJ47" s="69"/>
      <c r="CCK47" s="69"/>
      <c r="CCL47" s="69"/>
      <c r="CCM47" s="69"/>
      <c r="CCN47" s="69"/>
      <c r="CCO47" s="69"/>
      <c r="CCP47" s="69"/>
      <c r="CCQ47" s="69"/>
      <c r="CCR47" s="69"/>
      <c r="CCS47" s="69"/>
      <c r="CCT47" s="69"/>
      <c r="CCU47" s="69"/>
      <c r="CCV47" s="69"/>
      <c r="CCW47" s="69"/>
      <c r="CCX47" s="69"/>
      <c r="CCY47" s="69"/>
      <c r="CCZ47" s="69"/>
      <c r="CDA47" s="69"/>
      <c r="CDB47" s="69"/>
      <c r="CDC47" s="69"/>
      <c r="CDD47" s="69"/>
      <c r="CDE47" s="69"/>
      <c r="CDF47" s="69"/>
      <c r="CDG47" s="69"/>
      <c r="CDH47" s="69"/>
      <c r="CDI47" s="69"/>
      <c r="CDJ47" s="69"/>
      <c r="CDK47" s="69"/>
      <c r="CDL47" s="69"/>
      <c r="CDM47" s="69"/>
      <c r="CDN47" s="69"/>
      <c r="CDO47" s="69"/>
      <c r="CDP47" s="69"/>
      <c r="CDQ47" s="69"/>
      <c r="CDR47" s="69"/>
      <c r="CDS47" s="69"/>
      <c r="CDT47" s="69"/>
      <c r="CDU47" s="69"/>
      <c r="CDV47" s="69"/>
      <c r="CDW47" s="69"/>
      <c r="CDX47" s="69"/>
      <c r="CDY47" s="69"/>
      <c r="CDZ47" s="69"/>
      <c r="CEA47" s="69"/>
      <c r="CEB47" s="69"/>
      <c r="CEC47" s="69"/>
      <c r="CED47" s="69"/>
      <c r="CEE47" s="69"/>
      <c r="CEF47" s="69"/>
      <c r="CEG47" s="69"/>
      <c r="CEH47" s="69"/>
      <c r="CEI47" s="69"/>
      <c r="CEJ47" s="69"/>
      <c r="CEK47" s="69"/>
      <c r="CEL47" s="69"/>
      <c r="CEM47" s="69"/>
      <c r="CEN47" s="69"/>
      <c r="CEO47" s="69"/>
      <c r="CEP47" s="69"/>
      <c r="CEQ47" s="69"/>
      <c r="CER47" s="69"/>
      <c r="CES47" s="69"/>
      <c r="CET47" s="69"/>
      <c r="CEU47" s="69"/>
      <c r="CEV47" s="69"/>
      <c r="CEW47" s="69"/>
      <c r="CEX47" s="69"/>
      <c r="CEY47" s="69"/>
      <c r="CEZ47" s="69"/>
      <c r="CFA47" s="69"/>
      <c r="CFB47" s="69"/>
      <c r="CFC47" s="69"/>
      <c r="CFD47" s="69"/>
      <c r="CFE47" s="69"/>
      <c r="CFF47" s="69"/>
      <c r="CFG47" s="69"/>
      <c r="CFH47" s="69"/>
      <c r="CFI47" s="69"/>
      <c r="CFJ47" s="69"/>
      <c r="CFK47" s="69"/>
      <c r="CFL47" s="69"/>
      <c r="CFM47" s="69"/>
      <c r="CFN47" s="69"/>
      <c r="CFO47" s="69"/>
      <c r="CFP47" s="69"/>
      <c r="CFQ47" s="69"/>
      <c r="CFR47" s="69"/>
      <c r="CFS47" s="69"/>
      <c r="CFT47" s="69"/>
      <c r="CFU47" s="69"/>
      <c r="CFV47" s="69"/>
      <c r="CFW47" s="69"/>
      <c r="CFX47" s="69"/>
      <c r="CFY47" s="69"/>
      <c r="CFZ47" s="69"/>
      <c r="CGA47" s="69"/>
      <c r="CGB47" s="69"/>
      <c r="CGC47" s="69"/>
      <c r="CGD47" s="69"/>
      <c r="CGE47" s="69"/>
      <c r="CGF47" s="69"/>
      <c r="CGG47" s="69"/>
      <c r="CGH47" s="69"/>
      <c r="CGI47" s="69"/>
      <c r="CGJ47" s="69"/>
      <c r="CGK47" s="69"/>
      <c r="CGL47" s="69"/>
      <c r="CGM47" s="69"/>
      <c r="CGN47" s="69"/>
      <c r="CGO47" s="69"/>
      <c r="CGP47" s="69"/>
      <c r="CGQ47" s="69"/>
      <c r="CGR47" s="69"/>
      <c r="CGS47" s="69"/>
      <c r="CGT47" s="69"/>
      <c r="CGU47" s="69"/>
      <c r="CGV47" s="69"/>
      <c r="CGW47" s="69"/>
      <c r="CGX47" s="69"/>
      <c r="CGY47" s="69"/>
      <c r="CGZ47" s="69"/>
      <c r="CHA47" s="69"/>
      <c r="CHB47" s="69"/>
      <c r="CHC47" s="69"/>
      <c r="CHD47" s="69"/>
      <c r="CHE47" s="69"/>
      <c r="CHF47" s="69"/>
      <c r="CHG47" s="69"/>
      <c r="CHH47" s="69"/>
      <c r="CHI47" s="69"/>
      <c r="CHJ47" s="69"/>
      <c r="CHK47" s="69"/>
      <c r="CHL47" s="69"/>
      <c r="CHM47" s="69"/>
      <c r="CHN47" s="69"/>
      <c r="CHO47" s="69"/>
      <c r="CHP47" s="69"/>
      <c r="CHQ47" s="69"/>
      <c r="CHR47" s="69"/>
      <c r="CHS47" s="69"/>
      <c r="CHT47" s="69"/>
      <c r="CHU47" s="69"/>
      <c r="CHV47" s="69"/>
      <c r="CHW47" s="69"/>
      <c r="CHX47" s="69"/>
      <c r="CHY47" s="69"/>
      <c r="CHZ47" s="69"/>
      <c r="CIA47" s="69"/>
      <c r="CIB47" s="69"/>
      <c r="CIC47" s="69"/>
      <c r="CID47" s="69"/>
      <c r="CIE47" s="69"/>
      <c r="CIF47" s="69"/>
      <c r="CIG47" s="69"/>
      <c r="CIH47" s="69"/>
      <c r="CII47" s="69"/>
      <c r="CIJ47" s="69"/>
      <c r="CIK47" s="69"/>
      <c r="CIL47" s="69"/>
      <c r="CIM47" s="69"/>
      <c r="CIN47" s="69"/>
      <c r="CIO47" s="69"/>
      <c r="CIP47" s="69"/>
      <c r="CIQ47" s="69"/>
      <c r="CIR47" s="69"/>
      <c r="CIS47" s="69"/>
      <c r="CIT47" s="69"/>
      <c r="CIU47" s="69"/>
      <c r="CIV47" s="69"/>
      <c r="CIW47" s="69"/>
      <c r="CIX47" s="69"/>
      <c r="CIY47" s="69"/>
      <c r="CIZ47" s="69"/>
      <c r="CJA47" s="69"/>
      <c r="CJB47" s="69"/>
      <c r="CJC47" s="69"/>
      <c r="CJD47" s="69"/>
      <c r="CJE47" s="69"/>
      <c r="CJF47" s="69"/>
      <c r="CJG47" s="69"/>
      <c r="CJH47" s="69"/>
      <c r="CJI47" s="69"/>
      <c r="CJJ47" s="69"/>
      <c r="CJK47" s="69"/>
      <c r="CJL47" s="69"/>
      <c r="CJM47" s="69"/>
      <c r="CJN47" s="69"/>
      <c r="CJO47" s="69"/>
      <c r="CJP47" s="69"/>
      <c r="CJQ47" s="69"/>
      <c r="CJR47" s="69"/>
      <c r="CJS47" s="69"/>
      <c r="CJT47" s="69"/>
      <c r="CJU47" s="69"/>
      <c r="CJV47" s="69"/>
      <c r="CJW47" s="69"/>
      <c r="CJX47" s="69"/>
      <c r="CJY47" s="69"/>
      <c r="CJZ47" s="69"/>
      <c r="CKA47" s="69"/>
      <c r="CKB47" s="69"/>
      <c r="CKC47" s="69"/>
      <c r="CKD47" s="69"/>
      <c r="CKE47" s="69"/>
      <c r="CKF47" s="69"/>
      <c r="CKG47" s="69"/>
      <c r="CKH47" s="69"/>
      <c r="CKI47" s="69"/>
      <c r="CKJ47" s="69"/>
      <c r="CKK47" s="69"/>
      <c r="CKL47" s="69"/>
      <c r="CKM47" s="69"/>
      <c r="CKN47" s="69"/>
      <c r="CKO47" s="69"/>
      <c r="CKP47" s="69"/>
      <c r="CKQ47" s="69"/>
      <c r="CKR47" s="69"/>
      <c r="CKS47" s="69"/>
      <c r="CKT47" s="69"/>
      <c r="CKU47" s="69"/>
      <c r="CKV47" s="69"/>
      <c r="CKW47" s="69"/>
      <c r="CKX47" s="69"/>
      <c r="CKY47" s="69"/>
      <c r="CKZ47" s="69"/>
      <c r="CLA47" s="69"/>
      <c r="CLB47" s="69"/>
      <c r="CLC47" s="69"/>
      <c r="CLD47" s="69"/>
      <c r="CLE47" s="69"/>
      <c r="CLF47" s="69"/>
      <c r="CLG47" s="69"/>
      <c r="CLH47" s="69"/>
      <c r="CLI47" s="69"/>
      <c r="CLJ47" s="69"/>
      <c r="CLK47" s="69"/>
      <c r="CLL47" s="69"/>
      <c r="CLM47" s="69"/>
      <c r="CLN47" s="69"/>
      <c r="CLO47" s="69"/>
      <c r="CLP47" s="69"/>
      <c r="CLQ47" s="69"/>
      <c r="CLR47" s="69"/>
      <c r="CLS47" s="69"/>
      <c r="CLT47" s="69"/>
      <c r="CLU47" s="69"/>
      <c r="CLV47" s="69"/>
      <c r="CLW47" s="69"/>
      <c r="CLX47" s="69"/>
      <c r="CLY47" s="69"/>
      <c r="CLZ47" s="69"/>
      <c r="CMA47" s="69"/>
      <c r="CMB47" s="69"/>
      <c r="CMC47" s="69"/>
      <c r="CMD47" s="69"/>
      <c r="CME47" s="69"/>
      <c r="CMF47" s="69"/>
      <c r="CMG47" s="69"/>
      <c r="CMH47" s="69"/>
      <c r="CMI47" s="69"/>
      <c r="CMJ47" s="69"/>
      <c r="CMK47" s="69"/>
      <c r="CML47" s="69"/>
      <c r="CMM47" s="69"/>
      <c r="CMN47" s="69"/>
      <c r="CMO47" s="69"/>
      <c r="CMP47" s="69"/>
      <c r="CMQ47" s="69"/>
      <c r="CMR47" s="69"/>
      <c r="CMS47" s="69"/>
      <c r="CMT47" s="69"/>
      <c r="CMU47" s="69"/>
      <c r="CMV47" s="69"/>
      <c r="CMW47" s="69"/>
      <c r="CMX47" s="69"/>
      <c r="CMY47" s="69"/>
      <c r="CMZ47" s="69"/>
      <c r="CNA47" s="69"/>
      <c r="CNB47" s="69"/>
      <c r="CNC47" s="69"/>
      <c r="CND47" s="69"/>
      <c r="CNE47" s="69"/>
      <c r="CNF47" s="69"/>
      <c r="CNG47" s="69"/>
      <c r="CNH47" s="69"/>
      <c r="CNI47" s="69"/>
      <c r="CNJ47" s="69"/>
      <c r="CNK47" s="69"/>
      <c r="CNL47" s="69"/>
      <c r="CNM47" s="69"/>
      <c r="CNN47" s="69"/>
      <c r="CNO47" s="69"/>
      <c r="CNP47" s="69"/>
      <c r="CNQ47" s="69"/>
      <c r="CNR47" s="69"/>
      <c r="CNS47" s="69"/>
      <c r="CNT47" s="69"/>
      <c r="CNU47" s="69"/>
      <c r="CNV47" s="69"/>
      <c r="CNW47" s="69"/>
      <c r="CNX47" s="69"/>
      <c r="CNY47" s="69"/>
      <c r="CNZ47" s="69"/>
      <c r="COA47" s="69"/>
      <c r="COB47" s="69"/>
      <c r="COC47" s="69"/>
      <c r="COD47" s="69"/>
      <c r="COE47" s="69"/>
      <c r="COF47" s="69"/>
      <c r="COG47" s="69"/>
      <c r="COH47" s="69"/>
      <c r="COI47" s="69"/>
      <c r="COJ47" s="69"/>
      <c r="COK47" s="69"/>
      <c r="COL47" s="69"/>
      <c r="COM47" s="69"/>
      <c r="CON47" s="69"/>
      <c r="COO47" s="69"/>
      <c r="COP47" s="69"/>
      <c r="COQ47" s="69"/>
      <c r="COR47" s="69"/>
      <c r="COS47" s="69"/>
      <c r="COT47" s="69"/>
      <c r="COU47" s="69"/>
      <c r="COV47" s="69"/>
      <c r="COW47" s="69"/>
      <c r="COX47" s="69"/>
      <c r="COY47" s="69"/>
      <c r="COZ47" s="69"/>
      <c r="CPA47" s="69"/>
      <c r="CPB47" s="69"/>
      <c r="CPC47" s="69"/>
      <c r="CPD47" s="69"/>
      <c r="CPE47" s="69"/>
      <c r="CPF47" s="69"/>
      <c r="CPG47" s="69"/>
      <c r="CPH47" s="69"/>
      <c r="CPI47" s="69"/>
      <c r="CPJ47" s="69"/>
      <c r="CPK47" s="69"/>
      <c r="CPL47" s="69"/>
      <c r="CPM47" s="69"/>
      <c r="CPN47" s="69"/>
      <c r="CPO47" s="69"/>
      <c r="CPP47" s="69"/>
      <c r="CPQ47" s="69"/>
      <c r="CPR47" s="69"/>
      <c r="CPS47" s="69"/>
      <c r="CPT47" s="69"/>
      <c r="CPU47" s="69"/>
      <c r="CPV47" s="69"/>
      <c r="CPW47" s="69"/>
      <c r="CPX47" s="69"/>
      <c r="CPY47" s="69"/>
      <c r="CPZ47" s="69"/>
      <c r="CQA47" s="69"/>
      <c r="CQB47" s="69"/>
      <c r="CQC47" s="69"/>
      <c r="CQD47" s="69"/>
      <c r="CQE47" s="69"/>
      <c r="CQF47" s="69"/>
      <c r="CQG47" s="69"/>
      <c r="CQH47" s="69"/>
      <c r="CQI47" s="69"/>
      <c r="CQJ47" s="69"/>
      <c r="CQK47" s="69"/>
      <c r="CQL47" s="69"/>
      <c r="CQM47" s="69"/>
      <c r="CQN47" s="69"/>
      <c r="CQO47" s="69"/>
      <c r="CQP47" s="69"/>
      <c r="CQQ47" s="69"/>
      <c r="CQR47" s="69"/>
      <c r="CQS47" s="69"/>
      <c r="CQT47" s="69"/>
      <c r="CQU47" s="69"/>
      <c r="CQV47" s="69"/>
      <c r="CQW47" s="69"/>
      <c r="CQX47" s="69"/>
      <c r="CQY47" s="69"/>
      <c r="CQZ47" s="69"/>
      <c r="CRA47" s="69"/>
      <c r="CRB47" s="69"/>
      <c r="CRC47" s="69"/>
      <c r="CRD47" s="69"/>
      <c r="CRE47" s="69"/>
      <c r="CRF47" s="69"/>
      <c r="CRG47" s="69"/>
      <c r="CRH47" s="69"/>
      <c r="CRI47" s="69"/>
      <c r="CRJ47" s="69"/>
      <c r="CRK47" s="69"/>
      <c r="CRL47" s="69"/>
      <c r="CRM47" s="69"/>
      <c r="CRN47" s="69"/>
      <c r="CRO47" s="69"/>
      <c r="CRP47" s="69"/>
      <c r="CRQ47" s="69"/>
      <c r="CRR47" s="69"/>
      <c r="CRS47" s="69"/>
      <c r="CRT47" s="69"/>
      <c r="CRU47" s="69"/>
      <c r="CRV47" s="69"/>
      <c r="CRW47" s="69"/>
      <c r="CRX47" s="69"/>
      <c r="CRY47" s="69"/>
      <c r="CRZ47" s="69"/>
      <c r="CSA47" s="69"/>
      <c r="CSB47" s="69"/>
      <c r="CSC47" s="69"/>
      <c r="CSD47" s="69"/>
      <c r="CSE47" s="69"/>
      <c r="CSF47" s="69"/>
      <c r="CSG47" s="69"/>
      <c r="CSH47" s="69"/>
      <c r="CSI47" s="69"/>
      <c r="CSJ47" s="69"/>
      <c r="CSK47" s="69"/>
      <c r="CSL47" s="69"/>
      <c r="CSM47" s="69"/>
      <c r="CSN47" s="69"/>
      <c r="CSO47" s="69"/>
      <c r="CSP47" s="69"/>
      <c r="CSQ47" s="69"/>
      <c r="CSR47" s="69"/>
      <c r="CSS47" s="69"/>
      <c r="CST47" s="69"/>
      <c r="CSU47" s="69"/>
      <c r="CSV47" s="69"/>
      <c r="CSW47" s="69"/>
      <c r="CSX47" s="69"/>
      <c r="CSY47" s="69"/>
      <c r="CSZ47" s="69"/>
      <c r="CTA47" s="69"/>
      <c r="CTB47" s="69"/>
      <c r="CTC47" s="69"/>
      <c r="CTD47" s="69"/>
      <c r="CTE47" s="69"/>
      <c r="CTF47" s="69"/>
      <c r="CTG47" s="69"/>
      <c r="CTH47" s="69"/>
      <c r="CTI47" s="69"/>
      <c r="CTJ47" s="69"/>
      <c r="CTK47" s="69"/>
      <c r="CTL47" s="69"/>
      <c r="CTM47" s="69"/>
      <c r="CTN47" s="69"/>
      <c r="CTO47" s="69"/>
      <c r="CTP47" s="69"/>
      <c r="CTQ47" s="69"/>
      <c r="CTR47" s="69"/>
      <c r="CTS47" s="69"/>
      <c r="CTT47" s="69"/>
      <c r="CTU47" s="69"/>
      <c r="CTV47" s="69"/>
      <c r="CTW47" s="69"/>
      <c r="CTX47" s="69"/>
      <c r="CTY47" s="69"/>
      <c r="CTZ47" s="69"/>
      <c r="CUA47" s="69"/>
      <c r="CUB47" s="69"/>
      <c r="CUC47" s="69"/>
      <c r="CUD47" s="69"/>
      <c r="CUE47" s="69"/>
      <c r="CUF47" s="69"/>
      <c r="CUG47" s="69"/>
      <c r="CUH47" s="69"/>
      <c r="CUI47" s="69"/>
      <c r="CUJ47" s="69"/>
      <c r="CUK47" s="69"/>
      <c r="CUL47" s="69"/>
      <c r="CUM47" s="69"/>
      <c r="CUN47" s="69"/>
      <c r="CUO47" s="69"/>
      <c r="CUP47" s="69"/>
      <c r="CUQ47" s="69"/>
      <c r="CUR47" s="69"/>
      <c r="CUS47" s="69"/>
      <c r="CUT47" s="69"/>
      <c r="CUU47" s="69"/>
      <c r="CUV47" s="69"/>
      <c r="CUW47" s="69"/>
      <c r="CUX47" s="69"/>
      <c r="CUY47" s="69"/>
      <c r="CUZ47" s="69"/>
      <c r="CVA47" s="69"/>
      <c r="CVB47" s="69"/>
      <c r="CVC47" s="69"/>
      <c r="CVD47" s="69"/>
      <c r="CVE47" s="69"/>
      <c r="CVF47" s="69"/>
      <c r="CVG47" s="69"/>
      <c r="CVH47" s="69"/>
      <c r="CVI47" s="69"/>
      <c r="CVJ47" s="69"/>
      <c r="CVK47" s="69"/>
      <c r="CVL47" s="69"/>
      <c r="CVM47" s="69"/>
      <c r="CVN47" s="69"/>
      <c r="CVO47" s="69"/>
      <c r="CVP47" s="69"/>
      <c r="CVQ47" s="69"/>
      <c r="CVR47" s="69"/>
      <c r="CVS47" s="69"/>
      <c r="CVT47" s="69"/>
      <c r="CVU47" s="69"/>
      <c r="CVV47" s="69"/>
      <c r="CVW47" s="69"/>
      <c r="CVX47" s="69"/>
      <c r="CVY47" s="69"/>
      <c r="CVZ47" s="69"/>
      <c r="CWA47" s="69"/>
      <c r="CWB47" s="69"/>
      <c r="CWC47" s="69"/>
      <c r="CWD47" s="69"/>
      <c r="CWE47" s="69"/>
      <c r="CWF47" s="69"/>
      <c r="CWG47" s="69"/>
      <c r="CWH47" s="69"/>
      <c r="CWI47" s="69"/>
      <c r="CWJ47" s="69"/>
      <c r="CWK47" s="69"/>
      <c r="CWL47" s="69"/>
      <c r="CWM47" s="69"/>
      <c r="CWN47" s="69"/>
      <c r="CWO47" s="69"/>
      <c r="CWP47" s="69"/>
      <c r="CWQ47" s="69"/>
      <c r="CWR47" s="69"/>
      <c r="CWS47" s="69"/>
      <c r="CWT47" s="69"/>
      <c r="CWU47" s="69"/>
      <c r="CWV47" s="69"/>
      <c r="CWW47" s="69"/>
      <c r="CWX47" s="69"/>
      <c r="CWY47" s="69"/>
      <c r="CWZ47" s="69"/>
      <c r="CXA47" s="69"/>
      <c r="CXB47" s="69"/>
      <c r="CXC47" s="69"/>
      <c r="CXD47" s="69"/>
      <c r="CXE47" s="69"/>
      <c r="CXF47" s="69"/>
      <c r="CXG47" s="69"/>
      <c r="CXH47" s="69"/>
      <c r="CXI47" s="69"/>
      <c r="CXJ47" s="69"/>
      <c r="CXK47" s="69"/>
      <c r="CXL47" s="69"/>
      <c r="CXM47" s="69"/>
      <c r="CXN47" s="69"/>
      <c r="CXO47" s="69"/>
      <c r="CXP47" s="69"/>
      <c r="CXQ47" s="69"/>
      <c r="CXR47" s="69"/>
      <c r="CXS47" s="69"/>
      <c r="CXT47" s="69"/>
      <c r="CXU47" s="69"/>
      <c r="CXV47" s="69"/>
      <c r="CXW47" s="69"/>
      <c r="CXX47" s="69"/>
      <c r="CXY47" s="69"/>
      <c r="CXZ47" s="69"/>
      <c r="CYA47" s="69"/>
      <c r="CYB47" s="69"/>
      <c r="CYC47" s="69"/>
      <c r="CYD47" s="69"/>
      <c r="CYE47" s="69"/>
      <c r="CYF47" s="69"/>
      <c r="CYG47" s="69"/>
      <c r="CYH47" s="69"/>
      <c r="CYI47" s="69"/>
      <c r="CYJ47" s="69"/>
      <c r="CYK47" s="69"/>
      <c r="CYL47" s="69"/>
      <c r="CYM47" s="69"/>
      <c r="CYN47" s="69"/>
      <c r="CYO47" s="69"/>
      <c r="CYP47" s="69"/>
      <c r="CYQ47" s="69"/>
      <c r="CYR47" s="69"/>
      <c r="CYS47" s="69"/>
      <c r="CYT47" s="69"/>
      <c r="CYU47" s="69"/>
      <c r="CYV47" s="69"/>
      <c r="CYW47" s="69"/>
      <c r="CYX47" s="69"/>
      <c r="CYY47" s="69"/>
      <c r="CYZ47" s="69"/>
      <c r="CZA47" s="69"/>
      <c r="CZB47" s="69"/>
      <c r="CZC47" s="69"/>
      <c r="CZD47" s="69"/>
      <c r="CZE47" s="69"/>
      <c r="CZF47" s="69"/>
      <c r="CZG47" s="69"/>
      <c r="CZH47" s="69"/>
      <c r="CZI47" s="69"/>
      <c r="CZJ47" s="69"/>
      <c r="CZK47" s="69"/>
      <c r="CZL47" s="69"/>
      <c r="CZM47" s="69"/>
      <c r="CZN47" s="69"/>
      <c r="CZO47" s="69"/>
      <c r="CZP47" s="69"/>
      <c r="CZQ47" s="69"/>
      <c r="CZR47" s="69"/>
      <c r="CZS47" s="69"/>
      <c r="CZT47" s="69"/>
      <c r="CZU47" s="69"/>
      <c r="CZV47" s="69"/>
      <c r="CZW47" s="69"/>
      <c r="CZX47" s="69"/>
      <c r="CZY47" s="69"/>
      <c r="CZZ47" s="69"/>
      <c r="DAA47" s="69"/>
      <c r="DAB47" s="69"/>
      <c r="DAC47" s="69"/>
      <c r="DAD47" s="69"/>
      <c r="DAE47" s="69"/>
      <c r="DAF47" s="69"/>
      <c r="DAG47" s="69"/>
      <c r="DAH47" s="69"/>
      <c r="DAI47" s="69"/>
      <c r="DAJ47" s="69"/>
      <c r="DAK47" s="69"/>
      <c r="DAL47" s="69"/>
      <c r="DAM47" s="69"/>
      <c r="DAN47" s="69"/>
      <c r="DAO47" s="69"/>
      <c r="DAP47" s="69"/>
      <c r="DAQ47" s="69"/>
      <c r="DAR47" s="69"/>
      <c r="DAS47" s="69"/>
      <c r="DAT47" s="69"/>
      <c r="DAU47" s="69"/>
      <c r="DAV47" s="69"/>
      <c r="DAW47" s="69"/>
      <c r="DAX47" s="69"/>
      <c r="DAY47" s="69"/>
      <c r="DAZ47" s="69"/>
      <c r="DBA47" s="69"/>
      <c r="DBB47" s="69"/>
      <c r="DBC47" s="69"/>
      <c r="DBD47" s="69"/>
      <c r="DBE47" s="69"/>
      <c r="DBF47" s="69"/>
      <c r="DBG47" s="69"/>
      <c r="DBH47" s="69"/>
      <c r="DBI47" s="69"/>
      <c r="DBJ47" s="69"/>
      <c r="DBK47" s="69"/>
      <c r="DBL47" s="69"/>
      <c r="DBM47" s="69"/>
      <c r="DBN47" s="69"/>
      <c r="DBO47" s="69"/>
      <c r="DBP47" s="69"/>
      <c r="DBQ47" s="69"/>
      <c r="DBR47" s="69"/>
      <c r="DBS47" s="69"/>
      <c r="DBT47" s="69"/>
      <c r="DBU47" s="69"/>
      <c r="DBV47" s="69"/>
      <c r="DBW47" s="69"/>
      <c r="DBX47" s="69"/>
      <c r="DBY47" s="69"/>
      <c r="DBZ47" s="69"/>
      <c r="DCA47" s="69"/>
      <c r="DCB47" s="69"/>
      <c r="DCC47" s="69"/>
      <c r="DCD47" s="69"/>
      <c r="DCE47" s="69"/>
      <c r="DCF47" s="69"/>
      <c r="DCG47" s="69"/>
      <c r="DCH47" s="69"/>
      <c r="DCI47" s="69"/>
      <c r="DCJ47" s="69"/>
      <c r="DCK47" s="69"/>
      <c r="DCL47" s="69"/>
      <c r="DCM47" s="69"/>
      <c r="DCN47" s="69"/>
      <c r="DCO47" s="69"/>
      <c r="DCP47" s="69"/>
      <c r="DCQ47" s="69"/>
      <c r="DCR47" s="69"/>
      <c r="DCS47" s="69"/>
      <c r="DCT47" s="69"/>
      <c r="DCU47" s="69"/>
      <c r="DCV47" s="69"/>
      <c r="DCW47" s="69"/>
      <c r="DCX47" s="69"/>
      <c r="DCY47" s="69"/>
      <c r="DCZ47" s="69"/>
      <c r="DDA47" s="69"/>
      <c r="DDB47" s="69"/>
      <c r="DDC47" s="69"/>
      <c r="DDD47" s="69"/>
      <c r="DDE47" s="69"/>
      <c r="DDF47" s="69"/>
      <c r="DDG47" s="69"/>
      <c r="DDH47" s="69"/>
      <c r="DDI47" s="69"/>
      <c r="DDJ47" s="69"/>
      <c r="DDK47" s="69"/>
      <c r="DDL47" s="69"/>
      <c r="DDM47" s="69"/>
      <c r="DDN47" s="69"/>
      <c r="DDO47" s="69"/>
      <c r="DDP47" s="69"/>
      <c r="DDQ47" s="69"/>
      <c r="DDR47" s="69"/>
      <c r="DDS47" s="69"/>
      <c r="DDT47" s="69"/>
      <c r="DDU47" s="69"/>
      <c r="DDV47" s="69"/>
      <c r="DDW47" s="69"/>
      <c r="DDX47" s="69"/>
      <c r="DDY47" s="69"/>
      <c r="DDZ47" s="69"/>
      <c r="DEA47" s="69"/>
      <c r="DEB47" s="69"/>
      <c r="DEC47" s="69"/>
      <c r="DED47" s="69"/>
      <c r="DEE47" s="69"/>
      <c r="DEF47" s="69"/>
      <c r="DEG47" s="69"/>
      <c r="DEH47" s="69"/>
      <c r="DEI47" s="69"/>
      <c r="DEJ47" s="69"/>
      <c r="DEK47" s="69"/>
      <c r="DEL47" s="69"/>
      <c r="DEM47" s="69"/>
      <c r="DEN47" s="69"/>
      <c r="DEO47" s="69"/>
      <c r="DEP47" s="69"/>
      <c r="DEQ47" s="69"/>
      <c r="DER47" s="69"/>
      <c r="DES47" s="69"/>
      <c r="DET47" s="69"/>
      <c r="DEU47" s="69"/>
      <c r="DEV47" s="69"/>
      <c r="DEW47" s="69"/>
      <c r="DEX47" s="69"/>
      <c r="DEY47" s="69"/>
      <c r="DEZ47" s="69"/>
      <c r="DFA47" s="69"/>
      <c r="DFB47" s="69"/>
      <c r="DFC47" s="69"/>
      <c r="DFD47" s="69"/>
      <c r="DFE47" s="69"/>
      <c r="DFF47" s="69"/>
      <c r="DFG47" s="69"/>
      <c r="DFH47" s="69"/>
      <c r="DFI47" s="69"/>
      <c r="DFJ47" s="69"/>
      <c r="DFK47" s="69"/>
      <c r="DFL47" s="69"/>
      <c r="DFM47" s="69"/>
      <c r="DFN47" s="69"/>
      <c r="DFO47" s="69"/>
      <c r="DFP47" s="69"/>
      <c r="DFQ47" s="69"/>
      <c r="DFR47" s="69"/>
      <c r="DFS47" s="69"/>
      <c r="DFT47" s="69"/>
      <c r="DFU47" s="69"/>
      <c r="DFV47" s="69"/>
      <c r="DFW47" s="69"/>
      <c r="DFX47" s="69"/>
      <c r="DFY47" s="69"/>
      <c r="DFZ47" s="69"/>
      <c r="DGA47" s="69"/>
      <c r="DGB47" s="69"/>
      <c r="DGC47" s="69"/>
      <c r="DGD47" s="69"/>
      <c r="DGE47" s="69"/>
      <c r="DGF47" s="69"/>
      <c r="DGG47" s="69"/>
      <c r="DGH47" s="69"/>
      <c r="DGI47" s="69"/>
      <c r="DGJ47" s="69"/>
      <c r="DGK47" s="69"/>
      <c r="DGL47" s="69"/>
      <c r="DGM47" s="69"/>
      <c r="DGN47" s="69"/>
      <c r="DGO47" s="69"/>
      <c r="DGP47" s="69"/>
      <c r="DGQ47" s="69"/>
      <c r="DGR47" s="69"/>
      <c r="DGS47" s="69"/>
      <c r="DGT47" s="69"/>
      <c r="DGU47" s="69"/>
      <c r="DGV47" s="69"/>
      <c r="DGW47" s="69"/>
      <c r="DGX47" s="69"/>
      <c r="DGY47" s="69"/>
      <c r="DGZ47" s="69"/>
      <c r="DHA47" s="69"/>
      <c r="DHB47" s="69"/>
      <c r="DHC47" s="69"/>
      <c r="DHD47" s="69"/>
      <c r="DHE47" s="69"/>
      <c r="DHF47" s="69"/>
      <c r="DHG47" s="69"/>
      <c r="DHH47" s="69"/>
      <c r="DHI47" s="69"/>
      <c r="DHJ47" s="69"/>
      <c r="DHK47" s="69"/>
      <c r="DHL47" s="69"/>
      <c r="DHM47" s="69"/>
      <c r="DHN47" s="69"/>
      <c r="DHO47" s="69"/>
      <c r="DHP47" s="69"/>
      <c r="DHQ47" s="69"/>
      <c r="DHR47" s="69"/>
      <c r="DHS47" s="69"/>
      <c r="DHT47" s="69"/>
      <c r="DHU47" s="69"/>
      <c r="DHV47" s="69"/>
      <c r="DHW47" s="69"/>
      <c r="DHX47" s="69"/>
      <c r="DHY47" s="69"/>
      <c r="DHZ47" s="69"/>
      <c r="DIA47" s="69"/>
      <c r="DIB47" s="69"/>
      <c r="DIC47" s="69"/>
      <c r="DID47" s="69"/>
      <c r="DIE47" s="69"/>
      <c r="DIF47" s="69"/>
      <c r="DIG47" s="69"/>
      <c r="DIH47" s="69"/>
      <c r="DII47" s="69"/>
      <c r="DIJ47" s="69"/>
      <c r="DIK47" s="69"/>
      <c r="DIL47" s="69"/>
      <c r="DIM47" s="69"/>
      <c r="DIN47" s="69"/>
      <c r="DIO47" s="69"/>
      <c r="DIP47" s="69"/>
      <c r="DIQ47" s="69"/>
      <c r="DIR47" s="69"/>
      <c r="DIS47" s="69"/>
      <c r="DIT47" s="69"/>
      <c r="DIU47" s="69"/>
      <c r="DIV47" s="69"/>
      <c r="DIW47" s="69"/>
      <c r="DIX47" s="69"/>
      <c r="DIY47" s="69"/>
      <c r="DIZ47" s="69"/>
      <c r="DJA47" s="69"/>
      <c r="DJB47" s="69"/>
      <c r="DJC47" s="69"/>
      <c r="DJD47" s="69"/>
      <c r="DJE47" s="69"/>
      <c r="DJF47" s="69"/>
      <c r="DJG47" s="69"/>
      <c r="DJH47" s="69"/>
      <c r="DJI47" s="69"/>
      <c r="DJJ47" s="69"/>
      <c r="DJK47" s="69"/>
      <c r="DJL47" s="69"/>
      <c r="DJM47" s="69"/>
      <c r="DJN47" s="69"/>
      <c r="DJO47" s="69"/>
      <c r="DJP47" s="69"/>
      <c r="DJQ47" s="69"/>
      <c r="DJR47" s="69"/>
      <c r="DJS47" s="69"/>
      <c r="DJT47" s="69"/>
      <c r="DJU47" s="69"/>
      <c r="DJV47" s="69"/>
      <c r="DJW47" s="69"/>
      <c r="DJX47" s="69"/>
      <c r="DJY47" s="69"/>
      <c r="DJZ47" s="69"/>
      <c r="DKA47" s="69"/>
      <c r="DKB47" s="69"/>
      <c r="DKC47" s="69"/>
      <c r="DKD47" s="69"/>
      <c r="DKE47" s="69"/>
      <c r="DKF47" s="69"/>
      <c r="DKG47" s="69"/>
      <c r="DKH47" s="69"/>
      <c r="DKI47" s="69"/>
      <c r="DKJ47" s="69"/>
      <c r="DKK47" s="69"/>
      <c r="DKL47" s="69"/>
      <c r="DKM47" s="69"/>
      <c r="DKN47" s="69"/>
      <c r="DKO47" s="69"/>
      <c r="DKP47" s="69"/>
      <c r="DKQ47" s="69"/>
      <c r="DKR47" s="69"/>
      <c r="DKS47" s="69"/>
      <c r="DKT47" s="69"/>
      <c r="DKU47" s="69"/>
      <c r="DKV47" s="69"/>
      <c r="DKW47" s="69"/>
      <c r="DKX47" s="69"/>
      <c r="DKY47" s="69"/>
      <c r="DKZ47" s="69"/>
      <c r="DLA47" s="69"/>
      <c r="DLB47" s="69"/>
      <c r="DLC47" s="69"/>
      <c r="DLD47" s="69"/>
      <c r="DLE47" s="69"/>
      <c r="DLF47" s="69"/>
      <c r="DLG47" s="69"/>
      <c r="DLH47" s="69"/>
      <c r="DLI47" s="69"/>
      <c r="DLJ47" s="69"/>
      <c r="DLK47" s="69"/>
      <c r="DLL47" s="69"/>
      <c r="DLM47" s="69"/>
      <c r="DLN47" s="69"/>
      <c r="DLO47" s="69"/>
      <c r="DLP47" s="69"/>
      <c r="DLQ47" s="69"/>
      <c r="DLR47" s="69"/>
      <c r="DLS47" s="69"/>
      <c r="DLT47" s="69"/>
      <c r="DLU47" s="69"/>
      <c r="DLV47" s="69"/>
      <c r="DLW47" s="69"/>
      <c r="DLX47" s="69"/>
      <c r="DLY47" s="69"/>
      <c r="DLZ47" s="69"/>
      <c r="DMA47" s="69"/>
      <c r="DMB47" s="69"/>
      <c r="DMC47" s="69"/>
      <c r="DMD47" s="69"/>
      <c r="DME47" s="69"/>
      <c r="DMF47" s="69"/>
      <c r="DMG47" s="69"/>
      <c r="DMH47" s="69"/>
      <c r="DMI47" s="69"/>
      <c r="DMJ47" s="69"/>
      <c r="DMK47" s="69"/>
      <c r="DML47" s="69"/>
      <c r="DMM47" s="69"/>
      <c r="DMN47" s="69"/>
      <c r="DMO47" s="69"/>
      <c r="DMP47" s="69"/>
      <c r="DMQ47" s="69"/>
      <c r="DMR47" s="69"/>
      <c r="DMS47" s="69"/>
      <c r="DMT47" s="69"/>
      <c r="DMU47" s="69"/>
      <c r="DMV47" s="69"/>
      <c r="DMW47" s="69"/>
      <c r="DMX47" s="69"/>
      <c r="DMY47" s="69"/>
      <c r="DMZ47" s="69"/>
      <c r="DNA47" s="69"/>
      <c r="DNB47" s="69"/>
      <c r="DNC47" s="69"/>
      <c r="DND47" s="69"/>
      <c r="DNE47" s="69"/>
      <c r="DNF47" s="69"/>
      <c r="DNG47" s="69"/>
      <c r="DNH47" s="69"/>
      <c r="DNI47" s="69"/>
      <c r="DNJ47" s="69"/>
      <c r="DNK47" s="69"/>
      <c r="DNL47" s="69"/>
      <c r="DNM47" s="69"/>
      <c r="DNN47" s="69"/>
      <c r="DNO47" s="69"/>
      <c r="DNP47" s="69"/>
      <c r="DNQ47" s="69"/>
      <c r="DNR47" s="69"/>
      <c r="DNS47" s="69"/>
      <c r="DNT47" s="69"/>
      <c r="DNU47" s="69"/>
      <c r="DNV47" s="69"/>
      <c r="DNW47" s="69"/>
      <c r="DNX47" s="69"/>
      <c r="DNY47" s="69"/>
      <c r="DNZ47" s="69"/>
      <c r="DOA47" s="69"/>
      <c r="DOB47" s="69"/>
      <c r="DOC47" s="69"/>
      <c r="DOD47" s="69"/>
      <c r="DOE47" s="69"/>
      <c r="DOF47" s="69"/>
      <c r="DOG47" s="69"/>
      <c r="DOH47" s="69"/>
      <c r="DOI47" s="69"/>
      <c r="DOJ47" s="69"/>
      <c r="DOK47" s="69"/>
      <c r="DOL47" s="69"/>
      <c r="DOM47" s="69"/>
      <c r="DON47" s="69"/>
      <c r="DOO47" s="69"/>
      <c r="DOP47" s="69"/>
      <c r="DOQ47" s="69"/>
      <c r="DOR47" s="69"/>
      <c r="DOS47" s="69"/>
      <c r="DOT47" s="69"/>
      <c r="DOU47" s="69"/>
      <c r="DOV47" s="69"/>
      <c r="DOW47" s="69"/>
      <c r="DOX47" s="69"/>
      <c r="DOY47" s="69"/>
      <c r="DOZ47" s="69"/>
      <c r="DPA47" s="69"/>
      <c r="DPB47" s="69"/>
      <c r="DPC47" s="69"/>
      <c r="DPD47" s="69"/>
      <c r="DPE47" s="69"/>
      <c r="DPF47" s="69"/>
      <c r="DPG47" s="69"/>
      <c r="DPH47" s="69"/>
      <c r="DPI47" s="69"/>
      <c r="DPJ47" s="69"/>
      <c r="DPK47" s="69"/>
      <c r="DPL47" s="69"/>
      <c r="DPM47" s="69"/>
      <c r="DPN47" s="69"/>
      <c r="DPO47" s="69"/>
      <c r="DPP47" s="69"/>
      <c r="DPQ47" s="69"/>
      <c r="DPR47" s="69"/>
      <c r="DPS47" s="69"/>
      <c r="DPT47" s="69"/>
      <c r="DPU47" s="69"/>
      <c r="DPV47" s="69"/>
      <c r="DPW47" s="69"/>
      <c r="DPX47" s="69"/>
      <c r="DPY47" s="69"/>
      <c r="DPZ47" s="69"/>
      <c r="DQA47" s="69"/>
      <c r="DQB47" s="69"/>
      <c r="DQC47" s="69"/>
      <c r="DQD47" s="69"/>
      <c r="DQE47" s="69"/>
      <c r="DQF47" s="69"/>
      <c r="DQG47" s="69"/>
      <c r="DQH47" s="69"/>
      <c r="DQI47" s="69"/>
      <c r="DQJ47" s="69"/>
      <c r="DQK47" s="69"/>
      <c r="DQL47" s="69"/>
      <c r="DQM47" s="69"/>
      <c r="DQN47" s="69"/>
      <c r="DQO47" s="69"/>
      <c r="DQP47" s="69"/>
      <c r="DQQ47" s="69"/>
      <c r="DQR47" s="69"/>
      <c r="DQS47" s="69"/>
      <c r="DQT47" s="69"/>
      <c r="DQU47" s="69"/>
      <c r="DQV47" s="69"/>
      <c r="DQW47" s="69"/>
      <c r="DQX47" s="69"/>
      <c r="DQY47" s="69"/>
      <c r="DQZ47" s="69"/>
      <c r="DRA47" s="69"/>
      <c r="DRB47" s="69"/>
      <c r="DRC47" s="69"/>
      <c r="DRD47" s="69"/>
      <c r="DRE47" s="69"/>
      <c r="DRF47" s="69"/>
      <c r="DRG47" s="69"/>
      <c r="DRH47" s="69"/>
      <c r="DRI47" s="69"/>
      <c r="DRJ47" s="69"/>
      <c r="DRK47" s="69"/>
      <c r="DRL47" s="69"/>
      <c r="DRM47" s="69"/>
      <c r="DRN47" s="69"/>
      <c r="DRO47" s="69"/>
      <c r="DRP47" s="69"/>
      <c r="DRQ47" s="69"/>
      <c r="DRR47" s="69"/>
      <c r="DRS47" s="69"/>
      <c r="DRT47" s="69"/>
      <c r="DRU47" s="69"/>
      <c r="DRV47" s="69"/>
      <c r="DRW47" s="69"/>
      <c r="DRX47" s="69"/>
      <c r="DRY47" s="69"/>
      <c r="DRZ47" s="69"/>
      <c r="DSA47" s="69"/>
      <c r="DSB47" s="69"/>
      <c r="DSC47" s="69"/>
      <c r="DSD47" s="69"/>
      <c r="DSE47" s="69"/>
      <c r="DSF47" s="69"/>
      <c r="DSG47" s="69"/>
      <c r="DSH47" s="69"/>
      <c r="DSI47" s="69"/>
      <c r="DSJ47" s="69"/>
      <c r="DSK47" s="69"/>
      <c r="DSL47" s="69"/>
      <c r="DSM47" s="69"/>
      <c r="DSN47" s="69"/>
      <c r="DSO47" s="69"/>
      <c r="DSP47" s="69"/>
      <c r="DSQ47" s="69"/>
      <c r="DSR47" s="69"/>
      <c r="DSS47" s="69"/>
      <c r="DST47" s="69"/>
      <c r="DSU47" s="69"/>
      <c r="DSV47" s="69"/>
      <c r="DSW47" s="69"/>
      <c r="DSX47" s="69"/>
      <c r="DSY47" s="69"/>
      <c r="DSZ47" s="69"/>
      <c r="DTA47" s="69"/>
      <c r="DTB47" s="69"/>
      <c r="DTC47" s="69"/>
      <c r="DTD47" s="69"/>
      <c r="DTE47" s="69"/>
      <c r="DTF47" s="69"/>
      <c r="DTG47" s="69"/>
      <c r="DTH47" s="69"/>
      <c r="DTI47" s="69"/>
      <c r="DTJ47" s="69"/>
      <c r="DTK47" s="69"/>
      <c r="DTL47" s="69"/>
      <c r="DTM47" s="69"/>
      <c r="DTN47" s="69"/>
      <c r="DTO47" s="69"/>
      <c r="DTP47" s="69"/>
      <c r="DTQ47" s="69"/>
      <c r="DTR47" s="69"/>
      <c r="DTS47" s="69"/>
      <c r="DTT47" s="69"/>
      <c r="DTU47" s="69"/>
      <c r="DTV47" s="69"/>
      <c r="DTW47" s="69"/>
      <c r="DTX47" s="69"/>
      <c r="DTY47" s="69"/>
      <c r="DTZ47" s="69"/>
      <c r="DUA47" s="69"/>
      <c r="DUB47" s="69"/>
      <c r="DUC47" s="69"/>
      <c r="DUD47" s="69"/>
      <c r="DUE47" s="69"/>
      <c r="DUF47" s="69"/>
      <c r="DUG47" s="69"/>
      <c r="DUH47" s="69"/>
      <c r="DUI47" s="69"/>
      <c r="DUJ47" s="69"/>
      <c r="DUK47" s="69"/>
      <c r="DUL47" s="69"/>
      <c r="DUM47" s="69"/>
      <c r="DUN47" s="69"/>
      <c r="DUO47" s="69"/>
      <c r="DUP47" s="69"/>
      <c r="DUQ47" s="69"/>
      <c r="DUR47" s="69"/>
      <c r="DUS47" s="69"/>
      <c r="DUT47" s="69"/>
      <c r="DUU47" s="69"/>
      <c r="DUV47" s="69"/>
      <c r="DUW47" s="69"/>
      <c r="DUX47" s="69"/>
      <c r="DUY47" s="69"/>
      <c r="DUZ47" s="69"/>
      <c r="DVA47" s="69"/>
      <c r="DVB47" s="69"/>
      <c r="DVC47" s="69"/>
      <c r="DVD47" s="69"/>
      <c r="DVE47" s="69"/>
      <c r="DVF47" s="69"/>
      <c r="DVG47" s="69"/>
      <c r="DVH47" s="69"/>
      <c r="DVI47" s="69"/>
      <c r="DVJ47" s="69"/>
      <c r="DVK47" s="69"/>
      <c r="DVL47" s="69"/>
      <c r="DVM47" s="69"/>
      <c r="DVN47" s="69"/>
      <c r="DVO47" s="69"/>
      <c r="DVP47" s="69"/>
      <c r="DVQ47" s="69"/>
      <c r="DVR47" s="69"/>
      <c r="DVS47" s="69"/>
      <c r="DVT47" s="69"/>
      <c r="DVU47" s="69"/>
      <c r="DVV47" s="69"/>
      <c r="DVW47" s="69"/>
      <c r="DVX47" s="69"/>
      <c r="DVY47" s="69"/>
      <c r="DVZ47" s="69"/>
      <c r="DWA47" s="69"/>
      <c r="DWB47" s="69"/>
      <c r="DWC47" s="69"/>
      <c r="DWD47" s="69"/>
      <c r="DWE47" s="69"/>
      <c r="DWF47" s="69"/>
      <c r="DWG47" s="69"/>
      <c r="DWH47" s="69"/>
      <c r="DWI47" s="69"/>
      <c r="DWJ47" s="69"/>
      <c r="DWK47" s="69"/>
      <c r="DWL47" s="69"/>
      <c r="DWM47" s="69"/>
      <c r="DWN47" s="69"/>
      <c r="DWO47" s="69"/>
      <c r="DWP47" s="69"/>
      <c r="DWQ47" s="69"/>
      <c r="DWR47" s="69"/>
      <c r="DWS47" s="69"/>
      <c r="DWT47" s="69"/>
      <c r="DWU47" s="69"/>
      <c r="DWV47" s="69"/>
      <c r="DWW47" s="69"/>
      <c r="DWX47" s="69"/>
      <c r="DWY47" s="69"/>
      <c r="DWZ47" s="69"/>
      <c r="DXA47" s="69"/>
      <c r="DXB47" s="69"/>
      <c r="DXC47" s="69"/>
      <c r="DXD47" s="69"/>
      <c r="DXE47" s="69"/>
      <c r="DXF47" s="69"/>
      <c r="DXG47" s="69"/>
      <c r="DXH47" s="69"/>
      <c r="DXI47" s="69"/>
      <c r="DXJ47" s="69"/>
      <c r="DXK47" s="69"/>
      <c r="DXL47" s="69"/>
      <c r="DXM47" s="69"/>
      <c r="DXN47" s="69"/>
      <c r="DXO47" s="69"/>
      <c r="DXP47" s="69"/>
      <c r="DXQ47" s="69"/>
      <c r="DXR47" s="69"/>
      <c r="DXS47" s="69"/>
      <c r="DXT47" s="69"/>
      <c r="DXU47" s="69"/>
      <c r="DXV47" s="69"/>
      <c r="DXW47" s="69"/>
      <c r="DXX47" s="69"/>
      <c r="DXY47" s="69"/>
      <c r="DXZ47" s="69"/>
      <c r="DYA47" s="69"/>
      <c r="DYB47" s="69"/>
      <c r="DYC47" s="69"/>
      <c r="DYD47" s="69"/>
      <c r="DYE47" s="69"/>
      <c r="DYF47" s="69"/>
      <c r="DYG47" s="69"/>
      <c r="DYH47" s="69"/>
      <c r="DYI47" s="69"/>
      <c r="DYJ47" s="69"/>
      <c r="DYK47" s="69"/>
      <c r="DYL47" s="69"/>
      <c r="DYM47" s="69"/>
      <c r="DYN47" s="69"/>
      <c r="DYO47" s="69"/>
      <c r="DYP47" s="69"/>
      <c r="DYQ47" s="69"/>
      <c r="DYR47" s="69"/>
      <c r="DYS47" s="69"/>
      <c r="DYT47" s="69"/>
      <c r="DYU47" s="69"/>
      <c r="DYV47" s="69"/>
      <c r="DYW47" s="69"/>
      <c r="DYX47" s="69"/>
      <c r="DYY47" s="69"/>
      <c r="DYZ47" s="69"/>
      <c r="DZA47" s="69"/>
      <c r="DZB47" s="69"/>
      <c r="DZC47" s="69"/>
      <c r="DZD47" s="69"/>
      <c r="DZE47" s="69"/>
      <c r="DZF47" s="69"/>
      <c r="DZG47" s="69"/>
      <c r="DZH47" s="69"/>
      <c r="DZI47" s="69"/>
      <c r="DZJ47" s="69"/>
      <c r="DZK47" s="69"/>
      <c r="DZL47" s="69"/>
      <c r="DZM47" s="69"/>
      <c r="DZN47" s="69"/>
      <c r="DZO47" s="69"/>
      <c r="DZP47" s="69"/>
      <c r="DZQ47" s="69"/>
      <c r="DZR47" s="69"/>
      <c r="DZS47" s="69"/>
      <c r="DZT47" s="69"/>
      <c r="DZU47" s="69"/>
      <c r="DZV47" s="69"/>
      <c r="DZW47" s="69"/>
      <c r="DZX47" s="69"/>
      <c r="DZY47" s="69"/>
      <c r="DZZ47" s="69"/>
      <c r="EAA47" s="69"/>
      <c r="EAB47" s="69"/>
      <c r="EAC47" s="69"/>
      <c r="EAD47" s="69"/>
      <c r="EAE47" s="69"/>
      <c r="EAF47" s="69"/>
      <c r="EAG47" s="69"/>
      <c r="EAH47" s="69"/>
      <c r="EAI47" s="69"/>
      <c r="EAJ47" s="69"/>
      <c r="EAK47" s="69"/>
      <c r="EAL47" s="69"/>
      <c r="EAM47" s="69"/>
      <c r="EAN47" s="69"/>
      <c r="EAO47" s="69"/>
      <c r="EAP47" s="69"/>
      <c r="EAQ47" s="69"/>
      <c r="EAR47" s="69"/>
      <c r="EAS47" s="69"/>
      <c r="EAT47" s="69"/>
      <c r="EAU47" s="69"/>
      <c r="EAV47" s="69"/>
      <c r="EAW47" s="69"/>
      <c r="EAX47" s="69"/>
      <c r="EAY47" s="69"/>
      <c r="EAZ47" s="69"/>
      <c r="EBA47" s="69"/>
      <c r="EBB47" s="69"/>
      <c r="EBC47" s="69"/>
      <c r="EBD47" s="69"/>
      <c r="EBE47" s="69"/>
      <c r="EBF47" s="69"/>
      <c r="EBG47" s="69"/>
      <c r="EBH47" s="69"/>
      <c r="EBI47" s="69"/>
      <c r="EBJ47" s="69"/>
      <c r="EBK47" s="69"/>
      <c r="EBL47" s="69"/>
      <c r="EBM47" s="69"/>
      <c r="EBN47" s="69"/>
      <c r="EBO47" s="69"/>
      <c r="EBP47" s="69"/>
      <c r="EBQ47" s="69"/>
      <c r="EBR47" s="69"/>
      <c r="EBS47" s="69"/>
      <c r="EBT47" s="69"/>
      <c r="EBU47" s="69"/>
      <c r="EBV47" s="69"/>
      <c r="EBW47" s="69"/>
      <c r="EBX47" s="69"/>
      <c r="EBY47" s="69"/>
      <c r="EBZ47" s="69"/>
      <c r="ECA47" s="69"/>
      <c r="ECB47" s="69"/>
      <c r="ECC47" s="69"/>
      <c r="ECD47" s="69"/>
      <c r="ECE47" s="69"/>
      <c r="ECF47" s="69"/>
      <c r="ECG47" s="69"/>
      <c r="ECH47" s="69"/>
      <c r="ECI47" s="69"/>
      <c r="ECJ47" s="69"/>
      <c r="ECK47" s="69"/>
      <c r="ECL47" s="69"/>
      <c r="ECM47" s="69"/>
      <c r="ECN47" s="69"/>
      <c r="ECO47" s="69"/>
      <c r="ECP47" s="69"/>
      <c r="ECQ47" s="69"/>
      <c r="ECR47" s="69"/>
      <c r="ECS47" s="69"/>
      <c r="ECT47" s="69"/>
      <c r="ECU47" s="69"/>
      <c r="ECV47" s="69"/>
      <c r="ECW47" s="69"/>
      <c r="ECX47" s="69"/>
      <c r="ECY47" s="69"/>
      <c r="ECZ47" s="69"/>
      <c r="EDA47" s="69"/>
      <c r="EDB47" s="69"/>
      <c r="EDC47" s="69"/>
      <c r="EDD47" s="69"/>
      <c r="EDE47" s="69"/>
      <c r="EDF47" s="69"/>
      <c r="EDG47" s="69"/>
      <c r="EDH47" s="69"/>
      <c r="EDI47" s="69"/>
      <c r="EDJ47" s="69"/>
      <c r="EDK47" s="69"/>
      <c r="EDL47" s="69"/>
      <c r="EDM47" s="69"/>
      <c r="EDN47" s="69"/>
      <c r="EDO47" s="69"/>
      <c r="EDP47" s="69"/>
      <c r="EDQ47" s="69"/>
      <c r="EDR47" s="69"/>
      <c r="EDS47" s="69"/>
      <c r="EDT47" s="69"/>
      <c r="EDU47" s="69"/>
      <c r="EDV47" s="69"/>
      <c r="EDW47" s="69"/>
      <c r="EDX47" s="69"/>
      <c r="EDY47" s="69"/>
      <c r="EDZ47" s="69"/>
      <c r="EEA47" s="69"/>
      <c r="EEB47" s="69"/>
      <c r="EEC47" s="69"/>
      <c r="EED47" s="69"/>
      <c r="EEE47" s="69"/>
      <c r="EEF47" s="69"/>
      <c r="EEG47" s="69"/>
      <c r="EEH47" s="69"/>
      <c r="EEI47" s="69"/>
      <c r="EEJ47" s="69"/>
      <c r="EEK47" s="69"/>
      <c r="EEL47" s="69"/>
      <c r="EEM47" s="69"/>
      <c r="EEN47" s="69"/>
      <c r="EEO47" s="69"/>
      <c r="EEP47" s="69"/>
      <c r="EEQ47" s="69"/>
      <c r="EER47" s="69"/>
      <c r="EES47" s="69"/>
      <c r="EET47" s="69"/>
      <c r="EEU47" s="69"/>
      <c r="EEV47" s="69"/>
      <c r="EEW47" s="69"/>
      <c r="EEX47" s="69"/>
      <c r="EEY47" s="69"/>
      <c r="EEZ47" s="69"/>
      <c r="EFA47" s="69"/>
      <c r="EFB47" s="69"/>
      <c r="EFC47" s="69"/>
      <c r="EFD47" s="69"/>
      <c r="EFE47" s="69"/>
      <c r="EFF47" s="69"/>
      <c r="EFG47" s="69"/>
      <c r="EFH47" s="69"/>
      <c r="EFI47" s="69"/>
      <c r="EFJ47" s="69"/>
      <c r="EFK47" s="69"/>
      <c r="EFL47" s="69"/>
      <c r="EFM47" s="69"/>
      <c r="EFN47" s="69"/>
      <c r="EFO47" s="69"/>
      <c r="EFP47" s="69"/>
      <c r="EFQ47" s="69"/>
      <c r="EFR47" s="69"/>
      <c r="EFS47" s="69"/>
      <c r="EFT47" s="69"/>
      <c r="EFU47" s="69"/>
      <c r="EFV47" s="69"/>
      <c r="EFW47" s="69"/>
      <c r="EFX47" s="69"/>
      <c r="EFY47" s="69"/>
      <c r="EFZ47" s="69"/>
      <c r="EGA47" s="69"/>
      <c r="EGB47" s="69"/>
      <c r="EGC47" s="69"/>
      <c r="EGD47" s="69"/>
      <c r="EGE47" s="69"/>
      <c r="EGF47" s="69"/>
      <c r="EGG47" s="69"/>
      <c r="EGH47" s="69"/>
      <c r="EGI47" s="69"/>
      <c r="EGJ47" s="69"/>
      <c r="EGK47" s="69"/>
      <c r="EGL47" s="69"/>
      <c r="EGM47" s="69"/>
      <c r="EGN47" s="69"/>
      <c r="EGO47" s="69"/>
      <c r="EGP47" s="69"/>
      <c r="EGQ47" s="69"/>
      <c r="EGR47" s="69"/>
      <c r="EGS47" s="69"/>
      <c r="EGT47" s="69"/>
      <c r="EGU47" s="69"/>
      <c r="EGV47" s="69"/>
      <c r="EGW47" s="69"/>
      <c r="EGX47" s="69"/>
      <c r="EGY47" s="69"/>
      <c r="EGZ47" s="69"/>
      <c r="EHA47" s="69"/>
      <c r="EHB47" s="69"/>
      <c r="EHC47" s="69"/>
      <c r="EHD47" s="69"/>
      <c r="EHE47" s="69"/>
      <c r="EHF47" s="69"/>
      <c r="EHG47" s="69"/>
      <c r="EHH47" s="69"/>
      <c r="EHI47" s="69"/>
      <c r="EHJ47" s="69"/>
      <c r="EHK47" s="69"/>
      <c r="EHL47" s="69"/>
      <c r="EHM47" s="69"/>
      <c r="EHN47" s="69"/>
      <c r="EHO47" s="69"/>
      <c r="EHP47" s="69"/>
      <c r="EHQ47" s="69"/>
      <c r="EHR47" s="69"/>
      <c r="EHS47" s="69"/>
      <c r="EHT47" s="69"/>
      <c r="EHU47" s="69"/>
      <c r="EHV47" s="69"/>
      <c r="EHW47" s="69"/>
      <c r="EHX47" s="69"/>
      <c r="EHY47" s="69"/>
      <c r="EHZ47" s="69"/>
      <c r="EIA47" s="69"/>
      <c r="EIB47" s="69"/>
      <c r="EIC47" s="69"/>
      <c r="EID47" s="69"/>
      <c r="EIE47" s="69"/>
      <c r="EIF47" s="69"/>
      <c r="EIG47" s="69"/>
      <c r="EIH47" s="69"/>
      <c r="EII47" s="69"/>
      <c r="EIJ47" s="69"/>
      <c r="EIK47" s="69"/>
      <c r="EIL47" s="69"/>
      <c r="EIM47" s="69"/>
      <c r="EIN47" s="69"/>
      <c r="EIO47" s="69"/>
      <c r="EIP47" s="69"/>
      <c r="EIQ47" s="69"/>
      <c r="EIR47" s="69"/>
      <c r="EIS47" s="69"/>
      <c r="EIT47" s="69"/>
      <c r="EIU47" s="69"/>
      <c r="EIV47" s="69"/>
      <c r="EIW47" s="69"/>
      <c r="EIX47" s="69"/>
      <c r="EIY47" s="69"/>
      <c r="EIZ47" s="69"/>
      <c r="EJA47" s="69"/>
      <c r="EJB47" s="69"/>
      <c r="EJC47" s="69"/>
      <c r="EJD47" s="69"/>
      <c r="EJE47" s="69"/>
      <c r="EJF47" s="69"/>
      <c r="EJG47" s="69"/>
      <c r="EJH47" s="69"/>
      <c r="EJI47" s="69"/>
      <c r="EJJ47" s="69"/>
      <c r="EJK47" s="69"/>
      <c r="EJL47" s="69"/>
      <c r="EJM47" s="69"/>
      <c r="EJN47" s="69"/>
      <c r="EJO47" s="69"/>
      <c r="EJP47" s="69"/>
      <c r="EJQ47" s="69"/>
      <c r="EJR47" s="69"/>
      <c r="EJS47" s="69"/>
      <c r="EJT47" s="69"/>
      <c r="EJU47" s="69"/>
      <c r="EJV47" s="69"/>
      <c r="EJW47" s="69"/>
      <c r="EJX47" s="69"/>
      <c r="EJY47" s="69"/>
      <c r="EJZ47" s="69"/>
      <c r="EKA47" s="69"/>
      <c r="EKB47" s="69"/>
      <c r="EKC47" s="69"/>
      <c r="EKD47" s="69"/>
      <c r="EKE47" s="69"/>
      <c r="EKF47" s="69"/>
      <c r="EKG47" s="69"/>
      <c r="EKH47" s="69"/>
      <c r="EKI47" s="69"/>
      <c r="EKJ47" s="69"/>
      <c r="EKK47" s="69"/>
      <c r="EKL47" s="69"/>
      <c r="EKM47" s="69"/>
      <c r="EKN47" s="69"/>
      <c r="EKO47" s="69"/>
      <c r="EKP47" s="69"/>
      <c r="EKQ47" s="69"/>
      <c r="EKR47" s="69"/>
      <c r="EKS47" s="69"/>
      <c r="EKT47" s="69"/>
      <c r="EKU47" s="69"/>
      <c r="EKV47" s="69"/>
      <c r="EKW47" s="69"/>
      <c r="EKX47" s="69"/>
      <c r="EKY47" s="69"/>
      <c r="EKZ47" s="69"/>
      <c r="ELA47" s="69"/>
      <c r="ELB47" s="69"/>
      <c r="ELC47" s="69"/>
      <c r="ELD47" s="69"/>
      <c r="ELE47" s="69"/>
      <c r="ELF47" s="69"/>
      <c r="ELG47" s="69"/>
      <c r="ELH47" s="69"/>
      <c r="ELI47" s="69"/>
      <c r="ELJ47" s="69"/>
      <c r="ELK47" s="69"/>
      <c r="ELL47" s="69"/>
      <c r="ELM47" s="69"/>
      <c r="ELN47" s="69"/>
      <c r="ELO47" s="69"/>
      <c r="ELP47" s="69"/>
      <c r="ELQ47" s="69"/>
      <c r="ELR47" s="69"/>
      <c r="ELS47" s="69"/>
      <c r="ELT47" s="69"/>
      <c r="ELU47" s="69"/>
      <c r="ELV47" s="69"/>
      <c r="ELW47" s="69"/>
      <c r="ELX47" s="69"/>
      <c r="ELY47" s="69"/>
      <c r="ELZ47" s="69"/>
      <c r="EMA47" s="69"/>
      <c r="EMB47" s="69"/>
      <c r="EMC47" s="69"/>
      <c r="EMD47" s="69"/>
      <c r="EME47" s="69"/>
      <c r="EMF47" s="69"/>
      <c r="EMG47" s="69"/>
      <c r="EMH47" s="69"/>
      <c r="EMI47" s="69"/>
      <c r="EMJ47" s="69"/>
      <c r="EMK47" s="69"/>
      <c r="EML47" s="69"/>
      <c r="EMM47" s="69"/>
      <c r="EMN47" s="69"/>
      <c r="EMO47" s="69"/>
      <c r="EMP47" s="69"/>
      <c r="EMQ47" s="69"/>
      <c r="EMR47" s="69"/>
      <c r="EMS47" s="69"/>
      <c r="EMT47" s="69"/>
      <c r="EMU47" s="69"/>
      <c r="EMV47" s="69"/>
      <c r="EMW47" s="69"/>
      <c r="EMX47" s="69"/>
      <c r="EMY47" s="69"/>
      <c r="EMZ47" s="69"/>
      <c r="ENA47" s="69"/>
      <c r="ENB47" s="69"/>
      <c r="ENC47" s="69"/>
      <c r="END47" s="69"/>
      <c r="ENE47" s="69"/>
      <c r="ENF47" s="69"/>
      <c r="ENG47" s="69"/>
      <c r="ENH47" s="69"/>
      <c r="ENI47" s="69"/>
      <c r="ENJ47" s="69"/>
      <c r="ENK47" s="69"/>
      <c r="ENL47" s="69"/>
      <c r="ENM47" s="69"/>
      <c r="ENN47" s="69"/>
      <c r="ENO47" s="69"/>
      <c r="ENP47" s="69"/>
      <c r="ENQ47" s="69"/>
      <c r="ENR47" s="69"/>
      <c r="ENS47" s="69"/>
      <c r="ENT47" s="69"/>
      <c r="ENU47" s="69"/>
      <c r="ENV47" s="69"/>
      <c r="ENW47" s="69"/>
      <c r="ENX47" s="69"/>
      <c r="ENY47" s="69"/>
      <c r="ENZ47" s="69"/>
      <c r="EOA47" s="69"/>
      <c r="EOB47" s="69"/>
      <c r="EOC47" s="69"/>
      <c r="EOD47" s="69"/>
      <c r="EOE47" s="69"/>
      <c r="EOF47" s="69"/>
      <c r="EOG47" s="69"/>
      <c r="EOH47" s="69"/>
      <c r="EOI47" s="69"/>
      <c r="EOJ47" s="69"/>
      <c r="EOK47" s="69"/>
      <c r="EOL47" s="69"/>
      <c r="EOM47" s="69"/>
      <c r="EON47" s="69"/>
      <c r="EOO47" s="69"/>
      <c r="EOP47" s="69"/>
      <c r="EOQ47" s="69"/>
      <c r="EOR47" s="69"/>
      <c r="EOS47" s="69"/>
      <c r="EOT47" s="69"/>
      <c r="EOU47" s="69"/>
      <c r="EOV47" s="69"/>
      <c r="EOW47" s="69"/>
      <c r="EOX47" s="69"/>
      <c r="EOY47" s="69"/>
      <c r="EOZ47" s="69"/>
      <c r="EPA47" s="69"/>
      <c r="EPB47" s="69"/>
      <c r="EPC47" s="69"/>
      <c r="EPD47" s="69"/>
      <c r="EPE47" s="69"/>
      <c r="EPF47" s="69"/>
      <c r="EPG47" s="69"/>
      <c r="EPH47" s="69"/>
      <c r="EPI47" s="69"/>
      <c r="EPJ47" s="69"/>
      <c r="EPK47" s="69"/>
      <c r="EPL47" s="69"/>
      <c r="EPM47" s="69"/>
      <c r="EPN47" s="69"/>
      <c r="EPO47" s="69"/>
      <c r="EPP47" s="69"/>
      <c r="EPQ47" s="69"/>
      <c r="EPR47" s="69"/>
      <c r="EPS47" s="69"/>
      <c r="EPT47" s="69"/>
      <c r="EPU47" s="69"/>
      <c r="EPV47" s="69"/>
      <c r="EPW47" s="69"/>
      <c r="EPX47" s="69"/>
      <c r="EPY47" s="69"/>
      <c r="EPZ47" s="69"/>
      <c r="EQA47" s="69"/>
      <c r="EQB47" s="69"/>
      <c r="EQC47" s="69"/>
      <c r="EQD47" s="69"/>
      <c r="EQE47" s="69"/>
      <c r="EQF47" s="69"/>
      <c r="EQG47" s="69"/>
      <c r="EQH47" s="69"/>
      <c r="EQI47" s="69"/>
      <c r="EQJ47" s="69"/>
      <c r="EQK47" s="69"/>
      <c r="EQL47" s="69"/>
      <c r="EQM47" s="69"/>
      <c r="EQN47" s="69"/>
      <c r="EQO47" s="69"/>
      <c r="EQP47" s="69"/>
      <c r="EQQ47" s="69"/>
      <c r="EQR47" s="69"/>
      <c r="EQS47" s="69"/>
      <c r="EQT47" s="69"/>
      <c r="EQU47" s="69"/>
      <c r="EQV47" s="69"/>
      <c r="EQW47" s="69"/>
      <c r="EQX47" s="69"/>
      <c r="EQY47" s="69"/>
      <c r="EQZ47" s="69"/>
      <c r="ERA47" s="69"/>
      <c r="ERB47" s="69"/>
      <c r="ERC47" s="69"/>
      <c r="ERD47" s="69"/>
      <c r="ERE47" s="69"/>
      <c r="ERF47" s="69"/>
      <c r="ERG47" s="69"/>
      <c r="ERH47" s="69"/>
      <c r="ERI47" s="69"/>
      <c r="ERJ47" s="69"/>
      <c r="ERK47" s="69"/>
      <c r="ERL47" s="69"/>
      <c r="ERM47" s="69"/>
      <c r="ERN47" s="69"/>
      <c r="ERO47" s="69"/>
      <c r="ERP47" s="69"/>
      <c r="ERQ47" s="69"/>
      <c r="ERR47" s="69"/>
      <c r="ERS47" s="69"/>
      <c r="ERT47" s="69"/>
      <c r="ERU47" s="69"/>
      <c r="ERV47" s="69"/>
      <c r="ERW47" s="69"/>
      <c r="ERX47" s="69"/>
      <c r="ERY47" s="69"/>
      <c r="ERZ47" s="69"/>
      <c r="ESA47" s="69"/>
      <c r="ESB47" s="69"/>
      <c r="ESC47" s="69"/>
      <c r="ESD47" s="69"/>
      <c r="ESE47" s="69"/>
      <c r="ESF47" s="69"/>
      <c r="ESG47" s="69"/>
      <c r="ESH47" s="69"/>
      <c r="ESI47" s="69"/>
      <c r="ESJ47" s="69"/>
      <c r="ESK47" s="69"/>
      <c r="ESL47" s="69"/>
      <c r="ESM47" s="69"/>
      <c r="ESN47" s="69"/>
      <c r="ESO47" s="69"/>
      <c r="ESP47" s="69"/>
      <c r="ESQ47" s="69"/>
      <c r="ESR47" s="69"/>
      <c r="ESS47" s="69"/>
      <c r="EST47" s="69"/>
      <c r="ESU47" s="69"/>
      <c r="ESV47" s="69"/>
      <c r="ESW47" s="69"/>
      <c r="ESX47" s="69"/>
      <c r="ESY47" s="69"/>
      <c r="ESZ47" s="69"/>
      <c r="ETA47" s="69"/>
      <c r="ETB47" s="69"/>
      <c r="ETC47" s="69"/>
      <c r="ETD47" s="69"/>
      <c r="ETE47" s="69"/>
      <c r="ETF47" s="69"/>
      <c r="ETG47" s="69"/>
      <c r="ETH47" s="69"/>
      <c r="ETI47" s="69"/>
      <c r="ETJ47" s="69"/>
      <c r="ETK47" s="69"/>
      <c r="ETL47" s="69"/>
      <c r="ETM47" s="69"/>
      <c r="ETN47" s="69"/>
      <c r="ETO47" s="69"/>
      <c r="ETP47" s="69"/>
      <c r="ETQ47" s="69"/>
      <c r="ETR47" s="69"/>
      <c r="ETS47" s="69"/>
      <c r="ETT47" s="69"/>
      <c r="ETU47" s="69"/>
      <c r="ETV47" s="69"/>
      <c r="ETW47" s="69"/>
      <c r="ETX47" s="69"/>
      <c r="ETY47" s="69"/>
      <c r="ETZ47" s="69"/>
      <c r="EUA47" s="69"/>
      <c r="EUB47" s="69"/>
      <c r="EUC47" s="69"/>
      <c r="EUD47" s="69"/>
      <c r="EUE47" s="69"/>
      <c r="EUF47" s="69"/>
      <c r="EUG47" s="69"/>
      <c r="EUH47" s="69"/>
      <c r="EUI47" s="69"/>
      <c r="EUJ47" s="69"/>
      <c r="EUK47" s="69"/>
      <c r="EUL47" s="69"/>
      <c r="EUM47" s="69"/>
      <c r="EUN47" s="69"/>
      <c r="EUO47" s="69"/>
      <c r="EUP47" s="69"/>
      <c r="EUQ47" s="69"/>
      <c r="EUR47" s="69"/>
      <c r="EUS47" s="69"/>
      <c r="EUT47" s="69"/>
      <c r="EUU47" s="69"/>
      <c r="EUV47" s="69"/>
      <c r="EUW47" s="69"/>
      <c r="EUX47" s="69"/>
      <c r="EUY47" s="69"/>
      <c r="EUZ47" s="69"/>
      <c r="EVA47" s="69"/>
      <c r="EVB47" s="69"/>
      <c r="EVC47" s="69"/>
      <c r="EVD47" s="69"/>
      <c r="EVE47" s="69"/>
      <c r="EVF47" s="69"/>
      <c r="EVG47" s="69"/>
      <c r="EVH47" s="69"/>
      <c r="EVI47" s="69"/>
      <c r="EVJ47" s="69"/>
      <c r="EVK47" s="69"/>
      <c r="EVL47" s="69"/>
      <c r="EVM47" s="69"/>
      <c r="EVN47" s="69"/>
      <c r="EVO47" s="69"/>
      <c r="EVP47" s="69"/>
      <c r="EVQ47" s="69"/>
      <c r="EVR47" s="69"/>
      <c r="EVS47" s="69"/>
      <c r="EVT47" s="69"/>
      <c r="EVU47" s="69"/>
      <c r="EVV47" s="69"/>
      <c r="EVW47" s="69"/>
      <c r="EVX47" s="69"/>
      <c r="EVY47" s="69"/>
      <c r="EVZ47" s="69"/>
      <c r="EWA47" s="69"/>
      <c r="EWB47" s="69"/>
      <c r="EWC47" s="69"/>
      <c r="EWD47" s="69"/>
      <c r="EWE47" s="69"/>
      <c r="EWF47" s="69"/>
      <c r="EWG47" s="69"/>
      <c r="EWH47" s="69"/>
      <c r="EWI47" s="69"/>
      <c r="EWJ47" s="69"/>
      <c r="EWK47" s="69"/>
      <c r="EWL47" s="69"/>
      <c r="EWM47" s="69"/>
      <c r="EWN47" s="69"/>
      <c r="EWO47" s="69"/>
      <c r="EWP47" s="69"/>
      <c r="EWQ47" s="69"/>
      <c r="EWR47" s="69"/>
      <c r="EWS47" s="69"/>
      <c r="EWT47" s="69"/>
      <c r="EWU47" s="69"/>
      <c r="EWV47" s="69"/>
      <c r="EWW47" s="69"/>
      <c r="EWX47" s="69"/>
      <c r="EWY47" s="69"/>
      <c r="EWZ47" s="69"/>
      <c r="EXA47" s="69"/>
      <c r="EXB47" s="69"/>
      <c r="EXC47" s="69"/>
      <c r="EXD47" s="69"/>
      <c r="EXE47" s="69"/>
      <c r="EXF47" s="69"/>
      <c r="EXG47" s="69"/>
      <c r="EXH47" s="69"/>
      <c r="EXI47" s="69"/>
      <c r="EXJ47" s="69"/>
      <c r="EXK47" s="69"/>
      <c r="EXL47" s="69"/>
      <c r="EXM47" s="69"/>
      <c r="EXN47" s="69"/>
      <c r="EXO47" s="69"/>
      <c r="EXP47" s="69"/>
      <c r="EXQ47" s="69"/>
      <c r="EXR47" s="69"/>
      <c r="EXS47" s="69"/>
      <c r="EXT47" s="69"/>
      <c r="EXU47" s="69"/>
      <c r="EXV47" s="69"/>
      <c r="EXW47" s="69"/>
      <c r="EXX47" s="69"/>
      <c r="EXY47" s="69"/>
      <c r="EXZ47" s="69"/>
      <c r="EYA47" s="69"/>
      <c r="EYB47" s="69"/>
      <c r="EYC47" s="69"/>
      <c r="EYD47" s="69"/>
      <c r="EYE47" s="69"/>
      <c r="EYF47" s="69"/>
      <c r="EYG47" s="69"/>
      <c r="EYH47" s="69"/>
      <c r="EYI47" s="69"/>
      <c r="EYJ47" s="69"/>
      <c r="EYK47" s="69"/>
      <c r="EYL47" s="69"/>
      <c r="EYM47" s="69"/>
      <c r="EYN47" s="69"/>
      <c r="EYO47" s="69"/>
      <c r="EYP47" s="69"/>
      <c r="EYQ47" s="69"/>
      <c r="EYR47" s="69"/>
      <c r="EYS47" s="69"/>
      <c r="EYT47" s="69"/>
      <c r="EYU47" s="69"/>
      <c r="EYV47" s="69"/>
      <c r="EYW47" s="69"/>
      <c r="EYX47" s="69"/>
      <c r="EYY47" s="69"/>
      <c r="EYZ47" s="69"/>
      <c r="EZA47" s="69"/>
      <c r="EZB47" s="69"/>
      <c r="EZC47" s="69"/>
      <c r="EZD47" s="69"/>
      <c r="EZE47" s="69"/>
      <c r="EZF47" s="69"/>
      <c r="EZG47" s="69"/>
      <c r="EZH47" s="69"/>
      <c r="EZI47" s="69"/>
      <c r="EZJ47" s="69"/>
      <c r="EZK47" s="69"/>
      <c r="EZL47" s="69"/>
      <c r="EZM47" s="69"/>
      <c r="EZN47" s="69"/>
      <c r="EZO47" s="69"/>
      <c r="EZP47" s="69"/>
      <c r="EZQ47" s="69"/>
      <c r="EZR47" s="69"/>
      <c r="EZS47" s="69"/>
      <c r="EZT47" s="69"/>
      <c r="EZU47" s="69"/>
      <c r="EZV47" s="69"/>
      <c r="EZW47" s="69"/>
      <c r="EZX47" s="69"/>
      <c r="EZY47" s="69"/>
      <c r="EZZ47" s="69"/>
      <c r="FAA47" s="69"/>
      <c r="FAB47" s="69"/>
      <c r="FAC47" s="69"/>
      <c r="FAD47" s="69"/>
      <c r="FAE47" s="69"/>
      <c r="FAF47" s="69"/>
      <c r="FAG47" s="69"/>
      <c r="FAH47" s="69"/>
      <c r="FAI47" s="69"/>
      <c r="FAJ47" s="69"/>
      <c r="FAK47" s="69"/>
      <c r="FAL47" s="69"/>
      <c r="FAM47" s="69"/>
      <c r="FAN47" s="69"/>
      <c r="FAO47" s="69"/>
      <c r="FAP47" s="69"/>
      <c r="FAQ47" s="69"/>
      <c r="FAR47" s="69"/>
      <c r="FAS47" s="69"/>
      <c r="FAT47" s="69"/>
      <c r="FAU47" s="69"/>
      <c r="FAV47" s="69"/>
      <c r="FAW47" s="69"/>
      <c r="FAX47" s="69"/>
      <c r="FAY47" s="69"/>
      <c r="FAZ47" s="69"/>
      <c r="FBA47" s="69"/>
      <c r="FBB47" s="69"/>
      <c r="FBC47" s="69"/>
      <c r="FBD47" s="69"/>
      <c r="FBE47" s="69"/>
      <c r="FBF47" s="69"/>
      <c r="FBG47" s="69"/>
      <c r="FBH47" s="69"/>
      <c r="FBI47" s="69"/>
      <c r="FBJ47" s="69"/>
      <c r="FBK47" s="69"/>
      <c r="FBL47" s="69"/>
      <c r="FBM47" s="69"/>
      <c r="FBN47" s="69"/>
      <c r="FBO47" s="69"/>
      <c r="FBP47" s="69"/>
      <c r="FBQ47" s="69"/>
      <c r="FBR47" s="69"/>
      <c r="FBS47" s="69"/>
      <c r="FBT47" s="69"/>
      <c r="FBU47" s="69"/>
      <c r="FBV47" s="69"/>
      <c r="FBW47" s="69"/>
      <c r="FBX47" s="69"/>
      <c r="FBY47" s="69"/>
      <c r="FBZ47" s="69"/>
      <c r="FCA47" s="69"/>
      <c r="FCB47" s="69"/>
      <c r="FCC47" s="69"/>
      <c r="FCD47" s="69"/>
      <c r="FCE47" s="69"/>
      <c r="FCF47" s="69"/>
      <c r="FCG47" s="69"/>
      <c r="FCH47" s="69"/>
      <c r="FCI47" s="69"/>
      <c r="FCJ47" s="69"/>
      <c r="FCK47" s="69"/>
      <c r="FCL47" s="69"/>
      <c r="FCM47" s="69"/>
      <c r="FCN47" s="69"/>
      <c r="FCO47" s="69"/>
      <c r="FCP47" s="69"/>
      <c r="FCQ47" s="69"/>
      <c r="FCR47" s="69"/>
      <c r="FCS47" s="69"/>
      <c r="FCT47" s="69"/>
      <c r="FCU47" s="69"/>
      <c r="FCV47" s="69"/>
      <c r="FCW47" s="69"/>
      <c r="FCX47" s="69"/>
      <c r="FCY47" s="69"/>
      <c r="FCZ47" s="69"/>
      <c r="FDA47" s="69"/>
      <c r="FDB47" s="69"/>
      <c r="FDC47" s="69"/>
      <c r="FDD47" s="69"/>
      <c r="FDE47" s="69"/>
      <c r="FDF47" s="69"/>
      <c r="FDG47" s="69"/>
      <c r="FDH47" s="69"/>
      <c r="FDI47" s="69"/>
      <c r="FDJ47" s="69"/>
      <c r="FDK47" s="69"/>
      <c r="FDL47" s="69"/>
      <c r="FDM47" s="69"/>
      <c r="FDN47" s="69"/>
      <c r="FDO47" s="69"/>
      <c r="FDP47" s="69"/>
      <c r="FDQ47" s="69"/>
      <c r="FDR47" s="69"/>
      <c r="FDS47" s="69"/>
      <c r="FDT47" s="69"/>
      <c r="FDU47" s="69"/>
      <c r="FDV47" s="69"/>
      <c r="FDW47" s="69"/>
      <c r="FDX47" s="69"/>
      <c r="FDY47" s="69"/>
      <c r="FDZ47" s="69"/>
      <c r="FEA47" s="69"/>
      <c r="FEB47" s="69"/>
      <c r="FEC47" s="69"/>
      <c r="FED47" s="69"/>
      <c r="FEE47" s="69"/>
      <c r="FEF47" s="69"/>
      <c r="FEG47" s="69"/>
      <c r="FEH47" s="69"/>
      <c r="FEI47" s="69"/>
      <c r="FEJ47" s="69"/>
      <c r="FEK47" s="69"/>
      <c r="FEL47" s="69"/>
      <c r="FEM47" s="69"/>
      <c r="FEN47" s="69"/>
      <c r="FEO47" s="69"/>
      <c r="FEP47" s="69"/>
      <c r="FEQ47" s="69"/>
      <c r="FER47" s="69"/>
      <c r="FES47" s="69"/>
      <c r="FET47" s="69"/>
      <c r="FEU47" s="69"/>
      <c r="FEV47" s="69"/>
      <c r="FEW47" s="69"/>
      <c r="FEX47" s="69"/>
      <c r="FEY47" s="69"/>
      <c r="FEZ47" s="69"/>
      <c r="FFA47" s="69"/>
      <c r="FFB47" s="69"/>
      <c r="FFC47" s="69"/>
      <c r="FFD47" s="69"/>
      <c r="FFE47" s="69"/>
      <c r="FFF47" s="69"/>
      <c r="FFG47" s="69"/>
      <c r="FFH47" s="69"/>
      <c r="FFI47" s="69"/>
      <c r="FFJ47" s="69"/>
      <c r="FFK47" s="69"/>
      <c r="FFL47" s="69"/>
      <c r="FFM47" s="69"/>
      <c r="FFN47" s="69"/>
      <c r="FFO47" s="69"/>
      <c r="FFP47" s="69"/>
      <c r="FFQ47" s="69"/>
      <c r="FFR47" s="69"/>
      <c r="FFS47" s="69"/>
      <c r="FFT47" s="69"/>
      <c r="FFU47" s="69"/>
      <c r="FFV47" s="69"/>
      <c r="FFW47" s="69"/>
      <c r="FFX47" s="69"/>
      <c r="FFY47" s="69"/>
      <c r="FFZ47" s="69"/>
      <c r="FGA47" s="69"/>
      <c r="FGB47" s="69"/>
      <c r="FGC47" s="69"/>
      <c r="FGD47" s="69"/>
      <c r="FGE47" s="69"/>
      <c r="FGF47" s="69"/>
      <c r="FGG47" s="69"/>
      <c r="FGH47" s="69"/>
      <c r="FGI47" s="69"/>
      <c r="FGJ47" s="69"/>
      <c r="FGK47" s="69"/>
      <c r="FGL47" s="69"/>
      <c r="FGM47" s="69"/>
      <c r="FGN47" s="69"/>
      <c r="FGO47" s="69"/>
      <c r="FGP47" s="69"/>
      <c r="FGQ47" s="69"/>
      <c r="FGR47" s="69"/>
      <c r="FGS47" s="69"/>
      <c r="FGT47" s="69"/>
      <c r="FGU47" s="69"/>
      <c r="FGV47" s="69"/>
      <c r="FGW47" s="69"/>
      <c r="FGX47" s="69"/>
      <c r="FGY47" s="69"/>
      <c r="FGZ47" s="69"/>
      <c r="FHA47" s="69"/>
      <c r="FHB47" s="69"/>
      <c r="FHC47" s="69"/>
      <c r="FHD47" s="69"/>
      <c r="FHE47" s="69"/>
      <c r="FHF47" s="69"/>
      <c r="FHG47" s="69"/>
      <c r="FHH47" s="69"/>
      <c r="FHI47" s="69"/>
      <c r="FHJ47" s="69"/>
      <c r="FHK47" s="69"/>
      <c r="FHL47" s="69"/>
      <c r="FHM47" s="69"/>
      <c r="FHN47" s="69"/>
      <c r="FHO47" s="69"/>
      <c r="FHP47" s="69"/>
      <c r="FHQ47" s="69"/>
      <c r="FHR47" s="69"/>
      <c r="FHS47" s="69"/>
      <c r="FHT47" s="69"/>
      <c r="FHU47" s="69"/>
      <c r="FHV47" s="69"/>
      <c r="FHW47" s="69"/>
      <c r="FHX47" s="69"/>
      <c r="FHY47" s="69"/>
      <c r="FHZ47" s="69"/>
      <c r="FIA47" s="69"/>
      <c r="FIB47" s="69"/>
      <c r="FIC47" s="69"/>
      <c r="FID47" s="69"/>
      <c r="FIE47" s="69"/>
      <c r="FIF47" s="69"/>
      <c r="FIG47" s="69"/>
      <c r="FIH47" s="69"/>
      <c r="FII47" s="69"/>
      <c r="FIJ47" s="69"/>
      <c r="FIK47" s="69"/>
      <c r="FIL47" s="69"/>
      <c r="FIM47" s="69"/>
      <c r="FIN47" s="69"/>
      <c r="FIO47" s="69"/>
      <c r="FIP47" s="69"/>
      <c r="FIQ47" s="69"/>
      <c r="FIR47" s="69"/>
      <c r="FIS47" s="69"/>
      <c r="FIT47" s="69"/>
      <c r="FIU47" s="69"/>
      <c r="FIV47" s="69"/>
      <c r="FIW47" s="69"/>
      <c r="FIX47" s="69"/>
      <c r="FIY47" s="69"/>
      <c r="FIZ47" s="69"/>
      <c r="FJA47" s="69"/>
      <c r="FJB47" s="69"/>
      <c r="FJC47" s="69"/>
      <c r="FJD47" s="69"/>
      <c r="FJE47" s="69"/>
      <c r="FJF47" s="69"/>
      <c r="FJG47" s="69"/>
      <c r="FJH47" s="69"/>
      <c r="FJI47" s="69"/>
      <c r="FJJ47" s="69"/>
      <c r="FJK47" s="69"/>
      <c r="FJL47" s="69"/>
      <c r="FJM47" s="69"/>
      <c r="FJN47" s="69"/>
      <c r="FJO47" s="69"/>
      <c r="FJP47" s="69"/>
      <c r="FJQ47" s="69"/>
      <c r="FJR47" s="69"/>
      <c r="FJS47" s="69"/>
      <c r="FJT47" s="69"/>
      <c r="FJU47" s="69"/>
      <c r="FJV47" s="69"/>
      <c r="FJW47" s="69"/>
      <c r="FJX47" s="69"/>
      <c r="FJY47" s="69"/>
      <c r="FJZ47" s="69"/>
      <c r="FKA47" s="69"/>
      <c r="FKB47" s="69"/>
      <c r="FKC47" s="69"/>
      <c r="FKD47" s="69"/>
      <c r="FKE47" s="69"/>
      <c r="FKF47" s="69"/>
      <c r="FKG47" s="69"/>
      <c r="FKH47" s="69"/>
      <c r="FKI47" s="69"/>
      <c r="FKJ47" s="69"/>
      <c r="FKK47" s="69"/>
      <c r="FKL47" s="69"/>
      <c r="FKM47" s="69"/>
      <c r="FKN47" s="69"/>
      <c r="FKO47" s="69"/>
      <c r="FKP47" s="69"/>
      <c r="FKQ47" s="69"/>
      <c r="FKR47" s="69"/>
      <c r="FKS47" s="69"/>
      <c r="FKT47" s="69"/>
      <c r="FKU47" s="69"/>
      <c r="FKV47" s="69"/>
      <c r="FKW47" s="69"/>
      <c r="FKX47" s="69"/>
      <c r="FKY47" s="69"/>
      <c r="FKZ47" s="69"/>
      <c r="FLA47" s="69"/>
      <c r="FLB47" s="69"/>
      <c r="FLC47" s="69"/>
      <c r="FLD47" s="69"/>
      <c r="FLE47" s="69"/>
      <c r="FLF47" s="69"/>
      <c r="FLG47" s="69"/>
      <c r="FLH47" s="69"/>
      <c r="FLI47" s="69"/>
      <c r="FLJ47" s="69"/>
      <c r="FLK47" s="69"/>
      <c r="FLL47" s="69"/>
      <c r="FLM47" s="69"/>
      <c r="FLN47" s="69"/>
      <c r="FLO47" s="69"/>
      <c r="FLP47" s="69"/>
      <c r="FLQ47" s="69"/>
      <c r="FLR47" s="69"/>
      <c r="FLS47" s="69"/>
      <c r="FLT47" s="69"/>
      <c r="FLU47" s="69"/>
      <c r="FLV47" s="69"/>
      <c r="FLW47" s="69"/>
      <c r="FLX47" s="69"/>
      <c r="FLY47" s="69"/>
      <c r="FLZ47" s="69"/>
      <c r="FMA47" s="69"/>
      <c r="FMB47" s="69"/>
      <c r="FMC47" s="69"/>
      <c r="FMD47" s="69"/>
      <c r="FME47" s="69"/>
      <c r="FMF47" s="69"/>
      <c r="FMG47" s="69"/>
      <c r="FMH47" s="69"/>
      <c r="FMI47" s="69"/>
      <c r="FMJ47" s="69"/>
      <c r="FMK47" s="69"/>
      <c r="FML47" s="69"/>
      <c r="FMM47" s="69"/>
      <c r="FMN47" s="69"/>
      <c r="FMO47" s="69"/>
      <c r="FMP47" s="69"/>
      <c r="FMQ47" s="69"/>
      <c r="FMR47" s="69"/>
      <c r="FMS47" s="69"/>
      <c r="FMT47" s="69"/>
      <c r="FMU47" s="69"/>
      <c r="FMV47" s="69"/>
      <c r="FMW47" s="69"/>
      <c r="FMX47" s="69"/>
      <c r="FMY47" s="69"/>
      <c r="FMZ47" s="69"/>
      <c r="FNA47" s="69"/>
      <c r="FNB47" s="69"/>
      <c r="FNC47" s="69"/>
      <c r="FND47" s="69"/>
      <c r="FNE47" s="69"/>
      <c r="FNF47" s="69"/>
      <c r="FNG47" s="69"/>
      <c r="FNH47" s="69"/>
      <c r="FNI47" s="69"/>
      <c r="FNJ47" s="69"/>
      <c r="FNK47" s="69"/>
      <c r="FNL47" s="69"/>
      <c r="FNM47" s="69"/>
      <c r="FNN47" s="69"/>
      <c r="FNO47" s="69"/>
      <c r="FNP47" s="69"/>
      <c r="FNQ47" s="69"/>
      <c r="FNR47" s="69"/>
      <c r="FNS47" s="69"/>
      <c r="FNT47" s="69"/>
      <c r="FNU47" s="69"/>
      <c r="FNV47" s="69"/>
      <c r="FNW47" s="69"/>
      <c r="FNX47" s="69"/>
      <c r="FNY47" s="69"/>
      <c r="FNZ47" s="69"/>
      <c r="FOA47" s="69"/>
      <c r="FOB47" s="69"/>
      <c r="FOC47" s="69"/>
      <c r="FOD47" s="69"/>
      <c r="FOE47" s="69"/>
      <c r="FOF47" s="69"/>
      <c r="FOG47" s="69"/>
      <c r="FOH47" s="69"/>
      <c r="FOI47" s="69"/>
      <c r="FOJ47" s="69"/>
      <c r="FOK47" s="69"/>
      <c r="FOL47" s="69"/>
      <c r="FOM47" s="69"/>
      <c r="FON47" s="69"/>
      <c r="FOO47" s="69"/>
      <c r="FOP47" s="69"/>
      <c r="FOQ47" s="69"/>
      <c r="FOR47" s="69"/>
      <c r="FOS47" s="69"/>
      <c r="FOT47" s="69"/>
      <c r="FOU47" s="69"/>
      <c r="FOV47" s="69"/>
      <c r="FOW47" s="69"/>
      <c r="FOX47" s="69"/>
      <c r="FOY47" s="69"/>
      <c r="FOZ47" s="69"/>
      <c r="FPA47" s="69"/>
      <c r="FPB47" s="69"/>
      <c r="FPC47" s="69"/>
      <c r="FPD47" s="69"/>
      <c r="FPE47" s="69"/>
      <c r="FPF47" s="69"/>
      <c r="FPG47" s="69"/>
      <c r="FPH47" s="69"/>
      <c r="FPI47" s="69"/>
      <c r="FPJ47" s="69"/>
      <c r="FPK47" s="69"/>
      <c r="FPL47" s="69"/>
      <c r="FPM47" s="69"/>
      <c r="FPN47" s="69"/>
      <c r="FPO47" s="69"/>
      <c r="FPP47" s="69"/>
      <c r="FPQ47" s="69"/>
      <c r="FPR47" s="69"/>
      <c r="FPS47" s="69"/>
      <c r="FPT47" s="69"/>
      <c r="FPU47" s="69"/>
      <c r="FPV47" s="69"/>
      <c r="FPW47" s="69"/>
      <c r="FPX47" s="69"/>
      <c r="FPY47" s="69"/>
      <c r="FPZ47" s="69"/>
      <c r="FQA47" s="69"/>
      <c r="FQB47" s="69"/>
      <c r="FQC47" s="69"/>
      <c r="FQD47" s="69"/>
      <c r="FQE47" s="69"/>
      <c r="FQF47" s="69"/>
      <c r="FQG47" s="69"/>
      <c r="FQH47" s="69"/>
      <c r="FQI47" s="69"/>
      <c r="FQJ47" s="69"/>
      <c r="FQK47" s="69"/>
      <c r="FQL47" s="69"/>
      <c r="FQM47" s="69"/>
      <c r="FQN47" s="69"/>
      <c r="FQO47" s="69"/>
      <c r="FQP47" s="69"/>
      <c r="FQQ47" s="69"/>
      <c r="FQR47" s="69"/>
      <c r="FQS47" s="69"/>
      <c r="FQT47" s="69"/>
      <c r="FQU47" s="69"/>
      <c r="FQV47" s="69"/>
      <c r="FQW47" s="69"/>
      <c r="FQX47" s="69"/>
      <c r="FQY47" s="69"/>
      <c r="FQZ47" s="69"/>
      <c r="FRA47" s="69"/>
      <c r="FRB47" s="69"/>
      <c r="FRC47" s="69"/>
      <c r="FRD47" s="69"/>
      <c r="FRE47" s="69"/>
      <c r="FRF47" s="69"/>
      <c r="FRG47" s="69"/>
      <c r="FRH47" s="69"/>
      <c r="FRI47" s="69"/>
      <c r="FRJ47" s="69"/>
      <c r="FRK47" s="69"/>
      <c r="FRL47" s="69"/>
      <c r="FRM47" s="69"/>
      <c r="FRN47" s="69"/>
      <c r="FRO47" s="69"/>
      <c r="FRP47" s="69"/>
      <c r="FRQ47" s="69"/>
      <c r="FRR47" s="69"/>
      <c r="FRS47" s="69"/>
      <c r="FRT47" s="69"/>
      <c r="FRU47" s="69"/>
      <c r="FRV47" s="69"/>
      <c r="FRW47" s="69"/>
      <c r="FRX47" s="69"/>
      <c r="FRY47" s="69"/>
      <c r="FRZ47" s="69"/>
      <c r="FSA47" s="69"/>
      <c r="FSB47" s="69"/>
      <c r="FSC47" s="69"/>
      <c r="FSD47" s="69"/>
      <c r="FSE47" s="69"/>
      <c r="FSF47" s="69"/>
      <c r="FSG47" s="69"/>
      <c r="FSH47" s="69"/>
      <c r="FSI47" s="69"/>
      <c r="FSJ47" s="69"/>
      <c r="FSK47" s="69"/>
      <c r="FSL47" s="69"/>
      <c r="FSM47" s="69"/>
      <c r="FSN47" s="69"/>
      <c r="FSO47" s="69"/>
      <c r="FSP47" s="69"/>
      <c r="FSQ47" s="69"/>
      <c r="FSR47" s="69"/>
      <c r="FSS47" s="69"/>
      <c r="FST47" s="69"/>
      <c r="FSU47" s="69"/>
      <c r="FSV47" s="69"/>
      <c r="FSW47" s="69"/>
      <c r="FSX47" s="69"/>
      <c r="FSY47" s="69"/>
      <c r="FSZ47" s="69"/>
      <c r="FTA47" s="69"/>
      <c r="FTB47" s="69"/>
      <c r="FTC47" s="69"/>
      <c r="FTD47" s="69"/>
      <c r="FTE47" s="69"/>
      <c r="FTF47" s="69"/>
      <c r="FTG47" s="69"/>
      <c r="FTH47" s="69"/>
      <c r="FTI47" s="69"/>
      <c r="FTJ47" s="69"/>
      <c r="FTK47" s="69"/>
      <c r="FTL47" s="69"/>
      <c r="FTM47" s="69"/>
      <c r="FTN47" s="69"/>
      <c r="FTO47" s="69"/>
      <c r="FTP47" s="69"/>
      <c r="FTQ47" s="69"/>
      <c r="FTR47" s="69"/>
      <c r="FTS47" s="69"/>
      <c r="FTT47" s="69"/>
      <c r="FTU47" s="69"/>
      <c r="FTV47" s="69"/>
      <c r="FTW47" s="69"/>
      <c r="FTX47" s="69"/>
      <c r="FTY47" s="69"/>
      <c r="FTZ47" s="69"/>
      <c r="FUA47" s="69"/>
      <c r="FUB47" s="69"/>
      <c r="FUC47" s="69"/>
      <c r="FUD47" s="69"/>
      <c r="FUE47" s="69"/>
      <c r="FUF47" s="69"/>
      <c r="FUG47" s="69"/>
      <c r="FUH47" s="69"/>
      <c r="FUI47" s="69"/>
      <c r="FUJ47" s="69"/>
      <c r="FUK47" s="69"/>
      <c r="FUL47" s="69"/>
      <c r="FUM47" s="69"/>
      <c r="FUN47" s="69"/>
      <c r="FUO47" s="69"/>
      <c r="FUP47" s="69"/>
      <c r="FUQ47" s="69"/>
      <c r="FUR47" s="69"/>
      <c r="FUS47" s="69"/>
      <c r="FUT47" s="69"/>
      <c r="FUU47" s="69"/>
      <c r="FUV47" s="69"/>
      <c r="FUW47" s="69"/>
      <c r="FUX47" s="69"/>
      <c r="FUY47" s="69"/>
      <c r="FUZ47" s="69"/>
      <c r="FVA47" s="69"/>
      <c r="FVB47" s="69"/>
      <c r="FVC47" s="69"/>
      <c r="FVD47" s="69"/>
      <c r="FVE47" s="69"/>
      <c r="FVF47" s="69"/>
      <c r="FVG47" s="69"/>
      <c r="FVH47" s="69"/>
      <c r="FVI47" s="69"/>
      <c r="FVJ47" s="69"/>
      <c r="FVK47" s="69"/>
      <c r="FVL47" s="69"/>
      <c r="FVM47" s="69"/>
      <c r="FVN47" s="69"/>
      <c r="FVO47" s="69"/>
      <c r="FVP47" s="69"/>
      <c r="FVQ47" s="69"/>
      <c r="FVR47" s="69"/>
      <c r="FVS47" s="69"/>
      <c r="FVT47" s="69"/>
      <c r="FVU47" s="69"/>
      <c r="FVV47" s="69"/>
      <c r="FVW47" s="69"/>
      <c r="FVX47" s="69"/>
      <c r="FVY47" s="69"/>
      <c r="FVZ47" s="69"/>
      <c r="FWA47" s="69"/>
      <c r="FWB47" s="69"/>
      <c r="FWC47" s="69"/>
      <c r="FWD47" s="69"/>
      <c r="FWE47" s="69"/>
      <c r="FWF47" s="69"/>
      <c r="FWG47" s="69"/>
      <c r="FWH47" s="69"/>
      <c r="FWI47" s="69"/>
      <c r="FWJ47" s="69"/>
      <c r="FWK47" s="69"/>
      <c r="FWL47" s="69"/>
      <c r="FWM47" s="69"/>
      <c r="FWN47" s="69"/>
      <c r="FWO47" s="69"/>
      <c r="FWP47" s="69"/>
      <c r="FWQ47" s="69"/>
      <c r="FWR47" s="69"/>
      <c r="FWS47" s="69"/>
      <c r="FWT47" s="69"/>
      <c r="FWU47" s="69"/>
      <c r="FWV47" s="69"/>
      <c r="FWW47" s="69"/>
      <c r="FWX47" s="69"/>
      <c r="FWY47" s="69"/>
      <c r="FWZ47" s="69"/>
      <c r="FXA47" s="69"/>
      <c r="FXB47" s="69"/>
      <c r="FXC47" s="69"/>
      <c r="FXD47" s="69"/>
      <c r="FXE47" s="69"/>
      <c r="FXF47" s="69"/>
      <c r="FXG47" s="69"/>
      <c r="FXH47" s="69"/>
      <c r="FXI47" s="69"/>
      <c r="FXJ47" s="69"/>
      <c r="FXK47" s="69"/>
      <c r="FXL47" s="69"/>
      <c r="FXM47" s="69"/>
      <c r="FXN47" s="69"/>
      <c r="FXO47" s="69"/>
      <c r="FXP47" s="69"/>
      <c r="FXQ47" s="69"/>
      <c r="FXR47" s="69"/>
      <c r="FXS47" s="69"/>
      <c r="FXT47" s="69"/>
      <c r="FXU47" s="69"/>
      <c r="FXV47" s="69"/>
      <c r="FXW47" s="69"/>
      <c r="FXX47" s="69"/>
      <c r="FXY47" s="69"/>
      <c r="FXZ47" s="69"/>
      <c r="FYA47" s="69"/>
      <c r="FYB47" s="69"/>
      <c r="FYC47" s="69"/>
      <c r="FYD47" s="69"/>
      <c r="FYE47" s="69"/>
      <c r="FYF47" s="69"/>
      <c r="FYG47" s="69"/>
      <c r="FYH47" s="69"/>
      <c r="FYI47" s="69"/>
      <c r="FYJ47" s="69"/>
      <c r="FYK47" s="69"/>
      <c r="FYL47" s="69"/>
      <c r="FYM47" s="69"/>
      <c r="FYN47" s="69"/>
      <c r="FYO47" s="69"/>
      <c r="FYP47" s="69"/>
      <c r="FYQ47" s="69"/>
      <c r="FYR47" s="69"/>
      <c r="FYS47" s="69"/>
      <c r="FYT47" s="69"/>
      <c r="FYU47" s="69"/>
      <c r="FYV47" s="69"/>
      <c r="FYW47" s="69"/>
      <c r="FYX47" s="69"/>
      <c r="FYY47" s="69"/>
      <c r="FYZ47" s="69"/>
      <c r="FZA47" s="69"/>
      <c r="FZB47" s="69"/>
      <c r="FZC47" s="69"/>
      <c r="FZD47" s="69"/>
      <c r="FZE47" s="69"/>
      <c r="FZF47" s="69"/>
      <c r="FZG47" s="69"/>
      <c r="FZH47" s="69"/>
      <c r="FZI47" s="69"/>
      <c r="FZJ47" s="69"/>
      <c r="FZK47" s="69"/>
      <c r="FZL47" s="69"/>
      <c r="FZM47" s="69"/>
      <c r="FZN47" s="69"/>
      <c r="FZO47" s="69"/>
      <c r="FZP47" s="69"/>
      <c r="FZQ47" s="69"/>
      <c r="FZR47" s="69"/>
      <c r="FZS47" s="69"/>
      <c r="FZT47" s="69"/>
      <c r="FZU47" s="69"/>
      <c r="FZV47" s="69"/>
      <c r="FZW47" s="69"/>
      <c r="FZX47" s="69"/>
      <c r="FZY47" s="69"/>
      <c r="FZZ47" s="69"/>
      <c r="GAA47" s="69"/>
      <c r="GAB47" s="69"/>
      <c r="GAC47" s="69"/>
      <c r="GAD47" s="69"/>
      <c r="GAE47" s="69"/>
      <c r="GAF47" s="69"/>
      <c r="GAG47" s="69"/>
      <c r="GAH47" s="69"/>
      <c r="GAI47" s="69"/>
      <c r="GAJ47" s="69"/>
      <c r="GAK47" s="69"/>
      <c r="GAL47" s="69"/>
      <c r="GAM47" s="69"/>
      <c r="GAN47" s="69"/>
      <c r="GAO47" s="69"/>
      <c r="GAP47" s="69"/>
      <c r="GAQ47" s="69"/>
      <c r="GAR47" s="69"/>
      <c r="GAS47" s="69"/>
      <c r="GAT47" s="69"/>
      <c r="GAU47" s="69"/>
      <c r="GAV47" s="69"/>
      <c r="GAW47" s="69"/>
      <c r="GAX47" s="69"/>
      <c r="GAY47" s="69"/>
      <c r="GAZ47" s="69"/>
      <c r="GBA47" s="69"/>
      <c r="GBB47" s="69"/>
      <c r="GBC47" s="69"/>
      <c r="GBD47" s="69"/>
      <c r="GBE47" s="69"/>
      <c r="GBF47" s="69"/>
      <c r="GBG47" s="69"/>
      <c r="GBH47" s="69"/>
      <c r="GBI47" s="69"/>
      <c r="GBJ47" s="69"/>
      <c r="GBK47" s="69"/>
      <c r="GBL47" s="69"/>
      <c r="GBM47" s="69"/>
      <c r="GBN47" s="69"/>
      <c r="GBO47" s="69"/>
      <c r="GBP47" s="69"/>
      <c r="GBQ47" s="69"/>
      <c r="GBR47" s="69"/>
      <c r="GBS47" s="69"/>
      <c r="GBT47" s="69"/>
      <c r="GBU47" s="69"/>
      <c r="GBV47" s="69"/>
      <c r="GBW47" s="69"/>
      <c r="GBX47" s="69"/>
      <c r="GBY47" s="69"/>
      <c r="GBZ47" s="69"/>
      <c r="GCA47" s="69"/>
      <c r="GCB47" s="69"/>
      <c r="GCC47" s="69"/>
      <c r="GCD47" s="69"/>
      <c r="GCE47" s="69"/>
      <c r="GCF47" s="69"/>
      <c r="GCG47" s="69"/>
      <c r="GCH47" s="69"/>
      <c r="GCI47" s="69"/>
      <c r="GCJ47" s="69"/>
      <c r="GCK47" s="69"/>
      <c r="GCL47" s="69"/>
      <c r="GCM47" s="69"/>
      <c r="GCN47" s="69"/>
      <c r="GCO47" s="69"/>
      <c r="GCP47" s="69"/>
      <c r="GCQ47" s="69"/>
      <c r="GCR47" s="69"/>
      <c r="GCS47" s="69"/>
      <c r="GCT47" s="69"/>
      <c r="GCU47" s="69"/>
      <c r="GCV47" s="69"/>
      <c r="GCW47" s="69"/>
      <c r="GCX47" s="69"/>
      <c r="GCY47" s="69"/>
      <c r="GCZ47" s="69"/>
      <c r="GDA47" s="69"/>
      <c r="GDB47" s="69"/>
      <c r="GDC47" s="69"/>
      <c r="GDD47" s="69"/>
      <c r="GDE47" s="69"/>
      <c r="GDF47" s="69"/>
      <c r="GDG47" s="69"/>
      <c r="GDH47" s="69"/>
      <c r="GDI47" s="69"/>
      <c r="GDJ47" s="69"/>
      <c r="GDK47" s="69"/>
      <c r="GDL47" s="69"/>
      <c r="GDM47" s="69"/>
      <c r="GDN47" s="69"/>
      <c r="GDO47" s="69"/>
      <c r="GDP47" s="69"/>
      <c r="GDQ47" s="69"/>
      <c r="GDR47" s="69"/>
      <c r="GDS47" s="69"/>
      <c r="GDT47" s="69"/>
      <c r="GDU47" s="69"/>
      <c r="GDV47" s="69"/>
      <c r="GDW47" s="69"/>
      <c r="GDX47" s="69"/>
      <c r="GDY47" s="69"/>
      <c r="GDZ47" s="69"/>
      <c r="GEA47" s="69"/>
      <c r="GEB47" s="69"/>
      <c r="GEC47" s="69"/>
      <c r="GED47" s="69"/>
      <c r="GEE47" s="69"/>
      <c r="GEF47" s="69"/>
      <c r="GEG47" s="69"/>
      <c r="GEH47" s="69"/>
      <c r="GEI47" s="69"/>
      <c r="GEJ47" s="69"/>
      <c r="GEK47" s="69"/>
      <c r="GEL47" s="69"/>
      <c r="GEM47" s="69"/>
      <c r="GEN47" s="69"/>
      <c r="GEO47" s="69"/>
      <c r="GEP47" s="69"/>
      <c r="GEQ47" s="69"/>
      <c r="GER47" s="69"/>
      <c r="GES47" s="69"/>
      <c r="GET47" s="69"/>
      <c r="GEU47" s="69"/>
      <c r="GEV47" s="69"/>
      <c r="GEW47" s="69"/>
      <c r="GEX47" s="69"/>
      <c r="GEY47" s="69"/>
      <c r="GEZ47" s="69"/>
      <c r="GFA47" s="69"/>
      <c r="GFB47" s="69"/>
      <c r="GFC47" s="69"/>
      <c r="GFD47" s="69"/>
      <c r="GFE47" s="69"/>
      <c r="GFF47" s="69"/>
      <c r="GFG47" s="69"/>
      <c r="GFH47" s="69"/>
      <c r="GFI47" s="69"/>
      <c r="GFJ47" s="69"/>
      <c r="GFK47" s="69"/>
      <c r="GFL47" s="69"/>
      <c r="GFM47" s="69"/>
      <c r="GFN47" s="69"/>
      <c r="GFO47" s="69"/>
      <c r="GFP47" s="69"/>
      <c r="GFQ47" s="69"/>
      <c r="GFR47" s="69"/>
      <c r="GFS47" s="69"/>
      <c r="GFT47" s="69"/>
      <c r="GFU47" s="69"/>
      <c r="GFV47" s="69"/>
      <c r="GFW47" s="69"/>
      <c r="GFX47" s="69"/>
      <c r="GFY47" s="69"/>
      <c r="GFZ47" s="69"/>
      <c r="GGA47" s="69"/>
      <c r="GGB47" s="69"/>
      <c r="GGC47" s="69"/>
      <c r="GGD47" s="69"/>
      <c r="GGE47" s="69"/>
      <c r="GGF47" s="69"/>
      <c r="GGG47" s="69"/>
      <c r="GGH47" s="69"/>
      <c r="GGI47" s="69"/>
      <c r="GGJ47" s="69"/>
      <c r="GGK47" s="69"/>
      <c r="GGL47" s="69"/>
      <c r="GGM47" s="69"/>
      <c r="GGN47" s="69"/>
      <c r="GGO47" s="69"/>
      <c r="GGP47" s="69"/>
      <c r="GGQ47" s="69"/>
      <c r="GGR47" s="69"/>
      <c r="GGS47" s="69"/>
      <c r="GGT47" s="69"/>
      <c r="GGU47" s="69"/>
      <c r="GGV47" s="69"/>
      <c r="GGW47" s="69"/>
      <c r="GGX47" s="69"/>
      <c r="GGY47" s="69"/>
      <c r="GGZ47" s="69"/>
      <c r="GHA47" s="69"/>
      <c r="GHB47" s="69"/>
      <c r="GHC47" s="69"/>
      <c r="GHD47" s="69"/>
      <c r="GHE47" s="69"/>
      <c r="GHF47" s="69"/>
      <c r="GHG47" s="69"/>
      <c r="GHH47" s="69"/>
      <c r="GHI47" s="69"/>
      <c r="GHJ47" s="69"/>
      <c r="GHK47" s="69"/>
      <c r="GHL47" s="69"/>
      <c r="GHM47" s="69"/>
      <c r="GHN47" s="69"/>
      <c r="GHO47" s="69"/>
      <c r="GHP47" s="69"/>
      <c r="GHQ47" s="69"/>
      <c r="GHR47" s="69"/>
      <c r="GHS47" s="69"/>
      <c r="GHT47" s="69"/>
      <c r="GHU47" s="69"/>
      <c r="GHV47" s="69"/>
      <c r="GHW47" s="69"/>
      <c r="GHX47" s="69"/>
      <c r="GHY47" s="69"/>
      <c r="GHZ47" s="69"/>
      <c r="GIA47" s="69"/>
      <c r="GIB47" s="69"/>
      <c r="GIC47" s="69"/>
      <c r="GID47" s="69"/>
      <c r="GIE47" s="69"/>
      <c r="GIF47" s="69"/>
      <c r="GIG47" s="69"/>
      <c r="GIH47" s="69"/>
      <c r="GII47" s="69"/>
      <c r="GIJ47" s="69"/>
      <c r="GIK47" s="69"/>
      <c r="GIL47" s="69"/>
      <c r="GIM47" s="69"/>
      <c r="GIN47" s="69"/>
      <c r="GIO47" s="69"/>
      <c r="GIP47" s="69"/>
      <c r="GIQ47" s="69"/>
      <c r="GIR47" s="69"/>
      <c r="GIS47" s="69"/>
      <c r="GIT47" s="69"/>
      <c r="GIU47" s="69"/>
      <c r="GIV47" s="69"/>
      <c r="GIW47" s="69"/>
      <c r="GIX47" s="69"/>
      <c r="GIY47" s="69"/>
      <c r="GIZ47" s="69"/>
      <c r="GJA47" s="69"/>
      <c r="GJB47" s="69"/>
      <c r="GJC47" s="69"/>
      <c r="GJD47" s="69"/>
      <c r="GJE47" s="69"/>
      <c r="GJF47" s="69"/>
      <c r="GJG47" s="69"/>
      <c r="GJH47" s="69"/>
      <c r="GJI47" s="69"/>
      <c r="GJJ47" s="69"/>
      <c r="GJK47" s="69"/>
      <c r="GJL47" s="69"/>
      <c r="GJM47" s="69"/>
      <c r="GJN47" s="69"/>
      <c r="GJO47" s="69"/>
      <c r="GJP47" s="69"/>
      <c r="GJQ47" s="69"/>
      <c r="GJR47" s="69"/>
      <c r="GJS47" s="69"/>
      <c r="GJT47" s="69"/>
      <c r="GJU47" s="69"/>
      <c r="GJV47" s="69"/>
      <c r="GJW47" s="69"/>
      <c r="GJX47" s="69"/>
      <c r="GJY47" s="69"/>
      <c r="GJZ47" s="69"/>
      <c r="GKA47" s="69"/>
      <c r="GKB47" s="69"/>
      <c r="GKC47" s="69"/>
      <c r="GKD47" s="69"/>
      <c r="GKE47" s="69"/>
      <c r="GKF47" s="69"/>
      <c r="GKG47" s="69"/>
      <c r="GKH47" s="69"/>
      <c r="GKI47" s="69"/>
      <c r="GKJ47" s="69"/>
      <c r="GKK47" s="69"/>
      <c r="GKL47" s="69"/>
      <c r="GKM47" s="69"/>
      <c r="GKN47" s="69"/>
      <c r="GKO47" s="69"/>
      <c r="GKP47" s="69"/>
      <c r="GKQ47" s="69"/>
      <c r="GKR47" s="69"/>
      <c r="GKS47" s="69"/>
      <c r="GKT47" s="69"/>
      <c r="GKU47" s="69"/>
      <c r="GKV47" s="69"/>
      <c r="GKW47" s="69"/>
      <c r="GKX47" s="69"/>
      <c r="GKY47" s="69"/>
      <c r="GKZ47" s="69"/>
      <c r="GLA47" s="69"/>
      <c r="GLB47" s="69"/>
      <c r="GLC47" s="69"/>
      <c r="GLD47" s="69"/>
      <c r="GLE47" s="69"/>
      <c r="GLF47" s="69"/>
      <c r="GLG47" s="69"/>
      <c r="GLH47" s="69"/>
      <c r="GLI47" s="69"/>
      <c r="GLJ47" s="69"/>
      <c r="GLK47" s="69"/>
      <c r="GLL47" s="69"/>
      <c r="GLM47" s="69"/>
      <c r="GLN47" s="69"/>
      <c r="GLO47" s="69"/>
      <c r="GLP47" s="69"/>
      <c r="GLQ47" s="69"/>
      <c r="GLR47" s="69"/>
      <c r="GLS47" s="69"/>
      <c r="GLT47" s="69"/>
      <c r="GLU47" s="69"/>
      <c r="GLV47" s="69"/>
      <c r="GLW47" s="69"/>
      <c r="GLX47" s="69"/>
      <c r="GLY47" s="69"/>
      <c r="GLZ47" s="69"/>
      <c r="GMA47" s="69"/>
      <c r="GMB47" s="69"/>
      <c r="GMC47" s="69"/>
      <c r="GMD47" s="69"/>
      <c r="GME47" s="69"/>
      <c r="GMF47" s="69"/>
      <c r="GMG47" s="69"/>
      <c r="GMH47" s="69"/>
      <c r="GMI47" s="69"/>
      <c r="GMJ47" s="69"/>
      <c r="GMK47" s="69"/>
      <c r="GML47" s="69"/>
      <c r="GMM47" s="69"/>
      <c r="GMN47" s="69"/>
      <c r="GMO47" s="69"/>
      <c r="GMP47" s="69"/>
      <c r="GMQ47" s="69"/>
      <c r="GMR47" s="69"/>
      <c r="GMS47" s="69"/>
      <c r="GMT47" s="69"/>
      <c r="GMU47" s="69"/>
      <c r="GMV47" s="69"/>
      <c r="GMW47" s="69"/>
      <c r="GMX47" s="69"/>
      <c r="GMY47" s="69"/>
      <c r="GMZ47" s="69"/>
      <c r="GNA47" s="69"/>
      <c r="GNB47" s="69"/>
      <c r="GNC47" s="69"/>
      <c r="GND47" s="69"/>
      <c r="GNE47" s="69"/>
      <c r="GNF47" s="69"/>
      <c r="GNG47" s="69"/>
      <c r="GNH47" s="69"/>
      <c r="GNI47" s="69"/>
      <c r="GNJ47" s="69"/>
      <c r="GNK47" s="69"/>
      <c r="GNL47" s="69"/>
      <c r="GNM47" s="69"/>
      <c r="GNN47" s="69"/>
      <c r="GNO47" s="69"/>
      <c r="GNP47" s="69"/>
      <c r="GNQ47" s="69"/>
      <c r="GNR47" s="69"/>
      <c r="GNS47" s="69"/>
      <c r="GNT47" s="69"/>
      <c r="GNU47" s="69"/>
      <c r="GNV47" s="69"/>
      <c r="GNW47" s="69"/>
      <c r="GNX47" s="69"/>
      <c r="GNY47" s="69"/>
      <c r="GNZ47" s="69"/>
      <c r="GOA47" s="69"/>
      <c r="GOB47" s="69"/>
      <c r="GOC47" s="69"/>
      <c r="GOD47" s="69"/>
      <c r="GOE47" s="69"/>
      <c r="GOF47" s="69"/>
      <c r="GOG47" s="69"/>
      <c r="GOH47" s="69"/>
      <c r="GOI47" s="69"/>
      <c r="GOJ47" s="69"/>
      <c r="GOK47" s="69"/>
      <c r="GOL47" s="69"/>
      <c r="GOM47" s="69"/>
      <c r="GON47" s="69"/>
      <c r="GOO47" s="69"/>
      <c r="GOP47" s="69"/>
      <c r="GOQ47" s="69"/>
      <c r="GOR47" s="69"/>
      <c r="GOS47" s="69"/>
      <c r="GOT47" s="69"/>
      <c r="GOU47" s="69"/>
      <c r="GOV47" s="69"/>
      <c r="GOW47" s="69"/>
      <c r="GOX47" s="69"/>
      <c r="GOY47" s="69"/>
      <c r="GOZ47" s="69"/>
      <c r="GPA47" s="69"/>
      <c r="GPB47" s="69"/>
      <c r="GPC47" s="69"/>
      <c r="GPD47" s="69"/>
      <c r="GPE47" s="69"/>
      <c r="GPF47" s="69"/>
      <c r="GPG47" s="69"/>
      <c r="GPH47" s="69"/>
      <c r="GPI47" s="69"/>
      <c r="GPJ47" s="69"/>
      <c r="GPK47" s="69"/>
      <c r="GPL47" s="69"/>
      <c r="GPM47" s="69"/>
      <c r="GPN47" s="69"/>
      <c r="GPO47" s="69"/>
      <c r="GPP47" s="69"/>
      <c r="GPQ47" s="69"/>
      <c r="GPR47" s="69"/>
      <c r="GPS47" s="69"/>
      <c r="GPT47" s="69"/>
      <c r="GPU47" s="69"/>
      <c r="GPV47" s="69"/>
      <c r="GPW47" s="69"/>
      <c r="GPX47" s="69"/>
      <c r="GPY47" s="69"/>
      <c r="GPZ47" s="69"/>
      <c r="GQA47" s="69"/>
      <c r="GQB47" s="69"/>
      <c r="GQC47" s="69"/>
      <c r="GQD47" s="69"/>
      <c r="GQE47" s="69"/>
      <c r="GQF47" s="69"/>
      <c r="GQG47" s="69"/>
      <c r="GQH47" s="69"/>
      <c r="GQI47" s="69"/>
      <c r="GQJ47" s="69"/>
      <c r="GQK47" s="69"/>
      <c r="GQL47" s="69"/>
      <c r="GQM47" s="69"/>
      <c r="GQN47" s="69"/>
      <c r="GQO47" s="69"/>
      <c r="GQP47" s="69"/>
      <c r="GQQ47" s="69"/>
      <c r="GQR47" s="69"/>
      <c r="GQS47" s="69"/>
      <c r="GQT47" s="69"/>
      <c r="GQU47" s="69"/>
      <c r="GQV47" s="69"/>
      <c r="GQW47" s="69"/>
      <c r="GQX47" s="69"/>
      <c r="GQY47" s="69"/>
      <c r="GQZ47" s="69"/>
      <c r="GRA47" s="69"/>
      <c r="GRB47" s="69"/>
      <c r="GRC47" s="69"/>
      <c r="GRD47" s="69"/>
      <c r="GRE47" s="69"/>
      <c r="GRF47" s="69"/>
      <c r="GRG47" s="69"/>
      <c r="GRH47" s="69"/>
      <c r="GRI47" s="69"/>
      <c r="GRJ47" s="69"/>
      <c r="GRK47" s="69"/>
      <c r="GRL47" s="69"/>
      <c r="GRM47" s="69"/>
      <c r="GRN47" s="69"/>
      <c r="GRO47" s="69"/>
      <c r="GRP47" s="69"/>
      <c r="GRQ47" s="69"/>
      <c r="GRR47" s="69"/>
      <c r="GRS47" s="69"/>
      <c r="GRT47" s="69"/>
      <c r="GRU47" s="69"/>
      <c r="GRV47" s="69"/>
      <c r="GRW47" s="69"/>
      <c r="GRX47" s="69"/>
      <c r="GRY47" s="69"/>
      <c r="GRZ47" s="69"/>
      <c r="GSA47" s="69"/>
      <c r="GSB47" s="69"/>
      <c r="GSC47" s="69"/>
      <c r="GSD47" s="69"/>
      <c r="GSE47" s="69"/>
      <c r="GSF47" s="69"/>
      <c r="GSG47" s="69"/>
      <c r="GSH47" s="69"/>
      <c r="GSI47" s="69"/>
      <c r="GSJ47" s="69"/>
      <c r="GSK47" s="69"/>
      <c r="GSL47" s="69"/>
      <c r="GSM47" s="69"/>
      <c r="GSN47" s="69"/>
      <c r="GSO47" s="69"/>
      <c r="GSP47" s="69"/>
      <c r="GSQ47" s="69"/>
      <c r="GSR47" s="69"/>
      <c r="GSS47" s="69"/>
      <c r="GST47" s="69"/>
      <c r="GSU47" s="69"/>
      <c r="GSV47" s="69"/>
      <c r="GSW47" s="69"/>
      <c r="GSX47" s="69"/>
      <c r="GSY47" s="69"/>
      <c r="GSZ47" s="69"/>
      <c r="GTA47" s="69"/>
      <c r="GTB47" s="69"/>
      <c r="GTC47" s="69"/>
      <c r="GTD47" s="69"/>
      <c r="GTE47" s="69"/>
      <c r="GTF47" s="69"/>
      <c r="GTG47" s="69"/>
      <c r="GTH47" s="69"/>
      <c r="GTI47" s="69"/>
      <c r="GTJ47" s="69"/>
      <c r="GTK47" s="69"/>
      <c r="GTL47" s="69"/>
      <c r="GTM47" s="69"/>
      <c r="GTN47" s="69"/>
      <c r="GTO47" s="69"/>
      <c r="GTP47" s="69"/>
      <c r="GTQ47" s="69"/>
      <c r="GTR47" s="69"/>
      <c r="GTS47" s="69"/>
      <c r="GTT47" s="69"/>
      <c r="GTU47" s="69"/>
      <c r="GTV47" s="69"/>
      <c r="GTW47" s="69"/>
      <c r="GTX47" s="69"/>
      <c r="GTY47" s="69"/>
      <c r="GTZ47" s="69"/>
      <c r="GUA47" s="69"/>
      <c r="GUB47" s="69"/>
      <c r="GUC47" s="69"/>
      <c r="GUD47" s="69"/>
      <c r="GUE47" s="69"/>
      <c r="GUF47" s="69"/>
      <c r="GUG47" s="69"/>
      <c r="GUH47" s="69"/>
      <c r="GUI47" s="69"/>
      <c r="GUJ47" s="69"/>
      <c r="GUK47" s="69"/>
      <c r="GUL47" s="69"/>
      <c r="GUM47" s="69"/>
      <c r="GUN47" s="69"/>
      <c r="GUO47" s="69"/>
      <c r="GUP47" s="69"/>
      <c r="GUQ47" s="69"/>
      <c r="GUR47" s="69"/>
      <c r="GUS47" s="69"/>
      <c r="GUT47" s="69"/>
      <c r="GUU47" s="69"/>
      <c r="GUV47" s="69"/>
      <c r="GUW47" s="69"/>
      <c r="GUX47" s="69"/>
      <c r="GUY47" s="69"/>
      <c r="GUZ47" s="69"/>
      <c r="GVA47" s="69"/>
      <c r="GVB47" s="69"/>
      <c r="GVC47" s="69"/>
      <c r="GVD47" s="69"/>
      <c r="GVE47" s="69"/>
      <c r="GVF47" s="69"/>
      <c r="GVG47" s="69"/>
      <c r="GVH47" s="69"/>
      <c r="GVI47" s="69"/>
      <c r="GVJ47" s="69"/>
      <c r="GVK47" s="69"/>
      <c r="GVL47" s="69"/>
      <c r="GVM47" s="69"/>
      <c r="GVN47" s="69"/>
      <c r="GVO47" s="69"/>
      <c r="GVP47" s="69"/>
      <c r="GVQ47" s="69"/>
      <c r="GVR47" s="69"/>
      <c r="GVS47" s="69"/>
      <c r="GVT47" s="69"/>
      <c r="GVU47" s="69"/>
      <c r="GVV47" s="69"/>
      <c r="GVW47" s="69"/>
      <c r="GVX47" s="69"/>
      <c r="GVY47" s="69"/>
      <c r="GVZ47" s="69"/>
      <c r="GWA47" s="69"/>
      <c r="GWB47" s="69"/>
      <c r="GWC47" s="69"/>
      <c r="GWD47" s="69"/>
      <c r="GWE47" s="69"/>
      <c r="GWF47" s="69"/>
      <c r="GWG47" s="69"/>
      <c r="GWH47" s="69"/>
      <c r="GWI47" s="69"/>
      <c r="GWJ47" s="69"/>
      <c r="GWK47" s="69"/>
      <c r="GWL47" s="69"/>
      <c r="GWM47" s="69"/>
      <c r="GWN47" s="69"/>
      <c r="GWO47" s="69"/>
      <c r="GWP47" s="69"/>
      <c r="GWQ47" s="69"/>
      <c r="GWR47" s="69"/>
      <c r="GWS47" s="69"/>
      <c r="GWT47" s="69"/>
      <c r="GWU47" s="69"/>
      <c r="GWV47" s="69"/>
      <c r="GWW47" s="69"/>
      <c r="GWX47" s="69"/>
      <c r="GWY47" s="69"/>
      <c r="GWZ47" s="69"/>
      <c r="GXA47" s="69"/>
      <c r="GXB47" s="69"/>
      <c r="GXC47" s="69"/>
      <c r="GXD47" s="69"/>
      <c r="GXE47" s="69"/>
      <c r="GXF47" s="69"/>
      <c r="GXG47" s="69"/>
      <c r="GXH47" s="69"/>
      <c r="GXI47" s="69"/>
      <c r="GXJ47" s="69"/>
      <c r="GXK47" s="69"/>
      <c r="GXL47" s="69"/>
      <c r="GXM47" s="69"/>
      <c r="GXN47" s="69"/>
      <c r="GXO47" s="69"/>
      <c r="GXP47" s="69"/>
      <c r="GXQ47" s="69"/>
      <c r="GXR47" s="69"/>
      <c r="GXS47" s="69"/>
      <c r="GXT47" s="69"/>
      <c r="GXU47" s="69"/>
      <c r="GXV47" s="69"/>
      <c r="GXW47" s="69"/>
      <c r="GXX47" s="69"/>
      <c r="GXY47" s="69"/>
      <c r="GXZ47" s="69"/>
      <c r="GYA47" s="69"/>
      <c r="GYB47" s="69"/>
      <c r="GYC47" s="69"/>
      <c r="GYD47" s="69"/>
      <c r="GYE47" s="69"/>
      <c r="GYF47" s="69"/>
      <c r="GYG47" s="69"/>
      <c r="GYH47" s="69"/>
      <c r="GYI47" s="69"/>
      <c r="GYJ47" s="69"/>
      <c r="GYK47" s="69"/>
      <c r="GYL47" s="69"/>
      <c r="GYM47" s="69"/>
      <c r="GYN47" s="69"/>
      <c r="GYO47" s="69"/>
      <c r="GYP47" s="69"/>
      <c r="GYQ47" s="69"/>
      <c r="GYR47" s="69"/>
      <c r="GYS47" s="69"/>
      <c r="GYT47" s="69"/>
      <c r="GYU47" s="69"/>
      <c r="GYV47" s="69"/>
      <c r="GYW47" s="69"/>
      <c r="GYX47" s="69"/>
      <c r="GYY47" s="69"/>
      <c r="GYZ47" s="69"/>
      <c r="GZA47" s="69"/>
      <c r="GZB47" s="69"/>
      <c r="GZC47" s="69"/>
      <c r="GZD47" s="69"/>
      <c r="GZE47" s="69"/>
      <c r="GZF47" s="69"/>
      <c r="GZG47" s="69"/>
      <c r="GZH47" s="69"/>
      <c r="GZI47" s="69"/>
      <c r="GZJ47" s="69"/>
      <c r="GZK47" s="69"/>
      <c r="GZL47" s="69"/>
      <c r="GZM47" s="69"/>
      <c r="GZN47" s="69"/>
      <c r="GZO47" s="69"/>
      <c r="GZP47" s="69"/>
      <c r="GZQ47" s="69"/>
      <c r="GZR47" s="69"/>
      <c r="GZS47" s="69"/>
      <c r="GZT47" s="69"/>
      <c r="GZU47" s="69"/>
      <c r="GZV47" s="69"/>
      <c r="GZW47" s="69"/>
      <c r="GZX47" s="69"/>
      <c r="GZY47" s="69"/>
      <c r="GZZ47" s="69"/>
      <c r="HAA47" s="69"/>
      <c r="HAB47" s="69"/>
      <c r="HAC47" s="69"/>
      <c r="HAD47" s="69"/>
      <c r="HAE47" s="69"/>
      <c r="HAF47" s="69"/>
      <c r="HAG47" s="69"/>
      <c r="HAH47" s="69"/>
      <c r="HAI47" s="69"/>
      <c r="HAJ47" s="69"/>
      <c r="HAK47" s="69"/>
      <c r="HAL47" s="69"/>
      <c r="HAM47" s="69"/>
      <c r="HAN47" s="69"/>
      <c r="HAO47" s="69"/>
      <c r="HAP47" s="69"/>
      <c r="HAQ47" s="69"/>
      <c r="HAR47" s="69"/>
      <c r="HAS47" s="69"/>
      <c r="HAT47" s="69"/>
      <c r="HAU47" s="69"/>
      <c r="HAV47" s="69"/>
      <c r="HAW47" s="69"/>
      <c r="HAX47" s="69"/>
      <c r="HAY47" s="69"/>
      <c r="HAZ47" s="69"/>
      <c r="HBA47" s="69"/>
      <c r="HBB47" s="69"/>
      <c r="HBC47" s="69"/>
      <c r="HBD47" s="69"/>
      <c r="HBE47" s="69"/>
      <c r="HBF47" s="69"/>
      <c r="HBG47" s="69"/>
      <c r="HBH47" s="69"/>
      <c r="HBI47" s="69"/>
      <c r="HBJ47" s="69"/>
      <c r="HBK47" s="69"/>
      <c r="HBL47" s="69"/>
      <c r="HBM47" s="69"/>
      <c r="HBN47" s="69"/>
      <c r="HBO47" s="69"/>
      <c r="HBP47" s="69"/>
      <c r="HBQ47" s="69"/>
      <c r="HBR47" s="69"/>
      <c r="HBS47" s="69"/>
      <c r="HBT47" s="69"/>
      <c r="HBU47" s="69"/>
      <c r="HBV47" s="69"/>
      <c r="HBW47" s="69"/>
      <c r="HBX47" s="69"/>
      <c r="HBY47" s="69"/>
      <c r="HBZ47" s="69"/>
      <c r="HCA47" s="69"/>
      <c r="HCB47" s="69"/>
      <c r="HCC47" s="69"/>
      <c r="HCD47" s="69"/>
      <c r="HCE47" s="69"/>
      <c r="HCF47" s="69"/>
      <c r="HCG47" s="69"/>
      <c r="HCH47" s="69"/>
      <c r="HCI47" s="69"/>
      <c r="HCJ47" s="69"/>
      <c r="HCK47" s="69"/>
      <c r="HCL47" s="69"/>
      <c r="HCM47" s="69"/>
      <c r="HCN47" s="69"/>
      <c r="HCO47" s="69"/>
      <c r="HCP47" s="69"/>
      <c r="HCQ47" s="69"/>
      <c r="HCR47" s="69"/>
      <c r="HCS47" s="69"/>
      <c r="HCT47" s="69"/>
      <c r="HCU47" s="69"/>
      <c r="HCV47" s="69"/>
      <c r="HCW47" s="69"/>
      <c r="HCX47" s="69"/>
      <c r="HCY47" s="69"/>
      <c r="HCZ47" s="69"/>
      <c r="HDA47" s="69"/>
      <c r="HDB47" s="69"/>
      <c r="HDC47" s="69"/>
      <c r="HDD47" s="69"/>
      <c r="HDE47" s="69"/>
      <c r="HDF47" s="69"/>
      <c r="HDG47" s="69"/>
      <c r="HDH47" s="69"/>
      <c r="HDI47" s="69"/>
      <c r="HDJ47" s="69"/>
      <c r="HDK47" s="69"/>
      <c r="HDL47" s="69"/>
      <c r="HDM47" s="69"/>
      <c r="HDN47" s="69"/>
      <c r="HDO47" s="69"/>
      <c r="HDP47" s="69"/>
      <c r="HDQ47" s="69"/>
      <c r="HDR47" s="69"/>
      <c r="HDS47" s="69"/>
      <c r="HDT47" s="69"/>
      <c r="HDU47" s="69"/>
      <c r="HDV47" s="69"/>
      <c r="HDW47" s="69"/>
      <c r="HDX47" s="69"/>
      <c r="HDY47" s="69"/>
      <c r="HDZ47" s="69"/>
      <c r="HEA47" s="69"/>
      <c r="HEB47" s="69"/>
      <c r="HEC47" s="69"/>
      <c r="HED47" s="69"/>
      <c r="HEE47" s="69"/>
      <c r="HEF47" s="69"/>
      <c r="HEG47" s="69"/>
      <c r="HEH47" s="69"/>
      <c r="HEI47" s="69"/>
      <c r="HEJ47" s="69"/>
      <c r="HEK47" s="69"/>
      <c r="HEL47" s="69"/>
      <c r="HEM47" s="69"/>
      <c r="HEN47" s="69"/>
      <c r="HEO47" s="69"/>
      <c r="HEP47" s="69"/>
      <c r="HEQ47" s="69"/>
      <c r="HER47" s="69"/>
      <c r="HES47" s="69"/>
      <c r="HET47" s="69"/>
      <c r="HEU47" s="69"/>
      <c r="HEV47" s="69"/>
      <c r="HEW47" s="69"/>
      <c r="HEX47" s="69"/>
      <c r="HEY47" s="69"/>
      <c r="HEZ47" s="69"/>
      <c r="HFA47" s="69"/>
      <c r="HFB47" s="69"/>
      <c r="HFC47" s="69"/>
      <c r="HFD47" s="69"/>
      <c r="HFE47" s="69"/>
      <c r="HFF47" s="69"/>
      <c r="HFG47" s="69"/>
      <c r="HFH47" s="69"/>
      <c r="HFI47" s="69"/>
      <c r="HFJ47" s="69"/>
      <c r="HFK47" s="69"/>
      <c r="HFL47" s="69"/>
      <c r="HFM47" s="69"/>
      <c r="HFN47" s="69"/>
      <c r="HFO47" s="69"/>
      <c r="HFP47" s="69"/>
      <c r="HFQ47" s="69"/>
      <c r="HFR47" s="69"/>
      <c r="HFS47" s="69"/>
      <c r="HFT47" s="69"/>
      <c r="HFU47" s="69"/>
      <c r="HFV47" s="69"/>
      <c r="HFW47" s="69"/>
      <c r="HFX47" s="69"/>
      <c r="HFY47" s="69"/>
      <c r="HFZ47" s="69"/>
      <c r="HGA47" s="69"/>
      <c r="HGB47" s="69"/>
      <c r="HGC47" s="69"/>
      <c r="HGD47" s="69"/>
      <c r="HGE47" s="69"/>
      <c r="HGF47" s="69"/>
      <c r="HGG47" s="69"/>
      <c r="HGH47" s="69"/>
      <c r="HGI47" s="69"/>
      <c r="HGJ47" s="69"/>
      <c r="HGK47" s="69"/>
      <c r="HGL47" s="69"/>
      <c r="HGM47" s="69"/>
      <c r="HGN47" s="69"/>
      <c r="HGO47" s="69"/>
      <c r="HGP47" s="69"/>
      <c r="HGQ47" s="69"/>
      <c r="HGR47" s="69"/>
      <c r="HGS47" s="69"/>
      <c r="HGT47" s="69"/>
      <c r="HGU47" s="69"/>
      <c r="HGV47" s="69"/>
      <c r="HGW47" s="69"/>
      <c r="HGX47" s="69"/>
      <c r="HGY47" s="69"/>
      <c r="HGZ47" s="69"/>
      <c r="HHA47" s="69"/>
      <c r="HHB47" s="69"/>
      <c r="HHC47" s="69"/>
      <c r="HHD47" s="69"/>
      <c r="HHE47" s="69"/>
      <c r="HHF47" s="69"/>
      <c r="HHG47" s="69"/>
      <c r="HHH47" s="69"/>
      <c r="HHI47" s="69"/>
      <c r="HHJ47" s="69"/>
      <c r="HHK47" s="69"/>
      <c r="HHL47" s="69"/>
      <c r="HHM47" s="69"/>
      <c r="HHN47" s="69"/>
      <c r="HHO47" s="69"/>
      <c r="HHP47" s="69"/>
      <c r="HHQ47" s="69"/>
      <c r="HHR47" s="69"/>
      <c r="HHS47" s="69"/>
      <c r="HHT47" s="69"/>
      <c r="HHU47" s="69"/>
      <c r="HHV47" s="69"/>
      <c r="HHW47" s="69"/>
      <c r="HHX47" s="69"/>
      <c r="HHY47" s="69"/>
      <c r="HHZ47" s="69"/>
      <c r="HIA47" s="69"/>
      <c r="HIB47" s="69"/>
      <c r="HIC47" s="69"/>
      <c r="HID47" s="69"/>
      <c r="HIE47" s="69"/>
      <c r="HIF47" s="69"/>
      <c r="HIG47" s="69"/>
      <c r="HIH47" s="69"/>
      <c r="HII47" s="69"/>
      <c r="HIJ47" s="69"/>
      <c r="HIK47" s="69"/>
      <c r="HIL47" s="69"/>
      <c r="HIM47" s="69"/>
      <c r="HIN47" s="69"/>
      <c r="HIO47" s="69"/>
      <c r="HIP47" s="69"/>
      <c r="HIQ47" s="69"/>
      <c r="HIR47" s="69"/>
      <c r="HIS47" s="69"/>
      <c r="HIT47" s="69"/>
      <c r="HIU47" s="69"/>
      <c r="HIV47" s="69"/>
      <c r="HIW47" s="69"/>
      <c r="HIX47" s="69"/>
      <c r="HIY47" s="69"/>
      <c r="HIZ47" s="69"/>
      <c r="HJA47" s="69"/>
      <c r="HJB47" s="69"/>
      <c r="HJC47" s="69"/>
      <c r="HJD47" s="69"/>
      <c r="HJE47" s="69"/>
      <c r="HJF47" s="69"/>
      <c r="HJG47" s="69"/>
      <c r="HJH47" s="69"/>
      <c r="HJI47" s="69"/>
      <c r="HJJ47" s="69"/>
      <c r="HJK47" s="69"/>
      <c r="HJL47" s="69"/>
      <c r="HJM47" s="69"/>
      <c r="HJN47" s="69"/>
      <c r="HJO47" s="69"/>
      <c r="HJP47" s="69"/>
      <c r="HJQ47" s="69"/>
      <c r="HJR47" s="69"/>
      <c r="HJS47" s="69"/>
      <c r="HJT47" s="69"/>
      <c r="HJU47" s="69"/>
      <c r="HJV47" s="69"/>
      <c r="HJW47" s="69"/>
      <c r="HJX47" s="69"/>
      <c r="HJY47" s="69"/>
      <c r="HJZ47" s="69"/>
      <c r="HKA47" s="69"/>
      <c r="HKB47" s="69"/>
      <c r="HKC47" s="69"/>
      <c r="HKD47" s="69"/>
      <c r="HKE47" s="69"/>
      <c r="HKF47" s="69"/>
      <c r="HKG47" s="69"/>
      <c r="HKH47" s="69"/>
      <c r="HKI47" s="69"/>
      <c r="HKJ47" s="69"/>
      <c r="HKK47" s="69"/>
      <c r="HKL47" s="69"/>
      <c r="HKM47" s="69"/>
      <c r="HKN47" s="69"/>
      <c r="HKO47" s="69"/>
      <c r="HKP47" s="69"/>
      <c r="HKQ47" s="69"/>
      <c r="HKR47" s="69"/>
      <c r="HKS47" s="69"/>
      <c r="HKT47" s="69"/>
      <c r="HKU47" s="69"/>
      <c r="HKV47" s="69"/>
      <c r="HKW47" s="69"/>
      <c r="HKX47" s="69"/>
      <c r="HKY47" s="69"/>
      <c r="HKZ47" s="69"/>
      <c r="HLA47" s="69"/>
      <c r="HLB47" s="69"/>
      <c r="HLC47" s="69"/>
      <c r="HLD47" s="69"/>
      <c r="HLE47" s="69"/>
      <c r="HLF47" s="69"/>
      <c r="HLG47" s="69"/>
      <c r="HLH47" s="69"/>
      <c r="HLI47" s="69"/>
      <c r="HLJ47" s="69"/>
      <c r="HLK47" s="69"/>
      <c r="HLL47" s="69"/>
      <c r="HLM47" s="69"/>
      <c r="HLN47" s="69"/>
      <c r="HLO47" s="69"/>
      <c r="HLP47" s="69"/>
      <c r="HLQ47" s="69"/>
      <c r="HLR47" s="69"/>
      <c r="HLS47" s="69"/>
      <c r="HLT47" s="69"/>
      <c r="HLU47" s="69"/>
      <c r="HLV47" s="69"/>
      <c r="HLW47" s="69"/>
      <c r="HLX47" s="69"/>
      <c r="HLY47" s="69"/>
      <c r="HLZ47" s="69"/>
      <c r="HMA47" s="69"/>
      <c r="HMB47" s="69"/>
      <c r="HMC47" s="69"/>
      <c r="HMD47" s="69"/>
      <c r="HME47" s="69"/>
      <c r="HMF47" s="69"/>
      <c r="HMG47" s="69"/>
      <c r="HMH47" s="69"/>
      <c r="HMI47" s="69"/>
      <c r="HMJ47" s="69"/>
      <c r="HMK47" s="69"/>
      <c r="HML47" s="69"/>
      <c r="HMM47" s="69"/>
      <c r="HMN47" s="69"/>
      <c r="HMO47" s="69"/>
      <c r="HMP47" s="69"/>
      <c r="HMQ47" s="69"/>
      <c r="HMR47" s="69"/>
      <c r="HMS47" s="69"/>
      <c r="HMT47" s="69"/>
      <c r="HMU47" s="69"/>
      <c r="HMV47" s="69"/>
      <c r="HMW47" s="69"/>
      <c r="HMX47" s="69"/>
      <c r="HMY47" s="69"/>
      <c r="HMZ47" s="69"/>
      <c r="HNA47" s="69"/>
      <c r="HNB47" s="69"/>
      <c r="HNC47" s="69"/>
      <c r="HND47" s="69"/>
      <c r="HNE47" s="69"/>
      <c r="HNF47" s="69"/>
      <c r="HNG47" s="69"/>
      <c r="HNH47" s="69"/>
      <c r="HNI47" s="69"/>
      <c r="HNJ47" s="69"/>
      <c r="HNK47" s="69"/>
      <c r="HNL47" s="69"/>
      <c r="HNM47" s="69"/>
      <c r="HNN47" s="69"/>
      <c r="HNO47" s="69"/>
      <c r="HNP47" s="69"/>
      <c r="HNQ47" s="69"/>
      <c r="HNR47" s="69"/>
      <c r="HNS47" s="69"/>
      <c r="HNT47" s="69"/>
      <c r="HNU47" s="69"/>
      <c r="HNV47" s="69"/>
      <c r="HNW47" s="69"/>
      <c r="HNX47" s="69"/>
      <c r="HNY47" s="69"/>
      <c r="HNZ47" s="69"/>
      <c r="HOA47" s="69"/>
      <c r="HOB47" s="69"/>
      <c r="HOC47" s="69"/>
      <c r="HOD47" s="69"/>
      <c r="HOE47" s="69"/>
      <c r="HOF47" s="69"/>
      <c r="HOG47" s="69"/>
      <c r="HOH47" s="69"/>
      <c r="HOI47" s="69"/>
      <c r="HOJ47" s="69"/>
      <c r="HOK47" s="69"/>
      <c r="HOL47" s="69"/>
      <c r="HOM47" s="69"/>
      <c r="HON47" s="69"/>
      <c r="HOO47" s="69"/>
      <c r="HOP47" s="69"/>
      <c r="HOQ47" s="69"/>
      <c r="HOR47" s="69"/>
      <c r="HOS47" s="69"/>
      <c r="HOT47" s="69"/>
      <c r="HOU47" s="69"/>
      <c r="HOV47" s="69"/>
      <c r="HOW47" s="69"/>
      <c r="HOX47" s="69"/>
      <c r="HOY47" s="69"/>
      <c r="HOZ47" s="69"/>
      <c r="HPA47" s="69"/>
      <c r="HPB47" s="69"/>
      <c r="HPC47" s="69"/>
      <c r="HPD47" s="69"/>
      <c r="HPE47" s="69"/>
      <c r="HPF47" s="69"/>
      <c r="HPG47" s="69"/>
      <c r="HPH47" s="69"/>
      <c r="HPI47" s="69"/>
      <c r="HPJ47" s="69"/>
      <c r="HPK47" s="69"/>
      <c r="HPL47" s="69"/>
      <c r="HPM47" s="69"/>
      <c r="HPN47" s="69"/>
      <c r="HPO47" s="69"/>
      <c r="HPP47" s="69"/>
      <c r="HPQ47" s="69"/>
      <c r="HPR47" s="69"/>
      <c r="HPS47" s="69"/>
      <c r="HPT47" s="69"/>
      <c r="HPU47" s="69"/>
      <c r="HPV47" s="69"/>
      <c r="HPW47" s="69"/>
      <c r="HPX47" s="69"/>
      <c r="HPY47" s="69"/>
      <c r="HPZ47" s="69"/>
      <c r="HQA47" s="69"/>
      <c r="HQB47" s="69"/>
      <c r="HQC47" s="69"/>
      <c r="HQD47" s="69"/>
      <c r="HQE47" s="69"/>
      <c r="HQF47" s="69"/>
      <c r="HQG47" s="69"/>
      <c r="HQH47" s="69"/>
      <c r="HQI47" s="69"/>
      <c r="HQJ47" s="69"/>
      <c r="HQK47" s="69"/>
      <c r="HQL47" s="69"/>
      <c r="HQM47" s="69"/>
      <c r="HQN47" s="69"/>
      <c r="HQO47" s="69"/>
      <c r="HQP47" s="69"/>
      <c r="HQQ47" s="69"/>
      <c r="HQR47" s="69"/>
      <c r="HQS47" s="69"/>
      <c r="HQT47" s="69"/>
      <c r="HQU47" s="69"/>
      <c r="HQV47" s="69"/>
      <c r="HQW47" s="69"/>
      <c r="HQX47" s="69"/>
      <c r="HQY47" s="69"/>
      <c r="HQZ47" s="69"/>
      <c r="HRA47" s="69"/>
      <c r="HRB47" s="69"/>
      <c r="HRC47" s="69"/>
      <c r="HRD47" s="69"/>
      <c r="HRE47" s="69"/>
      <c r="HRF47" s="69"/>
      <c r="HRG47" s="69"/>
      <c r="HRH47" s="69"/>
      <c r="HRI47" s="69"/>
      <c r="HRJ47" s="69"/>
      <c r="HRK47" s="69"/>
      <c r="HRL47" s="69"/>
      <c r="HRM47" s="69"/>
      <c r="HRN47" s="69"/>
      <c r="HRO47" s="69"/>
      <c r="HRP47" s="69"/>
      <c r="HRQ47" s="69"/>
      <c r="HRR47" s="69"/>
      <c r="HRS47" s="69"/>
      <c r="HRT47" s="69"/>
      <c r="HRU47" s="69"/>
      <c r="HRV47" s="69"/>
      <c r="HRW47" s="69"/>
      <c r="HRX47" s="69"/>
      <c r="HRY47" s="69"/>
      <c r="HRZ47" s="69"/>
      <c r="HSA47" s="69"/>
      <c r="HSB47" s="69"/>
      <c r="HSC47" s="69"/>
      <c r="HSD47" s="69"/>
      <c r="HSE47" s="69"/>
      <c r="HSF47" s="69"/>
      <c r="HSG47" s="69"/>
      <c r="HSH47" s="69"/>
      <c r="HSI47" s="69"/>
      <c r="HSJ47" s="69"/>
      <c r="HSK47" s="69"/>
      <c r="HSL47" s="69"/>
      <c r="HSM47" s="69"/>
      <c r="HSN47" s="69"/>
      <c r="HSO47" s="69"/>
      <c r="HSP47" s="69"/>
      <c r="HSQ47" s="69"/>
      <c r="HSR47" s="69"/>
      <c r="HSS47" s="69"/>
      <c r="HST47" s="69"/>
      <c r="HSU47" s="69"/>
      <c r="HSV47" s="69"/>
      <c r="HSW47" s="69"/>
      <c r="HSX47" s="69"/>
      <c r="HSY47" s="69"/>
      <c r="HSZ47" s="69"/>
      <c r="HTA47" s="69"/>
      <c r="HTB47" s="69"/>
      <c r="HTC47" s="69"/>
      <c r="HTD47" s="69"/>
      <c r="HTE47" s="69"/>
      <c r="HTF47" s="69"/>
      <c r="HTG47" s="69"/>
      <c r="HTH47" s="69"/>
      <c r="HTI47" s="69"/>
      <c r="HTJ47" s="69"/>
      <c r="HTK47" s="69"/>
      <c r="HTL47" s="69"/>
      <c r="HTM47" s="69"/>
      <c r="HTN47" s="69"/>
      <c r="HTO47" s="69"/>
      <c r="HTP47" s="69"/>
      <c r="HTQ47" s="69"/>
      <c r="HTR47" s="69"/>
      <c r="HTS47" s="69"/>
      <c r="HTT47" s="69"/>
      <c r="HTU47" s="69"/>
      <c r="HTV47" s="69"/>
      <c r="HTW47" s="69"/>
      <c r="HTX47" s="69"/>
      <c r="HTY47" s="69"/>
      <c r="HTZ47" s="69"/>
      <c r="HUA47" s="69"/>
      <c r="HUB47" s="69"/>
      <c r="HUC47" s="69"/>
      <c r="HUD47" s="69"/>
      <c r="HUE47" s="69"/>
      <c r="HUF47" s="69"/>
      <c r="HUG47" s="69"/>
      <c r="HUH47" s="69"/>
      <c r="HUI47" s="69"/>
      <c r="HUJ47" s="69"/>
      <c r="HUK47" s="69"/>
      <c r="HUL47" s="69"/>
      <c r="HUM47" s="69"/>
      <c r="HUN47" s="69"/>
      <c r="HUO47" s="69"/>
      <c r="HUP47" s="69"/>
      <c r="HUQ47" s="69"/>
      <c r="HUR47" s="69"/>
      <c r="HUS47" s="69"/>
      <c r="HUT47" s="69"/>
      <c r="HUU47" s="69"/>
      <c r="HUV47" s="69"/>
      <c r="HUW47" s="69"/>
      <c r="HUX47" s="69"/>
      <c r="HUY47" s="69"/>
      <c r="HUZ47" s="69"/>
      <c r="HVA47" s="69"/>
      <c r="HVB47" s="69"/>
      <c r="HVC47" s="69"/>
      <c r="HVD47" s="69"/>
      <c r="HVE47" s="69"/>
      <c r="HVF47" s="69"/>
      <c r="HVG47" s="69"/>
      <c r="HVH47" s="69"/>
      <c r="HVI47" s="69"/>
      <c r="HVJ47" s="69"/>
      <c r="HVK47" s="69"/>
      <c r="HVL47" s="69"/>
      <c r="HVM47" s="69"/>
      <c r="HVN47" s="69"/>
      <c r="HVO47" s="69"/>
      <c r="HVP47" s="69"/>
      <c r="HVQ47" s="69"/>
      <c r="HVR47" s="69"/>
      <c r="HVS47" s="69"/>
      <c r="HVT47" s="69"/>
      <c r="HVU47" s="69"/>
      <c r="HVV47" s="69"/>
      <c r="HVW47" s="69"/>
      <c r="HVX47" s="69"/>
      <c r="HVY47" s="69"/>
      <c r="HVZ47" s="69"/>
      <c r="HWA47" s="69"/>
      <c r="HWB47" s="69"/>
      <c r="HWC47" s="69"/>
      <c r="HWD47" s="69"/>
      <c r="HWE47" s="69"/>
      <c r="HWF47" s="69"/>
      <c r="HWG47" s="69"/>
      <c r="HWH47" s="69"/>
      <c r="HWI47" s="69"/>
      <c r="HWJ47" s="69"/>
      <c r="HWK47" s="69"/>
      <c r="HWL47" s="69"/>
      <c r="HWM47" s="69"/>
      <c r="HWN47" s="69"/>
      <c r="HWO47" s="69"/>
      <c r="HWP47" s="69"/>
      <c r="HWQ47" s="69"/>
      <c r="HWR47" s="69"/>
      <c r="HWS47" s="69"/>
      <c r="HWT47" s="69"/>
      <c r="HWU47" s="69"/>
      <c r="HWV47" s="69"/>
      <c r="HWW47" s="69"/>
      <c r="HWX47" s="69"/>
      <c r="HWY47" s="69"/>
      <c r="HWZ47" s="69"/>
      <c r="HXA47" s="69"/>
      <c r="HXB47" s="69"/>
      <c r="HXC47" s="69"/>
      <c r="HXD47" s="69"/>
      <c r="HXE47" s="69"/>
      <c r="HXF47" s="69"/>
      <c r="HXG47" s="69"/>
      <c r="HXH47" s="69"/>
      <c r="HXI47" s="69"/>
      <c r="HXJ47" s="69"/>
      <c r="HXK47" s="69"/>
      <c r="HXL47" s="69"/>
      <c r="HXM47" s="69"/>
      <c r="HXN47" s="69"/>
      <c r="HXO47" s="69"/>
      <c r="HXP47" s="69"/>
      <c r="HXQ47" s="69"/>
      <c r="HXR47" s="69"/>
      <c r="HXS47" s="69"/>
      <c r="HXT47" s="69"/>
      <c r="HXU47" s="69"/>
      <c r="HXV47" s="69"/>
      <c r="HXW47" s="69"/>
      <c r="HXX47" s="69"/>
      <c r="HXY47" s="69"/>
      <c r="HXZ47" s="69"/>
      <c r="HYA47" s="69"/>
      <c r="HYB47" s="69"/>
      <c r="HYC47" s="69"/>
      <c r="HYD47" s="69"/>
      <c r="HYE47" s="69"/>
      <c r="HYF47" s="69"/>
      <c r="HYG47" s="69"/>
      <c r="HYH47" s="69"/>
      <c r="HYI47" s="69"/>
      <c r="HYJ47" s="69"/>
      <c r="HYK47" s="69"/>
      <c r="HYL47" s="69"/>
      <c r="HYM47" s="69"/>
      <c r="HYN47" s="69"/>
      <c r="HYO47" s="69"/>
      <c r="HYP47" s="69"/>
      <c r="HYQ47" s="69"/>
      <c r="HYR47" s="69"/>
      <c r="HYS47" s="69"/>
      <c r="HYT47" s="69"/>
      <c r="HYU47" s="69"/>
      <c r="HYV47" s="69"/>
      <c r="HYW47" s="69"/>
      <c r="HYX47" s="69"/>
      <c r="HYY47" s="69"/>
      <c r="HYZ47" s="69"/>
      <c r="HZA47" s="69"/>
      <c r="HZB47" s="69"/>
      <c r="HZC47" s="69"/>
      <c r="HZD47" s="69"/>
      <c r="HZE47" s="69"/>
      <c r="HZF47" s="69"/>
      <c r="HZG47" s="69"/>
      <c r="HZH47" s="69"/>
      <c r="HZI47" s="69"/>
      <c r="HZJ47" s="69"/>
      <c r="HZK47" s="69"/>
      <c r="HZL47" s="69"/>
      <c r="HZM47" s="69"/>
      <c r="HZN47" s="69"/>
      <c r="HZO47" s="69"/>
      <c r="HZP47" s="69"/>
      <c r="HZQ47" s="69"/>
      <c r="HZR47" s="69"/>
      <c r="HZS47" s="69"/>
      <c r="HZT47" s="69"/>
      <c r="HZU47" s="69"/>
      <c r="HZV47" s="69"/>
      <c r="HZW47" s="69"/>
      <c r="HZX47" s="69"/>
      <c r="HZY47" s="69"/>
      <c r="HZZ47" s="69"/>
      <c r="IAA47" s="69"/>
      <c r="IAB47" s="69"/>
      <c r="IAC47" s="69"/>
      <c r="IAD47" s="69"/>
      <c r="IAE47" s="69"/>
      <c r="IAF47" s="69"/>
      <c r="IAG47" s="69"/>
      <c r="IAH47" s="69"/>
      <c r="IAI47" s="69"/>
      <c r="IAJ47" s="69"/>
      <c r="IAK47" s="69"/>
      <c r="IAL47" s="69"/>
      <c r="IAM47" s="69"/>
      <c r="IAN47" s="69"/>
      <c r="IAO47" s="69"/>
      <c r="IAP47" s="69"/>
      <c r="IAQ47" s="69"/>
      <c r="IAR47" s="69"/>
      <c r="IAS47" s="69"/>
      <c r="IAT47" s="69"/>
      <c r="IAU47" s="69"/>
      <c r="IAV47" s="69"/>
      <c r="IAW47" s="69"/>
      <c r="IAX47" s="69"/>
      <c r="IAY47" s="69"/>
      <c r="IAZ47" s="69"/>
      <c r="IBA47" s="69"/>
      <c r="IBB47" s="69"/>
      <c r="IBC47" s="69"/>
      <c r="IBD47" s="69"/>
      <c r="IBE47" s="69"/>
      <c r="IBF47" s="69"/>
      <c r="IBG47" s="69"/>
      <c r="IBH47" s="69"/>
      <c r="IBI47" s="69"/>
      <c r="IBJ47" s="69"/>
      <c r="IBK47" s="69"/>
      <c r="IBL47" s="69"/>
      <c r="IBM47" s="69"/>
      <c r="IBN47" s="69"/>
      <c r="IBO47" s="69"/>
      <c r="IBP47" s="69"/>
      <c r="IBQ47" s="69"/>
      <c r="IBR47" s="69"/>
      <c r="IBS47" s="69"/>
      <c r="IBT47" s="69"/>
      <c r="IBU47" s="69"/>
      <c r="IBV47" s="69"/>
      <c r="IBW47" s="69"/>
      <c r="IBX47" s="69"/>
      <c r="IBY47" s="69"/>
      <c r="IBZ47" s="69"/>
      <c r="ICA47" s="69"/>
      <c r="ICB47" s="69"/>
      <c r="ICC47" s="69"/>
      <c r="ICD47" s="69"/>
      <c r="ICE47" s="69"/>
      <c r="ICF47" s="69"/>
      <c r="ICG47" s="69"/>
      <c r="ICH47" s="69"/>
      <c r="ICI47" s="69"/>
      <c r="ICJ47" s="69"/>
      <c r="ICK47" s="69"/>
      <c r="ICL47" s="69"/>
      <c r="ICM47" s="69"/>
      <c r="ICN47" s="69"/>
      <c r="ICO47" s="69"/>
      <c r="ICP47" s="69"/>
      <c r="ICQ47" s="69"/>
      <c r="ICR47" s="69"/>
      <c r="ICS47" s="69"/>
      <c r="ICT47" s="69"/>
      <c r="ICU47" s="69"/>
      <c r="ICV47" s="69"/>
      <c r="ICW47" s="69"/>
      <c r="ICX47" s="69"/>
      <c r="ICY47" s="69"/>
      <c r="ICZ47" s="69"/>
      <c r="IDA47" s="69"/>
      <c r="IDB47" s="69"/>
      <c r="IDC47" s="69"/>
      <c r="IDD47" s="69"/>
      <c r="IDE47" s="69"/>
      <c r="IDF47" s="69"/>
      <c r="IDG47" s="69"/>
      <c r="IDH47" s="69"/>
      <c r="IDI47" s="69"/>
      <c r="IDJ47" s="69"/>
      <c r="IDK47" s="69"/>
      <c r="IDL47" s="69"/>
      <c r="IDM47" s="69"/>
      <c r="IDN47" s="69"/>
      <c r="IDO47" s="69"/>
      <c r="IDP47" s="69"/>
      <c r="IDQ47" s="69"/>
      <c r="IDR47" s="69"/>
      <c r="IDS47" s="69"/>
      <c r="IDT47" s="69"/>
      <c r="IDU47" s="69"/>
      <c r="IDV47" s="69"/>
      <c r="IDW47" s="69"/>
      <c r="IDX47" s="69"/>
      <c r="IDY47" s="69"/>
      <c r="IDZ47" s="69"/>
      <c r="IEA47" s="69"/>
      <c r="IEB47" s="69"/>
      <c r="IEC47" s="69"/>
      <c r="IED47" s="69"/>
      <c r="IEE47" s="69"/>
      <c r="IEF47" s="69"/>
      <c r="IEG47" s="69"/>
      <c r="IEH47" s="69"/>
      <c r="IEI47" s="69"/>
      <c r="IEJ47" s="69"/>
      <c r="IEK47" s="69"/>
      <c r="IEL47" s="69"/>
      <c r="IEM47" s="69"/>
      <c r="IEN47" s="69"/>
      <c r="IEO47" s="69"/>
      <c r="IEP47" s="69"/>
      <c r="IEQ47" s="69"/>
      <c r="IER47" s="69"/>
      <c r="IES47" s="69"/>
      <c r="IET47" s="69"/>
      <c r="IEU47" s="69"/>
      <c r="IEV47" s="69"/>
      <c r="IEW47" s="69"/>
      <c r="IEX47" s="69"/>
      <c r="IEY47" s="69"/>
      <c r="IEZ47" s="69"/>
      <c r="IFA47" s="69"/>
      <c r="IFB47" s="69"/>
      <c r="IFC47" s="69"/>
      <c r="IFD47" s="69"/>
      <c r="IFE47" s="69"/>
      <c r="IFF47" s="69"/>
      <c r="IFG47" s="69"/>
      <c r="IFH47" s="69"/>
      <c r="IFI47" s="69"/>
      <c r="IFJ47" s="69"/>
      <c r="IFK47" s="69"/>
      <c r="IFL47" s="69"/>
      <c r="IFM47" s="69"/>
      <c r="IFN47" s="69"/>
      <c r="IFO47" s="69"/>
      <c r="IFP47" s="69"/>
      <c r="IFQ47" s="69"/>
      <c r="IFR47" s="69"/>
      <c r="IFS47" s="69"/>
      <c r="IFT47" s="69"/>
      <c r="IFU47" s="69"/>
      <c r="IFV47" s="69"/>
      <c r="IFW47" s="69"/>
      <c r="IFX47" s="69"/>
      <c r="IFY47" s="69"/>
      <c r="IFZ47" s="69"/>
      <c r="IGA47" s="69"/>
      <c r="IGB47" s="69"/>
      <c r="IGC47" s="69"/>
      <c r="IGD47" s="69"/>
      <c r="IGE47" s="69"/>
      <c r="IGF47" s="69"/>
      <c r="IGG47" s="69"/>
      <c r="IGH47" s="69"/>
      <c r="IGI47" s="69"/>
      <c r="IGJ47" s="69"/>
      <c r="IGK47" s="69"/>
      <c r="IGL47" s="69"/>
      <c r="IGM47" s="69"/>
      <c r="IGN47" s="69"/>
      <c r="IGO47" s="69"/>
      <c r="IGP47" s="69"/>
      <c r="IGQ47" s="69"/>
      <c r="IGR47" s="69"/>
      <c r="IGS47" s="69"/>
      <c r="IGT47" s="69"/>
      <c r="IGU47" s="69"/>
      <c r="IGV47" s="69"/>
      <c r="IGW47" s="69"/>
      <c r="IGX47" s="69"/>
      <c r="IGY47" s="69"/>
      <c r="IGZ47" s="69"/>
      <c r="IHA47" s="69"/>
      <c r="IHB47" s="69"/>
      <c r="IHC47" s="69"/>
      <c r="IHD47" s="69"/>
      <c r="IHE47" s="69"/>
      <c r="IHF47" s="69"/>
      <c r="IHG47" s="69"/>
      <c r="IHH47" s="69"/>
      <c r="IHI47" s="69"/>
      <c r="IHJ47" s="69"/>
      <c r="IHK47" s="69"/>
      <c r="IHL47" s="69"/>
      <c r="IHM47" s="69"/>
      <c r="IHN47" s="69"/>
      <c r="IHO47" s="69"/>
      <c r="IHP47" s="69"/>
      <c r="IHQ47" s="69"/>
      <c r="IHR47" s="69"/>
      <c r="IHS47" s="69"/>
      <c r="IHT47" s="69"/>
      <c r="IHU47" s="69"/>
      <c r="IHV47" s="69"/>
      <c r="IHW47" s="69"/>
      <c r="IHX47" s="69"/>
      <c r="IHY47" s="69"/>
      <c r="IHZ47" s="69"/>
      <c r="IIA47" s="69"/>
      <c r="IIB47" s="69"/>
      <c r="IIC47" s="69"/>
      <c r="IID47" s="69"/>
      <c r="IIE47" s="69"/>
      <c r="IIF47" s="69"/>
      <c r="IIG47" s="69"/>
      <c r="IIH47" s="69"/>
      <c r="III47" s="69"/>
      <c r="IIJ47" s="69"/>
      <c r="IIK47" s="69"/>
      <c r="IIL47" s="69"/>
      <c r="IIM47" s="69"/>
      <c r="IIN47" s="69"/>
      <c r="IIO47" s="69"/>
      <c r="IIP47" s="69"/>
      <c r="IIQ47" s="69"/>
      <c r="IIR47" s="69"/>
      <c r="IIS47" s="69"/>
      <c r="IIT47" s="69"/>
      <c r="IIU47" s="69"/>
      <c r="IIV47" s="69"/>
      <c r="IIW47" s="69"/>
      <c r="IIX47" s="69"/>
      <c r="IIY47" s="69"/>
      <c r="IIZ47" s="69"/>
      <c r="IJA47" s="69"/>
      <c r="IJB47" s="69"/>
      <c r="IJC47" s="69"/>
      <c r="IJD47" s="69"/>
      <c r="IJE47" s="69"/>
      <c r="IJF47" s="69"/>
      <c r="IJG47" s="69"/>
      <c r="IJH47" s="69"/>
      <c r="IJI47" s="69"/>
      <c r="IJJ47" s="69"/>
      <c r="IJK47" s="69"/>
      <c r="IJL47" s="69"/>
      <c r="IJM47" s="69"/>
      <c r="IJN47" s="69"/>
      <c r="IJO47" s="69"/>
      <c r="IJP47" s="69"/>
      <c r="IJQ47" s="69"/>
      <c r="IJR47" s="69"/>
      <c r="IJS47" s="69"/>
      <c r="IJT47" s="69"/>
      <c r="IJU47" s="69"/>
      <c r="IJV47" s="69"/>
      <c r="IJW47" s="69"/>
      <c r="IJX47" s="69"/>
      <c r="IJY47" s="69"/>
      <c r="IJZ47" s="69"/>
      <c r="IKA47" s="69"/>
      <c r="IKB47" s="69"/>
      <c r="IKC47" s="69"/>
      <c r="IKD47" s="69"/>
      <c r="IKE47" s="69"/>
      <c r="IKF47" s="69"/>
      <c r="IKG47" s="69"/>
      <c r="IKH47" s="69"/>
      <c r="IKI47" s="69"/>
      <c r="IKJ47" s="69"/>
      <c r="IKK47" s="69"/>
      <c r="IKL47" s="69"/>
      <c r="IKM47" s="69"/>
      <c r="IKN47" s="69"/>
      <c r="IKO47" s="69"/>
      <c r="IKP47" s="69"/>
      <c r="IKQ47" s="69"/>
      <c r="IKR47" s="69"/>
      <c r="IKS47" s="69"/>
      <c r="IKT47" s="69"/>
      <c r="IKU47" s="69"/>
      <c r="IKV47" s="69"/>
      <c r="IKW47" s="69"/>
      <c r="IKX47" s="69"/>
      <c r="IKY47" s="69"/>
      <c r="IKZ47" s="69"/>
      <c r="ILA47" s="69"/>
      <c r="ILB47" s="69"/>
      <c r="ILC47" s="69"/>
      <c r="ILD47" s="69"/>
      <c r="ILE47" s="69"/>
      <c r="ILF47" s="69"/>
      <c r="ILG47" s="69"/>
      <c r="ILH47" s="69"/>
      <c r="ILI47" s="69"/>
      <c r="ILJ47" s="69"/>
      <c r="ILK47" s="69"/>
      <c r="ILL47" s="69"/>
      <c r="ILM47" s="69"/>
      <c r="ILN47" s="69"/>
      <c r="ILO47" s="69"/>
      <c r="ILP47" s="69"/>
      <c r="ILQ47" s="69"/>
      <c r="ILR47" s="69"/>
      <c r="ILS47" s="69"/>
      <c r="ILT47" s="69"/>
      <c r="ILU47" s="69"/>
      <c r="ILV47" s="69"/>
      <c r="ILW47" s="69"/>
      <c r="ILX47" s="69"/>
      <c r="ILY47" s="69"/>
      <c r="ILZ47" s="69"/>
      <c r="IMA47" s="69"/>
      <c r="IMB47" s="69"/>
      <c r="IMC47" s="69"/>
      <c r="IMD47" s="69"/>
      <c r="IME47" s="69"/>
      <c r="IMF47" s="69"/>
      <c r="IMG47" s="69"/>
      <c r="IMH47" s="69"/>
      <c r="IMI47" s="69"/>
      <c r="IMJ47" s="69"/>
      <c r="IMK47" s="69"/>
      <c r="IML47" s="69"/>
      <c r="IMM47" s="69"/>
      <c r="IMN47" s="69"/>
      <c r="IMO47" s="69"/>
      <c r="IMP47" s="69"/>
      <c r="IMQ47" s="69"/>
      <c r="IMR47" s="69"/>
      <c r="IMS47" s="69"/>
      <c r="IMT47" s="69"/>
      <c r="IMU47" s="69"/>
      <c r="IMV47" s="69"/>
      <c r="IMW47" s="69"/>
      <c r="IMX47" s="69"/>
      <c r="IMY47" s="69"/>
      <c r="IMZ47" s="69"/>
      <c r="INA47" s="69"/>
      <c r="INB47" s="69"/>
      <c r="INC47" s="69"/>
      <c r="IND47" s="69"/>
      <c r="INE47" s="69"/>
      <c r="INF47" s="69"/>
      <c r="ING47" s="69"/>
      <c r="INH47" s="69"/>
      <c r="INI47" s="69"/>
      <c r="INJ47" s="69"/>
      <c r="INK47" s="69"/>
      <c r="INL47" s="69"/>
      <c r="INM47" s="69"/>
      <c r="INN47" s="69"/>
      <c r="INO47" s="69"/>
      <c r="INP47" s="69"/>
      <c r="INQ47" s="69"/>
      <c r="INR47" s="69"/>
      <c r="INS47" s="69"/>
      <c r="INT47" s="69"/>
      <c r="INU47" s="69"/>
      <c r="INV47" s="69"/>
      <c r="INW47" s="69"/>
      <c r="INX47" s="69"/>
      <c r="INY47" s="69"/>
      <c r="INZ47" s="69"/>
      <c r="IOA47" s="69"/>
      <c r="IOB47" s="69"/>
      <c r="IOC47" s="69"/>
      <c r="IOD47" s="69"/>
      <c r="IOE47" s="69"/>
      <c r="IOF47" s="69"/>
      <c r="IOG47" s="69"/>
      <c r="IOH47" s="69"/>
      <c r="IOI47" s="69"/>
      <c r="IOJ47" s="69"/>
      <c r="IOK47" s="69"/>
      <c r="IOL47" s="69"/>
      <c r="IOM47" s="69"/>
      <c r="ION47" s="69"/>
      <c r="IOO47" s="69"/>
      <c r="IOP47" s="69"/>
      <c r="IOQ47" s="69"/>
      <c r="IOR47" s="69"/>
      <c r="IOS47" s="69"/>
      <c r="IOT47" s="69"/>
      <c r="IOU47" s="69"/>
      <c r="IOV47" s="69"/>
      <c r="IOW47" s="69"/>
      <c r="IOX47" s="69"/>
      <c r="IOY47" s="69"/>
      <c r="IOZ47" s="69"/>
      <c r="IPA47" s="69"/>
      <c r="IPB47" s="69"/>
      <c r="IPC47" s="69"/>
      <c r="IPD47" s="69"/>
      <c r="IPE47" s="69"/>
      <c r="IPF47" s="69"/>
      <c r="IPG47" s="69"/>
      <c r="IPH47" s="69"/>
      <c r="IPI47" s="69"/>
      <c r="IPJ47" s="69"/>
      <c r="IPK47" s="69"/>
      <c r="IPL47" s="69"/>
      <c r="IPM47" s="69"/>
      <c r="IPN47" s="69"/>
      <c r="IPO47" s="69"/>
      <c r="IPP47" s="69"/>
      <c r="IPQ47" s="69"/>
      <c r="IPR47" s="69"/>
      <c r="IPS47" s="69"/>
      <c r="IPT47" s="69"/>
      <c r="IPU47" s="69"/>
      <c r="IPV47" s="69"/>
      <c r="IPW47" s="69"/>
      <c r="IPX47" s="69"/>
      <c r="IPY47" s="69"/>
      <c r="IPZ47" s="69"/>
      <c r="IQA47" s="69"/>
      <c r="IQB47" s="69"/>
      <c r="IQC47" s="69"/>
      <c r="IQD47" s="69"/>
      <c r="IQE47" s="69"/>
      <c r="IQF47" s="69"/>
      <c r="IQG47" s="69"/>
      <c r="IQH47" s="69"/>
      <c r="IQI47" s="69"/>
      <c r="IQJ47" s="69"/>
      <c r="IQK47" s="69"/>
      <c r="IQL47" s="69"/>
      <c r="IQM47" s="69"/>
      <c r="IQN47" s="69"/>
      <c r="IQO47" s="69"/>
      <c r="IQP47" s="69"/>
      <c r="IQQ47" s="69"/>
      <c r="IQR47" s="69"/>
      <c r="IQS47" s="69"/>
      <c r="IQT47" s="69"/>
      <c r="IQU47" s="69"/>
      <c r="IQV47" s="69"/>
      <c r="IQW47" s="69"/>
      <c r="IQX47" s="69"/>
      <c r="IQY47" s="69"/>
      <c r="IQZ47" s="69"/>
      <c r="IRA47" s="69"/>
      <c r="IRB47" s="69"/>
      <c r="IRC47" s="69"/>
      <c r="IRD47" s="69"/>
      <c r="IRE47" s="69"/>
      <c r="IRF47" s="69"/>
      <c r="IRG47" s="69"/>
      <c r="IRH47" s="69"/>
      <c r="IRI47" s="69"/>
      <c r="IRJ47" s="69"/>
      <c r="IRK47" s="69"/>
      <c r="IRL47" s="69"/>
      <c r="IRM47" s="69"/>
      <c r="IRN47" s="69"/>
      <c r="IRO47" s="69"/>
      <c r="IRP47" s="69"/>
      <c r="IRQ47" s="69"/>
      <c r="IRR47" s="69"/>
      <c r="IRS47" s="69"/>
      <c r="IRT47" s="69"/>
      <c r="IRU47" s="69"/>
      <c r="IRV47" s="69"/>
      <c r="IRW47" s="69"/>
      <c r="IRX47" s="69"/>
      <c r="IRY47" s="69"/>
      <c r="IRZ47" s="69"/>
      <c r="ISA47" s="69"/>
      <c r="ISB47" s="69"/>
      <c r="ISC47" s="69"/>
      <c r="ISD47" s="69"/>
      <c r="ISE47" s="69"/>
      <c r="ISF47" s="69"/>
      <c r="ISG47" s="69"/>
      <c r="ISH47" s="69"/>
      <c r="ISI47" s="69"/>
      <c r="ISJ47" s="69"/>
      <c r="ISK47" s="69"/>
      <c r="ISL47" s="69"/>
      <c r="ISM47" s="69"/>
      <c r="ISN47" s="69"/>
      <c r="ISO47" s="69"/>
      <c r="ISP47" s="69"/>
      <c r="ISQ47" s="69"/>
      <c r="ISR47" s="69"/>
      <c r="ISS47" s="69"/>
      <c r="IST47" s="69"/>
      <c r="ISU47" s="69"/>
      <c r="ISV47" s="69"/>
      <c r="ISW47" s="69"/>
      <c r="ISX47" s="69"/>
      <c r="ISY47" s="69"/>
      <c r="ISZ47" s="69"/>
      <c r="ITA47" s="69"/>
      <c r="ITB47" s="69"/>
      <c r="ITC47" s="69"/>
      <c r="ITD47" s="69"/>
      <c r="ITE47" s="69"/>
      <c r="ITF47" s="69"/>
      <c r="ITG47" s="69"/>
      <c r="ITH47" s="69"/>
      <c r="ITI47" s="69"/>
      <c r="ITJ47" s="69"/>
      <c r="ITK47" s="69"/>
      <c r="ITL47" s="69"/>
      <c r="ITM47" s="69"/>
      <c r="ITN47" s="69"/>
      <c r="ITO47" s="69"/>
      <c r="ITP47" s="69"/>
      <c r="ITQ47" s="69"/>
      <c r="ITR47" s="69"/>
      <c r="ITS47" s="69"/>
      <c r="ITT47" s="69"/>
      <c r="ITU47" s="69"/>
      <c r="ITV47" s="69"/>
      <c r="ITW47" s="69"/>
      <c r="ITX47" s="69"/>
      <c r="ITY47" s="69"/>
      <c r="ITZ47" s="69"/>
      <c r="IUA47" s="69"/>
      <c r="IUB47" s="69"/>
      <c r="IUC47" s="69"/>
      <c r="IUD47" s="69"/>
      <c r="IUE47" s="69"/>
      <c r="IUF47" s="69"/>
      <c r="IUG47" s="69"/>
      <c r="IUH47" s="69"/>
      <c r="IUI47" s="69"/>
      <c r="IUJ47" s="69"/>
      <c r="IUK47" s="69"/>
      <c r="IUL47" s="69"/>
      <c r="IUM47" s="69"/>
      <c r="IUN47" s="69"/>
      <c r="IUO47" s="69"/>
      <c r="IUP47" s="69"/>
      <c r="IUQ47" s="69"/>
      <c r="IUR47" s="69"/>
      <c r="IUS47" s="69"/>
      <c r="IUT47" s="69"/>
      <c r="IUU47" s="69"/>
      <c r="IUV47" s="69"/>
      <c r="IUW47" s="69"/>
      <c r="IUX47" s="69"/>
      <c r="IUY47" s="69"/>
      <c r="IUZ47" s="69"/>
      <c r="IVA47" s="69"/>
      <c r="IVB47" s="69"/>
      <c r="IVC47" s="69"/>
      <c r="IVD47" s="69"/>
      <c r="IVE47" s="69"/>
      <c r="IVF47" s="69"/>
      <c r="IVG47" s="69"/>
      <c r="IVH47" s="69"/>
      <c r="IVI47" s="69"/>
      <c r="IVJ47" s="69"/>
      <c r="IVK47" s="69"/>
      <c r="IVL47" s="69"/>
      <c r="IVM47" s="69"/>
      <c r="IVN47" s="69"/>
      <c r="IVO47" s="69"/>
      <c r="IVP47" s="69"/>
      <c r="IVQ47" s="69"/>
      <c r="IVR47" s="69"/>
      <c r="IVS47" s="69"/>
      <c r="IVT47" s="69"/>
      <c r="IVU47" s="69"/>
      <c r="IVV47" s="69"/>
      <c r="IVW47" s="69"/>
      <c r="IVX47" s="69"/>
      <c r="IVY47" s="69"/>
      <c r="IVZ47" s="69"/>
      <c r="IWA47" s="69"/>
      <c r="IWB47" s="69"/>
      <c r="IWC47" s="69"/>
      <c r="IWD47" s="69"/>
      <c r="IWE47" s="69"/>
      <c r="IWF47" s="69"/>
      <c r="IWG47" s="69"/>
      <c r="IWH47" s="69"/>
      <c r="IWI47" s="69"/>
      <c r="IWJ47" s="69"/>
      <c r="IWK47" s="69"/>
      <c r="IWL47" s="69"/>
      <c r="IWM47" s="69"/>
      <c r="IWN47" s="69"/>
      <c r="IWO47" s="69"/>
      <c r="IWP47" s="69"/>
      <c r="IWQ47" s="69"/>
      <c r="IWR47" s="69"/>
      <c r="IWS47" s="69"/>
      <c r="IWT47" s="69"/>
      <c r="IWU47" s="69"/>
      <c r="IWV47" s="69"/>
      <c r="IWW47" s="69"/>
      <c r="IWX47" s="69"/>
      <c r="IWY47" s="69"/>
      <c r="IWZ47" s="69"/>
      <c r="IXA47" s="69"/>
      <c r="IXB47" s="69"/>
      <c r="IXC47" s="69"/>
      <c r="IXD47" s="69"/>
      <c r="IXE47" s="69"/>
      <c r="IXF47" s="69"/>
      <c r="IXG47" s="69"/>
      <c r="IXH47" s="69"/>
      <c r="IXI47" s="69"/>
      <c r="IXJ47" s="69"/>
      <c r="IXK47" s="69"/>
      <c r="IXL47" s="69"/>
      <c r="IXM47" s="69"/>
      <c r="IXN47" s="69"/>
      <c r="IXO47" s="69"/>
      <c r="IXP47" s="69"/>
      <c r="IXQ47" s="69"/>
      <c r="IXR47" s="69"/>
      <c r="IXS47" s="69"/>
      <c r="IXT47" s="69"/>
      <c r="IXU47" s="69"/>
      <c r="IXV47" s="69"/>
      <c r="IXW47" s="69"/>
      <c r="IXX47" s="69"/>
      <c r="IXY47" s="69"/>
      <c r="IXZ47" s="69"/>
      <c r="IYA47" s="69"/>
      <c r="IYB47" s="69"/>
      <c r="IYC47" s="69"/>
      <c r="IYD47" s="69"/>
      <c r="IYE47" s="69"/>
      <c r="IYF47" s="69"/>
      <c r="IYG47" s="69"/>
      <c r="IYH47" s="69"/>
      <c r="IYI47" s="69"/>
      <c r="IYJ47" s="69"/>
      <c r="IYK47" s="69"/>
      <c r="IYL47" s="69"/>
      <c r="IYM47" s="69"/>
      <c r="IYN47" s="69"/>
      <c r="IYO47" s="69"/>
      <c r="IYP47" s="69"/>
      <c r="IYQ47" s="69"/>
      <c r="IYR47" s="69"/>
      <c r="IYS47" s="69"/>
      <c r="IYT47" s="69"/>
      <c r="IYU47" s="69"/>
      <c r="IYV47" s="69"/>
      <c r="IYW47" s="69"/>
      <c r="IYX47" s="69"/>
      <c r="IYY47" s="69"/>
      <c r="IYZ47" s="69"/>
      <c r="IZA47" s="69"/>
      <c r="IZB47" s="69"/>
      <c r="IZC47" s="69"/>
      <c r="IZD47" s="69"/>
      <c r="IZE47" s="69"/>
      <c r="IZF47" s="69"/>
      <c r="IZG47" s="69"/>
      <c r="IZH47" s="69"/>
      <c r="IZI47" s="69"/>
      <c r="IZJ47" s="69"/>
      <c r="IZK47" s="69"/>
      <c r="IZL47" s="69"/>
      <c r="IZM47" s="69"/>
      <c r="IZN47" s="69"/>
      <c r="IZO47" s="69"/>
      <c r="IZP47" s="69"/>
      <c r="IZQ47" s="69"/>
      <c r="IZR47" s="69"/>
      <c r="IZS47" s="69"/>
      <c r="IZT47" s="69"/>
      <c r="IZU47" s="69"/>
      <c r="IZV47" s="69"/>
      <c r="IZW47" s="69"/>
      <c r="IZX47" s="69"/>
      <c r="IZY47" s="69"/>
      <c r="IZZ47" s="69"/>
      <c r="JAA47" s="69"/>
      <c r="JAB47" s="69"/>
      <c r="JAC47" s="69"/>
      <c r="JAD47" s="69"/>
      <c r="JAE47" s="69"/>
      <c r="JAF47" s="69"/>
      <c r="JAG47" s="69"/>
      <c r="JAH47" s="69"/>
      <c r="JAI47" s="69"/>
      <c r="JAJ47" s="69"/>
      <c r="JAK47" s="69"/>
      <c r="JAL47" s="69"/>
      <c r="JAM47" s="69"/>
      <c r="JAN47" s="69"/>
      <c r="JAO47" s="69"/>
      <c r="JAP47" s="69"/>
      <c r="JAQ47" s="69"/>
      <c r="JAR47" s="69"/>
      <c r="JAS47" s="69"/>
      <c r="JAT47" s="69"/>
      <c r="JAU47" s="69"/>
      <c r="JAV47" s="69"/>
      <c r="JAW47" s="69"/>
      <c r="JAX47" s="69"/>
      <c r="JAY47" s="69"/>
      <c r="JAZ47" s="69"/>
      <c r="JBA47" s="69"/>
      <c r="JBB47" s="69"/>
      <c r="JBC47" s="69"/>
      <c r="JBD47" s="69"/>
      <c r="JBE47" s="69"/>
      <c r="JBF47" s="69"/>
      <c r="JBG47" s="69"/>
      <c r="JBH47" s="69"/>
      <c r="JBI47" s="69"/>
      <c r="JBJ47" s="69"/>
      <c r="JBK47" s="69"/>
      <c r="JBL47" s="69"/>
      <c r="JBM47" s="69"/>
      <c r="JBN47" s="69"/>
      <c r="JBO47" s="69"/>
      <c r="JBP47" s="69"/>
      <c r="JBQ47" s="69"/>
      <c r="JBR47" s="69"/>
      <c r="JBS47" s="69"/>
      <c r="JBT47" s="69"/>
      <c r="JBU47" s="69"/>
      <c r="JBV47" s="69"/>
      <c r="JBW47" s="69"/>
      <c r="JBX47" s="69"/>
      <c r="JBY47" s="69"/>
      <c r="JBZ47" s="69"/>
      <c r="JCA47" s="69"/>
      <c r="JCB47" s="69"/>
      <c r="JCC47" s="69"/>
      <c r="JCD47" s="69"/>
      <c r="JCE47" s="69"/>
      <c r="JCF47" s="69"/>
      <c r="JCG47" s="69"/>
      <c r="JCH47" s="69"/>
      <c r="JCI47" s="69"/>
      <c r="JCJ47" s="69"/>
      <c r="JCK47" s="69"/>
      <c r="JCL47" s="69"/>
      <c r="JCM47" s="69"/>
      <c r="JCN47" s="69"/>
      <c r="JCO47" s="69"/>
      <c r="JCP47" s="69"/>
      <c r="JCQ47" s="69"/>
      <c r="JCR47" s="69"/>
      <c r="JCS47" s="69"/>
      <c r="JCT47" s="69"/>
      <c r="JCU47" s="69"/>
      <c r="JCV47" s="69"/>
      <c r="JCW47" s="69"/>
      <c r="JCX47" s="69"/>
      <c r="JCY47" s="69"/>
      <c r="JCZ47" s="69"/>
      <c r="JDA47" s="69"/>
      <c r="JDB47" s="69"/>
      <c r="JDC47" s="69"/>
      <c r="JDD47" s="69"/>
      <c r="JDE47" s="69"/>
      <c r="JDF47" s="69"/>
      <c r="JDG47" s="69"/>
      <c r="JDH47" s="69"/>
      <c r="JDI47" s="69"/>
      <c r="JDJ47" s="69"/>
      <c r="JDK47" s="69"/>
      <c r="JDL47" s="69"/>
      <c r="JDM47" s="69"/>
      <c r="JDN47" s="69"/>
      <c r="JDO47" s="69"/>
      <c r="JDP47" s="69"/>
      <c r="JDQ47" s="69"/>
      <c r="JDR47" s="69"/>
      <c r="JDS47" s="69"/>
      <c r="JDT47" s="69"/>
      <c r="JDU47" s="69"/>
      <c r="JDV47" s="69"/>
      <c r="JDW47" s="69"/>
      <c r="JDX47" s="69"/>
      <c r="JDY47" s="69"/>
      <c r="JDZ47" s="69"/>
      <c r="JEA47" s="69"/>
      <c r="JEB47" s="69"/>
      <c r="JEC47" s="69"/>
      <c r="JED47" s="69"/>
      <c r="JEE47" s="69"/>
      <c r="JEF47" s="69"/>
      <c r="JEG47" s="69"/>
      <c r="JEH47" s="69"/>
      <c r="JEI47" s="69"/>
      <c r="JEJ47" s="69"/>
      <c r="JEK47" s="69"/>
      <c r="JEL47" s="69"/>
      <c r="JEM47" s="69"/>
      <c r="JEN47" s="69"/>
      <c r="JEO47" s="69"/>
      <c r="JEP47" s="69"/>
      <c r="JEQ47" s="69"/>
      <c r="JER47" s="69"/>
      <c r="JES47" s="69"/>
      <c r="JET47" s="69"/>
      <c r="JEU47" s="69"/>
      <c r="JEV47" s="69"/>
      <c r="JEW47" s="69"/>
      <c r="JEX47" s="69"/>
      <c r="JEY47" s="69"/>
      <c r="JEZ47" s="69"/>
      <c r="JFA47" s="69"/>
      <c r="JFB47" s="69"/>
      <c r="JFC47" s="69"/>
      <c r="JFD47" s="69"/>
      <c r="JFE47" s="69"/>
      <c r="JFF47" s="69"/>
      <c r="JFG47" s="69"/>
      <c r="JFH47" s="69"/>
      <c r="JFI47" s="69"/>
      <c r="JFJ47" s="69"/>
      <c r="JFK47" s="69"/>
      <c r="JFL47" s="69"/>
      <c r="JFM47" s="69"/>
      <c r="JFN47" s="69"/>
      <c r="JFO47" s="69"/>
      <c r="JFP47" s="69"/>
      <c r="JFQ47" s="69"/>
      <c r="JFR47" s="69"/>
      <c r="JFS47" s="69"/>
      <c r="JFT47" s="69"/>
      <c r="JFU47" s="69"/>
      <c r="JFV47" s="69"/>
      <c r="JFW47" s="69"/>
      <c r="JFX47" s="69"/>
      <c r="JFY47" s="69"/>
      <c r="JFZ47" s="69"/>
      <c r="JGA47" s="69"/>
      <c r="JGB47" s="69"/>
      <c r="JGC47" s="69"/>
      <c r="JGD47" s="69"/>
      <c r="JGE47" s="69"/>
      <c r="JGF47" s="69"/>
      <c r="JGG47" s="69"/>
      <c r="JGH47" s="69"/>
      <c r="JGI47" s="69"/>
      <c r="JGJ47" s="69"/>
      <c r="JGK47" s="69"/>
      <c r="JGL47" s="69"/>
      <c r="JGM47" s="69"/>
      <c r="JGN47" s="69"/>
      <c r="JGO47" s="69"/>
      <c r="JGP47" s="69"/>
      <c r="JGQ47" s="69"/>
      <c r="JGR47" s="69"/>
      <c r="JGS47" s="69"/>
      <c r="JGT47" s="69"/>
      <c r="JGU47" s="69"/>
      <c r="JGV47" s="69"/>
      <c r="JGW47" s="69"/>
      <c r="JGX47" s="69"/>
      <c r="JGY47" s="69"/>
      <c r="JGZ47" s="69"/>
      <c r="JHA47" s="69"/>
      <c r="JHB47" s="69"/>
      <c r="JHC47" s="69"/>
      <c r="JHD47" s="69"/>
      <c r="JHE47" s="69"/>
      <c r="JHF47" s="69"/>
      <c r="JHG47" s="69"/>
      <c r="JHH47" s="69"/>
      <c r="JHI47" s="69"/>
      <c r="JHJ47" s="69"/>
      <c r="JHK47" s="69"/>
      <c r="JHL47" s="69"/>
      <c r="JHM47" s="69"/>
      <c r="JHN47" s="69"/>
      <c r="JHO47" s="69"/>
      <c r="JHP47" s="69"/>
      <c r="JHQ47" s="69"/>
      <c r="JHR47" s="69"/>
      <c r="JHS47" s="69"/>
      <c r="JHT47" s="69"/>
      <c r="JHU47" s="69"/>
      <c r="JHV47" s="69"/>
      <c r="JHW47" s="69"/>
      <c r="JHX47" s="69"/>
      <c r="JHY47" s="69"/>
      <c r="JHZ47" s="69"/>
      <c r="JIA47" s="69"/>
      <c r="JIB47" s="69"/>
      <c r="JIC47" s="69"/>
      <c r="JID47" s="69"/>
      <c r="JIE47" s="69"/>
      <c r="JIF47" s="69"/>
      <c r="JIG47" s="69"/>
      <c r="JIH47" s="69"/>
      <c r="JII47" s="69"/>
      <c r="JIJ47" s="69"/>
      <c r="JIK47" s="69"/>
      <c r="JIL47" s="69"/>
      <c r="JIM47" s="69"/>
      <c r="JIN47" s="69"/>
      <c r="JIO47" s="69"/>
      <c r="JIP47" s="69"/>
      <c r="JIQ47" s="69"/>
      <c r="JIR47" s="69"/>
      <c r="JIS47" s="69"/>
      <c r="JIT47" s="69"/>
      <c r="JIU47" s="69"/>
      <c r="JIV47" s="69"/>
      <c r="JIW47" s="69"/>
      <c r="JIX47" s="69"/>
      <c r="JIY47" s="69"/>
      <c r="JIZ47" s="69"/>
      <c r="JJA47" s="69"/>
      <c r="JJB47" s="69"/>
      <c r="JJC47" s="69"/>
      <c r="JJD47" s="69"/>
      <c r="JJE47" s="69"/>
      <c r="JJF47" s="69"/>
      <c r="JJG47" s="69"/>
      <c r="JJH47" s="69"/>
      <c r="JJI47" s="69"/>
      <c r="JJJ47" s="69"/>
      <c r="JJK47" s="69"/>
      <c r="JJL47" s="69"/>
      <c r="JJM47" s="69"/>
      <c r="JJN47" s="69"/>
      <c r="JJO47" s="69"/>
      <c r="JJP47" s="69"/>
      <c r="JJQ47" s="69"/>
      <c r="JJR47" s="69"/>
      <c r="JJS47" s="69"/>
      <c r="JJT47" s="69"/>
      <c r="JJU47" s="69"/>
      <c r="JJV47" s="69"/>
      <c r="JJW47" s="69"/>
      <c r="JJX47" s="69"/>
      <c r="JJY47" s="69"/>
      <c r="JJZ47" s="69"/>
      <c r="JKA47" s="69"/>
      <c r="JKB47" s="69"/>
      <c r="JKC47" s="69"/>
      <c r="JKD47" s="69"/>
      <c r="JKE47" s="69"/>
      <c r="JKF47" s="69"/>
      <c r="JKG47" s="69"/>
      <c r="JKH47" s="69"/>
      <c r="JKI47" s="69"/>
      <c r="JKJ47" s="69"/>
      <c r="JKK47" s="69"/>
      <c r="JKL47" s="69"/>
      <c r="JKM47" s="69"/>
      <c r="JKN47" s="69"/>
      <c r="JKO47" s="69"/>
      <c r="JKP47" s="69"/>
      <c r="JKQ47" s="69"/>
      <c r="JKR47" s="69"/>
      <c r="JKS47" s="69"/>
      <c r="JKT47" s="69"/>
      <c r="JKU47" s="69"/>
      <c r="JKV47" s="69"/>
      <c r="JKW47" s="69"/>
      <c r="JKX47" s="69"/>
      <c r="JKY47" s="69"/>
      <c r="JKZ47" s="69"/>
      <c r="JLA47" s="69"/>
      <c r="JLB47" s="69"/>
      <c r="JLC47" s="69"/>
      <c r="JLD47" s="69"/>
      <c r="JLE47" s="69"/>
      <c r="JLF47" s="69"/>
      <c r="JLG47" s="69"/>
      <c r="JLH47" s="69"/>
      <c r="JLI47" s="69"/>
      <c r="JLJ47" s="69"/>
      <c r="JLK47" s="69"/>
      <c r="JLL47" s="69"/>
      <c r="JLM47" s="69"/>
      <c r="JLN47" s="69"/>
      <c r="JLO47" s="69"/>
      <c r="JLP47" s="69"/>
      <c r="JLQ47" s="69"/>
      <c r="JLR47" s="69"/>
      <c r="JLS47" s="69"/>
      <c r="JLT47" s="69"/>
      <c r="JLU47" s="69"/>
      <c r="JLV47" s="69"/>
      <c r="JLW47" s="69"/>
      <c r="JLX47" s="69"/>
      <c r="JLY47" s="69"/>
      <c r="JLZ47" s="69"/>
      <c r="JMA47" s="69"/>
      <c r="JMB47" s="69"/>
      <c r="JMC47" s="69"/>
      <c r="JMD47" s="69"/>
      <c r="JME47" s="69"/>
      <c r="JMF47" s="69"/>
      <c r="JMG47" s="69"/>
      <c r="JMH47" s="69"/>
      <c r="JMI47" s="69"/>
      <c r="JMJ47" s="69"/>
      <c r="JMK47" s="69"/>
      <c r="JML47" s="69"/>
      <c r="JMM47" s="69"/>
      <c r="JMN47" s="69"/>
      <c r="JMO47" s="69"/>
      <c r="JMP47" s="69"/>
      <c r="JMQ47" s="69"/>
      <c r="JMR47" s="69"/>
      <c r="JMS47" s="69"/>
      <c r="JMT47" s="69"/>
      <c r="JMU47" s="69"/>
      <c r="JMV47" s="69"/>
      <c r="JMW47" s="69"/>
      <c r="JMX47" s="69"/>
      <c r="JMY47" s="69"/>
      <c r="JMZ47" s="69"/>
      <c r="JNA47" s="69"/>
      <c r="JNB47" s="69"/>
      <c r="JNC47" s="69"/>
      <c r="JND47" s="69"/>
      <c r="JNE47" s="69"/>
      <c r="JNF47" s="69"/>
      <c r="JNG47" s="69"/>
      <c r="JNH47" s="69"/>
      <c r="JNI47" s="69"/>
      <c r="JNJ47" s="69"/>
      <c r="JNK47" s="69"/>
      <c r="JNL47" s="69"/>
      <c r="JNM47" s="69"/>
      <c r="JNN47" s="69"/>
      <c r="JNO47" s="69"/>
      <c r="JNP47" s="69"/>
      <c r="JNQ47" s="69"/>
      <c r="JNR47" s="69"/>
      <c r="JNS47" s="69"/>
      <c r="JNT47" s="69"/>
      <c r="JNU47" s="69"/>
      <c r="JNV47" s="69"/>
      <c r="JNW47" s="69"/>
      <c r="JNX47" s="69"/>
      <c r="JNY47" s="69"/>
      <c r="JNZ47" s="69"/>
      <c r="JOA47" s="69"/>
      <c r="JOB47" s="69"/>
      <c r="JOC47" s="69"/>
      <c r="JOD47" s="69"/>
      <c r="JOE47" s="69"/>
      <c r="JOF47" s="69"/>
      <c r="JOG47" s="69"/>
      <c r="JOH47" s="69"/>
      <c r="JOI47" s="69"/>
      <c r="JOJ47" s="69"/>
      <c r="JOK47" s="69"/>
      <c r="JOL47" s="69"/>
      <c r="JOM47" s="69"/>
      <c r="JON47" s="69"/>
      <c r="JOO47" s="69"/>
      <c r="JOP47" s="69"/>
      <c r="JOQ47" s="69"/>
      <c r="JOR47" s="69"/>
      <c r="JOS47" s="69"/>
      <c r="JOT47" s="69"/>
      <c r="JOU47" s="69"/>
      <c r="JOV47" s="69"/>
      <c r="JOW47" s="69"/>
      <c r="JOX47" s="69"/>
      <c r="JOY47" s="69"/>
      <c r="JOZ47" s="69"/>
      <c r="JPA47" s="69"/>
      <c r="JPB47" s="69"/>
      <c r="JPC47" s="69"/>
      <c r="JPD47" s="69"/>
      <c r="JPE47" s="69"/>
      <c r="JPF47" s="69"/>
      <c r="JPG47" s="69"/>
      <c r="JPH47" s="69"/>
      <c r="JPI47" s="69"/>
      <c r="JPJ47" s="69"/>
      <c r="JPK47" s="69"/>
      <c r="JPL47" s="69"/>
      <c r="JPM47" s="69"/>
      <c r="JPN47" s="69"/>
      <c r="JPO47" s="69"/>
      <c r="JPP47" s="69"/>
      <c r="JPQ47" s="69"/>
      <c r="JPR47" s="69"/>
      <c r="JPS47" s="69"/>
      <c r="JPT47" s="69"/>
      <c r="JPU47" s="69"/>
      <c r="JPV47" s="69"/>
      <c r="JPW47" s="69"/>
      <c r="JPX47" s="69"/>
      <c r="JPY47" s="69"/>
      <c r="JPZ47" s="69"/>
      <c r="JQA47" s="69"/>
      <c r="JQB47" s="69"/>
      <c r="JQC47" s="69"/>
      <c r="JQD47" s="69"/>
      <c r="JQE47" s="69"/>
      <c r="JQF47" s="69"/>
      <c r="JQG47" s="69"/>
      <c r="JQH47" s="69"/>
      <c r="JQI47" s="69"/>
      <c r="JQJ47" s="69"/>
      <c r="JQK47" s="69"/>
      <c r="JQL47" s="69"/>
      <c r="JQM47" s="69"/>
      <c r="JQN47" s="69"/>
      <c r="JQO47" s="69"/>
      <c r="JQP47" s="69"/>
      <c r="JQQ47" s="69"/>
      <c r="JQR47" s="69"/>
      <c r="JQS47" s="69"/>
      <c r="JQT47" s="69"/>
      <c r="JQU47" s="69"/>
      <c r="JQV47" s="69"/>
      <c r="JQW47" s="69"/>
      <c r="JQX47" s="69"/>
      <c r="JQY47" s="69"/>
      <c r="JQZ47" s="69"/>
      <c r="JRA47" s="69"/>
      <c r="JRB47" s="69"/>
      <c r="JRC47" s="69"/>
      <c r="JRD47" s="69"/>
      <c r="JRE47" s="69"/>
      <c r="JRF47" s="69"/>
      <c r="JRG47" s="69"/>
      <c r="JRH47" s="69"/>
      <c r="JRI47" s="69"/>
      <c r="JRJ47" s="69"/>
      <c r="JRK47" s="69"/>
      <c r="JRL47" s="69"/>
      <c r="JRM47" s="69"/>
      <c r="JRN47" s="69"/>
      <c r="JRO47" s="69"/>
      <c r="JRP47" s="69"/>
      <c r="JRQ47" s="69"/>
      <c r="JRR47" s="69"/>
      <c r="JRS47" s="69"/>
      <c r="JRT47" s="69"/>
      <c r="JRU47" s="69"/>
      <c r="JRV47" s="69"/>
      <c r="JRW47" s="69"/>
      <c r="JRX47" s="69"/>
      <c r="JRY47" s="69"/>
      <c r="JRZ47" s="69"/>
      <c r="JSA47" s="69"/>
      <c r="JSB47" s="69"/>
      <c r="JSC47" s="69"/>
      <c r="JSD47" s="69"/>
      <c r="JSE47" s="69"/>
      <c r="JSF47" s="69"/>
      <c r="JSG47" s="69"/>
      <c r="JSH47" s="69"/>
      <c r="JSI47" s="69"/>
      <c r="JSJ47" s="69"/>
      <c r="JSK47" s="69"/>
      <c r="JSL47" s="69"/>
      <c r="JSM47" s="69"/>
      <c r="JSN47" s="69"/>
      <c r="JSO47" s="69"/>
      <c r="JSP47" s="69"/>
      <c r="JSQ47" s="69"/>
      <c r="JSR47" s="69"/>
      <c r="JSS47" s="69"/>
      <c r="JST47" s="69"/>
      <c r="JSU47" s="69"/>
      <c r="JSV47" s="69"/>
      <c r="JSW47" s="69"/>
      <c r="JSX47" s="69"/>
      <c r="JSY47" s="69"/>
      <c r="JSZ47" s="69"/>
      <c r="JTA47" s="69"/>
      <c r="JTB47" s="69"/>
      <c r="JTC47" s="69"/>
      <c r="JTD47" s="69"/>
      <c r="JTE47" s="69"/>
      <c r="JTF47" s="69"/>
      <c r="JTG47" s="69"/>
      <c r="JTH47" s="69"/>
      <c r="JTI47" s="69"/>
      <c r="JTJ47" s="69"/>
      <c r="JTK47" s="69"/>
      <c r="JTL47" s="69"/>
      <c r="JTM47" s="69"/>
      <c r="JTN47" s="69"/>
      <c r="JTO47" s="69"/>
      <c r="JTP47" s="69"/>
      <c r="JTQ47" s="69"/>
      <c r="JTR47" s="69"/>
      <c r="JTS47" s="69"/>
      <c r="JTT47" s="69"/>
      <c r="JTU47" s="69"/>
      <c r="JTV47" s="69"/>
      <c r="JTW47" s="69"/>
      <c r="JTX47" s="69"/>
      <c r="JTY47" s="69"/>
      <c r="JTZ47" s="69"/>
      <c r="JUA47" s="69"/>
      <c r="JUB47" s="69"/>
      <c r="JUC47" s="69"/>
      <c r="JUD47" s="69"/>
      <c r="JUE47" s="69"/>
      <c r="JUF47" s="69"/>
      <c r="JUG47" s="69"/>
      <c r="JUH47" s="69"/>
      <c r="JUI47" s="69"/>
      <c r="JUJ47" s="69"/>
      <c r="JUK47" s="69"/>
      <c r="JUL47" s="69"/>
      <c r="JUM47" s="69"/>
      <c r="JUN47" s="69"/>
      <c r="JUO47" s="69"/>
      <c r="JUP47" s="69"/>
      <c r="JUQ47" s="69"/>
      <c r="JUR47" s="69"/>
      <c r="JUS47" s="69"/>
      <c r="JUT47" s="69"/>
      <c r="JUU47" s="69"/>
      <c r="JUV47" s="69"/>
      <c r="JUW47" s="69"/>
      <c r="JUX47" s="69"/>
      <c r="JUY47" s="69"/>
      <c r="JUZ47" s="69"/>
      <c r="JVA47" s="69"/>
      <c r="JVB47" s="69"/>
      <c r="JVC47" s="69"/>
      <c r="JVD47" s="69"/>
      <c r="JVE47" s="69"/>
      <c r="JVF47" s="69"/>
      <c r="JVG47" s="69"/>
      <c r="JVH47" s="69"/>
      <c r="JVI47" s="69"/>
      <c r="JVJ47" s="69"/>
      <c r="JVK47" s="69"/>
      <c r="JVL47" s="69"/>
      <c r="JVM47" s="69"/>
      <c r="JVN47" s="69"/>
      <c r="JVO47" s="69"/>
      <c r="JVP47" s="69"/>
      <c r="JVQ47" s="69"/>
      <c r="JVR47" s="69"/>
      <c r="JVS47" s="69"/>
      <c r="JVT47" s="69"/>
      <c r="JVU47" s="69"/>
      <c r="JVV47" s="69"/>
      <c r="JVW47" s="69"/>
      <c r="JVX47" s="69"/>
      <c r="JVY47" s="69"/>
      <c r="JVZ47" s="69"/>
      <c r="JWA47" s="69"/>
      <c r="JWB47" s="69"/>
      <c r="JWC47" s="69"/>
      <c r="JWD47" s="69"/>
      <c r="JWE47" s="69"/>
      <c r="JWF47" s="69"/>
      <c r="JWG47" s="69"/>
      <c r="JWH47" s="69"/>
      <c r="JWI47" s="69"/>
      <c r="JWJ47" s="69"/>
      <c r="JWK47" s="69"/>
      <c r="JWL47" s="69"/>
      <c r="JWM47" s="69"/>
      <c r="JWN47" s="69"/>
      <c r="JWO47" s="69"/>
      <c r="JWP47" s="69"/>
      <c r="JWQ47" s="69"/>
      <c r="JWR47" s="69"/>
      <c r="JWS47" s="69"/>
      <c r="JWT47" s="69"/>
      <c r="JWU47" s="69"/>
      <c r="JWV47" s="69"/>
      <c r="JWW47" s="69"/>
      <c r="JWX47" s="69"/>
      <c r="JWY47" s="69"/>
      <c r="JWZ47" s="69"/>
      <c r="JXA47" s="69"/>
      <c r="JXB47" s="69"/>
      <c r="JXC47" s="69"/>
      <c r="JXD47" s="69"/>
      <c r="JXE47" s="69"/>
      <c r="JXF47" s="69"/>
      <c r="JXG47" s="69"/>
      <c r="JXH47" s="69"/>
      <c r="JXI47" s="69"/>
      <c r="JXJ47" s="69"/>
      <c r="JXK47" s="69"/>
      <c r="JXL47" s="69"/>
      <c r="JXM47" s="69"/>
      <c r="JXN47" s="69"/>
      <c r="JXO47" s="69"/>
      <c r="JXP47" s="69"/>
      <c r="JXQ47" s="69"/>
      <c r="JXR47" s="69"/>
      <c r="JXS47" s="69"/>
      <c r="JXT47" s="69"/>
      <c r="JXU47" s="69"/>
      <c r="JXV47" s="69"/>
      <c r="JXW47" s="69"/>
      <c r="JXX47" s="69"/>
      <c r="JXY47" s="69"/>
      <c r="JXZ47" s="69"/>
      <c r="JYA47" s="69"/>
      <c r="JYB47" s="69"/>
      <c r="JYC47" s="69"/>
      <c r="JYD47" s="69"/>
      <c r="JYE47" s="69"/>
      <c r="JYF47" s="69"/>
      <c r="JYG47" s="69"/>
      <c r="JYH47" s="69"/>
      <c r="JYI47" s="69"/>
      <c r="JYJ47" s="69"/>
      <c r="JYK47" s="69"/>
      <c r="JYL47" s="69"/>
      <c r="JYM47" s="69"/>
      <c r="JYN47" s="69"/>
      <c r="JYO47" s="69"/>
      <c r="JYP47" s="69"/>
      <c r="JYQ47" s="69"/>
      <c r="JYR47" s="69"/>
      <c r="JYS47" s="69"/>
      <c r="JYT47" s="69"/>
      <c r="JYU47" s="69"/>
      <c r="JYV47" s="69"/>
      <c r="JYW47" s="69"/>
      <c r="JYX47" s="69"/>
      <c r="JYY47" s="69"/>
      <c r="JYZ47" s="69"/>
      <c r="JZA47" s="69"/>
      <c r="JZB47" s="69"/>
      <c r="JZC47" s="69"/>
      <c r="JZD47" s="69"/>
      <c r="JZE47" s="69"/>
      <c r="JZF47" s="69"/>
      <c r="JZG47" s="69"/>
      <c r="JZH47" s="69"/>
      <c r="JZI47" s="69"/>
      <c r="JZJ47" s="69"/>
      <c r="JZK47" s="69"/>
      <c r="JZL47" s="69"/>
      <c r="JZM47" s="69"/>
      <c r="JZN47" s="69"/>
      <c r="JZO47" s="69"/>
      <c r="JZP47" s="69"/>
      <c r="JZQ47" s="69"/>
      <c r="JZR47" s="69"/>
      <c r="JZS47" s="69"/>
      <c r="JZT47" s="69"/>
      <c r="JZU47" s="69"/>
      <c r="JZV47" s="69"/>
      <c r="JZW47" s="69"/>
      <c r="JZX47" s="69"/>
      <c r="JZY47" s="69"/>
      <c r="JZZ47" s="69"/>
      <c r="KAA47" s="69"/>
      <c r="KAB47" s="69"/>
      <c r="KAC47" s="69"/>
      <c r="KAD47" s="69"/>
      <c r="KAE47" s="69"/>
      <c r="KAF47" s="69"/>
      <c r="KAG47" s="69"/>
      <c r="KAH47" s="69"/>
      <c r="KAI47" s="69"/>
      <c r="KAJ47" s="69"/>
      <c r="KAK47" s="69"/>
      <c r="KAL47" s="69"/>
      <c r="KAM47" s="69"/>
      <c r="KAN47" s="69"/>
      <c r="KAO47" s="69"/>
      <c r="KAP47" s="69"/>
      <c r="KAQ47" s="69"/>
      <c r="KAR47" s="69"/>
      <c r="KAS47" s="69"/>
      <c r="KAT47" s="69"/>
      <c r="KAU47" s="69"/>
      <c r="KAV47" s="69"/>
      <c r="KAW47" s="69"/>
      <c r="KAX47" s="69"/>
      <c r="KAY47" s="69"/>
      <c r="KAZ47" s="69"/>
      <c r="KBA47" s="69"/>
      <c r="KBB47" s="69"/>
      <c r="KBC47" s="69"/>
      <c r="KBD47" s="69"/>
      <c r="KBE47" s="69"/>
      <c r="KBF47" s="69"/>
      <c r="KBG47" s="69"/>
      <c r="KBH47" s="69"/>
      <c r="KBI47" s="69"/>
      <c r="KBJ47" s="69"/>
      <c r="KBK47" s="69"/>
      <c r="KBL47" s="69"/>
      <c r="KBM47" s="69"/>
      <c r="KBN47" s="69"/>
      <c r="KBO47" s="69"/>
      <c r="KBP47" s="69"/>
      <c r="KBQ47" s="69"/>
      <c r="KBR47" s="69"/>
      <c r="KBS47" s="69"/>
      <c r="KBT47" s="69"/>
      <c r="KBU47" s="69"/>
      <c r="KBV47" s="69"/>
      <c r="KBW47" s="69"/>
      <c r="KBX47" s="69"/>
      <c r="KBY47" s="69"/>
      <c r="KBZ47" s="69"/>
      <c r="KCA47" s="69"/>
      <c r="KCB47" s="69"/>
      <c r="KCC47" s="69"/>
      <c r="KCD47" s="69"/>
      <c r="KCE47" s="69"/>
      <c r="KCF47" s="69"/>
      <c r="KCG47" s="69"/>
      <c r="KCH47" s="69"/>
      <c r="KCI47" s="69"/>
      <c r="KCJ47" s="69"/>
      <c r="KCK47" s="69"/>
      <c r="KCL47" s="69"/>
      <c r="KCM47" s="69"/>
      <c r="KCN47" s="69"/>
      <c r="KCO47" s="69"/>
      <c r="KCP47" s="69"/>
      <c r="KCQ47" s="69"/>
      <c r="KCR47" s="69"/>
      <c r="KCS47" s="69"/>
      <c r="KCT47" s="69"/>
      <c r="KCU47" s="69"/>
      <c r="KCV47" s="69"/>
      <c r="KCW47" s="69"/>
      <c r="KCX47" s="69"/>
      <c r="KCY47" s="69"/>
      <c r="KCZ47" s="69"/>
      <c r="KDA47" s="69"/>
      <c r="KDB47" s="69"/>
      <c r="KDC47" s="69"/>
      <c r="KDD47" s="69"/>
      <c r="KDE47" s="69"/>
      <c r="KDF47" s="69"/>
      <c r="KDG47" s="69"/>
      <c r="KDH47" s="69"/>
      <c r="KDI47" s="69"/>
      <c r="KDJ47" s="69"/>
      <c r="KDK47" s="69"/>
      <c r="KDL47" s="69"/>
      <c r="KDM47" s="69"/>
      <c r="KDN47" s="69"/>
      <c r="KDO47" s="69"/>
      <c r="KDP47" s="69"/>
      <c r="KDQ47" s="69"/>
      <c r="KDR47" s="69"/>
      <c r="KDS47" s="69"/>
      <c r="KDT47" s="69"/>
      <c r="KDU47" s="69"/>
      <c r="KDV47" s="69"/>
      <c r="KDW47" s="69"/>
      <c r="KDX47" s="69"/>
      <c r="KDY47" s="69"/>
      <c r="KDZ47" s="69"/>
      <c r="KEA47" s="69"/>
      <c r="KEB47" s="69"/>
      <c r="KEC47" s="69"/>
      <c r="KED47" s="69"/>
      <c r="KEE47" s="69"/>
      <c r="KEF47" s="69"/>
      <c r="KEG47" s="69"/>
      <c r="KEH47" s="69"/>
      <c r="KEI47" s="69"/>
      <c r="KEJ47" s="69"/>
      <c r="KEK47" s="69"/>
      <c r="KEL47" s="69"/>
      <c r="KEM47" s="69"/>
      <c r="KEN47" s="69"/>
      <c r="KEO47" s="69"/>
      <c r="KEP47" s="69"/>
      <c r="KEQ47" s="69"/>
      <c r="KER47" s="69"/>
      <c r="KES47" s="69"/>
      <c r="KET47" s="69"/>
      <c r="KEU47" s="69"/>
      <c r="KEV47" s="69"/>
      <c r="KEW47" s="69"/>
      <c r="KEX47" s="69"/>
      <c r="KEY47" s="69"/>
      <c r="KEZ47" s="69"/>
      <c r="KFA47" s="69"/>
      <c r="KFB47" s="69"/>
      <c r="KFC47" s="69"/>
      <c r="KFD47" s="69"/>
      <c r="KFE47" s="69"/>
      <c r="KFF47" s="69"/>
      <c r="KFG47" s="69"/>
      <c r="KFH47" s="69"/>
      <c r="KFI47" s="69"/>
      <c r="KFJ47" s="69"/>
      <c r="KFK47" s="69"/>
      <c r="KFL47" s="69"/>
      <c r="KFM47" s="69"/>
      <c r="KFN47" s="69"/>
      <c r="KFO47" s="69"/>
      <c r="KFP47" s="69"/>
      <c r="KFQ47" s="69"/>
      <c r="KFR47" s="69"/>
      <c r="KFS47" s="69"/>
      <c r="KFT47" s="69"/>
      <c r="KFU47" s="69"/>
      <c r="KFV47" s="69"/>
      <c r="KFW47" s="69"/>
      <c r="KFX47" s="69"/>
      <c r="KFY47" s="69"/>
      <c r="KFZ47" s="69"/>
      <c r="KGA47" s="69"/>
      <c r="KGB47" s="69"/>
      <c r="KGC47" s="69"/>
      <c r="KGD47" s="69"/>
      <c r="KGE47" s="69"/>
      <c r="KGF47" s="69"/>
      <c r="KGG47" s="69"/>
      <c r="KGH47" s="69"/>
      <c r="KGI47" s="69"/>
      <c r="KGJ47" s="69"/>
      <c r="KGK47" s="69"/>
      <c r="KGL47" s="69"/>
      <c r="KGM47" s="69"/>
      <c r="KGN47" s="69"/>
      <c r="KGO47" s="69"/>
      <c r="KGP47" s="69"/>
      <c r="KGQ47" s="69"/>
      <c r="KGR47" s="69"/>
      <c r="KGS47" s="69"/>
      <c r="KGT47" s="69"/>
      <c r="KGU47" s="69"/>
      <c r="KGV47" s="69"/>
      <c r="KGW47" s="69"/>
      <c r="KGX47" s="69"/>
      <c r="KGY47" s="69"/>
      <c r="KGZ47" s="69"/>
      <c r="KHA47" s="69"/>
      <c r="KHB47" s="69"/>
      <c r="KHC47" s="69"/>
      <c r="KHD47" s="69"/>
      <c r="KHE47" s="69"/>
      <c r="KHF47" s="69"/>
      <c r="KHG47" s="69"/>
      <c r="KHH47" s="69"/>
      <c r="KHI47" s="69"/>
      <c r="KHJ47" s="69"/>
      <c r="KHK47" s="69"/>
      <c r="KHL47" s="69"/>
      <c r="KHM47" s="69"/>
      <c r="KHN47" s="69"/>
      <c r="KHO47" s="69"/>
      <c r="KHP47" s="69"/>
      <c r="KHQ47" s="69"/>
      <c r="KHR47" s="69"/>
      <c r="KHS47" s="69"/>
      <c r="KHT47" s="69"/>
      <c r="KHU47" s="69"/>
      <c r="KHV47" s="69"/>
      <c r="KHW47" s="69"/>
      <c r="KHX47" s="69"/>
      <c r="KHY47" s="69"/>
      <c r="KHZ47" s="69"/>
      <c r="KIA47" s="69"/>
      <c r="KIB47" s="69"/>
      <c r="KIC47" s="69"/>
      <c r="KID47" s="69"/>
      <c r="KIE47" s="69"/>
      <c r="KIF47" s="69"/>
      <c r="KIG47" s="69"/>
      <c r="KIH47" s="69"/>
      <c r="KII47" s="69"/>
      <c r="KIJ47" s="69"/>
      <c r="KIK47" s="69"/>
      <c r="KIL47" s="69"/>
      <c r="KIM47" s="69"/>
      <c r="KIN47" s="69"/>
      <c r="KIO47" s="69"/>
      <c r="KIP47" s="69"/>
      <c r="KIQ47" s="69"/>
      <c r="KIR47" s="69"/>
      <c r="KIS47" s="69"/>
      <c r="KIT47" s="69"/>
      <c r="KIU47" s="69"/>
      <c r="KIV47" s="69"/>
      <c r="KIW47" s="69"/>
      <c r="KIX47" s="69"/>
      <c r="KIY47" s="69"/>
      <c r="KIZ47" s="69"/>
      <c r="KJA47" s="69"/>
      <c r="KJB47" s="69"/>
      <c r="KJC47" s="69"/>
      <c r="KJD47" s="69"/>
      <c r="KJE47" s="69"/>
      <c r="KJF47" s="69"/>
      <c r="KJG47" s="69"/>
      <c r="KJH47" s="69"/>
      <c r="KJI47" s="69"/>
      <c r="KJJ47" s="69"/>
      <c r="KJK47" s="69"/>
      <c r="KJL47" s="69"/>
      <c r="KJM47" s="69"/>
      <c r="KJN47" s="69"/>
      <c r="KJO47" s="69"/>
      <c r="KJP47" s="69"/>
      <c r="KJQ47" s="69"/>
      <c r="KJR47" s="69"/>
      <c r="KJS47" s="69"/>
      <c r="KJT47" s="69"/>
      <c r="KJU47" s="69"/>
      <c r="KJV47" s="69"/>
      <c r="KJW47" s="69"/>
      <c r="KJX47" s="69"/>
      <c r="KJY47" s="69"/>
      <c r="KJZ47" s="69"/>
      <c r="KKA47" s="69"/>
      <c r="KKB47" s="69"/>
      <c r="KKC47" s="69"/>
      <c r="KKD47" s="69"/>
      <c r="KKE47" s="69"/>
      <c r="KKF47" s="69"/>
      <c r="KKG47" s="69"/>
      <c r="KKH47" s="69"/>
      <c r="KKI47" s="69"/>
      <c r="KKJ47" s="69"/>
      <c r="KKK47" s="69"/>
      <c r="KKL47" s="69"/>
      <c r="KKM47" s="69"/>
      <c r="KKN47" s="69"/>
      <c r="KKO47" s="69"/>
      <c r="KKP47" s="69"/>
      <c r="KKQ47" s="69"/>
      <c r="KKR47" s="69"/>
      <c r="KKS47" s="69"/>
      <c r="KKT47" s="69"/>
      <c r="KKU47" s="69"/>
      <c r="KKV47" s="69"/>
      <c r="KKW47" s="69"/>
      <c r="KKX47" s="69"/>
      <c r="KKY47" s="69"/>
      <c r="KKZ47" s="69"/>
      <c r="KLA47" s="69"/>
      <c r="KLB47" s="69"/>
      <c r="KLC47" s="69"/>
      <c r="KLD47" s="69"/>
      <c r="KLE47" s="69"/>
      <c r="KLF47" s="69"/>
      <c r="KLG47" s="69"/>
      <c r="KLH47" s="69"/>
      <c r="KLI47" s="69"/>
      <c r="KLJ47" s="69"/>
      <c r="KLK47" s="69"/>
      <c r="KLL47" s="69"/>
      <c r="KLM47" s="69"/>
      <c r="KLN47" s="69"/>
      <c r="KLO47" s="69"/>
      <c r="KLP47" s="69"/>
      <c r="KLQ47" s="69"/>
      <c r="KLR47" s="69"/>
      <c r="KLS47" s="69"/>
      <c r="KLT47" s="69"/>
      <c r="KLU47" s="69"/>
      <c r="KLV47" s="69"/>
      <c r="KLW47" s="69"/>
      <c r="KLX47" s="69"/>
      <c r="KLY47" s="69"/>
      <c r="KLZ47" s="69"/>
      <c r="KMA47" s="69"/>
      <c r="KMB47" s="69"/>
      <c r="KMC47" s="69"/>
      <c r="KMD47" s="69"/>
      <c r="KME47" s="69"/>
      <c r="KMF47" s="69"/>
      <c r="KMG47" s="69"/>
      <c r="KMH47" s="69"/>
      <c r="KMI47" s="69"/>
      <c r="KMJ47" s="69"/>
      <c r="KMK47" s="69"/>
      <c r="KML47" s="69"/>
      <c r="KMM47" s="69"/>
      <c r="KMN47" s="69"/>
      <c r="KMO47" s="69"/>
      <c r="KMP47" s="69"/>
      <c r="KMQ47" s="69"/>
      <c r="KMR47" s="69"/>
      <c r="KMS47" s="69"/>
      <c r="KMT47" s="69"/>
      <c r="KMU47" s="69"/>
      <c r="KMV47" s="69"/>
      <c r="KMW47" s="69"/>
      <c r="KMX47" s="69"/>
      <c r="KMY47" s="69"/>
      <c r="KMZ47" s="69"/>
      <c r="KNA47" s="69"/>
      <c r="KNB47" s="69"/>
      <c r="KNC47" s="69"/>
      <c r="KND47" s="69"/>
      <c r="KNE47" s="69"/>
      <c r="KNF47" s="69"/>
      <c r="KNG47" s="69"/>
      <c r="KNH47" s="69"/>
      <c r="KNI47" s="69"/>
      <c r="KNJ47" s="69"/>
      <c r="KNK47" s="69"/>
      <c r="KNL47" s="69"/>
      <c r="KNM47" s="69"/>
      <c r="KNN47" s="69"/>
      <c r="KNO47" s="69"/>
      <c r="KNP47" s="69"/>
      <c r="KNQ47" s="69"/>
      <c r="KNR47" s="69"/>
      <c r="KNS47" s="69"/>
      <c r="KNT47" s="69"/>
      <c r="KNU47" s="69"/>
      <c r="KNV47" s="69"/>
      <c r="KNW47" s="69"/>
      <c r="KNX47" s="69"/>
      <c r="KNY47" s="69"/>
      <c r="KNZ47" s="69"/>
      <c r="KOA47" s="69"/>
      <c r="KOB47" s="69"/>
      <c r="KOC47" s="69"/>
      <c r="KOD47" s="69"/>
      <c r="KOE47" s="69"/>
      <c r="KOF47" s="69"/>
      <c r="KOG47" s="69"/>
      <c r="KOH47" s="69"/>
      <c r="KOI47" s="69"/>
      <c r="KOJ47" s="69"/>
      <c r="KOK47" s="69"/>
      <c r="KOL47" s="69"/>
      <c r="KOM47" s="69"/>
      <c r="KON47" s="69"/>
      <c r="KOO47" s="69"/>
      <c r="KOP47" s="69"/>
      <c r="KOQ47" s="69"/>
      <c r="KOR47" s="69"/>
      <c r="KOS47" s="69"/>
      <c r="KOT47" s="69"/>
      <c r="KOU47" s="69"/>
      <c r="KOV47" s="69"/>
      <c r="KOW47" s="69"/>
      <c r="KOX47" s="69"/>
      <c r="KOY47" s="69"/>
      <c r="KOZ47" s="69"/>
      <c r="KPA47" s="69"/>
      <c r="KPB47" s="69"/>
      <c r="KPC47" s="69"/>
      <c r="KPD47" s="69"/>
      <c r="KPE47" s="69"/>
      <c r="KPF47" s="69"/>
      <c r="KPG47" s="69"/>
      <c r="KPH47" s="69"/>
      <c r="KPI47" s="69"/>
      <c r="KPJ47" s="69"/>
      <c r="KPK47" s="69"/>
      <c r="KPL47" s="69"/>
      <c r="KPM47" s="69"/>
      <c r="KPN47" s="69"/>
      <c r="KPO47" s="69"/>
      <c r="KPP47" s="69"/>
      <c r="KPQ47" s="69"/>
      <c r="KPR47" s="69"/>
      <c r="KPS47" s="69"/>
      <c r="KPT47" s="69"/>
      <c r="KPU47" s="69"/>
      <c r="KPV47" s="69"/>
      <c r="KPW47" s="69"/>
      <c r="KPX47" s="69"/>
      <c r="KPY47" s="69"/>
      <c r="KPZ47" s="69"/>
      <c r="KQA47" s="69"/>
      <c r="KQB47" s="69"/>
      <c r="KQC47" s="69"/>
      <c r="KQD47" s="69"/>
      <c r="KQE47" s="69"/>
      <c r="KQF47" s="69"/>
      <c r="KQG47" s="69"/>
      <c r="KQH47" s="69"/>
      <c r="KQI47" s="69"/>
      <c r="KQJ47" s="69"/>
      <c r="KQK47" s="69"/>
      <c r="KQL47" s="69"/>
      <c r="KQM47" s="69"/>
      <c r="KQN47" s="69"/>
      <c r="KQO47" s="69"/>
      <c r="KQP47" s="69"/>
      <c r="KQQ47" s="69"/>
      <c r="KQR47" s="69"/>
      <c r="KQS47" s="69"/>
      <c r="KQT47" s="69"/>
      <c r="KQU47" s="69"/>
      <c r="KQV47" s="69"/>
      <c r="KQW47" s="69"/>
      <c r="KQX47" s="69"/>
      <c r="KQY47" s="69"/>
      <c r="KQZ47" s="69"/>
      <c r="KRA47" s="69"/>
      <c r="KRB47" s="69"/>
      <c r="KRC47" s="69"/>
      <c r="KRD47" s="69"/>
      <c r="KRE47" s="69"/>
      <c r="KRF47" s="69"/>
      <c r="KRG47" s="69"/>
      <c r="KRH47" s="69"/>
      <c r="KRI47" s="69"/>
      <c r="KRJ47" s="69"/>
      <c r="KRK47" s="69"/>
      <c r="KRL47" s="69"/>
      <c r="KRM47" s="69"/>
      <c r="KRN47" s="69"/>
      <c r="KRO47" s="69"/>
      <c r="KRP47" s="69"/>
      <c r="KRQ47" s="69"/>
      <c r="KRR47" s="69"/>
      <c r="KRS47" s="69"/>
      <c r="KRT47" s="69"/>
      <c r="KRU47" s="69"/>
      <c r="KRV47" s="69"/>
      <c r="KRW47" s="69"/>
      <c r="KRX47" s="69"/>
      <c r="KRY47" s="69"/>
      <c r="KRZ47" s="69"/>
      <c r="KSA47" s="69"/>
      <c r="KSB47" s="69"/>
      <c r="KSC47" s="69"/>
      <c r="KSD47" s="69"/>
      <c r="KSE47" s="69"/>
      <c r="KSF47" s="69"/>
      <c r="KSG47" s="69"/>
      <c r="KSH47" s="69"/>
      <c r="KSI47" s="69"/>
      <c r="KSJ47" s="69"/>
      <c r="KSK47" s="69"/>
      <c r="KSL47" s="69"/>
      <c r="KSM47" s="69"/>
      <c r="KSN47" s="69"/>
      <c r="KSO47" s="69"/>
      <c r="KSP47" s="69"/>
      <c r="KSQ47" s="69"/>
      <c r="KSR47" s="69"/>
      <c r="KSS47" s="69"/>
      <c r="KST47" s="69"/>
      <c r="KSU47" s="69"/>
      <c r="KSV47" s="69"/>
      <c r="KSW47" s="69"/>
      <c r="KSX47" s="69"/>
      <c r="KSY47" s="69"/>
      <c r="KSZ47" s="69"/>
      <c r="KTA47" s="69"/>
      <c r="KTB47" s="69"/>
      <c r="KTC47" s="69"/>
      <c r="KTD47" s="69"/>
      <c r="KTE47" s="69"/>
      <c r="KTF47" s="69"/>
      <c r="KTG47" s="69"/>
      <c r="KTH47" s="69"/>
      <c r="KTI47" s="69"/>
      <c r="KTJ47" s="69"/>
      <c r="KTK47" s="69"/>
      <c r="KTL47" s="69"/>
      <c r="KTM47" s="69"/>
      <c r="KTN47" s="69"/>
      <c r="KTO47" s="69"/>
      <c r="KTP47" s="69"/>
      <c r="KTQ47" s="69"/>
      <c r="KTR47" s="69"/>
      <c r="KTS47" s="69"/>
      <c r="KTT47" s="69"/>
      <c r="KTU47" s="69"/>
      <c r="KTV47" s="69"/>
      <c r="KTW47" s="69"/>
      <c r="KTX47" s="69"/>
      <c r="KTY47" s="69"/>
      <c r="KTZ47" s="69"/>
      <c r="KUA47" s="69"/>
      <c r="KUB47" s="69"/>
      <c r="KUC47" s="69"/>
      <c r="KUD47" s="69"/>
      <c r="KUE47" s="69"/>
      <c r="KUF47" s="69"/>
      <c r="KUG47" s="69"/>
      <c r="KUH47" s="69"/>
      <c r="KUI47" s="69"/>
      <c r="KUJ47" s="69"/>
      <c r="KUK47" s="69"/>
      <c r="KUL47" s="69"/>
      <c r="KUM47" s="69"/>
      <c r="KUN47" s="69"/>
      <c r="KUO47" s="69"/>
      <c r="KUP47" s="69"/>
      <c r="KUQ47" s="69"/>
      <c r="KUR47" s="69"/>
      <c r="KUS47" s="69"/>
      <c r="KUT47" s="69"/>
      <c r="KUU47" s="69"/>
      <c r="KUV47" s="69"/>
      <c r="KUW47" s="69"/>
      <c r="KUX47" s="69"/>
      <c r="KUY47" s="69"/>
      <c r="KUZ47" s="69"/>
      <c r="KVA47" s="69"/>
      <c r="KVB47" s="69"/>
      <c r="KVC47" s="69"/>
      <c r="KVD47" s="69"/>
      <c r="KVE47" s="69"/>
      <c r="KVF47" s="69"/>
      <c r="KVG47" s="69"/>
      <c r="KVH47" s="69"/>
      <c r="KVI47" s="69"/>
      <c r="KVJ47" s="69"/>
      <c r="KVK47" s="69"/>
      <c r="KVL47" s="69"/>
      <c r="KVM47" s="69"/>
      <c r="KVN47" s="69"/>
      <c r="KVO47" s="69"/>
      <c r="KVP47" s="69"/>
      <c r="KVQ47" s="69"/>
      <c r="KVR47" s="69"/>
      <c r="KVS47" s="69"/>
      <c r="KVT47" s="69"/>
      <c r="KVU47" s="69"/>
      <c r="KVV47" s="69"/>
      <c r="KVW47" s="69"/>
      <c r="KVX47" s="69"/>
      <c r="KVY47" s="69"/>
      <c r="KVZ47" s="69"/>
      <c r="KWA47" s="69"/>
      <c r="KWB47" s="69"/>
      <c r="KWC47" s="69"/>
      <c r="KWD47" s="69"/>
      <c r="KWE47" s="69"/>
      <c r="KWF47" s="69"/>
      <c r="KWG47" s="69"/>
      <c r="KWH47" s="69"/>
      <c r="KWI47" s="69"/>
      <c r="KWJ47" s="69"/>
      <c r="KWK47" s="69"/>
      <c r="KWL47" s="69"/>
      <c r="KWM47" s="69"/>
      <c r="KWN47" s="69"/>
      <c r="KWO47" s="69"/>
      <c r="KWP47" s="69"/>
      <c r="KWQ47" s="69"/>
      <c r="KWR47" s="69"/>
      <c r="KWS47" s="69"/>
      <c r="KWT47" s="69"/>
      <c r="KWU47" s="69"/>
      <c r="KWV47" s="69"/>
      <c r="KWW47" s="69"/>
      <c r="KWX47" s="69"/>
      <c r="KWY47" s="69"/>
      <c r="KWZ47" s="69"/>
      <c r="KXA47" s="69"/>
      <c r="KXB47" s="69"/>
      <c r="KXC47" s="69"/>
      <c r="KXD47" s="69"/>
      <c r="KXE47" s="69"/>
      <c r="KXF47" s="69"/>
      <c r="KXG47" s="69"/>
      <c r="KXH47" s="69"/>
      <c r="KXI47" s="69"/>
      <c r="KXJ47" s="69"/>
      <c r="KXK47" s="69"/>
      <c r="KXL47" s="69"/>
      <c r="KXM47" s="69"/>
      <c r="KXN47" s="69"/>
      <c r="KXO47" s="69"/>
      <c r="KXP47" s="69"/>
      <c r="KXQ47" s="69"/>
      <c r="KXR47" s="69"/>
      <c r="KXS47" s="69"/>
      <c r="KXT47" s="69"/>
      <c r="KXU47" s="69"/>
      <c r="KXV47" s="69"/>
      <c r="KXW47" s="69"/>
      <c r="KXX47" s="69"/>
      <c r="KXY47" s="69"/>
      <c r="KXZ47" s="69"/>
      <c r="KYA47" s="69"/>
      <c r="KYB47" s="69"/>
      <c r="KYC47" s="69"/>
      <c r="KYD47" s="69"/>
      <c r="KYE47" s="69"/>
      <c r="KYF47" s="69"/>
      <c r="KYG47" s="69"/>
      <c r="KYH47" s="69"/>
      <c r="KYI47" s="69"/>
      <c r="KYJ47" s="69"/>
      <c r="KYK47" s="69"/>
      <c r="KYL47" s="69"/>
      <c r="KYM47" s="69"/>
      <c r="KYN47" s="69"/>
      <c r="KYO47" s="69"/>
      <c r="KYP47" s="69"/>
      <c r="KYQ47" s="69"/>
      <c r="KYR47" s="69"/>
      <c r="KYS47" s="69"/>
      <c r="KYT47" s="69"/>
      <c r="KYU47" s="69"/>
      <c r="KYV47" s="69"/>
      <c r="KYW47" s="69"/>
      <c r="KYX47" s="69"/>
      <c r="KYY47" s="69"/>
      <c r="KYZ47" s="69"/>
      <c r="KZA47" s="69"/>
      <c r="KZB47" s="69"/>
      <c r="KZC47" s="69"/>
      <c r="KZD47" s="69"/>
      <c r="KZE47" s="69"/>
      <c r="KZF47" s="69"/>
      <c r="KZG47" s="69"/>
      <c r="KZH47" s="69"/>
      <c r="KZI47" s="69"/>
      <c r="KZJ47" s="69"/>
      <c r="KZK47" s="69"/>
      <c r="KZL47" s="69"/>
      <c r="KZM47" s="69"/>
      <c r="KZN47" s="69"/>
      <c r="KZO47" s="69"/>
      <c r="KZP47" s="69"/>
      <c r="KZQ47" s="69"/>
      <c r="KZR47" s="69"/>
      <c r="KZS47" s="69"/>
      <c r="KZT47" s="69"/>
      <c r="KZU47" s="69"/>
      <c r="KZV47" s="69"/>
      <c r="KZW47" s="69"/>
      <c r="KZX47" s="69"/>
      <c r="KZY47" s="69"/>
      <c r="KZZ47" s="69"/>
      <c r="LAA47" s="69"/>
      <c r="LAB47" s="69"/>
      <c r="LAC47" s="69"/>
      <c r="LAD47" s="69"/>
      <c r="LAE47" s="69"/>
      <c r="LAF47" s="69"/>
      <c r="LAG47" s="69"/>
      <c r="LAH47" s="69"/>
      <c r="LAI47" s="69"/>
      <c r="LAJ47" s="69"/>
      <c r="LAK47" s="69"/>
      <c r="LAL47" s="69"/>
      <c r="LAM47" s="69"/>
      <c r="LAN47" s="69"/>
      <c r="LAO47" s="69"/>
      <c r="LAP47" s="69"/>
      <c r="LAQ47" s="69"/>
      <c r="LAR47" s="69"/>
      <c r="LAS47" s="69"/>
      <c r="LAT47" s="69"/>
      <c r="LAU47" s="69"/>
      <c r="LAV47" s="69"/>
      <c r="LAW47" s="69"/>
      <c r="LAX47" s="69"/>
      <c r="LAY47" s="69"/>
      <c r="LAZ47" s="69"/>
      <c r="LBA47" s="69"/>
      <c r="LBB47" s="69"/>
      <c r="LBC47" s="69"/>
      <c r="LBD47" s="69"/>
      <c r="LBE47" s="69"/>
      <c r="LBF47" s="69"/>
      <c r="LBG47" s="69"/>
      <c r="LBH47" s="69"/>
      <c r="LBI47" s="69"/>
      <c r="LBJ47" s="69"/>
      <c r="LBK47" s="69"/>
      <c r="LBL47" s="69"/>
      <c r="LBM47" s="69"/>
      <c r="LBN47" s="69"/>
      <c r="LBO47" s="69"/>
      <c r="LBP47" s="69"/>
      <c r="LBQ47" s="69"/>
      <c r="LBR47" s="69"/>
      <c r="LBS47" s="69"/>
      <c r="LBT47" s="69"/>
      <c r="LBU47" s="69"/>
      <c r="LBV47" s="69"/>
      <c r="LBW47" s="69"/>
      <c r="LBX47" s="69"/>
      <c r="LBY47" s="69"/>
      <c r="LBZ47" s="69"/>
      <c r="LCA47" s="69"/>
      <c r="LCB47" s="69"/>
      <c r="LCC47" s="69"/>
      <c r="LCD47" s="69"/>
      <c r="LCE47" s="69"/>
      <c r="LCF47" s="69"/>
      <c r="LCG47" s="69"/>
      <c r="LCH47" s="69"/>
      <c r="LCI47" s="69"/>
      <c r="LCJ47" s="69"/>
      <c r="LCK47" s="69"/>
      <c r="LCL47" s="69"/>
      <c r="LCM47" s="69"/>
      <c r="LCN47" s="69"/>
      <c r="LCO47" s="69"/>
      <c r="LCP47" s="69"/>
      <c r="LCQ47" s="69"/>
      <c r="LCR47" s="69"/>
      <c r="LCS47" s="69"/>
      <c r="LCT47" s="69"/>
      <c r="LCU47" s="69"/>
      <c r="LCV47" s="69"/>
      <c r="LCW47" s="69"/>
      <c r="LCX47" s="69"/>
      <c r="LCY47" s="69"/>
      <c r="LCZ47" s="69"/>
      <c r="LDA47" s="69"/>
      <c r="LDB47" s="69"/>
      <c r="LDC47" s="69"/>
      <c r="LDD47" s="69"/>
      <c r="LDE47" s="69"/>
      <c r="LDF47" s="69"/>
      <c r="LDG47" s="69"/>
      <c r="LDH47" s="69"/>
      <c r="LDI47" s="69"/>
      <c r="LDJ47" s="69"/>
      <c r="LDK47" s="69"/>
      <c r="LDL47" s="69"/>
      <c r="LDM47" s="69"/>
      <c r="LDN47" s="69"/>
      <c r="LDO47" s="69"/>
      <c r="LDP47" s="69"/>
      <c r="LDQ47" s="69"/>
      <c r="LDR47" s="69"/>
      <c r="LDS47" s="69"/>
      <c r="LDT47" s="69"/>
      <c r="LDU47" s="69"/>
      <c r="LDV47" s="69"/>
      <c r="LDW47" s="69"/>
      <c r="LDX47" s="69"/>
      <c r="LDY47" s="69"/>
      <c r="LDZ47" s="69"/>
      <c r="LEA47" s="69"/>
      <c r="LEB47" s="69"/>
      <c r="LEC47" s="69"/>
      <c r="LED47" s="69"/>
      <c r="LEE47" s="69"/>
      <c r="LEF47" s="69"/>
      <c r="LEG47" s="69"/>
      <c r="LEH47" s="69"/>
      <c r="LEI47" s="69"/>
      <c r="LEJ47" s="69"/>
      <c r="LEK47" s="69"/>
      <c r="LEL47" s="69"/>
      <c r="LEM47" s="69"/>
      <c r="LEN47" s="69"/>
      <c r="LEO47" s="69"/>
      <c r="LEP47" s="69"/>
      <c r="LEQ47" s="69"/>
      <c r="LER47" s="69"/>
      <c r="LES47" s="69"/>
      <c r="LET47" s="69"/>
      <c r="LEU47" s="69"/>
      <c r="LEV47" s="69"/>
      <c r="LEW47" s="69"/>
      <c r="LEX47" s="69"/>
      <c r="LEY47" s="69"/>
      <c r="LEZ47" s="69"/>
      <c r="LFA47" s="69"/>
      <c r="LFB47" s="69"/>
      <c r="LFC47" s="69"/>
      <c r="LFD47" s="69"/>
      <c r="LFE47" s="69"/>
      <c r="LFF47" s="69"/>
      <c r="LFG47" s="69"/>
      <c r="LFH47" s="69"/>
      <c r="LFI47" s="69"/>
      <c r="LFJ47" s="69"/>
      <c r="LFK47" s="69"/>
      <c r="LFL47" s="69"/>
      <c r="LFM47" s="69"/>
      <c r="LFN47" s="69"/>
      <c r="LFO47" s="69"/>
      <c r="LFP47" s="69"/>
      <c r="LFQ47" s="69"/>
      <c r="LFR47" s="69"/>
      <c r="LFS47" s="69"/>
      <c r="LFT47" s="69"/>
      <c r="LFU47" s="69"/>
      <c r="LFV47" s="69"/>
      <c r="LFW47" s="69"/>
      <c r="LFX47" s="69"/>
      <c r="LFY47" s="69"/>
      <c r="LFZ47" s="69"/>
      <c r="LGA47" s="69"/>
      <c r="LGB47" s="69"/>
      <c r="LGC47" s="69"/>
      <c r="LGD47" s="69"/>
      <c r="LGE47" s="69"/>
      <c r="LGF47" s="69"/>
      <c r="LGG47" s="69"/>
      <c r="LGH47" s="69"/>
      <c r="LGI47" s="69"/>
      <c r="LGJ47" s="69"/>
      <c r="LGK47" s="69"/>
      <c r="LGL47" s="69"/>
      <c r="LGM47" s="69"/>
      <c r="LGN47" s="69"/>
      <c r="LGO47" s="69"/>
      <c r="LGP47" s="69"/>
      <c r="LGQ47" s="69"/>
      <c r="LGR47" s="69"/>
      <c r="LGS47" s="69"/>
      <c r="LGT47" s="69"/>
      <c r="LGU47" s="69"/>
      <c r="LGV47" s="69"/>
      <c r="LGW47" s="69"/>
      <c r="LGX47" s="69"/>
      <c r="LGY47" s="69"/>
      <c r="LGZ47" s="69"/>
      <c r="LHA47" s="69"/>
      <c r="LHB47" s="69"/>
      <c r="LHC47" s="69"/>
      <c r="LHD47" s="69"/>
      <c r="LHE47" s="69"/>
      <c r="LHF47" s="69"/>
      <c r="LHG47" s="69"/>
      <c r="LHH47" s="69"/>
      <c r="LHI47" s="69"/>
      <c r="LHJ47" s="69"/>
      <c r="LHK47" s="69"/>
      <c r="LHL47" s="69"/>
      <c r="LHM47" s="69"/>
      <c r="LHN47" s="69"/>
      <c r="LHO47" s="69"/>
      <c r="LHP47" s="69"/>
      <c r="LHQ47" s="69"/>
      <c r="LHR47" s="69"/>
      <c r="LHS47" s="69"/>
      <c r="LHT47" s="69"/>
      <c r="LHU47" s="69"/>
      <c r="LHV47" s="69"/>
      <c r="LHW47" s="69"/>
      <c r="LHX47" s="69"/>
      <c r="LHY47" s="69"/>
      <c r="LHZ47" s="69"/>
      <c r="LIA47" s="69"/>
      <c r="LIB47" s="69"/>
      <c r="LIC47" s="69"/>
      <c r="LID47" s="69"/>
      <c r="LIE47" s="69"/>
      <c r="LIF47" s="69"/>
      <c r="LIG47" s="69"/>
      <c r="LIH47" s="69"/>
      <c r="LII47" s="69"/>
      <c r="LIJ47" s="69"/>
      <c r="LIK47" s="69"/>
      <c r="LIL47" s="69"/>
      <c r="LIM47" s="69"/>
      <c r="LIN47" s="69"/>
      <c r="LIO47" s="69"/>
      <c r="LIP47" s="69"/>
      <c r="LIQ47" s="69"/>
      <c r="LIR47" s="69"/>
      <c r="LIS47" s="69"/>
      <c r="LIT47" s="69"/>
      <c r="LIU47" s="69"/>
      <c r="LIV47" s="69"/>
      <c r="LIW47" s="69"/>
      <c r="LIX47" s="69"/>
      <c r="LIY47" s="69"/>
      <c r="LIZ47" s="69"/>
      <c r="LJA47" s="69"/>
      <c r="LJB47" s="69"/>
      <c r="LJC47" s="69"/>
      <c r="LJD47" s="69"/>
      <c r="LJE47" s="69"/>
      <c r="LJF47" s="69"/>
      <c r="LJG47" s="69"/>
      <c r="LJH47" s="69"/>
      <c r="LJI47" s="69"/>
      <c r="LJJ47" s="69"/>
      <c r="LJK47" s="69"/>
      <c r="LJL47" s="69"/>
      <c r="LJM47" s="69"/>
      <c r="LJN47" s="69"/>
      <c r="LJO47" s="69"/>
      <c r="LJP47" s="69"/>
      <c r="LJQ47" s="69"/>
      <c r="LJR47" s="69"/>
      <c r="LJS47" s="69"/>
      <c r="LJT47" s="69"/>
      <c r="LJU47" s="69"/>
      <c r="LJV47" s="69"/>
      <c r="LJW47" s="69"/>
      <c r="LJX47" s="69"/>
      <c r="LJY47" s="69"/>
      <c r="LJZ47" s="69"/>
      <c r="LKA47" s="69"/>
      <c r="LKB47" s="69"/>
      <c r="LKC47" s="69"/>
      <c r="LKD47" s="69"/>
      <c r="LKE47" s="69"/>
      <c r="LKF47" s="69"/>
      <c r="LKG47" s="69"/>
      <c r="LKH47" s="69"/>
      <c r="LKI47" s="69"/>
      <c r="LKJ47" s="69"/>
      <c r="LKK47" s="69"/>
      <c r="LKL47" s="69"/>
      <c r="LKM47" s="69"/>
      <c r="LKN47" s="69"/>
      <c r="LKO47" s="69"/>
      <c r="LKP47" s="69"/>
      <c r="LKQ47" s="69"/>
      <c r="LKR47" s="69"/>
      <c r="LKS47" s="69"/>
      <c r="LKT47" s="69"/>
      <c r="LKU47" s="69"/>
      <c r="LKV47" s="69"/>
      <c r="LKW47" s="69"/>
      <c r="LKX47" s="69"/>
      <c r="LKY47" s="69"/>
      <c r="LKZ47" s="69"/>
      <c r="LLA47" s="69"/>
      <c r="LLB47" s="69"/>
      <c r="LLC47" s="69"/>
      <c r="LLD47" s="69"/>
      <c r="LLE47" s="69"/>
      <c r="LLF47" s="69"/>
      <c r="LLG47" s="69"/>
      <c r="LLH47" s="69"/>
      <c r="LLI47" s="69"/>
      <c r="LLJ47" s="69"/>
      <c r="LLK47" s="69"/>
      <c r="LLL47" s="69"/>
      <c r="LLM47" s="69"/>
      <c r="LLN47" s="69"/>
      <c r="LLO47" s="69"/>
      <c r="LLP47" s="69"/>
      <c r="LLQ47" s="69"/>
      <c r="LLR47" s="69"/>
      <c r="LLS47" s="69"/>
      <c r="LLT47" s="69"/>
      <c r="LLU47" s="69"/>
      <c r="LLV47" s="69"/>
      <c r="LLW47" s="69"/>
      <c r="LLX47" s="69"/>
      <c r="LLY47" s="69"/>
      <c r="LLZ47" s="69"/>
      <c r="LMA47" s="69"/>
      <c r="LMB47" s="69"/>
      <c r="LMC47" s="69"/>
      <c r="LMD47" s="69"/>
      <c r="LME47" s="69"/>
      <c r="LMF47" s="69"/>
      <c r="LMG47" s="69"/>
      <c r="LMH47" s="69"/>
      <c r="LMI47" s="69"/>
      <c r="LMJ47" s="69"/>
      <c r="LMK47" s="69"/>
      <c r="LML47" s="69"/>
      <c r="LMM47" s="69"/>
      <c r="LMN47" s="69"/>
      <c r="LMO47" s="69"/>
      <c r="LMP47" s="69"/>
      <c r="LMQ47" s="69"/>
      <c r="LMR47" s="69"/>
      <c r="LMS47" s="69"/>
      <c r="LMT47" s="69"/>
      <c r="LMU47" s="69"/>
      <c r="LMV47" s="69"/>
      <c r="LMW47" s="69"/>
      <c r="LMX47" s="69"/>
      <c r="LMY47" s="69"/>
      <c r="LMZ47" s="69"/>
      <c r="LNA47" s="69"/>
      <c r="LNB47" s="69"/>
      <c r="LNC47" s="69"/>
      <c r="LND47" s="69"/>
      <c r="LNE47" s="69"/>
      <c r="LNF47" s="69"/>
      <c r="LNG47" s="69"/>
      <c r="LNH47" s="69"/>
      <c r="LNI47" s="69"/>
      <c r="LNJ47" s="69"/>
      <c r="LNK47" s="69"/>
      <c r="LNL47" s="69"/>
      <c r="LNM47" s="69"/>
      <c r="LNN47" s="69"/>
      <c r="LNO47" s="69"/>
      <c r="LNP47" s="69"/>
      <c r="LNQ47" s="69"/>
      <c r="LNR47" s="69"/>
      <c r="LNS47" s="69"/>
      <c r="LNT47" s="69"/>
      <c r="LNU47" s="69"/>
      <c r="LNV47" s="69"/>
      <c r="LNW47" s="69"/>
      <c r="LNX47" s="69"/>
      <c r="LNY47" s="69"/>
      <c r="LNZ47" s="69"/>
      <c r="LOA47" s="69"/>
      <c r="LOB47" s="69"/>
      <c r="LOC47" s="69"/>
      <c r="LOD47" s="69"/>
      <c r="LOE47" s="69"/>
      <c r="LOF47" s="69"/>
      <c r="LOG47" s="69"/>
      <c r="LOH47" s="69"/>
      <c r="LOI47" s="69"/>
      <c r="LOJ47" s="69"/>
      <c r="LOK47" s="69"/>
      <c r="LOL47" s="69"/>
      <c r="LOM47" s="69"/>
      <c r="LON47" s="69"/>
      <c r="LOO47" s="69"/>
      <c r="LOP47" s="69"/>
      <c r="LOQ47" s="69"/>
      <c r="LOR47" s="69"/>
      <c r="LOS47" s="69"/>
      <c r="LOT47" s="69"/>
      <c r="LOU47" s="69"/>
      <c r="LOV47" s="69"/>
      <c r="LOW47" s="69"/>
      <c r="LOX47" s="69"/>
      <c r="LOY47" s="69"/>
      <c r="LOZ47" s="69"/>
      <c r="LPA47" s="69"/>
      <c r="LPB47" s="69"/>
      <c r="LPC47" s="69"/>
      <c r="LPD47" s="69"/>
      <c r="LPE47" s="69"/>
      <c r="LPF47" s="69"/>
      <c r="LPG47" s="69"/>
      <c r="LPH47" s="69"/>
      <c r="LPI47" s="69"/>
      <c r="LPJ47" s="69"/>
      <c r="LPK47" s="69"/>
      <c r="LPL47" s="69"/>
      <c r="LPM47" s="69"/>
      <c r="LPN47" s="69"/>
      <c r="LPO47" s="69"/>
      <c r="LPP47" s="69"/>
      <c r="LPQ47" s="69"/>
      <c r="LPR47" s="69"/>
      <c r="LPS47" s="69"/>
      <c r="LPT47" s="69"/>
      <c r="LPU47" s="69"/>
      <c r="LPV47" s="69"/>
      <c r="LPW47" s="69"/>
      <c r="LPX47" s="69"/>
      <c r="LPY47" s="69"/>
      <c r="LPZ47" s="69"/>
      <c r="LQA47" s="69"/>
      <c r="LQB47" s="69"/>
      <c r="LQC47" s="69"/>
      <c r="LQD47" s="69"/>
      <c r="LQE47" s="69"/>
      <c r="LQF47" s="69"/>
      <c r="LQG47" s="69"/>
      <c r="LQH47" s="69"/>
      <c r="LQI47" s="69"/>
      <c r="LQJ47" s="69"/>
      <c r="LQK47" s="69"/>
      <c r="LQL47" s="69"/>
      <c r="LQM47" s="69"/>
      <c r="LQN47" s="69"/>
      <c r="LQO47" s="69"/>
      <c r="LQP47" s="69"/>
      <c r="LQQ47" s="69"/>
      <c r="LQR47" s="69"/>
      <c r="LQS47" s="69"/>
      <c r="LQT47" s="69"/>
      <c r="LQU47" s="69"/>
      <c r="LQV47" s="69"/>
      <c r="LQW47" s="69"/>
      <c r="LQX47" s="69"/>
      <c r="LQY47" s="69"/>
      <c r="LQZ47" s="69"/>
      <c r="LRA47" s="69"/>
      <c r="LRB47" s="69"/>
      <c r="LRC47" s="69"/>
      <c r="LRD47" s="69"/>
      <c r="LRE47" s="69"/>
      <c r="LRF47" s="69"/>
      <c r="LRG47" s="69"/>
      <c r="LRH47" s="69"/>
      <c r="LRI47" s="69"/>
      <c r="LRJ47" s="69"/>
      <c r="LRK47" s="69"/>
      <c r="LRL47" s="69"/>
      <c r="LRM47" s="69"/>
      <c r="LRN47" s="69"/>
      <c r="LRO47" s="69"/>
      <c r="LRP47" s="69"/>
      <c r="LRQ47" s="69"/>
      <c r="LRR47" s="69"/>
      <c r="LRS47" s="69"/>
      <c r="LRT47" s="69"/>
      <c r="LRU47" s="69"/>
      <c r="LRV47" s="69"/>
      <c r="LRW47" s="69"/>
      <c r="LRX47" s="69"/>
      <c r="LRY47" s="69"/>
      <c r="LRZ47" s="69"/>
      <c r="LSA47" s="69"/>
      <c r="LSB47" s="69"/>
      <c r="LSC47" s="69"/>
      <c r="LSD47" s="69"/>
      <c r="LSE47" s="69"/>
      <c r="LSF47" s="69"/>
      <c r="LSG47" s="69"/>
      <c r="LSH47" s="69"/>
      <c r="LSI47" s="69"/>
      <c r="LSJ47" s="69"/>
      <c r="LSK47" s="69"/>
      <c r="LSL47" s="69"/>
      <c r="LSM47" s="69"/>
      <c r="LSN47" s="69"/>
      <c r="LSO47" s="69"/>
      <c r="LSP47" s="69"/>
      <c r="LSQ47" s="69"/>
      <c r="LSR47" s="69"/>
      <c r="LSS47" s="69"/>
      <c r="LST47" s="69"/>
      <c r="LSU47" s="69"/>
      <c r="LSV47" s="69"/>
      <c r="LSW47" s="69"/>
      <c r="LSX47" s="69"/>
      <c r="LSY47" s="69"/>
      <c r="LSZ47" s="69"/>
      <c r="LTA47" s="69"/>
      <c r="LTB47" s="69"/>
      <c r="LTC47" s="69"/>
      <c r="LTD47" s="69"/>
      <c r="LTE47" s="69"/>
      <c r="LTF47" s="69"/>
      <c r="LTG47" s="69"/>
      <c r="LTH47" s="69"/>
      <c r="LTI47" s="69"/>
      <c r="LTJ47" s="69"/>
      <c r="LTK47" s="69"/>
      <c r="LTL47" s="69"/>
      <c r="LTM47" s="69"/>
      <c r="LTN47" s="69"/>
      <c r="LTO47" s="69"/>
      <c r="LTP47" s="69"/>
      <c r="LTQ47" s="69"/>
      <c r="LTR47" s="69"/>
      <c r="LTS47" s="69"/>
      <c r="LTT47" s="69"/>
      <c r="LTU47" s="69"/>
      <c r="LTV47" s="69"/>
      <c r="LTW47" s="69"/>
      <c r="LTX47" s="69"/>
      <c r="LTY47" s="69"/>
      <c r="LTZ47" s="69"/>
      <c r="LUA47" s="69"/>
      <c r="LUB47" s="69"/>
      <c r="LUC47" s="69"/>
      <c r="LUD47" s="69"/>
      <c r="LUE47" s="69"/>
      <c r="LUF47" s="69"/>
      <c r="LUG47" s="69"/>
      <c r="LUH47" s="69"/>
      <c r="LUI47" s="69"/>
      <c r="LUJ47" s="69"/>
      <c r="LUK47" s="69"/>
      <c r="LUL47" s="69"/>
      <c r="LUM47" s="69"/>
      <c r="LUN47" s="69"/>
      <c r="LUO47" s="69"/>
      <c r="LUP47" s="69"/>
      <c r="LUQ47" s="69"/>
      <c r="LUR47" s="69"/>
      <c r="LUS47" s="69"/>
      <c r="LUT47" s="69"/>
      <c r="LUU47" s="69"/>
      <c r="LUV47" s="69"/>
      <c r="LUW47" s="69"/>
      <c r="LUX47" s="69"/>
      <c r="LUY47" s="69"/>
      <c r="LUZ47" s="69"/>
      <c r="LVA47" s="69"/>
      <c r="LVB47" s="69"/>
      <c r="LVC47" s="69"/>
      <c r="LVD47" s="69"/>
      <c r="LVE47" s="69"/>
      <c r="LVF47" s="69"/>
      <c r="LVG47" s="69"/>
      <c r="LVH47" s="69"/>
      <c r="LVI47" s="69"/>
      <c r="LVJ47" s="69"/>
      <c r="LVK47" s="69"/>
      <c r="LVL47" s="69"/>
      <c r="LVM47" s="69"/>
      <c r="LVN47" s="69"/>
      <c r="LVO47" s="69"/>
      <c r="LVP47" s="69"/>
      <c r="LVQ47" s="69"/>
      <c r="LVR47" s="69"/>
      <c r="LVS47" s="69"/>
      <c r="LVT47" s="69"/>
      <c r="LVU47" s="69"/>
      <c r="LVV47" s="69"/>
      <c r="LVW47" s="69"/>
      <c r="LVX47" s="69"/>
      <c r="LVY47" s="69"/>
      <c r="LVZ47" s="69"/>
      <c r="LWA47" s="69"/>
      <c r="LWB47" s="69"/>
      <c r="LWC47" s="69"/>
      <c r="LWD47" s="69"/>
      <c r="LWE47" s="69"/>
      <c r="LWF47" s="69"/>
      <c r="LWG47" s="69"/>
      <c r="LWH47" s="69"/>
      <c r="LWI47" s="69"/>
      <c r="LWJ47" s="69"/>
      <c r="LWK47" s="69"/>
      <c r="LWL47" s="69"/>
      <c r="LWM47" s="69"/>
      <c r="LWN47" s="69"/>
      <c r="LWO47" s="69"/>
      <c r="LWP47" s="69"/>
      <c r="LWQ47" s="69"/>
      <c r="LWR47" s="69"/>
      <c r="LWS47" s="69"/>
      <c r="LWT47" s="69"/>
      <c r="LWU47" s="69"/>
      <c r="LWV47" s="69"/>
      <c r="LWW47" s="69"/>
      <c r="LWX47" s="69"/>
      <c r="LWY47" s="69"/>
      <c r="LWZ47" s="69"/>
      <c r="LXA47" s="69"/>
      <c r="LXB47" s="69"/>
      <c r="LXC47" s="69"/>
      <c r="LXD47" s="69"/>
      <c r="LXE47" s="69"/>
      <c r="LXF47" s="69"/>
      <c r="LXG47" s="69"/>
      <c r="LXH47" s="69"/>
      <c r="LXI47" s="69"/>
      <c r="LXJ47" s="69"/>
      <c r="LXK47" s="69"/>
      <c r="LXL47" s="69"/>
      <c r="LXM47" s="69"/>
      <c r="LXN47" s="69"/>
      <c r="LXO47" s="69"/>
      <c r="LXP47" s="69"/>
      <c r="LXQ47" s="69"/>
      <c r="LXR47" s="69"/>
      <c r="LXS47" s="69"/>
      <c r="LXT47" s="69"/>
      <c r="LXU47" s="69"/>
      <c r="LXV47" s="69"/>
      <c r="LXW47" s="69"/>
      <c r="LXX47" s="69"/>
      <c r="LXY47" s="69"/>
      <c r="LXZ47" s="69"/>
      <c r="LYA47" s="69"/>
      <c r="LYB47" s="69"/>
      <c r="LYC47" s="69"/>
      <c r="LYD47" s="69"/>
      <c r="LYE47" s="69"/>
      <c r="LYF47" s="69"/>
      <c r="LYG47" s="69"/>
      <c r="LYH47" s="69"/>
      <c r="LYI47" s="69"/>
      <c r="LYJ47" s="69"/>
      <c r="LYK47" s="69"/>
      <c r="LYL47" s="69"/>
      <c r="LYM47" s="69"/>
      <c r="LYN47" s="69"/>
      <c r="LYO47" s="69"/>
      <c r="LYP47" s="69"/>
      <c r="LYQ47" s="69"/>
      <c r="LYR47" s="69"/>
      <c r="LYS47" s="69"/>
      <c r="LYT47" s="69"/>
      <c r="LYU47" s="69"/>
      <c r="LYV47" s="69"/>
      <c r="LYW47" s="69"/>
      <c r="LYX47" s="69"/>
      <c r="LYY47" s="69"/>
      <c r="LYZ47" s="69"/>
      <c r="LZA47" s="69"/>
      <c r="LZB47" s="69"/>
      <c r="LZC47" s="69"/>
      <c r="LZD47" s="69"/>
      <c r="LZE47" s="69"/>
      <c r="LZF47" s="69"/>
      <c r="LZG47" s="69"/>
      <c r="LZH47" s="69"/>
      <c r="LZI47" s="69"/>
      <c r="LZJ47" s="69"/>
      <c r="LZK47" s="69"/>
      <c r="LZL47" s="69"/>
      <c r="LZM47" s="69"/>
      <c r="LZN47" s="69"/>
      <c r="LZO47" s="69"/>
      <c r="LZP47" s="69"/>
      <c r="LZQ47" s="69"/>
      <c r="LZR47" s="69"/>
      <c r="LZS47" s="69"/>
      <c r="LZT47" s="69"/>
      <c r="LZU47" s="69"/>
      <c r="LZV47" s="69"/>
      <c r="LZW47" s="69"/>
      <c r="LZX47" s="69"/>
      <c r="LZY47" s="69"/>
      <c r="LZZ47" s="69"/>
      <c r="MAA47" s="69"/>
      <c r="MAB47" s="69"/>
      <c r="MAC47" s="69"/>
      <c r="MAD47" s="69"/>
      <c r="MAE47" s="69"/>
      <c r="MAF47" s="69"/>
      <c r="MAG47" s="69"/>
      <c r="MAH47" s="69"/>
      <c r="MAI47" s="69"/>
      <c r="MAJ47" s="69"/>
      <c r="MAK47" s="69"/>
      <c r="MAL47" s="69"/>
      <c r="MAM47" s="69"/>
      <c r="MAN47" s="69"/>
      <c r="MAO47" s="69"/>
      <c r="MAP47" s="69"/>
      <c r="MAQ47" s="69"/>
      <c r="MAR47" s="69"/>
      <c r="MAS47" s="69"/>
      <c r="MAT47" s="69"/>
      <c r="MAU47" s="69"/>
      <c r="MAV47" s="69"/>
      <c r="MAW47" s="69"/>
      <c r="MAX47" s="69"/>
      <c r="MAY47" s="69"/>
      <c r="MAZ47" s="69"/>
      <c r="MBA47" s="69"/>
      <c r="MBB47" s="69"/>
      <c r="MBC47" s="69"/>
      <c r="MBD47" s="69"/>
      <c r="MBE47" s="69"/>
      <c r="MBF47" s="69"/>
      <c r="MBG47" s="69"/>
      <c r="MBH47" s="69"/>
      <c r="MBI47" s="69"/>
      <c r="MBJ47" s="69"/>
      <c r="MBK47" s="69"/>
      <c r="MBL47" s="69"/>
      <c r="MBM47" s="69"/>
      <c r="MBN47" s="69"/>
      <c r="MBO47" s="69"/>
      <c r="MBP47" s="69"/>
      <c r="MBQ47" s="69"/>
      <c r="MBR47" s="69"/>
      <c r="MBS47" s="69"/>
      <c r="MBT47" s="69"/>
      <c r="MBU47" s="69"/>
      <c r="MBV47" s="69"/>
      <c r="MBW47" s="69"/>
      <c r="MBX47" s="69"/>
      <c r="MBY47" s="69"/>
      <c r="MBZ47" s="69"/>
      <c r="MCA47" s="69"/>
      <c r="MCB47" s="69"/>
      <c r="MCC47" s="69"/>
      <c r="MCD47" s="69"/>
      <c r="MCE47" s="69"/>
      <c r="MCF47" s="69"/>
      <c r="MCG47" s="69"/>
      <c r="MCH47" s="69"/>
      <c r="MCI47" s="69"/>
      <c r="MCJ47" s="69"/>
      <c r="MCK47" s="69"/>
      <c r="MCL47" s="69"/>
      <c r="MCM47" s="69"/>
      <c r="MCN47" s="69"/>
      <c r="MCO47" s="69"/>
      <c r="MCP47" s="69"/>
      <c r="MCQ47" s="69"/>
      <c r="MCR47" s="69"/>
      <c r="MCS47" s="69"/>
      <c r="MCT47" s="69"/>
      <c r="MCU47" s="69"/>
      <c r="MCV47" s="69"/>
      <c r="MCW47" s="69"/>
      <c r="MCX47" s="69"/>
      <c r="MCY47" s="69"/>
      <c r="MCZ47" s="69"/>
      <c r="MDA47" s="69"/>
      <c r="MDB47" s="69"/>
      <c r="MDC47" s="69"/>
      <c r="MDD47" s="69"/>
      <c r="MDE47" s="69"/>
      <c r="MDF47" s="69"/>
      <c r="MDG47" s="69"/>
      <c r="MDH47" s="69"/>
      <c r="MDI47" s="69"/>
      <c r="MDJ47" s="69"/>
      <c r="MDK47" s="69"/>
      <c r="MDL47" s="69"/>
      <c r="MDM47" s="69"/>
      <c r="MDN47" s="69"/>
      <c r="MDO47" s="69"/>
      <c r="MDP47" s="69"/>
      <c r="MDQ47" s="69"/>
      <c r="MDR47" s="69"/>
      <c r="MDS47" s="69"/>
      <c r="MDT47" s="69"/>
      <c r="MDU47" s="69"/>
      <c r="MDV47" s="69"/>
      <c r="MDW47" s="69"/>
      <c r="MDX47" s="69"/>
      <c r="MDY47" s="69"/>
      <c r="MDZ47" s="69"/>
      <c r="MEA47" s="69"/>
      <c r="MEB47" s="69"/>
      <c r="MEC47" s="69"/>
      <c r="MED47" s="69"/>
      <c r="MEE47" s="69"/>
      <c r="MEF47" s="69"/>
      <c r="MEG47" s="69"/>
      <c r="MEH47" s="69"/>
      <c r="MEI47" s="69"/>
      <c r="MEJ47" s="69"/>
      <c r="MEK47" s="69"/>
      <c r="MEL47" s="69"/>
      <c r="MEM47" s="69"/>
      <c r="MEN47" s="69"/>
      <c r="MEO47" s="69"/>
      <c r="MEP47" s="69"/>
      <c r="MEQ47" s="69"/>
      <c r="MER47" s="69"/>
      <c r="MES47" s="69"/>
      <c r="MET47" s="69"/>
      <c r="MEU47" s="69"/>
      <c r="MEV47" s="69"/>
      <c r="MEW47" s="69"/>
      <c r="MEX47" s="69"/>
      <c r="MEY47" s="69"/>
      <c r="MEZ47" s="69"/>
      <c r="MFA47" s="69"/>
      <c r="MFB47" s="69"/>
      <c r="MFC47" s="69"/>
      <c r="MFD47" s="69"/>
      <c r="MFE47" s="69"/>
      <c r="MFF47" s="69"/>
      <c r="MFG47" s="69"/>
      <c r="MFH47" s="69"/>
      <c r="MFI47" s="69"/>
      <c r="MFJ47" s="69"/>
      <c r="MFK47" s="69"/>
      <c r="MFL47" s="69"/>
      <c r="MFM47" s="69"/>
      <c r="MFN47" s="69"/>
      <c r="MFO47" s="69"/>
      <c r="MFP47" s="69"/>
      <c r="MFQ47" s="69"/>
      <c r="MFR47" s="69"/>
      <c r="MFS47" s="69"/>
      <c r="MFT47" s="69"/>
      <c r="MFU47" s="69"/>
      <c r="MFV47" s="69"/>
      <c r="MFW47" s="69"/>
      <c r="MFX47" s="69"/>
      <c r="MFY47" s="69"/>
      <c r="MFZ47" s="69"/>
      <c r="MGA47" s="69"/>
      <c r="MGB47" s="69"/>
      <c r="MGC47" s="69"/>
      <c r="MGD47" s="69"/>
      <c r="MGE47" s="69"/>
      <c r="MGF47" s="69"/>
      <c r="MGG47" s="69"/>
      <c r="MGH47" s="69"/>
      <c r="MGI47" s="69"/>
      <c r="MGJ47" s="69"/>
      <c r="MGK47" s="69"/>
      <c r="MGL47" s="69"/>
      <c r="MGM47" s="69"/>
      <c r="MGN47" s="69"/>
      <c r="MGO47" s="69"/>
      <c r="MGP47" s="69"/>
      <c r="MGQ47" s="69"/>
      <c r="MGR47" s="69"/>
      <c r="MGS47" s="69"/>
      <c r="MGT47" s="69"/>
      <c r="MGU47" s="69"/>
      <c r="MGV47" s="69"/>
      <c r="MGW47" s="69"/>
      <c r="MGX47" s="69"/>
      <c r="MGY47" s="69"/>
      <c r="MGZ47" s="69"/>
      <c r="MHA47" s="69"/>
      <c r="MHB47" s="69"/>
      <c r="MHC47" s="69"/>
      <c r="MHD47" s="69"/>
      <c r="MHE47" s="69"/>
      <c r="MHF47" s="69"/>
      <c r="MHG47" s="69"/>
      <c r="MHH47" s="69"/>
      <c r="MHI47" s="69"/>
      <c r="MHJ47" s="69"/>
      <c r="MHK47" s="69"/>
      <c r="MHL47" s="69"/>
      <c r="MHM47" s="69"/>
      <c r="MHN47" s="69"/>
      <c r="MHO47" s="69"/>
      <c r="MHP47" s="69"/>
      <c r="MHQ47" s="69"/>
      <c r="MHR47" s="69"/>
      <c r="MHS47" s="69"/>
      <c r="MHT47" s="69"/>
      <c r="MHU47" s="69"/>
      <c r="MHV47" s="69"/>
      <c r="MHW47" s="69"/>
      <c r="MHX47" s="69"/>
      <c r="MHY47" s="69"/>
      <c r="MHZ47" s="69"/>
      <c r="MIA47" s="69"/>
      <c r="MIB47" s="69"/>
      <c r="MIC47" s="69"/>
      <c r="MID47" s="69"/>
      <c r="MIE47" s="69"/>
      <c r="MIF47" s="69"/>
      <c r="MIG47" s="69"/>
      <c r="MIH47" s="69"/>
      <c r="MII47" s="69"/>
      <c r="MIJ47" s="69"/>
      <c r="MIK47" s="69"/>
      <c r="MIL47" s="69"/>
      <c r="MIM47" s="69"/>
      <c r="MIN47" s="69"/>
      <c r="MIO47" s="69"/>
      <c r="MIP47" s="69"/>
      <c r="MIQ47" s="69"/>
      <c r="MIR47" s="69"/>
      <c r="MIS47" s="69"/>
      <c r="MIT47" s="69"/>
      <c r="MIU47" s="69"/>
      <c r="MIV47" s="69"/>
      <c r="MIW47" s="69"/>
      <c r="MIX47" s="69"/>
      <c r="MIY47" s="69"/>
      <c r="MIZ47" s="69"/>
      <c r="MJA47" s="69"/>
      <c r="MJB47" s="69"/>
      <c r="MJC47" s="69"/>
      <c r="MJD47" s="69"/>
      <c r="MJE47" s="69"/>
      <c r="MJF47" s="69"/>
      <c r="MJG47" s="69"/>
      <c r="MJH47" s="69"/>
      <c r="MJI47" s="69"/>
      <c r="MJJ47" s="69"/>
      <c r="MJK47" s="69"/>
      <c r="MJL47" s="69"/>
      <c r="MJM47" s="69"/>
      <c r="MJN47" s="69"/>
      <c r="MJO47" s="69"/>
      <c r="MJP47" s="69"/>
      <c r="MJQ47" s="69"/>
      <c r="MJR47" s="69"/>
      <c r="MJS47" s="69"/>
      <c r="MJT47" s="69"/>
      <c r="MJU47" s="69"/>
      <c r="MJV47" s="69"/>
      <c r="MJW47" s="69"/>
      <c r="MJX47" s="69"/>
      <c r="MJY47" s="69"/>
      <c r="MJZ47" s="69"/>
      <c r="MKA47" s="69"/>
      <c r="MKB47" s="69"/>
      <c r="MKC47" s="69"/>
      <c r="MKD47" s="69"/>
      <c r="MKE47" s="69"/>
      <c r="MKF47" s="69"/>
      <c r="MKG47" s="69"/>
      <c r="MKH47" s="69"/>
      <c r="MKI47" s="69"/>
      <c r="MKJ47" s="69"/>
      <c r="MKK47" s="69"/>
      <c r="MKL47" s="69"/>
      <c r="MKM47" s="69"/>
      <c r="MKN47" s="69"/>
      <c r="MKO47" s="69"/>
      <c r="MKP47" s="69"/>
      <c r="MKQ47" s="69"/>
      <c r="MKR47" s="69"/>
      <c r="MKS47" s="69"/>
      <c r="MKT47" s="69"/>
      <c r="MKU47" s="69"/>
      <c r="MKV47" s="69"/>
      <c r="MKW47" s="69"/>
      <c r="MKX47" s="69"/>
      <c r="MKY47" s="69"/>
      <c r="MKZ47" s="69"/>
      <c r="MLA47" s="69"/>
      <c r="MLB47" s="69"/>
      <c r="MLC47" s="69"/>
      <c r="MLD47" s="69"/>
      <c r="MLE47" s="69"/>
      <c r="MLF47" s="69"/>
      <c r="MLG47" s="69"/>
      <c r="MLH47" s="69"/>
      <c r="MLI47" s="69"/>
      <c r="MLJ47" s="69"/>
      <c r="MLK47" s="69"/>
      <c r="MLL47" s="69"/>
      <c r="MLM47" s="69"/>
      <c r="MLN47" s="69"/>
      <c r="MLO47" s="69"/>
      <c r="MLP47" s="69"/>
      <c r="MLQ47" s="69"/>
      <c r="MLR47" s="69"/>
      <c r="MLS47" s="69"/>
      <c r="MLT47" s="69"/>
      <c r="MLU47" s="69"/>
      <c r="MLV47" s="69"/>
      <c r="MLW47" s="69"/>
      <c r="MLX47" s="69"/>
      <c r="MLY47" s="69"/>
      <c r="MLZ47" s="69"/>
      <c r="MMA47" s="69"/>
      <c r="MMB47" s="69"/>
      <c r="MMC47" s="69"/>
      <c r="MMD47" s="69"/>
      <c r="MME47" s="69"/>
      <c r="MMF47" s="69"/>
      <c r="MMG47" s="69"/>
      <c r="MMH47" s="69"/>
      <c r="MMI47" s="69"/>
      <c r="MMJ47" s="69"/>
      <c r="MMK47" s="69"/>
      <c r="MML47" s="69"/>
      <c r="MMM47" s="69"/>
      <c r="MMN47" s="69"/>
      <c r="MMO47" s="69"/>
      <c r="MMP47" s="69"/>
      <c r="MMQ47" s="69"/>
      <c r="MMR47" s="69"/>
      <c r="MMS47" s="69"/>
      <c r="MMT47" s="69"/>
      <c r="MMU47" s="69"/>
      <c r="MMV47" s="69"/>
      <c r="MMW47" s="69"/>
      <c r="MMX47" s="69"/>
      <c r="MMY47" s="69"/>
      <c r="MMZ47" s="69"/>
      <c r="MNA47" s="69"/>
      <c r="MNB47" s="69"/>
      <c r="MNC47" s="69"/>
      <c r="MND47" s="69"/>
      <c r="MNE47" s="69"/>
      <c r="MNF47" s="69"/>
      <c r="MNG47" s="69"/>
      <c r="MNH47" s="69"/>
      <c r="MNI47" s="69"/>
      <c r="MNJ47" s="69"/>
      <c r="MNK47" s="69"/>
      <c r="MNL47" s="69"/>
      <c r="MNM47" s="69"/>
      <c r="MNN47" s="69"/>
      <c r="MNO47" s="69"/>
      <c r="MNP47" s="69"/>
      <c r="MNQ47" s="69"/>
      <c r="MNR47" s="69"/>
      <c r="MNS47" s="69"/>
      <c r="MNT47" s="69"/>
      <c r="MNU47" s="69"/>
      <c r="MNV47" s="69"/>
      <c r="MNW47" s="69"/>
      <c r="MNX47" s="69"/>
      <c r="MNY47" s="69"/>
      <c r="MNZ47" s="69"/>
      <c r="MOA47" s="69"/>
      <c r="MOB47" s="69"/>
      <c r="MOC47" s="69"/>
      <c r="MOD47" s="69"/>
      <c r="MOE47" s="69"/>
      <c r="MOF47" s="69"/>
      <c r="MOG47" s="69"/>
      <c r="MOH47" s="69"/>
      <c r="MOI47" s="69"/>
      <c r="MOJ47" s="69"/>
      <c r="MOK47" s="69"/>
      <c r="MOL47" s="69"/>
      <c r="MOM47" s="69"/>
      <c r="MON47" s="69"/>
      <c r="MOO47" s="69"/>
      <c r="MOP47" s="69"/>
      <c r="MOQ47" s="69"/>
      <c r="MOR47" s="69"/>
      <c r="MOS47" s="69"/>
      <c r="MOT47" s="69"/>
      <c r="MOU47" s="69"/>
      <c r="MOV47" s="69"/>
      <c r="MOW47" s="69"/>
      <c r="MOX47" s="69"/>
      <c r="MOY47" s="69"/>
      <c r="MOZ47" s="69"/>
      <c r="MPA47" s="69"/>
      <c r="MPB47" s="69"/>
      <c r="MPC47" s="69"/>
      <c r="MPD47" s="69"/>
      <c r="MPE47" s="69"/>
      <c r="MPF47" s="69"/>
      <c r="MPG47" s="69"/>
      <c r="MPH47" s="69"/>
      <c r="MPI47" s="69"/>
      <c r="MPJ47" s="69"/>
      <c r="MPK47" s="69"/>
      <c r="MPL47" s="69"/>
      <c r="MPM47" s="69"/>
      <c r="MPN47" s="69"/>
      <c r="MPO47" s="69"/>
      <c r="MPP47" s="69"/>
      <c r="MPQ47" s="69"/>
      <c r="MPR47" s="69"/>
      <c r="MPS47" s="69"/>
      <c r="MPT47" s="69"/>
      <c r="MPU47" s="69"/>
      <c r="MPV47" s="69"/>
      <c r="MPW47" s="69"/>
      <c r="MPX47" s="69"/>
      <c r="MPY47" s="69"/>
      <c r="MPZ47" s="69"/>
      <c r="MQA47" s="69"/>
      <c r="MQB47" s="69"/>
      <c r="MQC47" s="69"/>
      <c r="MQD47" s="69"/>
      <c r="MQE47" s="69"/>
      <c r="MQF47" s="69"/>
      <c r="MQG47" s="69"/>
      <c r="MQH47" s="69"/>
      <c r="MQI47" s="69"/>
      <c r="MQJ47" s="69"/>
      <c r="MQK47" s="69"/>
      <c r="MQL47" s="69"/>
      <c r="MQM47" s="69"/>
      <c r="MQN47" s="69"/>
      <c r="MQO47" s="69"/>
      <c r="MQP47" s="69"/>
      <c r="MQQ47" s="69"/>
      <c r="MQR47" s="69"/>
      <c r="MQS47" s="69"/>
      <c r="MQT47" s="69"/>
      <c r="MQU47" s="69"/>
      <c r="MQV47" s="69"/>
      <c r="MQW47" s="69"/>
      <c r="MQX47" s="69"/>
      <c r="MQY47" s="69"/>
      <c r="MQZ47" s="69"/>
      <c r="MRA47" s="69"/>
      <c r="MRB47" s="69"/>
      <c r="MRC47" s="69"/>
      <c r="MRD47" s="69"/>
      <c r="MRE47" s="69"/>
      <c r="MRF47" s="69"/>
      <c r="MRG47" s="69"/>
      <c r="MRH47" s="69"/>
      <c r="MRI47" s="69"/>
      <c r="MRJ47" s="69"/>
      <c r="MRK47" s="69"/>
      <c r="MRL47" s="69"/>
      <c r="MRM47" s="69"/>
      <c r="MRN47" s="69"/>
      <c r="MRO47" s="69"/>
      <c r="MRP47" s="69"/>
      <c r="MRQ47" s="69"/>
      <c r="MRR47" s="69"/>
      <c r="MRS47" s="69"/>
      <c r="MRT47" s="69"/>
      <c r="MRU47" s="69"/>
      <c r="MRV47" s="69"/>
      <c r="MRW47" s="69"/>
      <c r="MRX47" s="69"/>
      <c r="MRY47" s="69"/>
      <c r="MRZ47" s="69"/>
      <c r="MSA47" s="69"/>
      <c r="MSB47" s="69"/>
      <c r="MSC47" s="69"/>
      <c r="MSD47" s="69"/>
      <c r="MSE47" s="69"/>
      <c r="MSF47" s="69"/>
      <c r="MSG47" s="69"/>
      <c r="MSH47" s="69"/>
      <c r="MSI47" s="69"/>
      <c r="MSJ47" s="69"/>
      <c r="MSK47" s="69"/>
      <c r="MSL47" s="69"/>
      <c r="MSM47" s="69"/>
      <c r="MSN47" s="69"/>
      <c r="MSO47" s="69"/>
      <c r="MSP47" s="69"/>
      <c r="MSQ47" s="69"/>
      <c r="MSR47" s="69"/>
      <c r="MSS47" s="69"/>
      <c r="MST47" s="69"/>
      <c r="MSU47" s="69"/>
      <c r="MSV47" s="69"/>
      <c r="MSW47" s="69"/>
      <c r="MSX47" s="69"/>
      <c r="MSY47" s="69"/>
      <c r="MSZ47" s="69"/>
      <c r="MTA47" s="69"/>
      <c r="MTB47" s="69"/>
      <c r="MTC47" s="69"/>
      <c r="MTD47" s="69"/>
      <c r="MTE47" s="69"/>
      <c r="MTF47" s="69"/>
      <c r="MTG47" s="69"/>
      <c r="MTH47" s="69"/>
      <c r="MTI47" s="69"/>
      <c r="MTJ47" s="69"/>
      <c r="MTK47" s="69"/>
      <c r="MTL47" s="69"/>
      <c r="MTM47" s="69"/>
      <c r="MTN47" s="69"/>
      <c r="MTO47" s="69"/>
      <c r="MTP47" s="69"/>
      <c r="MTQ47" s="69"/>
      <c r="MTR47" s="69"/>
      <c r="MTS47" s="69"/>
      <c r="MTT47" s="69"/>
      <c r="MTU47" s="69"/>
      <c r="MTV47" s="69"/>
      <c r="MTW47" s="69"/>
      <c r="MTX47" s="69"/>
      <c r="MTY47" s="69"/>
      <c r="MTZ47" s="69"/>
      <c r="MUA47" s="69"/>
      <c r="MUB47" s="69"/>
      <c r="MUC47" s="69"/>
      <c r="MUD47" s="69"/>
      <c r="MUE47" s="69"/>
      <c r="MUF47" s="69"/>
      <c r="MUG47" s="69"/>
      <c r="MUH47" s="69"/>
      <c r="MUI47" s="69"/>
      <c r="MUJ47" s="69"/>
      <c r="MUK47" s="69"/>
      <c r="MUL47" s="69"/>
      <c r="MUM47" s="69"/>
      <c r="MUN47" s="69"/>
      <c r="MUO47" s="69"/>
      <c r="MUP47" s="69"/>
      <c r="MUQ47" s="69"/>
      <c r="MUR47" s="69"/>
      <c r="MUS47" s="69"/>
      <c r="MUT47" s="69"/>
      <c r="MUU47" s="69"/>
      <c r="MUV47" s="69"/>
      <c r="MUW47" s="69"/>
      <c r="MUX47" s="69"/>
      <c r="MUY47" s="69"/>
      <c r="MUZ47" s="69"/>
      <c r="MVA47" s="69"/>
      <c r="MVB47" s="69"/>
      <c r="MVC47" s="69"/>
      <c r="MVD47" s="69"/>
      <c r="MVE47" s="69"/>
      <c r="MVF47" s="69"/>
      <c r="MVG47" s="69"/>
      <c r="MVH47" s="69"/>
      <c r="MVI47" s="69"/>
      <c r="MVJ47" s="69"/>
      <c r="MVK47" s="69"/>
      <c r="MVL47" s="69"/>
      <c r="MVM47" s="69"/>
      <c r="MVN47" s="69"/>
      <c r="MVO47" s="69"/>
      <c r="MVP47" s="69"/>
      <c r="MVQ47" s="69"/>
      <c r="MVR47" s="69"/>
      <c r="MVS47" s="69"/>
      <c r="MVT47" s="69"/>
      <c r="MVU47" s="69"/>
      <c r="MVV47" s="69"/>
      <c r="MVW47" s="69"/>
      <c r="MVX47" s="69"/>
      <c r="MVY47" s="69"/>
      <c r="MVZ47" s="69"/>
      <c r="MWA47" s="69"/>
      <c r="MWB47" s="69"/>
      <c r="MWC47" s="69"/>
      <c r="MWD47" s="69"/>
      <c r="MWE47" s="69"/>
      <c r="MWF47" s="69"/>
      <c r="MWG47" s="69"/>
      <c r="MWH47" s="69"/>
      <c r="MWI47" s="69"/>
      <c r="MWJ47" s="69"/>
      <c r="MWK47" s="69"/>
      <c r="MWL47" s="69"/>
      <c r="MWM47" s="69"/>
      <c r="MWN47" s="69"/>
      <c r="MWO47" s="69"/>
      <c r="MWP47" s="69"/>
      <c r="MWQ47" s="69"/>
      <c r="MWR47" s="69"/>
      <c r="MWS47" s="69"/>
      <c r="MWT47" s="69"/>
      <c r="MWU47" s="69"/>
      <c r="MWV47" s="69"/>
      <c r="MWW47" s="69"/>
      <c r="MWX47" s="69"/>
      <c r="MWY47" s="69"/>
      <c r="MWZ47" s="69"/>
      <c r="MXA47" s="69"/>
      <c r="MXB47" s="69"/>
      <c r="MXC47" s="69"/>
      <c r="MXD47" s="69"/>
      <c r="MXE47" s="69"/>
      <c r="MXF47" s="69"/>
      <c r="MXG47" s="69"/>
      <c r="MXH47" s="69"/>
      <c r="MXI47" s="69"/>
      <c r="MXJ47" s="69"/>
      <c r="MXK47" s="69"/>
      <c r="MXL47" s="69"/>
      <c r="MXM47" s="69"/>
      <c r="MXN47" s="69"/>
      <c r="MXO47" s="69"/>
      <c r="MXP47" s="69"/>
      <c r="MXQ47" s="69"/>
      <c r="MXR47" s="69"/>
      <c r="MXS47" s="69"/>
      <c r="MXT47" s="69"/>
      <c r="MXU47" s="69"/>
      <c r="MXV47" s="69"/>
      <c r="MXW47" s="69"/>
      <c r="MXX47" s="69"/>
      <c r="MXY47" s="69"/>
      <c r="MXZ47" s="69"/>
      <c r="MYA47" s="69"/>
      <c r="MYB47" s="69"/>
      <c r="MYC47" s="69"/>
      <c r="MYD47" s="69"/>
      <c r="MYE47" s="69"/>
      <c r="MYF47" s="69"/>
      <c r="MYG47" s="69"/>
      <c r="MYH47" s="69"/>
      <c r="MYI47" s="69"/>
      <c r="MYJ47" s="69"/>
      <c r="MYK47" s="69"/>
      <c r="MYL47" s="69"/>
      <c r="MYM47" s="69"/>
      <c r="MYN47" s="69"/>
      <c r="MYO47" s="69"/>
      <c r="MYP47" s="69"/>
      <c r="MYQ47" s="69"/>
      <c r="MYR47" s="69"/>
      <c r="MYS47" s="69"/>
      <c r="MYT47" s="69"/>
      <c r="MYU47" s="69"/>
      <c r="MYV47" s="69"/>
      <c r="MYW47" s="69"/>
      <c r="MYX47" s="69"/>
      <c r="MYY47" s="69"/>
      <c r="MYZ47" s="69"/>
      <c r="MZA47" s="69"/>
      <c r="MZB47" s="69"/>
      <c r="MZC47" s="69"/>
      <c r="MZD47" s="69"/>
      <c r="MZE47" s="69"/>
      <c r="MZF47" s="69"/>
      <c r="MZG47" s="69"/>
      <c r="MZH47" s="69"/>
      <c r="MZI47" s="69"/>
      <c r="MZJ47" s="69"/>
      <c r="MZK47" s="69"/>
      <c r="MZL47" s="69"/>
      <c r="MZM47" s="69"/>
      <c r="MZN47" s="69"/>
      <c r="MZO47" s="69"/>
      <c r="MZP47" s="69"/>
      <c r="MZQ47" s="69"/>
      <c r="MZR47" s="69"/>
      <c r="MZS47" s="69"/>
      <c r="MZT47" s="69"/>
      <c r="MZU47" s="69"/>
      <c r="MZV47" s="69"/>
      <c r="MZW47" s="69"/>
      <c r="MZX47" s="69"/>
      <c r="MZY47" s="69"/>
      <c r="MZZ47" s="69"/>
      <c r="NAA47" s="69"/>
      <c r="NAB47" s="69"/>
      <c r="NAC47" s="69"/>
      <c r="NAD47" s="69"/>
      <c r="NAE47" s="69"/>
      <c r="NAF47" s="69"/>
      <c r="NAG47" s="69"/>
      <c r="NAH47" s="69"/>
      <c r="NAI47" s="69"/>
      <c r="NAJ47" s="69"/>
      <c r="NAK47" s="69"/>
      <c r="NAL47" s="69"/>
      <c r="NAM47" s="69"/>
      <c r="NAN47" s="69"/>
      <c r="NAO47" s="69"/>
      <c r="NAP47" s="69"/>
      <c r="NAQ47" s="69"/>
      <c r="NAR47" s="69"/>
      <c r="NAS47" s="69"/>
      <c r="NAT47" s="69"/>
      <c r="NAU47" s="69"/>
      <c r="NAV47" s="69"/>
      <c r="NAW47" s="69"/>
      <c r="NAX47" s="69"/>
      <c r="NAY47" s="69"/>
      <c r="NAZ47" s="69"/>
      <c r="NBA47" s="69"/>
      <c r="NBB47" s="69"/>
      <c r="NBC47" s="69"/>
      <c r="NBD47" s="69"/>
      <c r="NBE47" s="69"/>
      <c r="NBF47" s="69"/>
      <c r="NBG47" s="69"/>
      <c r="NBH47" s="69"/>
      <c r="NBI47" s="69"/>
      <c r="NBJ47" s="69"/>
      <c r="NBK47" s="69"/>
      <c r="NBL47" s="69"/>
      <c r="NBM47" s="69"/>
      <c r="NBN47" s="69"/>
      <c r="NBO47" s="69"/>
      <c r="NBP47" s="69"/>
      <c r="NBQ47" s="69"/>
      <c r="NBR47" s="69"/>
      <c r="NBS47" s="69"/>
      <c r="NBT47" s="69"/>
      <c r="NBU47" s="69"/>
      <c r="NBV47" s="69"/>
      <c r="NBW47" s="69"/>
      <c r="NBX47" s="69"/>
      <c r="NBY47" s="69"/>
      <c r="NBZ47" s="69"/>
      <c r="NCA47" s="69"/>
      <c r="NCB47" s="69"/>
      <c r="NCC47" s="69"/>
      <c r="NCD47" s="69"/>
      <c r="NCE47" s="69"/>
      <c r="NCF47" s="69"/>
      <c r="NCG47" s="69"/>
      <c r="NCH47" s="69"/>
      <c r="NCI47" s="69"/>
      <c r="NCJ47" s="69"/>
      <c r="NCK47" s="69"/>
      <c r="NCL47" s="69"/>
      <c r="NCM47" s="69"/>
      <c r="NCN47" s="69"/>
      <c r="NCO47" s="69"/>
      <c r="NCP47" s="69"/>
      <c r="NCQ47" s="69"/>
      <c r="NCR47" s="69"/>
      <c r="NCS47" s="69"/>
      <c r="NCT47" s="69"/>
      <c r="NCU47" s="69"/>
      <c r="NCV47" s="69"/>
      <c r="NCW47" s="69"/>
      <c r="NCX47" s="69"/>
      <c r="NCY47" s="69"/>
      <c r="NCZ47" s="69"/>
      <c r="NDA47" s="69"/>
      <c r="NDB47" s="69"/>
      <c r="NDC47" s="69"/>
      <c r="NDD47" s="69"/>
      <c r="NDE47" s="69"/>
      <c r="NDF47" s="69"/>
      <c r="NDG47" s="69"/>
      <c r="NDH47" s="69"/>
      <c r="NDI47" s="69"/>
      <c r="NDJ47" s="69"/>
      <c r="NDK47" s="69"/>
      <c r="NDL47" s="69"/>
      <c r="NDM47" s="69"/>
      <c r="NDN47" s="69"/>
      <c r="NDO47" s="69"/>
      <c r="NDP47" s="69"/>
      <c r="NDQ47" s="69"/>
      <c r="NDR47" s="69"/>
      <c r="NDS47" s="69"/>
      <c r="NDT47" s="69"/>
      <c r="NDU47" s="69"/>
      <c r="NDV47" s="69"/>
      <c r="NDW47" s="69"/>
      <c r="NDX47" s="69"/>
      <c r="NDY47" s="69"/>
      <c r="NDZ47" s="69"/>
      <c r="NEA47" s="69"/>
      <c r="NEB47" s="69"/>
      <c r="NEC47" s="69"/>
      <c r="NED47" s="69"/>
      <c r="NEE47" s="69"/>
      <c r="NEF47" s="69"/>
      <c r="NEG47" s="69"/>
      <c r="NEH47" s="69"/>
      <c r="NEI47" s="69"/>
      <c r="NEJ47" s="69"/>
      <c r="NEK47" s="69"/>
      <c r="NEL47" s="69"/>
      <c r="NEM47" s="69"/>
      <c r="NEN47" s="69"/>
      <c r="NEO47" s="69"/>
      <c r="NEP47" s="69"/>
      <c r="NEQ47" s="69"/>
      <c r="NER47" s="69"/>
      <c r="NES47" s="69"/>
      <c r="NET47" s="69"/>
      <c r="NEU47" s="69"/>
      <c r="NEV47" s="69"/>
      <c r="NEW47" s="69"/>
      <c r="NEX47" s="69"/>
      <c r="NEY47" s="69"/>
      <c r="NEZ47" s="69"/>
      <c r="NFA47" s="69"/>
      <c r="NFB47" s="69"/>
      <c r="NFC47" s="69"/>
      <c r="NFD47" s="69"/>
      <c r="NFE47" s="69"/>
      <c r="NFF47" s="69"/>
      <c r="NFG47" s="69"/>
      <c r="NFH47" s="69"/>
      <c r="NFI47" s="69"/>
      <c r="NFJ47" s="69"/>
      <c r="NFK47" s="69"/>
      <c r="NFL47" s="69"/>
      <c r="NFM47" s="69"/>
      <c r="NFN47" s="69"/>
      <c r="NFO47" s="69"/>
      <c r="NFP47" s="69"/>
      <c r="NFQ47" s="69"/>
      <c r="NFR47" s="69"/>
      <c r="NFS47" s="69"/>
      <c r="NFT47" s="69"/>
      <c r="NFU47" s="69"/>
      <c r="NFV47" s="69"/>
      <c r="NFW47" s="69"/>
      <c r="NFX47" s="69"/>
      <c r="NFY47" s="69"/>
      <c r="NFZ47" s="69"/>
      <c r="NGA47" s="69"/>
      <c r="NGB47" s="69"/>
      <c r="NGC47" s="69"/>
      <c r="NGD47" s="69"/>
      <c r="NGE47" s="69"/>
      <c r="NGF47" s="69"/>
      <c r="NGG47" s="69"/>
      <c r="NGH47" s="69"/>
      <c r="NGI47" s="69"/>
      <c r="NGJ47" s="69"/>
      <c r="NGK47" s="69"/>
      <c r="NGL47" s="69"/>
      <c r="NGM47" s="69"/>
      <c r="NGN47" s="69"/>
      <c r="NGO47" s="69"/>
      <c r="NGP47" s="69"/>
      <c r="NGQ47" s="69"/>
      <c r="NGR47" s="69"/>
      <c r="NGS47" s="69"/>
      <c r="NGT47" s="69"/>
      <c r="NGU47" s="69"/>
      <c r="NGV47" s="69"/>
      <c r="NGW47" s="69"/>
      <c r="NGX47" s="69"/>
      <c r="NGY47" s="69"/>
      <c r="NGZ47" s="69"/>
      <c r="NHA47" s="69"/>
      <c r="NHB47" s="69"/>
      <c r="NHC47" s="69"/>
      <c r="NHD47" s="69"/>
      <c r="NHE47" s="69"/>
      <c r="NHF47" s="69"/>
      <c r="NHG47" s="69"/>
      <c r="NHH47" s="69"/>
      <c r="NHI47" s="69"/>
      <c r="NHJ47" s="69"/>
      <c r="NHK47" s="69"/>
      <c r="NHL47" s="69"/>
      <c r="NHM47" s="69"/>
      <c r="NHN47" s="69"/>
      <c r="NHO47" s="69"/>
      <c r="NHP47" s="69"/>
      <c r="NHQ47" s="69"/>
      <c r="NHR47" s="69"/>
      <c r="NHS47" s="69"/>
      <c r="NHT47" s="69"/>
      <c r="NHU47" s="69"/>
      <c r="NHV47" s="69"/>
      <c r="NHW47" s="69"/>
      <c r="NHX47" s="69"/>
      <c r="NHY47" s="69"/>
      <c r="NHZ47" s="69"/>
      <c r="NIA47" s="69"/>
      <c r="NIB47" s="69"/>
      <c r="NIC47" s="69"/>
      <c r="NID47" s="69"/>
      <c r="NIE47" s="69"/>
      <c r="NIF47" s="69"/>
      <c r="NIG47" s="69"/>
      <c r="NIH47" s="69"/>
      <c r="NII47" s="69"/>
      <c r="NIJ47" s="69"/>
      <c r="NIK47" s="69"/>
      <c r="NIL47" s="69"/>
      <c r="NIM47" s="69"/>
      <c r="NIN47" s="69"/>
      <c r="NIO47" s="69"/>
      <c r="NIP47" s="69"/>
      <c r="NIQ47" s="69"/>
      <c r="NIR47" s="69"/>
      <c r="NIS47" s="69"/>
      <c r="NIT47" s="69"/>
      <c r="NIU47" s="69"/>
      <c r="NIV47" s="69"/>
      <c r="NIW47" s="69"/>
      <c r="NIX47" s="69"/>
      <c r="NIY47" s="69"/>
      <c r="NIZ47" s="69"/>
      <c r="NJA47" s="69"/>
      <c r="NJB47" s="69"/>
      <c r="NJC47" s="69"/>
      <c r="NJD47" s="69"/>
      <c r="NJE47" s="69"/>
      <c r="NJF47" s="69"/>
      <c r="NJG47" s="69"/>
      <c r="NJH47" s="69"/>
      <c r="NJI47" s="69"/>
      <c r="NJJ47" s="69"/>
      <c r="NJK47" s="69"/>
      <c r="NJL47" s="69"/>
      <c r="NJM47" s="69"/>
      <c r="NJN47" s="69"/>
      <c r="NJO47" s="69"/>
      <c r="NJP47" s="69"/>
      <c r="NJQ47" s="69"/>
      <c r="NJR47" s="69"/>
      <c r="NJS47" s="69"/>
      <c r="NJT47" s="69"/>
      <c r="NJU47" s="69"/>
      <c r="NJV47" s="69"/>
      <c r="NJW47" s="69"/>
      <c r="NJX47" s="69"/>
      <c r="NJY47" s="69"/>
      <c r="NJZ47" s="69"/>
      <c r="NKA47" s="69"/>
      <c r="NKB47" s="69"/>
      <c r="NKC47" s="69"/>
      <c r="NKD47" s="69"/>
      <c r="NKE47" s="69"/>
      <c r="NKF47" s="69"/>
      <c r="NKG47" s="69"/>
      <c r="NKH47" s="69"/>
      <c r="NKI47" s="69"/>
      <c r="NKJ47" s="69"/>
      <c r="NKK47" s="69"/>
      <c r="NKL47" s="69"/>
      <c r="NKM47" s="69"/>
      <c r="NKN47" s="69"/>
      <c r="NKO47" s="69"/>
      <c r="NKP47" s="69"/>
      <c r="NKQ47" s="69"/>
      <c r="NKR47" s="69"/>
      <c r="NKS47" s="69"/>
      <c r="NKT47" s="69"/>
      <c r="NKU47" s="69"/>
      <c r="NKV47" s="69"/>
      <c r="NKW47" s="69"/>
      <c r="NKX47" s="69"/>
      <c r="NKY47" s="69"/>
      <c r="NKZ47" s="69"/>
      <c r="NLA47" s="69"/>
      <c r="NLB47" s="69"/>
      <c r="NLC47" s="69"/>
      <c r="NLD47" s="69"/>
      <c r="NLE47" s="69"/>
      <c r="NLF47" s="69"/>
      <c r="NLG47" s="69"/>
      <c r="NLH47" s="69"/>
      <c r="NLI47" s="69"/>
      <c r="NLJ47" s="69"/>
      <c r="NLK47" s="69"/>
      <c r="NLL47" s="69"/>
      <c r="NLM47" s="69"/>
      <c r="NLN47" s="69"/>
      <c r="NLO47" s="69"/>
      <c r="NLP47" s="69"/>
      <c r="NLQ47" s="69"/>
      <c r="NLR47" s="69"/>
      <c r="NLS47" s="69"/>
      <c r="NLT47" s="69"/>
      <c r="NLU47" s="69"/>
      <c r="NLV47" s="69"/>
      <c r="NLW47" s="69"/>
      <c r="NLX47" s="69"/>
      <c r="NLY47" s="69"/>
      <c r="NLZ47" s="69"/>
      <c r="NMA47" s="69"/>
      <c r="NMB47" s="69"/>
      <c r="NMC47" s="69"/>
      <c r="NMD47" s="69"/>
      <c r="NME47" s="69"/>
      <c r="NMF47" s="69"/>
      <c r="NMG47" s="69"/>
      <c r="NMH47" s="69"/>
      <c r="NMI47" s="69"/>
      <c r="NMJ47" s="69"/>
      <c r="NMK47" s="69"/>
      <c r="NML47" s="69"/>
      <c r="NMM47" s="69"/>
      <c r="NMN47" s="69"/>
      <c r="NMO47" s="69"/>
      <c r="NMP47" s="69"/>
      <c r="NMQ47" s="69"/>
      <c r="NMR47" s="69"/>
      <c r="NMS47" s="69"/>
      <c r="NMT47" s="69"/>
      <c r="NMU47" s="69"/>
      <c r="NMV47" s="69"/>
      <c r="NMW47" s="69"/>
      <c r="NMX47" s="69"/>
      <c r="NMY47" s="69"/>
      <c r="NMZ47" s="69"/>
      <c r="NNA47" s="69"/>
      <c r="NNB47" s="69"/>
      <c r="NNC47" s="69"/>
      <c r="NND47" s="69"/>
      <c r="NNE47" s="69"/>
      <c r="NNF47" s="69"/>
      <c r="NNG47" s="69"/>
      <c r="NNH47" s="69"/>
      <c r="NNI47" s="69"/>
      <c r="NNJ47" s="69"/>
      <c r="NNK47" s="69"/>
      <c r="NNL47" s="69"/>
      <c r="NNM47" s="69"/>
      <c r="NNN47" s="69"/>
      <c r="NNO47" s="69"/>
      <c r="NNP47" s="69"/>
      <c r="NNQ47" s="69"/>
      <c r="NNR47" s="69"/>
      <c r="NNS47" s="69"/>
      <c r="NNT47" s="69"/>
      <c r="NNU47" s="69"/>
      <c r="NNV47" s="69"/>
      <c r="NNW47" s="69"/>
      <c r="NNX47" s="69"/>
      <c r="NNY47" s="69"/>
      <c r="NNZ47" s="69"/>
      <c r="NOA47" s="69"/>
      <c r="NOB47" s="69"/>
      <c r="NOC47" s="69"/>
      <c r="NOD47" s="69"/>
      <c r="NOE47" s="69"/>
      <c r="NOF47" s="69"/>
      <c r="NOG47" s="69"/>
      <c r="NOH47" s="69"/>
      <c r="NOI47" s="69"/>
      <c r="NOJ47" s="69"/>
      <c r="NOK47" s="69"/>
      <c r="NOL47" s="69"/>
      <c r="NOM47" s="69"/>
      <c r="NON47" s="69"/>
      <c r="NOO47" s="69"/>
      <c r="NOP47" s="69"/>
      <c r="NOQ47" s="69"/>
      <c r="NOR47" s="69"/>
      <c r="NOS47" s="69"/>
      <c r="NOT47" s="69"/>
      <c r="NOU47" s="69"/>
      <c r="NOV47" s="69"/>
      <c r="NOW47" s="69"/>
      <c r="NOX47" s="69"/>
      <c r="NOY47" s="69"/>
      <c r="NOZ47" s="69"/>
      <c r="NPA47" s="69"/>
      <c r="NPB47" s="69"/>
      <c r="NPC47" s="69"/>
      <c r="NPD47" s="69"/>
      <c r="NPE47" s="69"/>
      <c r="NPF47" s="69"/>
      <c r="NPG47" s="69"/>
      <c r="NPH47" s="69"/>
      <c r="NPI47" s="69"/>
      <c r="NPJ47" s="69"/>
      <c r="NPK47" s="69"/>
      <c r="NPL47" s="69"/>
      <c r="NPM47" s="69"/>
      <c r="NPN47" s="69"/>
      <c r="NPO47" s="69"/>
      <c r="NPP47" s="69"/>
      <c r="NPQ47" s="69"/>
      <c r="NPR47" s="69"/>
      <c r="NPS47" s="69"/>
      <c r="NPT47" s="69"/>
      <c r="NPU47" s="69"/>
      <c r="NPV47" s="69"/>
      <c r="NPW47" s="69"/>
      <c r="NPX47" s="69"/>
      <c r="NPY47" s="69"/>
      <c r="NPZ47" s="69"/>
      <c r="NQA47" s="69"/>
      <c r="NQB47" s="69"/>
      <c r="NQC47" s="69"/>
      <c r="NQD47" s="69"/>
      <c r="NQE47" s="69"/>
      <c r="NQF47" s="69"/>
      <c r="NQG47" s="69"/>
      <c r="NQH47" s="69"/>
      <c r="NQI47" s="69"/>
      <c r="NQJ47" s="69"/>
      <c r="NQK47" s="69"/>
      <c r="NQL47" s="69"/>
      <c r="NQM47" s="69"/>
      <c r="NQN47" s="69"/>
      <c r="NQO47" s="69"/>
      <c r="NQP47" s="69"/>
      <c r="NQQ47" s="69"/>
      <c r="NQR47" s="69"/>
      <c r="NQS47" s="69"/>
      <c r="NQT47" s="69"/>
      <c r="NQU47" s="69"/>
      <c r="NQV47" s="69"/>
      <c r="NQW47" s="69"/>
      <c r="NQX47" s="69"/>
      <c r="NQY47" s="69"/>
      <c r="NQZ47" s="69"/>
      <c r="NRA47" s="69"/>
      <c r="NRB47" s="69"/>
      <c r="NRC47" s="69"/>
      <c r="NRD47" s="69"/>
      <c r="NRE47" s="69"/>
      <c r="NRF47" s="69"/>
      <c r="NRG47" s="69"/>
      <c r="NRH47" s="69"/>
      <c r="NRI47" s="69"/>
      <c r="NRJ47" s="69"/>
      <c r="NRK47" s="69"/>
      <c r="NRL47" s="69"/>
      <c r="NRM47" s="69"/>
      <c r="NRN47" s="69"/>
      <c r="NRO47" s="69"/>
      <c r="NRP47" s="69"/>
      <c r="NRQ47" s="69"/>
      <c r="NRR47" s="69"/>
      <c r="NRS47" s="69"/>
      <c r="NRT47" s="69"/>
      <c r="NRU47" s="69"/>
      <c r="NRV47" s="69"/>
      <c r="NRW47" s="69"/>
      <c r="NRX47" s="69"/>
      <c r="NRY47" s="69"/>
      <c r="NRZ47" s="69"/>
      <c r="NSA47" s="69"/>
      <c r="NSB47" s="69"/>
      <c r="NSC47" s="69"/>
      <c r="NSD47" s="69"/>
      <c r="NSE47" s="69"/>
      <c r="NSF47" s="69"/>
      <c r="NSG47" s="69"/>
      <c r="NSH47" s="69"/>
      <c r="NSI47" s="69"/>
      <c r="NSJ47" s="69"/>
      <c r="NSK47" s="69"/>
      <c r="NSL47" s="69"/>
      <c r="NSM47" s="69"/>
      <c r="NSN47" s="69"/>
      <c r="NSO47" s="69"/>
      <c r="NSP47" s="69"/>
      <c r="NSQ47" s="69"/>
      <c r="NSR47" s="69"/>
      <c r="NSS47" s="69"/>
      <c r="NST47" s="69"/>
      <c r="NSU47" s="69"/>
      <c r="NSV47" s="69"/>
      <c r="NSW47" s="69"/>
      <c r="NSX47" s="69"/>
      <c r="NSY47" s="69"/>
      <c r="NSZ47" s="69"/>
      <c r="NTA47" s="69"/>
      <c r="NTB47" s="69"/>
      <c r="NTC47" s="69"/>
      <c r="NTD47" s="69"/>
      <c r="NTE47" s="69"/>
      <c r="NTF47" s="69"/>
      <c r="NTG47" s="69"/>
      <c r="NTH47" s="69"/>
      <c r="NTI47" s="69"/>
      <c r="NTJ47" s="69"/>
      <c r="NTK47" s="69"/>
      <c r="NTL47" s="69"/>
      <c r="NTM47" s="69"/>
      <c r="NTN47" s="69"/>
      <c r="NTO47" s="69"/>
      <c r="NTP47" s="69"/>
      <c r="NTQ47" s="69"/>
      <c r="NTR47" s="69"/>
      <c r="NTS47" s="69"/>
      <c r="NTT47" s="69"/>
      <c r="NTU47" s="69"/>
      <c r="NTV47" s="69"/>
      <c r="NTW47" s="69"/>
      <c r="NTX47" s="69"/>
      <c r="NTY47" s="69"/>
      <c r="NTZ47" s="69"/>
      <c r="NUA47" s="69"/>
      <c r="NUB47" s="69"/>
      <c r="NUC47" s="69"/>
      <c r="NUD47" s="69"/>
      <c r="NUE47" s="69"/>
      <c r="NUF47" s="69"/>
      <c r="NUG47" s="69"/>
      <c r="NUH47" s="69"/>
      <c r="NUI47" s="69"/>
      <c r="NUJ47" s="69"/>
      <c r="NUK47" s="69"/>
      <c r="NUL47" s="69"/>
      <c r="NUM47" s="69"/>
      <c r="NUN47" s="69"/>
      <c r="NUO47" s="69"/>
      <c r="NUP47" s="69"/>
      <c r="NUQ47" s="69"/>
      <c r="NUR47" s="69"/>
      <c r="NUS47" s="69"/>
      <c r="NUT47" s="69"/>
      <c r="NUU47" s="69"/>
      <c r="NUV47" s="69"/>
      <c r="NUW47" s="69"/>
      <c r="NUX47" s="69"/>
      <c r="NUY47" s="69"/>
      <c r="NUZ47" s="69"/>
      <c r="NVA47" s="69"/>
      <c r="NVB47" s="69"/>
      <c r="NVC47" s="69"/>
      <c r="NVD47" s="69"/>
      <c r="NVE47" s="69"/>
      <c r="NVF47" s="69"/>
      <c r="NVG47" s="69"/>
      <c r="NVH47" s="69"/>
      <c r="NVI47" s="69"/>
      <c r="NVJ47" s="69"/>
      <c r="NVK47" s="69"/>
      <c r="NVL47" s="69"/>
      <c r="NVM47" s="69"/>
      <c r="NVN47" s="69"/>
      <c r="NVO47" s="69"/>
      <c r="NVP47" s="69"/>
      <c r="NVQ47" s="69"/>
      <c r="NVR47" s="69"/>
      <c r="NVS47" s="69"/>
      <c r="NVT47" s="69"/>
      <c r="NVU47" s="69"/>
      <c r="NVV47" s="69"/>
      <c r="NVW47" s="69"/>
      <c r="NVX47" s="69"/>
      <c r="NVY47" s="69"/>
      <c r="NVZ47" s="69"/>
      <c r="NWA47" s="69"/>
      <c r="NWB47" s="69"/>
      <c r="NWC47" s="69"/>
      <c r="NWD47" s="69"/>
      <c r="NWE47" s="69"/>
      <c r="NWF47" s="69"/>
      <c r="NWG47" s="69"/>
      <c r="NWH47" s="69"/>
      <c r="NWI47" s="69"/>
      <c r="NWJ47" s="69"/>
      <c r="NWK47" s="69"/>
      <c r="NWL47" s="69"/>
      <c r="NWM47" s="69"/>
      <c r="NWN47" s="69"/>
      <c r="NWO47" s="69"/>
      <c r="NWP47" s="69"/>
      <c r="NWQ47" s="69"/>
      <c r="NWR47" s="69"/>
      <c r="NWS47" s="69"/>
      <c r="NWT47" s="69"/>
      <c r="NWU47" s="69"/>
      <c r="NWV47" s="69"/>
      <c r="NWW47" s="69"/>
      <c r="NWX47" s="69"/>
      <c r="NWY47" s="69"/>
      <c r="NWZ47" s="69"/>
      <c r="NXA47" s="69"/>
      <c r="NXB47" s="69"/>
      <c r="NXC47" s="69"/>
      <c r="NXD47" s="69"/>
      <c r="NXE47" s="69"/>
      <c r="NXF47" s="69"/>
      <c r="NXG47" s="69"/>
      <c r="NXH47" s="69"/>
      <c r="NXI47" s="69"/>
      <c r="NXJ47" s="69"/>
      <c r="NXK47" s="69"/>
      <c r="NXL47" s="69"/>
      <c r="NXM47" s="69"/>
      <c r="NXN47" s="69"/>
      <c r="NXO47" s="69"/>
      <c r="NXP47" s="69"/>
      <c r="NXQ47" s="69"/>
      <c r="NXR47" s="69"/>
      <c r="NXS47" s="69"/>
      <c r="NXT47" s="69"/>
      <c r="NXU47" s="69"/>
      <c r="NXV47" s="69"/>
      <c r="NXW47" s="69"/>
      <c r="NXX47" s="69"/>
      <c r="NXY47" s="69"/>
      <c r="NXZ47" s="69"/>
      <c r="NYA47" s="69"/>
      <c r="NYB47" s="69"/>
      <c r="NYC47" s="69"/>
      <c r="NYD47" s="69"/>
      <c r="NYE47" s="69"/>
      <c r="NYF47" s="69"/>
      <c r="NYG47" s="69"/>
      <c r="NYH47" s="69"/>
      <c r="NYI47" s="69"/>
      <c r="NYJ47" s="69"/>
      <c r="NYK47" s="69"/>
      <c r="NYL47" s="69"/>
      <c r="NYM47" s="69"/>
      <c r="NYN47" s="69"/>
      <c r="NYO47" s="69"/>
      <c r="NYP47" s="69"/>
      <c r="NYQ47" s="69"/>
      <c r="NYR47" s="69"/>
      <c r="NYS47" s="69"/>
      <c r="NYT47" s="69"/>
      <c r="NYU47" s="69"/>
      <c r="NYV47" s="69"/>
      <c r="NYW47" s="69"/>
      <c r="NYX47" s="69"/>
      <c r="NYY47" s="69"/>
      <c r="NYZ47" s="69"/>
      <c r="NZA47" s="69"/>
      <c r="NZB47" s="69"/>
      <c r="NZC47" s="69"/>
      <c r="NZD47" s="69"/>
      <c r="NZE47" s="69"/>
      <c r="NZF47" s="69"/>
      <c r="NZG47" s="69"/>
      <c r="NZH47" s="69"/>
      <c r="NZI47" s="69"/>
      <c r="NZJ47" s="69"/>
      <c r="NZK47" s="69"/>
      <c r="NZL47" s="69"/>
      <c r="NZM47" s="69"/>
      <c r="NZN47" s="69"/>
      <c r="NZO47" s="69"/>
      <c r="NZP47" s="69"/>
      <c r="NZQ47" s="69"/>
      <c r="NZR47" s="69"/>
      <c r="NZS47" s="69"/>
      <c r="NZT47" s="69"/>
      <c r="NZU47" s="69"/>
      <c r="NZV47" s="69"/>
      <c r="NZW47" s="69"/>
      <c r="NZX47" s="69"/>
      <c r="NZY47" s="69"/>
      <c r="NZZ47" s="69"/>
      <c r="OAA47" s="69"/>
      <c r="OAB47" s="69"/>
      <c r="OAC47" s="69"/>
      <c r="OAD47" s="69"/>
      <c r="OAE47" s="69"/>
      <c r="OAF47" s="69"/>
      <c r="OAG47" s="69"/>
      <c r="OAH47" s="69"/>
      <c r="OAI47" s="69"/>
      <c r="OAJ47" s="69"/>
      <c r="OAK47" s="69"/>
      <c r="OAL47" s="69"/>
      <c r="OAM47" s="69"/>
      <c r="OAN47" s="69"/>
      <c r="OAO47" s="69"/>
      <c r="OAP47" s="69"/>
      <c r="OAQ47" s="69"/>
      <c r="OAR47" s="69"/>
      <c r="OAS47" s="69"/>
      <c r="OAT47" s="69"/>
      <c r="OAU47" s="69"/>
      <c r="OAV47" s="69"/>
      <c r="OAW47" s="69"/>
      <c r="OAX47" s="69"/>
      <c r="OAY47" s="69"/>
      <c r="OAZ47" s="69"/>
      <c r="OBA47" s="69"/>
      <c r="OBB47" s="69"/>
      <c r="OBC47" s="69"/>
      <c r="OBD47" s="69"/>
      <c r="OBE47" s="69"/>
      <c r="OBF47" s="69"/>
      <c r="OBG47" s="69"/>
      <c r="OBH47" s="69"/>
      <c r="OBI47" s="69"/>
      <c r="OBJ47" s="69"/>
      <c r="OBK47" s="69"/>
      <c r="OBL47" s="69"/>
      <c r="OBM47" s="69"/>
      <c r="OBN47" s="69"/>
      <c r="OBO47" s="69"/>
      <c r="OBP47" s="69"/>
      <c r="OBQ47" s="69"/>
      <c r="OBR47" s="69"/>
      <c r="OBS47" s="69"/>
      <c r="OBT47" s="69"/>
      <c r="OBU47" s="69"/>
      <c r="OBV47" s="69"/>
      <c r="OBW47" s="69"/>
      <c r="OBX47" s="69"/>
      <c r="OBY47" s="69"/>
      <c r="OBZ47" s="69"/>
      <c r="OCA47" s="69"/>
      <c r="OCB47" s="69"/>
      <c r="OCC47" s="69"/>
      <c r="OCD47" s="69"/>
      <c r="OCE47" s="69"/>
      <c r="OCF47" s="69"/>
      <c r="OCG47" s="69"/>
      <c r="OCH47" s="69"/>
      <c r="OCI47" s="69"/>
      <c r="OCJ47" s="69"/>
      <c r="OCK47" s="69"/>
      <c r="OCL47" s="69"/>
      <c r="OCM47" s="69"/>
      <c r="OCN47" s="69"/>
      <c r="OCO47" s="69"/>
      <c r="OCP47" s="69"/>
      <c r="OCQ47" s="69"/>
      <c r="OCR47" s="69"/>
      <c r="OCS47" s="69"/>
      <c r="OCT47" s="69"/>
      <c r="OCU47" s="69"/>
      <c r="OCV47" s="69"/>
      <c r="OCW47" s="69"/>
      <c r="OCX47" s="69"/>
      <c r="OCY47" s="69"/>
      <c r="OCZ47" s="69"/>
      <c r="ODA47" s="69"/>
      <c r="ODB47" s="69"/>
      <c r="ODC47" s="69"/>
      <c r="ODD47" s="69"/>
      <c r="ODE47" s="69"/>
      <c r="ODF47" s="69"/>
      <c r="ODG47" s="69"/>
      <c r="ODH47" s="69"/>
      <c r="ODI47" s="69"/>
      <c r="ODJ47" s="69"/>
      <c r="ODK47" s="69"/>
      <c r="ODL47" s="69"/>
      <c r="ODM47" s="69"/>
      <c r="ODN47" s="69"/>
      <c r="ODO47" s="69"/>
      <c r="ODP47" s="69"/>
      <c r="ODQ47" s="69"/>
      <c r="ODR47" s="69"/>
      <c r="ODS47" s="69"/>
      <c r="ODT47" s="69"/>
      <c r="ODU47" s="69"/>
      <c r="ODV47" s="69"/>
      <c r="ODW47" s="69"/>
      <c r="ODX47" s="69"/>
      <c r="ODY47" s="69"/>
      <c r="ODZ47" s="69"/>
      <c r="OEA47" s="69"/>
      <c r="OEB47" s="69"/>
      <c r="OEC47" s="69"/>
      <c r="OED47" s="69"/>
      <c r="OEE47" s="69"/>
      <c r="OEF47" s="69"/>
      <c r="OEG47" s="69"/>
      <c r="OEH47" s="69"/>
      <c r="OEI47" s="69"/>
      <c r="OEJ47" s="69"/>
      <c r="OEK47" s="69"/>
      <c r="OEL47" s="69"/>
      <c r="OEM47" s="69"/>
      <c r="OEN47" s="69"/>
      <c r="OEO47" s="69"/>
      <c r="OEP47" s="69"/>
      <c r="OEQ47" s="69"/>
      <c r="OER47" s="69"/>
      <c r="OES47" s="69"/>
      <c r="OET47" s="69"/>
      <c r="OEU47" s="69"/>
      <c r="OEV47" s="69"/>
      <c r="OEW47" s="69"/>
      <c r="OEX47" s="69"/>
      <c r="OEY47" s="69"/>
      <c r="OEZ47" s="69"/>
      <c r="OFA47" s="69"/>
      <c r="OFB47" s="69"/>
      <c r="OFC47" s="69"/>
      <c r="OFD47" s="69"/>
      <c r="OFE47" s="69"/>
      <c r="OFF47" s="69"/>
      <c r="OFG47" s="69"/>
      <c r="OFH47" s="69"/>
      <c r="OFI47" s="69"/>
      <c r="OFJ47" s="69"/>
      <c r="OFK47" s="69"/>
      <c r="OFL47" s="69"/>
      <c r="OFM47" s="69"/>
      <c r="OFN47" s="69"/>
      <c r="OFO47" s="69"/>
      <c r="OFP47" s="69"/>
      <c r="OFQ47" s="69"/>
      <c r="OFR47" s="69"/>
      <c r="OFS47" s="69"/>
      <c r="OFT47" s="69"/>
      <c r="OFU47" s="69"/>
      <c r="OFV47" s="69"/>
      <c r="OFW47" s="69"/>
      <c r="OFX47" s="69"/>
      <c r="OFY47" s="69"/>
      <c r="OFZ47" s="69"/>
      <c r="OGA47" s="69"/>
      <c r="OGB47" s="69"/>
      <c r="OGC47" s="69"/>
      <c r="OGD47" s="69"/>
      <c r="OGE47" s="69"/>
      <c r="OGF47" s="69"/>
      <c r="OGG47" s="69"/>
      <c r="OGH47" s="69"/>
      <c r="OGI47" s="69"/>
      <c r="OGJ47" s="69"/>
      <c r="OGK47" s="69"/>
      <c r="OGL47" s="69"/>
      <c r="OGM47" s="69"/>
      <c r="OGN47" s="69"/>
      <c r="OGO47" s="69"/>
      <c r="OGP47" s="69"/>
      <c r="OGQ47" s="69"/>
      <c r="OGR47" s="69"/>
      <c r="OGS47" s="69"/>
      <c r="OGT47" s="69"/>
      <c r="OGU47" s="69"/>
      <c r="OGV47" s="69"/>
      <c r="OGW47" s="69"/>
      <c r="OGX47" s="69"/>
      <c r="OGY47" s="69"/>
      <c r="OGZ47" s="69"/>
      <c r="OHA47" s="69"/>
      <c r="OHB47" s="69"/>
      <c r="OHC47" s="69"/>
      <c r="OHD47" s="69"/>
      <c r="OHE47" s="69"/>
      <c r="OHF47" s="69"/>
      <c r="OHG47" s="69"/>
      <c r="OHH47" s="69"/>
      <c r="OHI47" s="69"/>
      <c r="OHJ47" s="69"/>
      <c r="OHK47" s="69"/>
      <c r="OHL47" s="69"/>
      <c r="OHM47" s="69"/>
      <c r="OHN47" s="69"/>
      <c r="OHO47" s="69"/>
      <c r="OHP47" s="69"/>
      <c r="OHQ47" s="69"/>
      <c r="OHR47" s="69"/>
      <c r="OHS47" s="69"/>
      <c r="OHT47" s="69"/>
      <c r="OHU47" s="69"/>
      <c r="OHV47" s="69"/>
      <c r="OHW47" s="69"/>
      <c r="OHX47" s="69"/>
      <c r="OHY47" s="69"/>
      <c r="OHZ47" s="69"/>
      <c r="OIA47" s="69"/>
      <c r="OIB47" s="69"/>
      <c r="OIC47" s="69"/>
      <c r="OID47" s="69"/>
      <c r="OIE47" s="69"/>
      <c r="OIF47" s="69"/>
      <c r="OIG47" s="69"/>
      <c r="OIH47" s="69"/>
      <c r="OII47" s="69"/>
      <c r="OIJ47" s="69"/>
      <c r="OIK47" s="69"/>
      <c r="OIL47" s="69"/>
      <c r="OIM47" s="69"/>
      <c r="OIN47" s="69"/>
      <c r="OIO47" s="69"/>
      <c r="OIP47" s="69"/>
      <c r="OIQ47" s="69"/>
      <c r="OIR47" s="69"/>
      <c r="OIS47" s="69"/>
      <c r="OIT47" s="69"/>
      <c r="OIU47" s="69"/>
      <c r="OIV47" s="69"/>
      <c r="OIW47" s="69"/>
      <c r="OIX47" s="69"/>
      <c r="OIY47" s="69"/>
      <c r="OIZ47" s="69"/>
      <c r="OJA47" s="69"/>
      <c r="OJB47" s="69"/>
      <c r="OJC47" s="69"/>
      <c r="OJD47" s="69"/>
      <c r="OJE47" s="69"/>
      <c r="OJF47" s="69"/>
      <c r="OJG47" s="69"/>
      <c r="OJH47" s="69"/>
      <c r="OJI47" s="69"/>
      <c r="OJJ47" s="69"/>
      <c r="OJK47" s="69"/>
      <c r="OJL47" s="69"/>
      <c r="OJM47" s="69"/>
      <c r="OJN47" s="69"/>
      <c r="OJO47" s="69"/>
      <c r="OJP47" s="69"/>
      <c r="OJQ47" s="69"/>
      <c r="OJR47" s="69"/>
      <c r="OJS47" s="69"/>
      <c r="OJT47" s="69"/>
      <c r="OJU47" s="69"/>
      <c r="OJV47" s="69"/>
      <c r="OJW47" s="69"/>
      <c r="OJX47" s="69"/>
      <c r="OJY47" s="69"/>
      <c r="OJZ47" s="69"/>
      <c r="OKA47" s="69"/>
      <c r="OKB47" s="69"/>
      <c r="OKC47" s="69"/>
      <c r="OKD47" s="69"/>
      <c r="OKE47" s="69"/>
      <c r="OKF47" s="69"/>
      <c r="OKG47" s="69"/>
      <c r="OKH47" s="69"/>
      <c r="OKI47" s="69"/>
      <c r="OKJ47" s="69"/>
      <c r="OKK47" s="69"/>
      <c r="OKL47" s="69"/>
      <c r="OKM47" s="69"/>
      <c r="OKN47" s="69"/>
      <c r="OKO47" s="69"/>
      <c r="OKP47" s="69"/>
      <c r="OKQ47" s="69"/>
      <c r="OKR47" s="69"/>
      <c r="OKS47" s="69"/>
      <c r="OKT47" s="69"/>
      <c r="OKU47" s="69"/>
      <c r="OKV47" s="69"/>
      <c r="OKW47" s="69"/>
      <c r="OKX47" s="69"/>
      <c r="OKY47" s="69"/>
      <c r="OKZ47" s="69"/>
      <c r="OLA47" s="69"/>
      <c r="OLB47" s="69"/>
      <c r="OLC47" s="69"/>
      <c r="OLD47" s="69"/>
      <c r="OLE47" s="69"/>
      <c r="OLF47" s="69"/>
      <c r="OLG47" s="69"/>
      <c r="OLH47" s="69"/>
      <c r="OLI47" s="69"/>
      <c r="OLJ47" s="69"/>
      <c r="OLK47" s="69"/>
      <c r="OLL47" s="69"/>
      <c r="OLM47" s="69"/>
      <c r="OLN47" s="69"/>
      <c r="OLO47" s="69"/>
      <c r="OLP47" s="69"/>
      <c r="OLQ47" s="69"/>
      <c r="OLR47" s="69"/>
      <c r="OLS47" s="69"/>
      <c r="OLT47" s="69"/>
      <c r="OLU47" s="69"/>
      <c r="OLV47" s="69"/>
      <c r="OLW47" s="69"/>
      <c r="OLX47" s="69"/>
      <c r="OLY47" s="69"/>
      <c r="OLZ47" s="69"/>
      <c r="OMA47" s="69"/>
      <c r="OMB47" s="69"/>
      <c r="OMC47" s="69"/>
      <c r="OMD47" s="69"/>
      <c r="OME47" s="69"/>
      <c r="OMF47" s="69"/>
      <c r="OMG47" s="69"/>
      <c r="OMH47" s="69"/>
      <c r="OMI47" s="69"/>
      <c r="OMJ47" s="69"/>
      <c r="OMK47" s="69"/>
      <c r="OML47" s="69"/>
      <c r="OMM47" s="69"/>
      <c r="OMN47" s="69"/>
      <c r="OMO47" s="69"/>
      <c r="OMP47" s="69"/>
      <c r="OMQ47" s="69"/>
      <c r="OMR47" s="69"/>
      <c r="OMS47" s="69"/>
      <c r="OMT47" s="69"/>
      <c r="OMU47" s="69"/>
      <c r="OMV47" s="69"/>
      <c r="OMW47" s="69"/>
      <c r="OMX47" s="69"/>
      <c r="OMY47" s="69"/>
      <c r="OMZ47" s="69"/>
      <c r="ONA47" s="69"/>
      <c r="ONB47" s="69"/>
      <c r="ONC47" s="69"/>
      <c r="OND47" s="69"/>
      <c r="ONE47" s="69"/>
      <c r="ONF47" s="69"/>
      <c r="ONG47" s="69"/>
      <c r="ONH47" s="69"/>
      <c r="ONI47" s="69"/>
      <c r="ONJ47" s="69"/>
      <c r="ONK47" s="69"/>
      <c r="ONL47" s="69"/>
      <c r="ONM47" s="69"/>
      <c r="ONN47" s="69"/>
      <c r="ONO47" s="69"/>
      <c r="ONP47" s="69"/>
      <c r="ONQ47" s="69"/>
      <c r="ONR47" s="69"/>
      <c r="ONS47" s="69"/>
      <c r="ONT47" s="69"/>
      <c r="ONU47" s="69"/>
      <c r="ONV47" s="69"/>
      <c r="ONW47" s="69"/>
      <c r="ONX47" s="69"/>
      <c r="ONY47" s="69"/>
      <c r="ONZ47" s="69"/>
      <c r="OOA47" s="69"/>
      <c r="OOB47" s="69"/>
      <c r="OOC47" s="69"/>
      <c r="OOD47" s="69"/>
      <c r="OOE47" s="69"/>
      <c r="OOF47" s="69"/>
      <c r="OOG47" s="69"/>
      <c r="OOH47" s="69"/>
      <c r="OOI47" s="69"/>
      <c r="OOJ47" s="69"/>
      <c r="OOK47" s="69"/>
      <c r="OOL47" s="69"/>
      <c r="OOM47" s="69"/>
      <c r="OON47" s="69"/>
      <c r="OOO47" s="69"/>
      <c r="OOP47" s="69"/>
      <c r="OOQ47" s="69"/>
      <c r="OOR47" s="69"/>
      <c r="OOS47" s="69"/>
      <c r="OOT47" s="69"/>
      <c r="OOU47" s="69"/>
      <c r="OOV47" s="69"/>
      <c r="OOW47" s="69"/>
      <c r="OOX47" s="69"/>
      <c r="OOY47" s="69"/>
      <c r="OOZ47" s="69"/>
      <c r="OPA47" s="69"/>
      <c r="OPB47" s="69"/>
      <c r="OPC47" s="69"/>
      <c r="OPD47" s="69"/>
      <c r="OPE47" s="69"/>
      <c r="OPF47" s="69"/>
      <c r="OPG47" s="69"/>
      <c r="OPH47" s="69"/>
      <c r="OPI47" s="69"/>
      <c r="OPJ47" s="69"/>
      <c r="OPK47" s="69"/>
      <c r="OPL47" s="69"/>
      <c r="OPM47" s="69"/>
      <c r="OPN47" s="69"/>
      <c r="OPO47" s="69"/>
      <c r="OPP47" s="69"/>
      <c r="OPQ47" s="69"/>
      <c r="OPR47" s="69"/>
      <c r="OPS47" s="69"/>
      <c r="OPT47" s="69"/>
      <c r="OPU47" s="69"/>
      <c r="OPV47" s="69"/>
      <c r="OPW47" s="69"/>
      <c r="OPX47" s="69"/>
      <c r="OPY47" s="69"/>
      <c r="OPZ47" s="69"/>
      <c r="OQA47" s="69"/>
      <c r="OQB47" s="69"/>
      <c r="OQC47" s="69"/>
      <c r="OQD47" s="69"/>
      <c r="OQE47" s="69"/>
      <c r="OQF47" s="69"/>
      <c r="OQG47" s="69"/>
      <c r="OQH47" s="69"/>
      <c r="OQI47" s="69"/>
      <c r="OQJ47" s="69"/>
      <c r="OQK47" s="69"/>
      <c r="OQL47" s="69"/>
      <c r="OQM47" s="69"/>
      <c r="OQN47" s="69"/>
      <c r="OQO47" s="69"/>
      <c r="OQP47" s="69"/>
      <c r="OQQ47" s="69"/>
      <c r="OQR47" s="69"/>
      <c r="OQS47" s="69"/>
      <c r="OQT47" s="69"/>
      <c r="OQU47" s="69"/>
      <c r="OQV47" s="69"/>
      <c r="OQW47" s="69"/>
      <c r="OQX47" s="69"/>
      <c r="OQY47" s="69"/>
      <c r="OQZ47" s="69"/>
      <c r="ORA47" s="69"/>
      <c r="ORB47" s="69"/>
      <c r="ORC47" s="69"/>
      <c r="ORD47" s="69"/>
      <c r="ORE47" s="69"/>
      <c r="ORF47" s="69"/>
      <c r="ORG47" s="69"/>
      <c r="ORH47" s="69"/>
      <c r="ORI47" s="69"/>
      <c r="ORJ47" s="69"/>
      <c r="ORK47" s="69"/>
      <c r="ORL47" s="69"/>
      <c r="ORM47" s="69"/>
      <c r="ORN47" s="69"/>
      <c r="ORO47" s="69"/>
      <c r="ORP47" s="69"/>
      <c r="ORQ47" s="69"/>
      <c r="ORR47" s="69"/>
      <c r="ORS47" s="69"/>
      <c r="ORT47" s="69"/>
      <c r="ORU47" s="69"/>
      <c r="ORV47" s="69"/>
      <c r="ORW47" s="69"/>
      <c r="ORX47" s="69"/>
      <c r="ORY47" s="69"/>
      <c r="ORZ47" s="69"/>
      <c r="OSA47" s="69"/>
      <c r="OSB47" s="69"/>
      <c r="OSC47" s="69"/>
      <c r="OSD47" s="69"/>
      <c r="OSE47" s="69"/>
      <c r="OSF47" s="69"/>
      <c r="OSG47" s="69"/>
      <c r="OSH47" s="69"/>
      <c r="OSI47" s="69"/>
      <c r="OSJ47" s="69"/>
      <c r="OSK47" s="69"/>
      <c r="OSL47" s="69"/>
      <c r="OSM47" s="69"/>
      <c r="OSN47" s="69"/>
      <c r="OSO47" s="69"/>
      <c r="OSP47" s="69"/>
      <c r="OSQ47" s="69"/>
      <c r="OSR47" s="69"/>
      <c r="OSS47" s="69"/>
      <c r="OST47" s="69"/>
      <c r="OSU47" s="69"/>
      <c r="OSV47" s="69"/>
      <c r="OSW47" s="69"/>
      <c r="OSX47" s="69"/>
      <c r="OSY47" s="69"/>
      <c r="OSZ47" s="69"/>
      <c r="OTA47" s="69"/>
      <c r="OTB47" s="69"/>
      <c r="OTC47" s="69"/>
      <c r="OTD47" s="69"/>
      <c r="OTE47" s="69"/>
      <c r="OTF47" s="69"/>
      <c r="OTG47" s="69"/>
      <c r="OTH47" s="69"/>
      <c r="OTI47" s="69"/>
      <c r="OTJ47" s="69"/>
      <c r="OTK47" s="69"/>
      <c r="OTL47" s="69"/>
      <c r="OTM47" s="69"/>
      <c r="OTN47" s="69"/>
      <c r="OTO47" s="69"/>
      <c r="OTP47" s="69"/>
      <c r="OTQ47" s="69"/>
      <c r="OTR47" s="69"/>
      <c r="OTS47" s="69"/>
      <c r="OTT47" s="69"/>
      <c r="OTU47" s="69"/>
      <c r="OTV47" s="69"/>
      <c r="OTW47" s="69"/>
      <c r="OTX47" s="69"/>
      <c r="OTY47" s="69"/>
      <c r="OTZ47" s="69"/>
      <c r="OUA47" s="69"/>
      <c r="OUB47" s="69"/>
      <c r="OUC47" s="69"/>
      <c r="OUD47" s="69"/>
      <c r="OUE47" s="69"/>
      <c r="OUF47" s="69"/>
      <c r="OUG47" s="69"/>
      <c r="OUH47" s="69"/>
      <c r="OUI47" s="69"/>
      <c r="OUJ47" s="69"/>
      <c r="OUK47" s="69"/>
      <c r="OUL47" s="69"/>
      <c r="OUM47" s="69"/>
      <c r="OUN47" s="69"/>
      <c r="OUO47" s="69"/>
      <c r="OUP47" s="69"/>
      <c r="OUQ47" s="69"/>
      <c r="OUR47" s="69"/>
      <c r="OUS47" s="69"/>
      <c r="OUT47" s="69"/>
      <c r="OUU47" s="69"/>
      <c r="OUV47" s="69"/>
      <c r="OUW47" s="69"/>
      <c r="OUX47" s="69"/>
      <c r="OUY47" s="69"/>
      <c r="OUZ47" s="69"/>
      <c r="OVA47" s="69"/>
      <c r="OVB47" s="69"/>
      <c r="OVC47" s="69"/>
      <c r="OVD47" s="69"/>
      <c r="OVE47" s="69"/>
      <c r="OVF47" s="69"/>
      <c r="OVG47" s="69"/>
      <c r="OVH47" s="69"/>
      <c r="OVI47" s="69"/>
      <c r="OVJ47" s="69"/>
      <c r="OVK47" s="69"/>
      <c r="OVL47" s="69"/>
      <c r="OVM47" s="69"/>
      <c r="OVN47" s="69"/>
      <c r="OVO47" s="69"/>
      <c r="OVP47" s="69"/>
      <c r="OVQ47" s="69"/>
      <c r="OVR47" s="69"/>
      <c r="OVS47" s="69"/>
      <c r="OVT47" s="69"/>
      <c r="OVU47" s="69"/>
      <c r="OVV47" s="69"/>
      <c r="OVW47" s="69"/>
      <c r="OVX47" s="69"/>
      <c r="OVY47" s="69"/>
      <c r="OVZ47" s="69"/>
      <c r="OWA47" s="69"/>
      <c r="OWB47" s="69"/>
      <c r="OWC47" s="69"/>
      <c r="OWD47" s="69"/>
      <c r="OWE47" s="69"/>
      <c r="OWF47" s="69"/>
      <c r="OWG47" s="69"/>
      <c r="OWH47" s="69"/>
      <c r="OWI47" s="69"/>
      <c r="OWJ47" s="69"/>
      <c r="OWK47" s="69"/>
      <c r="OWL47" s="69"/>
      <c r="OWM47" s="69"/>
      <c r="OWN47" s="69"/>
      <c r="OWO47" s="69"/>
      <c r="OWP47" s="69"/>
      <c r="OWQ47" s="69"/>
      <c r="OWR47" s="69"/>
      <c r="OWS47" s="69"/>
      <c r="OWT47" s="69"/>
      <c r="OWU47" s="69"/>
      <c r="OWV47" s="69"/>
      <c r="OWW47" s="69"/>
      <c r="OWX47" s="69"/>
      <c r="OWY47" s="69"/>
      <c r="OWZ47" s="69"/>
      <c r="OXA47" s="69"/>
      <c r="OXB47" s="69"/>
      <c r="OXC47" s="69"/>
      <c r="OXD47" s="69"/>
      <c r="OXE47" s="69"/>
      <c r="OXF47" s="69"/>
      <c r="OXG47" s="69"/>
      <c r="OXH47" s="69"/>
      <c r="OXI47" s="69"/>
      <c r="OXJ47" s="69"/>
      <c r="OXK47" s="69"/>
      <c r="OXL47" s="69"/>
      <c r="OXM47" s="69"/>
      <c r="OXN47" s="69"/>
      <c r="OXO47" s="69"/>
      <c r="OXP47" s="69"/>
      <c r="OXQ47" s="69"/>
      <c r="OXR47" s="69"/>
      <c r="OXS47" s="69"/>
      <c r="OXT47" s="69"/>
      <c r="OXU47" s="69"/>
      <c r="OXV47" s="69"/>
      <c r="OXW47" s="69"/>
      <c r="OXX47" s="69"/>
      <c r="OXY47" s="69"/>
      <c r="OXZ47" s="69"/>
      <c r="OYA47" s="69"/>
      <c r="OYB47" s="69"/>
      <c r="OYC47" s="69"/>
      <c r="OYD47" s="69"/>
      <c r="OYE47" s="69"/>
      <c r="OYF47" s="69"/>
      <c r="OYG47" s="69"/>
      <c r="OYH47" s="69"/>
      <c r="OYI47" s="69"/>
      <c r="OYJ47" s="69"/>
      <c r="OYK47" s="69"/>
      <c r="OYL47" s="69"/>
      <c r="OYM47" s="69"/>
      <c r="OYN47" s="69"/>
      <c r="OYO47" s="69"/>
      <c r="OYP47" s="69"/>
      <c r="OYQ47" s="69"/>
      <c r="OYR47" s="69"/>
      <c r="OYS47" s="69"/>
      <c r="OYT47" s="69"/>
      <c r="OYU47" s="69"/>
      <c r="OYV47" s="69"/>
      <c r="OYW47" s="69"/>
      <c r="OYX47" s="69"/>
      <c r="OYY47" s="69"/>
      <c r="OYZ47" s="69"/>
      <c r="OZA47" s="69"/>
      <c r="OZB47" s="69"/>
      <c r="OZC47" s="69"/>
      <c r="OZD47" s="69"/>
      <c r="OZE47" s="69"/>
      <c r="OZF47" s="69"/>
      <c r="OZG47" s="69"/>
      <c r="OZH47" s="69"/>
      <c r="OZI47" s="69"/>
      <c r="OZJ47" s="69"/>
      <c r="OZK47" s="69"/>
      <c r="OZL47" s="69"/>
      <c r="OZM47" s="69"/>
      <c r="OZN47" s="69"/>
      <c r="OZO47" s="69"/>
      <c r="OZP47" s="69"/>
      <c r="OZQ47" s="69"/>
      <c r="OZR47" s="69"/>
      <c r="OZS47" s="69"/>
      <c r="OZT47" s="69"/>
      <c r="OZU47" s="69"/>
      <c r="OZV47" s="69"/>
      <c r="OZW47" s="69"/>
      <c r="OZX47" s="69"/>
      <c r="OZY47" s="69"/>
      <c r="OZZ47" s="69"/>
      <c r="PAA47" s="69"/>
      <c r="PAB47" s="69"/>
      <c r="PAC47" s="69"/>
      <c r="PAD47" s="69"/>
      <c r="PAE47" s="69"/>
      <c r="PAF47" s="69"/>
      <c r="PAG47" s="69"/>
      <c r="PAH47" s="69"/>
      <c r="PAI47" s="69"/>
      <c r="PAJ47" s="69"/>
      <c r="PAK47" s="69"/>
      <c r="PAL47" s="69"/>
      <c r="PAM47" s="69"/>
      <c r="PAN47" s="69"/>
      <c r="PAO47" s="69"/>
      <c r="PAP47" s="69"/>
      <c r="PAQ47" s="69"/>
      <c r="PAR47" s="69"/>
      <c r="PAS47" s="69"/>
      <c r="PAT47" s="69"/>
      <c r="PAU47" s="69"/>
      <c r="PAV47" s="69"/>
      <c r="PAW47" s="69"/>
      <c r="PAX47" s="69"/>
      <c r="PAY47" s="69"/>
      <c r="PAZ47" s="69"/>
      <c r="PBA47" s="69"/>
      <c r="PBB47" s="69"/>
      <c r="PBC47" s="69"/>
      <c r="PBD47" s="69"/>
      <c r="PBE47" s="69"/>
      <c r="PBF47" s="69"/>
      <c r="PBG47" s="69"/>
      <c r="PBH47" s="69"/>
      <c r="PBI47" s="69"/>
      <c r="PBJ47" s="69"/>
      <c r="PBK47" s="69"/>
      <c r="PBL47" s="69"/>
      <c r="PBM47" s="69"/>
      <c r="PBN47" s="69"/>
      <c r="PBO47" s="69"/>
      <c r="PBP47" s="69"/>
      <c r="PBQ47" s="69"/>
      <c r="PBR47" s="69"/>
      <c r="PBS47" s="69"/>
      <c r="PBT47" s="69"/>
      <c r="PBU47" s="69"/>
      <c r="PBV47" s="69"/>
      <c r="PBW47" s="69"/>
      <c r="PBX47" s="69"/>
      <c r="PBY47" s="69"/>
      <c r="PBZ47" s="69"/>
      <c r="PCA47" s="69"/>
      <c r="PCB47" s="69"/>
      <c r="PCC47" s="69"/>
      <c r="PCD47" s="69"/>
      <c r="PCE47" s="69"/>
      <c r="PCF47" s="69"/>
      <c r="PCG47" s="69"/>
      <c r="PCH47" s="69"/>
      <c r="PCI47" s="69"/>
      <c r="PCJ47" s="69"/>
      <c r="PCK47" s="69"/>
      <c r="PCL47" s="69"/>
      <c r="PCM47" s="69"/>
      <c r="PCN47" s="69"/>
      <c r="PCO47" s="69"/>
      <c r="PCP47" s="69"/>
      <c r="PCQ47" s="69"/>
      <c r="PCR47" s="69"/>
      <c r="PCS47" s="69"/>
      <c r="PCT47" s="69"/>
      <c r="PCU47" s="69"/>
      <c r="PCV47" s="69"/>
      <c r="PCW47" s="69"/>
      <c r="PCX47" s="69"/>
      <c r="PCY47" s="69"/>
      <c r="PCZ47" s="69"/>
      <c r="PDA47" s="69"/>
      <c r="PDB47" s="69"/>
      <c r="PDC47" s="69"/>
      <c r="PDD47" s="69"/>
      <c r="PDE47" s="69"/>
      <c r="PDF47" s="69"/>
      <c r="PDG47" s="69"/>
      <c r="PDH47" s="69"/>
      <c r="PDI47" s="69"/>
      <c r="PDJ47" s="69"/>
      <c r="PDK47" s="69"/>
      <c r="PDL47" s="69"/>
      <c r="PDM47" s="69"/>
      <c r="PDN47" s="69"/>
      <c r="PDO47" s="69"/>
      <c r="PDP47" s="69"/>
      <c r="PDQ47" s="69"/>
      <c r="PDR47" s="69"/>
      <c r="PDS47" s="69"/>
      <c r="PDT47" s="69"/>
      <c r="PDU47" s="69"/>
      <c r="PDV47" s="69"/>
      <c r="PDW47" s="69"/>
      <c r="PDX47" s="69"/>
      <c r="PDY47" s="69"/>
      <c r="PDZ47" s="69"/>
      <c r="PEA47" s="69"/>
      <c r="PEB47" s="69"/>
      <c r="PEC47" s="69"/>
      <c r="PED47" s="69"/>
      <c r="PEE47" s="69"/>
      <c r="PEF47" s="69"/>
      <c r="PEG47" s="69"/>
      <c r="PEH47" s="69"/>
      <c r="PEI47" s="69"/>
      <c r="PEJ47" s="69"/>
      <c r="PEK47" s="69"/>
      <c r="PEL47" s="69"/>
      <c r="PEM47" s="69"/>
      <c r="PEN47" s="69"/>
      <c r="PEO47" s="69"/>
      <c r="PEP47" s="69"/>
      <c r="PEQ47" s="69"/>
      <c r="PER47" s="69"/>
      <c r="PES47" s="69"/>
      <c r="PET47" s="69"/>
      <c r="PEU47" s="69"/>
      <c r="PEV47" s="69"/>
      <c r="PEW47" s="69"/>
      <c r="PEX47" s="69"/>
      <c r="PEY47" s="69"/>
      <c r="PEZ47" s="69"/>
      <c r="PFA47" s="69"/>
      <c r="PFB47" s="69"/>
      <c r="PFC47" s="69"/>
      <c r="PFD47" s="69"/>
      <c r="PFE47" s="69"/>
      <c r="PFF47" s="69"/>
      <c r="PFG47" s="69"/>
      <c r="PFH47" s="69"/>
      <c r="PFI47" s="69"/>
      <c r="PFJ47" s="69"/>
      <c r="PFK47" s="69"/>
      <c r="PFL47" s="69"/>
      <c r="PFM47" s="69"/>
      <c r="PFN47" s="69"/>
      <c r="PFO47" s="69"/>
      <c r="PFP47" s="69"/>
      <c r="PFQ47" s="69"/>
      <c r="PFR47" s="69"/>
      <c r="PFS47" s="69"/>
      <c r="PFT47" s="69"/>
      <c r="PFU47" s="69"/>
      <c r="PFV47" s="69"/>
      <c r="PFW47" s="69"/>
      <c r="PFX47" s="69"/>
      <c r="PFY47" s="69"/>
      <c r="PFZ47" s="69"/>
      <c r="PGA47" s="69"/>
      <c r="PGB47" s="69"/>
      <c r="PGC47" s="69"/>
      <c r="PGD47" s="69"/>
      <c r="PGE47" s="69"/>
      <c r="PGF47" s="69"/>
      <c r="PGG47" s="69"/>
      <c r="PGH47" s="69"/>
      <c r="PGI47" s="69"/>
      <c r="PGJ47" s="69"/>
      <c r="PGK47" s="69"/>
      <c r="PGL47" s="69"/>
      <c r="PGM47" s="69"/>
      <c r="PGN47" s="69"/>
      <c r="PGO47" s="69"/>
      <c r="PGP47" s="69"/>
      <c r="PGQ47" s="69"/>
      <c r="PGR47" s="69"/>
      <c r="PGS47" s="69"/>
      <c r="PGT47" s="69"/>
      <c r="PGU47" s="69"/>
      <c r="PGV47" s="69"/>
      <c r="PGW47" s="69"/>
      <c r="PGX47" s="69"/>
      <c r="PGY47" s="69"/>
      <c r="PGZ47" s="69"/>
      <c r="PHA47" s="69"/>
      <c r="PHB47" s="69"/>
      <c r="PHC47" s="69"/>
      <c r="PHD47" s="69"/>
      <c r="PHE47" s="69"/>
      <c r="PHF47" s="69"/>
      <c r="PHG47" s="69"/>
      <c r="PHH47" s="69"/>
      <c r="PHI47" s="69"/>
      <c r="PHJ47" s="69"/>
      <c r="PHK47" s="69"/>
      <c r="PHL47" s="69"/>
      <c r="PHM47" s="69"/>
      <c r="PHN47" s="69"/>
      <c r="PHO47" s="69"/>
      <c r="PHP47" s="69"/>
      <c r="PHQ47" s="69"/>
      <c r="PHR47" s="69"/>
      <c r="PHS47" s="69"/>
      <c r="PHT47" s="69"/>
      <c r="PHU47" s="69"/>
      <c r="PHV47" s="69"/>
      <c r="PHW47" s="69"/>
      <c r="PHX47" s="69"/>
      <c r="PHY47" s="69"/>
      <c r="PHZ47" s="69"/>
      <c r="PIA47" s="69"/>
      <c r="PIB47" s="69"/>
      <c r="PIC47" s="69"/>
      <c r="PID47" s="69"/>
      <c r="PIE47" s="69"/>
      <c r="PIF47" s="69"/>
      <c r="PIG47" s="69"/>
      <c r="PIH47" s="69"/>
      <c r="PII47" s="69"/>
      <c r="PIJ47" s="69"/>
      <c r="PIK47" s="69"/>
      <c r="PIL47" s="69"/>
      <c r="PIM47" s="69"/>
      <c r="PIN47" s="69"/>
      <c r="PIO47" s="69"/>
      <c r="PIP47" s="69"/>
      <c r="PIQ47" s="69"/>
      <c r="PIR47" s="69"/>
      <c r="PIS47" s="69"/>
      <c r="PIT47" s="69"/>
      <c r="PIU47" s="69"/>
      <c r="PIV47" s="69"/>
      <c r="PIW47" s="69"/>
      <c r="PIX47" s="69"/>
      <c r="PIY47" s="69"/>
      <c r="PIZ47" s="69"/>
      <c r="PJA47" s="69"/>
      <c r="PJB47" s="69"/>
      <c r="PJC47" s="69"/>
      <c r="PJD47" s="69"/>
      <c r="PJE47" s="69"/>
      <c r="PJF47" s="69"/>
      <c r="PJG47" s="69"/>
      <c r="PJH47" s="69"/>
      <c r="PJI47" s="69"/>
      <c r="PJJ47" s="69"/>
      <c r="PJK47" s="69"/>
      <c r="PJL47" s="69"/>
      <c r="PJM47" s="69"/>
      <c r="PJN47" s="69"/>
      <c r="PJO47" s="69"/>
      <c r="PJP47" s="69"/>
      <c r="PJQ47" s="69"/>
      <c r="PJR47" s="69"/>
      <c r="PJS47" s="69"/>
      <c r="PJT47" s="69"/>
      <c r="PJU47" s="69"/>
      <c r="PJV47" s="69"/>
      <c r="PJW47" s="69"/>
      <c r="PJX47" s="69"/>
      <c r="PJY47" s="69"/>
      <c r="PJZ47" s="69"/>
      <c r="PKA47" s="69"/>
      <c r="PKB47" s="69"/>
      <c r="PKC47" s="69"/>
      <c r="PKD47" s="69"/>
      <c r="PKE47" s="69"/>
      <c r="PKF47" s="69"/>
      <c r="PKG47" s="69"/>
      <c r="PKH47" s="69"/>
      <c r="PKI47" s="69"/>
      <c r="PKJ47" s="69"/>
      <c r="PKK47" s="69"/>
      <c r="PKL47" s="69"/>
      <c r="PKM47" s="69"/>
      <c r="PKN47" s="69"/>
      <c r="PKO47" s="69"/>
      <c r="PKP47" s="69"/>
      <c r="PKQ47" s="69"/>
      <c r="PKR47" s="69"/>
      <c r="PKS47" s="69"/>
      <c r="PKT47" s="69"/>
      <c r="PKU47" s="69"/>
      <c r="PKV47" s="69"/>
      <c r="PKW47" s="69"/>
      <c r="PKX47" s="69"/>
      <c r="PKY47" s="69"/>
      <c r="PKZ47" s="69"/>
      <c r="PLA47" s="69"/>
      <c r="PLB47" s="69"/>
      <c r="PLC47" s="69"/>
      <c r="PLD47" s="69"/>
      <c r="PLE47" s="69"/>
      <c r="PLF47" s="69"/>
      <c r="PLG47" s="69"/>
      <c r="PLH47" s="69"/>
      <c r="PLI47" s="69"/>
      <c r="PLJ47" s="69"/>
      <c r="PLK47" s="69"/>
      <c r="PLL47" s="69"/>
      <c r="PLM47" s="69"/>
      <c r="PLN47" s="69"/>
      <c r="PLO47" s="69"/>
      <c r="PLP47" s="69"/>
      <c r="PLQ47" s="69"/>
      <c r="PLR47" s="69"/>
      <c r="PLS47" s="69"/>
      <c r="PLT47" s="69"/>
      <c r="PLU47" s="69"/>
      <c r="PLV47" s="69"/>
      <c r="PLW47" s="69"/>
      <c r="PLX47" s="69"/>
      <c r="PLY47" s="69"/>
      <c r="PLZ47" s="69"/>
      <c r="PMA47" s="69"/>
      <c r="PMB47" s="69"/>
      <c r="PMC47" s="69"/>
      <c r="PMD47" s="69"/>
      <c r="PME47" s="69"/>
      <c r="PMF47" s="69"/>
      <c r="PMG47" s="69"/>
      <c r="PMH47" s="69"/>
      <c r="PMI47" s="69"/>
      <c r="PMJ47" s="69"/>
      <c r="PMK47" s="69"/>
      <c r="PML47" s="69"/>
      <c r="PMM47" s="69"/>
      <c r="PMN47" s="69"/>
      <c r="PMO47" s="69"/>
      <c r="PMP47" s="69"/>
      <c r="PMQ47" s="69"/>
      <c r="PMR47" s="69"/>
      <c r="PMS47" s="69"/>
      <c r="PMT47" s="69"/>
      <c r="PMU47" s="69"/>
      <c r="PMV47" s="69"/>
      <c r="PMW47" s="69"/>
      <c r="PMX47" s="69"/>
      <c r="PMY47" s="69"/>
      <c r="PMZ47" s="69"/>
      <c r="PNA47" s="69"/>
      <c r="PNB47" s="69"/>
      <c r="PNC47" s="69"/>
      <c r="PND47" s="69"/>
      <c r="PNE47" s="69"/>
      <c r="PNF47" s="69"/>
      <c r="PNG47" s="69"/>
      <c r="PNH47" s="69"/>
      <c r="PNI47" s="69"/>
      <c r="PNJ47" s="69"/>
      <c r="PNK47" s="69"/>
      <c r="PNL47" s="69"/>
      <c r="PNM47" s="69"/>
      <c r="PNN47" s="69"/>
      <c r="PNO47" s="69"/>
      <c r="PNP47" s="69"/>
      <c r="PNQ47" s="69"/>
      <c r="PNR47" s="69"/>
      <c r="PNS47" s="69"/>
      <c r="PNT47" s="69"/>
      <c r="PNU47" s="69"/>
      <c r="PNV47" s="69"/>
      <c r="PNW47" s="69"/>
      <c r="PNX47" s="69"/>
      <c r="PNY47" s="69"/>
      <c r="PNZ47" s="69"/>
      <c r="POA47" s="69"/>
      <c r="POB47" s="69"/>
      <c r="POC47" s="69"/>
      <c r="POD47" s="69"/>
      <c r="POE47" s="69"/>
      <c r="POF47" s="69"/>
      <c r="POG47" s="69"/>
      <c r="POH47" s="69"/>
      <c r="POI47" s="69"/>
      <c r="POJ47" s="69"/>
      <c r="POK47" s="69"/>
      <c r="POL47" s="69"/>
      <c r="POM47" s="69"/>
      <c r="PON47" s="69"/>
      <c r="POO47" s="69"/>
      <c r="POP47" s="69"/>
      <c r="POQ47" s="69"/>
      <c r="POR47" s="69"/>
      <c r="POS47" s="69"/>
      <c r="POT47" s="69"/>
      <c r="POU47" s="69"/>
      <c r="POV47" s="69"/>
      <c r="POW47" s="69"/>
      <c r="POX47" s="69"/>
      <c r="POY47" s="69"/>
      <c r="POZ47" s="69"/>
      <c r="PPA47" s="69"/>
      <c r="PPB47" s="69"/>
      <c r="PPC47" s="69"/>
      <c r="PPD47" s="69"/>
      <c r="PPE47" s="69"/>
      <c r="PPF47" s="69"/>
      <c r="PPG47" s="69"/>
      <c r="PPH47" s="69"/>
      <c r="PPI47" s="69"/>
      <c r="PPJ47" s="69"/>
      <c r="PPK47" s="69"/>
      <c r="PPL47" s="69"/>
      <c r="PPM47" s="69"/>
      <c r="PPN47" s="69"/>
      <c r="PPO47" s="69"/>
      <c r="PPP47" s="69"/>
      <c r="PPQ47" s="69"/>
      <c r="PPR47" s="69"/>
      <c r="PPS47" s="69"/>
      <c r="PPT47" s="69"/>
      <c r="PPU47" s="69"/>
      <c r="PPV47" s="69"/>
      <c r="PPW47" s="69"/>
      <c r="PPX47" s="69"/>
      <c r="PPY47" s="69"/>
      <c r="PPZ47" s="69"/>
      <c r="PQA47" s="69"/>
      <c r="PQB47" s="69"/>
      <c r="PQC47" s="69"/>
      <c r="PQD47" s="69"/>
      <c r="PQE47" s="69"/>
      <c r="PQF47" s="69"/>
      <c r="PQG47" s="69"/>
      <c r="PQH47" s="69"/>
      <c r="PQI47" s="69"/>
      <c r="PQJ47" s="69"/>
      <c r="PQK47" s="69"/>
      <c r="PQL47" s="69"/>
      <c r="PQM47" s="69"/>
      <c r="PQN47" s="69"/>
      <c r="PQO47" s="69"/>
      <c r="PQP47" s="69"/>
      <c r="PQQ47" s="69"/>
      <c r="PQR47" s="69"/>
      <c r="PQS47" s="69"/>
      <c r="PQT47" s="69"/>
      <c r="PQU47" s="69"/>
      <c r="PQV47" s="69"/>
      <c r="PQW47" s="69"/>
      <c r="PQX47" s="69"/>
      <c r="PQY47" s="69"/>
      <c r="PQZ47" s="69"/>
      <c r="PRA47" s="69"/>
      <c r="PRB47" s="69"/>
      <c r="PRC47" s="69"/>
      <c r="PRD47" s="69"/>
      <c r="PRE47" s="69"/>
      <c r="PRF47" s="69"/>
      <c r="PRG47" s="69"/>
      <c r="PRH47" s="69"/>
      <c r="PRI47" s="69"/>
      <c r="PRJ47" s="69"/>
      <c r="PRK47" s="69"/>
      <c r="PRL47" s="69"/>
      <c r="PRM47" s="69"/>
      <c r="PRN47" s="69"/>
      <c r="PRO47" s="69"/>
      <c r="PRP47" s="69"/>
      <c r="PRQ47" s="69"/>
      <c r="PRR47" s="69"/>
      <c r="PRS47" s="69"/>
      <c r="PRT47" s="69"/>
      <c r="PRU47" s="69"/>
      <c r="PRV47" s="69"/>
      <c r="PRW47" s="69"/>
      <c r="PRX47" s="69"/>
      <c r="PRY47" s="69"/>
      <c r="PRZ47" s="69"/>
      <c r="PSA47" s="69"/>
      <c r="PSB47" s="69"/>
      <c r="PSC47" s="69"/>
      <c r="PSD47" s="69"/>
      <c r="PSE47" s="69"/>
      <c r="PSF47" s="69"/>
      <c r="PSG47" s="69"/>
      <c r="PSH47" s="69"/>
      <c r="PSI47" s="69"/>
      <c r="PSJ47" s="69"/>
      <c r="PSK47" s="69"/>
      <c r="PSL47" s="69"/>
      <c r="PSM47" s="69"/>
      <c r="PSN47" s="69"/>
      <c r="PSO47" s="69"/>
      <c r="PSP47" s="69"/>
      <c r="PSQ47" s="69"/>
      <c r="PSR47" s="69"/>
      <c r="PSS47" s="69"/>
      <c r="PST47" s="69"/>
      <c r="PSU47" s="69"/>
      <c r="PSV47" s="69"/>
      <c r="PSW47" s="69"/>
      <c r="PSX47" s="69"/>
      <c r="PSY47" s="69"/>
      <c r="PSZ47" s="69"/>
      <c r="PTA47" s="69"/>
      <c r="PTB47" s="69"/>
      <c r="PTC47" s="69"/>
      <c r="PTD47" s="69"/>
      <c r="PTE47" s="69"/>
      <c r="PTF47" s="69"/>
      <c r="PTG47" s="69"/>
      <c r="PTH47" s="69"/>
      <c r="PTI47" s="69"/>
      <c r="PTJ47" s="69"/>
      <c r="PTK47" s="69"/>
      <c r="PTL47" s="69"/>
      <c r="PTM47" s="69"/>
      <c r="PTN47" s="69"/>
      <c r="PTO47" s="69"/>
      <c r="PTP47" s="69"/>
      <c r="PTQ47" s="69"/>
      <c r="PTR47" s="69"/>
      <c r="PTS47" s="69"/>
      <c r="PTT47" s="69"/>
      <c r="PTU47" s="69"/>
      <c r="PTV47" s="69"/>
      <c r="PTW47" s="69"/>
      <c r="PTX47" s="69"/>
      <c r="PTY47" s="69"/>
      <c r="PTZ47" s="69"/>
      <c r="PUA47" s="69"/>
      <c r="PUB47" s="69"/>
      <c r="PUC47" s="69"/>
      <c r="PUD47" s="69"/>
      <c r="PUE47" s="69"/>
      <c r="PUF47" s="69"/>
      <c r="PUG47" s="69"/>
      <c r="PUH47" s="69"/>
      <c r="PUI47" s="69"/>
      <c r="PUJ47" s="69"/>
      <c r="PUK47" s="69"/>
      <c r="PUL47" s="69"/>
      <c r="PUM47" s="69"/>
      <c r="PUN47" s="69"/>
      <c r="PUO47" s="69"/>
      <c r="PUP47" s="69"/>
      <c r="PUQ47" s="69"/>
      <c r="PUR47" s="69"/>
      <c r="PUS47" s="69"/>
      <c r="PUT47" s="69"/>
      <c r="PUU47" s="69"/>
      <c r="PUV47" s="69"/>
      <c r="PUW47" s="69"/>
      <c r="PUX47" s="69"/>
      <c r="PUY47" s="69"/>
      <c r="PUZ47" s="69"/>
      <c r="PVA47" s="69"/>
      <c r="PVB47" s="69"/>
      <c r="PVC47" s="69"/>
      <c r="PVD47" s="69"/>
      <c r="PVE47" s="69"/>
      <c r="PVF47" s="69"/>
      <c r="PVG47" s="69"/>
      <c r="PVH47" s="69"/>
      <c r="PVI47" s="69"/>
      <c r="PVJ47" s="69"/>
      <c r="PVK47" s="69"/>
      <c r="PVL47" s="69"/>
      <c r="PVM47" s="69"/>
      <c r="PVN47" s="69"/>
      <c r="PVO47" s="69"/>
      <c r="PVP47" s="69"/>
      <c r="PVQ47" s="69"/>
      <c r="PVR47" s="69"/>
      <c r="PVS47" s="69"/>
      <c r="PVT47" s="69"/>
      <c r="PVU47" s="69"/>
      <c r="PVV47" s="69"/>
      <c r="PVW47" s="69"/>
      <c r="PVX47" s="69"/>
      <c r="PVY47" s="69"/>
      <c r="PVZ47" s="69"/>
      <c r="PWA47" s="69"/>
      <c r="PWB47" s="69"/>
      <c r="PWC47" s="69"/>
      <c r="PWD47" s="69"/>
      <c r="PWE47" s="69"/>
      <c r="PWF47" s="69"/>
      <c r="PWG47" s="69"/>
      <c r="PWH47" s="69"/>
      <c r="PWI47" s="69"/>
      <c r="PWJ47" s="69"/>
      <c r="PWK47" s="69"/>
      <c r="PWL47" s="69"/>
      <c r="PWM47" s="69"/>
      <c r="PWN47" s="69"/>
      <c r="PWO47" s="69"/>
      <c r="PWP47" s="69"/>
      <c r="PWQ47" s="69"/>
      <c r="PWR47" s="69"/>
      <c r="PWS47" s="69"/>
      <c r="PWT47" s="69"/>
      <c r="PWU47" s="69"/>
      <c r="PWV47" s="69"/>
      <c r="PWW47" s="69"/>
      <c r="PWX47" s="69"/>
      <c r="PWY47" s="69"/>
      <c r="PWZ47" s="69"/>
      <c r="PXA47" s="69"/>
      <c r="PXB47" s="69"/>
      <c r="PXC47" s="69"/>
      <c r="PXD47" s="69"/>
      <c r="PXE47" s="69"/>
      <c r="PXF47" s="69"/>
      <c r="PXG47" s="69"/>
      <c r="PXH47" s="69"/>
      <c r="PXI47" s="69"/>
      <c r="PXJ47" s="69"/>
      <c r="PXK47" s="69"/>
      <c r="PXL47" s="69"/>
      <c r="PXM47" s="69"/>
      <c r="PXN47" s="69"/>
      <c r="PXO47" s="69"/>
      <c r="PXP47" s="69"/>
      <c r="PXQ47" s="69"/>
      <c r="PXR47" s="69"/>
      <c r="PXS47" s="69"/>
      <c r="PXT47" s="69"/>
      <c r="PXU47" s="69"/>
      <c r="PXV47" s="69"/>
      <c r="PXW47" s="69"/>
      <c r="PXX47" s="69"/>
      <c r="PXY47" s="69"/>
      <c r="PXZ47" s="69"/>
      <c r="PYA47" s="69"/>
      <c r="PYB47" s="69"/>
      <c r="PYC47" s="69"/>
      <c r="PYD47" s="69"/>
      <c r="PYE47" s="69"/>
      <c r="PYF47" s="69"/>
      <c r="PYG47" s="69"/>
      <c r="PYH47" s="69"/>
      <c r="PYI47" s="69"/>
      <c r="PYJ47" s="69"/>
      <c r="PYK47" s="69"/>
      <c r="PYL47" s="69"/>
      <c r="PYM47" s="69"/>
      <c r="PYN47" s="69"/>
      <c r="PYO47" s="69"/>
      <c r="PYP47" s="69"/>
      <c r="PYQ47" s="69"/>
      <c r="PYR47" s="69"/>
      <c r="PYS47" s="69"/>
      <c r="PYT47" s="69"/>
      <c r="PYU47" s="69"/>
      <c r="PYV47" s="69"/>
      <c r="PYW47" s="69"/>
      <c r="PYX47" s="69"/>
      <c r="PYY47" s="69"/>
      <c r="PYZ47" s="69"/>
      <c r="PZA47" s="69"/>
      <c r="PZB47" s="69"/>
      <c r="PZC47" s="69"/>
      <c r="PZD47" s="69"/>
      <c r="PZE47" s="69"/>
      <c r="PZF47" s="69"/>
      <c r="PZG47" s="69"/>
      <c r="PZH47" s="69"/>
      <c r="PZI47" s="69"/>
      <c r="PZJ47" s="69"/>
      <c r="PZK47" s="69"/>
      <c r="PZL47" s="69"/>
      <c r="PZM47" s="69"/>
      <c r="PZN47" s="69"/>
      <c r="PZO47" s="69"/>
      <c r="PZP47" s="69"/>
      <c r="PZQ47" s="69"/>
      <c r="PZR47" s="69"/>
      <c r="PZS47" s="69"/>
      <c r="PZT47" s="69"/>
      <c r="PZU47" s="69"/>
      <c r="PZV47" s="69"/>
      <c r="PZW47" s="69"/>
      <c r="PZX47" s="69"/>
      <c r="PZY47" s="69"/>
      <c r="PZZ47" s="69"/>
      <c r="QAA47" s="69"/>
      <c r="QAB47" s="69"/>
      <c r="QAC47" s="69"/>
      <c r="QAD47" s="69"/>
      <c r="QAE47" s="69"/>
      <c r="QAF47" s="69"/>
      <c r="QAG47" s="69"/>
      <c r="QAH47" s="69"/>
      <c r="QAI47" s="69"/>
      <c r="QAJ47" s="69"/>
      <c r="QAK47" s="69"/>
      <c r="QAL47" s="69"/>
      <c r="QAM47" s="69"/>
      <c r="QAN47" s="69"/>
      <c r="QAO47" s="69"/>
      <c r="QAP47" s="69"/>
      <c r="QAQ47" s="69"/>
      <c r="QAR47" s="69"/>
      <c r="QAS47" s="69"/>
      <c r="QAT47" s="69"/>
      <c r="QAU47" s="69"/>
      <c r="QAV47" s="69"/>
      <c r="QAW47" s="69"/>
      <c r="QAX47" s="69"/>
      <c r="QAY47" s="69"/>
      <c r="QAZ47" s="69"/>
      <c r="QBA47" s="69"/>
      <c r="QBB47" s="69"/>
      <c r="QBC47" s="69"/>
      <c r="QBD47" s="69"/>
      <c r="QBE47" s="69"/>
      <c r="QBF47" s="69"/>
      <c r="QBG47" s="69"/>
      <c r="QBH47" s="69"/>
      <c r="QBI47" s="69"/>
      <c r="QBJ47" s="69"/>
      <c r="QBK47" s="69"/>
      <c r="QBL47" s="69"/>
      <c r="QBM47" s="69"/>
      <c r="QBN47" s="69"/>
      <c r="QBO47" s="69"/>
      <c r="QBP47" s="69"/>
      <c r="QBQ47" s="69"/>
      <c r="QBR47" s="69"/>
      <c r="QBS47" s="69"/>
      <c r="QBT47" s="69"/>
      <c r="QBU47" s="69"/>
      <c r="QBV47" s="69"/>
      <c r="QBW47" s="69"/>
      <c r="QBX47" s="69"/>
      <c r="QBY47" s="69"/>
      <c r="QBZ47" s="69"/>
      <c r="QCA47" s="69"/>
      <c r="QCB47" s="69"/>
      <c r="QCC47" s="69"/>
      <c r="QCD47" s="69"/>
      <c r="QCE47" s="69"/>
      <c r="QCF47" s="69"/>
      <c r="QCG47" s="69"/>
      <c r="QCH47" s="69"/>
      <c r="QCI47" s="69"/>
      <c r="QCJ47" s="69"/>
      <c r="QCK47" s="69"/>
      <c r="QCL47" s="69"/>
      <c r="QCM47" s="69"/>
      <c r="QCN47" s="69"/>
      <c r="QCO47" s="69"/>
      <c r="QCP47" s="69"/>
      <c r="QCQ47" s="69"/>
      <c r="QCR47" s="69"/>
      <c r="QCS47" s="69"/>
      <c r="QCT47" s="69"/>
      <c r="QCU47" s="69"/>
      <c r="QCV47" s="69"/>
      <c r="QCW47" s="69"/>
      <c r="QCX47" s="69"/>
      <c r="QCY47" s="69"/>
      <c r="QCZ47" s="69"/>
      <c r="QDA47" s="69"/>
      <c r="QDB47" s="69"/>
      <c r="QDC47" s="69"/>
      <c r="QDD47" s="69"/>
      <c r="QDE47" s="69"/>
      <c r="QDF47" s="69"/>
      <c r="QDG47" s="69"/>
      <c r="QDH47" s="69"/>
      <c r="QDI47" s="69"/>
      <c r="QDJ47" s="69"/>
      <c r="QDK47" s="69"/>
      <c r="QDL47" s="69"/>
      <c r="QDM47" s="69"/>
      <c r="QDN47" s="69"/>
      <c r="QDO47" s="69"/>
      <c r="QDP47" s="69"/>
      <c r="QDQ47" s="69"/>
      <c r="QDR47" s="69"/>
      <c r="QDS47" s="69"/>
      <c r="QDT47" s="69"/>
      <c r="QDU47" s="69"/>
      <c r="QDV47" s="69"/>
      <c r="QDW47" s="69"/>
      <c r="QDX47" s="69"/>
      <c r="QDY47" s="69"/>
      <c r="QDZ47" s="69"/>
      <c r="QEA47" s="69"/>
      <c r="QEB47" s="69"/>
      <c r="QEC47" s="69"/>
      <c r="QED47" s="69"/>
      <c r="QEE47" s="69"/>
      <c r="QEF47" s="69"/>
      <c r="QEG47" s="69"/>
      <c r="QEH47" s="69"/>
      <c r="QEI47" s="69"/>
      <c r="QEJ47" s="69"/>
      <c r="QEK47" s="69"/>
      <c r="QEL47" s="69"/>
      <c r="QEM47" s="69"/>
      <c r="QEN47" s="69"/>
      <c r="QEO47" s="69"/>
      <c r="QEP47" s="69"/>
      <c r="QEQ47" s="69"/>
      <c r="QER47" s="69"/>
      <c r="QES47" s="69"/>
      <c r="QET47" s="69"/>
      <c r="QEU47" s="69"/>
      <c r="QEV47" s="69"/>
      <c r="QEW47" s="69"/>
      <c r="QEX47" s="69"/>
      <c r="QEY47" s="69"/>
      <c r="QEZ47" s="69"/>
      <c r="QFA47" s="69"/>
      <c r="QFB47" s="69"/>
      <c r="QFC47" s="69"/>
      <c r="QFD47" s="69"/>
      <c r="QFE47" s="69"/>
      <c r="QFF47" s="69"/>
      <c r="QFG47" s="69"/>
      <c r="QFH47" s="69"/>
      <c r="QFI47" s="69"/>
      <c r="QFJ47" s="69"/>
      <c r="QFK47" s="69"/>
      <c r="QFL47" s="69"/>
      <c r="QFM47" s="69"/>
      <c r="QFN47" s="69"/>
      <c r="QFO47" s="69"/>
      <c r="QFP47" s="69"/>
      <c r="QFQ47" s="69"/>
      <c r="QFR47" s="69"/>
      <c r="QFS47" s="69"/>
      <c r="QFT47" s="69"/>
      <c r="QFU47" s="69"/>
      <c r="QFV47" s="69"/>
      <c r="QFW47" s="69"/>
      <c r="QFX47" s="69"/>
      <c r="QFY47" s="69"/>
      <c r="QFZ47" s="69"/>
      <c r="QGA47" s="69"/>
      <c r="QGB47" s="69"/>
      <c r="QGC47" s="69"/>
      <c r="QGD47" s="69"/>
      <c r="QGE47" s="69"/>
      <c r="QGF47" s="69"/>
      <c r="QGG47" s="69"/>
      <c r="QGH47" s="69"/>
      <c r="QGI47" s="69"/>
      <c r="QGJ47" s="69"/>
      <c r="QGK47" s="69"/>
      <c r="QGL47" s="69"/>
      <c r="QGM47" s="69"/>
      <c r="QGN47" s="69"/>
      <c r="QGO47" s="69"/>
      <c r="QGP47" s="69"/>
      <c r="QGQ47" s="69"/>
      <c r="QGR47" s="69"/>
      <c r="QGS47" s="69"/>
      <c r="QGT47" s="69"/>
      <c r="QGU47" s="69"/>
      <c r="QGV47" s="69"/>
      <c r="QGW47" s="69"/>
      <c r="QGX47" s="69"/>
      <c r="QGY47" s="69"/>
      <c r="QGZ47" s="69"/>
      <c r="QHA47" s="69"/>
      <c r="QHB47" s="69"/>
      <c r="QHC47" s="69"/>
      <c r="QHD47" s="69"/>
      <c r="QHE47" s="69"/>
      <c r="QHF47" s="69"/>
      <c r="QHG47" s="69"/>
      <c r="QHH47" s="69"/>
      <c r="QHI47" s="69"/>
      <c r="QHJ47" s="69"/>
      <c r="QHK47" s="69"/>
      <c r="QHL47" s="69"/>
      <c r="QHM47" s="69"/>
      <c r="QHN47" s="69"/>
      <c r="QHO47" s="69"/>
      <c r="QHP47" s="69"/>
      <c r="QHQ47" s="69"/>
      <c r="QHR47" s="69"/>
      <c r="QHS47" s="69"/>
      <c r="QHT47" s="69"/>
      <c r="QHU47" s="69"/>
      <c r="QHV47" s="69"/>
      <c r="QHW47" s="69"/>
      <c r="QHX47" s="69"/>
      <c r="QHY47" s="69"/>
      <c r="QHZ47" s="69"/>
      <c r="QIA47" s="69"/>
      <c r="QIB47" s="69"/>
      <c r="QIC47" s="69"/>
      <c r="QID47" s="69"/>
      <c r="QIE47" s="69"/>
      <c r="QIF47" s="69"/>
      <c r="QIG47" s="69"/>
      <c r="QIH47" s="69"/>
      <c r="QII47" s="69"/>
      <c r="QIJ47" s="69"/>
      <c r="QIK47" s="69"/>
      <c r="QIL47" s="69"/>
      <c r="QIM47" s="69"/>
      <c r="QIN47" s="69"/>
      <c r="QIO47" s="69"/>
      <c r="QIP47" s="69"/>
      <c r="QIQ47" s="69"/>
      <c r="QIR47" s="69"/>
      <c r="QIS47" s="69"/>
      <c r="QIT47" s="69"/>
      <c r="QIU47" s="69"/>
      <c r="QIV47" s="69"/>
      <c r="QIW47" s="69"/>
      <c r="QIX47" s="69"/>
      <c r="QIY47" s="69"/>
      <c r="QIZ47" s="69"/>
      <c r="QJA47" s="69"/>
      <c r="QJB47" s="69"/>
      <c r="QJC47" s="69"/>
      <c r="QJD47" s="69"/>
      <c r="QJE47" s="69"/>
      <c r="QJF47" s="69"/>
      <c r="QJG47" s="69"/>
      <c r="QJH47" s="69"/>
      <c r="QJI47" s="69"/>
      <c r="QJJ47" s="69"/>
      <c r="QJK47" s="69"/>
      <c r="QJL47" s="69"/>
      <c r="QJM47" s="69"/>
      <c r="QJN47" s="69"/>
      <c r="QJO47" s="69"/>
      <c r="QJP47" s="69"/>
      <c r="QJQ47" s="69"/>
      <c r="QJR47" s="69"/>
      <c r="QJS47" s="69"/>
      <c r="QJT47" s="69"/>
      <c r="QJU47" s="69"/>
      <c r="QJV47" s="69"/>
      <c r="QJW47" s="69"/>
      <c r="QJX47" s="69"/>
      <c r="QJY47" s="69"/>
      <c r="QJZ47" s="69"/>
      <c r="QKA47" s="69"/>
      <c r="QKB47" s="69"/>
      <c r="QKC47" s="69"/>
      <c r="QKD47" s="69"/>
      <c r="QKE47" s="69"/>
      <c r="QKF47" s="69"/>
      <c r="QKG47" s="69"/>
      <c r="QKH47" s="69"/>
      <c r="QKI47" s="69"/>
      <c r="QKJ47" s="69"/>
      <c r="QKK47" s="69"/>
      <c r="QKL47" s="69"/>
      <c r="QKM47" s="69"/>
      <c r="QKN47" s="69"/>
      <c r="QKO47" s="69"/>
      <c r="QKP47" s="69"/>
      <c r="QKQ47" s="69"/>
      <c r="QKR47" s="69"/>
      <c r="QKS47" s="69"/>
      <c r="QKT47" s="69"/>
      <c r="QKU47" s="69"/>
      <c r="QKV47" s="69"/>
      <c r="QKW47" s="69"/>
      <c r="QKX47" s="69"/>
      <c r="QKY47" s="69"/>
      <c r="QKZ47" s="69"/>
      <c r="QLA47" s="69"/>
      <c r="QLB47" s="69"/>
      <c r="QLC47" s="69"/>
      <c r="QLD47" s="69"/>
      <c r="QLE47" s="69"/>
      <c r="QLF47" s="69"/>
      <c r="QLG47" s="69"/>
      <c r="QLH47" s="69"/>
      <c r="QLI47" s="69"/>
      <c r="QLJ47" s="69"/>
      <c r="QLK47" s="69"/>
      <c r="QLL47" s="69"/>
      <c r="QLM47" s="69"/>
      <c r="QLN47" s="69"/>
      <c r="QLO47" s="69"/>
      <c r="QLP47" s="69"/>
      <c r="QLQ47" s="69"/>
      <c r="QLR47" s="69"/>
      <c r="QLS47" s="69"/>
      <c r="QLT47" s="69"/>
      <c r="QLU47" s="69"/>
      <c r="QLV47" s="69"/>
      <c r="QLW47" s="69"/>
      <c r="QLX47" s="69"/>
      <c r="QLY47" s="69"/>
      <c r="QLZ47" s="69"/>
      <c r="QMA47" s="69"/>
      <c r="QMB47" s="69"/>
      <c r="QMC47" s="69"/>
      <c r="QMD47" s="69"/>
      <c r="QME47" s="69"/>
      <c r="QMF47" s="69"/>
      <c r="QMG47" s="69"/>
      <c r="QMH47" s="69"/>
      <c r="QMI47" s="69"/>
      <c r="QMJ47" s="69"/>
      <c r="QMK47" s="69"/>
      <c r="QML47" s="69"/>
      <c r="QMM47" s="69"/>
      <c r="QMN47" s="69"/>
      <c r="QMO47" s="69"/>
      <c r="QMP47" s="69"/>
      <c r="QMQ47" s="69"/>
      <c r="QMR47" s="69"/>
      <c r="QMS47" s="69"/>
      <c r="QMT47" s="69"/>
      <c r="QMU47" s="69"/>
      <c r="QMV47" s="69"/>
      <c r="QMW47" s="69"/>
      <c r="QMX47" s="69"/>
      <c r="QMY47" s="69"/>
      <c r="QMZ47" s="69"/>
      <c r="QNA47" s="69"/>
      <c r="QNB47" s="69"/>
      <c r="QNC47" s="69"/>
      <c r="QND47" s="69"/>
      <c r="QNE47" s="69"/>
      <c r="QNF47" s="69"/>
      <c r="QNG47" s="69"/>
      <c r="QNH47" s="69"/>
      <c r="QNI47" s="69"/>
      <c r="QNJ47" s="69"/>
      <c r="QNK47" s="69"/>
      <c r="QNL47" s="69"/>
      <c r="QNM47" s="69"/>
      <c r="QNN47" s="69"/>
      <c r="QNO47" s="69"/>
      <c r="QNP47" s="69"/>
      <c r="QNQ47" s="69"/>
      <c r="QNR47" s="69"/>
      <c r="QNS47" s="69"/>
      <c r="QNT47" s="69"/>
      <c r="QNU47" s="69"/>
      <c r="QNV47" s="69"/>
      <c r="QNW47" s="69"/>
      <c r="QNX47" s="69"/>
      <c r="QNY47" s="69"/>
      <c r="QNZ47" s="69"/>
      <c r="QOA47" s="69"/>
      <c r="QOB47" s="69"/>
      <c r="QOC47" s="69"/>
      <c r="QOD47" s="69"/>
      <c r="QOE47" s="69"/>
      <c r="QOF47" s="69"/>
      <c r="QOG47" s="69"/>
      <c r="QOH47" s="69"/>
      <c r="QOI47" s="69"/>
      <c r="QOJ47" s="69"/>
      <c r="QOK47" s="69"/>
      <c r="QOL47" s="69"/>
      <c r="QOM47" s="69"/>
      <c r="QON47" s="69"/>
      <c r="QOO47" s="69"/>
      <c r="QOP47" s="69"/>
      <c r="QOQ47" s="69"/>
      <c r="QOR47" s="69"/>
      <c r="QOS47" s="69"/>
      <c r="QOT47" s="69"/>
      <c r="QOU47" s="69"/>
      <c r="QOV47" s="69"/>
      <c r="QOW47" s="69"/>
      <c r="QOX47" s="69"/>
      <c r="QOY47" s="69"/>
      <c r="QOZ47" s="69"/>
      <c r="QPA47" s="69"/>
      <c r="QPB47" s="69"/>
      <c r="QPC47" s="69"/>
      <c r="QPD47" s="69"/>
      <c r="QPE47" s="69"/>
      <c r="QPF47" s="69"/>
      <c r="QPG47" s="69"/>
      <c r="QPH47" s="69"/>
      <c r="QPI47" s="69"/>
      <c r="QPJ47" s="69"/>
      <c r="QPK47" s="69"/>
      <c r="QPL47" s="69"/>
      <c r="QPM47" s="69"/>
      <c r="QPN47" s="69"/>
      <c r="QPO47" s="69"/>
      <c r="QPP47" s="69"/>
      <c r="QPQ47" s="69"/>
      <c r="QPR47" s="69"/>
      <c r="QPS47" s="69"/>
      <c r="QPT47" s="69"/>
      <c r="QPU47" s="69"/>
      <c r="QPV47" s="69"/>
      <c r="QPW47" s="69"/>
      <c r="QPX47" s="69"/>
      <c r="QPY47" s="69"/>
      <c r="QPZ47" s="69"/>
      <c r="QQA47" s="69"/>
      <c r="QQB47" s="69"/>
      <c r="QQC47" s="69"/>
      <c r="QQD47" s="69"/>
      <c r="QQE47" s="69"/>
      <c r="QQF47" s="69"/>
      <c r="QQG47" s="69"/>
      <c r="QQH47" s="69"/>
      <c r="QQI47" s="69"/>
      <c r="QQJ47" s="69"/>
      <c r="QQK47" s="69"/>
      <c r="QQL47" s="69"/>
      <c r="QQM47" s="69"/>
      <c r="QQN47" s="69"/>
      <c r="QQO47" s="69"/>
      <c r="QQP47" s="69"/>
      <c r="QQQ47" s="69"/>
      <c r="QQR47" s="69"/>
      <c r="QQS47" s="69"/>
      <c r="QQT47" s="69"/>
      <c r="QQU47" s="69"/>
      <c r="QQV47" s="69"/>
      <c r="QQW47" s="69"/>
      <c r="QQX47" s="69"/>
      <c r="QQY47" s="69"/>
      <c r="QQZ47" s="69"/>
      <c r="QRA47" s="69"/>
      <c r="QRB47" s="69"/>
      <c r="QRC47" s="69"/>
      <c r="QRD47" s="69"/>
      <c r="QRE47" s="69"/>
      <c r="QRF47" s="69"/>
      <c r="QRG47" s="69"/>
      <c r="QRH47" s="69"/>
      <c r="QRI47" s="69"/>
      <c r="QRJ47" s="69"/>
      <c r="QRK47" s="69"/>
      <c r="QRL47" s="69"/>
      <c r="QRM47" s="69"/>
      <c r="QRN47" s="69"/>
      <c r="QRO47" s="69"/>
      <c r="QRP47" s="69"/>
      <c r="QRQ47" s="69"/>
      <c r="QRR47" s="69"/>
      <c r="QRS47" s="69"/>
      <c r="QRT47" s="69"/>
      <c r="QRU47" s="69"/>
      <c r="QRV47" s="69"/>
      <c r="QRW47" s="69"/>
      <c r="QRX47" s="69"/>
      <c r="QRY47" s="69"/>
      <c r="QRZ47" s="69"/>
      <c r="QSA47" s="69"/>
      <c r="QSB47" s="69"/>
      <c r="QSC47" s="69"/>
      <c r="QSD47" s="69"/>
      <c r="QSE47" s="69"/>
      <c r="QSF47" s="69"/>
      <c r="QSG47" s="69"/>
      <c r="QSH47" s="69"/>
      <c r="QSI47" s="69"/>
      <c r="QSJ47" s="69"/>
      <c r="QSK47" s="69"/>
      <c r="QSL47" s="69"/>
      <c r="QSM47" s="69"/>
      <c r="QSN47" s="69"/>
      <c r="QSO47" s="69"/>
      <c r="QSP47" s="69"/>
      <c r="QSQ47" s="69"/>
      <c r="QSR47" s="69"/>
      <c r="QSS47" s="69"/>
      <c r="QST47" s="69"/>
      <c r="QSU47" s="69"/>
      <c r="QSV47" s="69"/>
      <c r="QSW47" s="69"/>
      <c r="QSX47" s="69"/>
      <c r="QSY47" s="69"/>
      <c r="QSZ47" s="69"/>
      <c r="QTA47" s="69"/>
      <c r="QTB47" s="69"/>
      <c r="QTC47" s="69"/>
      <c r="QTD47" s="69"/>
      <c r="QTE47" s="69"/>
      <c r="QTF47" s="69"/>
      <c r="QTG47" s="69"/>
      <c r="QTH47" s="69"/>
      <c r="QTI47" s="69"/>
      <c r="QTJ47" s="69"/>
      <c r="QTK47" s="69"/>
      <c r="QTL47" s="69"/>
      <c r="QTM47" s="69"/>
      <c r="QTN47" s="69"/>
      <c r="QTO47" s="69"/>
      <c r="QTP47" s="69"/>
      <c r="QTQ47" s="69"/>
      <c r="QTR47" s="69"/>
      <c r="QTS47" s="69"/>
      <c r="QTT47" s="69"/>
      <c r="QTU47" s="69"/>
      <c r="QTV47" s="69"/>
      <c r="QTW47" s="69"/>
      <c r="QTX47" s="69"/>
      <c r="QTY47" s="69"/>
      <c r="QTZ47" s="69"/>
      <c r="QUA47" s="69"/>
      <c r="QUB47" s="69"/>
      <c r="QUC47" s="69"/>
      <c r="QUD47" s="69"/>
      <c r="QUE47" s="69"/>
      <c r="QUF47" s="69"/>
      <c r="QUG47" s="69"/>
      <c r="QUH47" s="69"/>
      <c r="QUI47" s="69"/>
      <c r="QUJ47" s="69"/>
      <c r="QUK47" s="69"/>
      <c r="QUL47" s="69"/>
      <c r="QUM47" s="69"/>
      <c r="QUN47" s="69"/>
      <c r="QUO47" s="69"/>
      <c r="QUP47" s="69"/>
      <c r="QUQ47" s="69"/>
      <c r="QUR47" s="69"/>
      <c r="QUS47" s="69"/>
      <c r="QUT47" s="69"/>
      <c r="QUU47" s="69"/>
      <c r="QUV47" s="69"/>
      <c r="QUW47" s="69"/>
      <c r="QUX47" s="69"/>
      <c r="QUY47" s="69"/>
      <c r="QUZ47" s="69"/>
      <c r="QVA47" s="69"/>
      <c r="QVB47" s="69"/>
      <c r="QVC47" s="69"/>
      <c r="QVD47" s="69"/>
      <c r="QVE47" s="69"/>
      <c r="QVF47" s="69"/>
      <c r="QVG47" s="69"/>
      <c r="QVH47" s="69"/>
      <c r="QVI47" s="69"/>
      <c r="QVJ47" s="69"/>
      <c r="QVK47" s="69"/>
      <c r="QVL47" s="69"/>
      <c r="QVM47" s="69"/>
      <c r="QVN47" s="69"/>
      <c r="QVO47" s="69"/>
      <c r="QVP47" s="69"/>
      <c r="QVQ47" s="69"/>
      <c r="QVR47" s="69"/>
      <c r="QVS47" s="69"/>
      <c r="QVT47" s="69"/>
      <c r="QVU47" s="69"/>
      <c r="QVV47" s="69"/>
      <c r="QVW47" s="69"/>
      <c r="QVX47" s="69"/>
      <c r="QVY47" s="69"/>
      <c r="QVZ47" s="69"/>
      <c r="QWA47" s="69"/>
      <c r="QWB47" s="69"/>
      <c r="QWC47" s="69"/>
      <c r="QWD47" s="69"/>
      <c r="QWE47" s="69"/>
      <c r="QWF47" s="69"/>
      <c r="QWG47" s="69"/>
      <c r="QWH47" s="69"/>
      <c r="QWI47" s="69"/>
      <c r="QWJ47" s="69"/>
      <c r="QWK47" s="69"/>
      <c r="QWL47" s="69"/>
      <c r="QWM47" s="69"/>
      <c r="QWN47" s="69"/>
      <c r="QWO47" s="69"/>
      <c r="QWP47" s="69"/>
      <c r="QWQ47" s="69"/>
      <c r="QWR47" s="69"/>
      <c r="QWS47" s="69"/>
      <c r="QWT47" s="69"/>
      <c r="QWU47" s="69"/>
      <c r="QWV47" s="69"/>
      <c r="QWW47" s="69"/>
      <c r="QWX47" s="69"/>
      <c r="QWY47" s="69"/>
      <c r="QWZ47" s="69"/>
      <c r="QXA47" s="69"/>
      <c r="QXB47" s="69"/>
      <c r="QXC47" s="69"/>
      <c r="QXD47" s="69"/>
      <c r="QXE47" s="69"/>
      <c r="QXF47" s="69"/>
      <c r="QXG47" s="69"/>
      <c r="QXH47" s="69"/>
      <c r="QXI47" s="69"/>
      <c r="QXJ47" s="69"/>
      <c r="QXK47" s="69"/>
      <c r="QXL47" s="69"/>
      <c r="QXM47" s="69"/>
      <c r="QXN47" s="69"/>
      <c r="QXO47" s="69"/>
      <c r="QXP47" s="69"/>
      <c r="QXQ47" s="69"/>
      <c r="QXR47" s="69"/>
      <c r="QXS47" s="69"/>
      <c r="QXT47" s="69"/>
      <c r="QXU47" s="69"/>
      <c r="QXV47" s="69"/>
      <c r="QXW47" s="69"/>
      <c r="QXX47" s="69"/>
      <c r="QXY47" s="69"/>
      <c r="QXZ47" s="69"/>
      <c r="QYA47" s="69"/>
      <c r="QYB47" s="69"/>
      <c r="QYC47" s="69"/>
      <c r="QYD47" s="69"/>
      <c r="QYE47" s="69"/>
      <c r="QYF47" s="69"/>
      <c r="QYG47" s="69"/>
      <c r="QYH47" s="69"/>
      <c r="QYI47" s="69"/>
      <c r="QYJ47" s="69"/>
      <c r="QYK47" s="69"/>
      <c r="QYL47" s="69"/>
      <c r="QYM47" s="69"/>
      <c r="QYN47" s="69"/>
      <c r="QYO47" s="69"/>
      <c r="QYP47" s="69"/>
      <c r="QYQ47" s="69"/>
      <c r="QYR47" s="69"/>
      <c r="QYS47" s="69"/>
      <c r="QYT47" s="69"/>
      <c r="QYU47" s="69"/>
      <c r="QYV47" s="69"/>
      <c r="QYW47" s="69"/>
      <c r="QYX47" s="69"/>
      <c r="QYY47" s="69"/>
      <c r="QYZ47" s="69"/>
      <c r="QZA47" s="69"/>
      <c r="QZB47" s="69"/>
      <c r="QZC47" s="69"/>
      <c r="QZD47" s="69"/>
      <c r="QZE47" s="69"/>
      <c r="QZF47" s="69"/>
      <c r="QZG47" s="69"/>
      <c r="QZH47" s="69"/>
      <c r="QZI47" s="69"/>
      <c r="QZJ47" s="69"/>
      <c r="QZK47" s="69"/>
      <c r="QZL47" s="69"/>
      <c r="QZM47" s="69"/>
      <c r="QZN47" s="69"/>
      <c r="QZO47" s="69"/>
      <c r="QZP47" s="69"/>
      <c r="QZQ47" s="69"/>
      <c r="QZR47" s="69"/>
      <c r="QZS47" s="69"/>
      <c r="QZT47" s="69"/>
      <c r="QZU47" s="69"/>
      <c r="QZV47" s="69"/>
      <c r="QZW47" s="69"/>
      <c r="QZX47" s="69"/>
      <c r="QZY47" s="69"/>
      <c r="QZZ47" s="69"/>
      <c r="RAA47" s="69"/>
      <c r="RAB47" s="69"/>
      <c r="RAC47" s="69"/>
      <c r="RAD47" s="69"/>
      <c r="RAE47" s="69"/>
      <c r="RAF47" s="69"/>
      <c r="RAG47" s="69"/>
      <c r="RAH47" s="69"/>
      <c r="RAI47" s="69"/>
      <c r="RAJ47" s="69"/>
      <c r="RAK47" s="69"/>
      <c r="RAL47" s="69"/>
      <c r="RAM47" s="69"/>
      <c r="RAN47" s="69"/>
      <c r="RAO47" s="69"/>
      <c r="RAP47" s="69"/>
      <c r="RAQ47" s="69"/>
      <c r="RAR47" s="69"/>
      <c r="RAS47" s="69"/>
      <c r="RAT47" s="69"/>
      <c r="RAU47" s="69"/>
      <c r="RAV47" s="69"/>
      <c r="RAW47" s="69"/>
      <c r="RAX47" s="69"/>
      <c r="RAY47" s="69"/>
      <c r="RAZ47" s="69"/>
      <c r="RBA47" s="69"/>
      <c r="RBB47" s="69"/>
      <c r="RBC47" s="69"/>
      <c r="RBD47" s="69"/>
      <c r="RBE47" s="69"/>
      <c r="RBF47" s="69"/>
      <c r="RBG47" s="69"/>
      <c r="RBH47" s="69"/>
      <c r="RBI47" s="69"/>
      <c r="RBJ47" s="69"/>
      <c r="RBK47" s="69"/>
      <c r="RBL47" s="69"/>
      <c r="RBM47" s="69"/>
      <c r="RBN47" s="69"/>
      <c r="RBO47" s="69"/>
      <c r="RBP47" s="69"/>
      <c r="RBQ47" s="69"/>
      <c r="RBR47" s="69"/>
      <c r="RBS47" s="69"/>
      <c r="RBT47" s="69"/>
      <c r="RBU47" s="69"/>
      <c r="RBV47" s="69"/>
      <c r="RBW47" s="69"/>
      <c r="RBX47" s="69"/>
      <c r="RBY47" s="69"/>
      <c r="RBZ47" s="69"/>
      <c r="RCA47" s="69"/>
      <c r="RCB47" s="69"/>
      <c r="RCC47" s="69"/>
      <c r="RCD47" s="69"/>
      <c r="RCE47" s="69"/>
      <c r="RCF47" s="69"/>
      <c r="RCG47" s="69"/>
      <c r="RCH47" s="69"/>
      <c r="RCI47" s="69"/>
      <c r="RCJ47" s="69"/>
      <c r="RCK47" s="69"/>
      <c r="RCL47" s="69"/>
      <c r="RCM47" s="69"/>
      <c r="RCN47" s="69"/>
      <c r="RCO47" s="69"/>
      <c r="RCP47" s="69"/>
      <c r="RCQ47" s="69"/>
      <c r="RCR47" s="69"/>
      <c r="RCS47" s="69"/>
      <c r="RCT47" s="69"/>
      <c r="RCU47" s="69"/>
      <c r="RCV47" s="69"/>
      <c r="RCW47" s="69"/>
      <c r="RCX47" s="69"/>
      <c r="RCY47" s="69"/>
      <c r="RCZ47" s="69"/>
      <c r="RDA47" s="69"/>
      <c r="RDB47" s="69"/>
      <c r="RDC47" s="69"/>
      <c r="RDD47" s="69"/>
      <c r="RDE47" s="69"/>
      <c r="RDF47" s="69"/>
      <c r="RDG47" s="69"/>
      <c r="RDH47" s="69"/>
      <c r="RDI47" s="69"/>
      <c r="RDJ47" s="69"/>
      <c r="RDK47" s="69"/>
      <c r="RDL47" s="69"/>
      <c r="RDM47" s="69"/>
      <c r="RDN47" s="69"/>
      <c r="RDO47" s="69"/>
      <c r="RDP47" s="69"/>
      <c r="RDQ47" s="69"/>
      <c r="RDR47" s="69"/>
      <c r="RDS47" s="69"/>
      <c r="RDT47" s="69"/>
      <c r="RDU47" s="69"/>
      <c r="RDV47" s="69"/>
      <c r="RDW47" s="69"/>
      <c r="RDX47" s="69"/>
      <c r="RDY47" s="69"/>
      <c r="RDZ47" s="69"/>
      <c r="REA47" s="69"/>
      <c r="REB47" s="69"/>
      <c r="REC47" s="69"/>
      <c r="RED47" s="69"/>
      <c r="REE47" s="69"/>
      <c r="REF47" s="69"/>
      <c r="REG47" s="69"/>
      <c r="REH47" s="69"/>
      <c r="REI47" s="69"/>
      <c r="REJ47" s="69"/>
      <c r="REK47" s="69"/>
      <c r="REL47" s="69"/>
      <c r="REM47" s="69"/>
      <c r="REN47" s="69"/>
      <c r="REO47" s="69"/>
      <c r="REP47" s="69"/>
      <c r="REQ47" s="69"/>
      <c r="RER47" s="69"/>
      <c r="RES47" s="69"/>
      <c r="RET47" s="69"/>
      <c r="REU47" s="69"/>
      <c r="REV47" s="69"/>
      <c r="REW47" s="69"/>
      <c r="REX47" s="69"/>
      <c r="REY47" s="69"/>
      <c r="REZ47" s="69"/>
      <c r="RFA47" s="69"/>
      <c r="RFB47" s="69"/>
      <c r="RFC47" s="69"/>
      <c r="RFD47" s="69"/>
      <c r="RFE47" s="69"/>
      <c r="RFF47" s="69"/>
      <c r="RFG47" s="69"/>
      <c r="RFH47" s="69"/>
      <c r="RFI47" s="69"/>
      <c r="RFJ47" s="69"/>
      <c r="RFK47" s="69"/>
      <c r="RFL47" s="69"/>
      <c r="RFM47" s="69"/>
      <c r="RFN47" s="69"/>
      <c r="RFO47" s="69"/>
      <c r="RFP47" s="69"/>
      <c r="RFQ47" s="69"/>
      <c r="RFR47" s="69"/>
      <c r="RFS47" s="69"/>
      <c r="RFT47" s="69"/>
      <c r="RFU47" s="69"/>
      <c r="RFV47" s="69"/>
      <c r="RFW47" s="69"/>
      <c r="RFX47" s="69"/>
      <c r="RFY47" s="69"/>
      <c r="RFZ47" s="69"/>
      <c r="RGA47" s="69"/>
      <c r="RGB47" s="69"/>
      <c r="RGC47" s="69"/>
      <c r="RGD47" s="69"/>
      <c r="RGE47" s="69"/>
      <c r="RGF47" s="69"/>
      <c r="RGG47" s="69"/>
      <c r="RGH47" s="69"/>
      <c r="RGI47" s="69"/>
      <c r="RGJ47" s="69"/>
      <c r="RGK47" s="69"/>
      <c r="RGL47" s="69"/>
      <c r="RGM47" s="69"/>
      <c r="RGN47" s="69"/>
      <c r="RGO47" s="69"/>
      <c r="RGP47" s="69"/>
      <c r="RGQ47" s="69"/>
      <c r="RGR47" s="69"/>
      <c r="RGS47" s="69"/>
      <c r="RGT47" s="69"/>
      <c r="RGU47" s="69"/>
      <c r="RGV47" s="69"/>
      <c r="RGW47" s="69"/>
      <c r="RGX47" s="69"/>
      <c r="RGY47" s="69"/>
      <c r="RGZ47" s="69"/>
      <c r="RHA47" s="69"/>
      <c r="RHB47" s="69"/>
      <c r="RHC47" s="69"/>
      <c r="RHD47" s="69"/>
      <c r="RHE47" s="69"/>
      <c r="RHF47" s="69"/>
      <c r="RHG47" s="69"/>
      <c r="RHH47" s="69"/>
      <c r="RHI47" s="69"/>
      <c r="RHJ47" s="69"/>
      <c r="RHK47" s="69"/>
      <c r="RHL47" s="69"/>
      <c r="RHM47" s="69"/>
      <c r="RHN47" s="69"/>
      <c r="RHO47" s="69"/>
      <c r="RHP47" s="69"/>
      <c r="RHQ47" s="69"/>
      <c r="RHR47" s="69"/>
      <c r="RHS47" s="69"/>
      <c r="RHT47" s="69"/>
      <c r="RHU47" s="69"/>
      <c r="RHV47" s="69"/>
      <c r="RHW47" s="69"/>
      <c r="RHX47" s="69"/>
      <c r="RHY47" s="69"/>
      <c r="RHZ47" s="69"/>
      <c r="RIA47" s="69"/>
      <c r="RIB47" s="69"/>
      <c r="RIC47" s="69"/>
      <c r="RID47" s="69"/>
      <c r="RIE47" s="69"/>
      <c r="RIF47" s="69"/>
      <c r="RIG47" s="69"/>
      <c r="RIH47" s="69"/>
      <c r="RII47" s="69"/>
      <c r="RIJ47" s="69"/>
      <c r="RIK47" s="69"/>
      <c r="RIL47" s="69"/>
      <c r="RIM47" s="69"/>
      <c r="RIN47" s="69"/>
      <c r="RIO47" s="69"/>
      <c r="RIP47" s="69"/>
      <c r="RIQ47" s="69"/>
      <c r="RIR47" s="69"/>
      <c r="RIS47" s="69"/>
      <c r="RIT47" s="69"/>
      <c r="RIU47" s="69"/>
      <c r="RIV47" s="69"/>
      <c r="RIW47" s="69"/>
      <c r="RIX47" s="69"/>
      <c r="RIY47" s="69"/>
      <c r="RIZ47" s="69"/>
      <c r="RJA47" s="69"/>
      <c r="RJB47" s="69"/>
      <c r="RJC47" s="69"/>
      <c r="RJD47" s="69"/>
      <c r="RJE47" s="69"/>
      <c r="RJF47" s="69"/>
      <c r="RJG47" s="69"/>
      <c r="RJH47" s="69"/>
      <c r="RJI47" s="69"/>
      <c r="RJJ47" s="69"/>
      <c r="RJK47" s="69"/>
      <c r="RJL47" s="69"/>
      <c r="RJM47" s="69"/>
      <c r="RJN47" s="69"/>
      <c r="RJO47" s="69"/>
      <c r="RJP47" s="69"/>
      <c r="RJQ47" s="69"/>
      <c r="RJR47" s="69"/>
      <c r="RJS47" s="69"/>
      <c r="RJT47" s="69"/>
      <c r="RJU47" s="69"/>
      <c r="RJV47" s="69"/>
      <c r="RJW47" s="69"/>
      <c r="RJX47" s="69"/>
      <c r="RJY47" s="69"/>
      <c r="RJZ47" s="69"/>
      <c r="RKA47" s="69"/>
      <c r="RKB47" s="69"/>
      <c r="RKC47" s="69"/>
      <c r="RKD47" s="69"/>
      <c r="RKE47" s="69"/>
      <c r="RKF47" s="69"/>
      <c r="RKG47" s="69"/>
      <c r="RKH47" s="69"/>
      <c r="RKI47" s="69"/>
      <c r="RKJ47" s="69"/>
      <c r="RKK47" s="69"/>
      <c r="RKL47" s="69"/>
      <c r="RKM47" s="69"/>
      <c r="RKN47" s="69"/>
      <c r="RKO47" s="69"/>
      <c r="RKP47" s="69"/>
      <c r="RKQ47" s="69"/>
      <c r="RKR47" s="69"/>
      <c r="RKS47" s="69"/>
      <c r="RKT47" s="69"/>
      <c r="RKU47" s="69"/>
      <c r="RKV47" s="69"/>
      <c r="RKW47" s="69"/>
      <c r="RKX47" s="69"/>
      <c r="RKY47" s="69"/>
      <c r="RKZ47" s="69"/>
      <c r="RLA47" s="69"/>
      <c r="RLB47" s="69"/>
      <c r="RLC47" s="69"/>
      <c r="RLD47" s="69"/>
      <c r="RLE47" s="69"/>
      <c r="RLF47" s="69"/>
      <c r="RLG47" s="69"/>
      <c r="RLH47" s="69"/>
      <c r="RLI47" s="69"/>
      <c r="RLJ47" s="69"/>
      <c r="RLK47" s="69"/>
      <c r="RLL47" s="69"/>
      <c r="RLM47" s="69"/>
      <c r="RLN47" s="69"/>
      <c r="RLO47" s="69"/>
      <c r="RLP47" s="69"/>
      <c r="RLQ47" s="69"/>
      <c r="RLR47" s="69"/>
      <c r="RLS47" s="69"/>
      <c r="RLT47" s="69"/>
      <c r="RLU47" s="69"/>
      <c r="RLV47" s="69"/>
      <c r="RLW47" s="69"/>
      <c r="RLX47" s="69"/>
      <c r="RLY47" s="69"/>
      <c r="RLZ47" s="69"/>
      <c r="RMA47" s="69"/>
      <c r="RMB47" s="69"/>
      <c r="RMC47" s="69"/>
      <c r="RMD47" s="69"/>
      <c r="RME47" s="69"/>
      <c r="RMF47" s="69"/>
      <c r="RMG47" s="69"/>
      <c r="RMH47" s="69"/>
      <c r="RMI47" s="69"/>
      <c r="RMJ47" s="69"/>
      <c r="RMK47" s="69"/>
      <c r="RML47" s="69"/>
      <c r="RMM47" s="69"/>
      <c r="RMN47" s="69"/>
      <c r="RMO47" s="69"/>
      <c r="RMP47" s="69"/>
      <c r="RMQ47" s="69"/>
      <c r="RMR47" s="69"/>
      <c r="RMS47" s="69"/>
      <c r="RMT47" s="69"/>
      <c r="RMU47" s="69"/>
      <c r="RMV47" s="69"/>
      <c r="RMW47" s="69"/>
      <c r="RMX47" s="69"/>
      <c r="RMY47" s="69"/>
      <c r="RMZ47" s="69"/>
      <c r="RNA47" s="69"/>
      <c r="RNB47" s="69"/>
      <c r="RNC47" s="69"/>
      <c r="RND47" s="69"/>
      <c r="RNE47" s="69"/>
      <c r="RNF47" s="69"/>
      <c r="RNG47" s="69"/>
      <c r="RNH47" s="69"/>
      <c r="RNI47" s="69"/>
      <c r="RNJ47" s="69"/>
      <c r="RNK47" s="69"/>
      <c r="RNL47" s="69"/>
      <c r="RNM47" s="69"/>
      <c r="RNN47" s="69"/>
      <c r="RNO47" s="69"/>
      <c r="RNP47" s="69"/>
      <c r="RNQ47" s="69"/>
      <c r="RNR47" s="69"/>
      <c r="RNS47" s="69"/>
      <c r="RNT47" s="69"/>
      <c r="RNU47" s="69"/>
      <c r="RNV47" s="69"/>
      <c r="RNW47" s="69"/>
      <c r="RNX47" s="69"/>
      <c r="RNY47" s="69"/>
      <c r="RNZ47" s="69"/>
      <c r="ROA47" s="69"/>
      <c r="ROB47" s="69"/>
      <c r="ROC47" s="69"/>
      <c r="ROD47" s="69"/>
      <c r="ROE47" s="69"/>
      <c r="ROF47" s="69"/>
      <c r="ROG47" s="69"/>
      <c r="ROH47" s="69"/>
      <c r="ROI47" s="69"/>
      <c r="ROJ47" s="69"/>
      <c r="ROK47" s="69"/>
      <c r="ROL47" s="69"/>
      <c r="ROM47" s="69"/>
      <c r="RON47" s="69"/>
      <c r="ROO47" s="69"/>
      <c r="ROP47" s="69"/>
      <c r="ROQ47" s="69"/>
      <c r="ROR47" s="69"/>
      <c r="ROS47" s="69"/>
      <c r="ROT47" s="69"/>
      <c r="ROU47" s="69"/>
      <c r="ROV47" s="69"/>
      <c r="ROW47" s="69"/>
      <c r="ROX47" s="69"/>
      <c r="ROY47" s="69"/>
      <c r="ROZ47" s="69"/>
      <c r="RPA47" s="69"/>
      <c r="RPB47" s="69"/>
      <c r="RPC47" s="69"/>
      <c r="RPD47" s="69"/>
      <c r="RPE47" s="69"/>
      <c r="RPF47" s="69"/>
      <c r="RPG47" s="69"/>
      <c r="RPH47" s="69"/>
      <c r="RPI47" s="69"/>
      <c r="RPJ47" s="69"/>
      <c r="RPK47" s="69"/>
      <c r="RPL47" s="69"/>
      <c r="RPM47" s="69"/>
      <c r="RPN47" s="69"/>
      <c r="RPO47" s="69"/>
      <c r="RPP47" s="69"/>
      <c r="RPQ47" s="69"/>
      <c r="RPR47" s="69"/>
      <c r="RPS47" s="69"/>
      <c r="RPT47" s="69"/>
      <c r="RPU47" s="69"/>
      <c r="RPV47" s="69"/>
      <c r="RPW47" s="69"/>
      <c r="RPX47" s="69"/>
      <c r="RPY47" s="69"/>
      <c r="RPZ47" s="69"/>
      <c r="RQA47" s="69"/>
      <c r="RQB47" s="69"/>
      <c r="RQC47" s="69"/>
      <c r="RQD47" s="69"/>
      <c r="RQE47" s="69"/>
      <c r="RQF47" s="69"/>
      <c r="RQG47" s="69"/>
      <c r="RQH47" s="69"/>
      <c r="RQI47" s="69"/>
      <c r="RQJ47" s="69"/>
      <c r="RQK47" s="69"/>
      <c r="RQL47" s="69"/>
      <c r="RQM47" s="69"/>
      <c r="RQN47" s="69"/>
      <c r="RQO47" s="69"/>
      <c r="RQP47" s="69"/>
      <c r="RQQ47" s="69"/>
      <c r="RQR47" s="69"/>
      <c r="RQS47" s="69"/>
      <c r="RQT47" s="69"/>
      <c r="RQU47" s="69"/>
      <c r="RQV47" s="69"/>
      <c r="RQW47" s="69"/>
      <c r="RQX47" s="69"/>
      <c r="RQY47" s="69"/>
      <c r="RQZ47" s="69"/>
      <c r="RRA47" s="69"/>
      <c r="RRB47" s="69"/>
      <c r="RRC47" s="69"/>
      <c r="RRD47" s="69"/>
      <c r="RRE47" s="69"/>
      <c r="RRF47" s="69"/>
      <c r="RRG47" s="69"/>
      <c r="RRH47" s="69"/>
      <c r="RRI47" s="69"/>
      <c r="RRJ47" s="69"/>
      <c r="RRK47" s="69"/>
      <c r="RRL47" s="69"/>
      <c r="RRM47" s="69"/>
      <c r="RRN47" s="69"/>
      <c r="RRO47" s="69"/>
      <c r="RRP47" s="69"/>
      <c r="RRQ47" s="69"/>
      <c r="RRR47" s="69"/>
      <c r="RRS47" s="69"/>
      <c r="RRT47" s="69"/>
      <c r="RRU47" s="69"/>
      <c r="RRV47" s="69"/>
      <c r="RRW47" s="69"/>
      <c r="RRX47" s="69"/>
      <c r="RRY47" s="69"/>
      <c r="RRZ47" s="69"/>
      <c r="RSA47" s="69"/>
      <c r="RSB47" s="69"/>
      <c r="RSC47" s="69"/>
      <c r="RSD47" s="69"/>
      <c r="RSE47" s="69"/>
      <c r="RSF47" s="69"/>
      <c r="RSG47" s="69"/>
      <c r="RSH47" s="69"/>
      <c r="RSI47" s="69"/>
      <c r="RSJ47" s="69"/>
      <c r="RSK47" s="69"/>
      <c r="RSL47" s="69"/>
      <c r="RSM47" s="69"/>
      <c r="RSN47" s="69"/>
      <c r="RSO47" s="69"/>
      <c r="RSP47" s="69"/>
      <c r="RSQ47" s="69"/>
      <c r="RSR47" s="69"/>
      <c r="RSS47" s="69"/>
      <c r="RST47" s="69"/>
      <c r="RSU47" s="69"/>
      <c r="RSV47" s="69"/>
      <c r="RSW47" s="69"/>
      <c r="RSX47" s="69"/>
      <c r="RSY47" s="69"/>
      <c r="RSZ47" s="69"/>
      <c r="RTA47" s="69"/>
      <c r="RTB47" s="69"/>
      <c r="RTC47" s="69"/>
      <c r="RTD47" s="69"/>
      <c r="RTE47" s="69"/>
      <c r="RTF47" s="69"/>
      <c r="RTG47" s="69"/>
      <c r="RTH47" s="69"/>
      <c r="RTI47" s="69"/>
      <c r="RTJ47" s="69"/>
      <c r="RTK47" s="69"/>
      <c r="RTL47" s="69"/>
      <c r="RTM47" s="69"/>
      <c r="RTN47" s="69"/>
      <c r="RTO47" s="69"/>
      <c r="RTP47" s="69"/>
      <c r="RTQ47" s="69"/>
      <c r="RTR47" s="69"/>
      <c r="RTS47" s="69"/>
      <c r="RTT47" s="69"/>
      <c r="RTU47" s="69"/>
      <c r="RTV47" s="69"/>
      <c r="RTW47" s="69"/>
      <c r="RTX47" s="69"/>
      <c r="RTY47" s="69"/>
      <c r="RTZ47" s="69"/>
      <c r="RUA47" s="69"/>
      <c r="RUB47" s="69"/>
      <c r="RUC47" s="69"/>
      <c r="RUD47" s="69"/>
      <c r="RUE47" s="69"/>
      <c r="RUF47" s="69"/>
      <c r="RUG47" s="69"/>
      <c r="RUH47" s="69"/>
      <c r="RUI47" s="69"/>
      <c r="RUJ47" s="69"/>
      <c r="RUK47" s="69"/>
      <c r="RUL47" s="69"/>
      <c r="RUM47" s="69"/>
      <c r="RUN47" s="69"/>
      <c r="RUO47" s="69"/>
      <c r="RUP47" s="69"/>
      <c r="RUQ47" s="69"/>
      <c r="RUR47" s="69"/>
      <c r="RUS47" s="69"/>
      <c r="RUT47" s="69"/>
      <c r="RUU47" s="69"/>
      <c r="RUV47" s="69"/>
      <c r="RUW47" s="69"/>
      <c r="RUX47" s="69"/>
      <c r="RUY47" s="69"/>
      <c r="RUZ47" s="69"/>
      <c r="RVA47" s="69"/>
      <c r="RVB47" s="69"/>
      <c r="RVC47" s="69"/>
      <c r="RVD47" s="69"/>
      <c r="RVE47" s="69"/>
      <c r="RVF47" s="69"/>
      <c r="RVG47" s="69"/>
      <c r="RVH47" s="69"/>
      <c r="RVI47" s="69"/>
      <c r="RVJ47" s="69"/>
      <c r="RVK47" s="69"/>
      <c r="RVL47" s="69"/>
      <c r="RVM47" s="69"/>
      <c r="RVN47" s="69"/>
      <c r="RVO47" s="69"/>
      <c r="RVP47" s="69"/>
      <c r="RVQ47" s="69"/>
      <c r="RVR47" s="69"/>
      <c r="RVS47" s="69"/>
      <c r="RVT47" s="69"/>
      <c r="RVU47" s="69"/>
      <c r="RVV47" s="69"/>
      <c r="RVW47" s="69"/>
      <c r="RVX47" s="69"/>
      <c r="RVY47" s="69"/>
      <c r="RVZ47" s="69"/>
      <c r="RWA47" s="69"/>
      <c r="RWB47" s="69"/>
      <c r="RWC47" s="69"/>
      <c r="RWD47" s="69"/>
      <c r="RWE47" s="69"/>
      <c r="RWF47" s="69"/>
      <c r="RWG47" s="69"/>
      <c r="RWH47" s="69"/>
      <c r="RWI47" s="69"/>
      <c r="RWJ47" s="69"/>
      <c r="RWK47" s="69"/>
      <c r="RWL47" s="69"/>
      <c r="RWM47" s="69"/>
      <c r="RWN47" s="69"/>
      <c r="RWO47" s="69"/>
      <c r="RWP47" s="69"/>
      <c r="RWQ47" s="69"/>
      <c r="RWR47" s="69"/>
      <c r="RWS47" s="69"/>
      <c r="RWT47" s="69"/>
      <c r="RWU47" s="69"/>
      <c r="RWV47" s="69"/>
      <c r="RWW47" s="69"/>
      <c r="RWX47" s="69"/>
      <c r="RWY47" s="69"/>
      <c r="RWZ47" s="69"/>
      <c r="RXA47" s="69"/>
      <c r="RXB47" s="69"/>
      <c r="RXC47" s="69"/>
      <c r="RXD47" s="69"/>
      <c r="RXE47" s="69"/>
      <c r="RXF47" s="69"/>
      <c r="RXG47" s="69"/>
      <c r="RXH47" s="69"/>
      <c r="RXI47" s="69"/>
      <c r="RXJ47" s="69"/>
      <c r="RXK47" s="69"/>
      <c r="RXL47" s="69"/>
      <c r="RXM47" s="69"/>
      <c r="RXN47" s="69"/>
      <c r="RXO47" s="69"/>
      <c r="RXP47" s="69"/>
      <c r="RXQ47" s="69"/>
      <c r="RXR47" s="69"/>
      <c r="RXS47" s="69"/>
      <c r="RXT47" s="69"/>
      <c r="RXU47" s="69"/>
      <c r="RXV47" s="69"/>
      <c r="RXW47" s="69"/>
      <c r="RXX47" s="69"/>
      <c r="RXY47" s="69"/>
      <c r="RXZ47" s="69"/>
      <c r="RYA47" s="69"/>
      <c r="RYB47" s="69"/>
      <c r="RYC47" s="69"/>
      <c r="RYD47" s="69"/>
      <c r="RYE47" s="69"/>
      <c r="RYF47" s="69"/>
      <c r="RYG47" s="69"/>
      <c r="RYH47" s="69"/>
      <c r="RYI47" s="69"/>
      <c r="RYJ47" s="69"/>
      <c r="RYK47" s="69"/>
      <c r="RYL47" s="69"/>
      <c r="RYM47" s="69"/>
      <c r="RYN47" s="69"/>
      <c r="RYO47" s="69"/>
      <c r="RYP47" s="69"/>
      <c r="RYQ47" s="69"/>
      <c r="RYR47" s="69"/>
      <c r="RYS47" s="69"/>
      <c r="RYT47" s="69"/>
      <c r="RYU47" s="69"/>
      <c r="RYV47" s="69"/>
      <c r="RYW47" s="69"/>
      <c r="RYX47" s="69"/>
      <c r="RYY47" s="69"/>
      <c r="RYZ47" s="69"/>
      <c r="RZA47" s="69"/>
      <c r="RZB47" s="69"/>
      <c r="RZC47" s="69"/>
      <c r="RZD47" s="69"/>
      <c r="RZE47" s="69"/>
      <c r="RZF47" s="69"/>
      <c r="RZG47" s="69"/>
      <c r="RZH47" s="69"/>
      <c r="RZI47" s="69"/>
      <c r="RZJ47" s="69"/>
      <c r="RZK47" s="69"/>
      <c r="RZL47" s="69"/>
      <c r="RZM47" s="69"/>
      <c r="RZN47" s="69"/>
      <c r="RZO47" s="69"/>
      <c r="RZP47" s="69"/>
      <c r="RZQ47" s="69"/>
      <c r="RZR47" s="69"/>
      <c r="RZS47" s="69"/>
      <c r="RZT47" s="69"/>
      <c r="RZU47" s="69"/>
      <c r="RZV47" s="69"/>
      <c r="RZW47" s="69"/>
      <c r="RZX47" s="69"/>
      <c r="RZY47" s="69"/>
      <c r="RZZ47" s="69"/>
      <c r="SAA47" s="69"/>
      <c r="SAB47" s="69"/>
      <c r="SAC47" s="69"/>
      <c r="SAD47" s="69"/>
      <c r="SAE47" s="69"/>
      <c r="SAF47" s="69"/>
      <c r="SAG47" s="69"/>
      <c r="SAH47" s="69"/>
      <c r="SAI47" s="69"/>
      <c r="SAJ47" s="69"/>
      <c r="SAK47" s="69"/>
      <c r="SAL47" s="69"/>
      <c r="SAM47" s="69"/>
      <c r="SAN47" s="69"/>
      <c r="SAO47" s="69"/>
      <c r="SAP47" s="69"/>
      <c r="SAQ47" s="69"/>
      <c r="SAR47" s="69"/>
      <c r="SAS47" s="69"/>
      <c r="SAT47" s="69"/>
      <c r="SAU47" s="69"/>
      <c r="SAV47" s="69"/>
      <c r="SAW47" s="69"/>
      <c r="SAX47" s="69"/>
      <c r="SAY47" s="69"/>
      <c r="SAZ47" s="69"/>
      <c r="SBA47" s="69"/>
      <c r="SBB47" s="69"/>
      <c r="SBC47" s="69"/>
      <c r="SBD47" s="69"/>
      <c r="SBE47" s="69"/>
      <c r="SBF47" s="69"/>
      <c r="SBG47" s="69"/>
      <c r="SBH47" s="69"/>
      <c r="SBI47" s="69"/>
      <c r="SBJ47" s="69"/>
      <c r="SBK47" s="69"/>
      <c r="SBL47" s="69"/>
      <c r="SBM47" s="69"/>
      <c r="SBN47" s="69"/>
      <c r="SBO47" s="69"/>
      <c r="SBP47" s="69"/>
      <c r="SBQ47" s="69"/>
      <c r="SBR47" s="69"/>
      <c r="SBS47" s="69"/>
      <c r="SBT47" s="69"/>
      <c r="SBU47" s="69"/>
      <c r="SBV47" s="69"/>
      <c r="SBW47" s="69"/>
      <c r="SBX47" s="69"/>
      <c r="SBY47" s="69"/>
      <c r="SBZ47" s="69"/>
      <c r="SCA47" s="69"/>
      <c r="SCB47" s="69"/>
      <c r="SCC47" s="69"/>
      <c r="SCD47" s="69"/>
      <c r="SCE47" s="69"/>
      <c r="SCF47" s="69"/>
      <c r="SCG47" s="69"/>
      <c r="SCH47" s="69"/>
      <c r="SCI47" s="69"/>
      <c r="SCJ47" s="69"/>
      <c r="SCK47" s="69"/>
      <c r="SCL47" s="69"/>
      <c r="SCM47" s="69"/>
      <c r="SCN47" s="69"/>
      <c r="SCO47" s="69"/>
      <c r="SCP47" s="69"/>
      <c r="SCQ47" s="69"/>
      <c r="SCR47" s="69"/>
      <c r="SCS47" s="69"/>
      <c r="SCT47" s="69"/>
      <c r="SCU47" s="69"/>
      <c r="SCV47" s="69"/>
      <c r="SCW47" s="69"/>
      <c r="SCX47" s="69"/>
      <c r="SCY47" s="69"/>
      <c r="SCZ47" s="69"/>
      <c r="SDA47" s="69"/>
      <c r="SDB47" s="69"/>
      <c r="SDC47" s="69"/>
      <c r="SDD47" s="69"/>
      <c r="SDE47" s="69"/>
      <c r="SDF47" s="69"/>
      <c r="SDG47" s="69"/>
      <c r="SDH47" s="69"/>
      <c r="SDI47" s="69"/>
      <c r="SDJ47" s="69"/>
      <c r="SDK47" s="69"/>
      <c r="SDL47" s="69"/>
      <c r="SDM47" s="69"/>
      <c r="SDN47" s="69"/>
      <c r="SDO47" s="69"/>
      <c r="SDP47" s="69"/>
      <c r="SDQ47" s="69"/>
      <c r="SDR47" s="69"/>
      <c r="SDS47" s="69"/>
      <c r="SDT47" s="69"/>
      <c r="SDU47" s="69"/>
      <c r="SDV47" s="69"/>
      <c r="SDW47" s="69"/>
      <c r="SDX47" s="69"/>
      <c r="SDY47" s="69"/>
      <c r="SDZ47" s="69"/>
      <c r="SEA47" s="69"/>
      <c r="SEB47" s="69"/>
      <c r="SEC47" s="69"/>
      <c r="SED47" s="69"/>
      <c r="SEE47" s="69"/>
      <c r="SEF47" s="69"/>
      <c r="SEG47" s="69"/>
      <c r="SEH47" s="69"/>
      <c r="SEI47" s="69"/>
      <c r="SEJ47" s="69"/>
      <c r="SEK47" s="69"/>
      <c r="SEL47" s="69"/>
      <c r="SEM47" s="69"/>
      <c r="SEN47" s="69"/>
      <c r="SEO47" s="69"/>
      <c r="SEP47" s="69"/>
      <c r="SEQ47" s="69"/>
      <c r="SER47" s="69"/>
      <c r="SES47" s="69"/>
      <c r="SET47" s="69"/>
      <c r="SEU47" s="69"/>
      <c r="SEV47" s="69"/>
      <c r="SEW47" s="69"/>
      <c r="SEX47" s="69"/>
      <c r="SEY47" s="69"/>
      <c r="SEZ47" s="69"/>
      <c r="SFA47" s="69"/>
      <c r="SFB47" s="69"/>
      <c r="SFC47" s="69"/>
      <c r="SFD47" s="69"/>
      <c r="SFE47" s="69"/>
      <c r="SFF47" s="69"/>
      <c r="SFG47" s="69"/>
      <c r="SFH47" s="69"/>
      <c r="SFI47" s="69"/>
      <c r="SFJ47" s="69"/>
      <c r="SFK47" s="69"/>
      <c r="SFL47" s="69"/>
      <c r="SFM47" s="69"/>
      <c r="SFN47" s="69"/>
      <c r="SFO47" s="69"/>
      <c r="SFP47" s="69"/>
      <c r="SFQ47" s="69"/>
      <c r="SFR47" s="69"/>
      <c r="SFS47" s="69"/>
      <c r="SFT47" s="69"/>
      <c r="SFU47" s="69"/>
      <c r="SFV47" s="69"/>
      <c r="SFW47" s="69"/>
      <c r="SFX47" s="69"/>
      <c r="SFY47" s="69"/>
      <c r="SFZ47" s="69"/>
      <c r="SGA47" s="69"/>
      <c r="SGB47" s="69"/>
      <c r="SGC47" s="69"/>
      <c r="SGD47" s="69"/>
      <c r="SGE47" s="69"/>
      <c r="SGF47" s="69"/>
      <c r="SGG47" s="69"/>
      <c r="SGH47" s="69"/>
      <c r="SGI47" s="69"/>
      <c r="SGJ47" s="69"/>
      <c r="SGK47" s="69"/>
      <c r="SGL47" s="69"/>
      <c r="SGM47" s="69"/>
      <c r="SGN47" s="69"/>
      <c r="SGO47" s="69"/>
      <c r="SGP47" s="69"/>
      <c r="SGQ47" s="69"/>
      <c r="SGR47" s="69"/>
      <c r="SGS47" s="69"/>
      <c r="SGT47" s="69"/>
      <c r="SGU47" s="69"/>
      <c r="SGV47" s="69"/>
      <c r="SGW47" s="69"/>
      <c r="SGX47" s="69"/>
      <c r="SGY47" s="69"/>
      <c r="SGZ47" s="69"/>
      <c r="SHA47" s="69"/>
      <c r="SHB47" s="69"/>
      <c r="SHC47" s="69"/>
      <c r="SHD47" s="69"/>
      <c r="SHE47" s="69"/>
      <c r="SHF47" s="69"/>
      <c r="SHG47" s="69"/>
      <c r="SHH47" s="69"/>
      <c r="SHI47" s="69"/>
      <c r="SHJ47" s="69"/>
      <c r="SHK47" s="69"/>
      <c r="SHL47" s="69"/>
      <c r="SHM47" s="69"/>
      <c r="SHN47" s="69"/>
      <c r="SHO47" s="69"/>
      <c r="SHP47" s="69"/>
      <c r="SHQ47" s="69"/>
      <c r="SHR47" s="69"/>
      <c r="SHS47" s="69"/>
      <c r="SHT47" s="69"/>
      <c r="SHU47" s="69"/>
      <c r="SHV47" s="69"/>
      <c r="SHW47" s="69"/>
      <c r="SHX47" s="69"/>
      <c r="SHY47" s="69"/>
      <c r="SHZ47" s="69"/>
      <c r="SIA47" s="69"/>
      <c r="SIB47" s="69"/>
      <c r="SIC47" s="69"/>
      <c r="SID47" s="69"/>
      <c r="SIE47" s="69"/>
      <c r="SIF47" s="69"/>
      <c r="SIG47" s="69"/>
      <c r="SIH47" s="69"/>
      <c r="SII47" s="69"/>
      <c r="SIJ47" s="69"/>
      <c r="SIK47" s="69"/>
      <c r="SIL47" s="69"/>
      <c r="SIM47" s="69"/>
      <c r="SIN47" s="69"/>
      <c r="SIO47" s="69"/>
      <c r="SIP47" s="69"/>
      <c r="SIQ47" s="69"/>
      <c r="SIR47" s="69"/>
      <c r="SIS47" s="69"/>
      <c r="SIT47" s="69"/>
      <c r="SIU47" s="69"/>
      <c r="SIV47" s="69"/>
      <c r="SIW47" s="69"/>
      <c r="SIX47" s="69"/>
      <c r="SIY47" s="69"/>
      <c r="SIZ47" s="69"/>
      <c r="SJA47" s="69"/>
      <c r="SJB47" s="69"/>
      <c r="SJC47" s="69"/>
      <c r="SJD47" s="69"/>
      <c r="SJE47" s="69"/>
      <c r="SJF47" s="69"/>
      <c r="SJG47" s="69"/>
      <c r="SJH47" s="69"/>
      <c r="SJI47" s="69"/>
      <c r="SJJ47" s="69"/>
      <c r="SJK47" s="69"/>
      <c r="SJL47" s="69"/>
      <c r="SJM47" s="69"/>
      <c r="SJN47" s="69"/>
      <c r="SJO47" s="69"/>
      <c r="SJP47" s="69"/>
      <c r="SJQ47" s="69"/>
      <c r="SJR47" s="69"/>
      <c r="SJS47" s="69"/>
      <c r="SJT47" s="69"/>
      <c r="SJU47" s="69"/>
      <c r="SJV47" s="69"/>
      <c r="SJW47" s="69"/>
      <c r="SJX47" s="69"/>
      <c r="SJY47" s="69"/>
      <c r="SJZ47" s="69"/>
      <c r="SKA47" s="69"/>
      <c r="SKB47" s="69"/>
      <c r="SKC47" s="69"/>
      <c r="SKD47" s="69"/>
      <c r="SKE47" s="69"/>
      <c r="SKF47" s="69"/>
      <c r="SKG47" s="69"/>
      <c r="SKH47" s="69"/>
      <c r="SKI47" s="69"/>
      <c r="SKJ47" s="69"/>
      <c r="SKK47" s="69"/>
      <c r="SKL47" s="69"/>
      <c r="SKM47" s="69"/>
      <c r="SKN47" s="69"/>
      <c r="SKO47" s="69"/>
      <c r="SKP47" s="69"/>
      <c r="SKQ47" s="69"/>
      <c r="SKR47" s="69"/>
      <c r="SKS47" s="69"/>
      <c r="SKT47" s="69"/>
      <c r="SKU47" s="69"/>
      <c r="SKV47" s="69"/>
      <c r="SKW47" s="69"/>
      <c r="SKX47" s="69"/>
      <c r="SKY47" s="69"/>
      <c r="SKZ47" s="69"/>
      <c r="SLA47" s="69"/>
      <c r="SLB47" s="69"/>
      <c r="SLC47" s="69"/>
      <c r="SLD47" s="69"/>
      <c r="SLE47" s="69"/>
      <c r="SLF47" s="69"/>
      <c r="SLG47" s="69"/>
      <c r="SLH47" s="69"/>
      <c r="SLI47" s="69"/>
      <c r="SLJ47" s="69"/>
      <c r="SLK47" s="69"/>
      <c r="SLL47" s="69"/>
      <c r="SLM47" s="69"/>
      <c r="SLN47" s="69"/>
      <c r="SLO47" s="69"/>
      <c r="SLP47" s="69"/>
      <c r="SLQ47" s="69"/>
      <c r="SLR47" s="69"/>
      <c r="SLS47" s="69"/>
      <c r="SLT47" s="69"/>
      <c r="SLU47" s="69"/>
      <c r="SLV47" s="69"/>
      <c r="SLW47" s="69"/>
      <c r="SLX47" s="69"/>
      <c r="SLY47" s="69"/>
      <c r="SLZ47" s="69"/>
      <c r="SMA47" s="69"/>
      <c r="SMB47" s="69"/>
      <c r="SMC47" s="69"/>
      <c r="SMD47" s="69"/>
      <c r="SME47" s="69"/>
      <c r="SMF47" s="69"/>
      <c r="SMG47" s="69"/>
      <c r="SMH47" s="69"/>
      <c r="SMI47" s="69"/>
      <c r="SMJ47" s="69"/>
      <c r="SMK47" s="69"/>
      <c r="SML47" s="69"/>
      <c r="SMM47" s="69"/>
      <c r="SMN47" s="69"/>
      <c r="SMO47" s="69"/>
      <c r="SMP47" s="69"/>
      <c r="SMQ47" s="69"/>
      <c r="SMR47" s="69"/>
      <c r="SMS47" s="69"/>
      <c r="SMT47" s="69"/>
      <c r="SMU47" s="69"/>
      <c r="SMV47" s="69"/>
      <c r="SMW47" s="69"/>
      <c r="SMX47" s="69"/>
      <c r="SMY47" s="69"/>
      <c r="SMZ47" s="69"/>
      <c r="SNA47" s="69"/>
      <c r="SNB47" s="69"/>
      <c r="SNC47" s="69"/>
      <c r="SND47" s="69"/>
      <c r="SNE47" s="69"/>
      <c r="SNF47" s="69"/>
      <c r="SNG47" s="69"/>
      <c r="SNH47" s="69"/>
      <c r="SNI47" s="69"/>
      <c r="SNJ47" s="69"/>
      <c r="SNK47" s="69"/>
      <c r="SNL47" s="69"/>
      <c r="SNM47" s="69"/>
      <c r="SNN47" s="69"/>
      <c r="SNO47" s="69"/>
      <c r="SNP47" s="69"/>
      <c r="SNQ47" s="69"/>
      <c r="SNR47" s="69"/>
      <c r="SNS47" s="69"/>
      <c r="SNT47" s="69"/>
      <c r="SNU47" s="69"/>
      <c r="SNV47" s="69"/>
      <c r="SNW47" s="69"/>
      <c r="SNX47" s="69"/>
      <c r="SNY47" s="69"/>
      <c r="SNZ47" s="69"/>
      <c r="SOA47" s="69"/>
      <c r="SOB47" s="69"/>
      <c r="SOC47" s="69"/>
      <c r="SOD47" s="69"/>
      <c r="SOE47" s="69"/>
      <c r="SOF47" s="69"/>
      <c r="SOG47" s="69"/>
      <c r="SOH47" s="69"/>
      <c r="SOI47" s="69"/>
      <c r="SOJ47" s="69"/>
      <c r="SOK47" s="69"/>
      <c r="SOL47" s="69"/>
      <c r="SOM47" s="69"/>
      <c r="SON47" s="69"/>
      <c r="SOO47" s="69"/>
      <c r="SOP47" s="69"/>
      <c r="SOQ47" s="69"/>
      <c r="SOR47" s="69"/>
      <c r="SOS47" s="69"/>
      <c r="SOT47" s="69"/>
      <c r="SOU47" s="69"/>
      <c r="SOV47" s="69"/>
      <c r="SOW47" s="69"/>
      <c r="SOX47" s="69"/>
      <c r="SOY47" s="69"/>
      <c r="SOZ47" s="69"/>
      <c r="SPA47" s="69"/>
      <c r="SPB47" s="69"/>
      <c r="SPC47" s="69"/>
      <c r="SPD47" s="69"/>
      <c r="SPE47" s="69"/>
      <c r="SPF47" s="69"/>
      <c r="SPG47" s="69"/>
      <c r="SPH47" s="69"/>
      <c r="SPI47" s="69"/>
      <c r="SPJ47" s="69"/>
      <c r="SPK47" s="69"/>
      <c r="SPL47" s="69"/>
      <c r="SPM47" s="69"/>
      <c r="SPN47" s="69"/>
      <c r="SPO47" s="69"/>
      <c r="SPP47" s="69"/>
      <c r="SPQ47" s="69"/>
      <c r="SPR47" s="69"/>
      <c r="SPS47" s="69"/>
      <c r="SPT47" s="69"/>
      <c r="SPU47" s="69"/>
      <c r="SPV47" s="69"/>
      <c r="SPW47" s="69"/>
      <c r="SPX47" s="69"/>
      <c r="SPY47" s="69"/>
      <c r="SPZ47" s="69"/>
      <c r="SQA47" s="69"/>
      <c r="SQB47" s="69"/>
      <c r="SQC47" s="69"/>
      <c r="SQD47" s="69"/>
      <c r="SQE47" s="69"/>
      <c r="SQF47" s="69"/>
      <c r="SQG47" s="69"/>
      <c r="SQH47" s="69"/>
      <c r="SQI47" s="69"/>
      <c r="SQJ47" s="69"/>
      <c r="SQK47" s="69"/>
      <c r="SQL47" s="69"/>
      <c r="SQM47" s="69"/>
      <c r="SQN47" s="69"/>
      <c r="SQO47" s="69"/>
      <c r="SQP47" s="69"/>
      <c r="SQQ47" s="69"/>
      <c r="SQR47" s="69"/>
      <c r="SQS47" s="69"/>
      <c r="SQT47" s="69"/>
      <c r="SQU47" s="69"/>
      <c r="SQV47" s="69"/>
      <c r="SQW47" s="69"/>
      <c r="SQX47" s="69"/>
      <c r="SQY47" s="69"/>
      <c r="SQZ47" s="69"/>
      <c r="SRA47" s="69"/>
      <c r="SRB47" s="69"/>
      <c r="SRC47" s="69"/>
      <c r="SRD47" s="69"/>
      <c r="SRE47" s="69"/>
      <c r="SRF47" s="69"/>
      <c r="SRG47" s="69"/>
      <c r="SRH47" s="69"/>
      <c r="SRI47" s="69"/>
      <c r="SRJ47" s="69"/>
      <c r="SRK47" s="69"/>
      <c r="SRL47" s="69"/>
      <c r="SRM47" s="69"/>
      <c r="SRN47" s="69"/>
      <c r="SRO47" s="69"/>
      <c r="SRP47" s="69"/>
      <c r="SRQ47" s="69"/>
      <c r="SRR47" s="69"/>
      <c r="SRS47" s="69"/>
      <c r="SRT47" s="69"/>
      <c r="SRU47" s="69"/>
      <c r="SRV47" s="69"/>
      <c r="SRW47" s="69"/>
      <c r="SRX47" s="69"/>
      <c r="SRY47" s="69"/>
      <c r="SRZ47" s="69"/>
      <c r="SSA47" s="69"/>
      <c r="SSB47" s="69"/>
      <c r="SSC47" s="69"/>
      <c r="SSD47" s="69"/>
      <c r="SSE47" s="69"/>
      <c r="SSF47" s="69"/>
      <c r="SSG47" s="69"/>
      <c r="SSH47" s="69"/>
      <c r="SSI47" s="69"/>
      <c r="SSJ47" s="69"/>
      <c r="SSK47" s="69"/>
      <c r="SSL47" s="69"/>
      <c r="SSM47" s="69"/>
      <c r="SSN47" s="69"/>
      <c r="SSO47" s="69"/>
      <c r="SSP47" s="69"/>
      <c r="SSQ47" s="69"/>
      <c r="SSR47" s="69"/>
      <c r="SSS47" s="69"/>
      <c r="SST47" s="69"/>
      <c r="SSU47" s="69"/>
      <c r="SSV47" s="69"/>
      <c r="SSW47" s="69"/>
      <c r="SSX47" s="69"/>
      <c r="SSY47" s="69"/>
      <c r="SSZ47" s="69"/>
      <c r="STA47" s="69"/>
      <c r="STB47" s="69"/>
      <c r="STC47" s="69"/>
      <c r="STD47" s="69"/>
      <c r="STE47" s="69"/>
      <c r="STF47" s="69"/>
      <c r="STG47" s="69"/>
      <c r="STH47" s="69"/>
      <c r="STI47" s="69"/>
      <c r="STJ47" s="69"/>
      <c r="STK47" s="69"/>
      <c r="STL47" s="69"/>
      <c r="STM47" s="69"/>
      <c r="STN47" s="69"/>
      <c r="STO47" s="69"/>
      <c r="STP47" s="69"/>
      <c r="STQ47" s="69"/>
      <c r="STR47" s="69"/>
      <c r="STS47" s="69"/>
      <c r="STT47" s="69"/>
      <c r="STU47" s="69"/>
      <c r="STV47" s="69"/>
      <c r="STW47" s="69"/>
      <c r="STX47" s="69"/>
      <c r="STY47" s="69"/>
      <c r="STZ47" s="69"/>
      <c r="SUA47" s="69"/>
      <c r="SUB47" s="69"/>
      <c r="SUC47" s="69"/>
      <c r="SUD47" s="69"/>
      <c r="SUE47" s="69"/>
      <c r="SUF47" s="69"/>
      <c r="SUG47" s="69"/>
      <c r="SUH47" s="69"/>
      <c r="SUI47" s="69"/>
      <c r="SUJ47" s="69"/>
      <c r="SUK47" s="69"/>
      <c r="SUL47" s="69"/>
      <c r="SUM47" s="69"/>
      <c r="SUN47" s="69"/>
      <c r="SUO47" s="69"/>
      <c r="SUP47" s="69"/>
      <c r="SUQ47" s="69"/>
      <c r="SUR47" s="69"/>
      <c r="SUS47" s="69"/>
      <c r="SUT47" s="69"/>
      <c r="SUU47" s="69"/>
      <c r="SUV47" s="69"/>
      <c r="SUW47" s="69"/>
      <c r="SUX47" s="69"/>
      <c r="SUY47" s="69"/>
      <c r="SUZ47" s="69"/>
      <c r="SVA47" s="69"/>
      <c r="SVB47" s="69"/>
      <c r="SVC47" s="69"/>
      <c r="SVD47" s="69"/>
      <c r="SVE47" s="69"/>
      <c r="SVF47" s="69"/>
      <c r="SVG47" s="69"/>
      <c r="SVH47" s="69"/>
      <c r="SVI47" s="69"/>
      <c r="SVJ47" s="69"/>
      <c r="SVK47" s="69"/>
      <c r="SVL47" s="69"/>
      <c r="SVM47" s="69"/>
      <c r="SVN47" s="69"/>
      <c r="SVO47" s="69"/>
      <c r="SVP47" s="69"/>
      <c r="SVQ47" s="69"/>
      <c r="SVR47" s="69"/>
      <c r="SVS47" s="69"/>
      <c r="SVT47" s="69"/>
      <c r="SVU47" s="69"/>
      <c r="SVV47" s="69"/>
      <c r="SVW47" s="69"/>
      <c r="SVX47" s="69"/>
      <c r="SVY47" s="69"/>
      <c r="SVZ47" s="69"/>
      <c r="SWA47" s="69"/>
      <c r="SWB47" s="69"/>
      <c r="SWC47" s="69"/>
      <c r="SWD47" s="69"/>
      <c r="SWE47" s="69"/>
      <c r="SWF47" s="69"/>
      <c r="SWG47" s="69"/>
      <c r="SWH47" s="69"/>
      <c r="SWI47" s="69"/>
      <c r="SWJ47" s="69"/>
      <c r="SWK47" s="69"/>
      <c r="SWL47" s="69"/>
      <c r="SWM47" s="69"/>
      <c r="SWN47" s="69"/>
      <c r="SWO47" s="69"/>
      <c r="SWP47" s="69"/>
      <c r="SWQ47" s="69"/>
      <c r="SWR47" s="69"/>
      <c r="SWS47" s="69"/>
      <c r="SWT47" s="69"/>
      <c r="SWU47" s="69"/>
      <c r="SWV47" s="69"/>
      <c r="SWW47" s="69"/>
      <c r="SWX47" s="69"/>
      <c r="SWY47" s="69"/>
      <c r="SWZ47" s="69"/>
      <c r="SXA47" s="69"/>
      <c r="SXB47" s="69"/>
      <c r="SXC47" s="69"/>
      <c r="SXD47" s="69"/>
      <c r="SXE47" s="69"/>
      <c r="SXF47" s="69"/>
      <c r="SXG47" s="69"/>
      <c r="SXH47" s="69"/>
      <c r="SXI47" s="69"/>
      <c r="SXJ47" s="69"/>
      <c r="SXK47" s="69"/>
      <c r="SXL47" s="69"/>
      <c r="SXM47" s="69"/>
      <c r="SXN47" s="69"/>
      <c r="SXO47" s="69"/>
      <c r="SXP47" s="69"/>
      <c r="SXQ47" s="69"/>
      <c r="SXR47" s="69"/>
      <c r="SXS47" s="69"/>
      <c r="SXT47" s="69"/>
      <c r="SXU47" s="69"/>
      <c r="SXV47" s="69"/>
      <c r="SXW47" s="69"/>
      <c r="SXX47" s="69"/>
      <c r="SXY47" s="69"/>
      <c r="SXZ47" s="69"/>
      <c r="SYA47" s="69"/>
      <c r="SYB47" s="69"/>
      <c r="SYC47" s="69"/>
      <c r="SYD47" s="69"/>
      <c r="SYE47" s="69"/>
      <c r="SYF47" s="69"/>
      <c r="SYG47" s="69"/>
      <c r="SYH47" s="69"/>
      <c r="SYI47" s="69"/>
      <c r="SYJ47" s="69"/>
      <c r="SYK47" s="69"/>
      <c r="SYL47" s="69"/>
      <c r="SYM47" s="69"/>
      <c r="SYN47" s="69"/>
      <c r="SYO47" s="69"/>
      <c r="SYP47" s="69"/>
      <c r="SYQ47" s="69"/>
      <c r="SYR47" s="69"/>
      <c r="SYS47" s="69"/>
      <c r="SYT47" s="69"/>
      <c r="SYU47" s="69"/>
      <c r="SYV47" s="69"/>
      <c r="SYW47" s="69"/>
      <c r="SYX47" s="69"/>
      <c r="SYY47" s="69"/>
      <c r="SYZ47" s="69"/>
      <c r="SZA47" s="69"/>
      <c r="SZB47" s="69"/>
      <c r="SZC47" s="69"/>
      <c r="SZD47" s="69"/>
      <c r="SZE47" s="69"/>
      <c r="SZF47" s="69"/>
      <c r="SZG47" s="69"/>
      <c r="SZH47" s="69"/>
      <c r="SZI47" s="69"/>
      <c r="SZJ47" s="69"/>
      <c r="SZK47" s="69"/>
      <c r="SZL47" s="69"/>
      <c r="SZM47" s="69"/>
      <c r="SZN47" s="69"/>
      <c r="SZO47" s="69"/>
      <c r="SZP47" s="69"/>
      <c r="SZQ47" s="69"/>
      <c r="SZR47" s="69"/>
      <c r="SZS47" s="69"/>
      <c r="SZT47" s="69"/>
      <c r="SZU47" s="69"/>
      <c r="SZV47" s="69"/>
      <c r="SZW47" s="69"/>
      <c r="SZX47" s="69"/>
      <c r="SZY47" s="69"/>
      <c r="SZZ47" s="69"/>
      <c r="TAA47" s="69"/>
      <c r="TAB47" s="69"/>
      <c r="TAC47" s="69"/>
      <c r="TAD47" s="69"/>
      <c r="TAE47" s="69"/>
      <c r="TAF47" s="69"/>
      <c r="TAG47" s="69"/>
      <c r="TAH47" s="69"/>
      <c r="TAI47" s="69"/>
      <c r="TAJ47" s="69"/>
      <c r="TAK47" s="69"/>
      <c r="TAL47" s="69"/>
      <c r="TAM47" s="69"/>
      <c r="TAN47" s="69"/>
      <c r="TAO47" s="69"/>
      <c r="TAP47" s="69"/>
      <c r="TAQ47" s="69"/>
      <c r="TAR47" s="69"/>
      <c r="TAS47" s="69"/>
      <c r="TAT47" s="69"/>
      <c r="TAU47" s="69"/>
      <c r="TAV47" s="69"/>
      <c r="TAW47" s="69"/>
      <c r="TAX47" s="69"/>
      <c r="TAY47" s="69"/>
      <c r="TAZ47" s="69"/>
      <c r="TBA47" s="69"/>
      <c r="TBB47" s="69"/>
      <c r="TBC47" s="69"/>
      <c r="TBD47" s="69"/>
      <c r="TBE47" s="69"/>
      <c r="TBF47" s="69"/>
      <c r="TBG47" s="69"/>
      <c r="TBH47" s="69"/>
      <c r="TBI47" s="69"/>
      <c r="TBJ47" s="69"/>
      <c r="TBK47" s="69"/>
      <c r="TBL47" s="69"/>
      <c r="TBM47" s="69"/>
      <c r="TBN47" s="69"/>
      <c r="TBO47" s="69"/>
      <c r="TBP47" s="69"/>
      <c r="TBQ47" s="69"/>
      <c r="TBR47" s="69"/>
      <c r="TBS47" s="69"/>
      <c r="TBT47" s="69"/>
      <c r="TBU47" s="69"/>
      <c r="TBV47" s="69"/>
      <c r="TBW47" s="69"/>
      <c r="TBX47" s="69"/>
      <c r="TBY47" s="69"/>
      <c r="TBZ47" s="69"/>
      <c r="TCA47" s="69"/>
      <c r="TCB47" s="69"/>
      <c r="TCC47" s="69"/>
      <c r="TCD47" s="69"/>
      <c r="TCE47" s="69"/>
      <c r="TCF47" s="69"/>
      <c r="TCG47" s="69"/>
      <c r="TCH47" s="69"/>
      <c r="TCI47" s="69"/>
      <c r="TCJ47" s="69"/>
      <c r="TCK47" s="69"/>
      <c r="TCL47" s="69"/>
      <c r="TCM47" s="69"/>
      <c r="TCN47" s="69"/>
      <c r="TCO47" s="69"/>
      <c r="TCP47" s="69"/>
      <c r="TCQ47" s="69"/>
      <c r="TCR47" s="69"/>
      <c r="TCS47" s="69"/>
      <c r="TCT47" s="69"/>
      <c r="TCU47" s="69"/>
      <c r="TCV47" s="69"/>
      <c r="TCW47" s="69"/>
      <c r="TCX47" s="69"/>
      <c r="TCY47" s="69"/>
      <c r="TCZ47" s="69"/>
      <c r="TDA47" s="69"/>
      <c r="TDB47" s="69"/>
      <c r="TDC47" s="69"/>
      <c r="TDD47" s="69"/>
      <c r="TDE47" s="69"/>
      <c r="TDF47" s="69"/>
      <c r="TDG47" s="69"/>
      <c r="TDH47" s="69"/>
      <c r="TDI47" s="69"/>
      <c r="TDJ47" s="69"/>
      <c r="TDK47" s="69"/>
      <c r="TDL47" s="69"/>
      <c r="TDM47" s="69"/>
      <c r="TDN47" s="69"/>
      <c r="TDO47" s="69"/>
      <c r="TDP47" s="69"/>
      <c r="TDQ47" s="69"/>
      <c r="TDR47" s="69"/>
      <c r="TDS47" s="69"/>
      <c r="TDT47" s="69"/>
      <c r="TDU47" s="69"/>
      <c r="TDV47" s="69"/>
      <c r="TDW47" s="69"/>
      <c r="TDX47" s="69"/>
      <c r="TDY47" s="69"/>
      <c r="TDZ47" s="69"/>
      <c r="TEA47" s="69"/>
      <c r="TEB47" s="69"/>
      <c r="TEC47" s="69"/>
      <c r="TED47" s="69"/>
      <c r="TEE47" s="69"/>
      <c r="TEF47" s="69"/>
      <c r="TEG47" s="69"/>
      <c r="TEH47" s="69"/>
      <c r="TEI47" s="69"/>
      <c r="TEJ47" s="69"/>
      <c r="TEK47" s="69"/>
      <c r="TEL47" s="69"/>
      <c r="TEM47" s="69"/>
      <c r="TEN47" s="69"/>
      <c r="TEO47" s="69"/>
      <c r="TEP47" s="69"/>
      <c r="TEQ47" s="69"/>
      <c r="TER47" s="69"/>
      <c r="TES47" s="69"/>
      <c r="TET47" s="69"/>
      <c r="TEU47" s="69"/>
      <c r="TEV47" s="69"/>
      <c r="TEW47" s="69"/>
      <c r="TEX47" s="69"/>
      <c r="TEY47" s="69"/>
      <c r="TEZ47" s="69"/>
      <c r="TFA47" s="69"/>
      <c r="TFB47" s="69"/>
      <c r="TFC47" s="69"/>
      <c r="TFD47" s="69"/>
      <c r="TFE47" s="69"/>
      <c r="TFF47" s="69"/>
      <c r="TFG47" s="69"/>
      <c r="TFH47" s="69"/>
      <c r="TFI47" s="69"/>
      <c r="TFJ47" s="69"/>
      <c r="TFK47" s="69"/>
      <c r="TFL47" s="69"/>
      <c r="TFM47" s="69"/>
      <c r="TFN47" s="69"/>
      <c r="TFO47" s="69"/>
      <c r="TFP47" s="69"/>
      <c r="TFQ47" s="69"/>
      <c r="TFR47" s="69"/>
      <c r="TFS47" s="69"/>
      <c r="TFT47" s="69"/>
      <c r="TFU47" s="69"/>
      <c r="TFV47" s="69"/>
      <c r="TFW47" s="69"/>
      <c r="TFX47" s="69"/>
      <c r="TFY47" s="69"/>
      <c r="TFZ47" s="69"/>
      <c r="TGA47" s="69"/>
      <c r="TGB47" s="69"/>
      <c r="TGC47" s="69"/>
      <c r="TGD47" s="69"/>
      <c r="TGE47" s="69"/>
      <c r="TGF47" s="69"/>
      <c r="TGG47" s="69"/>
      <c r="TGH47" s="69"/>
      <c r="TGI47" s="69"/>
      <c r="TGJ47" s="69"/>
      <c r="TGK47" s="69"/>
      <c r="TGL47" s="69"/>
      <c r="TGM47" s="69"/>
      <c r="TGN47" s="69"/>
      <c r="TGO47" s="69"/>
      <c r="TGP47" s="69"/>
      <c r="TGQ47" s="69"/>
      <c r="TGR47" s="69"/>
      <c r="TGS47" s="69"/>
      <c r="TGT47" s="69"/>
      <c r="TGU47" s="69"/>
      <c r="TGV47" s="69"/>
      <c r="TGW47" s="69"/>
      <c r="TGX47" s="69"/>
      <c r="TGY47" s="69"/>
      <c r="TGZ47" s="69"/>
      <c r="THA47" s="69"/>
      <c r="THB47" s="69"/>
      <c r="THC47" s="69"/>
      <c r="THD47" s="69"/>
      <c r="THE47" s="69"/>
      <c r="THF47" s="69"/>
      <c r="THG47" s="69"/>
      <c r="THH47" s="69"/>
      <c r="THI47" s="69"/>
      <c r="THJ47" s="69"/>
      <c r="THK47" s="69"/>
      <c r="THL47" s="69"/>
      <c r="THM47" s="69"/>
      <c r="THN47" s="69"/>
      <c r="THO47" s="69"/>
      <c r="THP47" s="69"/>
      <c r="THQ47" s="69"/>
      <c r="THR47" s="69"/>
      <c r="THS47" s="69"/>
      <c r="THT47" s="69"/>
      <c r="THU47" s="69"/>
      <c r="THV47" s="69"/>
      <c r="THW47" s="69"/>
      <c r="THX47" s="69"/>
      <c r="THY47" s="69"/>
      <c r="THZ47" s="69"/>
      <c r="TIA47" s="69"/>
      <c r="TIB47" s="69"/>
      <c r="TIC47" s="69"/>
      <c r="TID47" s="69"/>
      <c r="TIE47" s="69"/>
      <c r="TIF47" s="69"/>
      <c r="TIG47" s="69"/>
      <c r="TIH47" s="69"/>
      <c r="TII47" s="69"/>
      <c r="TIJ47" s="69"/>
      <c r="TIK47" s="69"/>
      <c r="TIL47" s="69"/>
      <c r="TIM47" s="69"/>
      <c r="TIN47" s="69"/>
      <c r="TIO47" s="69"/>
      <c r="TIP47" s="69"/>
      <c r="TIQ47" s="69"/>
      <c r="TIR47" s="69"/>
      <c r="TIS47" s="69"/>
      <c r="TIT47" s="69"/>
      <c r="TIU47" s="69"/>
      <c r="TIV47" s="69"/>
      <c r="TIW47" s="69"/>
      <c r="TIX47" s="69"/>
      <c r="TIY47" s="69"/>
      <c r="TIZ47" s="69"/>
      <c r="TJA47" s="69"/>
      <c r="TJB47" s="69"/>
      <c r="TJC47" s="69"/>
      <c r="TJD47" s="69"/>
      <c r="TJE47" s="69"/>
      <c r="TJF47" s="69"/>
      <c r="TJG47" s="69"/>
      <c r="TJH47" s="69"/>
      <c r="TJI47" s="69"/>
      <c r="TJJ47" s="69"/>
      <c r="TJK47" s="69"/>
      <c r="TJL47" s="69"/>
      <c r="TJM47" s="69"/>
      <c r="TJN47" s="69"/>
      <c r="TJO47" s="69"/>
      <c r="TJP47" s="69"/>
      <c r="TJQ47" s="69"/>
      <c r="TJR47" s="69"/>
      <c r="TJS47" s="69"/>
      <c r="TJT47" s="69"/>
      <c r="TJU47" s="69"/>
      <c r="TJV47" s="69"/>
      <c r="TJW47" s="69"/>
      <c r="TJX47" s="69"/>
      <c r="TJY47" s="69"/>
      <c r="TJZ47" s="69"/>
      <c r="TKA47" s="69"/>
      <c r="TKB47" s="69"/>
      <c r="TKC47" s="69"/>
      <c r="TKD47" s="69"/>
      <c r="TKE47" s="69"/>
      <c r="TKF47" s="69"/>
      <c r="TKG47" s="69"/>
      <c r="TKH47" s="69"/>
      <c r="TKI47" s="69"/>
      <c r="TKJ47" s="69"/>
      <c r="TKK47" s="69"/>
      <c r="TKL47" s="69"/>
      <c r="TKM47" s="69"/>
      <c r="TKN47" s="69"/>
      <c r="TKO47" s="69"/>
      <c r="TKP47" s="69"/>
      <c r="TKQ47" s="69"/>
      <c r="TKR47" s="69"/>
      <c r="TKS47" s="69"/>
      <c r="TKT47" s="69"/>
      <c r="TKU47" s="69"/>
      <c r="TKV47" s="69"/>
      <c r="TKW47" s="69"/>
      <c r="TKX47" s="69"/>
      <c r="TKY47" s="69"/>
      <c r="TKZ47" s="69"/>
      <c r="TLA47" s="69"/>
      <c r="TLB47" s="69"/>
      <c r="TLC47" s="69"/>
      <c r="TLD47" s="69"/>
      <c r="TLE47" s="69"/>
      <c r="TLF47" s="69"/>
      <c r="TLG47" s="69"/>
      <c r="TLH47" s="69"/>
      <c r="TLI47" s="69"/>
      <c r="TLJ47" s="69"/>
      <c r="TLK47" s="69"/>
      <c r="TLL47" s="69"/>
      <c r="TLM47" s="69"/>
      <c r="TLN47" s="69"/>
      <c r="TLO47" s="69"/>
      <c r="TLP47" s="69"/>
      <c r="TLQ47" s="69"/>
      <c r="TLR47" s="69"/>
      <c r="TLS47" s="69"/>
      <c r="TLT47" s="69"/>
      <c r="TLU47" s="69"/>
      <c r="TLV47" s="69"/>
      <c r="TLW47" s="69"/>
      <c r="TLX47" s="69"/>
      <c r="TLY47" s="69"/>
      <c r="TLZ47" s="69"/>
      <c r="TMA47" s="69"/>
      <c r="TMB47" s="69"/>
      <c r="TMC47" s="69"/>
      <c r="TMD47" s="69"/>
      <c r="TME47" s="69"/>
      <c r="TMF47" s="69"/>
      <c r="TMG47" s="69"/>
      <c r="TMH47" s="69"/>
      <c r="TMI47" s="69"/>
      <c r="TMJ47" s="69"/>
      <c r="TMK47" s="69"/>
      <c r="TML47" s="69"/>
      <c r="TMM47" s="69"/>
      <c r="TMN47" s="69"/>
      <c r="TMO47" s="69"/>
      <c r="TMP47" s="69"/>
      <c r="TMQ47" s="69"/>
      <c r="TMR47" s="69"/>
      <c r="TMS47" s="69"/>
      <c r="TMT47" s="69"/>
      <c r="TMU47" s="69"/>
      <c r="TMV47" s="69"/>
      <c r="TMW47" s="69"/>
      <c r="TMX47" s="69"/>
      <c r="TMY47" s="69"/>
      <c r="TMZ47" s="69"/>
      <c r="TNA47" s="69"/>
      <c r="TNB47" s="69"/>
      <c r="TNC47" s="69"/>
      <c r="TND47" s="69"/>
      <c r="TNE47" s="69"/>
      <c r="TNF47" s="69"/>
      <c r="TNG47" s="69"/>
      <c r="TNH47" s="69"/>
      <c r="TNI47" s="69"/>
      <c r="TNJ47" s="69"/>
      <c r="TNK47" s="69"/>
      <c r="TNL47" s="69"/>
      <c r="TNM47" s="69"/>
      <c r="TNN47" s="69"/>
      <c r="TNO47" s="69"/>
      <c r="TNP47" s="69"/>
      <c r="TNQ47" s="69"/>
      <c r="TNR47" s="69"/>
      <c r="TNS47" s="69"/>
      <c r="TNT47" s="69"/>
      <c r="TNU47" s="69"/>
      <c r="TNV47" s="69"/>
      <c r="TNW47" s="69"/>
      <c r="TNX47" s="69"/>
      <c r="TNY47" s="69"/>
      <c r="TNZ47" s="69"/>
      <c r="TOA47" s="69"/>
      <c r="TOB47" s="69"/>
      <c r="TOC47" s="69"/>
      <c r="TOD47" s="69"/>
      <c r="TOE47" s="69"/>
      <c r="TOF47" s="69"/>
      <c r="TOG47" s="69"/>
      <c r="TOH47" s="69"/>
      <c r="TOI47" s="69"/>
      <c r="TOJ47" s="69"/>
      <c r="TOK47" s="69"/>
      <c r="TOL47" s="69"/>
      <c r="TOM47" s="69"/>
      <c r="TON47" s="69"/>
      <c r="TOO47" s="69"/>
      <c r="TOP47" s="69"/>
      <c r="TOQ47" s="69"/>
      <c r="TOR47" s="69"/>
      <c r="TOS47" s="69"/>
      <c r="TOT47" s="69"/>
      <c r="TOU47" s="69"/>
      <c r="TOV47" s="69"/>
      <c r="TOW47" s="69"/>
      <c r="TOX47" s="69"/>
      <c r="TOY47" s="69"/>
      <c r="TOZ47" s="69"/>
      <c r="TPA47" s="69"/>
      <c r="TPB47" s="69"/>
      <c r="TPC47" s="69"/>
      <c r="TPD47" s="69"/>
      <c r="TPE47" s="69"/>
      <c r="TPF47" s="69"/>
      <c r="TPG47" s="69"/>
      <c r="TPH47" s="69"/>
      <c r="TPI47" s="69"/>
      <c r="TPJ47" s="69"/>
      <c r="TPK47" s="69"/>
      <c r="TPL47" s="69"/>
      <c r="TPM47" s="69"/>
      <c r="TPN47" s="69"/>
      <c r="TPO47" s="69"/>
      <c r="TPP47" s="69"/>
      <c r="TPQ47" s="69"/>
      <c r="TPR47" s="69"/>
      <c r="TPS47" s="69"/>
      <c r="TPT47" s="69"/>
      <c r="TPU47" s="69"/>
      <c r="TPV47" s="69"/>
      <c r="TPW47" s="69"/>
      <c r="TPX47" s="69"/>
      <c r="TPY47" s="69"/>
      <c r="TPZ47" s="69"/>
      <c r="TQA47" s="69"/>
      <c r="TQB47" s="69"/>
      <c r="TQC47" s="69"/>
      <c r="TQD47" s="69"/>
      <c r="TQE47" s="69"/>
      <c r="TQF47" s="69"/>
      <c r="TQG47" s="69"/>
      <c r="TQH47" s="69"/>
      <c r="TQI47" s="69"/>
      <c r="TQJ47" s="69"/>
      <c r="TQK47" s="69"/>
      <c r="TQL47" s="69"/>
      <c r="TQM47" s="69"/>
      <c r="TQN47" s="69"/>
      <c r="TQO47" s="69"/>
      <c r="TQP47" s="69"/>
      <c r="TQQ47" s="69"/>
      <c r="TQR47" s="69"/>
      <c r="TQS47" s="69"/>
      <c r="TQT47" s="69"/>
      <c r="TQU47" s="69"/>
      <c r="TQV47" s="69"/>
      <c r="TQW47" s="69"/>
      <c r="TQX47" s="69"/>
      <c r="TQY47" s="69"/>
      <c r="TQZ47" s="69"/>
      <c r="TRA47" s="69"/>
      <c r="TRB47" s="69"/>
      <c r="TRC47" s="69"/>
      <c r="TRD47" s="69"/>
      <c r="TRE47" s="69"/>
      <c r="TRF47" s="69"/>
      <c r="TRG47" s="69"/>
      <c r="TRH47" s="69"/>
      <c r="TRI47" s="69"/>
      <c r="TRJ47" s="69"/>
      <c r="TRK47" s="69"/>
      <c r="TRL47" s="69"/>
      <c r="TRM47" s="69"/>
      <c r="TRN47" s="69"/>
      <c r="TRO47" s="69"/>
      <c r="TRP47" s="69"/>
      <c r="TRQ47" s="69"/>
      <c r="TRR47" s="69"/>
      <c r="TRS47" s="69"/>
      <c r="TRT47" s="69"/>
      <c r="TRU47" s="69"/>
      <c r="TRV47" s="69"/>
      <c r="TRW47" s="69"/>
      <c r="TRX47" s="69"/>
      <c r="TRY47" s="69"/>
      <c r="TRZ47" s="69"/>
      <c r="TSA47" s="69"/>
      <c r="TSB47" s="69"/>
      <c r="TSC47" s="69"/>
      <c r="TSD47" s="69"/>
      <c r="TSE47" s="69"/>
      <c r="TSF47" s="69"/>
      <c r="TSG47" s="69"/>
      <c r="TSH47" s="69"/>
      <c r="TSI47" s="69"/>
      <c r="TSJ47" s="69"/>
      <c r="TSK47" s="69"/>
      <c r="TSL47" s="69"/>
      <c r="TSM47" s="69"/>
      <c r="TSN47" s="69"/>
      <c r="TSO47" s="69"/>
      <c r="TSP47" s="69"/>
      <c r="TSQ47" s="69"/>
      <c r="TSR47" s="69"/>
      <c r="TSS47" s="69"/>
      <c r="TST47" s="69"/>
      <c r="TSU47" s="69"/>
      <c r="TSV47" s="69"/>
      <c r="TSW47" s="69"/>
      <c r="TSX47" s="69"/>
      <c r="TSY47" s="69"/>
      <c r="TSZ47" s="69"/>
      <c r="TTA47" s="69"/>
      <c r="TTB47" s="69"/>
      <c r="TTC47" s="69"/>
      <c r="TTD47" s="69"/>
      <c r="TTE47" s="69"/>
      <c r="TTF47" s="69"/>
      <c r="TTG47" s="69"/>
      <c r="TTH47" s="69"/>
      <c r="TTI47" s="69"/>
      <c r="TTJ47" s="69"/>
      <c r="TTK47" s="69"/>
      <c r="TTL47" s="69"/>
      <c r="TTM47" s="69"/>
      <c r="TTN47" s="69"/>
      <c r="TTO47" s="69"/>
      <c r="TTP47" s="69"/>
      <c r="TTQ47" s="69"/>
      <c r="TTR47" s="69"/>
      <c r="TTS47" s="69"/>
      <c r="TTT47" s="69"/>
      <c r="TTU47" s="69"/>
      <c r="TTV47" s="69"/>
      <c r="TTW47" s="69"/>
      <c r="TTX47" s="69"/>
      <c r="TTY47" s="69"/>
      <c r="TTZ47" s="69"/>
      <c r="TUA47" s="69"/>
      <c r="TUB47" s="69"/>
      <c r="TUC47" s="69"/>
      <c r="TUD47" s="69"/>
      <c r="TUE47" s="69"/>
      <c r="TUF47" s="69"/>
      <c r="TUG47" s="69"/>
      <c r="TUH47" s="69"/>
      <c r="TUI47" s="69"/>
      <c r="TUJ47" s="69"/>
      <c r="TUK47" s="69"/>
      <c r="TUL47" s="69"/>
      <c r="TUM47" s="69"/>
      <c r="TUN47" s="69"/>
      <c r="TUO47" s="69"/>
      <c r="TUP47" s="69"/>
      <c r="TUQ47" s="69"/>
      <c r="TUR47" s="69"/>
      <c r="TUS47" s="69"/>
      <c r="TUT47" s="69"/>
      <c r="TUU47" s="69"/>
      <c r="TUV47" s="69"/>
      <c r="TUW47" s="69"/>
      <c r="TUX47" s="69"/>
      <c r="TUY47" s="69"/>
      <c r="TUZ47" s="69"/>
      <c r="TVA47" s="69"/>
      <c r="TVB47" s="69"/>
      <c r="TVC47" s="69"/>
      <c r="TVD47" s="69"/>
      <c r="TVE47" s="69"/>
      <c r="TVF47" s="69"/>
      <c r="TVG47" s="69"/>
      <c r="TVH47" s="69"/>
      <c r="TVI47" s="69"/>
      <c r="TVJ47" s="69"/>
      <c r="TVK47" s="69"/>
      <c r="TVL47" s="69"/>
      <c r="TVM47" s="69"/>
      <c r="TVN47" s="69"/>
      <c r="TVO47" s="69"/>
      <c r="TVP47" s="69"/>
      <c r="TVQ47" s="69"/>
      <c r="TVR47" s="69"/>
      <c r="TVS47" s="69"/>
      <c r="TVT47" s="69"/>
      <c r="TVU47" s="69"/>
      <c r="TVV47" s="69"/>
      <c r="TVW47" s="69"/>
      <c r="TVX47" s="69"/>
      <c r="TVY47" s="69"/>
      <c r="TVZ47" s="69"/>
      <c r="TWA47" s="69"/>
      <c r="TWB47" s="69"/>
      <c r="TWC47" s="69"/>
      <c r="TWD47" s="69"/>
      <c r="TWE47" s="69"/>
      <c r="TWF47" s="69"/>
      <c r="TWG47" s="69"/>
      <c r="TWH47" s="69"/>
      <c r="TWI47" s="69"/>
      <c r="TWJ47" s="69"/>
      <c r="TWK47" s="69"/>
      <c r="TWL47" s="69"/>
      <c r="TWM47" s="69"/>
      <c r="TWN47" s="69"/>
      <c r="TWO47" s="69"/>
      <c r="TWP47" s="69"/>
      <c r="TWQ47" s="69"/>
      <c r="TWR47" s="69"/>
      <c r="TWS47" s="69"/>
      <c r="TWT47" s="69"/>
      <c r="TWU47" s="69"/>
      <c r="TWV47" s="69"/>
      <c r="TWW47" s="69"/>
      <c r="TWX47" s="69"/>
      <c r="TWY47" s="69"/>
      <c r="TWZ47" s="69"/>
      <c r="TXA47" s="69"/>
      <c r="TXB47" s="69"/>
      <c r="TXC47" s="69"/>
      <c r="TXD47" s="69"/>
      <c r="TXE47" s="69"/>
      <c r="TXF47" s="69"/>
      <c r="TXG47" s="69"/>
      <c r="TXH47" s="69"/>
      <c r="TXI47" s="69"/>
      <c r="TXJ47" s="69"/>
      <c r="TXK47" s="69"/>
      <c r="TXL47" s="69"/>
      <c r="TXM47" s="69"/>
      <c r="TXN47" s="69"/>
      <c r="TXO47" s="69"/>
      <c r="TXP47" s="69"/>
      <c r="TXQ47" s="69"/>
      <c r="TXR47" s="69"/>
      <c r="TXS47" s="69"/>
      <c r="TXT47" s="69"/>
      <c r="TXU47" s="69"/>
      <c r="TXV47" s="69"/>
      <c r="TXW47" s="69"/>
      <c r="TXX47" s="69"/>
      <c r="TXY47" s="69"/>
      <c r="TXZ47" s="69"/>
      <c r="TYA47" s="69"/>
      <c r="TYB47" s="69"/>
      <c r="TYC47" s="69"/>
      <c r="TYD47" s="69"/>
      <c r="TYE47" s="69"/>
      <c r="TYF47" s="69"/>
      <c r="TYG47" s="69"/>
      <c r="TYH47" s="69"/>
      <c r="TYI47" s="69"/>
      <c r="TYJ47" s="69"/>
      <c r="TYK47" s="69"/>
      <c r="TYL47" s="69"/>
      <c r="TYM47" s="69"/>
      <c r="TYN47" s="69"/>
      <c r="TYO47" s="69"/>
      <c r="TYP47" s="69"/>
      <c r="TYQ47" s="69"/>
      <c r="TYR47" s="69"/>
      <c r="TYS47" s="69"/>
      <c r="TYT47" s="69"/>
      <c r="TYU47" s="69"/>
      <c r="TYV47" s="69"/>
      <c r="TYW47" s="69"/>
      <c r="TYX47" s="69"/>
      <c r="TYY47" s="69"/>
      <c r="TYZ47" s="69"/>
      <c r="TZA47" s="69"/>
      <c r="TZB47" s="69"/>
      <c r="TZC47" s="69"/>
      <c r="TZD47" s="69"/>
      <c r="TZE47" s="69"/>
      <c r="TZF47" s="69"/>
      <c r="TZG47" s="69"/>
      <c r="TZH47" s="69"/>
      <c r="TZI47" s="69"/>
      <c r="TZJ47" s="69"/>
      <c r="TZK47" s="69"/>
      <c r="TZL47" s="69"/>
      <c r="TZM47" s="69"/>
      <c r="TZN47" s="69"/>
      <c r="TZO47" s="69"/>
      <c r="TZP47" s="69"/>
      <c r="TZQ47" s="69"/>
      <c r="TZR47" s="69"/>
      <c r="TZS47" s="69"/>
      <c r="TZT47" s="69"/>
      <c r="TZU47" s="69"/>
      <c r="TZV47" s="69"/>
      <c r="TZW47" s="69"/>
      <c r="TZX47" s="69"/>
      <c r="TZY47" s="69"/>
      <c r="TZZ47" s="69"/>
      <c r="UAA47" s="69"/>
      <c r="UAB47" s="69"/>
      <c r="UAC47" s="69"/>
      <c r="UAD47" s="69"/>
      <c r="UAE47" s="69"/>
      <c r="UAF47" s="69"/>
      <c r="UAG47" s="69"/>
      <c r="UAH47" s="69"/>
      <c r="UAI47" s="69"/>
      <c r="UAJ47" s="69"/>
      <c r="UAK47" s="69"/>
      <c r="UAL47" s="69"/>
      <c r="UAM47" s="69"/>
      <c r="UAN47" s="69"/>
      <c r="UAO47" s="69"/>
      <c r="UAP47" s="69"/>
      <c r="UAQ47" s="69"/>
      <c r="UAR47" s="69"/>
      <c r="UAS47" s="69"/>
      <c r="UAT47" s="69"/>
      <c r="UAU47" s="69"/>
      <c r="UAV47" s="69"/>
      <c r="UAW47" s="69"/>
      <c r="UAX47" s="69"/>
      <c r="UAY47" s="69"/>
      <c r="UAZ47" s="69"/>
      <c r="UBA47" s="69"/>
      <c r="UBB47" s="69"/>
      <c r="UBC47" s="69"/>
      <c r="UBD47" s="69"/>
      <c r="UBE47" s="69"/>
      <c r="UBF47" s="69"/>
      <c r="UBG47" s="69"/>
      <c r="UBH47" s="69"/>
      <c r="UBI47" s="69"/>
      <c r="UBJ47" s="69"/>
      <c r="UBK47" s="69"/>
      <c r="UBL47" s="69"/>
      <c r="UBM47" s="69"/>
      <c r="UBN47" s="69"/>
      <c r="UBO47" s="69"/>
      <c r="UBP47" s="69"/>
      <c r="UBQ47" s="69"/>
      <c r="UBR47" s="69"/>
      <c r="UBS47" s="69"/>
      <c r="UBT47" s="69"/>
      <c r="UBU47" s="69"/>
      <c r="UBV47" s="69"/>
      <c r="UBW47" s="69"/>
      <c r="UBX47" s="69"/>
      <c r="UBY47" s="69"/>
      <c r="UBZ47" s="69"/>
      <c r="UCA47" s="69"/>
      <c r="UCB47" s="69"/>
      <c r="UCC47" s="69"/>
      <c r="UCD47" s="69"/>
      <c r="UCE47" s="69"/>
      <c r="UCF47" s="69"/>
      <c r="UCG47" s="69"/>
      <c r="UCH47" s="69"/>
      <c r="UCI47" s="69"/>
      <c r="UCJ47" s="69"/>
      <c r="UCK47" s="69"/>
      <c r="UCL47" s="69"/>
      <c r="UCM47" s="69"/>
      <c r="UCN47" s="69"/>
      <c r="UCO47" s="69"/>
      <c r="UCP47" s="69"/>
      <c r="UCQ47" s="69"/>
      <c r="UCR47" s="69"/>
      <c r="UCS47" s="69"/>
      <c r="UCT47" s="69"/>
      <c r="UCU47" s="69"/>
      <c r="UCV47" s="69"/>
      <c r="UCW47" s="69"/>
      <c r="UCX47" s="69"/>
      <c r="UCY47" s="69"/>
      <c r="UCZ47" s="69"/>
      <c r="UDA47" s="69"/>
      <c r="UDB47" s="69"/>
      <c r="UDC47" s="69"/>
      <c r="UDD47" s="69"/>
      <c r="UDE47" s="69"/>
      <c r="UDF47" s="69"/>
      <c r="UDG47" s="69"/>
      <c r="UDH47" s="69"/>
      <c r="UDI47" s="69"/>
      <c r="UDJ47" s="69"/>
      <c r="UDK47" s="69"/>
      <c r="UDL47" s="69"/>
      <c r="UDM47" s="69"/>
      <c r="UDN47" s="69"/>
      <c r="UDO47" s="69"/>
      <c r="UDP47" s="69"/>
      <c r="UDQ47" s="69"/>
      <c r="UDR47" s="69"/>
      <c r="UDS47" s="69"/>
      <c r="UDT47" s="69"/>
      <c r="UDU47" s="69"/>
      <c r="UDV47" s="69"/>
      <c r="UDW47" s="69"/>
      <c r="UDX47" s="69"/>
      <c r="UDY47" s="69"/>
      <c r="UDZ47" s="69"/>
      <c r="UEA47" s="69"/>
      <c r="UEB47" s="69"/>
      <c r="UEC47" s="69"/>
      <c r="UED47" s="69"/>
      <c r="UEE47" s="69"/>
      <c r="UEF47" s="69"/>
      <c r="UEG47" s="69"/>
      <c r="UEH47" s="69"/>
      <c r="UEI47" s="69"/>
      <c r="UEJ47" s="69"/>
      <c r="UEK47" s="69"/>
      <c r="UEL47" s="69"/>
      <c r="UEM47" s="69"/>
      <c r="UEN47" s="69"/>
      <c r="UEO47" s="69"/>
      <c r="UEP47" s="69"/>
      <c r="UEQ47" s="69"/>
      <c r="UER47" s="69"/>
      <c r="UES47" s="69"/>
      <c r="UET47" s="69"/>
      <c r="UEU47" s="69"/>
      <c r="UEV47" s="69"/>
      <c r="UEW47" s="69"/>
      <c r="UEX47" s="69"/>
      <c r="UEY47" s="69"/>
      <c r="UEZ47" s="69"/>
      <c r="UFA47" s="69"/>
      <c r="UFB47" s="69"/>
      <c r="UFC47" s="69"/>
      <c r="UFD47" s="69"/>
      <c r="UFE47" s="69"/>
      <c r="UFF47" s="69"/>
      <c r="UFG47" s="69"/>
      <c r="UFH47" s="69"/>
      <c r="UFI47" s="69"/>
      <c r="UFJ47" s="69"/>
      <c r="UFK47" s="69"/>
      <c r="UFL47" s="69"/>
      <c r="UFM47" s="69"/>
      <c r="UFN47" s="69"/>
      <c r="UFO47" s="69"/>
      <c r="UFP47" s="69"/>
      <c r="UFQ47" s="69"/>
      <c r="UFR47" s="69"/>
      <c r="UFS47" s="69"/>
      <c r="UFT47" s="69"/>
      <c r="UFU47" s="69"/>
      <c r="UFV47" s="69"/>
      <c r="UFW47" s="69"/>
      <c r="UFX47" s="69"/>
      <c r="UFY47" s="69"/>
      <c r="UFZ47" s="69"/>
      <c r="UGA47" s="69"/>
      <c r="UGB47" s="69"/>
      <c r="UGC47" s="69"/>
      <c r="UGD47" s="69"/>
      <c r="UGE47" s="69"/>
      <c r="UGF47" s="69"/>
      <c r="UGG47" s="69"/>
      <c r="UGH47" s="69"/>
      <c r="UGI47" s="69"/>
      <c r="UGJ47" s="69"/>
      <c r="UGK47" s="69"/>
      <c r="UGL47" s="69"/>
      <c r="UGM47" s="69"/>
      <c r="UGN47" s="69"/>
      <c r="UGO47" s="69"/>
      <c r="UGP47" s="69"/>
      <c r="UGQ47" s="69"/>
      <c r="UGR47" s="69"/>
      <c r="UGS47" s="69"/>
      <c r="UGT47" s="69"/>
      <c r="UGU47" s="69"/>
      <c r="UGV47" s="69"/>
      <c r="UGW47" s="69"/>
      <c r="UGX47" s="69"/>
      <c r="UGY47" s="69"/>
      <c r="UGZ47" s="69"/>
      <c r="UHA47" s="69"/>
      <c r="UHB47" s="69"/>
      <c r="UHC47" s="69"/>
      <c r="UHD47" s="69"/>
      <c r="UHE47" s="69"/>
      <c r="UHF47" s="69"/>
      <c r="UHG47" s="69"/>
      <c r="UHH47" s="69"/>
      <c r="UHI47" s="69"/>
      <c r="UHJ47" s="69"/>
      <c r="UHK47" s="69"/>
      <c r="UHL47" s="69"/>
      <c r="UHM47" s="69"/>
      <c r="UHN47" s="69"/>
      <c r="UHO47" s="69"/>
      <c r="UHP47" s="69"/>
      <c r="UHQ47" s="69"/>
      <c r="UHR47" s="69"/>
      <c r="UHS47" s="69"/>
      <c r="UHT47" s="69"/>
      <c r="UHU47" s="69"/>
      <c r="UHV47" s="69"/>
      <c r="UHW47" s="69"/>
      <c r="UHX47" s="69"/>
      <c r="UHY47" s="69"/>
      <c r="UHZ47" s="69"/>
      <c r="UIA47" s="69"/>
      <c r="UIB47" s="69"/>
      <c r="UIC47" s="69"/>
      <c r="UID47" s="69"/>
      <c r="UIE47" s="69"/>
      <c r="UIF47" s="69"/>
      <c r="UIG47" s="69"/>
      <c r="UIH47" s="69"/>
      <c r="UII47" s="69"/>
      <c r="UIJ47" s="69"/>
      <c r="UIK47" s="69"/>
      <c r="UIL47" s="69"/>
      <c r="UIM47" s="69"/>
      <c r="UIN47" s="69"/>
      <c r="UIO47" s="69"/>
      <c r="UIP47" s="69"/>
      <c r="UIQ47" s="69"/>
      <c r="UIR47" s="69"/>
      <c r="UIS47" s="69"/>
      <c r="UIT47" s="69"/>
      <c r="UIU47" s="69"/>
      <c r="UIV47" s="69"/>
      <c r="UIW47" s="69"/>
      <c r="UIX47" s="69"/>
      <c r="UIY47" s="69"/>
      <c r="UIZ47" s="69"/>
      <c r="UJA47" s="69"/>
      <c r="UJB47" s="69"/>
      <c r="UJC47" s="69"/>
      <c r="UJD47" s="69"/>
      <c r="UJE47" s="69"/>
      <c r="UJF47" s="69"/>
      <c r="UJG47" s="69"/>
      <c r="UJH47" s="69"/>
      <c r="UJI47" s="69"/>
      <c r="UJJ47" s="69"/>
      <c r="UJK47" s="69"/>
      <c r="UJL47" s="69"/>
      <c r="UJM47" s="69"/>
      <c r="UJN47" s="69"/>
      <c r="UJO47" s="69"/>
      <c r="UJP47" s="69"/>
      <c r="UJQ47" s="69"/>
      <c r="UJR47" s="69"/>
      <c r="UJS47" s="69"/>
      <c r="UJT47" s="69"/>
      <c r="UJU47" s="69"/>
      <c r="UJV47" s="69"/>
      <c r="UJW47" s="69"/>
      <c r="UJX47" s="69"/>
      <c r="UJY47" s="69"/>
      <c r="UJZ47" s="69"/>
      <c r="UKA47" s="69"/>
      <c r="UKB47" s="69"/>
      <c r="UKC47" s="69"/>
      <c r="UKD47" s="69"/>
      <c r="UKE47" s="69"/>
      <c r="UKF47" s="69"/>
      <c r="UKG47" s="69"/>
      <c r="UKH47" s="69"/>
      <c r="UKI47" s="69"/>
      <c r="UKJ47" s="69"/>
      <c r="UKK47" s="69"/>
      <c r="UKL47" s="69"/>
      <c r="UKM47" s="69"/>
      <c r="UKN47" s="69"/>
      <c r="UKO47" s="69"/>
      <c r="UKP47" s="69"/>
      <c r="UKQ47" s="69"/>
      <c r="UKR47" s="69"/>
      <c r="UKS47" s="69"/>
      <c r="UKT47" s="69"/>
      <c r="UKU47" s="69"/>
      <c r="UKV47" s="69"/>
      <c r="UKW47" s="69"/>
      <c r="UKX47" s="69"/>
      <c r="UKY47" s="69"/>
      <c r="UKZ47" s="69"/>
      <c r="ULA47" s="69"/>
      <c r="ULB47" s="69"/>
      <c r="ULC47" s="69"/>
      <c r="ULD47" s="69"/>
      <c r="ULE47" s="69"/>
      <c r="ULF47" s="69"/>
      <c r="ULG47" s="69"/>
      <c r="ULH47" s="69"/>
      <c r="ULI47" s="69"/>
      <c r="ULJ47" s="69"/>
      <c r="ULK47" s="69"/>
      <c r="ULL47" s="69"/>
      <c r="ULM47" s="69"/>
      <c r="ULN47" s="69"/>
      <c r="ULO47" s="69"/>
      <c r="ULP47" s="69"/>
      <c r="ULQ47" s="69"/>
      <c r="ULR47" s="69"/>
      <c r="ULS47" s="69"/>
      <c r="ULT47" s="69"/>
      <c r="ULU47" s="69"/>
      <c r="ULV47" s="69"/>
      <c r="ULW47" s="69"/>
      <c r="ULX47" s="69"/>
      <c r="ULY47" s="69"/>
      <c r="ULZ47" s="69"/>
      <c r="UMA47" s="69"/>
      <c r="UMB47" s="69"/>
      <c r="UMC47" s="69"/>
      <c r="UMD47" s="69"/>
      <c r="UME47" s="69"/>
      <c r="UMF47" s="69"/>
      <c r="UMG47" s="69"/>
      <c r="UMH47" s="69"/>
      <c r="UMI47" s="69"/>
      <c r="UMJ47" s="69"/>
      <c r="UMK47" s="69"/>
      <c r="UML47" s="69"/>
      <c r="UMM47" s="69"/>
      <c r="UMN47" s="69"/>
      <c r="UMO47" s="69"/>
      <c r="UMP47" s="69"/>
      <c r="UMQ47" s="69"/>
      <c r="UMR47" s="69"/>
      <c r="UMS47" s="69"/>
      <c r="UMT47" s="69"/>
      <c r="UMU47" s="69"/>
      <c r="UMV47" s="69"/>
      <c r="UMW47" s="69"/>
      <c r="UMX47" s="69"/>
      <c r="UMY47" s="69"/>
      <c r="UMZ47" s="69"/>
      <c r="UNA47" s="69"/>
      <c r="UNB47" s="69"/>
      <c r="UNC47" s="69"/>
      <c r="UND47" s="69"/>
      <c r="UNE47" s="69"/>
      <c r="UNF47" s="69"/>
      <c r="UNG47" s="69"/>
      <c r="UNH47" s="69"/>
      <c r="UNI47" s="69"/>
      <c r="UNJ47" s="69"/>
      <c r="UNK47" s="69"/>
      <c r="UNL47" s="69"/>
      <c r="UNM47" s="69"/>
      <c r="UNN47" s="69"/>
      <c r="UNO47" s="69"/>
      <c r="UNP47" s="69"/>
      <c r="UNQ47" s="69"/>
      <c r="UNR47" s="69"/>
      <c r="UNS47" s="69"/>
      <c r="UNT47" s="69"/>
      <c r="UNU47" s="69"/>
      <c r="UNV47" s="69"/>
      <c r="UNW47" s="69"/>
      <c r="UNX47" s="69"/>
      <c r="UNY47" s="69"/>
      <c r="UNZ47" s="69"/>
      <c r="UOA47" s="69"/>
      <c r="UOB47" s="69"/>
      <c r="UOC47" s="69"/>
      <c r="UOD47" s="69"/>
      <c r="UOE47" s="69"/>
      <c r="UOF47" s="69"/>
      <c r="UOG47" s="69"/>
      <c r="UOH47" s="69"/>
      <c r="UOI47" s="69"/>
      <c r="UOJ47" s="69"/>
      <c r="UOK47" s="69"/>
      <c r="UOL47" s="69"/>
      <c r="UOM47" s="69"/>
      <c r="UON47" s="69"/>
      <c r="UOO47" s="69"/>
      <c r="UOP47" s="69"/>
      <c r="UOQ47" s="69"/>
      <c r="UOR47" s="69"/>
      <c r="UOS47" s="69"/>
      <c r="UOT47" s="69"/>
      <c r="UOU47" s="69"/>
      <c r="UOV47" s="69"/>
      <c r="UOW47" s="69"/>
      <c r="UOX47" s="69"/>
      <c r="UOY47" s="69"/>
      <c r="UOZ47" s="69"/>
      <c r="UPA47" s="69"/>
      <c r="UPB47" s="69"/>
      <c r="UPC47" s="69"/>
      <c r="UPD47" s="69"/>
      <c r="UPE47" s="69"/>
      <c r="UPF47" s="69"/>
      <c r="UPG47" s="69"/>
      <c r="UPH47" s="69"/>
      <c r="UPI47" s="69"/>
      <c r="UPJ47" s="69"/>
      <c r="UPK47" s="69"/>
      <c r="UPL47" s="69"/>
      <c r="UPM47" s="69"/>
      <c r="UPN47" s="69"/>
      <c r="UPO47" s="69"/>
      <c r="UPP47" s="69"/>
      <c r="UPQ47" s="69"/>
      <c r="UPR47" s="69"/>
      <c r="UPS47" s="69"/>
      <c r="UPT47" s="69"/>
      <c r="UPU47" s="69"/>
      <c r="UPV47" s="69"/>
      <c r="UPW47" s="69"/>
      <c r="UPX47" s="69"/>
      <c r="UPY47" s="69"/>
      <c r="UPZ47" s="69"/>
      <c r="UQA47" s="69"/>
      <c r="UQB47" s="69"/>
      <c r="UQC47" s="69"/>
      <c r="UQD47" s="69"/>
      <c r="UQE47" s="69"/>
      <c r="UQF47" s="69"/>
      <c r="UQG47" s="69"/>
      <c r="UQH47" s="69"/>
      <c r="UQI47" s="69"/>
      <c r="UQJ47" s="69"/>
      <c r="UQK47" s="69"/>
      <c r="UQL47" s="69"/>
      <c r="UQM47" s="69"/>
      <c r="UQN47" s="69"/>
      <c r="UQO47" s="69"/>
      <c r="UQP47" s="69"/>
      <c r="UQQ47" s="69"/>
      <c r="UQR47" s="69"/>
      <c r="UQS47" s="69"/>
      <c r="UQT47" s="69"/>
      <c r="UQU47" s="69"/>
      <c r="UQV47" s="69"/>
      <c r="UQW47" s="69"/>
      <c r="UQX47" s="69"/>
      <c r="UQY47" s="69"/>
      <c r="UQZ47" s="69"/>
      <c r="URA47" s="69"/>
      <c r="URB47" s="69"/>
      <c r="URC47" s="69"/>
      <c r="URD47" s="69"/>
      <c r="URE47" s="69"/>
      <c r="URF47" s="69"/>
      <c r="URG47" s="69"/>
      <c r="URH47" s="69"/>
      <c r="URI47" s="69"/>
      <c r="URJ47" s="69"/>
      <c r="URK47" s="69"/>
      <c r="URL47" s="69"/>
      <c r="URM47" s="69"/>
      <c r="URN47" s="69"/>
      <c r="URO47" s="69"/>
      <c r="URP47" s="69"/>
      <c r="URQ47" s="69"/>
      <c r="URR47" s="69"/>
      <c r="URS47" s="69"/>
      <c r="URT47" s="69"/>
      <c r="URU47" s="69"/>
      <c r="URV47" s="69"/>
      <c r="URW47" s="69"/>
      <c r="URX47" s="69"/>
      <c r="URY47" s="69"/>
      <c r="URZ47" s="69"/>
      <c r="USA47" s="69"/>
      <c r="USB47" s="69"/>
      <c r="USC47" s="69"/>
      <c r="USD47" s="69"/>
      <c r="USE47" s="69"/>
      <c r="USF47" s="69"/>
      <c r="USG47" s="69"/>
      <c r="USH47" s="69"/>
      <c r="USI47" s="69"/>
      <c r="USJ47" s="69"/>
      <c r="USK47" s="69"/>
      <c r="USL47" s="69"/>
      <c r="USM47" s="69"/>
      <c r="USN47" s="69"/>
      <c r="USO47" s="69"/>
      <c r="USP47" s="69"/>
      <c r="USQ47" s="69"/>
      <c r="USR47" s="69"/>
      <c r="USS47" s="69"/>
      <c r="UST47" s="69"/>
      <c r="USU47" s="69"/>
      <c r="USV47" s="69"/>
      <c r="USW47" s="69"/>
      <c r="USX47" s="69"/>
      <c r="USY47" s="69"/>
      <c r="USZ47" s="69"/>
      <c r="UTA47" s="69"/>
      <c r="UTB47" s="69"/>
      <c r="UTC47" s="69"/>
      <c r="UTD47" s="69"/>
      <c r="UTE47" s="69"/>
      <c r="UTF47" s="69"/>
      <c r="UTG47" s="69"/>
      <c r="UTH47" s="69"/>
      <c r="UTI47" s="69"/>
      <c r="UTJ47" s="69"/>
      <c r="UTK47" s="69"/>
      <c r="UTL47" s="69"/>
      <c r="UTM47" s="69"/>
      <c r="UTN47" s="69"/>
      <c r="UTO47" s="69"/>
      <c r="UTP47" s="69"/>
      <c r="UTQ47" s="69"/>
      <c r="UTR47" s="69"/>
      <c r="UTS47" s="69"/>
      <c r="UTT47" s="69"/>
      <c r="UTU47" s="69"/>
      <c r="UTV47" s="69"/>
      <c r="UTW47" s="69"/>
      <c r="UTX47" s="69"/>
      <c r="UTY47" s="69"/>
      <c r="UTZ47" s="69"/>
      <c r="UUA47" s="69"/>
      <c r="UUB47" s="69"/>
      <c r="UUC47" s="69"/>
      <c r="UUD47" s="69"/>
      <c r="UUE47" s="69"/>
      <c r="UUF47" s="69"/>
      <c r="UUG47" s="69"/>
      <c r="UUH47" s="69"/>
      <c r="UUI47" s="69"/>
      <c r="UUJ47" s="69"/>
      <c r="UUK47" s="69"/>
      <c r="UUL47" s="69"/>
      <c r="UUM47" s="69"/>
      <c r="UUN47" s="69"/>
      <c r="UUO47" s="69"/>
      <c r="UUP47" s="69"/>
      <c r="UUQ47" s="69"/>
      <c r="UUR47" s="69"/>
      <c r="UUS47" s="69"/>
      <c r="UUT47" s="69"/>
      <c r="UUU47" s="69"/>
      <c r="UUV47" s="69"/>
      <c r="UUW47" s="69"/>
      <c r="UUX47" s="69"/>
      <c r="UUY47" s="69"/>
      <c r="UUZ47" s="69"/>
      <c r="UVA47" s="69"/>
      <c r="UVB47" s="69"/>
      <c r="UVC47" s="69"/>
      <c r="UVD47" s="69"/>
      <c r="UVE47" s="69"/>
      <c r="UVF47" s="69"/>
      <c r="UVG47" s="69"/>
      <c r="UVH47" s="69"/>
      <c r="UVI47" s="69"/>
      <c r="UVJ47" s="69"/>
      <c r="UVK47" s="69"/>
      <c r="UVL47" s="69"/>
      <c r="UVM47" s="69"/>
      <c r="UVN47" s="69"/>
      <c r="UVO47" s="69"/>
      <c r="UVP47" s="69"/>
      <c r="UVQ47" s="69"/>
      <c r="UVR47" s="69"/>
      <c r="UVS47" s="69"/>
      <c r="UVT47" s="69"/>
      <c r="UVU47" s="69"/>
      <c r="UVV47" s="69"/>
      <c r="UVW47" s="69"/>
      <c r="UVX47" s="69"/>
      <c r="UVY47" s="69"/>
      <c r="UVZ47" s="69"/>
      <c r="UWA47" s="69"/>
      <c r="UWB47" s="69"/>
      <c r="UWC47" s="69"/>
      <c r="UWD47" s="69"/>
      <c r="UWE47" s="69"/>
      <c r="UWF47" s="69"/>
      <c r="UWG47" s="69"/>
      <c r="UWH47" s="69"/>
      <c r="UWI47" s="69"/>
      <c r="UWJ47" s="69"/>
      <c r="UWK47" s="69"/>
      <c r="UWL47" s="69"/>
      <c r="UWM47" s="69"/>
      <c r="UWN47" s="69"/>
      <c r="UWO47" s="69"/>
      <c r="UWP47" s="69"/>
      <c r="UWQ47" s="69"/>
      <c r="UWR47" s="69"/>
      <c r="UWS47" s="69"/>
      <c r="UWT47" s="69"/>
      <c r="UWU47" s="69"/>
      <c r="UWV47" s="69"/>
      <c r="UWW47" s="69"/>
      <c r="UWX47" s="69"/>
      <c r="UWY47" s="69"/>
      <c r="UWZ47" s="69"/>
      <c r="UXA47" s="69"/>
      <c r="UXB47" s="69"/>
      <c r="UXC47" s="69"/>
      <c r="UXD47" s="69"/>
      <c r="UXE47" s="69"/>
      <c r="UXF47" s="69"/>
      <c r="UXG47" s="69"/>
      <c r="UXH47" s="69"/>
      <c r="UXI47" s="69"/>
      <c r="UXJ47" s="69"/>
      <c r="UXK47" s="69"/>
      <c r="UXL47" s="69"/>
      <c r="UXM47" s="69"/>
      <c r="UXN47" s="69"/>
      <c r="UXO47" s="69"/>
      <c r="UXP47" s="69"/>
      <c r="UXQ47" s="69"/>
      <c r="UXR47" s="69"/>
      <c r="UXS47" s="69"/>
      <c r="UXT47" s="69"/>
      <c r="UXU47" s="69"/>
      <c r="UXV47" s="69"/>
      <c r="UXW47" s="69"/>
      <c r="UXX47" s="69"/>
      <c r="UXY47" s="69"/>
      <c r="UXZ47" s="69"/>
      <c r="UYA47" s="69"/>
      <c r="UYB47" s="69"/>
      <c r="UYC47" s="69"/>
      <c r="UYD47" s="69"/>
      <c r="UYE47" s="69"/>
      <c r="UYF47" s="69"/>
      <c r="UYG47" s="69"/>
      <c r="UYH47" s="69"/>
      <c r="UYI47" s="69"/>
      <c r="UYJ47" s="69"/>
      <c r="UYK47" s="69"/>
      <c r="UYL47" s="69"/>
      <c r="UYM47" s="69"/>
      <c r="UYN47" s="69"/>
      <c r="UYO47" s="69"/>
      <c r="UYP47" s="69"/>
      <c r="UYQ47" s="69"/>
      <c r="UYR47" s="69"/>
      <c r="UYS47" s="69"/>
      <c r="UYT47" s="69"/>
      <c r="UYU47" s="69"/>
      <c r="UYV47" s="69"/>
      <c r="UYW47" s="69"/>
      <c r="UYX47" s="69"/>
      <c r="UYY47" s="69"/>
      <c r="UYZ47" s="69"/>
      <c r="UZA47" s="69"/>
      <c r="UZB47" s="69"/>
      <c r="UZC47" s="69"/>
      <c r="UZD47" s="69"/>
      <c r="UZE47" s="69"/>
      <c r="UZF47" s="69"/>
      <c r="UZG47" s="69"/>
      <c r="UZH47" s="69"/>
      <c r="UZI47" s="69"/>
      <c r="UZJ47" s="69"/>
      <c r="UZK47" s="69"/>
      <c r="UZL47" s="69"/>
      <c r="UZM47" s="69"/>
      <c r="UZN47" s="69"/>
      <c r="UZO47" s="69"/>
      <c r="UZP47" s="69"/>
      <c r="UZQ47" s="69"/>
      <c r="UZR47" s="69"/>
      <c r="UZS47" s="69"/>
      <c r="UZT47" s="69"/>
      <c r="UZU47" s="69"/>
      <c r="UZV47" s="69"/>
      <c r="UZW47" s="69"/>
      <c r="UZX47" s="69"/>
      <c r="UZY47" s="69"/>
      <c r="UZZ47" s="69"/>
      <c r="VAA47" s="69"/>
      <c r="VAB47" s="69"/>
      <c r="VAC47" s="69"/>
      <c r="VAD47" s="69"/>
      <c r="VAE47" s="69"/>
      <c r="VAF47" s="69"/>
      <c r="VAG47" s="69"/>
      <c r="VAH47" s="69"/>
      <c r="VAI47" s="69"/>
      <c r="VAJ47" s="69"/>
      <c r="VAK47" s="69"/>
      <c r="VAL47" s="69"/>
      <c r="VAM47" s="69"/>
      <c r="VAN47" s="69"/>
      <c r="VAO47" s="69"/>
      <c r="VAP47" s="69"/>
      <c r="VAQ47" s="69"/>
      <c r="VAR47" s="69"/>
      <c r="VAS47" s="69"/>
      <c r="VAT47" s="69"/>
      <c r="VAU47" s="69"/>
      <c r="VAV47" s="69"/>
      <c r="VAW47" s="69"/>
      <c r="VAX47" s="69"/>
      <c r="VAY47" s="69"/>
      <c r="VAZ47" s="69"/>
      <c r="VBA47" s="69"/>
      <c r="VBB47" s="69"/>
      <c r="VBC47" s="69"/>
      <c r="VBD47" s="69"/>
      <c r="VBE47" s="69"/>
      <c r="VBF47" s="69"/>
      <c r="VBG47" s="69"/>
      <c r="VBH47" s="69"/>
      <c r="VBI47" s="69"/>
      <c r="VBJ47" s="69"/>
      <c r="VBK47" s="69"/>
      <c r="VBL47" s="69"/>
      <c r="VBM47" s="69"/>
      <c r="VBN47" s="69"/>
      <c r="VBO47" s="69"/>
      <c r="VBP47" s="69"/>
      <c r="VBQ47" s="69"/>
      <c r="VBR47" s="69"/>
      <c r="VBS47" s="69"/>
      <c r="VBT47" s="69"/>
      <c r="VBU47" s="69"/>
      <c r="VBV47" s="69"/>
      <c r="VBW47" s="69"/>
      <c r="VBX47" s="69"/>
      <c r="VBY47" s="69"/>
      <c r="VBZ47" s="69"/>
      <c r="VCA47" s="69"/>
      <c r="VCB47" s="69"/>
      <c r="VCC47" s="69"/>
      <c r="VCD47" s="69"/>
      <c r="VCE47" s="69"/>
      <c r="VCF47" s="69"/>
      <c r="VCG47" s="69"/>
      <c r="VCH47" s="69"/>
      <c r="VCI47" s="69"/>
      <c r="VCJ47" s="69"/>
      <c r="VCK47" s="69"/>
      <c r="VCL47" s="69"/>
      <c r="VCM47" s="69"/>
      <c r="VCN47" s="69"/>
      <c r="VCO47" s="69"/>
      <c r="VCP47" s="69"/>
      <c r="VCQ47" s="69"/>
      <c r="VCR47" s="69"/>
      <c r="VCS47" s="69"/>
      <c r="VCT47" s="69"/>
      <c r="VCU47" s="69"/>
      <c r="VCV47" s="69"/>
      <c r="VCW47" s="69"/>
      <c r="VCX47" s="69"/>
      <c r="VCY47" s="69"/>
      <c r="VCZ47" s="69"/>
      <c r="VDA47" s="69"/>
      <c r="VDB47" s="69"/>
      <c r="VDC47" s="69"/>
      <c r="VDD47" s="69"/>
      <c r="VDE47" s="69"/>
      <c r="VDF47" s="69"/>
      <c r="VDG47" s="69"/>
      <c r="VDH47" s="69"/>
      <c r="VDI47" s="69"/>
      <c r="VDJ47" s="69"/>
      <c r="VDK47" s="69"/>
      <c r="VDL47" s="69"/>
      <c r="VDM47" s="69"/>
      <c r="VDN47" s="69"/>
      <c r="VDO47" s="69"/>
      <c r="VDP47" s="69"/>
      <c r="VDQ47" s="69"/>
      <c r="VDR47" s="69"/>
      <c r="VDS47" s="69"/>
      <c r="VDT47" s="69"/>
      <c r="VDU47" s="69"/>
      <c r="VDV47" s="69"/>
      <c r="VDW47" s="69"/>
      <c r="VDX47" s="69"/>
      <c r="VDY47" s="69"/>
      <c r="VDZ47" s="69"/>
      <c r="VEA47" s="69"/>
      <c r="VEB47" s="69"/>
      <c r="VEC47" s="69"/>
      <c r="VED47" s="69"/>
      <c r="VEE47" s="69"/>
      <c r="VEF47" s="69"/>
      <c r="VEG47" s="69"/>
      <c r="VEH47" s="69"/>
      <c r="VEI47" s="69"/>
      <c r="VEJ47" s="69"/>
      <c r="VEK47" s="69"/>
      <c r="VEL47" s="69"/>
      <c r="VEM47" s="69"/>
      <c r="VEN47" s="69"/>
      <c r="VEO47" s="69"/>
      <c r="VEP47" s="69"/>
      <c r="VEQ47" s="69"/>
      <c r="VER47" s="69"/>
      <c r="VES47" s="69"/>
      <c r="VET47" s="69"/>
      <c r="VEU47" s="69"/>
      <c r="VEV47" s="69"/>
      <c r="VEW47" s="69"/>
      <c r="VEX47" s="69"/>
      <c r="VEY47" s="69"/>
      <c r="VEZ47" s="69"/>
      <c r="VFA47" s="69"/>
      <c r="VFB47" s="69"/>
      <c r="VFC47" s="69"/>
      <c r="VFD47" s="69"/>
      <c r="VFE47" s="69"/>
      <c r="VFF47" s="69"/>
      <c r="VFG47" s="69"/>
      <c r="VFH47" s="69"/>
      <c r="VFI47" s="69"/>
      <c r="VFJ47" s="69"/>
      <c r="VFK47" s="69"/>
      <c r="VFL47" s="69"/>
      <c r="VFM47" s="69"/>
      <c r="VFN47" s="69"/>
      <c r="VFO47" s="69"/>
      <c r="VFP47" s="69"/>
      <c r="VFQ47" s="69"/>
      <c r="VFR47" s="69"/>
      <c r="VFS47" s="69"/>
      <c r="VFT47" s="69"/>
      <c r="VFU47" s="69"/>
      <c r="VFV47" s="69"/>
      <c r="VFW47" s="69"/>
      <c r="VFX47" s="69"/>
      <c r="VFY47" s="69"/>
      <c r="VFZ47" s="69"/>
      <c r="VGA47" s="69"/>
      <c r="VGB47" s="69"/>
      <c r="VGC47" s="69"/>
      <c r="VGD47" s="69"/>
      <c r="VGE47" s="69"/>
      <c r="VGF47" s="69"/>
      <c r="VGG47" s="69"/>
      <c r="VGH47" s="69"/>
      <c r="VGI47" s="69"/>
      <c r="VGJ47" s="69"/>
      <c r="VGK47" s="69"/>
      <c r="VGL47" s="69"/>
      <c r="VGM47" s="69"/>
      <c r="VGN47" s="69"/>
      <c r="VGO47" s="69"/>
      <c r="VGP47" s="69"/>
      <c r="VGQ47" s="69"/>
      <c r="VGR47" s="69"/>
      <c r="VGS47" s="69"/>
      <c r="VGT47" s="69"/>
      <c r="VGU47" s="69"/>
      <c r="VGV47" s="69"/>
      <c r="VGW47" s="69"/>
      <c r="VGX47" s="69"/>
      <c r="VGY47" s="69"/>
      <c r="VGZ47" s="69"/>
      <c r="VHA47" s="69"/>
      <c r="VHB47" s="69"/>
      <c r="VHC47" s="69"/>
      <c r="VHD47" s="69"/>
      <c r="VHE47" s="69"/>
      <c r="VHF47" s="69"/>
      <c r="VHG47" s="69"/>
      <c r="VHH47" s="69"/>
      <c r="VHI47" s="69"/>
      <c r="VHJ47" s="69"/>
      <c r="VHK47" s="69"/>
      <c r="VHL47" s="69"/>
      <c r="VHM47" s="69"/>
      <c r="VHN47" s="69"/>
      <c r="VHO47" s="69"/>
      <c r="VHP47" s="69"/>
      <c r="VHQ47" s="69"/>
      <c r="VHR47" s="69"/>
      <c r="VHS47" s="69"/>
      <c r="VHT47" s="69"/>
      <c r="VHU47" s="69"/>
      <c r="VHV47" s="69"/>
      <c r="VHW47" s="69"/>
      <c r="VHX47" s="69"/>
      <c r="VHY47" s="69"/>
      <c r="VHZ47" s="69"/>
      <c r="VIA47" s="69"/>
      <c r="VIB47" s="69"/>
      <c r="VIC47" s="69"/>
      <c r="VID47" s="69"/>
      <c r="VIE47" s="69"/>
      <c r="VIF47" s="69"/>
      <c r="VIG47" s="69"/>
      <c r="VIH47" s="69"/>
      <c r="VII47" s="69"/>
      <c r="VIJ47" s="69"/>
      <c r="VIK47" s="69"/>
      <c r="VIL47" s="69"/>
      <c r="VIM47" s="69"/>
      <c r="VIN47" s="69"/>
      <c r="VIO47" s="69"/>
      <c r="VIP47" s="69"/>
      <c r="VIQ47" s="69"/>
      <c r="VIR47" s="69"/>
      <c r="VIS47" s="69"/>
      <c r="VIT47" s="69"/>
      <c r="VIU47" s="69"/>
      <c r="VIV47" s="69"/>
      <c r="VIW47" s="69"/>
      <c r="VIX47" s="69"/>
      <c r="VIY47" s="69"/>
      <c r="VIZ47" s="69"/>
      <c r="VJA47" s="69"/>
      <c r="VJB47" s="69"/>
      <c r="VJC47" s="69"/>
      <c r="VJD47" s="69"/>
      <c r="VJE47" s="69"/>
      <c r="VJF47" s="69"/>
      <c r="VJG47" s="69"/>
      <c r="VJH47" s="69"/>
      <c r="VJI47" s="69"/>
      <c r="VJJ47" s="69"/>
      <c r="VJK47" s="69"/>
      <c r="VJL47" s="69"/>
      <c r="VJM47" s="69"/>
      <c r="VJN47" s="69"/>
      <c r="VJO47" s="69"/>
      <c r="VJP47" s="69"/>
      <c r="VJQ47" s="69"/>
      <c r="VJR47" s="69"/>
      <c r="VJS47" s="69"/>
      <c r="VJT47" s="69"/>
      <c r="VJU47" s="69"/>
      <c r="VJV47" s="69"/>
      <c r="VJW47" s="69"/>
      <c r="VJX47" s="69"/>
      <c r="VJY47" s="69"/>
      <c r="VJZ47" s="69"/>
      <c r="VKA47" s="69"/>
      <c r="VKB47" s="69"/>
      <c r="VKC47" s="69"/>
      <c r="VKD47" s="69"/>
      <c r="VKE47" s="69"/>
      <c r="VKF47" s="69"/>
      <c r="VKG47" s="69"/>
      <c r="VKH47" s="69"/>
      <c r="VKI47" s="69"/>
      <c r="VKJ47" s="69"/>
      <c r="VKK47" s="69"/>
      <c r="VKL47" s="69"/>
      <c r="VKM47" s="69"/>
      <c r="VKN47" s="69"/>
      <c r="VKO47" s="69"/>
      <c r="VKP47" s="69"/>
      <c r="VKQ47" s="69"/>
      <c r="VKR47" s="69"/>
      <c r="VKS47" s="69"/>
      <c r="VKT47" s="69"/>
      <c r="VKU47" s="69"/>
      <c r="VKV47" s="69"/>
      <c r="VKW47" s="69"/>
      <c r="VKX47" s="69"/>
      <c r="VKY47" s="69"/>
      <c r="VKZ47" s="69"/>
      <c r="VLA47" s="69"/>
      <c r="VLB47" s="69"/>
      <c r="VLC47" s="69"/>
      <c r="VLD47" s="69"/>
      <c r="VLE47" s="69"/>
      <c r="VLF47" s="69"/>
      <c r="VLG47" s="69"/>
      <c r="VLH47" s="69"/>
      <c r="VLI47" s="69"/>
      <c r="VLJ47" s="69"/>
      <c r="VLK47" s="69"/>
      <c r="VLL47" s="69"/>
      <c r="VLM47" s="69"/>
      <c r="VLN47" s="69"/>
      <c r="VLO47" s="69"/>
      <c r="VLP47" s="69"/>
      <c r="VLQ47" s="69"/>
      <c r="VLR47" s="69"/>
      <c r="VLS47" s="69"/>
      <c r="VLT47" s="69"/>
      <c r="VLU47" s="69"/>
      <c r="VLV47" s="69"/>
      <c r="VLW47" s="69"/>
      <c r="VLX47" s="69"/>
      <c r="VLY47" s="69"/>
      <c r="VLZ47" s="69"/>
      <c r="VMA47" s="69"/>
      <c r="VMB47" s="69"/>
      <c r="VMC47" s="69"/>
      <c r="VMD47" s="69"/>
      <c r="VME47" s="69"/>
      <c r="VMF47" s="69"/>
      <c r="VMG47" s="69"/>
      <c r="VMH47" s="69"/>
      <c r="VMI47" s="69"/>
      <c r="VMJ47" s="69"/>
      <c r="VMK47" s="69"/>
      <c r="VML47" s="69"/>
      <c r="VMM47" s="69"/>
      <c r="VMN47" s="69"/>
      <c r="VMO47" s="69"/>
      <c r="VMP47" s="69"/>
      <c r="VMQ47" s="69"/>
      <c r="VMR47" s="69"/>
      <c r="VMS47" s="69"/>
      <c r="VMT47" s="69"/>
      <c r="VMU47" s="69"/>
      <c r="VMV47" s="69"/>
      <c r="VMW47" s="69"/>
      <c r="VMX47" s="69"/>
      <c r="VMY47" s="69"/>
      <c r="VMZ47" s="69"/>
      <c r="VNA47" s="69"/>
      <c r="VNB47" s="69"/>
      <c r="VNC47" s="69"/>
      <c r="VND47" s="69"/>
      <c r="VNE47" s="69"/>
      <c r="VNF47" s="69"/>
      <c r="VNG47" s="69"/>
      <c r="VNH47" s="69"/>
      <c r="VNI47" s="69"/>
      <c r="VNJ47" s="69"/>
      <c r="VNK47" s="69"/>
      <c r="VNL47" s="69"/>
      <c r="VNM47" s="69"/>
      <c r="VNN47" s="69"/>
      <c r="VNO47" s="69"/>
      <c r="VNP47" s="69"/>
      <c r="VNQ47" s="69"/>
      <c r="VNR47" s="69"/>
      <c r="VNS47" s="69"/>
      <c r="VNT47" s="69"/>
      <c r="VNU47" s="69"/>
      <c r="VNV47" s="69"/>
      <c r="VNW47" s="69"/>
      <c r="VNX47" s="69"/>
      <c r="VNY47" s="69"/>
      <c r="VNZ47" s="69"/>
      <c r="VOA47" s="69"/>
      <c r="VOB47" s="69"/>
      <c r="VOC47" s="69"/>
      <c r="VOD47" s="69"/>
      <c r="VOE47" s="69"/>
      <c r="VOF47" s="69"/>
      <c r="VOG47" s="69"/>
      <c r="VOH47" s="69"/>
      <c r="VOI47" s="69"/>
      <c r="VOJ47" s="69"/>
      <c r="VOK47" s="69"/>
      <c r="VOL47" s="69"/>
      <c r="VOM47" s="69"/>
      <c r="VON47" s="69"/>
      <c r="VOO47" s="69"/>
      <c r="VOP47" s="69"/>
      <c r="VOQ47" s="69"/>
      <c r="VOR47" s="69"/>
      <c r="VOS47" s="69"/>
      <c r="VOT47" s="69"/>
      <c r="VOU47" s="69"/>
      <c r="VOV47" s="69"/>
      <c r="VOW47" s="69"/>
      <c r="VOX47" s="69"/>
      <c r="VOY47" s="69"/>
      <c r="VOZ47" s="69"/>
      <c r="VPA47" s="69"/>
      <c r="VPB47" s="69"/>
      <c r="VPC47" s="69"/>
      <c r="VPD47" s="69"/>
      <c r="VPE47" s="69"/>
      <c r="VPF47" s="69"/>
      <c r="VPG47" s="69"/>
      <c r="VPH47" s="69"/>
      <c r="VPI47" s="69"/>
      <c r="VPJ47" s="69"/>
      <c r="VPK47" s="69"/>
      <c r="VPL47" s="69"/>
      <c r="VPM47" s="69"/>
      <c r="VPN47" s="69"/>
      <c r="VPO47" s="69"/>
      <c r="VPP47" s="69"/>
      <c r="VPQ47" s="69"/>
      <c r="VPR47" s="69"/>
      <c r="VPS47" s="69"/>
      <c r="VPT47" s="69"/>
      <c r="VPU47" s="69"/>
      <c r="VPV47" s="69"/>
      <c r="VPW47" s="69"/>
      <c r="VPX47" s="69"/>
      <c r="VPY47" s="69"/>
      <c r="VPZ47" s="69"/>
      <c r="VQA47" s="69"/>
      <c r="VQB47" s="69"/>
      <c r="VQC47" s="69"/>
      <c r="VQD47" s="69"/>
      <c r="VQE47" s="69"/>
      <c r="VQF47" s="69"/>
      <c r="VQG47" s="69"/>
      <c r="VQH47" s="69"/>
      <c r="VQI47" s="69"/>
      <c r="VQJ47" s="69"/>
      <c r="VQK47" s="69"/>
      <c r="VQL47" s="69"/>
      <c r="VQM47" s="69"/>
      <c r="VQN47" s="69"/>
      <c r="VQO47" s="69"/>
      <c r="VQP47" s="69"/>
      <c r="VQQ47" s="69"/>
      <c r="VQR47" s="69"/>
      <c r="VQS47" s="69"/>
      <c r="VQT47" s="69"/>
      <c r="VQU47" s="69"/>
      <c r="VQV47" s="69"/>
      <c r="VQW47" s="69"/>
      <c r="VQX47" s="69"/>
      <c r="VQY47" s="69"/>
      <c r="VQZ47" s="69"/>
      <c r="VRA47" s="69"/>
      <c r="VRB47" s="69"/>
      <c r="VRC47" s="69"/>
      <c r="VRD47" s="69"/>
      <c r="VRE47" s="69"/>
      <c r="VRF47" s="69"/>
      <c r="VRG47" s="69"/>
      <c r="VRH47" s="69"/>
      <c r="VRI47" s="69"/>
      <c r="VRJ47" s="69"/>
      <c r="VRK47" s="69"/>
      <c r="VRL47" s="69"/>
      <c r="VRM47" s="69"/>
      <c r="VRN47" s="69"/>
      <c r="VRO47" s="69"/>
      <c r="VRP47" s="69"/>
      <c r="VRQ47" s="69"/>
      <c r="VRR47" s="69"/>
      <c r="VRS47" s="69"/>
      <c r="VRT47" s="69"/>
      <c r="VRU47" s="69"/>
      <c r="VRV47" s="69"/>
      <c r="VRW47" s="69"/>
      <c r="VRX47" s="69"/>
      <c r="VRY47" s="69"/>
      <c r="VRZ47" s="69"/>
      <c r="VSA47" s="69"/>
      <c r="VSB47" s="69"/>
      <c r="VSC47" s="69"/>
      <c r="VSD47" s="69"/>
      <c r="VSE47" s="69"/>
      <c r="VSF47" s="69"/>
      <c r="VSG47" s="69"/>
      <c r="VSH47" s="69"/>
      <c r="VSI47" s="69"/>
      <c r="VSJ47" s="69"/>
      <c r="VSK47" s="69"/>
      <c r="VSL47" s="69"/>
      <c r="VSM47" s="69"/>
      <c r="VSN47" s="69"/>
      <c r="VSO47" s="69"/>
      <c r="VSP47" s="69"/>
      <c r="VSQ47" s="69"/>
      <c r="VSR47" s="69"/>
      <c r="VSS47" s="69"/>
      <c r="VST47" s="69"/>
      <c r="VSU47" s="69"/>
      <c r="VSV47" s="69"/>
      <c r="VSW47" s="69"/>
      <c r="VSX47" s="69"/>
      <c r="VSY47" s="69"/>
      <c r="VSZ47" s="69"/>
      <c r="VTA47" s="69"/>
      <c r="VTB47" s="69"/>
      <c r="VTC47" s="69"/>
      <c r="VTD47" s="69"/>
      <c r="VTE47" s="69"/>
      <c r="VTF47" s="69"/>
      <c r="VTG47" s="69"/>
      <c r="VTH47" s="69"/>
      <c r="VTI47" s="69"/>
      <c r="VTJ47" s="69"/>
      <c r="VTK47" s="69"/>
      <c r="VTL47" s="69"/>
      <c r="VTM47" s="69"/>
      <c r="VTN47" s="69"/>
      <c r="VTO47" s="69"/>
      <c r="VTP47" s="69"/>
      <c r="VTQ47" s="69"/>
      <c r="VTR47" s="69"/>
      <c r="VTS47" s="69"/>
      <c r="VTT47" s="69"/>
      <c r="VTU47" s="69"/>
      <c r="VTV47" s="69"/>
      <c r="VTW47" s="69"/>
      <c r="VTX47" s="69"/>
      <c r="VTY47" s="69"/>
      <c r="VTZ47" s="69"/>
      <c r="VUA47" s="69"/>
      <c r="VUB47" s="69"/>
      <c r="VUC47" s="69"/>
      <c r="VUD47" s="69"/>
      <c r="VUE47" s="69"/>
      <c r="VUF47" s="69"/>
      <c r="VUG47" s="69"/>
      <c r="VUH47" s="69"/>
      <c r="VUI47" s="69"/>
      <c r="VUJ47" s="69"/>
      <c r="VUK47" s="69"/>
      <c r="VUL47" s="69"/>
      <c r="VUM47" s="69"/>
      <c r="VUN47" s="69"/>
      <c r="VUO47" s="69"/>
      <c r="VUP47" s="69"/>
      <c r="VUQ47" s="69"/>
      <c r="VUR47" s="69"/>
      <c r="VUS47" s="69"/>
      <c r="VUT47" s="69"/>
      <c r="VUU47" s="69"/>
      <c r="VUV47" s="69"/>
      <c r="VUW47" s="69"/>
      <c r="VUX47" s="69"/>
      <c r="VUY47" s="69"/>
      <c r="VUZ47" s="69"/>
      <c r="VVA47" s="69"/>
      <c r="VVB47" s="69"/>
      <c r="VVC47" s="69"/>
      <c r="VVD47" s="69"/>
      <c r="VVE47" s="69"/>
      <c r="VVF47" s="69"/>
      <c r="VVG47" s="69"/>
      <c r="VVH47" s="69"/>
      <c r="VVI47" s="69"/>
      <c r="VVJ47" s="69"/>
      <c r="VVK47" s="69"/>
      <c r="VVL47" s="69"/>
      <c r="VVM47" s="69"/>
      <c r="VVN47" s="69"/>
      <c r="VVO47" s="69"/>
      <c r="VVP47" s="69"/>
      <c r="VVQ47" s="69"/>
      <c r="VVR47" s="69"/>
      <c r="VVS47" s="69"/>
      <c r="VVT47" s="69"/>
      <c r="VVU47" s="69"/>
      <c r="VVV47" s="69"/>
      <c r="VVW47" s="69"/>
      <c r="VVX47" s="69"/>
      <c r="VVY47" s="69"/>
      <c r="VVZ47" s="69"/>
      <c r="VWA47" s="69"/>
      <c r="VWB47" s="69"/>
      <c r="VWC47" s="69"/>
      <c r="VWD47" s="69"/>
      <c r="VWE47" s="69"/>
      <c r="VWF47" s="69"/>
      <c r="VWG47" s="69"/>
      <c r="VWH47" s="69"/>
      <c r="VWI47" s="69"/>
      <c r="VWJ47" s="69"/>
      <c r="VWK47" s="69"/>
      <c r="VWL47" s="69"/>
      <c r="VWM47" s="69"/>
      <c r="VWN47" s="69"/>
      <c r="VWO47" s="69"/>
      <c r="VWP47" s="69"/>
      <c r="VWQ47" s="69"/>
      <c r="VWR47" s="69"/>
      <c r="VWS47" s="69"/>
      <c r="VWT47" s="69"/>
      <c r="VWU47" s="69"/>
      <c r="VWV47" s="69"/>
      <c r="VWW47" s="69"/>
      <c r="VWX47" s="69"/>
      <c r="VWY47" s="69"/>
      <c r="VWZ47" s="69"/>
      <c r="VXA47" s="69"/>
      <c r="VXB47" s="69"/>
      <c r="VXC47" s="69"/>
      <c r="VXD47" s="69"/>
      <c r="VXE47" s="69"/>
      <c r="VXF47" s="69"/>
      <c r="VXG47" s="69"/>
      <c r="VXH47" s="69"/>
      <c r="VXI47" s="69"/>
      <c r="VXJ47" s="69"/>
      <c r="VXK47" s="69"/>
      <c r="VXL47" s="69"/>
      <c r="VXM47" s="69"/>
      <c r="VXN47" s="69"/>
      <c r="VXO47" s="69"/>
      <c r="VXP47" s="69"/>
      <c r="VXQ47" s="69"/>
      <c r="VXR47" s="69"/>
      <c r="VXS47" s="69"/>
      <c r="VXT47" s="69"/>
      <c r="VXU47" s="69"/>
      <c r="VXV47" s="69"/>
      <c r="VXW47" s="69"/>
      <c r="VXX47" s="69"/>
      <c r="VXY47" s="69"/>
      <c r="VXZ47" s="69"/>
      <c r="VYA47" s="69"/>
      <c r="VYB47" s="69"/>
      <c r="VYC47" s="69"/>
      <c r="VYD47" s="69"/>
      <c r="VYE47" s="69"/>
      <c r="VYF47" s="69"/>
      <c r="VYG47" s="69"/>
      <c r="VYH47" s="69"/>
      <c r="VYI47" s="69"/>
      <c r="VYJ47" s="69"/>
      <c r="VYK47" s="69"/>
      <c r="VYL47" s="69"/>
      <c r="VYM47" s="69"/>
      <c r="VYN47" s="69"/>
      <c r="VYO47" s="69"/>
      <c r="VYP47" s="69"/>
      <c r="VYQ47" s="69"/>
      <c r="VYR47" s="69"/>
      <c r="VYS47" s="69"/>
      <c r="VYT47" s="69"/>
      <c r="VYU47" s="69"/>
      <c r="VYV47" s="69"/>
      <c r="VYW47" s="69"/>
      <c r="VYX47" s="69"/>
      <c r="VYY47" s="69"/>
      <c r="VYZ47" s="69"/>
      <c r="VZA47" s="69"/>
      <c r="VZB47" s="69"/>
      <c r="VZC47" s="69"/>
      <c r="VZD47" s="69"/>
      <c r="VZE47" s="69"/>
      <c r="VZF47" s="69"/>
      <c r="VZG47" s="69"/>
      <c r="VZH47" s="69"/>
      <c r="VZI47" s="69"/>
      <c r="VZJ47" s="69"/>
      <c r="VZK47" s="69"/>
      <c r="VZL47" s="69"/>
      <c r="VZM47" s="69"/>
      <c r="VZN47" s="69"/>
      <c r="VZO47" s="69"/>
      <c r="VZP47" s="69"/>
      <c r="VZQ47" s="69"/>
      <c r="VZR47" s="69"/>
      <c r="VZS47" s="69"/>
      <c r="VZT47" s="69"/>
      <c r="VZU47" s="69"/>
      <c r="VZV47" s="69"/>
      <c r="VZW47" s="69"/>
      <c r="VZX47" s="69"/>
      <c r="VZY47" s="69"/>
      <c r="VZZ47" s="69"/>
      <c r="WAA47" s="69"/>
      <c r="WAB47" s="69"/>
      <c r="WAC47" s="69"/>
      <c r="WAD47" s="69"/>
      <c r="WAE47" s="69"/>
      <c r="WAF47" s="69"/>
      <c r="WAG47" s="69"/>
      <c r="WAH47" s="69"/>
      <c r="WAI47" s="69"/>
      <c r="WAJ47" s="69"/>
      <c r="WAK47" s="69"/>
      <c r="WAL47" s="69"/>
      <c r="WAM47" s="69"/>
      <c r="WAN47" s="69"/>
      <c r="WAO47" s="69"/>
      <c r="WAP47" s="69"/>
      <c r="WAQ47" s="69"/>
      <c r="WAR47" s="69"/>
      <c r="WAS47" s="69"/>
      <c r="WAT47" s="69"/>
      <c r="WAU47" s="69"/>
      <c r="WAV47" s="69"/>
      <c r="WAW47" s="69"/>
      <c r="WAX47" s="69"/>
      <c r="WAY47" s="69"/>
      <c r="WAZ47" s="69"/>
      <c r="WBA47" s="69"/>
      <c r="WBB47" s="69"/>
      <c r="WBC47" s="69"/>
      <c r="WBD47" s="69"/>
      <c r="WBE47" s="69"/>
      <c r="WBF47" s="69"/>
      <c r="WBG47" s="69"/>
      <c r="WBH47" s="69"/>
      <c r="WBI47" s="69"/>
      <c r="WBJ47" s="69"/>
      <c r="WBK47" s="69"/>
      <c r="WBL47" s="69"/>
      <c r="WBM47" s="69"/>
      <c r="WBN47" s="69"/>
      <c r="WBO47" s="69"/>
      <c r="WBP47" s="69"/>
      <c r="WBQ47" s="69"/>
      <c r="WBR47" s="69"/>
      <c r="WBS47" s="69"/>
      <c r="WBT47" s="69"/>
      <c r="WBU47" s="69"/>
      <c r="WBV47" s="69"/>
      <c r="WBW47" s="69"/>
      <c r="WBX47" s="69"/>
      <c r="WBY47" s="69"/>
      <c r="WBZ47" s="69"/>
      <c r="WCA47" s="69"/>
      <c r="WCB47" s="69"/>
      <c r="WCC47" s="69"/>
      <c r="WCD47" s="69"/>
      <c r="WCE47" s="69"/>
      <c r="WCF47" s="69"/>
      <c r="WCG47" s="69"/>
      <c r="WCH47" s="69"/>
      <c r="WCI47" s="69"/>
      <c r="WCJ47" s="69"/>
      <c r="WCK47" s="69"/>
      <c r="WCL47" s="69"/>
      <c r="WCM47" s="69"/>
      <c r="WCN47" s="69"/>
      <c r="WCO47" s="69"/>
      <c r="WCP47" s="69"/>
      <c r="WCQ47" s="69"/>
      <c r="WCR47" s="69"/>
      <c r="WCS47" s="69"/>
      <c r="WCT47" s="69"/>
      <c r="WCU47" s="69"/>
      <c r="WCV47" s="69"/>
      <c r="WCW47" s="69"/>
      <c r="WCX47" s="69"/>
      <c r="WCY47" s="69"/>
      <c r="WCZ47" s="69"/>
      <c r="WDA47" s="69"/>
      <c r="WDB47" s="69"/>
      <c r="WDC47" s="69"/>
      <c r="WDD47" s="69"/>
      <c r="WDE47" s="69"/>
      <c r="WDF47" s="69"/>
      <c r="WDG47" s="69"/>
      <c r="WDH47" s="69"/>
      <c r="WDI47" s="69"/>
      <c r="WDJ47" s="69"/>
      <c r="WDK47" s="69"/>
      <c r="WDL47" s="69"/>
      <c r="WDM47" s="69"/>
      <c r="WDN47" s="69"/>
      <c r="WDO47" s="69"/>
      <c r="WDP47" s="69"/>
      <c r="WDQ47" s="69"/>
      <c r="WDR47" s="69"/>
      <c r="WDS47" s="69"/>
      <c r="WDT47" s="69"/>
      <c r="WDU47" s="69"/>
      <c r="WDV47" s="69"/>
      <c r="WDW47" s="69"/>
      <c r="WDX47" s="69"/>
      <c r="WDY47" s="69"/>
      <c r="WDZ47" s="69"/>
      <c r="WEA47" s="69"/>
      <c r="WEB47" s="69"/>
      <c r="WEC47" s="69"/>
      <c r="WED47" s="69"/>
      <c r="WEE47" s="69"/>
      <c r="WEF47" s="69"/>
      <c r="WEG47" s="69"/>
      <c r="WEH47" s="69"/>
      <c r="WEI47" s="69"/>
      <c r="WEJ47" s="69"/>
      <c r="WEK47" s="69"/>
      <c r="WEL47" s="69"/>
      <c r="WEM47" s="69"/>
      <c r="WEN47" s="69"/>
      <c r="WEO47" s="69"/>
      <c r="WEP47" s="69"/>
      <c r="WEQ47" s="69"/>
      <c r="WER47" s="69"/>
      <c r="WES47" s="69"/>
      <c r="WET47" s="69"/>
      <c r="WEU47" s="69"/>
      <c r="WEV47" s="69"/>
      <c r="WEW47" s="69"/>
      <c r="WEX47" s="69"/>
      <c r="WEY47" s="69"/>
      <c r="WEZ47" s="69"/>
      <c r="WFA47" s="69"/>
      <c r="WFB47" s="69"/>
      <c r="WFC47" s="69"/>
      <c r="WFD47" s="69"/>
      <c r="WFE47" s="69"/>
      <c r="WFF47" s="69"/>
      <c r="WFG47" s="69"/>
      <c r="WFH47" s="69"/>
      <c r="WFI47" s="69"/>
      <c r="WFJ47" s="69"/>
      <c r="WFK47" s="69"/>
      <c r="WFL47" s="69"/>
      <c r="WFM47" s="69"/>
      <c r="WFN47" s="69"/>
      <c r="WFO47" s="69"/>
      <c r="WFP47" s="69"/>
      <c r="WFQ47" s="69"/>
      <c r="WFR47" s="69"/>
      <c r="WFS47" s="69"/>
      <c r="WFT47" s="69"/>
      <c r="WFU47" s="69"/>
      <c r="WFV47" s="69"/>
      <c r="WFW47" s="69"/>
      <c r="WFX47" s="69"/>
      <c r="WFY47" s="69"/>
      <c r="WFZ47" s="69"/>
      <c r="WGA47" s="69"/>
      <c r="WGB47" s="69"/>
      <c r="WGC47" s="69"/>
      <c r="WGD47" s="69"/>
      <c r="WGE47" s="69"/>
      <c r="WGF47" s="69"/>
      <c r="WGG47" s="69"/>
      <c r="WGH47" s="69"/>
      <c r="WGI47" s="69"/>
      <c r="WGJ47" s="69"/>
      <c r="WGK47" s="69"/>
      <c r="WGL47" s="69"/>
      <c r="WGM47" s="69"/>
      <c r="WGN47" s="69"/>
      <c r="WGO47" s="69"/>
      <c r="WGP47" s="69"/>
      <c r="WGQ47" s="69"/>
      <c r="WGR47" s="69"/>
      <c r="WGS47" s="69"/>
      <c r="WGT47" s="69"/>
      <c r="WGU47" s="69"/>
      <c r="WGV47" s="69"/>
      <c r="WGW47" s="69"/>
      <c r="WGX47" s="69"/>
      <c r="WGY47" s="69"/>
      <c r="WGZ47" s="69"/>
      <c r="WHA47" s="69"/>
      <c r="WHB47" s="69"/>
      <c r="WHC47" s="69"/>
      <c r="WHD47" s="69"/>
      <c r="WHE47" s="69"/>
      <c r="WHF47" s="69"/>
      <c r="WHG47" s="69"/>
      <c r="WHH47" s="69"/>
      <c r="WHI47" s="69"/>
      <c r="WHJ47" s="69"/>
      <c r="WHK47" s="69"/>
      <c r="WHL47" s="69"/>
      <c r="WHM47" s="69"/>
      <c r="WHN47" s="69"/>
      <c r="WHO47" s="69"/>
      <c r="WHP47" s="69"/>
      <c r="WHQ47" s="69"/>
      <c r="WHR47" s="69"/>
      <c r="WHS47" s="69"/>
      <c r="WHT47" s="69"/>
      <c r="WHU47" s="69"/>
      <c r="WHV47" s="69"/>
      <c r="WHW47" s="69"/>
      <c r="WHX47" s="69"/>
      <c r="WHY47" s="69"/>
      <c r="WHZ47" s="69"/>
      <c r="WIA47" s="69"/>
      <c r="WIB47" s="69"/>
      <c r="WIC47" s="69"/>
      <c r="WID47" s="69"/>
      <c r="WIE47" s="69"/>
      <c r="WIF47" s="69"/>
      <c r="WIG47" s="69"/>
      <c r="WIH47" s="69"/>
      <c r="WII47" s="69"/>
      <c r="WIJ47" s="69"/>
      <c r="WIK47" s="69"/>
      <c r="WIL47" s="69"/>
      <c r="WIM47" s="69"/>
      <c r="WIN47" s="69"/>
      <c r="WIO47" s="69"/>
      <c r="WIP47" s="69"/>
      <c r="WIQ47" s="69"/>
      <c r="WIR47" s="69"/>
      <c r="WIS47" s="69"/>
      <c r="WIT47" s="69"/>
      <c r="WIU47" s="69"/>
      <c r="WIV47" s="69"/>
      <c r="WIW47" s="69"/>
      <c r="WIX47" s="69"/>
      <c r="WIY47" s="69"/>
      <c r="WIZ47" s="69"/>
      <c r="WJA47" s="69"/>
      <c r="WJB47" s="69"/>
      <c r="WJC47" s="69"/>
      <c r="WJD47" s="69"/>
      <c r="WJE47" s="69"/>
      <c r="WJF47" s="69"/>
      <c r="WJG47" s="69"/>
      <c r="WJH47" s="69"/>
      <c r="WJI47" s="69"/>
      <c r="WJJ47" s="69"/>
      <c r="WJK47" s="69"/>
      <c r="WJL47" s="69"/>
      <c r="WJM47" s="69"/>
      <c r="WJN47" s="69"/>
      <c r="WJO47" s="69"/>
      <c r="WJP47" s="69"/>
      <c r="WJQ47" s="69"/>
      <c r="WJR47" s="69"/>
      <c r="WJS47" s="69"/>
      <c r="WJT47" s="69"/>
      <c r="WJU47" s="69"/>
      <c r="WJV47" s="69"/>
      <c r="WJW47" s="69"/>
      <c r="WJX47" s="69"/>
      <c r="WJY47" s="69"/>
      <c r="WJZ47" s="69"/>
      <c r="WKA47" s="69"/>
      <c r="WKB47" s="69"/>
      <c r="WKC47" s="69"/>
      <c r="WKD47" s="69"/>
      <c r="WKE47" s="69"/>
      <c r="WKF47" s="69"/>
      <c r="WKG47" s="69"/>
      <c r="WKH47" s="69"/>
      <c r="WKI47" s="69"/>
      <c r="WKJ47" s="69"/>
      <c r="WKK47" s="69"/>
      <c r="WKL47" s="69"/>
      <c r="WKM47" s="69"/>
      <c r="WKN47" s="69"/>
      <c r="WKO47" s="69"/>
      <c r="WKP47" s="69"/>
      <c r="WKQ47" s="69"/>
      <c r="WKR47" s="69"/>
      <c r="WKS47" s="69"/>
      <c r="WKT47" s="69"/>
      <c r="WKU47" s="69"/>
      <c r="WKV47" s="69"/>
      <c r="WKW47" s="69"/>
      <c r="WKX47" s="69"/>
      <c r="WKY47" s="69"/>
      <c r="WKZ47" s="69"/>
      <c r="WLA47" s="69"/>
      <c r="WLB47" s="69"/>
      <c r="WLC47" s="69"/>
      <c r="WLD47" s="69"/>
      <c r="WLE47" s="69"/>
      <c r="WLF47" s="69"/>
      <c r="WLG47" s="69"/>
      <c r="WLH47" s="69"/>
      <c r="WLI47" s="69"/>
      <c r="WLJ47" s="69"/>
      <c r="WLK47" s="69"/>
      <c r="WLL47" s="69"/>
      <c r="WLM47" s="69"/>
      <c r="WLN47" s="69"/>
      <c r="WLO47" s="69"/>
      <c r="WLP47" s="69"/>
      <c r="WLQ47" s="69"/>
      <c r="WLR47" s="69"/>
      <c r="WLS47" s="69"/>
      <c r="WLT47" s="69"/>
      <c r="WLU47" s="69"/>
      <c r="WLV47" s="69"/>
      <c r="WLW47" s="69"/>
      <c r="WLX47" s="69"/>
      <c r="WLY47" s="69"/>
      <c r="WLZ47" s="69"/>
      <c r="WMA47" s="69"/>
      <c r="WMB47" s="69"/>
      <c r="WMC47" s="69"/>
      <c r="WMD47" s="69"/>
      <c r="WME47" s="69"/>
      <c r="WMF47" s="69"/>
      <c r="WMG47" s="69"/>
      <c r="WMH47" s="69"/>
      <c r="WMI47" s="69"/>
      <c r="WMJ47" s="69"/>
      <c r="WMK47" s="69"/>
      <c r="WML47" s="69"/>
      <c r="WMM47" s="69"/>
      <c r="WMN47" s="69"/>
      <c r="WMO47" s="69"/>
      <c r="WMP47" s="69"/>
      <c r="WMQ47" s="69"/>
      <c r="WMR47" s="69"/>
      <c r="WMS47" s="69"/>
      <c r="WMT47" s="69"/>
      <c r="WMU47" s="69"/>
      <c r="WMV47" s="69"/>
      <c r="WMW47" s="69"/>
      <c r="WMX47" s="69"/>
      <c r="WMY47" s="69"/>
      <c r="WMZ47" s="69"/>
      <c r="WNA47" s="69"/>
      <c r="WNB47" s="69"/>
      <c r="WNC47" s="69"/>
      <c r="WND47" s="69"/>
      <c r="WNE47" s="69"/>
      <c r="WNF47" s="69"/>
      <c r="WNG47" s="69"/>
      <c r="WNH47" s="69"/>
      <c r="WNI47" s="69"/>
      <c r="WNJ47" s="69"/>
      <c r="WNK47" s="69"/>
      <c r="WNL47" s="69"/>
      <c r="WNM47" s="69"/>
      <c r="WNN47" s="69"/>
      <c r="WNO47" s="69"/>
      <c r="WNP47" s="69"/>
      <c r="WNQ47" s="69"/>
      <c r="WNR47" s="69"/>
      <c r="WNS47" s="69"/>
      <c r="WNT47" s="69"/>
      <c r="WNU47" s="69"/>
      <c r="WNV47" s="69"/>
      <c r="WNW47" s="69"/>
      <c r="WNX47" s="69"/>
      <c r="WNY47" s="69"/>
      <c r="WNZ47" s="69"/>
      <c r="WOA47" s="69"/>
      <c r="WOB47" s="69"/>
      <c r="WOC47" s="69"/>
      <c r="WOD47" s="69"/>
      <c r="WOE47" s="69"/>
      <c r="WOF47" s="69"/>
      <c r="WOG47" s="69"/>
      <c r="WOH47" s="69"/>
      <c r="WOI47" s="69"/>
      <c r="WOJ47" s="69"/>
      <c r="WOK47" s="69"/>
      <c r="WOL47" s="69"/>
      <c r="WOM47" s="69"/>
      <c r="WON47" s="69"/>
      <c r="WOO47" s="69"/>
      <c r="WOP47" s="69"/>
      <c r="WOQ47" s="69"/>
      <c r="WOR47" s="69"/>
      <c r="WOS47" s="69"/>
      <c r="WOT47" s="69"/>
      <c r="WOU47" s="69"/>
      <c r="WOV47" s="69"/>
      <c r="WOW47" s="69"/>
      <c r="WOX47" s="69"/>
      <c r="WOY47" s="69"/>
      <c r="WOZ47" s="69"/>
      <c r="WPA47" s="69"/>
      <c r="WPB47" s="69"/>
      <c r="WPC47" s="69"/>
      <c r="WPD47" s="69"/>
      <c r="WPE47" s="69"/>
      <c r="WPF47" s="69"/>
      <c r="WPG47" s="69"/>
      <c r="WPH47" s="69"/>
      <c r="WPI47" s="69"/>
      <c r="WPJ47" s="69"/>
      <c r="WPK47" s="69"/>
      <c r="WPL47" s="69"/>
      <c r="WPM47" s="69"/>
      <c r="WPN47" s="69"/>
      <c r="WPO47" s="69"/>
      <c r="WPP47" s="69"/>
      <c r="WPQ47" s="69"/>
      <c r="WPR47" s="69"/>
      <c r="WPS47" s="69"/>
      <c r="WPT47" s="69"/>
      <c r="WPU47" s="69"/>
      <c r="WPV47" s="69"/>
      <c r="WPW47" s="69"/>
      <c r="WPX47" s="69"/>
      <c r="WPY47" s="69"/>
      <c r="WPZ47" s="69"/>
      <c r="WQA47" s="69"/>
      <c r="WQB47" s="69"/>
      <c r="WQC47" s="69"/>
      <c r="WQD47" s="69"/>
      <c r="WQE47" s="69"/>
      <c r="WQF47" s="69"/>
      <c r="WQG47" s="69"/>
      <c r="WQH47" s="69"/>
      <c r="WQI47" s="69"/>
      <c r="WQJ47" s="69"/>
      <c r="WQK47" s="69"/>
      <c r="WQL47" s="69"/>
      <c r="WQM47" s="69"/>
      <c r="WQN47" s="69"/>
      <c r="WQO47" s="69"/>
      <c r="WQP47" s="69"/>
      <c r="WQQ47" s="69"/>
      <c r="WQR47" s="69"/>
      <c r="WQS47" s="69"/>
      <c r="WQT47" s="69"/>
      <c r="WQU47" s="69"/>
      <c r="WQV47" s="69"/>
      <c r="WQW47" s="69"/>
      <c r="WQX47" s="69"/>
      <c r="WQY47" s="69"/>
      <c r="WQZ47" s="69"/>
      <c r="WRA47" s="69"/>
      <c r="WRB47" s="69"/>
      <c r="WRC47" s="69"/>
      <c r="WRD47" s="69"/>
      <c r="WRE47" s="69"/>
      <c r="WRF47" s="69"/>
      <c r="WRG47" s="69"/>
      <c r="WRH47" s="69"/>
      <c r="WRI47" s="69"/>
      <c r="WRJ47" s="69"/>
      <c r="WRK47" s="69"/>
      <c r="WRL47" s="69"/>
      <c r="WRM47" s="69"/>
      <c r="WRN47" s="69"/>
      <c r="WRO47" s="69"/>
      <c r="WRP47" s="69"/>
      <c r="WRQ47" s="69"/>
      <c r="WRR47" s="69"/>
      <c r="WRS47" s="69"/>
      <c r="WRT47" s="69"/>
      <c r="WRU47" s="69"/>
      <c r="WRV47" s="69"/>
      <c r="WRW47" s="69"/>
      <c r="WRX47" s="69"/>
      <c r="WRY47" s="69"/>
      <c r="WRZ47" s="69"/>
      <c r="WSA47" s="69"/>
      <c r="WSB47" s="69"/>
      <c r="WSC47" s="69"/>
      <c r="WSD47" s="69"/>
      <c r="WSE47" s="69"/>
      <c r="WSF47" s="69"/>
      <c r="WSG47" s="69"/>
      <c r="WSH47" s="69"/>
      <c r="WSI47" s="69"/>
      <c r="WSJ47" s="69"/>
      <c r="WSK47" s="69"/>
      <c r="WSL47" s="69"/>
      <c r="WSM47" s="69"/>
      <c r="WSN47" s="69"/>
      <c r="WSO47" s="69"/>
      <c r="WSP47" s="69"/>
      <c r="WSQ47" s="69"/>
      <c r="WSR47" s="69"/>
      <c r="WSS47" s="69"/>
      <c r="WST47" s="69"/>
      <c r="WSU47" s="69"/>
      <c r="WSV47" s="69"/>
      <c r="WSW47" s="69"/>
      <c r="WSX47" s="69"/>
      <c r="WSY47" s="69"/>
      <c r="WSZ47" s="69"/>
      <c r="WTA47" s="69"/>
      <c r="WTB47" s="69"/>
      <c r="WTC47" s="69"/>
      <c r="WTD47" s="69"/>
      <c r="WTE47" s="69"/>
      <c r="WTF47" s="69"/>
      <c r="WTG47" s="69"/>
      <c r="WTH47" s="69"/>
      <c r="WTI47" s="69"/>
      <c r="WTJ47" s="69"/>
      <c r="WTK47" s="69"/>
      <c r="WTL47" s="69"/>
      <c r="WTM47" s="69"/>
      <c r="WTN47" s="69"/>
      <c r="WTO47" s="69"/>
      <c r="WTP47" s="69"/>
      <c r="WTQ47" s="69"/>
      <c r="WTR47" s="69"/>
      <c r="WTS47" s="69"/>
      <c r="WTT47" s="69"/>
      <c r="WTU47" s="69"/>
      <c r="WTV47" s="69"/>
      <c r="WTW47" s="69"/>
      <c r="WTX47" s="69"/>
      <c r="WTY47" s="69"/>
      <c r="WTZ47" s="69"/>
      <c r="WUA47" s="69"/>
      <c r="WUB47" s="69"/>
      <c r="WUC47" s="69"/>
      <c r="WUD47" s="69"/>
      <c r="WUE47" s="69"/>
      <c r="WUF47" s="69"/>
      <c r="WUG47" s="69"/>
      <c r="WUH47" s="69"/>
      <c r="WUI47" s="69"/>
      <c r="WUJ47" s="69"/>
      <c r="WUK47" s="69"/>
      <c r="WUL47" s="69"/>
      <c r="WUM47" s="69"/>
      <c r="WUN47" s="69"/>
      <c r="WUO47" s="69"/>
      <c r="WUP47" s="69"/>
      <c r="WUQ47" s="69"/>
      <c r="WUR47" s="69"/>
      <c r="WUS47" s="69"/>
      <c r="WUT47" s="69"/>
      <c r="WUU47" s="69"/>
      <c r="WUV47" s="69"/>
      <c r="WUW47" s="69"/>
      <c r="WUX47" s="69"/>
      <c r="WUY47" s="69"/>
      <c r="WUZ47" s="69"/>
      <c r="WVA47" s="69"/>
      <c r="WVB47" s="69"/>
      <c r="WVC47" s="69"/>
      <c r="WVD47" s="69"/>
      <c r="WVE47" s="69"/>
      <c r="WVF47" s="69"/>
      <c r="WVG47" s="69"/>
      <c r="WVH47" s="69"/>
      <c r="WVI47" s="69"/>
      <c r="WVJ47" s="69"/>
      <c r="WVK47" s="69"/>
      <c r="WVL47" s="69"/>
      <c r="WVM47" s="69"/>
      <c r="WVN47" s="69"/>
      <c r="WVO47" s="69"/>
      <c r="WVP47" s="69"/>
      <c r="WVQ47" s="69"/>
      <c r="WVR47" s="69"/>
      <c r="WVS47" s="69"/>
      <c r="WVT47" s="69"/>
      <c r="WVU47" s="69"/>
      <c r="WVV47" s="69"/>
      <c r="WVW47" s="69"/>
      <c r="WVX47" s="69"/>
      <c r="WVY47" s="69"/>
      <c r="WVZ47" s="69"/>
      <c r="WWA47" s="69"/>
      <c r="WWB47" s="69"/>
      <c r="WWC47" s="69"/>
      <c r="WWD47" s="69"/>
      <c r="WWE47" s="69"/>
      <c r="WWF47" s="69"/>
      <c r="WWG47" s="69"/>
      <c r="WWH47" s="69"/>
      <c r="WWI47" s="69"/>
      <c r="WWJ47" s="69"/>
      <c r="WWK47" s="69"/>
      <c r="WWL47" s="69"/>
      <c r="WWM47" s="69"/>
      <c r="WWN47" s="69"/>
      <c r="WWO47" s="69"/>
      <c r="WWP47" s="69"/>
      <c r="WWQ47" s="69"/>
      <c r="WWR47" s="69"/>
      <c r="WWS47" s="69"/>
      <c r="WWT47" s="69"/>
      <c r="WWU47" s="69"/>
      <c r="WWV47" s="69"/>
      <c r="WWW47" s="69"/>
      <c r="WWX47" s="69"/>
      <c r="WWY47" s="69"/>
      <c r="WWZ47" s="69"/>
      <c r="WXA47" s="69"/>
      <c r="WXB47" s="69"/>
      <c r="WXC47" s="69"/>
      <c r="WXD47" s="69"/>
      <c r="WXE47" s="69"/>
      <c r="WXF47" s="69"/>
      <c r="WXG47" s="69"/>
      <c r="WXH47" s="69"/>
      <c r="WXI47" s="69"/>
      <c r="WXJ47" s="69"/>
      <c r="WXK47" s="69"/>
      <c r="WXL47" s="69"/>
      <c r="WXM47" s="69"/>
      <c r="WXN47" s="69"/>
      <c r="WXO47" s="69"/>
      <c r="WXP47" s="69"/>
      <c r="WXQ47" s="69"/>
      <c r="WXR47" s="69"/>
      <c r="WXS47" s="69"/>
      <c r="WXT47" s="69"/>
      <c r="WXU47" s="69"/>
      <c r="WXV47" s="69"/>
      <c r="WXW47" s="69"/>
      <c r="WXX47" s="69"/>
      <c r="WXY47" s="69"/>
      <c r="WXZ47" s="69"/>
      <c r="WYA47" s="69"/>
      <c r="WYB47" s="69"/>
      <c r="WYC47" s="69"/>
      <c r="WYD47" s="69"/>
      <c r="WYE47" s="69"/>
      <c r="WYF47" s="69"/>
      <c r="WYG47" s="69"/>
      <c r="WYH47" s="69"/>
      <c r="WYI47" s="69"/>
      <c r="WYJ47" s="69"/>
      <c r="WYK47" s="69"/>
      <c r="WYL47" s="69"/>
      <c r="WYM47" s="69"/>
      <c r="WYN47" s="69"/>
      <c r="WYO47" s="69"/>
      <c r="WYP47" s="69"/>
      <c r="WYQ47" s="69"/>
      <c r="WYR47" s="69"/>
      <c r="WYS47" s="69"/>
      <c r="WYT47" s="69"/>
      <c r="WYU47" s="69"/>
      <c r="WYV47" s="69"/>
      <c r="WYW47" s="69"/>
      <c r="WYX47" s="69"/>
      <c r="WYY47" s="69"/>
      <c r="WYZ47" s="69"/>
      <c r="WZA47" s="69"/>
      <c r="WZB47" s="69"/>
      <c r="WZC47" s="69"/>
      <c r="WZD47" s="69"/>
      <c r="WZE47" s="69"/>
      <c r="WZF47" s="69"/>
      <c r="WZG47" s="69"/>
      <c r="WZH47" s="69"/>
      <c r="WZI47" s="69"/>
      <c r="WZJ47" s="69"/>
      <c r="WZK47" s="69"/>
      <c r="WZL47" s="69"/>
      <c r="WZM47" s="69"/>
      <c r="WZN47" s="69"/>
      <c r="WZO47" s="69"/>
      <c r="WZP47" s="69"/>
      <c r="WZQ47" s="69"/>
      <c r="WZR47" s="69"/>
      <c r="WZS47" s="69"/>
      <c r="WZT47" s="69"/>
      <c r="WZU47" s="69"/>
      <c r="WZV47" s="69"/>
      <c r="WZW47" s="69"/>
      <c r="WZX47" s="69"/>
      <c r="WZY47" s="69"/>
      <c r="WZZ47" s="69"/>
      <c r="XAA47" s="69"/>
      <c r="XAB47" s="69"/>
      <c r="XAC47" s="69"/>
      <c r="XAD47" s="69"/>
      <c r="XAE47" s="69"/>
      <c r="XAF47" s="69"/>
      <c r="XAG47" s="69"/>
      <c r="XAH47" s="69"/>
      <c r="XAI47" s="69"/>
      <c r="XAJ47" s="69"/>
      <c r="XAK47" s="69"/>
      <c r="XAL47" s="69"/>
      <c r="XAM47" s="69"/>
      <c r="XAN47" s="69"/>
      <c r="XAO47" s="69"/>
      <c r="XAP47" s="69"/>
      <c r="XAQ47" s="69"/>
      <c r="XAR47" s="69"/>
      <c r="XAS47" s="69"/>
      <c r="XAT47" s="69"/>
      <c r="XAU47" s="69"/>
      <c r="XAV47" s="69"/>
      <c r="XAW47" s="69"/>
      <c r="XAX47" s="69"/>
      <c r="XAY47" s="69"/>
      <c r="XAZ47" s="69"/>
      <c r="XBA47" s="69"/>
      <c r="XBB47" s="69"/>
      <c r="XBC47" s="69"/>
      <c r="XBD47" s="69"/>
      <c r="XBE47" s="69"/>
      <c r="XBF47" s="69"/>
      <c r="XBG47" s="69"/>
      <c r="XBH47" s="69"/>
      <c r="XBI47" s="69"/>
      <c r="XBJ47" s="69"/>
      <c r="XBK47" s="69"/>
      <c r="XBL47" s="69"/>
      <c r="XBM47" s="69"/>
      <c r="XBN47" s="69"/>
      <c r="XBO47" s="69"/>
      <c r="XBP47" s="69"/>
      <c r="XBQ47" s="69"/>
      <c r="XBR47" s="69"/>
      <c r="XBS47" s="69"/>
      <c r="XBT47" s="69"/>
      <c r="XBU47" s="69"/>
      <c r="XBV47" s="69"/>
      <c r="XBW47" s="69"/>
      <c r="XBX47" s="69"/>
      <c r="XBY47" s="69"/>
      <c r="XBZ47" s="69"/>
      <c r="XCA47" s="69"/>
      <c r="XCB47" s="69"/>
      <c r="XCC47" s="69"/>
      <c r="XCD47" s="69"/>
      <c r="XCE47" s="69"/>
      <c r="XCF47" s="69"/>
      <c r="XCG47" s="69"/>
      <c r="XCH47" s="69"/>
      <c r="XCI47" s="69"/>
      <c r="XCJ47" s="69"/>
      <c r="XCK47" s="69"/>
      <c r="XCL47" s="69"/>
      <c r="XCM47" s="69"/>
      <c r="XCN47" s="69"/>
      <c r="XCO47" s="69"/>
      <c r="XCP47" s="69"/>
      <c r="XCQ47" s="69"/>
      <c r="XCR47" s="69"/>
      <c r="XCS47" s="69"/>
      <c r="XCT47" s="69"/>
      <c r="XCU47" s="69"/>
      <c r="XCV47" s="69"/>
      <c r="XCW47" s="69"/>
      <c r="XCX47" s="69"/>
      <c r="XCY47" s="69"/>
      <c r="XCZ47" s="69"/>
      <c r="XDA47" s="69"/>
      <c r="XDB47" s="69"/>
      <c r="XDC47" s="69"/>
      <c r="XDD47" s="69"/>
      <c r="XDE47" s="69"/>
      <c r="XDF47" s="69"/>
      <c r="XDG47" s="69"/>
      <c r="XDH47" s="69"/>
      <c r="XDI47" s="69"/>
      <c r="XDJ47" s="69"/>
      <c r="XDK47" s="69"/>
      <c r="XDL47" s="69"/>
      <c r="XDM47" s="69"/>
      <c r="XDN47" s="69"/>
      <c r="XDO47" s="69"/>
      <c r="XDP47" s="69"/>
      <c r="XDQ47" s="69"/>
      <c r="XDR47" s="69"/>
      <c r="XDS47" s="69"/>
      <c r="XDT47" s="69"/>
      <c r="XDU47" s="69"/>
      <c r="XDV47" s="69"/>
      <c r="XDW47" s="69"/>
      <c r="XDX47" s="69"/>
      <c r="XDY47" s="69"/>
      <c r="XDZ47" s="69"/>
      <c r="XEA47" s="69"/>
      <c r="XEB47" s="69"/>
      <c r="XEC47" s="69"/>
      <c r="XED47" s="69"/>
      <c r="XEE47" s="69"/>
      <c r="XEF47" s="69"/>
      <c r="XEG47" s="69"/>
      <c r="XEH47" s="69"/>
      <c r="XEI47" s="69"/>
      <c r="XEJ47" s="69"/>
      <c r="XEK47" s="69"/>
      <c r="XEL47" s="69"/>
      <c r="XEM47" s="69"/>
      <c r="XEN47" s="69"/>
      <c r="XEO47" s="69"/>
      <c r="XEP47" s="69"/>
    </row>
    <row r="48" spans="1:16370" hidden="1" outlineLevel="1">
      <c r="A48" s="70" t="s">
        <v>123</v>
      </c>
      <c r="B48" s="85" t="s">
        <v>85</v>
      </c>
      <c r="C48" s="72"/>
      <c r="D48" s="77">
        <f>'0'!D16</f>
        <v>2</v>
      </c>
      <c r="E48" s="77">
        <f>'0'!E16</f>
        <v>2</v>
      </c>
      <c r="F48" s="77">
        <f>'0'!F16</f>
        <v>2</v>
      </c>
      <c r="G48" s="77">
        <f>'0'!G16</f>
        <v>3</v>
      </c>
      <c r="H48" s="77">
        <f>'0'!H16</f>
        <v>3</v>
      </c>
      <c r="I48" s="77">
        <f>'0'!I16</f>
        <v>4</v>
      </c>
      <c r="J48" s="77">
        <f>'0'!J16</f>
        <v>4</v>
      </c>
      <c r="K48" s="77">
        <f>'0'!K16</f>
        <v>4</v>
      </c>
      <c r="L48" s="77">
        <f>'0'!L16</f>
        <v>5</v>
      </c>
      <c r="M48" s="77">
        <f>'0'!M16</f>
        <v>5</v>
      </c>
      <c r="N48" s="77">
        <f>'0'!N16</f>
        <v>5</v>
      </c>
      <c r="O48" s="77">
        <f>'0'!O16</f>
        <v>6</v>
      </c>
      <c r="P48" s="77">
        <f>'0'!P16</f>
        <v>6</v>
      </c>
      <c r="Q48" s="77">
        <f>'0'!Q16</f>
        <v>6</v>
      </c>
      <c r="R48" s="77">
        <f>'0'!R16</f>
        <v>6</v>
      </c>
      <c r="S48" s="77">
        <f>'0'!S16</f>
        <v>6</v>
      </c>
      <c r="T48" s="77">
        <f>'0'!T16</f>
        <v>6</v>
      </c>
      <c r="U48" s="77">
        <f>'0'!U16</f>
        <v>6</v>
      </c>
      <c r="V48" s="77">
        <f>'0'!V16</f>
        <v>6</v>
      </c>
      <c r="W48" s="77">
        <f>'0'!W16</f>
        <v>6</v>
      </c>
      <c r="X48" s="77">
        <f>'0'!X16</f>
        <v>6</v>
      </c>
      <c r="Y48" s="77">
        <f>'0'!Y16</f>
        <v>6</v>
      </c>
      <c r="Z48" s="77">
        <f>'0'!Z16</f>
        <v>6</v>
      </c>
      <c r="AA48" s="77">
        <f>'0'!AA16</f>
        <v>6</v>
      </c>
      <c r="AB48" s="77">
        <f>'0'!AB16</f>
        <v>6</v>
      </c>
      <c r="AC48" s="77">
        <f>'0'!AC16</f>
        <v>6</v>
      </c>
      <c r="AD48" s="77">
        <f>'0'!AD16</f>
        <v>6</v>
      </c>
      <c r="AE48" s="77">
        <f>'0'!AE16</f>
        <v>6</v>
      </c>
      <c r="AF48" s="77">
        <f>'0'!AF16</f>
        <v>6</v>
      </c>
      <c r="AG48" s="77">
        <f>'0'!AG16</f>
        <v>6</v>
      </c>
      <c r="AH48" s="77">
        <f>'0'!AH16</f>
        <v>6</v>
      </c>
      <c r="AI48" s="77">
        <f>'0'!AI16</f>
        <v>6</v>
      </c>
      <c r="AJ48" s="77">
        <f>'0'!AJ16</f>
        <v>6</v>
      </c>
      <c r="AK48" s="77">
        <f>'0'!AK16</f>
        <v>6</v>
      </c>
      <c r="AL48" s="77">
        <f>'0'!AL16</f>
        <v>6</v>
      </c>
      <c r="AM48" s="77">
        <f>'0'!AM16</f>
        <v>6</v>
      </c>
      <c r="AN48" s="81"/>
      <c r="AO48" s="75">
        <f>O48</f>
        <v>6</v>
      </c>
      <c r="AP48" s="75">
        <f>AA48</f>
        <v>6</v>
      </c>
      <c r="AQ48" s="75">
        <f>AM48</f>
        <v>6</v>
      </c>
    </row>
    <row r="49" spans="1:16370" hidden="1" outlineLevel="1">
      <c r="A49" s="70" t="s">
        <v>202</v>
      </c>
      <c r="B49" s="85" t="s">
        <v>85</v>
      </c>
      <c r="C49" s="72"/>
      <c r="D49" s="86">
        <v>20</v>
      </c>
      <c r="E49" s="86">
        <v>20</v>
      </c>
      <c r="F49" s="86">
        <v>20</v>
      </c>
      <c r="G49" s="86">
        <v>20</v>
      </c>
      <c r="H49" s="86">
        <v>20</v>
      </c>
      <c r="I49" s="86">
        <v>20</v>
      </c>
      <c r="J49" s="86">
        <v>20</v>
      </c>
      <c r="K49" s="86">
        <v>20</v>
      </c>
      <c r="L49" s="86">
        <v>20</v>
      </c>
      <c r="M49" s="86">
        <v>20</v>
      </c>
      <c r="N49" s="86">
        <v>20</v>
      </c>
      <c r="O49" s="86">
        <v>20</v>
      </c>
      <c r="P49" s="86">
        <v>20</v>
      </c>
      <c r="Q49" s="86">
        <v>20</v>
      </c>
      <c r="R49" s="86">
        <v>20</v>
      </c>
      <c r="S49" s="86">
        <v>20</v>
      </c>
      <c r="T49" s="86">
        <v>20</v>
      </c>
      <c r="U49" s="86">
        <v>20</v>
      </c>
      <c r="V49" s="86">
        <v>20</v>
      </c>
      <c r="W49" s="86">
        <v>20</v>
      </c>
      <c r="X49" s="86">
        <v>20</v>
      </c>
      <c r="Y49" s="86">
        <v>20</v>
      </c>
      <c r="Z49" s="86">
        <v>20</v>
      </c>
      <c r="AA49" s="86">
        <v>20</v>
      </c>
      <c r="AB49" s="86">
        <v>20</v>
      </c>
      <c r="AC49" s="86">
        <v>20</v>
      </c>
      <c r="AD49" s="86">
        <v>20</v>
      </c>
      <c r="AE49" s="86">
        <v>20</v>
      </c>
      <c r="AF49" s="86">
        <v>20</v>
      </c>
      <c r="AG49" s="86">
        <v>20</v>
      </c>
      <c r="AH49" s="86">
        <v>20</v>
      </c>
      <c r="AI49" s="86">
        <v>20</v>
      </c>
      <c r="AJ49" s="86">
        <v>20</v>
      </c>
      <c r="AK49" s="86">
        <v>20</v>
      </c>
      <c r="AL49" s="86">
        <v>20</v>
      </c>
      <c r="AM49" s="86">
        <v>20</v>
      </c>
      <c r="AN49" s="81"/>
      <c r="AO49" s="75">
        <f>AVERAGE(D49:O49)</f>
        <v>20</v>
      </c>
      <c r="AP49" s="75">
        <f>AVERAGE(P49:AA49)</f>
        <v>20</v>
      </c>
      <c r="AQ49" s="75">
        <f>AVERAGE(AB49:AM49)</f>
        <v>20</v>
      </c>
    </row>
    <row r="50" spans="1:16370" hidden="1" outlineLevel="1">
      <c r="A50" s="70" t="s">
        <v>203</v>
      </c>
      <c r="B50" s="85" t="s">
        <v>85</v>
      </c>
      <c r="C50" s="72"/>
      <c r="D50" s="77">
        <f t="shared" ref="D50:AM50" si="76">D48*D49</f>
        <v>40</v>
      </c>
      <c r="E50" s="77">
        <f t="shared" si="76"/>
        <v>40</v>
      </c>
      <c r="F50" s="77">
        <f t="shared" si="76"/>
        <v>40</v>
      </c>
      <c r="G50" s="77">
        <f t="shared" si="76"/>
        <v>60</v>
      </c>
      <c r="H50" s="77">
        <f t="shared" si="76"/>
        <v>60</v>
      </c>
      <c r="I50" s="77">
        <f t="shared" si="76"/>
        <v>80</v>
      </c>
      <c r="J50" s="77">
        <f t="shared" si="76"/>
        <v>80</v>
      </c>
      <c r="K50" s="77">
        <f t="shared" si="76"/>
        <v>80</v>
      </c>
      <c r="L50" s="77">
        <f t="shared" si="76"/>
        <v>100</v>
      </c>
      <c r="M50" s="77">
        <f t="shared" si="76"/>
        <v>100</v>
      </c>
      <c r="N50" s="77">
        <f t="shared" si="76"/>
        <v>100</v>
      </c>
      <c r="O50" s="77">
        <f t="shared" si="76"/>
        <v>120</v>
      </c>
      <c r="P50" s="77">
        <f t="shared" si="76"/>
        <v>120</v>
      </c>
      <c r="Q50" s="77">
        <f t="shared" si="76"/>
        <v>120</v>
      </c>
      <c r="R50" s="77">
        <f t="shared" si="76"/>
        <v>120</v>
      </c>
      <c r="S50" s="77">
        <f t="shared" si="76"/>
        <v>120</v>
      </c>
      <c r="T50" s="77">
        <f t="shared" si="76"/>
        <v>120</v>
      </c>
      <c r="U50" s="77">
        <f t="shared" si="76"/>
        <v>120</v>
      </c>
      <c r="V50" s="77">
        <f t="shared" si="76"/>
        <v>120</v>
      </c>
      <c r="W50" s="77">
        <f t="shared" si="76"/>
        <v>120</v>
      </c>
      <c r="X50" s="77">
        <f t="shared" si="76"/>
        <v>120</v>
      </c>
      <c r="Y50" s="77">
        <f t="shared" si="76"/>
        <v>120</v>
      </c>
      <c r="Z50" s="77">
        <f t="shared" si="76"/>
        <v>120</v>
      </c>
      <c r="AA50" s="77">
        <f t="shared" si="76"/>
        <v>120</v>
      </c>
      <c r="AB50" s="77">
        <f t="shared" si="76"/>
        <v>120</v>
      </c>
      <c r="AC50" s="77">
        <f t="shared" si="76"/>
        <v>120</v>
      </c>
      <c r="AD50" s="77">
        <f t="shared" si="76"/>
        <v>120</v>
      </c>
      <c r="AE50" s="77">
        <f t="shared" si="76"/>
        <v>120</v>
      </c>
      <c r="AF50" s="77">
        <f t="shared" si="76"/>
        <v>120</v>
      </c>
      <c r="AG50" s="77">
        <f t="shared" si="76"/>
        <v>120</v>
      </c>
      <c r="AH50" s="77">
        <f t="shared" si="76"/>
        <v>120</v>
      </c>
      <c r="AI50" s="77">
        <f t="shared" si="76"/>
        <v>120</v>
      </c>
      <c r="AJ50" s="77">
        <f t="shared" si="76"/>
        <v>120</v>
      </c>
      <c r="AK50" s="77">
        <f t="shared" si="76"/>
        <v>120</v>
      </c>
      <c r="AL50" s="77">
        <f t="shared" si="76"/>
        <v>120</v>
      </c>
      <c r="AM50" s="77">
        <f t="shared" si="76"/>
        <v>120</v>
      </c>
      <c r="AN50" s="81"/>
      <c r="AO50" s="75">
        <f>SUM(D50:O50)</f>
        <v>900</v>
      </c>
      <c r="AP50" s="75">
        <f>SUM(P50:AA50)</f>
        <v>1440</v>
      </c>
      <c r="AQ50" s="75">
        <f>SUM(AB50:AM50)</f>
        <v>1440</v>
      </c>
    </row>
    <row r="51" spans="1:16370" hidden="1" outlineLevel="1">
      <c r="A51" s="70" t="s">
        <v>204</v>
      </c>
      <c r="B51" s="71" t="s">
        <v>208</v>
      </c>
      <c r="C51" s="72"/>
      <c r="D51" s="104">
        <v>5</v>
      </c>
      <c r="E51" s="104">
        <v>5</v>
      </c>
      <c r="F51" s="104">
        <v>5</v>
      </c>
      <c r="G51" s="104">
        <v>5</v>
      </c>
      <c r="H51" s="104">
        <v>5</v>
      </c>
      <c r="I51" s="104">
        <v>5</v>
      </c>
      <c r="J51" s="104">
        <v>5</v>
      </c>
      <c r="K51" s="104">
        <v>5</v>
      </c>
      <c r="L51" s="104">
        <v>5</v>
      </c>
      <c r="M51" s="104">
        <v>5</v>
      </c>
      <c r="N51" s="104">
        <v>5</v>
      </c>
      <c r="O51" s="104">
        <v>5</v>
      </c>
      <c r="P51" s="104">
        <v>5</v>
      </c>
      <c r="Q51" s="104">
        <v>5</v>
      </c>
      <c r="R51" s="104">
        <v>5</v>
      </c>
      <c r="S51" s="104">
        <v>5</v>
      </c>
      <c r="T51" s="104">
        <v>5</v>
      </c>
      <c r="U51" s="104">
        <v>5</v>
      </c>
      <c r="V51" s="104">
        <v>5</v>
      </c>
      <c r="W51" s="104">
        <v>5</v>
      </c>
      <c r="X51" s="104">
        <v>5</v>
      </c>
      <c r="Y51" s="104">
        <v>5</v>
      </c>
      <c r="Z51" s="104">
        <v>5</v>
      </c>
      <c r="AA51" s="104">
        <v>5</v>
      </c>
      <c r="AB51" s="104">
        <v>5</v>
      </c>
      <c r="AC51" s="104">
        <v>5</v>
      </c>
      <c r="AD51" s="104">
        <v>5</v>
      </c>
      <c r="AE51" s="104">
        <v>5</v>
      </c>
      <c r="AF51" s="104">
        <v>5</v>
      </c>
      <c r="AG51" s="104">
        <v>5</v>
      </c>
      <c r="AH51" s="104">
        <v>5</v>
      </c>
      <c r="AI51" s="104">
        <v>5</v>
      </c>
      <c r="AJ51" s="104">
        <v>5</v>
      </c>
      <c r="AK51" s="104">
        <v>5</v>
      </c>
      <c r="AL51" s="104">
        <v>5</v>
      </c>
      <c r="AM51" s="104">
        <v>5</v>
      </c>
      <c r="AN51" s="81"/>
      <c r="AO51" s="75">
        <f>AVERAGE(D51:O51)</f>
        <v>5</v>
      </c>
      <c r="AP51" s="75">
        <f>AVERAGE(P51:AA51)</f>
        <v>5</v>
      </c>
      <c r="AQ51" s="75">
        <f>AVERAGE(AB51:AM51)</f>
        <v>5</v>
      </c>
    </row>
    <row r="52" spans="1:16370" s="69" customFormat="1" hidden="1" outlineLevel="1">
      <c r="A52" s="70" t="s">
        <v>152</v>
      </c>
      <c r="B52" s="71" t="s">
        <v>208</v>
      </c>
      <c r="C52" s="72"/>
      <c r="D52" s="73">
        <f t="shared" ref="D52:AM52" si="77">D50*D51</f>
        <v>200</v>
      </c>
      <c r="E52" s="73">
        <f t="shared" si="77"/>
        <v>200</v>
      </c>
      <c r="F52" s="73">
        <f t="shared" si="77"/>
        <v>200</v>
      </c>
      <c r="G52" s="73">
        <f t="shared" si="77"/>
        <v>300</v>
      </c>
      <c r="H52" s="73">
        <f t="shared" si="77"/>
        <v>300</v>
      </c>
      <c r="I52" s="73">
        <f t="shared" si="77"/>
        <v>400</v>
      </c>
      <c r="J52" s="73">
        <f t="shared" si="77"/>
        <v>400</v>
      </c>
      <c r="K52" s="73">
        <f t="shared" si="77"/>
        <v>400</v>
      </c>
      <c r="L52" s="73">
        <f t="shared" si="77"/>
        <v>500</v>
      </c>
      <c r="M52" s="73">
        <f t="shared" si="77"/>
        <v>500</v>
      </c>
      <c r="N52" s="73">
        <f t="shared" si="77"/>
        <v>500</v>
      </c>
      <c r="O52" s="73">
        <f t="shared" si="77"/>
        <v>600</v>
      </c>
      <c r="P52" s="73">
        <f t="shared" si="77"/>
        <v>600</v>
      </c>
      <c r="Q52" s="73">
        <f t="shared" si="77"/>
        <v>600</v>
      </c>
      <c r="R52" s="73">
        <f t="shared" si="77"/>
        <v>600</v>
      </c>
      <c r="S52" s="73">
        <f t="shared" si="77"/>
        <v>600</v>
      </c>
      <c r="T52" s="73">
        <f t="shared" si="77"/>
        <v>600</v>
      </c>
      <c r="U52" s="73">
        <f t="shared" si="77"/>
        <v>600</v>
      </c>
      <c r="V52" s="73">
        <f t="shared" si="77"/>
        <v>600</v>
      </c>
      <c r="W52" s="73">
        <f t="shared" si="77"/>
        <v>600</v>
      </c>
      <c r="X52" s="73">
        <f t="shared" si="77"/>
        <v>600</v>
      </c>
      <c r="Y52" s="73">
        <f t="shared" si="77"/>
        <v>600</v>
      </c>
      <c r="Z52" s="73">
        <f t="shared" si="77"/>
        <v>600</v>
      </c>
      <c r="AA52" s="73">
        <f t="shared" si="77"/>
        <v>600</v>
      </c>
      <c r="AB52" s="73">
        <f t="shared" si="77"/>
        <v>600</v>
      </c>
      <c r="AC52" s="73">
        <f t="shared" si="77"/>
        <v>600</v>
      </c>
      <c r="AD52" s="73">
        <f t="shared" si="77"/>
        <v>600</v>
      </c>
      <c r="AE52" s="73">
        <f t="shared" si="77"/>
        <v>600</v>
      </c>
      <c r="AF52" s="73">
        <f t="shared" si="77"/>
        <v>600</v>
      </c>
      <c r="AG52" s="73">
        <f t="shared" si="77"/>
        <v>600</v>
      </c>
      <c r="AH52" s="73">
        <f t="shared" si="77"/>
        <v>600</v>
      </c>
      <c r="AI52" s="73">
        <f t="shared" si="77"/>
        <v>600</v>
      </c>
      <c r="AJ52" s="73">
        <f t="shared" si="77"/>
        <v>600</v>
      </c>
      <c r="AK52" s="73">
        <f t="shared" si="77"/>
        <v>600</v>
      </c>
      <c r="AL52" s="73">
        <f t="shared" si="77"/>
        <v>600</v>
      </c>
      <c r="AM52" s="73">
        <f t="shared" si="77"/>
        <v>600</v>
      </c>
      <c r="AN52" s="74"/>
      <c r="AO52" s="75">
        <f>O52</f>
        <v>600</v>
      </c>
      <c r="AP52" s="75">
        <f>AA52</f>
        <v>600</v>
      </c>
      <c r="AQ52" s="75">
        <f>AM52</f>
        <v>600</v>
      </c>
    </row>
    <row r="53" spans="1:16370" hidden="1" outlineLevel="1">
      <c r="A53" s="70" t="s">
        <v>80</v>
      </c>
      <c r="B53" s="71" t="s">
        <v>79</v>
      </c>
      <c r="C53" s="72"/>
      <c r="D53" s="92">
        <v>0.04</v>
      </c>
      <c r="E53" s="92">
        <v>0.04</v>
      </c>
      <c r="F53" s="92">
        <v>0.04</v>
      </c>
      <c r="G53" s="92">
        <v>0.04</v>
      </c>
      <c r="H53" s="92">
        <v>0.04</v>
      </c>
      <c r="I53" s="92">
        <v>0.04</v>
      </c>
      <c r="J53" s="92">
        <v>0.04</v>
      </c>
      <c r="K53" s="92">
        <v>0.04</v>
      </c>
      <c r="L53" s="92">
        <v>0.04</v>
      </c>
      <c r="M53" s="92">
        <v>0.04</v>
      </c>
      <c r="N53" s="92">
        <v>0.04</v>
      </c>
      <c r="O53" s="92">
        <v>0.04</v>
      </c>
      <c r="P53" s="92">
        <v>0.04</v>
      </c>
      <c r="Q53" s="92">
        <v>0.04</v>
      </c>
      <c r="R53" s="92">
        <v>0.04</v>
      </c>
      <c r="S53" s="92">
        <v>0.04</v>
      </c>
      <c r="T53" s="92">
        <v>0.04</v>
      </c>
      <c r="U53" s="92">
        <v>0.04</v>
      </c>
      <c r="V53" s="92">
        <v>0.04</v>
      </c>
      <c r="W53" s="92">
        <v>0.04</v>
      </c>
      <c r="X53" s="92">
        <v>0.04</v>
      </c>
      <c r="Y53" s="92">
        <v>0.04</v>
      </c>
      <c r="Z53" s="92">
        <v>0.04</v>
      </c>
      <c r="AA53" s="92">
        <v>0.04</v>
      </c>
      <c r="AB53" s="92">
        <v>0.04</v>
      </c>
      <c r="AC53" s="92">
        <v>0.04</v>
      </c>
      <c r="AD53" s="92">
        <v>0.04</v>
      </c>
      <c r="AE53" s="92">
        <v>0.04</v>
      </c>
      <c r="AF53" s="92">
        <v>0.04</v>
      </c>
      <c r="AG53" s="92">
        <v>0.04</v>
      </c>
      <c r="AH53" s="92">
        <v>0.04</v>
      </c>
      <c r="AI53" s="92">
        <v>0.04</v>
      </c>
      <c r="AJ53" s="92">
        <v>0.04</v>
      </c>
      <c r="AK53" s="92">
        <v>0.04</v>
      </c>
      <c r="AL53" s="92">
        <v>0.04</v>
      </c>
      <c r="AM53" s="92">
        <v>0.04</v>
      </c>
      <c r="AN53" s="81"/>
      <c r="AO53" s="93">
        <f>AVERAGE(D53:O53)</f>
        <v>3.9999999999999994E-2</v>
      </c>
      <c r="AP53" s="93">
        <f>AVERAGE(P53:AA53)</f>
        <v>3.9999999999999994E-2</v>
      </c>
      <c r="AQ53" s="93">
        <f>AVERAGE(AB53:AM53)</f>
        <v>3.9999999999999994E-2</v>
      </c>
    </row>
    <row r="54" spans="1:16370" hidden="1" outlineLevel="1">
      <c r="A54" s="70" t="s">
        <v>146</v>
      </c>
      <c r="B54" s="71" t="s">
        <v>208</v>
      </c>
      <c r="C54" s="72"/>
      <c r="D54" s="73">
        <f t="shared" ref="D54:AM54" si="78">(C52+D52)/2*D53/12</f>
        <v>0.33333333333333331</v>
      </c>
      <c r="E54" s="73">
        <f t="shared" si="78"/>
        <v>0.66666666666666663</v>
      </c>
      <c r="F54" s="73">
        <f t="shared" si="78"/>
        <v>0.66666666666666663</v>
      </c>
      <c r="G54" s="73">
        <f t="shared" si="78"/>
        <v>0.83333333333333337</v>
      </c>
      <c r="H54" s="73">
        <f t="shared" si="78"/>
        <v>1</v>
      </c>
      <c r="I54" s="73">
        <f t="shared" si="78"/>
        <v>1.1666666666666667</v>
      </c>
      <c r="J54" s="73">
        <f t="shared" si="78"/>
        <v>1.3333333333333333</v>
      </c>
      <c r="K54" s="73">
        <f t="shared" si="78"/>
        <v>1.3333333333333333</v>
      </c>
      <c r="L54" s="73">
        <f t="shared" si="78"/>
        <v>1.5</v>
      </c>
      <c r="M54" s="73">
        <f t="shared" si="78"/>
        <v>1.6666666666666667</v>
      </c>
      <c r="N54" s="73">
        <f t="shared" si="78"/>
        <v>1.6666666666666667</v>
      </c>
      <c r="O54" s="73">
        <f t="shared" si="78"/>
        <v>1.8333333333333333</v>
      </c>
      <c r="P54" s="73">
        <f t="shared" si="78"/>
        <v>2</v>
      </c>
      <c r="Q54" s="73">
        <f t="shared" si="78"/>
        <v>2</v>
      </c>
      <c r="R54" s="73">
        <f t="shared" si="78"/>
        <v>2</v>
      </c>
      <c r="S54" s="73">
        <f t="shared" si="78"/>
        <v>2</v>
      </c>
      <c r="T54" s="73">
        <f t="shared" si="78"/>
        <v>2</v>
      </c>
      <c r="U54" s="73">
        <f t="shared" si="78"/>
        <v>2</v>
      </c>
      <c r="V54" s="73">
        <f t="shared" si="78"/>
        <v>2</v>
      </c>
      <c r="W54" s="73">
        <f t="shared" si="78"/>
        <v>2</v>
      </c>
      <c r="X54" s="73">
        <f t="shared" si="78"/>
        <v>2</v>
      </c>
      <c r="Y54" s="73">
        <f t="shared" si="78"/>
        <v>2</v>
      </c>
      <c r="Z54" s="73">
        <f t="shared" si="78"/>
        <v>2</v>
      </c>
      <c r="AA54" s="73">
        <f t="shared" si="78"/>
        <v>2</v>
      </c>
      <c r="AB54" s="73">
        <f t="shared" si="78"/>
        <v>2</v>
      </c>
      <c r="AC54" s="73">
        <f t="shared" si="78"/>
        <v>2</v>
      </c>
      <c r="AD54" s="73">
        <f t="shared" si="78"/>
        <v>2</v>
      </c>
      <c r="AE54" s="73">
        <f t="shared" si="78"/>
        <v>2</v>
      </c>
      <c r="AF54" s="73">
        <f t="shared" si="78"/>
        <v>2</v>
      </c>
      <c r="AG54" s="73">
        <f t="shared" si="78"/>
        <v>2</v>
      </c>
      <c r="AH54" s="73">
        <f t="shared" si="78"/>
        <v>2</v>
      </c>
      <c r="AI54" s="73">
        <f t="shared" si="78"/>
        <v>2</v>
      </c>
      <c r="AJ54" s="73">
        <f t="shared" si="78"/>
        <v>2</v>
      </c>
      <c r="AK54" s="73">
        <f t="shared" si="78"/>
        <v>2</v>
      </c>
      <c r="AL54" s="73">
        <f t="shared" si="78"/>
        <v>2</v>
      </c>
      <c r="AM54" s="73">
        <f t="shared" si="78"/>
        <v>2</v>
      </c>
      <c r="AN54" s="81"/>
      <c r="AO54" s="75">
        <f>SUM(D54:O54)</f>
        <v>13.999999999999998</v>
      </c>
      <c r="AP54" s="75">
        <f>SUM(P54:AA54)</f>
        <v>24</v>
      </c>
      <c r="AQ54" s="75">
        <f>SUM(AB54:AM54)</f>
        <v>24</v>
      </c>
    </row>
    <row r="55" spans="1:16370" hidden="1" outlineLevel="1">
      <c r="A55" s="70" t="s">
        <v>207</v>
      </c>
      <c r="B55" s="71" t="s">
        <v>162</v>
      </c>
      <c r="C55" s="72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1"/>
      <c r="AO55" s="75"/>
      <c r="AP55" s="75"/>
      <c r="AQ55" s="75"/>
    </row>
    <row r="56" spans="1:16370" hidden="1" outlineLevel="1">
      <c r="A56" s="70" t="s">
        <v>289</v>
      </c>
      <c r="B56" s="85" t="s">
        <v>78</v>
      </c>
      <c r="C56" s="72"/>
      <c r="D56" s="73">
        <f t="shared" ref="D56:AM56" si="79">D55*D50</f>
        <v>0</v>
      </c>
      <c r="E56" s="73">
        <f t="shared" si="79"/>
        <v>0</v>
      </c>
      <c r="F56" s="73">
        <f t="shared" si="79"/>
        <v>0</v>
      </c>
      <c r="G56" s="73">
        <f t="shared" si="79"/>
        <v>0</v>
      </c>
      <c r="H56" s="73">
        <f t="shared" si="79"/>
        <v>0</v>
      </c>
      <c r="I56" s="73">
        <f t="shared" si="79"/>
        <v>0</v>
      </c>
      <c r="J56" s="73">
        <f t="shared" si="79"/>
        <v>0</v>
      </c>
      <c r="K56" s="73">
        <f t="shared" si="79"/>
        <v>0</v>
      </c>
      <c r="L56" s="73">
        <f t="shared" si="79"/>
        <v>0</v>
      </c>
      <c r="M56" s="73">
        <f t="shared" si="79"/>
        <v>0</v>
      </c>
      <c r="N56" s="73">
        <f t="shared" si="79"/>
        <v>0</v>
      </c>
      <c r="O56" s="73">
        <f t="shared" si="79"/>
        <v>0</v>
      </c>
      <c r="P56" s="73">
        <f t="shared" si="79"/>
        <v>0</v>
      </c>
      <c r="Q56" s="73">
        <f t="shared" si="79"/>
        <v>0</v>
      </c>
      <c r="R56" s="73">
        <f t="shared" si="79"/>
        <v>0</v>
      </c>
      <c r="S56" s="73">
        <f t="shared" si="79"/>
        <v>0</v>
      </c>
      <c r="T56" s="73">
        <f t="shared" si="79"/>
        <v>0</v>
      </c>
      <c r="U56" s="73">
        <f t="shared" si="79"/>
        <v>0</v>
      </c>
      <c r="V56" s="73">
        <f t="shared" si="79"/>
        <v>0</v>
      </c>
      <c r="W56" s="73">
        <f t="shared" si="79"/>
        <v>0</v>
      </c>
      <c r="X56" s="73">
        <f t="shared" si="79"/>
        <v>0</v>
      </c>
      <c r="Y56" s="73">
        <f t="shared" si="79"/>
        <v>0</v>
      </c>
      <c r="Z56" s="73">
        <f t="shared" si="79"/>
        <v>0</v>
      </c>
      <c r="AA56" s="73">
        <f t="shared" si="79"/>
        <v>0</v>
      </c>
      <c r="AB56" s="73">
        <f t="shared" si="79"/>
        <v>0</v>
      </c>
      <c r="AC56" s="73">
        <f t="shared" si="79"/>
        <v>0</v>
      </c>
      <c r="AD56" s="73">
        <f t="shared" si="79"/>
        <v>0</v>
      </c>
      <c r="AE56" s="73">
        <f t="shared" si="79"/>
        <v>0</v>
      </c>
      <c r="AF56" s="73">
        <f t="shared" si="79"/>
        <v>0</v>
      </c>
      <c r="AG56" s="73">
        <f t="shared" si="79"/>
        <v>0</v>
      </c>
      <c r="AH56" s="73">
        <f t="shared" si="79"/>
        <v>0</v>
      </c>
      <c r="AI56" s="73">
        <f t="shared" si="79"/>
        <v>0</v>
      </c>
      <c r="AJ56" s="73">
        <f t="shared" si="79"/>
        <v>0</v>
      </c>
      <c r="AK56" s="73">
        <f t="shared" si="79"/>
        <v>0</v>
      </c>
      <c r="AL56" s="73">
        <f t="shared" si="79"/>
        <v>0</v>
      </c>
      <c r="AM56" s="73">
        <f t="shared" si="79"/>
        <v>0</v>
      </c>
      <c r="AN56" s="81"/>
      <c r="AO56" s="75">
        <f>SUM(D56:O56)</f>
        <v>0</v>
      </c>
      <c r="AP56" s="75">
        <f>SUM(P56:AA56)</f>
        <v>0</v>
      </c>
      <c r="AQ56" s="75">
        <f>SUM(AB56:AM56)</f>
        <v>0</v>
      </c>
    </row>
    <row r="57" spans="1:16370" s="144" customFormat="1" hidden="1" outlineLevel="1">
      <c r="A57" s="70" t="s">
        <v>320</v>
      </c>
      <c r="B57" s="139" t="s">
        <v>78</v>
      </c>
      <c r="C57" s="140"/>
      <c r="D57" s="141"/>
      <c r="E57" s="141">
        <f>-0.2%*D52/12</f>
        <v>-3.3333333333333333E-2</v>
      </c>
      <c r="F57" s="141">
        <f>-0.2%*(D52+E52)/2/12</f>
        <v>-3.3333333333333333E-2</v>
      </c>
      <c r="G57" s="141">
        <f t="shared" ref="G57:AM57" si="80">-0.2%*(E52+F52)/2/12</f>
        <v>-3.3333333333333333E-2</v>
      </c>
      <c r="H57" s="141">
        <f t="shared" si="80"/>
        <v>-4.1666666666666664E-2</v>
      </c>
      <c r="I57" s="141">
        <f t="shared" si="80"/>
        <v>-4.9999999999999996E-2</v>
      </c>
      <c r="J57" s="141">
        <f t="shared" si="80"/>
        <v>-5.8333333333333341E-2</v>
      </c>
      <c r="K57" s="141">
        <f t="shared" si="80"/>
        <v>-6.6666666666666666E-2</v>
      </c>
      <c r="L57" s="141">
        <f t="shared" si="80"/>
        <v>-6.6666666666666666E-2</v>
      </c>
      <c r="M57" s="141">
        <f t="shared" si="80"/>
        <v>-7.4999999999999997E-2</v>
      </c>
      <c r="N57" s="141">
        <f t="shared" si="80"/>
        <v>-8.3333333333333329E-2</v>
      </c>
      <c r="O57" s="141">
        <f t="shared" si="80"/>
        <v>-8.3333333333333329E-2</v>
      </c>
      <c r="P57" s="141">
        <f t="shared" si="80"/>
        <v>-9.1666666666666674E-2</v>
      </c>
      <c r="Q57" s="141">
        <f t="shared" si="80"/>
        <v>-9.9999999999999992E-2</v>
      </c>
      <c r="R57" s="141">
        <f t="shared" si="80"/>
        <v>-9.9999999999999992E-2</v>
      </c>
      <c r="S57" s="141">
        <f t="shared" si="80"/>
        <v>-9.9999999999999992E-2</v>
      </c>
      <c r="T57" s="141">
        <f t="shared" si="80"/>
        <v>-9.9999999999999992E-2</v>
      </c>
      <c r="U57" s="141">
        <f t="shared" si="80"/>
        <v>-9.9999999999999992E-2</v>
      </c>
      <c r="V57" s="141">
        <f t="shared" si="80"/>
        <v>-9.9999999999999992E-2</v>
      </c>
      <c r="W57" s="141">
        <f t="shared" si="80"/>
        <v>-9.9999999999999992E-2</v>
      </c>
      <c r="X57" s="141">
        <f t="shared" si="80"/>
        <v>-9.9999999999999992E-2</v>
      </c>
      <c r="Y57" s="141">
        <f t="shared" si="80"/>
        <v>-9.9999999999999992E-2</v>
      </c>
      <c r="Z57" s="141">
        <f t="shared" si="80"/>
        <v>-9.9999999999999992E-2</v>
      </c>
      <c r="AA57" s="141">
        <f t="shared" si="80"/>
        <v>-9.9999999999999992E-2</v>
      </c>
      <c r="AB57" s="141">
        <f t="shared" si="80"/>
        <v>-9.9999999999999992E-2</v>
      </c>
      <c r="AC57" s="141">
        <f t="shared" si="80"/>
        <v>-9.9999999999999992E-2</v>
      </c>
      <c r="AD57" s="141">
        <f t="shared" si="80"/>
        <v>-9.9999999999999992E-2</v>
      </c>
      <c r="AE57" s="141">
        <f t="shared" si="80"/>
        <v>-9.9999999999999992E-2</v>
      </c>
      <c r="AF57" s="141">
        <f t="shared" si="80"/>
        <v>-9.9999999999999992E-2</v>
      </c>
      <c r="AG57" s="141">
        <f t="shared" si="80"/>
        <v>-9.9999999999999992E-2</v>
      </c>
      <c r="AH57" s="141">
        <f t="shared" si="80"/>
        <v>-9.9999999999999992E-2</v>
      </c>
      <c r="AI57" s="141">
        <f t="shared" si="80"/>
        <v>-9.9999999999999992E-2</v>
      </c>
      <c r="AJ57" s="141">
        <f t="shared" si="80"/>
        <v>-9.9999999999999992E-2</v>
      </c>
      <c r="AK57" s="141">
        <f t="shared" si="80"/>
        <v>-9.9999999999999992E-2</v>
      </c>
      <c r="AL57" s="141">
        <f t="shared" si="80"/>
        <v>-9.9999999999999992E-2</v>
      </c>
      <c r="AM57" s="141">
        <f t="shared" si="80"/>
        <v>-9.9999999999999992E-2</v>
      </c>
      <c r="AN57" s="142"/>
      <c r="AO57" s="143">
        <f t="shared" ref="AO57" si="81">SUM(D57:O57)</f>
        <v>-0.625</v>
      </c>
      <c r="AP57" s="143">
        <f t="shared" ref="AP57" si="82">SUM(P57:AA57)</f>
        <v>-1.1916666666666667</v>
      </c>
      <c r="AQ57" s="143">
        <f t="shared" ref="AQ57" si="83">SUM(AB57:AM57)</f>
        <v>-1.2</v>
      </c>
    </row>
    <row r="58" spans="1:16370" hidden="1" outlineLevel="1">
      <c r="A58" s="70" t="s">
        <v>205</v>
      </c>
      <c r="B58" s="85" t="s">
        <v>78</v>
      </c>
      <c r="C58" s="72"/>
      <c r="D58" s="77">
        <f>-('OPEX+CAPEX'!E69+'OPEX+CAPEX'!E72)</f>
        <v>-107.14285714285714</v>
      </c>
      <c r="E58" s="77">
        <f>-('OPEX+CAPEX'!F69+'OPEX+CAPEX'!F72)</f>
        <v>-107.14285714285714</v>
      </c>
      <c r="F58" s="77">
        <f>-('OPEX+CAPEX'!G69+'OPEX+CAPEX'!G72)</f>
        <v>-107.14285714285714</v>
      </c>
      <c r="G58" s="77">
        <f>-('OPEX+CAPEX'!H69+'OPEX+CAPEX'!H72)</f>
        <v>-107.14285714285714</v>
      </c>
      <c r="H58" s="77">
        <f>-('OPEX+CAPEX'!I69+'OPEX+CAPEX'!I72)</f>
        <v>-107.14285714285714</v>
      </c>
      <c r="I58" s="77">
        <f>-('OPEX+CAPEX'!J69+'OPEX+CAPEX'!J72)</f>
        <v>-107.14285714285714</v>
      </c>
      <c r="J58" s="77">
        <f>-('OPEX+CAPEX'!K69+'OPEX+CAPEX'!K72)</f>
        <v>-107.14285714285714</v>
      </c>
      <c r="K58" s="77">
        <f>-('OPEX+CAPEX'!L69+'OPEX+CAPEX'!L72)</f>
        <v>-107.14285714285714</v>
      </c>
      <c r="L58" s="77">
        <f>-('OPEX+CAPEX'!M69+'OPEX+CAPEX'!M72)</f>
        <v>-156.72619047619048</v>
      </c>
      <c r="M58" s="77">
        <f>-('OPEX+CAPEX'!N69+'OPEX+CAPEX'!N72)</f>
        <v>-156.72619047619048</v>
      </c>
      <c r="N58" s="77">
        <f>-('OPEX+CAPEX'!O69+'OPEX+CAPEX'!O72)</f>
        <v>-156.72619047619048</v>
      </c>
      <c r="O58" s="77">
        <f>-('OPEX+CAPEX'!P69+'OPEX+CAPEX'!P72)</f>
        <v>-156.72619047619048</v>
      </c>
      <c r="P58" s="77">
        <f>-('OPEX+CAPEX'!Q69+'OPEX+CAPEX'!Q72)</f>
        <v>-156.72619047619048</v>
      </c>
      <c r="Q58" s="77">
        <f>-('OPEX+CAPEX'!R69+'OPEX+CAPEX'!R72)</f>
        <v>-156.72619047619048</v>
      </c>
      <c r="R58" s="77">
        <f>-('OPEX+CAPEX'!S69+'OPEX+CAPEX'!S72)</f>
        <v>-156.72619047619048</v>
      </c>
      <c r="S58" s="77">
        <f>-('OPEX+CAPEX'!T69+'OPEX+CAPEX'!T72)</f>
        <v>-156.72619047619048</v>
      </c>
      <c r="T58" s="77">
        <f>-('OPEX+CAPEX'!U69+'OPEX+CAPEX'!U72)</f>
        <v>-156.72619047619048</v>
      </c>
      <c r="U58" s="77">
        <f>-('OPEX+CAPEX'!V69+'OPEX+CAPEX'!V72)</f>
        <v>-156.72619047619048</v>
      </c>
      <c r="V58" s="77">
        <f>-('OPEX+CAPEX'!W69+'OPEX+CAPEX'!W72)</f>
        <v>-156.72619047619048</v>
      </c>
      <c r="W58" s="77">
        <f>-('OPEX+CAPEX'!X69+'OPEX+CAPEX'!X72)</f>
        <v>-156.72619047619048</v>
      </c>
      <c r="X58" s="77">
        <f>-('OPEX+CAPEX'!Y69+'OPEX+CAPEX'!Y72)</f>
        <v>-156.72619047619048</v>
      </c>
      <c r="Y58" s="77">
        <f>-('OPEX+CAPEX'!Z69+'OPEX+CAPEX'!Z72)</f>
        <v>-156.72619047619048</v>
      </c>
      <c r="Z58" s="77">
        <f>-('OPEX+CAPEX'!AA69+'OPEX+CAPEX'!AA72)</f>
        <v>-156.72619047619048</v>
      </c>
      <c r="AA58" s="77">
        <f>-('OPEX+CAPEX'!AB69+'OPEX+CAPEX'!AB72)</f>
        <v>-156.72619047619048</v>
      </c>
      <c r="AB58" s="77">
        <f>-('OPEX+CAPEX'!AC69+'OPEX+CAPEX'!AC72)</f>
        <v>-156.72619047619048</v>
      </c>
      <c r="AC58" s="77">
        <f>-('OPEX+CAPEX'!AD69+'OPEX+CAPEX'!AD72)</f>
        <v>-156.72619047619048</v>
      </c>
      <c r="AD58" s="77">
        <f>-('OPEX+CAPEX'!AE69+'OPEX+CAPEX'!AE72)</f>
        <v>-156.72619047619048</v>
      </c>
      <c r="AE58" s="77">
        <f>-('OPEX+CAPEX'!AF69+'OPEX+CAPEX'!AF72)</f>
        <v>-156.72619047619048</v>
      </c>
      <c r="AF58" s="77">
        <f>-('OPEX+CAPEX'!AG69+'OPEX+CAPEX'!AG72)</f>
        <v>-156.72619047619048</v>
      </c>
      <c r="AG58" s="77">
        <f>-('OPEX+CAPEX'!AH69+'OPEX+CAPEX'!AH72)</f>
        <v>-156.72619047619048</v>
      </c>
      <c r="AH58" s="77">
        <f>-('OPEX+CAPEX'!AI69+'OPEX+CAPEX'!AI72)</f>
        <v>-156.72619047619048</v>
      </c>
      <c r="AI58" s="77">
        <f>-('OPEX+CAPEX'!AJ69+'OPEX+CAPEX'!AJ72)</f>
        <v>-156.72619047619048</v>
      </c>
      <c r="AJ58" s="77">
        <f>-('OPEX+CAPEX'!AK69+'OPEX+CAPEX'!AK72)</f>
        <v>-156.72619047619048</v>
      </c>
      <c r="AK58" s="77">
        <f>-('OPEX+CAPEX'!AL69+'OPEX+CAPEX'!AL72)</f>
        <v>-156.72619047619048</v>
      </c>
      <c r="AL58" s="77">
        <f>-('OPEX+CAPEX'!AM69+'OPEX+CAPEX'!AM72)</f>
        <v>-156.72619047619048</v>
      </c>
      <c r="AM58" s="77">
        <f>-('OPEX+CAPEX'!AN69+'OPEX+CAPEX'!AN72)</f>
        <v>-156.72619047619048</v>
      </c>
      <c r="AN58" s="81"/>
      <c r="AO58" s="75">
        <f>SUM(D58:O58)</f>
        <v>-1484.0476190476188</v>
      </c>
      <c r="AP58" s="75">
        <f>SUM(P58:AA58)</f>
        <v>-1880.7142857142853</v>
      </c>
      <c r="AQ58" s="75">
        <f>SUM(AB58:AM58)</f>
        <v>-1880.7142857142853</v>
      </c>
    </row>
    <row r="59" spans="1:16370" hidden="1" outlineLevel="1">
      <c r="A59" s="70" t="s">
        <v>177</v>
      </c>
      <c r="B59" s="71" t="s">
        <v>78</v>
      </c>
      <c r="C59" s="72"/>
      <c r="D59" s="73">
        <f>D56+D54+D58+D57</f>
        <v>-106.80952380952381</v>
      </c>
      <c r="E59" s="73">
        <f t="shared" ref="E59:AM59" si="84">E56+E54+E58+E57</f>
        <v>-106.5095238095238</v>
      </c>
      <c r="F59" s="73">
        <f t="shared" si="84"/>
        <v>-106.5095238095238</v>
      </c>
      <c r="G59" s="73">
        <f t="shared" si="84"/>
        <v>-106.34285714285714</v>
      </c>
      <c r="H59" s="73">
        <f t="shared" si="84"/>
        <v>-106.18452380952381</v>
      </c>
      <c r="I59" s="73">
        <f t="shared" si="84"/>
        <v>-106.02619047619046</v>
      </c>
      <c r="J59" s="73">
        <f t="shared" si="84"/>
        <v>-105.86785714285715</v>
      </c>
      <c r="K59" s="73">
        <f t="shared" si="84"/>
        <v>-105.87619047619047</v>
      </c>
      <c r="L59" s="73">
        <f t="shared" si="84"/>
        <v>-155.29285714285714</v>
      </c>
      <c r="M59" s="73">
        <f t="shared" si="84"/>
        <v>-155.13452380952381</v>
      </c>
      <c r="N59" s="73">
        <f t="shared" si="84"/>
        <v>-155.14285714285717</v>
      </c>
      <c r="O59" s="73">
        <f t="shared" si="84"/>
        <v>-154.97619047619048</v>
      </c>
      <c r="P59" s="73">
        <f t="shared" si="84"/>
        <v>-154.81785714285715</v>
      </c>
      <c r="Q59" s="73">
        <f t="shared" si="84"/>
        <v>-154.82619047619048</v>
      </c>
      <c r="R59" s="73">
        <f t="shared" si="84"/>
        <v>-154.82619047619048</v>
      </c>
      <c r="S59" s="73">
        <f t="shared" si="84"/>
        <v>-154.82619047619048</v>
      </c>
      <c r="T59" s="73">
        <f t="shared" si="84"/>
        <v>-154.82619047619048</v>
      </c>
      <c r="U59" s="73">
        <f t="shared" si="84"/>
        <v>-154.82619047619048</v>
      </c>
      <c r="V59" s="73">
        <f t="shared" si="84"/>
        <v>-154.82619047619048</v>
      </c>
      <c r="W59" s="73">
        <f t="shared" si="84"/>
        <v>-154.82619047619048</v>
      </c>
      <c r="X59" s="73">
        <f t="shared" si="84"/>
        <v>-154.82619047619048</v>
      </c>
      <c r="Y59" s="73">
        <f t="shared" si="84"/>
        <v>-154.82619047619048</v>
      </c>
      <c r="Z59" s="73">
        <f t="shared" si="84"/>
        <v>-154.82619047619048</v>
      </c>
      <c r="AA59" s="73">
        <f t="shared" si="84"/>
        <v>-154.82619047619048</v>
      </c>
      <c r="AB59" s="73">
        <f t="shared" si="84"/>
        <v>-154.82619047619048</v>
      </c>
      <c r="AC59" s="73">
        <f t="shared" si="84"/>
        <v>-154.82619047619048</v>
      </c>
      <c r="AD59" s="73">
        <f t="shared" si="84"/>
        <v>-154.82619047619048</v>
      </c>
      <c r="AE59" s="73">
        <f t="shared" si="84"/>
        <v>-154.82619047619048</v>
      </c>
      <c r="AF59" s="73">
        <f t="shared" si="84"/>
        <v>-154.82619047619048</v>
      </c>
      <c r="AG59" s="73">
        <f t="shared" si="84"/>
        <v>-154.82619047619048</v>
      </c>
      <c r="AH59" s="73">
        <f t="shared" si="84"/>
        <v>-154.82619047619048</v>
      </c>
      <c r="AI59" s="73">
        <f t="shared" si="84"/>
        <v>-154.82619047619048</v>
      </c>
      <c r="AJ59" s="73">
        <f t="shared" si="84"/>
        <v>-154.82619047619048</v>
      </c>
      <c r="AK59" s="73">
        <f t="shared" si="84"/>
        <v>-154.82619047619048</v>
      </c>
      <c r="AL59" s="73">
        <f t="shared" si="84"/>
        <v>-154.82619047619048</v>
      </c>
      <c r="AM59" s="73">
        <f t="shared" si="84"/>
        <v>-154.82619047619048</v>
      </c>
      <c r="AN59" s="81"/>
      <c r="AO59" s="75">
        <f>SUM(D59:O59)</f>
        <v>-1470.6726190476193</v>
      </c>
      <c r="AP59" s="75">
        <f>SUM(P59:AA59)</f>
        <v>-1857.9059523809526</v>
      </c>
      <c r="AQ59" s="75">
        <f>SUM(AB59:AM59)</f>
        <v>-1857.9142857142858</v>
      </c>
    </row>
    <row r="60" spans="1:16370" collapsed="1"/>
    <row r="61" spans="1:16370" s="90" customFormat="1">
      <c r="A61" s="83" t="s">
        <v>209</v>
      </c>
      <c r="B61" s="66"/>
      <c r="C61" s="101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8"/>
      <c r="AO61" s="102"/>
      <c r="AP61" s="107"/>
      <c r="AQ61" s="107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08"/>
      <c r="CE61" s="108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08"/>
      <c r="CS61" s="108"/>
      <c r="CT61" s="108"/>
      <c r="CU61" s="108"/>
      <c r="CV61" s="108"/>
      <c r="CW61" s="108"/>
      <c r="CX61" s="108"/>
      <c r="CY61" s="108"/>
      <c r="CZ61" s="108"/>
      <c r="DA61" s="108"/>
      <c r="DB61" s="108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/>
      <c r="EB61" s="108"/>
      <c r="EC61" s="108"/>
      <c r="ED61" s="108"/>
      <c r="EE61" s="108"/>
      <c r="EF61" s="108"/>
      <c r="EG61" s="108"/>
      <c r="EH61" s="108"/>
      <c r="EI61" s="108"/>
      <c r="EJ61" s="108"/>
      <c r="EK61" s="108"/>
      <c r="EL61" s="108"/>
      <c r="EM61" s="108"/>
      <c r="EN61" s="108"/>
      <c r="EO61" s="108"/>
      <c r="EP61" s="108"/>
      <c r="EQ61" s="108"/>
      <c r="ER61" s="108"/>
      <c r="ES61" s="108"/>
      <c r="ET61" s="108"/>
      <c r="EU61" s="108"/>
      <c r="EV61" s="108"/>
      <c r="EW61" s="108"/>
      <c r="EX61" s="108"/>
      <c r="EY61" s="108"/>
      <c r="EZ61" s="108"/>
      <c r="FA61" s="108"/>
      <c r="FB61" s="108"/>
      <c r="FC61" s="108"/>
      <c r="FD61" s="108"/>
      <c r="FE61" s="108"/>
      <c r="FF61" s="108"/>
      <c r="FG61" s="108"/>
      <c r="FH61" s="108"/>
      <c r="FI61" s="108"/>
      <c r="FJ61" s="108"/>
      <c r="FK61" s="108"/>
      <c r="FL61" s="108"/>
      <c r="FM61" s="108"/>
      <c r="FN61" s="108"/>
      <c r="FO61" s="108"/>
      <c r="FP61" s="108"/>
      <c r="FQ61" s="108"/>
      <c r="FR61" s="108"/>
      <c r="FS61" s="108"/>
      <c r="FT61" s="108"/>
      <c r="FU61" s="108"/>
      <c r="FV61" s="108"/>
      <c r="FW61" s="108"/>
      <c r="FX61" s="108"/>
      <c r="FY61" s="108"/>
      <c r="FZ61" s="108"/>
      <c r="GA61" s="108"/>
      <c r="GB61" s="108"/>
      <c r="GC61" s="108"/>
      <c r="GD61" s="108"/>
      <c r="GE61" s="108"/>
      <c r="GF61" s="108"/>
      <c r="GG61" s="108"/>
      <c r="GH61" s="108"/>
      <c r="GI61" s="108"/>
      <c r="GJ61" s="108"/>
      <c r="GK61" s="108"/>
      <c r="GL61" s="108"/>
      <c r="GM61" s="108"/>
      <c r="GN61" s="108"/>
      <c r="GO61" s="108"/>
      <c r="GP61" s="108"/>
      <c r="GQ61" s="108"/>
      <c r="GR61" s="108"/>
      <c r="GS61" s="108"/>
      <c r="GT61" s="108"/>
      <c r="GU61" s="108"/>
      <c r="GV61" s="108"/>
      <c r="GW61" s="108"/>
      <c r="GX61" s="108"/>
      <c r="GY61" s="108"/>
      <c r="GZ61" s="108"/>
      <c r="HA61" s="108"/>
      <c r="HB61" s="108"/>
      <c r="HC61" s="108"/>
      <c r="HD61" s="108"/>
      <c r="HE61" s="108"/>
      <c r="HF61" s="108"/>
      <c r="HG61" s="108"/>
      <c r="HH61" s="108"/>
      <c r="HI61" s="108"/>
      <c r="HJ61" s="108"/>
      <c r="HK61" s="108"/>
      <c r="HL61" s="108"/>
      <c r="HM61" s="108"/>
      <c r="HN61" s="108"/>
      <c r="HO61" s="108"/>
      <c r="HP61" s="108"/>
      <c r="HQ61" s="108"/>
      <c r="HR61" s="108"/>
      <c r="HS61" s="108"/>
      <c r="HT61" s="108"/>
      <c r="HU61" s="108"/>
      <c r="HV61" s="108"/>
      <c r="HW61" s="108"/>
      <c r="HX61" s="108"/>
      <c r="HY61" s="108"/>
      <c r="HZ61" s="108"/>
      <c r="IA61" s="108"/>
      <c r="IB61" s="108"/>
      <c r="IC61" s="108"/>
      <c r="ID61" s="108"/>
      <c r="IE61" s="108"/>
      <c r="IF61" s="108"/>
      <c r="IG61" s="108"/>
      <c r="IH61" s="108"/>
      <c r="II61" s="108"/>
      <c r="IJ61" s="108"/>
      <c r="IK61" s="108"/>
      <c r="IL61" s="108"/>
      <c r="IM61" s="108"/>
      <c r="IN61" s="108"/>
      <c r="IO61" s="108"/>
      <c r="IP61" s="108"/>
      <c r="IQ61" s="108"/>
      <c r="IR61" s="108"/>
      <c r="IS61" s="108"/>
      <c r="IT61" s="108"/>
      <c r="IU61" s="108"/>
      <c r="IV61" s="108"/>
      <c r="IW61" s="108"/>
      <c r="IX61" s="108"/>
      <c r="IY61" s="108"/>
      <c r="IZ61" s="108"/>
      <c r="JA61" s="108"/>
      <c r="JB61" s="108"/>
      <c r="JC61" s="108"/>
      <c r="JD61" s="108"/>
      <c r="JE61" s="108"/>
      <c r="JF61" s="108"/>
      <c r="JG61" s="108"/>
      <c r="JH61" s="108"/>
      <c r="JI61" s="108"/>
      <c r="JJ61" s="108"/>
      <c r="JK61" s="108"/>
      <c r="JL61" s="108"/>
      <c r="JM61" s="108"/>
      <c r="JN61" s="108"/>
      <c r="JO61" s="108"/>
      <c r="JP61" s="108"/>
      <c r="JQ61" s="108"/>
      <c r="JR61" s="108"/>
      <c r="JS61" s="108"/>
      <c r="JT61" s="108"/>
      <c r="JU61" s="108"/>
      <c r="JV61" s="108"/>
      <c r="JW61" s="108"/>
      <c r="JX61" s="108"/>
      <c r="JY61" s="108"/>
      <c r="JZ61" s="108"/>
      <c r="KA61" s="108"/>
      <c r="KB61" s="108"/>
      <c r="KC61" s="108"/>
      <c r="KD61" s="108"/>
      <c r="KE61" s="108"/>
      <c r="KF61" s="108"/>
      <c r="KG61" s="108"/>
      <c r="KH61" s="108"/>
      <c r="KI61" s="108"/>
      <c r="KJ61" s="108"/>
      <c r="KK61" s="108"/>
      <c r="KL61" s="108"/>
      <c r="KM61" s="108"/>
      <c r="KN61" s="108"/>
      <c r="KO61" s="108"/>
      <c r="KP61" s="108"/>
      <c r="KQ61" s="108"/>
      <c r="KR61" s="108"/>
      <c r="KS61" s="108"/>
      <c r="KT61" s="108"/>
      <c r="KU61" s="108"/>
      <c r="KV61" s="108"/>
      <c r="KW61" s="108"/>
      <c r="KX61" s="108"/>
      <c r="KY61" s="108"/>
      <c r="KZ61" s="108"/>
      <c r="LA61" s="108"/>
      <c r="LB61" s="108"/>
      <c r="LC61" s="108"/>
      <c r="LD61" s="108"/>
      <c r="LE61" s="108"/>
      <c r="LF61" s="108"/>
      <c r="LG61" s="108"/>
      <c r="LH61" s="108"/>
      <c r="LI61" s="108"/>
      <c r="LJ61" s="108"/>
      <c r="LK61" s="108"/>
      <c r="LL61" s="108"/>
      <c r="LM61" s="108"/>
      <c r="LN61" s="108"/>
      <c r="LO61" s="108"/>
      <c r="LP61" s="108"/>
      <c r="LQ61" s="108"/>
      <c r="LR61" s="108"/>
      <c r="LS61" s="108"/>
      <c r="LT61" s="108"/>
      <c r="LU61" s="108"/>
      <c r="LV61" s="108"/>
      <c r="LW61" s="108"/>
      <c r="LX61" s="108"/>
      <c r="LY61" s="108"/>
      <c r="LZ61" s="108"/>
      <c r="MA61" s="108"/>
      <c r="MB61" s="108"/>
      <c r="MC61" s="108"/>
      <c r="MD61" s="108"/>
      <c r="ME61" s="108"/>
      <c r="MF61" s="108"/>
      <c r="MG61" s="108"/>
      <c r="MH61" s="108"/>
      <c r="MI61" s="108"/>
      <c r="MJ61" s="108"/>
      <c r="MK61" s="108"/>
      <c r="ML61" s="108"/>
      <c r="MM61" s="108"/>
      <c r="MN61" s="108"/>
      <c r="MO61" s="108"/>
      <c r="MP61" s="108"/>
      <c r="MQ61" s="108"/>
      <c r="MR61" s="108"/>
      <c r="MS61" s="108"/>
      <c r="MT61" s="108"/>
      <c r="MU61" s="108"/>
      <c r="MV61" s="108"/>
      <c r="MW61" s="108"/>
      <c r="MX61" s="108"/>
      <c r="MY61" s="108"/>
      <c r="MZ61" s="108"/>
      <c r="NA61" s="108"/>
      <c r="NB61" s="108"/>
      <c r="NC61" s="108"/>
      <c r="ND61" s="108"/>
      <c r="NE61" s="108"/>
      <c r="NF61" s="108"/>
      <c r="NG61" s="108"/>
      <c r="NH61" s="108"/>
      <c r="NI61" s="108"/>
      <c r="NJ61" s="108"/>
      <c r="NK61" s="108"/>
      <c r="NL61" s="108"/>
      <c r="NM61" s="108"/>
      <c r="NN61" s="108"/>
      <c r="NO61" s="108"/>
      <c r="NP61" s="108"/>
      <c r="NQ61" s="108"/>
      <c r="NR61" s="108"/>
      <c r="NS61" s="108"/>
      <c r="NT61" s="108"/>
      <c r="NU61" s="108"/>
      <c r="NV61" s="108"/>
      <c r="NW61" s="108"/>
      <c r="NX61" s="108"/>
      <c r="NY61" s="108"/>
      <c r="NZ61" s="108"/>
      <c r="OA61" s="108"/>
      <c r="OB61" s="108"/>
      <c r="OC61" s="108"/>
      <c r="OD61" s="108"/>
      <c r="OE61" s="108"/>
      <c r="OF61" s="108"/>
      <c r="OG61" s="108"/>
      <c r="OH61" s="108"/>
      <c r="OI61" s="108"/>
      <c r="OJ61" s="108"/>
      <c r="OK61" s="108"/>
      <c r="OL61" s="108"/>
      <c r="OM61" s="108"/>
      <c r="ON61" s="108"/>
      <c r="OO61" s="108"/>
      <c r="OP61" s="108"/>
      <c r="OQ61" s="108"/>
      <c r="OR61" s="108"/>
      <c r="OS61" s="108"/>
      <c r="OT61" s="108"/>
      <c r="OU61" s="108"/>
      <c r="OV61" s="108"/>
      <c r="OW61" s="108"/>
      <c r="OX61" s="108"/>
      <c r="OY61" s="108"/>
      <c r="OZ61" s="108"/>
      <c r="PA61" s="108"/>
      <c r="PB61" s="108"/>
      <c r="PC61" s="108"/>
      <c r="PD61" s="108"/>
      <c r="PE61" s="108"/>
      <c r="PF61" s="108"/>
      <c r="PG61" s="108"/>
      <c r="PH61" s="108"/>
      <c r="PI61" s="108"/>
      <c r="PJ61" s="108"/>
      <c r="PK61" s="108"/>
      <c r="PL61" s="108"/>
      <c r="PM61" s="108"/>
      <c r="PN61" s="108"/>
      <c r="PO61" s="108"/>
      <c r="PP61" s="108"/>
      <c r="PQ61" s="108"/>
      <c r="PR61" s="108"/>
      <c r="PS61" s="108"/>
      <c r="PT61" s="108"/>
      <c r="PU61" s="108"/>
      <c r="PV61" s="108"/>
      <c r="PW61" s="108"/>
      <c r="PX61" s="108"/>
      <c r="PY61" s="108"/>
      <c r="PZ61" s="108"/>
      <c r="QA61" s="108"/>
      <c r="QB61" s="108"/>
      <c r="QC61" s="108"/>
      <c r="QD61" s="108"/>
      <c r="QE61" s="108"/>
      <c r="QF61" s="108"/>
      <c r="QG61" s="108"/>
      <c r="QH61" s="108"/>
      <c r="QI61" s="108"/>
      <c r="QJ61" s="108"/>
      <c r="QK61" s="108"/>
      <c r="QL61" s="108"/>
      <c r="QM61" s="108"/>
      <c r="QN61" s="108"/>
      <c r="QO61" s="108"/>
      <c r="QP61" s="108"/>
      <c r="QQ61" s="108"/>
      <c r="QR61" s="108"/>
      <c r="QS61" s="108"/>
      <c r="QT61" s="108"/>
      <c r="QU61" s="108"/>
      <c r="QV61" s="108"/>
      <c r="QW61" s="108"/>
      <c r="QX61" s="108"/>
      <c r="QY61" s="108"/>
      <c r="QZ61" s="108"/>
      <c r="RA61" s="108"/>
      <c r="RB61" s="108"/>
      <c r="RC61" s="108"/>
      <c r="RD61" s="108"/>
      <c r="RE61" s="108"/>
      <c r="RF61" s="108"/>
      <c r="RG61" s="108"/>
      <c r="RH61" s="108"/>
      <c r="RI61" s="108"/>
      <c r="RJ61" s="108"/>
      <c r="RK61" s="108"/>
      <c r="RL61" s="108"/>
      <c r="RM61" s="108"/>
      <c r="RN61" s="108"/>
      <c r="RO61" s="108"/>
      <c r="RP61" s="108"/>
      <c r="RQ61" s="108"/>
      <c r="RR61" s="108"/>
      <c r="RS61" s="108"/>
      <c r="RT61" s="108"/>
      <c r="RU61" s="108"/>
      <c r="RV61" s="108"/>
      <c r="RW61" s="108"/>
      <c r="RX61" s="108"/>
      <c r="RY61" s="108"/>
      <c r="RZ61" s="108"/>
      <c r="SA61" s="108"/>
      <c r="SB61" s="108"/>
      <c r="SC61" s="108"/>
      <c r="SD61" s="108"/>
      <c r="SE61" s="108"/>
      <c r="SF61" s="108"/>
      <c r="SG61" s="108"/>
      <c r="SH61" s="108"/>
      <c r="SI61" s="108"/>
      <c r="SJ61" s="108"/>
      <c r="SK61" s="108"/>
      <c r="SL61" s="108"/>
      <c r="SM61" s="108"/>
      <c r="SN61" s="108"/>
      <c r="SO61" s="108"/>
      <c r="SP61" s="108"/>
      <c r="SQ61" s="108"/>
      <c r="SR61" s="108"/>
      <c r="SS61" s="108"/>
      <c r="ST61" s="108"/>
      <c r="SU61" s="108"/>
      <c r="SV61" s="108"/>
      <c r="SW61" s="108"/>
      <c r="SX61" s="108"/>
      <c r="SY61" s="108"/>
      <c r="SZ61" s="108"/>
      <c r="TA61" s="108"/>
      <c r="TB61" s="108"/>
      <c r="TC61" s="108"/>
      <c r="TD61" s="108"/>
      <c r="TE61" s="108"/>
      <c r="TF61" s="108"/>
      <c r="TG61" s="108"/>
      <c r="TH61" s="108"/>
      <c r="TI61" s="108"/>
      <c r="TJ61" s="108"/>
      <c r="TK61" s="108"/>
      <c r="TL61" s="108"/>
      <c r="TM61" s="108"/>
      <c r="TN61" s="108"/>
      <c r="TO61" s="108"/>
      <c r="TP61" s="108"/>
      <c r="TQ61" s="108"/>
      <c r="TR61" s="108"/>
      <c r="TS61" s="108"/>
      <c r="TT61" s="108"/>
      <c r="TU61" s="108"/>
      <c r="TV61" s="108"/>
      <c r="TW61" s="108"/>
      <c r="TX61" s="108"/>
      <c r="TY61" s="108"/>
      <c r="TZ61" s="108"/>
      <c r="UA61" s="108"/>
      <c r="UB61" s="108"/>
      <c r="UC61" s="108"/>
      <c r="UD61" s="108"/>
      <c r="UE61" s="108"/>
      <c r="UF61" s="108"/>
      <c r="UG61" s="108"/>
      <c r="UH61" s="108"/>
      <c r="UI61" s="108"/>
      <c r="UJ61" s="108"/>
      <c r="UK61" s="108"/>
      <c r="UL61" s="108"/>
      <c r="UM61" s="108"/>
      <c r="UN61" s="108"/>
      <c r="UO61" s="108"/>
      <c r="UP61" s="108"/>
      <c r="UQ61" s="108"/>
      <c r="UR61" s="108"/>
      <c r="US61" s="108"/>
      <c r="UT61" s="108"/>
      <c r="UU61" s="108"/>
      <c r="UV61" s="108"/>
      <c r="UW61" s="108"/>
      <c r="UX61" s="108"/>
      <c r="UY61" s="108"/>
      <c r="UZ61" s="108"/>
      <c r="VA61" s="108"/>
      <c r="VB61" s="108"/>
      <c r="VC61" s="108"/>
      <c r="VD61" s="108"/>
      <c r="VE61" s="108"/>
      <c r="VF61" s="108"/>
      <c r="VG61" s="108"/>
      <c r="VH61" s="108"/>
      <c r="VI61" s="108"/>
      <c r="VJ61" s="108"/>
      <c r="VK61" s="108"/>
      <c r="VL61" s="108"/>
      <c r="VM61" s="108"/>
      <c r="VN61" s="108"/>
      <c r="VO61" s="108"/>
      <c r="VP61" s="108"/>
      <c r="VQ61" s="108"/>
      <c r="VR61" s="108"/>
      <c r="VS61" s="108"/>
      <c r="VT61" s="108"/>
      <c r="VU61" s="108"/>
      <c r="VV61" s="108"/>
      <c r="VW61" s="108"/>
      <c r="VX61" s="108"/>
      <c r="VY61" s="108"/>
      <c r="VZ61" s="108"/>
      <c r="WA61" s="108"/>
      <c r="WB61" s="108"/>
      <c r="WC61" s="108"/>
      <c r="WD61" s="108"/>
      <c r="WE61" s="108"/>
      <c r="WF61" s="108"/>
      <c r="WG61" s="108"/>
      <c r="WH61" s="108"/>
      <c r="WI61" s="108"/>
      <c r="WJ61" s="108"/>
      <c r="WK61" s="108"/>
      <c r="WL61" s="108"/>
      <c r="WM61" s="108"/>
      <c r="WN61" s="108"/>
      <c r="WO61" s="108"/>
      <c r="WP61" s="108"/>
      <c r="WQ61" s="108"/>
      <c r="WR61" s="108"/>
      <c r="WS61" s="108"/>
      <c r="WT61" s="108"/>
      <c r="WU61" s="108"/>
      <c r="WV61" s="108"/>
      <c r="WW61" s="108"/>
      <c r="WX61" s="108"/>
      <c r="WY61" s="108"/>
      <c r="WZ61" s="108"/>
      <c r="XA61" s="108"/>
      <c r="XB61" s="108"/>
      <c r="XC61" s="108"/>
      <c r="XD61" s="108"/>
      <c r="XE61" s="108"/>
      <c r="XF61" s="108"/>
      <c r="XG61" s="108"/>
      <c r="XH61" s="108"/>
      <c r="XI61" s="108"/>
      <c r="XJ61" s="108"/>
      <c r="XK61" s="108"/>
      <c r="XL61" s="108"/>
      <c r="XM61" s="108"/>
      <c r="XN61" s="108"/>
      <c r="XO61" s="108"/>
      <c r="XP61" s="108"/>
      <c r="XQ61" s="108"/>
      <c r="XR61" s="108"/>
      <c r="XS61" s="108"/>
      <c r="XT61" s="108"/>
      <c r="XU61" s="108"/>
      <c r="XV61" s="108"/>
      <c r="XW61" s="108"/>
      <c r="XX61" s="108"/>
      <c r="XY61" s="108"/>
      <c r="XZ61" s="108"/>
      <c r="YA61" s="108"/>
      <c r="YB61" s="108"/>
      <c r="YC61" s="108"/>
      <c r="YD61" s="108"/>
      <c r="YE61" s="108"/>
      <c r="YF61" s="108"/>
      <c r="YG61" s="108"/>
      <c r="YH61" s="108"/>
      <c r="YI61" s="108"/>
      <c r="YJ61" s="108"/>
      <c r="YK61" s="108"/>
      <c r="YL61" s="108"/>
      <c r="YM61" s="108"/>
      <c r="YN61" s="108"/>
      <c r="YO61" s="108"/>
      <c r="YP61" s="108"/>
      <c r="YQ61" s="108"/>
      <c r="YR61" s="108"/>
      <c r="YS61" s="108"/>
      <c r="YT61" s="108"/>
      <c r="YU61" s="108"/>
      <c r="YV61" s="108"/>
      <c r="YW61" s="108"/>
      <c r="YX61" s="108"/>
      <c r="YY61" s="108"/>
      <c r="YZ61" s="108"/>
      <c r="ZA61" s="108"/>
      <c r="ZB61" s="108"/>
      <c r="ZC61" s="108"/>
      <c r="ZD61" s="108"/>
      <c r="ZE61" s="108"/>
      <c r="ZF61" s="108"/>
      <c r="ZG61" s="108"/>
      <c r="ZH61" s="108"/>
      <c r="ZI61" s="108"/>
      <c r="ZJ61" s="108"/>
      <c r="ZK61" s="108"/>
      <c r="ZL61" s="108"/>
      <c r="ZM61" s="108"/>
      <c r="ZN61" s="108"/>
      <c r="ZO61" s="108"/>
      <c r="ZP61" s="108"/>
      <c r="ZQ61" s="108"/>
      <c r="ZR61" s="108"/>
      <c r="ZS61" s="108"/>
      <c r="ZT61" s="108"/>
      <c r="ZU61" s="108"/>
      <c r="ZV61" s="108"/>
      <c r="ZW61" s="108"/>
      <c r="ZX61" s="108"/>
      <c r="ZY61" s="108"/>
      <c r="ZZ61" s="108"/>
      <c r="AAA61" s="108"/>
      <c r="AAB61" s="108"/>
      <c r="AAC61" s="108"/>
      <c r="AAD61" s="108"/>
      <c r="AAE61" s="108"/>
      <c r="AAF61" s="108"/>
      <c r="AAG61" s="108"/>
      <c r="AAH61" s="108"/>
      <c r="AAI61" s="108"/>
      <c r="AAJ61" s="108"/>
      <c r="AAK61" s="108"/>
      <c r="AAL61" s="108"/>
      <c r="AAM61" s="108"/>
      <c r="AAN61" s="108"/>
      <c r="AAO61" s="108"/>
      <c r="AAP61" s="108"/>
      <c r="AAQ61" s="108"/>
      <c r="AAR61" s="108"/>
      <c r="AAS61" s="108"/>
      <c r="AAT61" s="108"/>
      <c r="AAU61" s="108"/>
      <c r="AAV61" s="108"/>
      <c r="AAW61" s="108"/>
      <c r="AAX61" s="108"/>
      <c r="AAY61" s="108"/>
      <c r="AAZ61" s="108"/>
      <c r="ABA61" s="108"/>
      <c r="ABB61" s="108"/>
      <c r="ABC61" s="108"/>
      <c r="ABD61" s="108"/>
      <c r="ABE61" s="108"/>
      <c r="ABF61" s="108"/>
      <c r="ABG61" s="108"/>
      <c r="ABH61" s="108"/>
      <c r="ABI61" s="108"/>
      <c r="ABJ61" s="108"/>
      <c r="ABK61" s="108"/>
      <c r="ABL61" s="108"/>
      <c r="ABM61" s="108"/>
      <c r="ABN61" s="108"/>
      <c r="ABO61" s="108"/>
      <c r="ABP61" s="108"/>
      <c r="ABQ61" s="108"/>
      <c r="ABR61" s="108"/>
      <c r="ABS61" s="108"/>
      <c r="ABT61" s="108"/>
      <c r="ABU61" s="108"/>
      <c r="ABV61" s="108"/>
      <c r="ABW61" s="108"/>
      <c r="ABX61" s="108"/>
      <c r="ABY61" s="108"/>
      <c r="ABZ61" s="108"/>
      <c r="ACA61" s="108"/>
      <c r="ACB61" s="108"/>
      <c r="ACC61" s="108"/>
      <c r="ACD61" s="108"/>
      <c r="ACE61" s="108"/>
      <c r="ACF61" s="108"/>
      <c r="ACG61" s="108"/>
      <c r="ACH61" s="108"/>
      <c r="ACI61" s="108"/>
      <c r="ACJ61" s="108"/>
      <c r="ACK61" s="108"/>
      <c r="ACL61" s="108"/>
      <c r="ACM61" s="108"/>
      <c r="ACN61" s="108"/>
      <c r="ACO61" s="108"/>
      <c r="ACP61" s="108"/>
      <c r="ACQ61" s="108"/>
      <c r="ACR61" s="108"/>
      <c r="ACS61" s="108"/>
      <c r="ACT61" s="108"/>
      <c r="ACU61" s="108"/>
      <c r="ACV61" s="108"/>
      <c r="ACW61" s="108"/>
      <c r="ACX61" s="108"/>
      <c r="ACY61" s="108"/>
      <c r="ACZ61" s="108"/>
      <c r="ADA61" s="108"/>
      <c r="ADB61" s="108"/>
      <c r="ADC61" s="108"/>
      <c r="ADD61" s="108"/>
      <c r="ADE61" s="108"/>
      <c r="ADF61" s="108"/>
      <c r="ADG61" s="108"/>
      <c r="ADH61" s="108"/>
      <c r="ADI61" s="108"/>
      <c r="ADJ61" s="108"/>
      <c r="ADK61" s="108"/>
      <c r="ADL61" s="108"/>
      <c r="ADM61" s="108"/>
      <c r="ADN61" s="108"/>
      <c r="ADO61" s="108"/>
      <c r="ADP61" s="108"/>
      <c r="ADQ61" s="108"/>
      <c r="ADR61" s="108"/>
      <c r="ADS61" s="108"/>
      <c r="ADT61" s="108"/>
      <c r="ADU61" s="108"/>
      <c r="ADV61" s="108"/>
      <c r="ADW61" s="108"/>
      <c r="ADX61" s="108"/>
      <c r="ADY61" s="108"/>
      <c r="ADZ61" s="108"/>
      <c r="AEA61" s="108"/>
      <c r="AEB61" s="108"/>
      <c r="AEC61" s="108"/>
      <c r="AED61" s="108"/>
      <c r="AEE61" s="108"/>
      <c r="AEF61" s="108"/>
      <c r="AEG61" s="108"/>
      <c r="AEH61" s="108"/>
      <c r="AEI61" s="108"/>
      <c r="AEJ61" s="108"/>
      <c r="AEK61" s="108"/>
      <c r="AEL61" s="108"/>
      <c r="AEM61" s="108"/>
      <c r="AEN61" s="108"/>
      <c r="AEO61" s="108"/>
      <c r="AEP61" s="108"/>
      <c r="AEQ61" s="108"/>
      <c r="AER61" s="108"/>
      <c r="AES61" s="108"/>
      <c r="AET61" s="108"/>
      <c r="AEU61" s="108"/>
      <c r="AEV61" s="108"/>
      <c r="AEW61" s="108"/>
      <c r="AEX61" s="108"/>
      <c r="AEY61" s="108"/>
      <c r="AEZ61" s="108"/>
      <c r="AFA61" s="108"/>
      <c r="AFB61" s="108"/>
      <c r="AFC61" s="108"/>
      <c r="AFD61" s="108"/>
      <c r="AFE61" s="108"/>
      <c r="AFF61" s="108"/>
      <c r="AFG61" s="108"/>
      <c r="AFH61" s="108"/>
      <c r="AFI61" s="108"/>
      <c r="AFJ61" s="108"/>
      <c r="AFK61" s="108"/>
      <c r="AFL61" s="108"/>
      <c r="AFM61" s="108"/>
      <c r="AFN61" s="108"/>
      <c r="AFO61" s="108"/>
      <c r="AFP61" s="108"/>
      <c r="AFQ61" s="108"/>
      <c r="AFR61" s="108"/>
      <c r="AFS61" s="108"/>
      <c r="AFT61" s="108"/>
      <c r="AFU61" s="108"/>
      <c r="AFV61" s="108"/>
      <c r="AFW61" s="108"/>
      <c r="AFX61" s="108"/>
      <c r="AFY61" s="108"/>
      <c r="AFZ61" s="108"/>
      <c r="AGA61" s="108"/>
      <c r="AGB61" s="108"/>
      <c r="AGC61" s="108"/>
      <c r="AGD61" s="108"/>
      <c r="AGE61" s="108"/>
      <c r="AGF61" s="108"/>
      <c r="AGG61" s="108"/>
      <c r="AGH61" s="108"/>
      <c r="AGI61" s="108"/>
      <c r="AGJ61" s="108"/>
      <c r="AGK61" s="108"/>
      <c r="AGL61" s="108"/>
      <c r="AGM61" s="108"/>
      <c r="AGN61" s="108"/>
      <c r="AGO61" s="108"/>
      <c r="AGP61" s="108"/>
      <c r="AGQ61" s="108"/>
      <c r="AGR61" s="108"/>
      <c r="AGS61" s="108"/>
      <c r="AGT61" s="108"/>
      <c r="AGU61" s="108"/>
      <c r="AGV61" s="108"/>
      <c r="AGW61" s="108"/>
      <c r="AGX61" s="108"/>
      <c r="AGY61" s="108"/>
      <c r="AGZ61" s="108"/>
      <c r="AHA61" s="108"/>
      <c r="AHB61" s="108"/>
      <c r="AHC61" s="108"/>
      <c r="AHD61" s="108"/>
      <c r="AHE61" s="108"/>
      <c r="AHF61" s="108"/>
      <c r="AHG61" s="108"/>
      <c r="AHH61" s="108"/>
      <c r="AHI61" s="108"/>
      <c r="AHJ61" s="108"/>
      <c r="AHK61" s="108"/>
      <c r="AHL61" s="108"/>
      <c r="AHM61" s="108"/>
      <c r="AHN61" s="108"/>
      <c r="AHO61" s="108"/>
      <c r="AHP61" s="108"/>
      <c r="AHQ61" s="108"/>
      <c r="AHR61" s="108"/>
      <c r="AHS61" s="108"/>
      <c r="AHT61" s="108"/>
      <c r="AHU61" s="108"/>
      <c r="AHV61" s="108"/>
      <c r="AHW61" s="108"/>
      <c r="AHX61" s="108"/>
      <c r="AHY61" s="108"/>
      <c r="AHZ61" s="108"/>
      <c r="AIA61" s="108"/>
      <c r="AIB61" s="108"/>
      <c r="AIC61" s="108"/>
      <c r="AID61" s="108"/>
      <c r="AIE61" s="108"/>
      <c r="AIF61" s="108"/>
      <c r="AIG61" s="108"/>
      <c r="AIH61" s="108"/>
      <c r="AII61" s="108"/>
      <c r="AIJ61" s="108"/>
      <c r="AIK61" s="108"/>
      <c r="AIL61" s="108"/>
      <c r="AIM61" s="108"/>
      <c r="AIN61" s="108"/>
      <c r="AIO61" s="108"/>
      <c r="AIP61" s="108"/>
      <c r="AIQ61" s="108"/>
      <c r="AIR61" s="108"/>
      <c r="AIS61" s="108"/>
      <c r="AIT61" s="108"/>
      <c r="AIU61" s="108"/>
      <c r="AIV61" s="108"/>
      <c r="AIW61" s="108"/>
      <c r="AIX61" s="108"/>
      <c r="AIY61" s="108"/>
      <c r="AIZ61" s="108"/>
      <c r="AJA61" s="108"/>
      <c r="AJB61" s="108"/>
      <c r="AJC61" s="108"/>
      <c r="AJD61" s="108"/>
      <c r="AJE61" s="108"/>
      <c r="AJF61" s="108"/>
      <c r="AJG61" s="108"/>
      <c r="AJH61" s="108"/>
      <c r="AJI61" s="108"/>
      <c r="AJJ61" s="108"/>
      <c r="AJK61" s="108"/>
      <c r="AJL61" s="108"/>
      <c r="AJM61" s="108"/>
      <c r="AJN61" s="108"/>
      <c r="AJO61" s="108"/>
      <c r="AJP61" s="108"/>
      <c r="AJQ61" s="108"/>
      <c r="AJR61" s="108"/>
      <c r="AJS61" s="108"/>
      <c r="AJT61" s="108"/>
      <c r="AJU61" s="108"/>
      <c r="AJV61" s="108"/>
      <c r="AJW61" s="108"/>
      <c r="AJX61" s="108"/>
      <c r="AJY61" s="108"/>
      <c r="AJZ61" s="108"/>
      <c r="AKA61" s="108"/>
      <c r="AKB61" s="108"/>
      <c r="AKC61" s="108"/>
      <c r="AKD61" s="108"/>
      <c r="AKE61" s="108"/>
      <c r="AKF61" s="108"/>
      <c r="AKG61" s="108"/>
      <c r="AKH61" s="108"/>
      <c r="AKI61" s="108"/>
      <c r="AKJ61" s="108"/>
      <c r="AKK61" s="108"/>
      <c r="AKL61" s="108"/>
      <c r="AKM61" s="108"/>
      <c r="AKN61" s="108"/>
      <c r="AKO61" s="108"/>
      <c r="AKP61" s="108"/>
      <c r="AKQ61" s="108"/>
      <c r="AKR61" s="108"/>
      <c r="AKS61" s="108"/>
      <c r="AKT61" s="108"/>
      <c r="AKU61" s="108"/>
      <c r="AKV61" s="108"/>
      <c r="AKW61" s="108"/>
      <c r="AKX61" s="108"/>
      <c r="AKY61" s="108"/>
      <c r="AKZ61" s="108"/>
      <c r="ALA61" s="108"/>
      <c r="ALB61" s="108"/>
      <c r="ALC61" s="108"/>
      <c r="ALD61" s="108"/>
      <c r="ALE61" s="108"/>
      <c r="ALF61" s="108"/>
      <c r="ALG61" s="108"/>
      <c r="ALH61" s="108"/>
      <c r="ALI61" s="108"/>
      <c r="ALJ61" s="108"/>
      <c r="ALK61" s="108"/>
      <c r="ALL61" s="108"/>
      <c r="ALM61" s="108"/>
      <c r="ALN61" s="108"/>
      <c r="ALO61" s="108"/>
      <c r="ALP61" s="108"/>
      <c r="ALQ61" s="108"/>
      <c r="ALR61" s="108"/>
      <c r="ALS61" s="108"/>
      <c r="ALT61" s="108"/>
      <c r="ALU61" s="108"/>
      <c r="ALV61" s="108"/>
      <c r="ALW61" s="108"/>
      <c r="ALX61" s="108"/>
      <c r="ALY61" s="108"/>
      <c r="ALZ61" s="108"/>
      <c r="AMA61" s="108"/>
      <c r="AMB61" s="108"/>
      <c r="AMC61" s="108"/>
      <c r="AMD61" s="108"/>
      <c r="AME61" s="108"/>
      <c r="AMF61" s="108"/>
      <c r="AMG61" s="108"/>
      <c r="AMH61" s="108"/>
      <c r="AMI61" s="108"/>
      <c r="AMJ61" s="108"/>
      <c r="AMK61" s="108"/>
      <c r="AML61" s="108"/>
      <c r="AMM61" s="108"/>
      <c r="AMN61" s="108"/>
      <c r="AMO61" s="108"/>
      <c r="AMP61" s="108"/>
      <c r="AMQ61" s="108"/>
      <c r="AMR61" s="108"/>
      <c r="AMS61" s="108"/>
      <c r="AMT61" s="108"/>
      <c r="AMU61" s="108"/>
      <c r="AMV61" s="108"/>
      <c r="AMW61" s="108"/>
      <c r="AMX61" s="108"/>
      <c r="AMY61" s="108"/>
      <c r="AMZ61" s="108"/>
      <c r="ANA61" s="108"/>
      <c r="ANB61" s="108"/>
      <c r="ANC61" s="108"/>
      <c r="AND61" s="108"/>
      <c r="ANE61" s="108"/>
      <c r="ANF61" s="108"/>
      <c r="ANG61" s="108"/>
      <c r="ANH61" s="108"/>
      <c r="ANI61" s="108"/>
      <c r="ANJ61" s="108"/>
      <c r="ANK61" s="108"/>
      <c r="ANL61" s="108"/>
      <c r="ANM61" s="108"/>
      <c r="ANN61" s="108"/>
      <c r="ANO61" s="108"/>
      <c r="ANP61" s="108"/>
      <c r="ANQ61" s="108"/>
      <c r="ANR61" s="108"/>
      <c r="ANS61" s="108"/>
      <c r="ANT61" s="108"/>
      <c r="ANU61" s="108"/>
      <c r="ANV61" s="108"/>
      <c r="ANW61" s="108"/>
      <c r="ANX61" s="108"/>
      <c r="ANY61" s="108"/>
      <c r="ANZ61" s="108"/>
      <c r="AOA61" s="108"/>
      <c r="AOB61" s="108"/>
      <c r="AOC61" s="108"/>
      <c r="AOD61" s="108"/>
      <c r="AOE61" s="108"/>
      <c r="AOF61" s="108"/>
      <c r="AOG61" s="108"/>
      <c r="AOH61" s="108"/>
      <c r="AOI61" s="108"/>
      <c r="AOJ61" s="108"/>
      <c r="AOK61" s="108"/>
      <c r="AOL61" s="108"/>
      <c r="AOM61" s="108"/>
      <c r="AON61" s="108"/>
      <c r="AOO61" s="108"/>
      <c r="AOP61" s="108"/>
      <c r="AOQ61" s="108"/>
      <c r="AOR61" s="108"/>
      <c r="AOS61" s="108"/>
      <c r="AOT61" s="108"/>
      <c r="AOU61" s="108"/>
      <c r="AOV61" s="108"/>
      <c r="AOW61" s="108"/>
      <c r="AOX61" s="108"/>
      <c r="AOY61" s="108"/>
      <c r="AOZ61" s="108"/>
      <c r="APA61" s="108"/>
      <c r="APB61" s="108"/>
      <c r="APC61" s="108"/>
      <c r="APD61" s="108"/>
      <c r="APE61" s="108"/>
      <c r="APF61" s="108"/>
      <c r="APG61" s="108"/>
      <c r="APH61" s="108"/>
      <c r="API61" s="108"/>
      <c r="APJ61" s="108"/>
      <c r="APK61" s="108"/>
      <c r="APL61" s="108"/>
      <c r="APM61" s="108"/>
      <c r="APN61" s="108"/>
      <c r="APO61" s="108"/>
      <c r="APP61" s="108"/>
      <c r="APQ61" s="108"/>
      <c r="APR61" s="108"/>
      <c r="APS61" s="108"/>
      <c r="APT61" s="108"/>
      <c r="APU61" s="108"/>
      <c r="APV61" s="108"/>
      <c r="APW61" s="108"/>
      <c r="APX61" s="108"/>
      <c r="APY61" s="108"/>
      <c r="APZ61" s="108"/>
      <c r="AQA61" s="108"/>
      <c r="AQB61" s="108"/>
      <c r="AQC61" s="108"/>
      <c r="AQD61" s="108"/>
      <c r="AQE61" s="108"/>
      <c r="AQF61" s="108"/>
      <c r="AQG61" s="108"/>
      <c r="AQH61" s="108"/>
      <c r="AQI61" s="108"/>
      <c r="AQJ61" s="108"/>
      <c r="AQK61" s="108"/>
      <c r="AQL61" s="108"/>
      <c r="AQM61" s="108"/>
      <c r="AQN61" s="108"/>
      <c r="AQO61" s="108"/>
      <c r="AQP61" s="108"/>
      <c r="AQQ61" s="108"/>
      <c r="AQR61" s="108"/>
      <c r="AQS61" s="108"/>
      <c r="AQT61" s="108"/>
      <c r="AQU61" s="108"/>
      <c r="AQV61" s="108"/>
      <c r="AQW61" s="108"/>
      <c r="AQX61" s="108"/>
      <c r="AQY61" s="108"/>
      <c r="AQZ61" s="108"/>
      <c r="ARA61" s="108"/>
      <c r="ARB61" s="108"/>
      <c r="ARC61" s="108"/>
      <c r="ARD61" s="108"/>
      <c r="ARE61" s="108"/>
      <c r="ARF61" s="108"/>
      <c r="ARG61" s="108"/>
      <c r="ARH61" s="108"/>
      <c r="ARI61" s="108"/>
      <c r="ARJ61" s="108"/>
      <c r="ARK61" s="108"/>
      <c r="ARL61" s="108"/>
      <c r="ARM61" s="108"/>
      <c r="ARN61" s="108"/>
      <c r="ARO61" s="108"/>
      <c r="ARP61" s="108"/>
      <c r="ARQ61" s="108"/>
      <c r="ARR61" s="108"/>
      <c r="ARS61" s="108"/>
      <c r="ART61" s="108"/>
      <c r="ARU61" s="108"/>
      <c r="ARV61" s="108"/>
      <c r="ARW61" s="108"/>
      <c r="ARX61" s="108"/>
      <c r="ARY61" s="108"/>
      <c r="ARZ61" s="108"/>
      <c r="ASA61" s="108"/>
      <c r="ASB61" s="108"/>
      <c r="ASC61" s="108"/>
      <c r="ASD61" s="108"/>
      <c r="ASE61" s="108"/>
      <c r="ASF61" s="108"/>
      <c r="ASG61" s="108"/>
      <c r="ASH61" s="108"/>
      <c r="ASI61" s="108"/>
      <c r="ASJ61" s="108"/>
      <c r="ASK61" s="108"/>
      <c r="ASL61" s="108"/>
      <c r="ASM61" s="108"/>
      <c r="ASN61" s="108"/>
      <c r="ASO61" s="108"/>
      <c r="ASP61" s="108"/>
      <c r="ASQ61" s="108"/>
      <c r="ASR61" s="108"/>
      <c r="ASS61" s="108"/>
      <c r="AST61" s="108"/>
      <c r="ASU61" s="108"/>
      <c r="ASV61" s="108"/>
      <c r="ASW61" s="108"/>
      <c r="ASX61" s="108"/>
      <c r="ASY61" s="108"/>
      <c r="ASZ61" s="108"/>
      <c r="ATA61" s="108"/>
      <c r="ATB61" s="108"/>
      <c r="ATC61" s="108"/>
      <c r="ATD61" s="108"/>
      <c r="ATE61" s="108"/>
      <c r="ATF61" s="108"/>
      <c r="ATG61" s="108"/>
      <c r="ATH61" s="108"/>
      <c r="ATI61" s="108"/>
      <c r="ATJ61" s="108"/>
      <c r="ATK61" s="108"/>
      <c r="ATL61" s="108"/>
      <c r="ATM61" s="108"/>
      <c r="ATN61" s="108"/>
      <c r="ATO61" s="108"/>
      <c r="ATP61" s="108"/>
      <c r="ATQ61" s="108"/>
      <c r="ATR61" s="108"/>
      <c r="ATS61" s="108"/>
      <c r="ATT61" s="108"/>
      <c r="ATU61" s="108"/>
      <c r="ATV61" s="108"/>
      <c r="ATW61" s="108"/>
      <c r="ATX61" s="108"/>
      <c r="ATY61" s="108"/>
      <c r="ATZ61" s="108"/>
      <c r="AUA61" s="108"/>
      <c r="AUB61" s="108"/>
      <c r="AUC61" s="108"/>
      <c r="AUD61" s="108"/>
      <c r="AUE61" s="108"/>
      <c r="AUF61" s="108"/>
      <c r="AUG61" s="108"/>
      <c r="AUH61" s="108"/>
      <c r="AUI61" s="108"/>
      <c r="AUJ61" s="108"/>
      <c r="AUK61" s="108"/>
      <c r="AUL61" s="108"/>
      <c r="AUM61" s="108"/>
      <c r="AUN61" s="108"/>
      <c r="AUO61" s="108"/>
      <c r="AUP61" s="108"/>
      <c r="AUQ61" s="108"/>
      <c r="AUR61" s="108"/>
      <c r="AUS61" s="108"/>
      <c r="AUT61" s="108"/>
      <c r="AUU61" s="108"/>
      <c r="AUV61" s="108"/>
      <c r="AUW61" s="108"/>
      <c r="AUX61" s="108"/>
      <c r="AUY61" s="108"/>
      <c r="AUZ61" s="108"/>
      <c r="AVA61" s="108"/>
      <c r="AVB61" s="108"/>
      <c r="AVC61" s="108"/>
      <c r="AVD61" s="108"/>
      <c r="AVE61" s="108"/>
      <c r="AVF61" s="108"/>
      <c r="AVG61" s="108"/>
      <c r="AVH61" s="108"/>
      <c r="AVI61" s="108"/>
      <c r="AVJ61" s="108"/>
      <c r="AVK61" s="108"/>
      <c r="AVL61" s="108"/>
      <c r="AVM61" s="108"/>
      <c r="AVN61" s="108"/>
      <c r="AVO61" s="108"/>
      <c r="AVP61" s="108"/>
      <c r="AVQ61" s="108"/>
      <c r="AVR61" s="108"/>
      <c r="AVS61" s="108"/>
      <c r="AVT61" s="108"/>
      <c r="AVU61" s="108"/>
      <c r="AVV61" s="108"/>
      <c r="AVW61" s="108"/>
      <c r="AVX61" s="108"/>
      <c r="AVY61" s="108"/>
      <c r="AVZ61" s="108"/>
      <c r="AWA61" s="108"/>
      <c r="AWB61" s="108"/>
      <c r="AWC61" s="108"/>
      <c r="AWD61" s="108"/>
      <c r="AWE61" s="108"/>
      <c r="AWF61" s="108"/>
      <c r="AWG61" s="108"/>
      <c r="AWH61" s="108"/>
      <c r="AWI61" s="108"/>
      <c r="AWJ61" s="108"/>
      <c r="AWK61" s="108"/>
      <c r="AWL61" s="108"/>
      <c r="AWM61" s="108"/>
      <c r="AWN61" s="108"/>
      <c r="AWO61" s="108"/>
      <c r="AWP61" s="108"/>
      <c r="AWQ61" s="108"/>
      <c r="AWR61" s="108"/>
      <c r="AWS61" s="108"/>
      <c r="AWT61" s="108"/>
      <c r="AWU61" s="108"/>
      <c r="AWV61" s="108"/>
      <c r="AWW61" s="108"/>
      <c r="AWX61" s="108"/>
      <c r="AWY61" s="108"/>
      <c r="AWZ61" s="108"/>
      <c r="AXA61" s="108"/>
      <c r="AXB61" s="108"/>
      <c r="AXC61" s="108"/>
      <c r="AXD61" s="108"/>
      <c r="AXE61" s="108"/>
      <c r="AXF61" s="108"/>
      <c r="AXG61" s="108"/>
      <c r="AXH61" s="108"/>
      <c r="AXI61" s="108"/>
      <c r="AXJ61" s="108"/>
      <c r="AXK61" s="108"/>
      <c r="AXL61" s="108"/>
      <c r="AXM61" s="108"/>
      <c r="AXN61" s="108"/>
      <c r="AXO61" s="108"/>
      <c r="AXP61" s="108"/>
      <c r="AXQ61" s="108"/>
      <c r="AXR61" s="108"/>
      <c r="AXS61" s="108"/>
      <c r="AXT61" s="108"/>
      <c r="AXU61" s="108"/>
      <c r="AXV61" s="108"/>
      <c r="AXW61" s="108"/>
      <c r="AXX61" s="108"/>
      <c r="AXY61" s="108"/>
      <c r="AXZ61" s="108"/>
      <c r="AYA61" s="108"/>
      <c r="AYB61" s="108"/>
      <c r="AYC61" s="108"/>
      <c r="AYD61" s="108"/>
      <c r="AYE61" s="108"/>
      <c r="AYF61" s="108"/>
      <c r="AYG61" s="108"/>
      <c r="AYH61" s="108"/>
      <c r="AYI61" s="108"/>
      <c r="AYJ61" s="108"/>
      <c r="AYK61" s="108"/>
      <c r="AYL61" s="108"/>
      <c r="AYM61" s="108"/>
      <c r="AYN61" s="108"/>
      <c r="AYO61" s="108"/>
      <c r="AYP61" s="108"/>
      <c r="AYQ61" s="108"/>
      <c r="AYR61" s="108"/>
      <c r="AYS61" s="108"/>
      <c r="AYT61" s="108"/>
      <c r="AYU61" s="108"/>
      <c r="AYV61" s="108"/>
      <c r="AYW61" s="108"/>
      <c r="AYX61" s="108"/>
      <c r="AYY61" s="108"/>
      <c r="AYZ61" s="108"/>
      <c r="AZA61" s="108"/>
      <c r="AZB61" s="108"/>
      <c r="AZC61" s="108"/>
      <c r="AZD61" s="108"/>
      <c r="AZE61" s="108"/>
      <c r="AZF61" s="108"/>
      <c r="AZG61" s="108"/>
      <c r="AZH61" s="108"/>
      <c r="AZI61" s="108"/>
      <c r="AZJ61" s="108"/>
      <c r="AZK61" s="108"/>
      <c r="AZL61" s="108"/>
      <c r="AZM61" s="108"/>
      <c r="AZN61" s="108"/>
      <c r="AZO61" s="108"/>
      <c r="AZP61" s="108"/>
      <c r="AZQ61" s="108"/>
      <c r="AZR61" s="108"/>
      <c r="AZS61" s="108"/>
      <c r="AZT61" s="108"/>
      <c r="AZU61" s="108"/>
      <c r="AZV61" s="108"/>
      <c r="AZW61" s="108"/>
      <c r="AZX61" s="108"/>
      <c r="AZY61" s="108"/>
      <c r="AZZ61" s="108"/>
      <c r="BAA61" s="108"/>
      <c r="BAB61" s="108"/>
      <c r="BAC61" s="108"/>
      <c r="BAD61" s="108"/>
      <c r="BAE61" s="108"/>
      <c r="BAF61" s="108"/>
      <c r="BAG61" s="108"/>
      <c r="BAH61" s="108"/>
      <c r="BAI61" s="108"/>
      <c r="BAJ61" s="108"/>
      <c r="BAK61" s="108"/>
      <c r="BAL61" s="108"/>
      <c r="BAM61" s="108"/>
      <c r="BAN61" s="108"/>
      <c r="BAO61" s="108"/>
      <c r="BAP61" s="108"/>
      <c r="BAQ61" s="108"/>
      <c r="BAR61" s="108"/>
      <c r="BAS61" s="108"/>
      <c r="BAT61" s="108"/>
      <c r="BAU61" s="108"/>
      <c r="BAV61" s="108"/>
      <c r="BAW61" s="108"/>
      <c r="BAX61" s="108"/>
      <c r="BAY61" s="108"/>
      <c r="BAZ61" s="108"/>
      <c r="BBA61" s="108"/>
      <c r="BBB61" s="108"/>
      <c r="BBC61" s="108"/>
      <c r="BBD61" s="108"/>
      <c r="BBE61" s="108"/>
      <c r="BBF61" s="108"/>
      <c r="BBG61" s="108"/>
      <c r="BBH61" s="108"/>
      <c r="BBI61" s="108"/>
      <c r="BBJ61" s="108"/>
      <c r="BBK61" s="108"/>
      <c r="BBL61" s="108"/>
      <c r="BBM61" s="108"/>
      <c r="BBN61" s="108"/>
      <c r="BBO61" s="108"/>
      <c r="BBP61" s="108"/>
      <c r="BBQ61" s="108"/>
      <c r="BBR61" s="108"/>
      <c r="BBS61" s="108"/>
      <c r="BBT61" s="108"/>
      <c r="BBU61" s="108"/>
      <c r="BBV61" s="108"/>
      <c r="BBW61" s="108"/>
      <c r="BBX61" s="108"/>
      <c r="BBY61" s="108"/>
      <c r="BBZ61" s="108"/>
      <c r="BCA61" s="108"/>
      <c r="BCB61" s="108"/>
      <c r="BCC61" s="108"/>
      <c r="BCD61" s="108"/>
      <c r="BCE61" s="108"/>
      <c r="BCF61" s="108"/>
      <c r="BCG61" s="108"/>
      <c r="BCH61" s="108"/>
      <c r="BCI61" s="108"/>
      <c r="BCJ61" s="108"/>
      <c r="BCK61" s="108"/>
      <c r="BCL61" s="108"/>
      <c r="BCM61" s="108"/>
      <c r="BCN61" s="108"/>
      <c r="BCO61" s="108"/>
      <c r="BCP61" s="108"/>
      <c r="BCQ61" s="108"/>
      <c r="BCR61" s="108"/>
      <c r="BCS61" s="108"/>
      <c r="BCT61" s="108"/>
      <c r="BCU61" s="108"/>
      <c r="BCV61" s="108"/>
      <c r="BCW61" s="108"/>
      <c r="BCX61" s="108"/>
      <c r="BCY61" s="108"/>
      <c r="BCZ61" s="108"/>
      <c r="BDA61" s="108"/>
      <c r="BDB61" s="108"/>
      <c r="BDC61" s="108"/>
      <c r="BDD61" s="108"/>
      <c r="BDE61" s="108"/>
      <c r="BDF61" s="108"/>
      <c r="BDG61" s="108"/>
      <c r="BDH61" s="108"/>
      <c r="BDI61" s="108"/>
      <c r="BDJ61" s="108"/>
      <c r="BDK61" s="108"/>
      <c r="BDL61" s="108"/>
      <c r="BDM61" s="108"/>
      <c r="BDN61" s="108"/>
      <c r="BDO61" s="108"/>
      <c r="BDP61" s="108"/>
      <c r="BDQ61" s="108"/>
      <c r="BDR61" s="108"/>
      <c r="BDS61" s="108"/>
      <c r="BDT61" s="108"/>
      <c r="BDU61" s="108"/>
      <c r="BDV61" s="108"/>
      <c r="BDW61" s="108"/>
      <c r="BDX61" s="108"/>
      <c r="BDY61" s="108"/>
      <c r="BDZ61" s="108"/>
      <c r="BEA61" s="108"/>
      <c r="BEB61" s="108"/>
      <c r="BEC61" s="108"/>
      <c r="BED61" s="108"/>
      <c r="BEE61" s="108"/>
      <c r="BEF61" s="108"/>
      <c r="BEG61" s="108"/>
      <c r="BEH61" s="108"/>
      <c r="BEI61" s="108"/>
      <c r="BEJ61" s="108"/>
      <c r="BEK61" s="108"/>
      <c r="BEL61" s="108"/>
      <c r="BEM61" s="108"/>
      <c r="BEN61" s="108"/>
      <c r="BEO61" s="108"/>
      <c r="BEP61" s="108"/>
      <c r="BEQ61" s="108"/>
      <c r="BER61" s="108"/>
      <c r="BES61" s="108"/>
      <c r="BET61" s="108"/>
      <c r="BEU61" s="108"/>
      <c r="BEV61" s="108"/>
      <c r="BEW61" s="108"/>
      <c r="BEX61" s="108"/>
      <c r="BEY61" s="108"/>
      <c r="BEZ61" s="108"/>
      <c r="BFA61" s="108"/>
      <c r="BFB61" s="108"/>
      <c r="BFC61" s="108"/>
      <c r="BFD61" s="108"/>
      <c r="BFE61" s="108"/>
      <c r="BFF61" s="108"/>
      <c r="BFG61" s="108"/>
      <c r="BFH61" s="108"/>
      <c r="BFI61" s="108"/>
      <c r="BFJ61" s="108"/>
      <c r="BFK61" s="108"/>
      <c r="BFL61" s="108"/>
      <c r="BFM61" s="108"/>
      <c r="BFN61" s="108"/>
      <c r="BFO61" s="108"/>
      <c r="BFP61" s="108"/>
      <c r="BFQ61" s="108"/>
      <c r="BFR61" s="108"/>
      <c r="BFS61" s="108"/>
      <c r="BFT61" s="108"/>
      <c r="BFU61" s="108"/>
      <c r="BFV61" s="108"/>
      <c r="BFW61" s="108"/>
      <c r="BFX61" s="108"/>
      <c r="BFY61" s="108"/>
      <c r="BFZ61" s="108"/>
      <c r="BGA61" s="108"/>
      <c r="BGB61" s="108"/>
      <c r="BGC61" s="108"/>
      <c r="BGD61" s="108"/>
      <c r="BGE61" s="108"/>
      <c r="BGF61" s="108"/>
      <c r="BGG61" s="108"/>
      <c r="BGH61" s="108"/>
      <c r="BGI61" s="108"/>
      <c r="BGJ61" s="108"/>
      <c r="BGK61" s="108"/>
      <c r="BGL61" s="108"/>
      <c r="BGM61" s="108"/>
      <c r="BGN61" s="108"/>
      <c r="BGO61" s="108"/>
      <c r="BGP61" s="108"/>
      <c r="BGQ61" s="108"/>
      <c r="BGR61" s="108"/>
      <c r="BGS61" s="108"/>
      <c r="BGT61" s="108"/>
      <c r="BGU61" s="108"/>
      <c r="BGV61" s="108"/>
      <c r="BGW61" s="108"/>
      <c r="BGX61" s="108"/>
      <c r="BGY61" s="108"/>
      <c r="BGZ61" s="108"/>
      <c r="BHA61" s="108"/>
      <c r="BHB61" s="108"/>
      <c r="BHC61" s="108"/>
      <c r="BHD61" s="108"/>
      <c r="BHE61" s="108"/>
      <c r="BHF61" s="108"/>
      <c r="BHG61" s="108"/>
      <c r="BHH61" s="108"/>
      <c r="BHI61" s="108"/>
      <c r="BHJ61" s="108"/>
      <c r="BHK61" s="108"/>
      <c r="BHL61" s="108"/>
      <c r="BHM61" s="108"/>
      <c r="BHN61" s="108"/>
      <c r="BHO61" s="108"/>
      <c r="BHP61" s="108"/>
      <c r="BHQ61" s="108"/>
      <c r="BHR61" s="108"/>
      <c r="BHS61" s="108"/>
      <c r="BHT61" s="108"/>
      <c r="BHU61" s="108"/>
      <c r="BHV61" s="108"/>
      <c r="BHW61" s="108"/>
      <c r="BHX61" s="108"/>
      <c r="BHY61" s="108"/>
      <c r="BHZ61" s="108"/>
      <c r="BIA61" s="108"/>
      <c r="BIB61" s="108"/>
      <c r="BIC61" s="108"/>
      <c r="BID61" s="108"/>
      <c r="BIE61" s="108"/>
      <c r="BIF61" s="108"/>
      <c r="BIG61" s="108"/>
      <c r="BIH61" s="108"/>
      <c r="BII61" s="108"/>
      <c r="BIJ61" s="108"/>
      <c r="BIK61" s="108"/>
      <c r="BIL61" s="108"/>
      <c r="BIM61" s="108"/>
      <c r="BIN61" s="108"/>
      <c r="BIO61" s="108"/>
      <c r="BIP61" s="108"/>
      <c r="BIQ61" s="108"/>
      <c r="BIR61" s="108"/>
      <c r="BIS61" s="108"/>
      <c r="BIT61" s="108"/>
      <c r="BIU61" s="108"/>
      <c r="BIV61" s="108"/>
      <c r="BIW61" s="108"/>
      <c r="BIX61" s="108"/>
      <c r="BIY61" s="108"/>
      <c r="BIZ61" s="108"/>
      <c r="BJA61" s="108"/>
      <c r="BJB61" s="108"/>
      <c r="BJC61" s="108"/>
      <c r="BJD61" s="108"/>
      <c r="BJE61" s="108"/>
      <c r="BJF61" s="108"/>
      <c r="BJG61" s="108"/>
      <c r="BJH61" s="108"/>
      <c r="BJI61" s="108"/>
      <c r="BJJ61" s="108"/>
      <c r="BJK61" s="108"/>
      <c r="BJL61" s="108"/>
      <c r="BJM61" s="108"/>
      <c r="BJN61" s="108"/>
      <c r="BJO61" s="108"/>
      <c r="BJP61" s="108"/>
      <c r="BJQ61" s="108"/>
      <c r="BJR61" s="108"/>
      <c r="BJS61" s="108"/>
      <c r="BJT61" s="108"/>
      <c r="BJU61" s="108"/>
      <c r="BJV61" s="108"/>
      <c r="BJW61" s="108"/>
      <c r="BJX61" s="108"/>
      <c r="BJY61" s="108"/>
      <c r="BJZ61" s="108"/>
      <c r="BKA61" s="108"/>
      <c r="BKB61" s="108"/>
      <c r="BKC61" s="108"/>
      <c r="BKD61" s="108"/>
      <c r="BKE61" s="108"/>
      <c r="BKF61" s="108"/>
      <c r="BKG61" s="108"/>
      <c r="BKH61" s="108"/>
      <c r="BKI61" s="108"/>
      <c r="BKJ61" s="108"/>
      <c r="BKK61" s="108"/>
      <c r="BKL61" s="108"/>
      <c r="BKM61" s="108"/>
      <c r="BKN61" s="108"/>
      <c r="BKO61" s="108"/>
      <c r="BKP61" s="108"/>
      <c r="BKQ61" s="108"/>
      <c r="BKR61" s="108"/>
      <c r="BKS61" s="108"/>
      <c r="BKT61" s="108"/>
      <c r="BKU61" s="108"/>
      <c r="BKV61" s="108"/>
      <c r="BKW61" s="108"/>
      <c r="BKX61" s="108"/>
      <c r="BKY61" s="108"/>
      <c r="BKZ61" s="108"/>
      <c r="BLA61" s="108"/>
      <c r="BLB61" s="108"/>
      <c r="BLC61" s="108"/>
      <c r="BLD61" s="108"/>
      <c r="BLE61" s="108"/>
      <c r="BLF61" s="108"/>
      <c r="BLG61" s="108"/>
      <c r="BLH61" s="108"/>
      <c r="BLI61" s="108"/>
      <c r="BLJ61" s="108"/>
      <c r="BLK61" s="108"/>
      <c r="BLL61" s="108"/>
      <c r="BLM61" s="108"/>
      <c r="BLN61" s="108"/>
      <c r="BLO61" s="108"/>
      <c r="BLP61" s="108"/>
      <c r="BLQ61" s="108"/>
      <c r="BLR61" s="108"/>
      <c r="BLS61" s="108"/>
      <c r="BLT61" s="108"/>
      <c r="BLU61" s="108"/>
      <c r="BLV61" s="108"/>
      <c r="BLW61" s="108"/>
      <c r="BLX61" s="108"/>
      <c r="BLY61" s="108"/>
      <c r="BLZ61" s="108"/>
      <c r="BMA61" s="108"/>
      <c r="BMB61" s="108"/>
      <c r="BMC61" s="108"/>
      <c r="BMD61" s="108"/>
      <c r="BME61" s="108"/>
      <c r="BMF61" s="108"/>
      <c r="BMG61" s="108"/>
      <c r="BMH61" s="108"/>
      <c r="BMI61" s="108"/>
      <c r="BMJ61" s="108"/>
      <c r="BMK61" s="108"/>
      <c r="BML61" s="108"/>
      <c r="BMM61" s="108"/>
      <c r="BMN61" s="108"/>
      <c r="BMO61" s="108"/>
      <c r="BMP61" s="108"/>
      <c r="BMQ61" s="108"/>
      <c r="BMR61" s="108"/>
      <c r="BMS61" s="108"/>
      <c r="BMT61" s="108"/>
      <c r="BMU61" s="108"/>
      <c r="BMV61" s="108"/>
      <c r="BMW61" s="108"/>
      <c r="BMX61" s="108"/>
      <c r="BMY61" s="108"/>
      <c r="BMZ61" s="108"/>
      <c r="BNA61" s="108"/>
      <c r="BNB61" s="108"/>
      <c r="BNC61" s="108"/>
      <c r="BND61" s="108"/>
      <c r="BNE61" s="108"/>
      <c r="BNF61" s="108"/>
      <c r="BNG61" s="108"/>
      <c r="BNH61" s="108"/>
      <c r="BNI61" s="108"/>
      <c r="BNJ61" s="108"/>
      <c r="BNK61" s="108"/>
      <c r="BNL61" s="108"/>
      <c r="BNM61" s="108"/>
      <c r="BNN61" s="108"/>
      <c r="BNO61" s="108"/>
      <c r="BNP61" s="108"/>
      <c r="BNQ61" s="108"/>
      <c r="BNR61" s="108"/>
      <c r="BNS61" s="108"/>
      <c r="BNT61" s="108"/>
      <c r="BNU61" s="108"/>
      <c r="BNV61" s="108"/>
      <c r="BNW61" s="108"/>
      <c r="BNX61" s="108"/>
      <c r="BNY61" s="108"/>
      <c r="BNZ61" s="108"/>
      <c r="BOA61" s="108"/>
      <c r="BOB61" s="108"/>
      <c r="BOC61" s="108"/>
      <c r="BOD61" s="108"/>
      <c r="BOE61" s="108"/>
      <c r="BOF61" s="108"/>
      <c r="BOG61" s="108"/>
      <c r="BOH61" s="108"/>
      <c r="BOI61" s="108"/>
      <c r="BOJ61" s="108"/>
      <c r="BOK61" s="108"/>
      <c r="BOL61" s="108"/>
      <c r="BOM61" s="108"/>
      <c r="BON61" s="108"/>
      <c r="BOO61" s="108"/>
      <c r="BOP61" s="108"/>
      <c r="BOQ61" s="108"/>
      <c r="BOR61" s="108"/>
      <c r="BOS61" s="108"/>
      <c r="BOT61" s="108"/>
      <c r="BOU61" s="108"/>
      <c r="BOV61" s="108"/>
      <c r="BOW61" s="108"/>
      <c r="BOX61" s="108"/>
      <c r="BOY61" s="108"/>
      <c r="BOZ61" s="108"/>
      <c r="BPA61" s="108"/>
      <c r="BPB61" s="108"/>
      <c r="BPC61" s="108"/>
      <c r="BPD61" s="108"/>
      <c r="BPE61" s="108"/>
      <c r="BPF61" s="108"/>
      <c r="BPG61" s="108"/>
      <c r="BPH61" s="108"/>
      <c r="BPI61" s="108"/>
      <c r="BPJ61" s="108"/>
      <c r="BPK61" s="108"/>
      <c r="BPL61" s="108"/>
      <c r="BPM61" s="108"/>
      <c r="BPN61" s="108"/>
      <c r="BPO61" s="108"/>
      <c r="BPP61" s="108"/>
      <c r="BPQ61" s="108"/>
      <c r="BPR61" s="108"/>
      <c r="BPS61" s="108"/>
      <c r="BPT61" s="108"/>
      <c r="BPU61" s="108"/>
      <c r="BPV61" s="108"/>
      <c r="BPW61" s="108"/>
      <c r="BPX61" s="108"/>
      <c r="BPY61" s="108"/>
      <c r="BPZ61" s="108"/>
      <c r="BQA61" s="108"/>
      <c r="BQB61" s="108"/>
      <c r="BQC61" s="108"/>
      <c r="BQD61" s="108"/>
      <c r="BQE61" s="108"/>
      <c r="BQF61" s="108"/>
      <c r="BQG61" s="108"/>
      <c r="BQH61" s="108"/>
      <c r="BQI61" s="108"/>
      <c r="BQJ61" s="108"/>
      <c r="BQK61" s="108"/>
      <c r="BQL61" s="108"/>
      <c r="BQM61" s="108"/>
      <c r="BQN61" s="108"/>
      <c r="BQO61" s="108"/>
      <c r="BQP61" s="108"/>
      <c r="BQQ61" s="108"/>
      <c r="BQR61" s="108"/>
      <c r="BQS61" s="108"/>
      <c r="BQT61" s="108"/>
      <c r="BQU61" s="108"/>
      <c r="BQV61" s="108"/>
      <c r="BQW61" s="108"/>
      <c r="BQX61" s="108"/>
      <c r="BQY61" s="108"/>
      <c r="BQZ61" s="108"/>
      <c r="BRA61" s="108"/>
      <c r="BRB61" s="108"/>
      <c r="BRC61" s="108"/>
      <c r="BRD61" s="108"/>
      <c r="BRE61" s="108"/>
      <c r="BRF61" s="108"/>
      <c r="BRG61" s="108"/>
      <c r="BRH61" s="108"/>
      <c r="BRI61" s="108"/>
      <c r="BRJ61" s="108"/>
      <c r="BRK61" s="108"/>
      <c r="BRL61" s="108"/>
      <c r="BRM61" s="108"/>
      <c r="BRN61" s="108"/>
      <c r="BRO61" s="108"/>
      <c r="BRP61" s="108"/>
      <c r="BRQ61" s="108"/>
      <c r="BRR61" s="108"/>
      <c r="BRS61" s="108"/>
      <c r="BRT61" s="108"/>
      <c r="BRU61" s="108"/>
      <c r="BRV61" s="108"/>
      <c r="BRW61" s="108"/>
      <c r="BRX61" s="108"/>
      <c r="BRY61" s="108"/>
      <c r="BRZ61" s="108"/>
      <c r="BSA61" s="108"/>
      <c r="BSB61" s="108"/>
      <c r="BSC61" s="108"/>
      <c r="BSD61" s="108"/>
      <c r="BSE61" s="108"/>
      <c r="BSF61" s="108"/>
      <c r="BSG61" s="108"/>
      <c r="BSH61" s="108"/>
      <c r="BSI61" s="108"/>
      <c r="BSJ61" s="108"/>
      <c r="BSK61" s="108"/>
      <c r="BSL61" s="108"/>
      <c r="BSM61" s="108"/>
      <c r="BSN61" s="108"/>
      <c r="BSO61" s="108"/>
      <c r="BSP61" s="108"/>
      <c r="BSQ61" s="108"/>
      <c r="BSR61" s="108"/>
      <c r="BSS61" s="108"/>
      <c r="BST61" s="108"/>
      <c r="BSU61" s="108"/>
      <c r="BSV61" s="108"/>
      <c r="BSW61" s="108"/>
      <c r="BSX61" s="108"/>
      <c r="BSY61" s="108"/>
      <c r="BSZ61" s="108"/>
      <c r="BTA61" s="108"/>
      <c r="BTB61" s="108"/>
      <c r="BTC61" s="108"/>
      <c r="BTD61" s="108"/>
      <c r="BTE61" s="108"/>
      <c r="BTF61" s="108"/>
      <c r="BTG61" s="108"/>
      <c r="BTH61" s="108"/>
      <c r="BTI61" s="108"/>
      <c r="BTJ61" s="108"/>
      <c r="BTK61" s="108"/>
      <c r="BTL61" s="108"/>
      <c r="BTM61" s="108"/>
      <c r="BTN61" s="108"/>
      <c r="BTO61" s="108"/>
      <c r="BTP61" s="108"/>
      <c r="BTQ61" s="108"/>
      <c r="BTR61" s="108"/>
      <c r="BTS61" s="108"/>
      <c r="BTT61" s="108"/>
      <c r="BTU61" s="108"/>
      <c r="BTV61" s="108"/>
      <c r="BTW61" s="108"/>
      <c r="BTX61" s="108"/>
      <c r="BTY61" s="108"/>
      <c r="BTZ61" s="108"/>
      <c r="BUA61" s="108"/>
      <c r="BUB61" s="108"/>
      <c r="BUC61" s="108"/>
      <c r="BUD61" s="108"/>
      <c r="BUE61" s="108"/>
      <c r="BUF61" s="108"/>
      <c r="BUG61" s="108"/>
      <c r="BUH61" s="108"/>
      <c r="BUI61" s="108"/>
      <c r="BUJ61" s="108"/>
      <c r="BUK61" s="108"/>
      <c r="BUL61" s="108"/>
      <c r="BUM61" s="108"/>
      <c r="BUN61" s="108"/>
      <c r="BUO61" s="108"/>
      <c r="BUP61" s="108"/>
      <c r="BUQ61" s="108"/>
      <c r="BUR61" s="108"/>
      <c r="BUS61" s="108"/>
      <c r="BUT61" s="108"/>
      <c r="BUU61" s="108"/>
      <c r="BUV61" s="108"/>
      <c r="BUW61" s="108"/>
      <c r="BUX61" s="108"/>
      <c r="BUY61" s="108"/>
      <c r="BUZ61" s="108"/>
      <c r="BVA61" s="108"/>
      <c r="BVB61" s="108"/>
      <c r="BVC61" s="108"/>
      <c r="BVD61" s="108"/>
      <c r="BVE61" s="108"/>
      <c r="BVF61" s="108"/>
      <c r="BVG61" s="108"/>
      <c r="BVH61" s="108"/>
      <c r="BVI61" s="108"/>
      <c r="BVJ61" s="108"/>
      <c r="BVK61" s="108"/>
      <c r="BVL61" s="108"/>
      <c r="BVM61" s="108"/>
      <c r="BVN61" s="108"/>
      <c r="BVO61" s="108"/>
      <c r="BVP61" s="108"/>
      <c r="BVQ61" s="108"/>
      <c r="BVR61" s="108"/>
      <c r="BVS61" s="108"/>
      <c r="BVT61" s="108"/>
      <c r="BVU61" s="108"/>
      <c r="BVV61" s="108"/>
      <c r="BVW61" s="108"/>
      <c r="BVX61" s="108"/>
      <c r="BVY61" s="108"/>
      <c r="BVZ61" s="108"/>
      <c r="BWA61" s="108"/>
      <c r="BWB61" s="108"/>
      <c r="BWC61" s="108"/>
      <c r="BWD61" s="108"/>
      <c r="BWE61" s="108"/>
      <c r="BWF61" s="108"/>
      <c r="BWG61" s="108"/>
      <c r="BWH61" s="108"/>
      <c r="BWI61" s="108"/>
      <c r="BWJ61" s="108"/>
      <c r="BWK61" s="108"/>
      <c r="BWL61" s="108"/>
      <c r="BWM61" s="108"/>
      <c r="BWN61" s="108"/>
      <c r="BWO61" s="108"/>
      <c r="BWP61" s="108"/>
      <c r="BWQ61" s="108"/>
      <c r="BWR61" s="108"/>
      <c r="BWS61" s="108"/>
      <c r="BWT61" s="108"/>
      <c r="BWU61" s="108"/>
      <c r="BWV61" s="108"/>
      <c r="BWW61" s="108"/>
      <c r="BWX61" s="108"/>
      <c r="BWY61" s="108"/>
      <c r="BWZ61" s="108"/>
      <c r="BXA61" s="108"/>
      <c r="BXB61" s="108"/>
      <c r="BXC61" s="108"/>
      <c r="BXD61" s="108"/>
      <c r="BXE61" s="108"/>
      <c r="BXF61" s="108"/>
      <c r="BXG61" s="108"/>
      <c r="BXH61" s="108"/>
      <c r="BXI61" s="108"/>
      <c r="BXJ61" s="108"/>
      <c r="BXK61" s="108"/>
      <c r="BXL61" s="108"/>
      <c r="BXM61" s="108"/>
      <c r="BXN61" s="108"/>
      <c r="BXO61" s="108"/>
      <c r="BXP61" s="108"/>
      <c r="BXQ61" s="108"/>
      <c r="BXR61" s="108"/>
      <c r="BXS61" s="108"/>
      <c r="BXT61" s="108"/>
      <c r="BXU61" s="108"/>
      <c r="BXV61" s="108"/>
      <c r="BXW61" s="108"/>
      <c r="BXX61" s="108"/>
      <c r="BXY61" s="108"/>
      <c r="BXZ61" s="108"/>
      <c r="BYA61" s="108"/>
      <c r="BYB61" s="108"/>
      <c r="BYC61" s="108"/>
      <c r="BYD61" s="108"/>
      <c r="BYE61" s="108"/>
      <c r="BYF61" s="108"/>
      <c r="BYG61" s="108"/>
      <c r="BYH61" s="108"/>
      <c r="BYI61" s="108"/>
      <c r="BYJ61" s="108"/>
      <c r="BYK61" s="108"/>
      <c r="BYL61" s="108"/>
      <c r="BYM61" s="108"/>
      <c r="BYN61" s="108"/>
      <c r="BYO61" s="108"/>
      <c r="BYP61" s="108"/>
      <c r="BYQ61" s="108"/>
      <c r="BYR61" s="108"/>
      <c r="BYS61" s="108"/>
      <c r="BYT61" s="108"/>
      <c r="BYU61" s="108"/>
      <c r="BYV61" s="108"/>
      <c r="BYW61" s="108"/>
      <c r="BYX61" s="108"/>
      <c r="BYY61" s="108"/>
      <c r="BYZ61" s="108"/>
      <c r="BZA61" s="108"/>
      <c r="BZB61" s="108"/>
      <c r="BZC61" s="108"/>
      <c r="BZD61" s="108"/>
      <c r="BZE61" s="108"/>
      <c r="BZF61" s="108"/>
      <c r="BZG61" s="108"/>
      <c r="BZH61" s="108"/>
      <c r="BZI61" s="108"/>
      <c r="BZJ61" s="108"/>
      <c r="BZK61" s="108"/>
      <c r="BZL61" s="108"/>
      <c r="BZM61" s="108"/>
      <c r="BZN61" s="108"/>
      <c r="BZO61" s="108"/>
      <c r="BZP61" s="108"/>
      <c r="BZQ61" s="108"/>
      <c r="BZR61" s="108"/>
      <c r="BZS61" s="108"/>
      <c r="BZT61" s="108"/>
      <c r="BZU61" s="108"/>
      <c r="BZV61" s="108"/>
      <c r="BZW61" s="108"/>
      <c r="BZX61" s="108"/>
      <c r="BZY61" s="108"/>
      <c r="BZZ61" s="108"/>
      <c r="CAA61" s="108"/>
      <c r="CAB61" s="108"/>
      <c r="CAC61" s="108"/>
      <c r="CAD61" s="108"/>
      <c r="CAE61" s="108"/>
      <c r="CAF61" s="108"/>
      <c r="CAG61" s="108"/>
      <c r="CAH61" s="108"/>
      <c r="CAI61" s="108"/>
      <c r="CAJ61" s="108"/>
      <c r="CAK61" s="108"/>
      <c r="CAL61" s="108"/>
      <c r="CAM61" s="108"/>
      <c r="CAN61" s="108"/>
      <c r="CAO61" s="108"/>
      <c r="CAP61" s="108"/>
      <c r="CAQ61" s="108"/>
      <c r="CAR61" s="108"/>
      <c r="CAS61" s="108"/>
      <c r="CAT61" s="108"/>
      <c r="CAU61" s="108"/>
      <c r="CAV61" s="108"/>
      <c r="CAW61" s="108"/>
      <c r="CAX61" s="108"/>
      <c r="CAY61" s="108"/>
      <c r="CAZ61" s="108"/>
      <c r="CBA61" s="108"/>
      <c r="CBB61" s="108"/>
      <c r="CBC61" s="108"/>
      <c r="CBD61" s="108"/>
      <c r="CBE61" s="108"/>
      <c r="CBF61" s="108"/>
      <c r="CBG61" s="108"/>
      <c r="CBH61" s="108"/>
      <c r="CBI61" s="108"/>
      <c r="CBJ61" s="108"/>
      <c r="CBK61" s="108"/>
      <c r="CBL61" s="108"/>
      <c r="CBM61" s="108"/>
      <c r="CBN61" s="108"/>
      <c r="CBO61" s="108"/>
      <c r="CBP61" s="108"/>
      <c r="CBQ61" s="108"/>
      <c r="CBR61" s="108"/>
      <c r="CBS61" s="108"/>
      <c r="CBT61" s="108"/>
      <c r="CBU61" s="108"/>
      <c r="CBV61" s="108"/>
      <c r="CBW61" s="108"/>
      <c r="CBX61" s="108"/>
      <c r="CBY61" s="108"/>
      <c r="CBZ61" s="108"/>
      <c r="CCA61" s="108"/>
      <c r="CCB61" s="108"/>
      <c r="CCC61" s="108"/>
      <c r="CCD61" s="108"/>
      <c r="CCE61" s="108"/>
      <c r="CCF61" s="108"/>
      <c r="CCG61" s="108"/>
      <c r="CCH61" s="108"/>
      <c r="CCI61" s="108"/>
      <c r="CCJ61" s="108"/>
      <c r="CCK61" s="108"/>
      <c r="CCL61" s="108"/>
      <c r="CCM61" s="108"/>
      <c r="CCN61" s="108"/>
      <c r="CCO61" s="108"/>
      <c r="CCP61" s="108"/>
      <c r="CCQ61" s="108"/>
      <c r="CCR61" s="108"/>
      <c r="CCS61" s="108"/>
      <c r="CCT61" s="108"/>
      <c r="CCU61" s="108"/>
      <c r="CCV61" s="108"/>
      <c r="CCW61" s="108"/>
      <c r="CCX61" s="108"/>
      <c r="CCY61" s="108"/>
      <c r="CCZ61" s="108"/>
      <c r="CDA61" s="108"/>
      <c r="CDB61" s="108"/>
      <c r="CDC61" s="108"/>
      <c r="CDD61" s="108"/>
      <c r="CDE61" s="108"/>
      <c r="CDF61" s="108"/>
      <c r="CDG61" s="108"/>
      <c r="CDH61" s="108"/>
      <c r="CDI61" s="108"/>
      <c r="CDJ61" s="108"/>
      <c r="CDK61" s="108"/>
      <c r="CDL61" s="108"/>
      <c r="CDM61" s="108"/>
      <c r="CDN61" s="108"/>
      <c r="CDO61" s="108"/>
      <c r="CDP61" s="108"/>
      <c r="CDQ61" s="108"/>
      <c r="CDR61" s="108"/>
      <c r="CDS61" s="108"/>
      <c r="CDT61" s="108"/>
      <c r="CDU61" s="108"/>
      <c r="CDV61" s="108"/>
      <c r="CDW61" s="108"/>
      <c r="CDX61" s="108"/>
      <c r="CDY61" s="108"/>
      <c r="CDZ61" s="108"/>
      <c r="CEA61" s="108"/>
      <c r="CEB61" s="108"/>
      <c r="CEC61" s="108"/>
      <c r="CED61" s="108"/>
      <c r="CEE61" s="108"/>
      <c r="CEF61" s="108"/>
      <c r="CEG61" s="108"/>
      <c r="CEH61" s="108"/>
      <c r="CEI61" s="108"/>
      <c r="CEJ61" s="108"/>
      <c r="CEK61" s="108"/>
      <c r="CEL61" s="108"/>
      <c r="CEM61" s="108"/>
      <c r="CEN61" s="108"/>
      <c r="CEO61" s="108"/>
      <c r="CEP61" s="108"/>
      <c r="CEQ61" s="108"/>
      <c r="CER61" s="108"/>
      <c r="CES61" s="108"/>
      <c r="CET61" s="108"/>
      <c r="CEU61" s="108"/>
      <c r="CEV61" s="108"/>
      <c r="CEW61" s="108"/>
      <c r="CEX61" s="108"/>
      <c r="CEY61" s="108"/>
      <c r="CEZ61" s="108"/>
      <c r="CFA61" s="108"/>
      <c r="CFB61" s="108"/>
      <c r="CFC61" s="108"/>
      <c r="CFD61" s="108"/>
      <c r="CFE61" s="108"/>
      <c r="CFF61" s="108"/>
      <c r="CFG61" s="108"/>
      <c r="CFH61" s="108"/>
      <c r="CFI61" s="108"/>
      <c r="CFJ61" s="108"/>
      <c r="CFK61" s="108"/>
      <c r="CFL61" s="108"/>
      <c r="CFM61" s="108"/>
      <c r="CFN61" s="108"/>
      <c r="CFO61" s="108"/>
      <c r="CFP61" s="108"/>
      <c r="CFQ61" s="108"/>
      <c r="CFR61" s="108"/>
      <c r="CFS61" s="108"/>
      <c r="CFT61" s="108"/>
      <c r="CFU61" s="108"/>
      <c r="CFV61" s="108"/>
      <c r="CFW61" s="108"/>
      <c r="CFX61" s="108"/>
      <c r="CFY61" s="108"/>
      <c r="CFZ61" s="108"/>
      <c r="CGA61" s="108"/>
      <c r="CGB61" s="108"/>
      <c r="CGC61" s="108"/>
      <c r="CGD61" s="108"/>
      <c r="CGE61" s="108"/>
      <c r="CGF61" s="108"/>
      <c r="CGG61" s="108"/>
      <c r="CGH61" s="108"/>
      <c r="CGI61" s="108"/>
      <c r="CGJ61" s="108"/>
      <c r="CGK61" s="108"/>
      <c r="CGL61" s="108"/>
      <c r="CGM61" s="108"/>
      <c r="CGN61" s="108"/>
      <c r="CGO61" s="108"/>
      <c r="CGP61" s="108"/>
      <c r="CGQ61" s="108"/>
      <c r="CGR61" s="108"/>
      <c r="CGS61" s="108"/>
      <c r="CGT61" s="108"/>
      <c r="CGU61" s="108"/>
      <c r="CGV61" s="108"/>
      <c r="CGW61" s="108"/>
      <c r="CGX61" s="108"/>
      <c r="CGY61" s="108"/>
      <c r="CGZ61" s="108"/>
      <c r="CHA61" s="108"/>
      <c r="CHB61" s="108"/>
      <c r="CHC61" s="108"/>
      <c r="CHD61" s="108"/>
      <c r="CHE61" s="108"/>
      <c r="CHF61" s="108"/>
      <c r="CHG61" s="108"/>
      <c r="CHH61" s="108"/>
      <c r="CHI61" s="108"/>
      <c r="CHJ61" s="108"/>
      <c r="CHK61" s="108"/>
      <c r="CHL61" s="108"/>
      <c r="CHM61" s="108"/>
      <c r="CHN61" s="108"/>
      <c r="CHO61" s="108"/>
      <c r="CHP61" s="108"/>
      <c r="CHQ61" s="108"/>
      <c r="CHR61" s="108"/>
      <c r="CHS61" s="108"/>
      <c r="CHT61" s="108"/>
      <c r="CHU61" s="108"/>
      <c r="CHV61" s="108"/>
      <c r="CHW61" s="108"/>
      <c r="CHX61" s="108"/>
      <c r="CHY61" s="108"/>
      <c r="CHZ61" s="108"/>
      <c r="CIA61" s="108"/>
      <c r="CIB61" s="108"/>
      <c r="CIC61" s="108"/>
      <c r="CID61" s="108"/>
      <c r="CIE61" s="108"/>
      <c r="CIF61" s="108"/>
      <c r="CIG61" s="108"/>
      <c r="CIH61" s="108"/>
      <c r="CII61" s="108"/>
      <c r="CIJ61" s="108"/>
      <c r="CIK61" s="108"/>
      <c r="CIL61" s="108"/>
      <c r="CIM61" s="108"/>
      <c r="CIN61" s="108"/>
      <c r="CIO61" s="108"/>
      <c r="CIP61" s="108"/>
      <c r="CIQ61" s="108"/>
      <c r="CIR61" s="108"/>
      <c r="CIS61" s="108"/>
      <c r="CIT61" s="108"/>
      <c r="CIU61" s="108"/>
      <c r="CIV61" s="108"/>
      <c r="CIW61" s="108"/>
      <c r="CIX61" s="108"/>
      <c r="CIY61" s="108"/>
      <c r="CIZ61" s="108"/>
      <c r="CJA61" s="108"/>
      <c r="CJB61" s="108"/>
      <c r="CJC61" s="108"/>
      <c r="CJD61" s="108"/>
      <c r="CJE61" s="108"/>
      <c r="CJF61" s="108"/>
      <c r="CJG61" s="108"/>
      <c r="CJH61" s="108"/>
      <c r="CJI61" s="108"/>
      <c r="CJJ61" s="108"/>
      <c r="CJK61" s="108"/>
      <c r="CJL61" s="108"/>
      <c r="CJM61" s="108"/>
      <c r="CJN61" s="108"/>
      <c r="CJO61" s="108"/>
      <c r="CJP61" s="108"/>
      <c r="CJQ61" s="108"/>
      <c r="CJR61" s="108"/>
      <c r="CJS61" s="108"/>
      <c r="CJT61" s="108"/>
      <c r="CJU61" s="108"/>
      <c r="CJV61" s="108"/>
      <c r="CJW61" s="108"/>
      <c r="CJX61" s="108"/>
      <c r="CJY61" s="108"/>
      <c r="CJZ61" s="108"/>
      <c r="CKA61" s="108"/>
      <c r="CKB61" s="108"/>
      <c r="CKC61" s="108"/>
      <c r="CKD61" s="108"/>
      <c r="CKE61" s="108"/>
      <c r="CKF61" s="108"/>
      <c r="CKG61" s="108"/>
      <c r="CKH61" s="108"/>
      <c r="CKI61" s="108"/>
      <c r="CKJ61" s="108"/>
      <c r="CKK61" s="108"/>
      <c r="CKL61" s="108"/>
      <c r="CKM61" s="108"/>
      <c r="CKN61" s="108"/>
      <c r="CKO61" s="108"/>
      <c r="CKP61" s="108"/>
      <c r="CKQ61" s="108"/>
      <c r="CKR61" s="108"/>
      <c r="CKS61" s="108"/>
      <c r="CKT61" s="108"/>
      <c r="CKU61" s="108"/>
      <c r="CKV61" s="108"/>
      <c r="CKW61" s="108"/>
      <c r="CKX61" s="108"/>
      <c r="CKY61" s="108"/>
      <c r="CKZ61" s="108"/>
      <c r="CLA61" s="108"/>
      <c r="CLB61" s="108"/>
      <c r="CLC61" s="108"/>
      <c r="CLD61" s="108"/>
      <c r="CLE61" s="108"/>
      <c r="CLF61" s="108"/>
      <c r="CLG61" s="108"/>
      <c r="CLH61" s="108"/>
      <c r="CLI61" s="108"/>
      <c r="CLJ61" s="108"/>
      <c r="CLK61" s="108"/>
      <c r="CLL61" s="108"/>
      <c r="CLM61" s="108"/>
      <c r="CLN61" s="108"/>
      <c r="CLO61" s="108"/>
      <c r="CLP61" s="108"/>
      <c r="CLQ61" s="108"/>
      <c r="CLR61" s="108"/>
      <c r="CLS61" s="108"/>
      <c r="CLT61" s="108"/>
      <c r="CLU61" s="108"/>
      <c r="CLV61" s="108"/>
      <c r="CLW61" s="108"/>
      <c r="CLX61" s="108"/>
      <c r="CLY61" s="108"/>
      <c r="CLZ61" s="108"/>
      <c r="CMA61" s="108"/>
      <c r="CMB61" s="108"/>
      <c r="CMC61" s="108"/>
      <c r="CMD61" s="108"/>
      <c r="CME61" s="108"/>
      <c r="CMF61" s="108"/>
      <c r="CMG61" s="108"/>
      <c r="CMH61" s="108"/>
      <c r="CMI61" s="108"/>
      <c r="CMJ61" s="108"/>
      <c r="CMK61" s="108"/>
      <c r="CML61" s="108"/>
      <c r="CMM61" s="108"/>
      <c r="CMN61" s="108"/>
      <c r="CMO61" s="108"/>
      <c r="CMP61" s="108"/>
      <c r="CMQ61" s="108"/>
      <c r="CMR61" s="108"/>
      <c r="CMS61" s="108"/>
      <c r="CMT61" s="108"/>
      <c r="CMU61" s="108"/>
      <c r="CMV61" s="108"/>
      <c r="CMW61" s="108"/>
      <c r="CMX61" s="108"/>
      <c r="CMY61" s="108"/>
      <c r="CMZ61" s="108"/>
      <c r="CNA61" s="108"/>
      <c r="CNB61" s="108"/>
      <c r="CNC61" s="108"/>
      <c r="CND61" s="108"/>
      <c r="CNE61" s="108"/>
      <c r="CNF61" s="108"/>
      <c r="CNG61" s="108"/>
      <c r="CNH61" s="108"/>
      <c r="CNI61" s="108"/>
      <c r="CNJ61" s="108"/>
      <c r="CNK61" s="108"/>
      <c r="CNL61" s="108"/>
      <c r="CNM61" s="108"/>
      <c r="CNN61" s="108"/>
      <c r="CNO61" s="108"/>
      <c r="CNP61" s="108"/>
      <c r="CNQ61" s="108"/>
      <c r="CNR61" s="108"/>
      <c r="CNS61" s="108"/>
      <c r="CNT61" s="108"/>
      <c r="CNU61" s="108"/>
      <c r="CNV61" s="108"/>
      <c r="CNW61" s="108"/>
      <c r="CNX61" s="108"/>
      <c r="CNY61" s="108"/>
      <c r="CNZ61" s="108"/>
      <c r="COA61" s="108"/>
      <c r="COB61" s="108"/>
      <c r="COC61" s="108"/>
      <c r="COD61" s="108"/>
      <c r="COE61" s="108"/>
      <c r="COF61" s="108"/>
      <c r="COG61" s="108"/>
      <c r="COH61" s="108"/>
      <c r="COI61" s="108"/>
      <c r="COJ61" s="108"/>
      <c r="COK61" s="108"/>
      <c r="COL61" s="108"/>
      <c r="COM61" s="108"/>
      <c r="CON61" s="108"/>
      <c r="COO61" s="108"/>
      <c r="COP61" s="108"/>
      <c r="COQ61" s="108"/>
      <c r="COR61" s="108"/>
      <c r="COS61" s="108"/>
      <c r="COT61" s="108"/>
      <c r="COU61" s="108"/>
      <c r="COV61" s="108"/>
      <c r="COW61" s="108"/>
      <c r="COX61" s="108"/>
      <c r="COY61" s="108"/>
      <c r="COZ61" s="108"/>
      <c r="CPA61" s="108"/>
      <c r="CPB61" s="108"/>
      <c r="CPC61" s="108"/>
      <c r="CPD61" s="108"/>
      <c r="CPE61" s="108"/>
      <c r="CPF61" s="108"/>
      <c r="CPG61" s="108"/>
      <c r="CPH61" s="108"/>
      <c r="CPI61" s="108"/>
      <c r="CPJ61" s="108"/>
      <c r="CPK61" s="108"/>
      <c r="CPL61" s="108"/>
      <c r="CPM61" s="108"/>
      <c r="CPN61" s="108"/>
      <c r="CPO61" s="108"/>
      <c r="CPP61" s="108"/>
      <c r="CPQ61" s="108"/>
      <c r="CPR61" s="108"/>
      <c r="CPS61" s="108"/>
      <c r="CPT61" s="108"/>
      <c r="CPU61" s="108"/>
      <c r="CPV61" s="108"/>
      <c r="CPW61" s="108"/>
      <c r="CPX61" s="108"/>
      <c r="CPY61" s="108"/>
      <c r="CPZ61" s="108"/>
      <c r="CQA61" s="108"/>
      <c r="CQB61" s="108"/>
      <c r="CQC61" s="108"/>
      <c r="CQD61" s="108"/>
      <c r="CQE61" s="108"/>
      <c r="CQF61" s="108"/>
      <c r="CQG61" s="108"/>
      <c r="CQH61" s="108"/>
      <c r="CQI61" s="108"/>
      <c r="CQJ61" s="108"/>
      <c r="CQK61" s="108"/>
      <c r="CQL61" s="108"/>
      <c r="CQM61" s="108"/>
      <c r="CQN61" s="108"/>
      <c r="CQO61" s="108"/>
      <c r="CQP61" s="108"/>
      <c r="CQQ61" s="108"/>
      <c r="CQR61" s="108"/>
      <c r="CQS61" s="108"/>
      <c r="CQT61" s="108"/>
      <c r="CQU61" s="108"/>
      <c r="CQV61" s="108"/>
      <c r="CQW61" s="108"/>
      <c r="CQX61" s="108"/>
      <c r="CQY61" s="108"/>
      <c r="CQZ61" s="108"/>
      <c r="CRA61" s="108"/>
      <c r="CRB61" s="108"/>
      <c r="CRC61" s="108"/>
      <c r="CRD61" s="108"/>
      <c r="CRE61" s="108"/>
      <c r="CRF61" s="108"/>
      <c r="CRG61" s="108"/>
      <c r="CRH61" s="108"/>
      <c r="CRI61" s="108"/>
      <c r="CRJ61" s="108"/>
      <c r="CRK61" s="108"/>
      <c r="CRL61" s="108"/>
      <c r="CRM61" s="108"/>
      <c r="CRN61" s="108"/>
      <c r="CRO61" s="108"/>
      <c r="CRP61" s="108"/>
      <c r="CRQ61" s="108"/>
      <c r="CRR61" s="108"/>
      <c r="CRS61" s="108"/>
      <c r="CRT61" s="108"/>
      <c r="CRU61" s="108"/>
      <c r="CRV61" s="108"/>
      <c r="CRW61" s="108"/>
      <c r="CRX61" s="108"/>
      <c r="CRY61" s="108"/>
      <c r="CRZ61" s="108"/>
      <c r="CSA61" s="108"/>
      <c r="CSB61" s="108"/>
      <c r="CSC61" s="108"/>
      <c r="CSD61" s="108"/>
      <c r="CSE61" s="108"/>
      <c r="CSF61" s="108"/>
      <c r="CSG61" s="108"/>
      <c r="CSH61" s="108"/>
      <c r="CSI61" s="108"/>
      <c r="CSJ61" s="108"/>
      <c r="CSK61" s="108"/>
      <c r="CSL61" s="108"/>
      <c r="CSM61" s="108"/>
      <c r="CSN61" s="108"/>
      <c r="CSO61" s="108"/>
      <c r="CSP61" s="108"/>
      <c r="CSQ61" s="108"/>
      <c r="CSR61" s="108"/>
      <c r="CSS61" s="108"/>
      <c r="CST61" s="108"/>
      <c r="CSU61" s="108"/>
      <c r="CSV61" s="108"/>
      <c r="CSW61" s="108"/>
      <c r="CSX61" s="108"/>
      <c r="CSY61" s="108"/>
      <c r="CSZ61" s="108"/>
      <c r="CTA61" s="108"/>
      <c r="CTB61" s="108"/>
      <c r="CTC61" s="108"/>
      <c r="CTD61" s="108"/>
      <c r="CTE61" s="108"/>
      <c r="CTF61" s="108"/>
      <c r="CTG61" s="108"/>
      <c r="CTH61" s="108"/>
      <c r="CTI61" s="108"/>
      <c r="CTJ61" s="108"/>
      <c r="CTK61" s="108"/>
      <c r="CTL61" s="108"/>
      <c r="CTM61" s="108"/>
      <c r="CTN61" s="108"/>
      <c r="CTO61" s="108"/>
      <c r="CTP61" s="108"/>
      <c r="CTQ61" s="108"/>
      <c r="CTR61" s="108"/>
      <c r="CTS61" s="108"/>
      <c r="CTT61" s="108"/>
      <c r="CTU61" s="108"/>
      <c r="CTV61" s="108"/>
      <c r="CTW61" s="108"/>
      <c r="CTX61" s="108"/>
      <c r="CTY61" s="108"/>
      <c r="CTZ61" s="108"/>
      <c r="CUA61" s="108"/>
      <c r="CUB61" s="108"/>
      <c r="CUC61" s="108"/>
      <c r="CUD61" s="108"/>
      <c r="CUE61" s="108"/>
      <c r="CUF61" s="108"/>
      <c r="CUG61" s="108"/>
      <c r="CUH61" s="108"/>
      <c r="CUI61" s="108"/>
      <c r="CUJ61" s="108"/>
      <c r="CUK61" s="108"/>
      <c r="CUL61" s="108"/>
      <c r="CUM61" s="108"/>
      <c r="CUN61" s="108"/>
      <c r="CUO61" s="108"/>
      <c r="CUP61" s="108"/>
      <c r="CUQ61" s="108"/>
      <c r="CUR61" s="108"/>
      <c r="CUS61" s="108"/>
      <c r="CUT61" s="108"/>
      <c r="CUU61" s="108"/>
      <c r="CUV61" s="108"/>
      <c r="CUW61" s="108"/>
      <c r="CUX61" s="108"/>
      <c r="CUY61" s="108"/>
      <c r="CUZ61" s="108"/>
      <c r="CVA61" s="108"/>
      <c r="CVB61" s="108"/>
      <c r="CVC61" s="108"/>
      <c r="CVD61" s="108"/>
      <c r="CVE61" s="108"/>
      <c r="CVF61" s="108"/>
      <c r="CVG61" s="108"/>
      <c r="CVH61" s="108"/>
      <c r="CVI61" s="108"/>
      <c r="CVJ61" s="108"/>
      <c r="CVK61" s="108"/>
      <c r="CVL61" s="108"/>
      <c r="CVM61" s="108"/>
      <c r="CVN61" s="108"/>
      <c r="CVO61" s="108"/>
      <c r="CVP61" s="108"/>
      <c r="CVQ61" s="108"/>
      <c r="CVR61" s="108"/>
      <c r="CVS61" s="108"/>
      <c r="CVT61" s="108"/>
      <c r="CVU61" s="108"/>
      <c r="CVV61" s="108"/>
      <c r="CVW61" s="108"/>
      <c r="CVX61" s="108"/>
      <c r="CVY61" s="108"/>
      <c r="CVZ61" s="108"/>
      <c r="CWA61" s="108"/>
      <c r="CWB61" s="108"/>
      <c r="CWC61" s="108"/>
      <c r="CWD61" s="108"/>
      <c r="CWE61" s="108"/>
      <c r="CWF61" s="108"/>
      <c r="CWG61" s="108"/>
      <c r="CWH61" s="108"/>
      <c r="CWI61" s="108"/>
      <c r="CWJ61" s="108"/>
      <c r="CWK61" s="108"/>
      <c r="CWL61" s="108"/>
      <c r="CWM61" s="108"/>
      <c r="CWN61" s="108"/>
      <c r="CWO61" s="108"/>
      <c r="CWP61" s="108"/>
      <c r="CWQ61" s="108"/>
      <c r="CWR61" s="108"/>
      <c r="CWS61" s="108"/>
      <c r="CWT61" s="108"/>
      <c r="CWU61" s="108"/>
      <c r="CWV61" s="108"/>
      <c r="CWW61" s="108"/>
      <c r="CWX61" s="108"/>
      <c r="CWY61" s="108"/>
      <c r="CWZ61" s="108"/>
      <c r="CXA61" s="108"/>
      <c r="CXB61" s="108"/>
      <c r="CXC61" s="108"/>
      <c r="CXD61" s="108"/>
      <c r="CXE61" s="108"/>
      <c r="CXF61" s="108"/>
      <c r="CXG61" s="108"/>
      <c r="CXH61" s="108"/>
      <c r="CXI61" s="108"/>
      <c r="CXJ61" s="108"/>
      <c r="CXK61" s="108"/>
      <c r="CXL61" s="108"/>
      <c r="CXM61" s="108"/>
      <c r="CXN61" s="108"/>
      <c r="CXO61" s="108"/>
      <c r="CXP61" s="108"/>
      <c r="CXQ61" s="108"/>
      <c r="CXR61" s="108"/>
      <c r="CXS61" s="108"/>
      <c r="CXT61" s="108"/>
      <c r="CXU61" s="108"/>
      <c r="CXV61" s="108"/>
      <c r="CXW61" s="108"/>
      <c r="CXX61" s="108"/>
      <c r="CXY61" s="108"/>
      <c r="CXZ61" s="108"/>
      <c r="CYA61" s="108"/>
      <c r="CYB61" s="108"/>
      <c r="CYC61" s="108"/>
      <c r="CYD61" s="108"/>
      <c r="CYE61" s="108"/>
      <c r="CYF61" s="108"/>
      <c r="CYG61" s="108"/>
      <c r="CYH61" s="108"/>
      <c r="CYI61" s="108"/>
      <c r="CYJ61" s="108"/>
      <c r="CYK61" s="108"/>
      <c r="CYL61" s="108"/>
      <c r="CYM61" s="108"/>
      <c r="CYN61" s="108"/>
      <c r="CYO61" s="108"/>
      <c r="CYP61" s="108"/>
      <c r="CYQ61" s="108"/>
      <c r="CYR61" s="108"/>
      <c r="CYS61" s="108"/>
      <c r="CYT61" s="108"/>
      <c r="CYU61" s="108"/>
      <c r="CYV61" s="108"/>
      <c r="CYW61" s="108"/>
      <c r="CYX61" s="108"/>
      <c r="CYY61" s="108"/>
      <c r="CYZ61" s="108"/>
      <c r="CZA61" s="108"/>
      <c r="CZB61" s="108"/>
      <c r="CZC61" s="108"/>
      <c r="CZD61" s="108"/>
      <c r="CZE61" s="108"/>
      <c r="CZF61" s="108"/>
      <c r="CZG61" s="108"/>
      <c r="CZH61" s="108"/>
      <c r="CZI61" s="108"/>
      <c r="CZJ61" s="108"/>
      <c r="CZK61" s="108"/>
      <c r="CZL61" s="108"/>
      <c r="CZM61" s="108"/>
      <c r="CZN61" s="108"/>
      <c r="CZO61" s="108"/>
      <c r="CZP61" s="108"/>
      <c r="CZQ61" s="108"/>
      <c r="CZR61" s="108"/>
      <c r="CZS61" s="108"/>
      <c r="CZT61" s="108"/>
      <c r="CZU61" s="108"/>
      <c r="CZV61" s="108"/>
      <c r="CZW61" s="108"/>
      <c r="CZX61" s="108"/>
      <c r="CZY61" s="108"/>
      <c r="CZZ61" s="108"/>
      <c r="DAA61" s="108"/>
      <c r="DAB61" s="108"/>
      <c r="DAC61" s="108"/>
      <c r="DAD61" s="108"/>
      <c r="DAE61" s="108"/>
      <c r="DAF61" s="108"/>
      <c r="DAG61" s="108"/>
      <c r="DAH61" s="108"/>
      <c r="DAI61" s="108"/>
      <c r="DAJ61" s="108"/>
      <c r="DAK61" s="108"/>
      <c r="DAL61" s="108"/>
      <c r="DAM61" s="108"/>
      <c r="DAN61" s="108"/>
      <c r="DAO61" s="108"/>
      <c r="DAP61" s="108"/>
      <c r="DAQ61" s="108"/>
      <c r="DAR61" s="108"/>
      <c r="DAS61" s="108"/>
      <c r="DAT61" s="108"/>
      <c r="DAU61" s="108"/>
      <c r="DAV61" s="108"/>
      <c r="DAW61" s="108"/>
      <c r="DAX61" s="108"/>
      <c r="DAY61" s="108"/>
      <c r="DAZ61" s="108"/>
      <c r="DBA61" s="108"/>
      <c r="DBB61" s="108"/>
      <c r="DBC61" s="108"/>
      <c r="DBD61" s="108"/>
      <c r="DBE61" s="108"/>
      <c r="DBF61" s="108"/>
      <c r="DBG61" s="108"/>
      <c r="DBH61" s="108"/>
      <c r="DBI61" s="108"/>
      <c r="DBJ61" s="108"/>
      <c r="DBK61" s="108"/>
      <c r="DBL61" s="108"/>
      <c r="DBM61" s="108"/>
      <c r="DBN61" s="108"/>
      <c r="DBO61" s="108"/>
      <c r="DBP61" s="108"/>
      <c r="DBQ61" s="108"/>
      <c r="DBR61" s="108"/>
      <c r="DBS61" s="108"/>
      <c r="DBT61" s="108"/>
      <c r="DBU61" s="108"/>
      <c r="DBV61" s="108"/>
      <c r="DBW61" s="108"/>
      <c r="DBX61" s="108"/>
      <c r="DBY61" s="108"/>
      <c r="DBZ61" s="108"/>
      <c r="DCA61" s="108"/>
      <c r="DCB61" s="108"/>
      <c r="DCC61" s="108"/>
      <c r="DCD61" s="108"/>
      <c r="DCE61" s="108"/>
      <c r="DCF61" s="108"/>
      <c r="DCG61" s="108"/>
      <c r="DCH61" s="108"/>
      <c r="DCI61" s="108"/>
      <c r="DCJ61" s="108"/>
      <c r="DCK61" s="108"/>
      <c r="DCL61" s="108"/>
      <c r="DCM61" s="108"/>
      <c r="DCN61" s="108"/>
      <c r="DCO61" s="108"/>
      <c r="DCP61" s="108"/>
      <c r="DCQ61" s="108"/>
      <c r="DCR61" s="108"/>
      <c r="DCS61" s="108"/>
      <c r="DCT61" s="108"/>
      <c r="DCU61" s="108"/>
      <c r="DCV61" s="108"/>
      <c r="DCW61" s="108"/>
      <c r="DCX61" s="108"/>
      <c r="DCY61" s="108"/>
      <c r="DCZ61" s="108"/>
      <c r="DDA61" s="108"/>
      <c r="DDB61" s="108"/>
      <c r="DDC61" s="108"/>
      <c r="DDD61" s="108"/>
      <c r="DDE61" s="108"/>
      <c r="DDF61" s="108"/>
      <c r="DDG61" s="108"/>
      <c r="DDH61" s="108"/>
      <c r="DDI61" s="108"/>
      <c r="DDJ61" s="108"/>
      <c r="DDK61" s="108"/>
      <c r="DDL61" s="108"/>
      <c r="DDM61" s="108"/>
      <c r="DDN61" s="108"/>
      <c r="DDO61" s="108"/>
      <c r="DDP61" s="108"/>
      <c r="DDQ61" s="108"/>
      <c r="DDR61" s="108"/>
      <c r="DDS61" s="108"/>
      <c r="DDT61" s="108"/>
      <c r="DDU61" s="108"/>
      <c r="DDV61" s="108"/>
      <c r="DDW61" s="108"/>
      <c r="DDX61" s="108"/>
      <c r="DDY61" s="108"/>
      <c r="DDZ61" s="108"/>
      <c r="DEA61" s="108"/>
      <c r="DEB61" s="108"/>
      <c r="DEC61" s="108"/>
      <c r="DED61" s="108"/>
      <c r="DEE61" s="108"/>
      <c r="DEF61" s="108"/>
      <c r="DEG61" s="108"/>
      <c r="DEH61" s="108"/>
      <c r="DEI61" s="108"/>
      <c r="DEJ61" s="108"/>
      <c r="DEK61" s="108"/>
      <c r="DEL61" s="108"/>
      <c r="DEM61" s="108"/>
      <c r="DEN61" s="108"/>
      <c r="DEO61" s="108"/>
      <c r="DEP61" s="108"/>
      <c r="DEQ61" s="108"/>
      <c r="DER61" s="108"/>
      <c r="DES61" s="108"/>
      <c r="DET61" s="108"/>
      <c r="DEU61" s="108"/>
      <c r="DEV61" s="108"/>
      <c r="DEW61" s="108"/>
      <c r="DEX61" s="108"/>
      <c r="DEY61" s="108"/>
      <c r="DEZ61" s="108"/>
      <c r="DFA61" s="108"/>
      <c r="DFB61" s="108"/>
      <c r="DFC61" s="108"/>
      <c r="DFD61" s="108"/>
      <c r="DFE61" s="108"/>
      <c r="DFF61" s="108"/>
      <c r="DFG61" s="108"/>
      <c r="DFH61" s="108"/>
      <c r="DFI61" s="108"/>
      <c r="DFJ61" s="108"/>
      <c r="DFK61" s="108"/>
      <c r="DFL61" s="108"/>
      <c r="DFM61" s="108"/>
      <c r="DFN61" s="108"/>
      <c r="DFO61" s="108"/>
      <c r="DFP61" s="108"/>
      <c r="DFQ61" s="108"/>
      <c r="DFR61" s="108"/>
      <c r="DFS61" s="108"/>
      <c r="DFT61" s="108"/>
      <c r="DFU61" s="108"/>
      <c r="DFV61" s="108"/>
      <c r="DFW61" s="108"/>
      <c r="DFX61" s="108"/>
      <c r="DFY61" s="108"/>
      <c r="DFZ61" s="108"/>
      <c r="DGA61" s="108"/>
      <c r="DGB61" s="108"/>
      <c r="DGC61" s="108"/>
      <c r="DGD61" s="108"/>
      <c r="DGE61" s="108"/>
      <c r="DGF61" s="108"/>
      <c r="DGG61" s="108"/>
      <c r="DGH61" s="108"/>
      <c r="DGI61" s="108"/>
      <c r="DGJ61" s="108"/>
      <c r="DGK61" s="108"/>
      <c r="DGL61" s="108"/>
      <c r="DGM61" s="108"/>
      <c r="DGN61" s="108"/>
      <c r="DGO61" s="108"/>
      <c r="DGP61" s="108"/>
      <c r="DGQ61" s="108"/>
      <c r="DGR61" s="108"/>
      <c r="DGS61" s="108"/>
      <c r="DGT61" s="108"/>
      <c r="DGU61" s="108"/>
      <c r="DGV61" s="108"/>
      <c r="DGW61" s="108"/>
      <c r="DGX61" s="108"/>
      <c r="DGY61" s="108"/>
      <c r="DGZ61" s="108"/>
      <c r="DHA61" s="108"/>
      <c r="DHB61" s="108"/>
      <c r="DHC61" s="108"/>
      <c r="DHD61" s="108"/>
      <c r="DHE61" s="108"/>
      <c r="DHF61" s="108"/>
      <c r="DHG61" s="108"/>
      <c r="DHH61" s="108"/>
      <c r="DHI61" s="108"/>
      <c r="DHJ61" s="108"/>
      <c r="DHK61" s="108"/>
      <c r="DHL61" s="108"/>
      <c r="DHM61" s="108"/>
      <c r="DHN61" s="108"/>
      <c r="DHO61" s="108"/>
      <c r="DHP61" s="108"/>
      <c r="DHQ61" s="108"/>
      <c r="DHR61" s="108"/>
      <c r="DHS61" s="108"/>
      <c r="DHT61" s="108"/>
      <c r="DHU61" s="108"/>
      <c r="DHV61" s="108"/>
      <c r="DHW61" s="108"/>
      <c r="DHX61" s="108"/>
      <c r="DHY61" s="108"/>
      <c r="DHZ61" s="108"/>
      <c r="DIA61" s="108"/>
      <c r="DIB61" s="108"/>
      <c r="DIC61" s="108"/>
      <c r="DID61" s="108"/>
      <c r="DIE61" s="108"/>
      <c r="DIF61" s="108"/>
      <c r="DIG61" s="108"/>
      <c r="DIH61" s="108"/>
      <c r="DII61" s="108"/>
      <c r="DIJ61" s="108"/>
      <c r="DIK61" s="108"/>
      <c r="DIL61" s="108"/>
      <c r="DIM61" s="108"/>
      <c r="DIN61" s="108"/>
      <c r="DIO61" s="108"/>
      <c r="DIP61" s="108"/>
      <c r="DIQ61" s="108"/>
      <c r="DIR61" s="108"/>
      <c r="DIS61" s="108"/>
      <c r="DIT61" s="108"/>
      <c r="DIU61" s="108"/>
      <c r="DIV61" s="108"/>
      <c r="DIW61" s="108"/>
      <c r="DIX61" s="108"/>
      <c r="DIY61" s="108"/>
      <c r="DIZ61" s="108"/>
      <c r="DJA61" s="108"/>
      <c r="DJB61" s="108"/>
      <c r="DJC61" s="108"/>
      <c r="DJD61" s="108"/>
      <c r="DJE61" s="108"/>
      <c r="DJF61" s="108"/>
      <c r="DJG61" s="108"/>
      <c r="DJH61" s="108"/>
      <c r="DJI61" s="108"/>
      <c r="DJJ61" s="108"/>
      <c r="DJK61" s="108"/>
      <c r="DJL61" s="108"/>
      <c r="DJM61" s="108"/>
      <c r="DJN61" s="108"/>
      <c r="DJO61" s="108"/>
      <c r="DJP61" s="108"/>
      <c r="DJQ61" s="108"/>
      <c r="DJR61" s="108"/>
      <c r="DJS61" s="108"/>
      <c r="DJT61" s="108"/>
      <c r="DJU61" s="108"/>
      <c r="DJV61" s="108"/>
      <c r="DJW61" s="108"/>
      <c r="DJX61" s="108"/>
      <c r="DJY61" s="108"/>
      <c r="DJZ61" s="108"/>
      <c r="DKA61" s="108"/>
      <c r="DKB61" s="108"/>
      <c r="DKC61" s="108"/>
      <c r="DKD61" s="108"/>
      <c r="DKE61" s="108"/>
      <c r="DKF61" s="108"/>
      <c r="DKG61" s="108"/>
      <c r="DKH61" s="108"/>
      <c r="DKI61" s="108"/>
      <c r="DKJ61" s="108"/>
      <c r="DKK61" s="108"/>
      <c r="DKL61" s="108"/>
      <c r="DKM61" s="108"/>
      <c r="DKN61" s="108"/>
      <c r="DKO61" s="108"/>
      <c r="DKP61" s="108"/>
      <c r="DKQ61" s="108"/>
      <c r="DKR61" s="108"/>
      <c r="DKS61" s="108"/>
      <c r="DKT61" s="108"/>
      <c r="DKU61" s="108"/>
      <c r="DKV61" s="108"/>
      <c r="DKW61" s="108"/>
      <c r="DKX61" s="108"/>
      <c r="DKY61" s="108"/>
      <c r="DKZ61" s="108"/>
      <c r="DLA61" s="108"/>
      <c r="DLB61" s="108"/>
      <c r="DLC61" s="108"/>
      <c r="DLD61" s="108"/>
      <c r="DLE61" s="108"/>
      <c r="DLF61" s="108"/>
      <c r="DLG61" s="108"/>
      <c r="DLH61" s="108"/>
      <c r="DLI61" s="108"/>
      <c r="DLJ61" s="108"/>
      <c r="DLK61" s="108"/>
      <c r="DLL61" s="108"/>
      <c r="DLM61" s="108"/>
      <c r="DLN61" s="108"/>
      <c r="DLO61" s="108"/>
      <c r="DLP61" s="108"/>
      <c r="DLQ61" s="108"/>
      <c r="DLR61" s="108"/>
      <c r="DLS61" s="108"/>
      <c r="DLT61" s="108"/>
      <c r="DLU61" s="108"/>
      <c r="DLV61" s="108"/>
      <c r="DLW61" s="108"/>
      <c r="DLX61" s="108"/>
      <c r="DLY61" s="108"/>
      <c r="DLZ61" s="108"/>
      <c r="DMA61" s="108"/>
      <c r="DMB61" s="108"/>
      <c r="DMC61" s="108"/>
      <c r="DMD61" s="108"/>
      <c r="DME61" s="108"/>
      <c r="DMF61" s="108"/>
      <c r="DMG61" s="108"/>
      <c r="DMH61" s="108"/>
      <c r="DMI61" s="108"/>
      <c r="DMJ61" s="108"/>
      <c r="DMK61" s="108"/>
      <c r="DML61" s="108"/>
      <c r="DMM61" s="108"/>
      <c r="DMN61" s="108"/>
      <c r="DMO61" s="108"/>
      <c r="DMP61" s="108"/>
      <c r="DMQ61" s="108"/>
      <c r="DMR61" s="108"/>
      <c r="DMS61" s="108"/>
      <c r="DMT61" s="108"/>
      <c r="DMU61" s="108"/>
      <c r="DMV61" s="108"/>
      <c r="DMW61" s="108"/>
      <c r="DMX61" s="108"/>
      <c r="DMY61" s="108"/>
      <c r="DMZ61" s="108"/>
      <c r="DNA61" s="108"/>
      <c r="DNB61" s="108"/>
      <c r="DNC61" s="108"/>
      <c r="DND61" s="108"/>
      <c r="DNE61" s="108"/>
      <c r="DNF61" s="108"/>
      <c r="DNG61" s="108"/>
      <c r="DNH61" s="108"/>
      <c r="DNI61" s="108"/>
      <c r="DNJ61" s="108"/>
      <c r="DNK61" s="108"/>
      <c r="DNL61" s="108"/>
      <c r="DNM61" s="108"/>
      <c r="DNN61" s="108"/>
      <c r="DNO61" s="108"/>
      <c r="DNP61" s="108"/>
      <c r="DNQ61" s="108"/>
      <c r="DNR61" s="108"/>
      <c r="DNS61" s="108"/>
      <c r="DNT61" s="108"/>
      <c r="DNU61" s="108"/>
      <c r="DNV61" s="108"/>
      <c r="DNW61" s="108"/>
      <c r="DNX61" s="108"/>
      <c r="DNY61" s="108"/>
      <c r="DNZ61" s="108"/>
      <c r="DOA61" s="108"/>
      <c r="DOB61" s="108"/>
      <c r="DOC61" s="108"/>
      <c r="DOD61" s="108"/>
      <c r="DOE61" s="108"/>
      <c r="DOF61" s="108"/>
      <c r="DOG61" s="108"/>
      <c r="DOH61" s="108"/>
      <c r="DOI61" s="108"/>
      <c r="DOJ61" s="108"/>
      <c r="DOK61" s="108"/>
      <c r="DOL61" s="108"/>
      <c r="DOM61" s="108"/>
      <c r="DON61" s="108"/>
      <c r="DOO61" s="108"/>
      <c r="DOP61" s="108"/>
      <c r="DOQ61" s="108"/>
      <c r="DOR61" s="108"/>
      <c r="DOS61" s="108"/>
      <c r="DOT61" s="108"/>
      <c r="DOU61" s="108"/>
      <c r="DOV61" s="108"/>
      <c r="DOW61" s="108"/>
      <c r="DOX61" s="108"/>
      <c r="DOY61" s="108"/>
      <c r="DOZ61" s="108"/>
      <c r="DPA61" s="108"/>
      <c r="DPB61" s="108"/>
      <c r="DPC61" s="108"/>
      <c r="DPD61" s="108"/>
      <c r="DPE61" s="108"/>
      <c r="DPF61" s="108"/>
      <c r="DPG61" s="108"/>
      <c r="DPH61" s="108"/>
      <c r="DPI61" s="108"/>
      <c r="DPJ61" s="108"/>
      <c r="DPK61" s="108"/>
      <c r="DPL61" s="108"/>
      <c r="DPM61" s="108"/>
      <c r="DPN61" s="108"/>
      <c r="DPO61" s="108"/>
      <c r="DPP61" s="108"/>
      <c r="DPQ61" s="108"/>
      <c r="DPR61" s="108"/>
      <c r="DPS61" s="108"/>
      <c r="DPT61" s="108"/>
      <c r="DPU61" s="108"/>
      <c r="DPV61" s="108"/>
      <c r="DPW61" s="108"/>
      <c r="DPX61" s="108"/>
      <c r="DPY61" s="108"/>
      <c r="DPZ61" s="108"/>
      <c r="DQA61" s="108"/>
      <c r="DQB61" s="108"/>
      <c r="DQC61" s="108"/>
      <c r="DQD61" s="108"/>
      <c r="DQE61" s="108"/>
      <c r="DQF61" s="108"/>
      <c r="DQG61" s="108"/>
      <c r="DQH61" s="108"/>
      <c r="DQI61" s="108"/>
      <c r="DQJ61" s="108"/>
      <c r="DQK61" s="108"/>
      <c r="DQL61" s="108"/>
      <c r="DQM61" s="108"/>
      <c r="DQN61" s="108"/>
      <c r="DQO61" s="108"/>
      <c r="DQP61" s="108"/>
      <c r="DQQ61" s="108"/>
      <c r="DQR61" s="108"/>
      <c r="DQS61" s="108"/>
      <c r="DQT61" s="108"/>
      <c r="DQU61" s="108"/>
      <c r="DQV61" s="108"/>
      <c r="DQW61" s="108"/>
      <c r="DQX61" s="108"/>
      <c r="DQY61" s="108"/>
      <c r="DQZ61" s="108"/>
      <c r="DRA61" s="108"/>
      <c r="DRB61" s="108"/>
      <c r="DRC61" s="108"/>
      <c r="DRD61" s="108"/>
      <c r="DRE61" s="108"/>
      <c r="DRF61" s="108"/>
      <c r="DRG61" s="108"/>
      <c r="DRH61" s="108"/>
      <c r="DRI61" s="108"/>
      <c r="DRJ61" s="108"/>
      <c r="DRK61" s="108"/>
      <c r="DRL61" s="108"/>
      <c r="DRM61" s="108"/>
      <c r="DRN61" s="108"/>
      <c r="DRO61" s="108"/>
      <c r="DRP61" s="108"/>
      <c r="DRQ61" s="108"/>
      <c r="DRR61" s="108"/>
      <c r="DRS61" s="108"/>
      <c r="DRT61" s="108"/>
      <c r="DRU61" s="108"/>
      <c r="DRV61" s="108"/>
      <c r="DRW61" s="108"/>
      <c r="DRX61" s="108"/>
      <c r="DRY61" s="108"/>
      <c r="DRZ61" s="108"/>
      <c r="DSA61" s="108"/>
      <c r="DSB61" s="108"/>
      <c r="DSC61" s="108"/>
      <c r="DSD61" s="108"/>
      <c r="DSE61" s="108"/>
      <c r="DSF61" s="108"/>
      <c r="DSG61" s="108"/>
      <c r="DSH61" s="108"/>
      <c r="DSI61" s="108"/>
      <c r="DSJ61" s="108"/>
      <c r="DSK61" s="108"/>
      <c r="DSL61" s="108"/>
      <c r="DSM61" s="108"/>
      <c r="DSN61" s="108"/>
      <c r="DSO61" s="108"/>
      <c r="DSP61" s="108"/>
      <c r="DSQ61" s="108"/>
      <c r="DSR61" s="108"/>
      <c r="DSS61" s="108"/>
      <c r="DST61" s="108"/>
      <c r="DSU61" s="108"/>
      <c r="DSV61" s="108"/>
      <c r="DSW61" s="108"/>
      <c r="DSX61" s="108"/>
      <c r="DSY61" s="108"/>
      <c r="DSZ61" s="108"/>
      <c r="DTA61" s="108"/>
      <c r="DTB61" s="108"/>
      <c r="DTC61" s="108"/>
      <c r="DTD61" s="108"/>
      <c r="DTE61" s="108"/>
      <c r="DTF61" s="108"/>
      <c r="DTG61" s="108"/>
      <c r="DTH61" s="108"/>
      <c r="DTI61" s="108"/>
      <c r="DTJ61" s="108"/>
      <c r="DTK61" s="108"/>
      <c r="DTL61" s="108"/>
      <c r="DTM61" s="108"/>
      <c r="DTN61" s="108"/>
      <c r="DTO61" s="108"/>
      <c r="DTP61" s="108"/>
      <c r="DTQ61" s="108"/>
      <c r="DTR61" s="108"/>
      <c r="DTS61" s="108"/>
      <c r="DTT61" s="108"/>
      <c r="DTU61" s="108"/>
      <c r="DTV61" s="108"/>
      <c r="DTW61" s="108"/>
      <c r="DTX61" s="108"/>
      <c r="DTY61" s="108"/>
      <c r="DTZ61" s="108"/>
      <c r="DUA61" s="108"/>
      <c r="DUB61" s="108"/>
      <c r="DUC61" s="108"/>
      <c r="DUD61" s="108"/>
      <c r="DUE61" s="108"/>
      <c r="DUF61" s="108"/>
      <c r="DUG61" s="108"/>
      <c r="DUH61" s="108"/>
      <c r="DUI61" s="108"/>
      <c r="DUJ61" s="108"/>
      <c r="DUK61" s="108"/>
      <c r="DUL61" s="108"/>
      <c r="DUM61" s="108"/>
      <c r="DUN61" s="108"/>
      <c r="DUO61" s="108"/>
      <c r="DUP61" s="108"/>
      <c r="DUQ61" s="108"/>
      <c r="DUR61" s="108"/>
      <c r="DUS61" s="108"/>
      <c r="DUT61" s="108"/>
      <c r="DUU61" s="108"/>
      <c r="DUV61" s="108"/>
      <c r="DUW61" s="108"/>
      <c r="DUX61" s="108"/>
      <c r="DUY61" s="108"/>
      <c r="DUZ61" s="108"/>
      <c r="DVA61" s="108"/>
      <c r="DVB61" s="108"/>
      <c r="DVC61" s="108"/>
      <c r="DVD61" s="108"/>
      <c r="DVE61" s="108"/>
      <c r="DVF61" s="108"/>
      <c r="DVG61" s="108"/>
      <c r="DVH61" s="108"/>
      <c r="DVI61" s="108"/>
      <c r="DVJ61" s="108"/>
      <c r="DVK61" s="108"/>
      <c r="DVL61" s="108"/>
      <c r="DVM61" s="108"/>
      <c r="DVN61" s="108"/>
      <c r="DVO61" s="108"/>
      <c r="DVP61" s="108"/>
      <c r="DVQ61" s="108"/>
      <c r="DVR61" s="108"/>
      <c r="DVS61" s="108"/>
      <c r="DVT61" s="108"/>
      <c r="DVU61" s="108"/>
      <c r="DVV61" s="108"/>
      <c r="DVW61" s="108"/>
      <c r="DVX61" s="108"/>
      <c r="DVY61" s="108"/>
      <c r="DVZ61" s="108"/>
      <c r="DWA61" s="108"/>
      <c r="DWB61" s="108"/>
      <c r="DWC61" s="108"/>
      <c r="DWD61" s="108"/>
      <c r="DWE61" s="108"/>
      <c r="DWF61" s="108"/>
      <c r="DWG61" s="108"/>
      <c r="DWH61" s="108"/>
      <c r="DWI61" s="108"/>
      <c r="DWJ61" s="108"/>
      <c r="DWK61" s="108"/>
      <c r="DWL61" s="108"/>
      <c r="DWM61" s="108"/>
      <c r="DWN61" s="108"/>
      <c r="DWO61" s="108"/>
      <c r="DWP61" s="108"/>
      <c r="DWQ61" s="108"/>
      <c r="DWR61" s="108"/>
      <c r="DWS61" s="108"/>
      <c r="DWT61" s="108"/>
      <c r="DWU61" s="108"/>
      <c r="DWV61" s="108"/>
      <c r="DWW61" s="108"/>
      <c r="DWX61" s="108"/>
      <c r="DWY61" s="108"/>
      <c r="DWZ61" s="108"/>
      <c r="DXA61" s="108"/>
      <c r="DXB61" s="108"/>
      <c r="DXC61" s="108"/>
      <c r="DXD61" s="108"/>
      <c r="DXE61" s="108"/>
      <c r="DXF61" s="108"/>
      <c r="DXG61" s="108"/>
      <c r="DXH61" s="108"/>
      <c r="DXI61" s="108"/>
      <c r="DXJ61" s="108"/>
      <c r="DXK61" s="108"/>
      <c r="DXL61" s="108"/>
      <c r="DXM61" s="108"/>
      <c r="DXN61" s="108"/>
      <c r="DXO61" s="108"/>
      <c r="DXP61" s="108"/>
      <c r="DXQ61" s="108"/>
      <c r="DXR61" s="108"/>
      <c r="DXS61" s="108"/>
      <c r="DXT61" s="108"/>
      <c r="DXU61" s="108"/>
      <c r="DXV61" s="108"/>
      <c r="DXW61" s="108"/>
      <c r="DXX61" s="108"/>
      <c r="DXY61" s="108"/>
      <c r="DXZ61" s="108"/>
      <c r="DYA61" s="108"/>
      <c r="DYB61" s="108"/>
      <c r="DYC61" s="108"/>
      <c r="DYD61" s="108"/>
      <c r="DYE61" s="108"/>
      <c r="DYF61" s="108"/>
      <c r="DYG61" s="108"/>
      <c r="DYH61" s="108"/>
      <c r="DYI61" s="108"/>
      <c r="DYJ61" s="108"/>
      <c r="DYK61" s="108"/>
      <c r="DYL61" s="108"/>
      <c r="DYM61" s="108"/>
      <c r="DYN61" s="108"/>
      <c r="DYO61" s="108"/>
      <c r="DYP61" s="108"/>
      <c r="DYQ61" s="108"/>
      <c r="DYR61" s="108"/>
      <c r="DYS61" s="108"/>
      <c r="DYT61" s="108"/>
      <c r="DYU61" s="108"/>
      <c r="DYV61" s="108"/>
      <c r="DYW61" s="108"/>
      <c r="DYX61" s="108"/>
      <c r="DYY61" s="108"/>
      <c r="DYZ61" s="108"/>
      <c r="DZA61" s="108"/>
      <c r="DZB61" s="108"/>
      <c r="DZC61" s="108"/>
      <c r="DZD61" s="108"/>
      <c r="DZE61" s="108"/>
      <c r="DZF61" s="108"/>
      <c r="DZG61" s="108"/>
      <c r="DZH61" s="108"/>
      <c r="DZI61" s="108"/>
      <c r="DZJ61" s="108"/>
      <c r="DZK61" s="108"/>
      <c r="DZL61" s="108"/>
      <c r="DZM61" s="108"/>
      <c r="DZN61" s="108"/>
      <c r="DZO61" s="108"/>
      <c r="DZP61" s="108"/>
      <c r="DZQ61" s="108"/>
      <c r="DZR61" s="108"/>
      <c r="DZS61" s="108"/>
      <c r="DZT61" s="108"/>
      <c r="DZU61" s="108"/>
      <c r="DZV61" s="108"/>
      <c r="DZW61" s="108"/>
      <c r="DZX61" s="108"/>
      <c r="DZY61" s="108"/>
      <c r="DZZ61" s="108"/>
      <c r="EAA61" s="108"/>
      <c r="EAB61" s="108"/>
      <c r="EAC61" s="108"/>
      <c r="EAD61" s="108"/>
      <c r="EAE61" s="108"/>
      <c r="EAF61" s="108"/>
      <c r="EAG61" s="108"/>
      <c r="EAH61" s="108"/>
      <c r="EAI61" s="108"/>
      <c r="EAJ61" s="108"/>
      <c r="EAK61" s="108"/>
      <c r="EAL61" s="108"/>
      <c r="EAM61" s="108"/>
      <c r="EAN61" s="108"/>
      <c r="EAO61" s="108"/>
      <c r="EAP61" s="108"/>
      <c r="EAQ61" s="108"/>
      <c r="EAR61" s="108"/>
      <c r="EAS61" s="108"/>
      <c r="EAT61" s="108"/>
      <c r="EAU61" s="108"/>
      <c r="EAV61" s="108"/>
      <c r="EAW61" s="108"/>
      <c r="EAX61" s="108"/>
      <c r="EAY61" s="108"/>
      <c r="EAZ61" s="108"/>
      <c r="EBA61" s="108"/>
      <c r="EBB61" s="108"/>
      <c r="EBC61" s="108"/>
      <c r="EBD61" s="108"/>
      <c r="EBE61" s="108"/>
      <c r="EBF61" s="108"/>
      <c r="EBG61" s="108"/>
      <c r="EBH61" s="108"/>
      <c r="EBI61" s="108"/>
      <c r="EBJ61" s="108"/>
      <c r="EBK61" s="108"/>
      <c r="EBL61" s="108"/>
      <c r="EBM61" s="108"/>
      <c r="EBN61" s="108"/>
      <c r="EBO61" s="108"/>
      <c r="EBP61" s="108"/>
      <c r="EBQ61" s="108"/>
      <c r="EBR61" s="108"/>
      <c r="EBS61" s="108"/>
      <c r="EBT61" s="108"/>
      <c r="EBU61" s="108"/>
      <c r="EBV61" s="108"/>
      <c r="EBW61" s="108"/>
      <c r="EBX61" s="108"/>
      <c r="EBY61" s="108"/>
      <c r="EBZ61" s="108"/>
      <c r="ECA61" s="108"/>
      <c r="ECB61" s="108"/>
      <c r="ECC61" s="108"/>
      <c r="ECD61" s="108"/>
      <c r="ECE61" s="108"/>
      <c r="ECF61" s="108"/>
      <c r="ECG61" s="108"/>
      <c r="ECH61" s="108"/>
      <c r="ECI61" s="108"/>
      <c r="ECJ61" s="108"/>
      <c r="ECK61" s="108"/>
      <c r="ECL61" s="108"/>
      <c r="ECM61" s="108"/>
      <c r="ECN61" s="108"/>
      <c r="ECO61" s="108"/>
      <c r="ECP61" s="108"/>
      <c r="ECQ61" s="108"/>
      <c r="ECR61" s="108"/>
      <c r="ECS61" s="108"/>
      <c r="ECT61" s="108"/>
      <c r="ECU61" s="108"/>
      <c r="ECV61" s="108"/>
      <c r="ECW61" s="108"/>
      <c r="ECX61" s="108"/>
      <c r="ECY61" s="108"/>
      <c r="ECZ61" s="108"/>
      <c r="EDA61" s="108"/>
      <c r="EDB61" s="108"/>
      <c r="EDC61" s="108"/>
      <c r="EDD61" s="108"/>
      <c r="EDE61" s="108"/>
      <c r="EDF61" s="108"/>
      <c r="EDG61" s="108"/>
      <c r="EDH61" s="108"/>
      <c r="EDI61" s="108"/>
      <c r="EDJ61" s="108"/>
      <c r="EDK61" s="108"/>
      <c r="EDL61" s="108"/>
      <c r="EDM61" s="108"/>
      <c r="EDN61" s="108"/>
      <c r="EDO61" s="108"/>
      <c r="EDP61" s="108"/>
      <c r="EDQ61" s="108"/>
      <c r="EDR61" s="108"/>
      <c r="EDS61" s="108"/>
      <c r="EDT61" s="108"/>
      <c r="EDU61" s="108"/>
      <c r="EDV61" s="108"/>
      <c r="EDW61" s="108"/>
      <c r="EDX61" s="108"/>
      <c r="EDY61" s="108"/>
      <c r="EDZ61" s="108"/>
      <c r="EEA61" s="108"/>
      <c r="EEB61" s="108"/>
      <c r="EEC61" s="108"/>
      <c r="EED61" s="108"/>
      <c r="EEE61" s="108"/>
      <c r="EEF61" s="108"/>
      <c r="EEG61" s="108"/>
      <c r="EEH61" s="108"/>
      <c r="EEI61" s="108"/>
      <c r="EEJ61" s="108"/>
      <c r="EEK61" s="108"/>
      <c r="EEL61" s="108"/>
      <c r="EEM61" s="108"/>
      <c r="EEN61" s="108"/>
      <c r="EEO61" s="108"/>
      <c r="EEP61" s="108"/>
      <c r="EEQ61" s="108"/>
      <c r="EER61" s="108"/>
      <c r="EES61" s="108"/>
      <c r="EET61" s="108"/>
      <c r="EEU61" s="108"/>
      <c r="EEV61" s="108"/>
      <c r="EEW61" s="108"/>
      <c r="EEX61" s="108"/>
      <c r="EEY61" s="108"/>
      <c r="EEZ61" s="108"/>
      <c r="EFA61" s="108"/>
      <c r="EFB61" s="108"/>
      <c r="EFC61" s="108"/>
      <c r="EFD61" s="108"/>
      <c r="EFE61" s="108"/>
      <c r="EFF61" s="108"/>
      <c r="EFG61" s="108"/>
      <c r="EFH61" s="108"/>
      <c r="EFI61" s="108"/>
      <c r="EFJ61" s="108"/>
      <c r="EFK61" s="108"/>
      <c r="EFL61" s="108"/>
      <c r="EFM61" s="108"/>
      <c r="EFN61" s="108"/>
      <c r="EFO61" s="108"/>
      <c r="EFP61" s="108"/>
      <c r="EFQ61" s="108"/>
      <c r="EFR61" s="108"/>
      <c r="EFS61" s="108"/>
      <c r="EFT61" s="108"/>
      <c r="EFU61" s="108"/>
      <c r="EFV61" s="108"/>
      <c r="EFW61" s="108"/>
      <c r="EFX61" s="108"/>
      <c r="EFY61" s="108"/>
      <c r="EFZ61" s="108"/>
      <c r="EGA61" s="108"/>
      <c r="EGB61" s="108"/>
      <c r="EGC61" s="108"/>
      <c r="EGD61" s="108"/>
      <c r="EGE61" s="108"/>
      <c r="EGF61" s="108"/>
      <c r="EGG61" s="108"/>
      <c r="EGH61" s="108"/>
      <c r="EGI61" s="108"/>
      <c r="EGJ61" s="108"/>
      <c r="EGK61" s="108"/>
      <c r="EGL61" s="108"/>
      <c r="EGM61" s="108"/>
      <c r="EGN61" s="108"/>
      <c r="EGO61" s="108"/>
      <c r="EGP61" s="108"/>
      <c r="EGQ61" s="108"/>
      <c r="EGR61" s="108"/>
      <c r="EGS61" s="108"/>
      <c r="EGT61" s="108"/>
      <c r="EGU61" s="108"/>
      <c r="EGV61" s="108"/>
      <c r="EGW61" s="108"/>
      <c r="EGX61" s="108"/>
      <c r="EGY61" s="108"/>
      <c r="EGZ61" s="108"/>
      <c r="EHA61" s="108"/>
      <c r="EHB61" s="108"/>
      <c r="EHC61" s="108"/>
      <c r="EHD61" s="108"/>
      <c r="EHE61" s="108"/>
      <c r="EHF61" s="108"/>
      <c r="EHG61" s="108"/>
      <c r="EHH61" s="108"/>
      <c r="EHI61" s="108"/>
      <c r="EHJ61" s="108"/>
      <c r="EHK61" s="108"/>
      <c r="EHL61" s="108"/>
      <c r="EHM61" s="108"/>
      <c r="EHN61" s="108"/>
      <c r="EHO61" s="108"/>
      <c r="EHP61" s="108"/>
      <c r="EHQ61" s="108"/>
      <c r="EHR61" s="108"/>
      <c r="EHS61" s="108"/>
      <c r="EHT61" s="108"/>
      <c r="EHU61" s="108"/>
      <c r="EHV61" s="108"/>
      <c r="EHW61" s="108"/>
      <c r="EHX61" s="108"/>
      <c r="EHY61" s="108"/>
      <c r="EHZ61" s="108"/>
      <c r="EIA61" s="108"/>
      <c r="EIB61" s="108"/>
      <c r="EIC61" s="108"/>
      <c r="EID61" s="108"/>
      <c r="EIE61" s="108"/>
      <c r="EIF61" s="108"/>
      <c r="EIG61" s="108"/>
      <c r="EIH61" s="108"/>
      <c r="EII61" s="108"/>
      <c r="EIJ61" s="108"/>
      <c r="EIK61" s="108"/>
      <c r="EIL61" s="108"/>
      <c r="EIM61" s="108"/>
      <c r="EIN61" s="108"/>
      <c r="EIO61" s="108"/>
      <c r="EIP61" s="108"/>
      <c r="EIQ61" s="108"/>
      <c r="EIR61" s="108"/>
      <c r="EIS61" s="108"/>
      <c r="EIT61" s="108"/>
      <c r="EIU61" s="108"/>
      <c r="EIV61" s="108"/>
      <c r="EIW61" s="108"/>
      <c r="EIX61" s="108"/>
      <c r="EIY61" s="108"/>
      <c r="EIZ61" s="108"/>
      <c r="EJA61" s="108"/>
      <c r="EJB61" s="108"/>
      <c r="EJC61" s="108"/>
      <c r="EJD61" s="108"/>
      <c r="EJE61" s="108"/>
      <c r="EJF61" s="108"/>
      <c r="EJG61" s="108"/>
      <c r="EJH61" s="108"/>
      <c r="EJI61" s="108"/>
      <c r="EJJ61" s="108"/>
      <c r="EJK61" s="108"/>
      <c r="EJL61" s="108"/>
      <c r="EJM61" s="108"/>
      <c r="EJN61" s="108"/>
      <c r="EJO61" s="108"/>
      <c r="EJP61" s="108"/>
      <c r="EJQ61" s="108"/>
      <c r="EJR61" s="108"/>
      <c r="EJS61" s="108"/>
      <c r="EJT61" s="108"/>
      <c r="EJU61" s="108"/>
      <c r="EJV61" s="108"/>
      <c r="EJW61" s="108"/>
      <c r="EJX61" s="108"/>
      <c r="EJY61" s="108"/>
      <c r="EJZ61" s="108"/>
      <c r="EKA61" s="108"/>
      <c r="EKB61" s="108"/>
      <c r="EKC61" s="108"/>
      <c r="EKD61" s="108"/>
      <c r="EKE61" s="108"/>
      <c r="EKF61" s="108"/>
      <c r="EKG61" s="108"/>
      <c r="EKH61" s="108"/>
      <c r="EKI61" s="108"/>
      <c r="EKJ61" s="108"/>
      <c r="EKK61" s="108"/>
      <c r="EKL61" s="108"/>
      <c r="EKM61" s="108"/>
      <c r="EKN61" s="108"/>
      <c r="EKO61" s="108"/>
      <c r="EKP61" s="108"/>
      <c r="EKQ61" s="108"/>
      <c r="EKR61" s="108"/>
      <c r="EKS61" s="108"/>
      <c r="EKT61" s="108"/>
      <c r="EKU61" s="108"/>
      <c r="EKV61" s="108"/>
      <c r="EKW61" s="108"/>
      <c r="EKX61" s="108"/>
      <c r="EKY61" s="108"/>
      <c r="EKZ61" s="108"/>
      <c r="ELA61" s="108"/>
      <c r="ELB61" s="108"/>
      <c r="ELC61" s="108"/>
      <c r="ELD61" s="108"/>
      <c r="ELE61" s="108"/>
      <c r="ELF61" s="108"/>
      <c r="ELG61" s="108"/>
      <c r="ELH61" s="108"/>
      <c r="ELI61" s="108"/>
      <c r="ELJ61" s="108"/>
      <c r="ELK61" s="108"/>
      <c r="ELL61" s="108"/>
      <c r="ELM61" s="108"/>
      <c r="ELN61" s="108"/>
      <c r="ELO61" s="108"/>
      <c r="ELP61" s="108"/>
      <c r="ELQ61" s="108"/>
      <c r="ELR61" s="108"/>
      <c r="ELS61" s="108"/>
      <c r="ELT61" s="108"/>
      <c r="ELU61" s="108"/>
      <c r="ELV61" s="108"/>
      <c r="ELW61" s="108"/>
      <c r="ELX61" s="108"/>
      <c r="ELY61" s="108"/>
      <c r="ELZ61" s="108"/>
      <c r="EMA61" s="108"/>
      <c r="EMB61" s="108"/>
      <c r="EMC61" s="108"/>
      <c r="EMD61" s="108"/>
      <c r="EME61" s="108"/>
      <c r="EMF61" s="108"/>
      <c r="EMG61" s="108"/>
      <c r="EMH61" s="108"/>
      <c r="EMI61" s="108"/>
      <c r="EMJ61" s="108"/>
      <c r="EMK61" s="108"/>
      <c r="EML61" s="108"/>
      <c r="EMM61" s="108"/>
      <c r="EMN61" s="108"/>
      <c r="EMO61" s="108"/>
      <c r="EMP61" s="108"/>
      <c r="EMQ61" s="108"/>
      <c r="EMR61" s="108"/>
      <c r="EMS61" s="108"/>
      <c r="EMT61" s="108"/>
      <c r="EMU61" s="108"/>
      <c r="EMV61" s="108"/>
      <c r="EMW61" s="108"/>
      <c r="EMX61" s="108"/>
      <c r="EMY61" s="108"/>
      <c r="EMZ61" s="108"/>
      <c r="ENA61" s="108"/>
      <c r="ENB61" s="108"/>
      <c r="ENC61" s="108"/>
      <c r="END61" s="108"/>
      <c r="ENE61" s="108"/>
      <c r="ENF61" s="108"/>
      <c r="ENG61" s="108"/>
      <c r="ENH61" s="108"/>
      <c r="ENI61" s="108"/>
      <c r="ENJ61" s="108"/>
      <c r="ENK61" s="108"/>
      <c r="ENL61" s="108"/>
      <c r="ENM61" s="108"/>
      <c r="ENN61" s="108"/>
      <c r="ENO61" s="108"/>
      <c r="ENP61" s="108"/>
      <c r="ENQ61" s="108"/>
      <c r="ENR61" s="108"/>
      <c r="ENS61" s="108"/>
      <c r="ENT61" s="108"/>
      <c r="ENU61" s="108"/>
      <c r="ENV61" s="108"/>
      <c r="ENW61" s="108"/>
      <c r="ENX61" s="108"/>
      <c r="ENY61" s="108"/>
      <c r="ENZ61" s="108"/>
      <c r="EOA61" s="108"/>
      <c r="EOB61" s="108"/>
      <c r="EOC61" s="108"/>
      <c r="EOD61" s="108"/>
      <c r="EOE61" s="108"/>
      <c r="EOF61" s="108"/>
      <c r="EOG61" s="108"/>
      <c r="EOH61" s="108"/>
      <c r="EOI61" s="108"/>
      <c r="EOJ61" s="108"/>
      <c r="EOK61" s="108"/>
      <c r="EOL61" s="108"/>
      <c r="EOM61" s="108"/>
      <c r="EON61" s="108"/>
      <c r="EOO61" s="108"/>
      <c r="EOP61" s="108"/>
      <c r="EOQ61" s="108"/>
      <c r="EOR61" s="108"/>
      <c r="EOS61" s="108"/>
      <c r="EOT61" s="108"/>
      <c r="EOU61" s="108"/>
      <c r="EOV61" s="108"/>
      <c r="EOW61" s="108"/>
      <c r="EOX61" s="108"/>
      <c r="EOY61" s="108"/>
      <c r="EOZ61" s="108"/>
      <c r="EPA61" s="108"/>
      <c r="EPB61" s="108"/>
      <c r="EPC61" s="108"/>
      <c r="EPD61" s="108"/>
      <c r="EPE61" s="108"/>
      <c r="EPF61" s="108"/>
      <c r="EPG61" s="108"/>
      <c r="EPH61" s="108"/>
      <c r="EPI61" s="108"/>
      <c r="EPJ61" s="108"/>
      <c r="EPK61" s="108"/>
      <c r="EPL61" s="108"/>
      <c r="EPM61" s="108"/>
      <c r="EPN61" s="108"/>
      <c r="EPO61" s="108"/>
      <c r="EPP61" s="108"/>
      <c r="EPQ61" s="108"/>
      <c r="EPR61" s="108"/>
      <c r="EPS61" s="108"/>
      <c r="EPT61" s="108"/>
      <c r="EPU61" s="108"/>
      <c r="EPV61" s="108"/>
      <c r="EPW61" s="108"/>
      <c r="EPX61" s="108"/>
      <c r="EPY61" s="108"/>
      <c r="EPZ61" s="108"/>
      <c r="EQA61" s="108"/>
      <c r="EQB61" s="108"/>
      <c r="EQC61" s="108"/>
      <c r="EQD61" s="108"/>
      <c r="EQE61" s="108"/>
      <c r="EQF61" s="108"/>
      <c r="EQG61" s="108"/>
      <c r="EQH61" s="108"/>
      <c r="EQI61" s="108"/>
      <c r="EQJ61" s="108"/>
      <c r="EQK61" s="108"/>
      <c r="EQL61" s="108"/>
      <c r="EQM61" s="108"/>
      <c r="EQN61" s="108"/>
      <c r="EQO61" s="108"/>
      <c r="EQP61" s="108"/>
      <c r="EQQ61" s="108"/>
      <c r="EQR61" s="108"/>
      <c r="EQS61" s="108"/>
      <c r="EQT61" s="108"/>
      <c r="EQU61" s="108"/>
      <c r="EQV61" s="108"/>
      <c r="EQW61" s="108"/>
      <c r="EQX61" s="108"/>
      <c r="EQY61" s="108"/>
      <c r="EQZ61" s="108"/>
      <c r="ERA61" s="108"/>
      <c r="ERB61" s="108"/>
      <c r="ERC61" s="108"/>
      <c r="ERD61" s="108"/>
      <c r="ERE61" s="108"/>
      <c r="ERF61" s="108"/>
      <c r="ERG61" s="108"/>
      <c r="ERH61" s="108"/>
      <c r="ERI61" s="108"/>
      <c r="ERJ61" s="108"/>
      <c r="ERK61" s="108"/>
      <c r="ERL61" s="108"/>
      <c r="ERM61" s="108"/>
      <c r="ERN61" s="108"/>
      <c r="ERO61" s="108"/>
      <c r="ERP61" s="108"/>
      <c r="ERQ61" s="108"/>
      <c r="ERR61" s="108"/>
      <c r="ERS61" s="108"/>
      <c r="ERT61" s="108"/>
      <c r="ERU61" s="108"/>
      <c r="ERV61" s="108"/>
      <c r="ERW61" s="108"/>
      <c r="ERX61" s="108"/>
      <c r="ERY61" s="108"/>
      <c r="ERZ61" s="108"/>
      <c r="ESA61" s="108"/>
      <c r="ESB61" s="108"/>
      <c r="ESC61" s="108"/>
      <c r="ESD61" s="108"/>
      <c r="ESE61" s="108"/>
      <c r="ESF61" s="108"/>
      <c r="ESG61" s="108"/>
      <c r="ESH61" s="108"/>
      <c r="ESI61" s="108"/>
      <c r="ESJ61" s="108"/>
      <c r="ESK61" s="108"/>
      <c r="ESL61" s="108"/>
      <c r="ESM61" s="108"/>
      <c r="ESN61" s="108"/>
      <c r="ESO61" s="108"/>
      <c r="ESP61" s="108"/>
      <c r="ESQ61" s="108"/>
      <c r="ESR61" s="108"/>
      <c r="ESS61" s="108"/>
      <c r="EST61" s="108"/>
      <c r="ESU61" s="108"/>
      <c r="ESV61" s="108"/>
      <c r="ESW61" s="108"/>
      <c r="ESX61" s="108"/>
      <c r="ESY61" s="108"/>
      <c r="ESZ61" s="108"/>
      <c r="ETA61" s="108"/>
      <c r="ETB61" s="108"/>
      <c r="ETC61" s="108"/>
      <c r="ETD61" s="108"/>
      <c r="ETE61" s="108"/>
      <c r="ETF61" s="108"/>
      <c r="ETG61" s="108"/>
      <c r="ETH61" s="108"/>
      <c r="ETI61" s="108"/>
      <c r="ETJ61" s="108"/>
      <c r="ETK61" s="108"/>
      <c r="ETL61" s="108"/>
      <c r="ETM61" s="108"/>
      <c r="ETN61" s="108"/>
      <c r="ETO61" s="108"/>
      <c r="ETP61" s="108"/>
      <c r="ETQ61" s="108"/>
      <c r="ETR61" s="108"/>
      <c r="ETS61" s="108"/>
      <c r="ETT61" s="108"/>
      <c r="ETU61" s="108"/>
      <c r="ETV61" s="108"/>
      <c r="ETW61" s="108"/>
      <c r="ETX61" s="108"/>
      <c r="ETY61" s="108"/>
      <c r="ETZ61" s="108"/>
      <c r="EUA61" s="108"/>
      <c r="EUB61" s="108"/>
      <c r="EUC61" s="108"/>
      <c r="EUD61" s="108"/>
      <c r="EUE61" s="108"/>
      <c r="EUF61" s="108"/>
      <c r="EUG61" s="108"/>
      <c r="EUH61" s="108"/>
      <c r="EUI61" s="108"/>
      <c r="EUJ61" s="108"/>
      <c r="EUK61" s="108"/>
      <c r="EUL61" s="108"/>
      <c r="EUM61" s="108"/>
      <c r="EUN61" s="108"/>
      <c r="EUO61" s="108"/>
      <c r="EUP61" s="108"/>
      <c r="EUQ61" s="108"/>
      <c r="EUR61" s="108"/>
      <c r="EUS61" s="108"/>
      <c r="EUT61" s="108"/>
      <c r="EUU61" s="108"/>
      <c r="EUV61" s="108"/>
      <c r="EUW61" s="108"/>
      <c r="EUX61" s="108"/>
      <c r="EUY61" s="108"/>
      <c r="EUZ61" s="108"/>
      <c r="EVA61" s="108"/>
      <c r="EVB61" s="108"/>
      <c r="EVC61" s="108"/>
      <c r="EVD61" s="108"/>
      <c r="EVE61" s="108"/>
      <c r="EVF61" s="108"/>
      <c r="EVG61" s="108"/>
      <c r="EVH61" s="108"/>
      <c r="EVI61" s="108"/>
      <c r="EVJ61" s="108"/>
      <c r="EVK61" s="108"/>
      <c r="EVL61" s="108"/>
      <c r="EVM61" s="108"/>
      <c r="EVN61" s="108"/>
      <c r="EVO61" s="108"/>
      <c r="EVP61" s="108"/>
      <c r="EVQ61" s="108"/>
      <c r="EVR61" s="108"/>
      <c r="EVS61" s="108"/>
      <c r="EVT61" s="108"/>
      <c r="EVU61" s="108"/>
      <c r="EVV61" s="108"/>
      <c r="EVW61" s="108"/>
      <c r="EVX61" s="108"/>
      <c r="EVY61" s="108"/>
      <c r="EVZ61" s="108"/>
      <c r="EWA61" s="108"/>
      <c r="EWB61" s="108"/>
      <c r="EWC61" s="108"/>
      <c r="EWD61" s="108"/>
      <c r="EWE61" s="108"/>
      <c r="EWF61" s="108"/>
      <c r="EWG61" s="108"/>
      <c r="EWH61" s="108"/>
      <c r="EWI61" s="108"/>
      <c r="EWJ61" s="108"/>
      <c r="EWK61" s="108"/>
      <c r="EWL61" s="108"/>
      <c r="EWM61" s="108"/>
      <c r="EWN61" s="108"/>
      <c r="EWO61" s="108"/>
      <c r="EWP61" s="108"/>
      <c r="EWQ61" s="108"/>
      <c r="EWR61" s="108"/>
      <c r="EWS61" s="108"/>
      <c r="EWT61" s="108"/>
      <c r="EWU61" s="108"/>
      <c r="EWV61" s="108"/>
      <c r="EWW61" s="108"/>
      <c r="EWX61" s="108"/>
      <c r="EWY61" s="108"/>
      <c r="EWZ61" s="108"/>
      <c r="EXA61" s="108"/>
      <c r="EXB61" s="108"/>
      <c r="EXC61" s="108"/>
      <c r="EXD61" s="108"/>
      <c r="EXE61" s="108"/>
      <c r="EXF61" s="108"/>
      <c r="EXG61" s="108"/>
      <c r="EXH61" s="108"/>
      <c r="EXI61" s="108"/>
      <c r="EXJ61" s="108"/>
      <c r="EXK61" s="108"/>
      <c r="EXL61" s="108"/>
      <c r="EXM61" s="108"/>
      <c r="EXN61" s="108"/>
      <c r="EXO61" s="108"/>
      <c r="EXP61" s="108"/>
      <c r="EXQ61" s="108"/>
      <c r="EXR61" s="108"/>
      <c r="EXS61" s="108"/>
      <c r="EXT61" s="108"/>
      <c r="EXU61" s="108"/>
      <c r="EXV61" s="108"/>
      <c r="EXW61" s="108"/>
      <c r="EXX61" s="108"/>
      <c r="EXY61" s="108"/>
      <c r="EXZ61" s="108"/>
      <c r="EYA61" s="108"/>
      <c r="EYB61" s="108"/>
      <c r="EYC61" s="108"/>
      <c r="EYD61" s="108"/>
      <c r="EYE61" s="108"/>
      <c r="EYF61" s="108"/>
      <c r="EYG61" s="108"/>
      <c r="EYH61" s="108"/>
      <c r="EYI61" s="108"/>
      <c r="EYJ61" s="108"/>
      <c r="EYK61" s="108"/>
      <c r="EYL61" s="108"/>
      <c r="EYM61" s="108"/>
      <c r="EYN61" s="108"/>
      <c r="EYO61" s="108"/>
      <c r="EYP61" s="108"/>
      <c r="EYQ61" s="108"/>
      <c r="EYR61" s="108"/>
      <c r="EYS61" s="108"/>
      <c r="EYT61" s="108"/>
      <c r="EYU61" s="108"/>
      <c r="EYV61" s="108"/>
      <c r="EYW61" s="108"/>
      <c r="EYX61" s="108"/>
      <c r="EYY61" s="108"/>
      <c r="EYZ61" s="108"/>
      <c r="EZA61" s="108"/>
      <c r="EZB61" s="108"/>
      <c r="EZC61" s="108"/>
      <c r="EZD61" s="108"/>
      <c r="EZE61" s="108"/>
      <c r="EZF61" s="108"/>
      <c r="EZG61" s="108"/>
      <c r="EZH61" s="108"/>
      <c r="EZI61" s="108"/>
      <c r="EZJ61" s="108"/>
      <c r="EZK61" s="108"/>
      <c r="EZL61" s="108"/>
      <c r="EZM61" s="108"/>
      <c r="EZN61" s="108"/>
      <c r="EZO61" s="108"/>
      <c r="EZP61" s="108"/>
      <c r="EZQ61" s="108"/>
      <c r="EZR61" s="108"/>
      <c r="EZS61" s="108"/>
      <c r="EZT61" s="108"/>
      <c r="EZU61" s="108"/>
      <c r="EZV61" s="108"/>
      <c r="EZW61" s="108"/>
      <c r="EZX61" s="108"/>
      <c r="EZY61" s="108"/>
      <c r="EZZ61" s="108"/>
      <c r="FAA61" s="108"/>
      <c r="FAB61" s="108"/>
      <c r="FAC61" s="108"/>
      <c r="FAD61" s="108"/>
      <c r="FAE61" s="108"/>
      <c r="FAF61" s="108"/>
      <c r="FAG61" s="108"/>
      <c r="FAH61" s="108"/>
      <c r="FAI61" s="108"/>
      <c r="FAJ61" s="108"/>
      <c r="FAK61" s="108"/>
      <c r="FAL61" s="108"/>
      <c r="FAM61" s="108"/>
      <c r="FAN61" s="108"/>
      <c r="FAO61" s="108"/>
      <c r="FAP61" s="108"/>
      <c r="FAQ61" s="108"/>
      <c r="FAR61" s="108"/>
      <c r="FAS61" s="108"/>
      <c r="FAT61" s="108"/>
      <c r="FAU61" s="108"/>
      <c r="FAV61" s="108"/>
      <c r="FAW61" s="108"/>
      <c r="FAX61" s="108"/>
      <c r="FAY61" s="108"/>
      <c r="FAZ61" s="108"/>
      <c r="FBA61" s="108"/>
      <c r="FBB61" s="108"/>
      <c r="FBC61" s="108"/>
      <c r="FBD61" s="108"/>
      <c r="FBE61" s="108"/>
      <c r="FBF61" s="108"/>
      <c r="FBG61" s="108"/>
      <c r="FBH61" s="108"/>
      <c r="FBI61" s="108"/>
      <c r="FBJ61" s="108"/>
      <c r="FBK61" s="108"/>
      <c r="FBL61" s="108"/>
      <c r="FBM61" s="108"/>
      <c r="FBN61" s="108"/>
      <c r="FBO61" s="108"/>
      <c r="FBP61" s="108"/>
      <c r="FBQ61" s="108"/>
      <c r="FBR61" s="108"/>
      <c r="FBS61" s="108"/>
      <c r="FBT61" s="108"/>
      <c r="FBU61" s="108"/>
      <c r="FBV61" s="108"/>
      <c r="FBW61" s="108"/>
      <c r="FBX61" s="108"/>
      <c r="FBY61" s="108"/>
      <c r="FBZ61" s="108"/>
      <c r="FCA61" s="108"/>
      <c r="FCB61" s="108"/>
      <c r="FCC61" s="108"/>
      <c r="FCD61" s="108"/>
      <c r="FCE61" s="108"/>
      <c r="FCF61" s="108"/>
      <c r="FCG61" s="108"/>
      <c r="FCH61" s="108"/>
      <c r="FCI61" s="108"/>
      <c r="FCJ61" s="108"/>
      <c r="FCK61" s="108"/>
      <c r="FCL61" s="108"/>
      <c r="FCM61" s="108"/>
      <c r="FCN61" s="108"/>
      <c r="FCO61" s="108"/>
      <c r="FCP61" s="108"/>
      <c r="FCQ61" s="108"/>
      <c r="FCR61" s="108"/>
      <c r="FCS61" s="108"/>
      <c r="FCT61" s="108"/>
      <c r="FCU61" s="108"/>
      <c r="FCV61" s="108"/>
      <c r="FCW61" s="108"/>
      <c r="FCX61" s="108"/>
      <c r="FCY61" s="108"/>
      <c r="FCZ61" s="108"/>
      <c r="FDA61" s="108"/>
      <c r="FDB61" s="108"/>
      <c r="FDC61" s="108"/>
      <c r="FDD61" s="108"/>
      <c r="FDE61" s="108"/>
      <c r="FDF61" s="108"/>
      <c r="FDG61" s="108"/>
      <c r="FDH61" s="108"/>
      <c r="FDI61" s="108"/>
      <c r="FDJ61" s="108"/>
      <c r="FDK61" s="108"/>
      <c r="FDL61" s="108"/>
      <c r="FDM61" s="108"/>
      <c r="FDN61" s="108"/>
      <c r="FDO61" s="108"/>
      <c r="FDP61" s="108"/>
      <c r="FDQ61" s="108"/>
      <c r="FDR61" s="108"/>
      <c r="FDS61" s="108"/>
      <c r="FDT61" s="108"/>
      <c r="FDU61" s="108"/>
      <c r="FDV61" s="108"/>
      <c r="FDW61" s="108"/>
      <c r="FDX61" s="108"/>
      <c r="FDY61" s="108"/>
      <c r="FDZ61" s="108"/>
      <c r="FEA61" s="108"/>
      <c r="FEB61" s="108"/>
      <c r="FEC61" s="108"/>
      <c r="FED61" s="108"/>
      <c r="FEE61" s="108"/>
      <c r="FEF61" s="108"/>
      <c r="FEG61" s="108"/>
      <c r="FEH61" s="108"/>
      <c r="FEI61" s="108"/>
      <c r="FEJ61" s="108"/>
      <c r="FEK61" s="108"/>
      <c r="FEL61" s="108"/>
      <c r="FEM61" s="108"/>
      <c r="FEN61" s="108"/>
      <c r="FEO61" s="108"/>
      <c r="FEP61" s="108"/>
      <c r="FEQ61" s="108"/>
      <c r="FER61" s="108"/>
      <c r="FES61" s="108"/>
      <c r="FET61" s="108"/>
      <c r="FEU61" s="108"/>
      <c r="FEV61" s="108"/>
      <c r="FEW61" s="108"/>
      <c r="FEX61" s="108"/>
      <c r="FEY61" s="108"/>
      <c r="FEZ61" s="108"/>
      <c r="FFA61" s="108"/>
      <c r="FFB61" s="108"/>
      <c r="FFC61" s="108"/>
      <c r="FFD61" s="108"/>
      <c r="FFE61" s="108"/>
      <c r="FFF61" s="108"/>
      <c r="FFG61" s="108"/>
      <c r="FFH61" s="108"/>
      <c r="FFI61" s="108"/>
      <c r="FFJ61" s="108"/>
      <c r="FFK61" s="108"/>
      <c r="FFL61" s="108"/>
      <c r="FFM61" s="108"/>
      <c r="FFN61" s="108"/>
      <c r="FFO61" s="108"/>
      <c r="FFP61" s="108"/>
      <c r="FFQ61" s="108"/>
      <c r="FFR61" s="108"/>
      <c r="FFS61" s="108"/>
      <c r="FFT61" s="108"/>
      <c r="FFU61" s="108"/>
      <c r="FFV61" s="108"/>
      <c r="FFW61" s="108"/>
      <c r="FFX61" s="108"/>
      <c r="FFY61" s="108"/>
      <c r="FFZ61" s="108"/>
      <c r="FGA61" s="108"/>
      <c r="FGB61" s="108"/>
      <c r="FGC61" s="108"/>
      <c r="FGD61" s="108"/>
      <c r="FGE61" s="108"/>
      <c r="FGF61" s="108"/>
      <c r="FGG61" s="108"/>
      <c r="FGH61" s="108"/>
      <c r="FGI61" s="108"/>
      <c r="FGJ61" s="108"/>
      <c r="FGK61" s="108"/>
      <c r="FGL61" s="108"/>
      <c r="FGM61" s="108"/>
      <c r="FGN61" s="108"/>
      <c r="FGO61" s="108"/>
      <c r="FGP61" s="108"/>
      <c r="FGQ61" s="108"/>
      <c r="FGR61" s="108"/>
      <c r="FGS61" s="108"/>
      <c r="FGT61" s="108"/>
      <c r="FGU61" s="108"/>
      <c r="FGV61" s="108"/>
      <c r="FGW61" s="108"/>
      <c r="FGX61" s="108"/>
      <c r="FGY61" s="108"/>
      <c r="FGZ61" s="108"/>
      <c r="FHA61" s="108"/>
      <c r="FHB61" s="108"/>
      <c r="FHC61" s="108"/>
      <c r="FHD61" s="108"/>
      <c r="FHE61" s="108"/>
      <c r="FHF61" s="108"/>
      <c r="FHG61" s="108"/>
      <c r="FHH61" s="108"/>
      <c r="FHI61" s="108"/>
      <c r="FHJ61" s="108"/>
      <c r="FHK61" s="108"/>
      <c r="FHL61" s="108"/>
      <c r="FHM61" s="108"/>
      <c r="FHN61" s="108"/>
      <c r="FHO61" s="108"/>
      <c r="FHP61" s="108"/>
      <c r="FHQ61" s="108"/>
      <c r="FHR61" s="108"/>
      <c r="FHS61" s="108"/>
      <c r="FHT61" s="108"/>
      <c r="FHU61" s="108"/>
      <c r="FHV61" s="108"/>
      <c r="FHW61" s="108"/>
      <c r="FHX61" s="108"/>
      <c r="FHY61" s="108"/>
      <c r="FHZ61" s="108"/>
      <c r="FIA61" s="108"/>
      <c r="FIB61" s="108"/>
      <c r="FIC61" s="108"/>
      <c r="FID61" s="108"/>
      <c r="FIE61" s="108"/>
      <c r="FIF61" s="108"/>
      <c r="FIG61" s="108"/>
      <c r="FIH61" s="108"/>
      <c r="FII61" s="108"/>
      <c r="FIJ61" s="108"/>
      <c r="FIK61" s="108"/>
      <c r="FIL61" s="108"/>
      <c r="FIM61" s="108"/>
      <c r="FIN61" s="108"/>
      <c r="FIO61" s="108"/>
      <c r="FIP61" s="108"/>
      <c r="FIQ61" s="108"/>
      <c r="FIR61" s="108"/>
      <c r="FIS61" s="108"/>
      <c r="FIT61" s="108"/>
      <c r="FIU61" s="108"/>
      <c r="FIV61" s="108"/>
      <c r="FIW61" s="108"/>
      <c r="FIX61" s="108"/>
      <c r="FIY61" s="108"/>
      <c r="FIZ61" s="108"/>
      <c r="FJA61" s="108"/>
      <c r="FJB61" s="108"/>
      <c r="FJC61" s="108"/>
      <c r="FJD61" s="108"/>
      <c r="FJE61" s="108"/>
      <c r="FJF61" s="108"/>
      <c r="FJG61" s="108"/>
      <c r="FJH61" s="108"/>
      <c r="FJI61" s="108"/>
      <c r="FJJ61" s="108"/>
      <c r="FJK61" s="108"/>
      <c r="FJL61" s="108"/>
      <c r="FJM61" s="108"/>
      <c r="FJN61" s="108"/>
      <c r="FJO61" s="108"/>
      <c r="FJP61" s="108"/>
      <c r="FJQ61" s="108"/>
      <c r="FJR61" s="108"/>
      <c r="FJS61" s="108"/>
      <c r="FJT61" s="108"/>
      <c r="FJU61" s="108"/>
      <c r="FJV61" s="108"/>
      <c r="FJW61" s="108"/>
      <c r="FJX61" s="108"/>
      <c r="FJY61" s="108"/>
      <c r="FJZ61" s="108"/>
      <c r="FKA61" s="108"/>
      <c r="FKB61" s="108"/>
      <c r="FKC61" s="108"/>
      <c r="FKD61" s="108"/>
      <c r="FKE61" s="108"/>
      <c r="FKF61" s="108"/>
      <c r="FKG61" s="108"/>
      <c r="FKH61" s="108"/>
      <c r="FKI61" s="108"/>
      <c r="FKJ61" s="108"/>
      <c r="FKK61" s="108"/>
      <c r="FKL61" s="108"/>
      <c r="FKM61" s="108"/>
      <c r="FKN61" s="108"/>
      <c r="FKO61" s="108"/>
      <c r="FKP61" s="108"/>
      <c r="FKQ61" s="108"/>
      <c r="FKR61" s="108"/>
      <c r="FKS61" s="108"/>
      <c r="FKT61" s="108"/>
      <c r="FKU61" s="108"/>
      <c r="FKV61" s="108"/>
      <c r="FKW61" s="108"/>
      <c r="FKX61" s="108"/>
      <c r="FKY61" s="108"/>
      <c r="FKZ61" s="108"/>
      <c r="FLA61" s="108"/>
      <c r="FLB61" s="108"/>
      <c r="FLC61" s="108"/>
      <c r="FLD61" s="108"/>
      <c r="FLE61" s="108"/>
      <c r="FLF61" s="108"/>
      <c r="FLG61" s="108"/>
      <c r="FLH61" s="108"/>
      <c r="FLI61" s="108"/>
      <c r="FLJ61" s="108"/>
      <c r="FLK61" s="108"/>
      <c r="FLL61" s="108"/>
      <c r="FLM61" s="108"/>
      <c r="FLN61" s="108"/>
      <c r="FLO61" s="108"/>
      <c r="FLP61" s="108"/>
      <c r="FLQ61" s="108"/>
      <c r="FLR61" s="108"/>
      <c r="FLS61" s="108"/>
      <c r="FLT61" s="108"/>
      <c r="FLU61" s="108"/>
      <c r="FLV61" s="108"/>
      <c r="FLW61" s="108"/>
      <c r="FLX61" s="108"/>
      <c r="FLY61" s="108"/>
      <c r="FLZ61" s="108"/>
      <c r="FMA61" s="108"/>
      <c r="FMB61" s="108"/>
      <c r="FMC61" s="108"/>
      <c r="FMD61" s="108"/>
      <c r="FME61" s="108"/>
      <c r="FMF61" s="108"/>
      <c r="FMG61" s="108"/>
      <c r="FMH61" s="108"/>
      <c r="FMI61" s="108"/>
      <c r="FMJ61" s="108"/>
      <c r="FMK61" s="108"/>
      <c r="FML61" s="108"/>
      <c r="FMM61" s="108"/>
      <c r="FMN61" s="108"/>
      <c r="FMO61" s="108"/>
      <c r="FMP61" s="108"/>
      <c r="FMQ61" s="108"/>
      <c r="FMR61" s="108"/>
      <c r="FMS61" s="108"/>
      <c r="FMT61" s="108"/>
      <c r="FMU61" s="108"/>
      <c r="FMV61" s="108"/>
      <c r="FMW61" s="108"/>
      <c r="FMX61" s="108"/>
      <c r="FMY61" s="108"/>
      <c r="FMZ61" s="108"/>
      <c r="FNA61" s="108"/>
      <c r="FNB61" s="108"/>
      <c r="FNC61" s="108"/>
      <c r="FND61" s="108"/>
      <c r="FNE61" s="108"/>
      <c r="FNF61" s="108"/>
      <c r="FNG61" s="108"/>
      <c r="FNH61" s="108"/>
      <c r="FNI61" s="108"/>
      <c r="FNJ61" s="108"/>
      <c r="FNK61" s="108"/>
      <c r="FNL61" s="108"/>
      <c r="FNM61" s="108"/>
      <c r="FNN61" s="108"/>
      <c r="FNO61" s="108"/>
      <c r="FNP61" s="108"/>
      <c r="FNQ61" s="108"/>
      <c r="FNR61" s="108"/>
      <c r="FNS61" s="108"/>
      <c r="FNT61" s="108"/>
      <c r="FNU61" s="108"/>
      <c r="FNV61" s="108"/>
      <c r="FNW61" s="108"/>
      <c r="FNX61" s="108"/>
      <c r="FNY61" s="108"/>
      <c r="FNZ61" s="108"/>
      <c r="FOA61" s="108"/>
      <c r="FOB61" s="108"/>
      <c r="FOC61" s="108"/>
      <c r="FOD61" s="108"/>
      <c r="FOE61" s="108"/>
      <c r="FOF61" s="108"/>
      <c r="FOG61" s="108"/>
      <c r="FOH61" s="108"/>
      <c r="FOI61" s="108"/>
      <c r="FOJ61" s="108"/>
      <c r="FOK61" s="108"/>
      <c r="FOL61" s="108"/>
      <c r="FOM61" s="108"/>
      <c r="FON61" s="108"/>
      <c r="FOO61" s="108"/>
      <c r="FOP61" s="108"/>
      <c r="FOQ61" s="108"/>
      <c r="FOR61" s="108"/>
      <c r="FOS61" s="108"/>
      <c r="FOT61" s="108"/>
      <c r="FOU61" s="108"/>
      <c r="FOV61" s="108"/>
      <c r="FOW61" s="108"/>
      <c r="FOX61" s="108"/>
      <c r="FOY61" s="108"/>
      <c r="FOZ61" s="108"/>
      <c r="FPA61" s="108"/>
      <c r="FPB61" s="108"/>
      <c r="FPC61" s="108"/>
      <c r="FPD61" s="108"/>
      <c r="FPE61" s="108"/>
      <c r="FPF61" s="108"/>
      <c r="FPG61" s="108"/>
      <c r="FPH61" s="108"/>
      <c r="FPI61" s="108"/>
      <c r="FPJ61" s="108"/>
      <c r="FPK61" s="108"/>
      <c r="FPL61" s="108"/>
      <c r="FPM61" s="108"/>
      <c r="FPN61" s="108"/>
      <c r="FPO61" s="108"/>
      <c r="FPP61" s="108"/>
      <c r="FPQ61" s="108"/>
      <c r="FPR61" s="108"/>
      <c r="FPS61" s="108"/>
      <c r="FPT61" s="108"/>
      <c r="FPU61" s="108"/>
      <c r="FPV61" s="108"/>
      <c r="FPW61" s="108"/>
      <c r="FPX61" s="108"/>
      <c r="FPY61" s="108"/>
      <c r="FPZ61" s="108"/>
      <c r="FQA61" s="108"/>
      <c r="FQB61" s="108"/>
      <c r="FQC61" s="108"/>
      <c r="FQD61" s="108"/>
      <c r="FQE61" s="108"/>
      <c r="FQF61" s="108"/>
      <c r="FQG61" s="108"/>
      <c r="FQH61" s="108"/>
      <c r="FQI61" s="108"/>
      <c r="FQJ61" s="108"/>
      <c r="FQK61" s="108"/>
      <c r="FQL61" s="108"/>
      <c r="FQM61" s="108"/>
      <c r="FQN61" s="108"/>
      <c r="FQO61" s="108"/>
      <c r="FQP61" s="108"/>
      <c r="FQQ61" s="108"/>
      <c r="FQR61" s="108"/>
      <c r="FQS61" s="108"/>
      <c r="FQT61" s="108"/>
      <c r="FQU61" s="108"/>
      <c r="FQV61" s="108"/>
      <c r="FQW61" s="108"/>
      <c r="FQX61" s="108"/>
      <c r="FQY61" s="108"/>
      <c r="FQZ61" s="108"/>
      <c r="FRA61" s="108"/>
      <c r="FRB61" s="108"/>
      <c r="FRC61" s="108"/>
      <c r="FRD61" s="108"/>
      <c r="FRE61" s="108"/>
      <c r="FRF61" s="108"/>
      <c r="FRG61" s="108"/>
      <c r="FRH61" s="108"/>
      <c r="FRI61" s="108"/>
      <c r="FRJ61" s="108"/>
      <c r="FRK61" s="108"/>
      <c r="FRL61" s="108"/>
      <c r="FRM61" s="108"/>
      <c r="FRN61" s="108"/>
      <c r="FRO61" s="108"/>
      <c r="FRP61" s="108"/>
      <c r="FRQ61" s="108"/>
      <c r="FRR61" s="108"/>
      <c r="FRS61" s="108"/>
      <c r="FRT61" s="108"/>
      <c r="FRU61" s="108"/>
      <c r="FRV61" s="108"/>
      <c r="FRW61" s="108"/>
      <c r="FRX61" s="108"/>
      <c r="FRY61" s="108"/>
      <c r="FRZ61" s="108"/>
      <c r="FSA61" s="108"/>
      <c r="FSB61" s="108"/>
      <c r="FSC61" s="108"/>
      <c r="FSD61" s="108"/>
      <c r="FSE61" s="108"/>
      <c r="FSF61" s="108"/>
      <c r="FSG61" s="108"/>
      <c r="FSH61" s="108"/>
      <c r="FSI61" s="108"/>
      <c r="FSJ61" s="108"/>
      <c r="FSK61" s="108"/>
      <c r="FSL61" s="108"/>
      <c r="FSM61" s="108"/>
      <c r="FSN61" s="108"/>
      <c r="FSO61" s="108"/>
      <c r="FSP61" s="108"/>
      <c r="FSQ61" s="108"/>
      <c r="FSR61" s="108"/>
      <c r="FSS61" s="108"/>
      <c r="FST61" s="108"/>
      <c r="FSU61" s="108"/>
      <c r="FSV61" s="108"/>
      <c r="FSW61" s="108"/>
      <c r="FSX61" s="108"/>
      <c r="FSY61" s="108"/>
      <c r="FSZ61" s="108"/>
      <c r="FTA61" s="108"/>
      <c r="FTB61" s="108"/>
      <c r="FTC61" s="108"/>
      <c r="FTD61" s="108"/>
      <c r="FTE61" s="108"/>
      <c r="FTF61" s="108"/>
      <c r="FTG61" s="108"/>
      <c r="FTH61" s="108"/>
      <c r="FTI61" s="108"/>
      <c r="FTJ61" s="108"/>
      <c r="FTK61" s="108"/>
      <c r="FTL61" s="108"/>
      <c r="FTM61" s="108"/>
      <c r="FTN61" s="108"/>
      <c r="FTO61" s="108"/>
      <c r="FTP61" s="108"/>
      <c r="FTQ61" s="108"/>
      <c r="FTR61" s="108"/>
      <c r="FTS61" s="108"/>
      <c r="FTT61" s="108"/>
      <c r="FTU61" s="108"/>
      <c r="FTV61" s="108"/>
      <c r="FTW61" s="108"/>
      <c r="FTX61" s="108"/>
      <c r="FTY61" s="108"/>
      <c r="FTZ61" s="108"/>
      <c r="FUA61" s="108"/>
      <c r="FUB61" s="108"/>
      <c r="FUC61" s="108"/>
      <c r="FUD61" s="108"/>
      <c r="FUE61" s="108"/>
      <c r="FUF61" s="108"/>
      <c r="FUG61" s="108"/>
      <c r="FUH61" s="108"/>
      <c r="FUI61" s="108"/>
      <c r="FUJ61" s="108"/>
      <c r="FUK61" s="108"/>
      <c r="FUL61" s="108"/>
      <c r="FUM61" s="108"/>
      <c r="FUN61" s="108"/>
      <c r="FUO61" s="108"/>
      <c r="FUP61" s="108"/>
      <c r="FUQ61" s="108"/>
      <c r="FUR61" s="108"/>
      <c r="FUS61" s="108"/>
      <c r="FUT61" s="108"/>
      <c r="FUU61" s="108"/>
      <c r="FUV61" s="108"/>
      <c r="FUW61" s="108"/>
      <c r="FUX61" s="108"/>
      <c r="FUY61" s="108"/>
      <c r="FUZ61" s="108"/>
      <c r="FVA61" s="108"/>
      <c r="FVB61" s="108"/>
      <c r="FVC61" s="108"/>
      <c r="FVD61" s="108"/>
      <c r="FVE61" s="108"/>
      <c r="FVF61" s="108"/>
      <c r="FVG61" s="108"/>
      <c r="FVH61" s="108"/>
      <c r="FVI61" s="108"/>
      <c r="FVJ61" s="108"/>
      <c r="FVK61" s="108"/>
      <c r="FVL61" s="108"/>
      <c r="FVM61" s="108"/>
      <c r="FVN61" s="108"/>
      <c r="FVO61" s="108"/>
      <c r="FVP61" s="108"/>
      <c r="FVQ61" s="108"/>
      <c r="FVR61" s="108"/>
      <c r="FVS61" s="108"/>
      <c r="FVT61" s="108"/>
      <c r="FVU61" s="108"/>
      <c r="FVV61" s="108"/>
      <c r="FVW61" s="108"/>
      <c r="FVX61" s="108"/>
      <c r="FVY61" s="108"/>
      <c r="FVZ61" s="108"/>
      <c r="FWA61" s="108"/>
      <c r="FWB61" s="108"/>
      <c r="FWC61" s="108"/>
      <c r="FWD61" s="108"/>
      <c r="FWE61" s="108"/>
      <c r="FWF61" s="108"/>
      <c r="FWG61" s="108"/>
      <c r="FWH61" s="108"/>
      <c r="FWI61" s="108"/>
      <c r="FWJ61" s="108"/>
      <c r="FWK61" s="108"/>
      <c r="FWL61" s="108"/>
      <c r="FWM61" s="108"/>
      <c r="FWN61" s="108"/>
      <c r="FWO61" s="108"/>
      <c r="FWP61" s="108"/>
      <c r="FWQ61" s="108"/>
      <c r="FWR61" s="108"/>
      <c r="FWS61" s="108"/>
      <c r="FWT61" s="108"/>
      <c r="FWU61" s="108"/>
      <c r="FWV61" s="108"/>
      <c r="FWW61" s="108"/>
      <c r="FWX61" s="108"/>
      <c r="FWY61" s="108"/>
      <c r="FWZ61" s="108"/>
      <c r="FXA61" s="108"/>
      <c r="FXB61" s="108"/>
      <c r="FXC61" s="108"/>
      <c r="FXD61" s="108"/>
      <c r="FXE61" s="108"/>
      <c r="FXF61" s="108"/>
      <c r="FXG61" s="108"/>
      <c r="FXH61" s="108"/>
      <c r="FXI61" s="108"/>
      <c r="FXJ61" s="108"/>
      <c r="FXK61" s="108"/>
      <c r="FXL61" s="108"/>
      <c r="FXM61" s="108"/>
      <c r="FXN61" s="108"/>
      <c r="FXO61" s="108"/>
      <c r="FXP61" s="108"/>
      <c r="FXQ61" s="108"/>
      <c r="FXR61" s="108"/>
      <c r="FXS61" s="108"/>
      <c r="FXT61" s="108"/>
      <c r="FXU61" s="108"/>
      <c r="FXV61" s="108"/>
      <c r="FXW61" s="108"/>
      <c r="FXX61" s="108"/>
      <c r="FXY61" s="108"/>
      <c r="FXZ61" s="108"/>
      <c r="FYA61" s="108"/>
      <c r="FYB61" s="108"/>
      <c r="FYC61" s="108"/>
      <c r="FYD61" s="108"/>
      <c r="FYE61" s="108"/>
      <c r="FYF61" s="108"/>
      <c r="FYG61" s="108"/>
      <c r="FYH61" s="108"/>
      <c r="FYI61" s="108"/>
      <c r="FYJ61" s="108"/>
      <c r="FYK61" s="108"/>
      <c r="FYL61" s="108"/>
      <c r="FYM61" s="108"/>
      <c r="FYN61" s="108"/>
      <c r="FYO61" s="108"/>
      <c r="FYP61" s="108"/>
      <c r="FYQ61" s="108"/>
      <c r="FYR61" s="108"/>
      <c r="FYS61" s="108"/>
      <c r="FYT61" s="108"/>
      <c r="FYU61" s="108"/>
      <c r="FYV61" s="108"/>
      <c r="FYW61" s="108"/>
      <c r="FYX61" s="108"/>
      <c r="FYY61" s="108"/>
      <c r="FYZ61" s="108"/>
      <c r="FZA61" s="108"/>
      <c r="FZB61" s="108"/>
      <c r="FZC61" s="108"/>
      <c r="FZD61" s="108"/>
      <c r="FZE61" s="108"/>
      <c r="FZF61" s="108"/>
      <c r="FZG61" s="108"/>
      <c r="FZH61" s="108"/>
      <c r="FZI61" s="108"/>
      <c r="FZJ61" s="108"/>
      <c r="FZK61" s="108"/>
      <c r="FZL61" s="108"/>
      <c r="FZM61" s="108"/>
      <c r="FZN61" s="108"/>
      <c r="FZO61" s="108"/>
      <c r="FZP61" s="108"/>
      <c r="FZQ61" s="108"/>
      <c r="FZR61" s="108"/>
      <c r="FZS61" s="108"/>
      <c r="FZT61" s="108"/>
      <c r="FZU61" s="108"/>
      <c r="FZV61" s="108"/>
      <c r="FZW61" s="108"/>
      <c r="FZX61" s="108"/>
      <c r="FZY61" s="108"/>
      <c r="FZZ61" s="108"/>
      <c r="GAA61" s="108"/>
      <c r="GAB61" s="108"/>
      <c r="GAC61" s="108"/>
      <c r="GAD61" s="108"/>
      <c r="GAE61" s="108"/>
      <c r="GAF61" s="108"/>
      <c r="GAG61" s="108"/>
      <c r="GAH61" s="108"/>
      <c r="GAI61" s="108"/>
      <c r="GAJ61" s="108"/>
      <c r="GAK61" s="108"/>
      <c r="GAL61" s="108"/>
      <c r="GAM61" s="108"/>
      <c r="GAN61" s="108"/>
      <c r="GAO61" s="108"/>
      <c r="GAP61" s="108"/>
      <c r="GAQ61" s="108"/>
      <c r="GAR61" s="108"/>
      <c r="GAS61" s="108"/>
      <c r="GAT61" s="108"/>
      <c r="GAU61" s="108"/>
      <c r="GAV61" s="108"/>
      <c r="GAW61" s="108"/>
      <c r="GAX61" s="108"/>
      <c r="GAY61" s="108"/>
      <c r="GAZ61" s="108"/>
      <c r="GBA61" s="108"/>
      <c r="GBB61" s="108"/>
      <c r="GBC61" s="108"/>
      <c r="GBD61" s="108"/>
      <c r="GBE61" s="108"/>
      <c r="GBF61" s="108"/>
      <c r="GBG61" s="108"/>
      <c r="GBH61" s="108"/>
      <c r="GBI61" s="108"/>
      <c r="GBJ61" s="108"/>
      <c r="GBK61" s="108"/>
      <c r="GBL61" s="108"/>
      <c r="GBM61" s="108"/>
      <c r="GBN61" s="108"/>
      <c r="GBO61" s="108"/>
      <c r="GBP61" s="108"/>
      <c r="GBQ61" s="108"/>
      <c r="GBR61" s="108"/>
      <c r="GBS61" s="108"/>
      <c r="GBT61" s="108"/>
      <c r="GBU61" s="108"/>
      <c r="GBV61" s="108"/>
      <c r="GBW61" s="108"/>
      <c r="GBX61" s="108"/>
      <c r="GBY61" s="108"/>
      <c r="GBZ61" s="108"/>
      <c r="GCA61" s="108"/>
      <c r="GCB61" s="108"/>
      <c r="GCC61" s="108"/>
      <c r="GCD61" s="108"/>
      <c r="GCE61" s="108"/>
      <c r="GCF61" s="108"/>
      <c r="GCG61" s="108"/>
      <c r="GCH61" s="108"/>
      <c r="GCI61" s="108"/>
      <c r="GCJ61" s="108"/>
      <c r="GCK61" s="108"/>
      <c r="GCL61" s="108"/>
      <c r="GCM61" s="108"/>
      <c r="GCN61" s="108"/>
      <c r="GCO61" s="108"/>
      <c r="GCP61" s="108"/>
      <c r="GCQ61" s="108"/>
      <c r="GCR61" s="108"/>
      <c r="GCS61" s="108"/>
      <c r="GCT61" s="108"/>
      <c r="GCU61" s="108"/>
      <c r="GCV61" s="108"/>
      <c r="GCW61" s="108"/>
      <c r="GCX61" s="108"/>
      <c r="GCY61" s="108"/>
      <c r="GCZ61" s="108"/>
      <c r="GDA61" s="108"/>
      <c r="GDB61" s="108"/>
      <c r="GDC61" s="108"/>
      <c r="GDD61" s="108"/>
      <c r="GDE61" s="108"/>
      <c r="GDF61" s="108"/>
      <c r="GDG61" s="108"/>
      <c r="GDH61" s="108"/>
      <c r="GDI61" s="108"/>
      <c r="GDJ61" s="108"/>
      <c r="GDK61" s="108"/>
      <c r="GDL61" s="108"/>
      <c r="GDM61" s="108"/>
      <c r="GDN61" s="108"/>
      <c r="GDO61" s="108"/>
      <c r="GDP61" s="108"/>
      <c r="GDQ61" s="108"/>
      <c r="GDR61" s="108"/>
      <c r="GDS61" s="108"/>
      <c r="GDT61" s="108"/>
      <c r="GDU61" s="108"/>
      <c r="GDV61" s="108"/>
      <c r="GDW61" s="108"/>
      <c r="GDX61" s="108"/>
      <c r="GDY61" s="108"/>
      <c r="GDZ61" s="108"/>
      <c r="GEA61" s="108"/>
      <c r="GEB61" s="108"/>
      <c r="GEC61" s="108"/>
      <c r="GED61" s="108"/>
      <c r="GEE61" s="108"/>
      <c r="GEF61" s="108"/>
      <c r="GEG61" s="108"/>
      <c r="GEH61" s="108"/>
      <c r="GEI61" s="108"/>
      <c r="GEJ61" s="108"/>
      <c r="GEK61" s="108"/>
      <c r="GEL61" s="108"/>
      <c r="GEM61" s="108"/>
      <c r="GEN61" s="108"/>
      <c r="GEO61" s="108"/>
      <c r="GEP61" s="108"/>
      <c r="GEQ61" s="108"/>
      <c r="GER61" s="108"/>
      <c r="GES61" s="108"/>
      <c r="GET61" s="108"/>
      <c r="GEU61" s="108"/>
      <c r="GEV61" s="108"/>
      <c r="GEW61" s="108"/>
      <c r="GEX61" s="108"/>
      <c r="GEY61" s="108"/>
      <c r="GEZ61" s="108"/>
      <c r="GFA61" s="108"/>
      <c r="GFB61" s="108"/>
      <c r="GFC61" s="108"/>
      <c r="GFD61" s="108"/>
      <c r="GFE61" s="108"/>
      <c r="GFF61" s="108"/>
      <c r="GFG61" s="108"/>
      <c r="GFH61" s="108"/>
      <c r="GFI61" s="108"/>
      <c r="GFJ61" s="108"/>
      <c r="GFK61" s="108"/>
      <c r="GFL61" s="108"/>
      <c r="GFM61" s="108"/>
      <c r="GFN61" s="108"/>
      <c r="GFO61" s="108"/>
      <c r="GFP61" s="108"/>
      <c r="GFQ61" s="108"/>
      <c r="GFR61" s="108"/>
      <c r="GFS61" s="108"/>
      <c r="GFT61" s="108"/>
      <c r="GFU61" s="108"/>
      <c r="GFV61" s="108"/>
      <c r="GFW61" s="108"/>
      <c r="GFX61" s="108"/>
      <c r="GFY61" s="108"/>
      <c r="GFZ61" s="108"/>
      <c r="GGA61" s="108"/>
      <c r="GGB61" s="108"/>
      <c r="GGC61" s="108"/>
      <c r="GGD61" s="108"/>
      <c r="GGE61" s="108"/>
      <c r="GGF61" s="108"/>
      <c r="GGG61" s="108"/>
      <c r="GGH61" s="108"/>
      <c r="GGI61" s="108"/>
      <c r="GGJ61" s="108"/>
      <c r="GGK61" s="108"/>
      <c r="GGL61" s="108"/>
      <c r="GGM61" s="108"/>
      <c r="GGN61" s="108"/>
      <c r="GGO61" s="108"/>
      <c r="GGP61" s="108"/>
      <c r="GGQ61" s="108"/>
      <c r="GGR61" s="108"/>
      <c r="GGS61" s="108"/>
      <c r="GGT61" s="108"/>
      <c r="GGU61" s="108"/>
      <c r="GGV61" s="108"/>
      <c r="GGW61" s="108"/>
      <c r="GGX61" s="108"/>
      <c r="GGY61" s="108"/>
      <c r="GGZ61" s="108"/>
      <c r="GHA61" s="108"/>
      <c r="GHB61" s="108"/>
      <c r="GHC61" s="108"/>
      <c r="GHD61" s="108"/>
      <c r="GHE61" s="108"/>
      <c r="GHF61" s="108"/>
      <c r="GHG61" s="108"/>
      <c r="GHH61" s="108"/>
      <c r="GHI61" s="108"/>
      <c r="GHJ61" s="108"/>
      <c r="GHK61" s="108"/>
      <c r="GHL61" s="108"/>
      <c r="GHM61" s="108"/>
      <c r="GHN61" s="108"/>
      <c r="GHO61" s="108"/>
      <c r="GHP61" s="108"/>
      <c r="GHQ61" s="108"/>
      <c r="GHR61" s="108"/>
      <c r="GHS61" s="108"/>
      <c r="GHT61" s="108"/>
      <c r="GHU61" s="108"/>
      <c r="GHV61" s="108"/>
      <c r="GHW61" s="108"/>
      <c r="GHX61" s="108"/>
      <c r="GHY61" s="108"/>
      <c r="GHZ61" s="108"/>
      <c r="GIA61" s="108"/>
      <c r="GIB61" s="108"/>
      <c r="GIC61" s="108"/>
      <c r="GID61" s="108"/>
      <c r="GIE61" s="108"/>
      <c r="GIF61" s="108"/>
      <c r="GIG61" s="108"/>
      <c r="GIH61" s="108"/>
      <c r="GII61" s="108"/>
      <c r="GIJ61" s="108"/>
      <c r="GIK61" s="108"/>
      <c r="GIL61" s="108"/>
      <c r="GIM61" s="108"/>
      <c r="GIN61" s="108"/>
      <c r="GIO61" s="108"/>
      <c r="GIP61" s="108"/>
      <c r="GIQ61" s="108"/>
      <c r="GIR61" s="108"/>
      <c r="GIS61" s="108"/>
      <c r="GIT61" s="108"/>
      <c r="GIU61" s="108"/>
      <c r="GIV61" s="108"/>
      <c r="GIW61" s="108"/>
      <c r="GIX61" s="108"/>
      <c r="GIY61" s="108"/>
      <c r="GIZ61" s="108"/>
      <c r="GJA61" s="108"/>
      <c r="GJB61" s="108"/>
      <c r="GJC61" s="108"/>
      <c r="GJD61" s="108"/>
      <c r="GJE61" s="108"/>
      <c r="GJF61" s="108"/>
      <c r="GJG61" s="108"/>
      <c r="GJH61" s="108"/>
      <c r="GJI61" s="108"/>
      <c r="GJJ61" s="108"/>
      <c r="GJK61" s="108"/>
      <c r="GJL61" s="108"/>
      <c r="GJM61" s="108"/>
      <c r="GJN61" s="108"/>
      <c r="GJO61" s="108"/>
      <c r="GJP61" s="108"/>
      <c r="GJQ61" s="108"/>
      <c r="GJR61" s="108"/>
      <c r="GJS61" s="108"/>
      <c r="GJT61" s="108"/>
      <c r="GJU61" s="108"/>
      <c r="GJV61" s="108"/>
      <c r="GJW61" s="108"/>
      <c r="GJX61" s="108"/>
      <c r="GJY61" s="108"/>
      <c r="GJZ61" s="108"/>
      <c r="GKA61" s="108"/>
      <c r="GKB61" s="108"/>
      <c r="GKC61" s="108"/>
      <c r="GKD61" s="108"/>
      <c r="GKE61" s="108"/>
      <c r="GKF61" s="108"/>
      <c r="GKG61" s="108"/>
      <c r="GKH61" s="108"/>
      <c r="GKI61" s="108"/>
      <c r="GKJ61" s="108"/>
      <c r="GKK61" s="108"/>
      <c r="GKL61" s="108"/>
      <c r="GKM61" s="108"/>
      <c r="GKN61" s="108"/>
      <c r="GKO61" s="108"/>
      <c r="GKP61" s="108"/>
      <c r="GKQ61" s="108"/>
      <c r="GKR61" s="108"/>
      <c r="GKS61" s="108"/>
      <c r="GKT61" s="108"/>
      <c r="GKU61" s="108"/>
      <c r="GKV61" s="108"/>
      <c r="GKW61" s="108"/>
      <c r="GKX61" s="108"/>
      <c r="GKY61" s="108"/>
      <c r="GKZ61" s="108"/>
      <c r="GLA61" s="108"/>
      <c r="GLB61" s="108"/>
      <c r="GLC61" s="108"/>
      <c r="GLD61" s="108"/>
      <c r="GLE61" s="108"/>
      <c r="GLF61" s="108"/>
      <c r="GLG61" s="108"/>
      <c r="GLH61" s="108"/>
      <c r="GLI61" s="108"/>
      <c r="GLJ61" s="108"/>
      <c r="GLK61" s="108"/>
      <c r="GLL61" s="108"/>
      <c r="GLM61" s="108"/>
      <c r="GLN61" s="108"/>
      <c r="GLO61" s="108"/>
      <c r="GLP61" s="108"/>
      <c r="GLQ61" s="108"/>
      <c r="GLR61" s="108"/>
      <c r="GLS61" s="108"/>
      <c r="GLT61" s="108"/>
      <c r="GLU61" s="108"/>
      <c r="GLV61" s="108"/>
      <c r="GLW61" s="108"/>
      <c r="GLX61" s="108"/>
      <c r="GLY61" s="108"/>
      <c r="GLZ61" s="108"/>
      <c r="GMA61" s="108"/>
      <c r="GMB61" s="108"/>
      <c r="GMC61" s="108"/>
      <c r="GMD61" s="108"/>
      <c r="GME61" s="108"/>
      <c r="GMF61" s="108"/>
      <c r="GMG61" s="108"/>
      <c r="GMH61" s="108"/>
      <c r="GMI61" s="108"/>
      <c r="GMJ61" s="108"/>
      <c r="GMK61" s="108"/>
      <c r="GML61" s="108"/>
      <c r="GMM61" s="108"/>
      <c r="GMN61" s="108"/>
      <c r="GMO61" s="108"/>
      <c r="GMP61" s="108"/>
      <c r="GMQ61" s="108"/>
      <c r="GMR61" s="108"/>
      <c r="GMS61" s="108"/>
      <c r="GMT61" s="108"/>
      <c r="GMU61" s="108"/>
      <c r="GMV61" s="108"/>
      <c r="GMW61" s="108"/>
      <c r="GMX61" s="108"/>
      <c r="GMY61" s="108"/>
      <c r="GMZ61" s="108"/>
      <c r="GNA61" s="108"/>
      <c r="GNB61" s="108"/>
      <c r="GNC61" s="108"/>
      <c r="GND61" s="108"/>
      <c r="GNE61" s="108"/>
      <c r="GNF61" s="108"/>
      <c r="GNG61" s="108"/>
      <c r="GNH61" s="108"/>
      <c r="GNI61" s="108"/>
      <c r="GNJ61" s="108"/>
      <c r="GNK61" s="108"/>
      <c r="GNL61" s="108"/>
      <c r="GNM61" s="108"/>
      <c r="GNN61" s="108"/>
      <c r="GNO61" s="108"/>
      <c r="GNP61" s="108"/>
      <c r="GNQ61" s="108"/>
      <c r="GNR61" s="108"/>
      <c r="GNS61" s="108"/>
      <c r="GNT61" s="108"/>
      <c r="GNU61" s="108"/>
      <c r="GNV61" s="108"/>
      <c r="GNW61" s="108"/>
      <c r="GNX61" s="108"/>
      <c r="GNY61" s="108"/>
      <c r="GNZ61" s="108"/>
      <c r="GOA61" s="108"/>
      <c r="GOB61" s="108"/>
      <c r="GOC61" s="108"/>
      <c r="GOD61" s="108"/>
      <c r="GOE61" s="108"/>
      <c r="GOF61" s="108"/>
      <c r="GOG61" s="108"/>
      <c r="GOH61" s="108"/>
      <c r="GOI61" s="108"/>
      <c r="GOJ61" s="108"/>
      <c r="GOK61" s="108"/>
      <c r="GOL61" s="108"/>
      <c r="GOM61" s="108"/>
      <c r="GON61" s="108"/>
      <c r="GOO61" s="108"/>
      <c r="GOP61" s="108"/>
      <c r="GOQ61" s="108"/>
      <c r="GOR61" s="108"/>
      <c r="GOS61" s="108"/>
      <c r="GOT61" s="108"/>
      <c r="GOU61" s="108"/>
      <c r="GOV61" s="108"/>
      <c r="GOW61" s="108"/>
      <c r="GOX61" s="108"/>
      <c r="GOY61" s="108"/>
      <c r="GOZ61" s="108"/>
      <c r="GPA61" s="108"/>
      <c r="GPB61" s="108"/>
      <c r="GPC61" s="108"/>
      <c r="GPD61" s="108"/>
      <c r="GPE61" s="108"/>
      <c r="GPF61" s="108"/>
      <c r="GPG61" s="108"/>
      <c r="GPH61" s="108"/>
      <c r="GPI61" s="108"/>
      <c r="GPJ61" s="108"/>
      <c r="GPK61" s="108"/>
      <c r="GPL61" s="108"/>
      <c r="GPM61" s="108"/>
      <c r="GPN61" s="108"/>
      <c r="GPO61" s="108"/>
      <c r="GPP61" s="108"/>
      <c r="GPQ61" s="108"/>
      <c r="GPR61" s="108"/>
      <c r="GPS61" s="108"/>
      <c r="GPT61" s="108"/>
      <c r="GPU61" s="108"/>
      <c r="GPV61" s="108"/>
      <c r="GPW61" s="108"/>
      <c r="GPX61" s="108"/>
      <c r="GPY61" s="108"/>
      <c r="GPZ61" s="108"/>
      <c r="GQA61" s="108"/>
      <c r="GQB61" s="108"/>
      <c r="GQC61" s="108"/>
      <c r="GQD61" s="108"/>
      <c r="GQE61" s="108"/>
      <c r="GQF61" s="108"/>
      <c r="GQG61" s="108"/>
      <c r="GQH61" s="108"/>
      <c r="GQI61" s="108"/>
      <c r="GQJ61" s="108"/>
      <c r="GQK61" s="108"/>
      <c r="GQL61" s="108"/>
      <c r="GQM61" s="108"/>
      <c r="GQN61" s="108"/>
      <c r="GQO61" s="108"/>
      <c r="GQP61" s="108"/>
      <c r="GQQ61" s="108"/>
      <c r="GQR61" s="108"/>
      <c r="GQS61" s="108"/>
      <c r="GQT61" s="108"/>
      <c r="GQU61" s="108"/>
      <c r="GQV61" s="108"/>
      <c r="GQW61" s="108"/>
      <c r="GQX61" s="108"/>
      <c r="GQY61" s="108"/>
      <c r="GQZ61" s="108"/>
      <c r="GRA61" s="108"/>
      <c r="GRB61" s="108"/>
      <c r="GRC61" s="108"/>
      <c r="GRD61" s="108"/>
      <c r="GRE61" s="108"/>
      <c r="GRF61" s="108"/>
      <c r="GRG61" s="108"/>
      <c r="GRH61" s="108"/>
      <c r="GRI61" s="108"/>
      <c r="GRJ61" s="108"/>
      <c r="GRK61" s="108"/>
      <c r="GRL61" s="108"/>
      <c r="GRM61" s="108"/>
      <c r="GRN61" s="108"/>
      <c r="GRO61" s="108"/>
      <c r="GRP61" s="108"/>
      <c r="GRQ61" s="108"/>
      <c r="GRR61" s="108"/>
      <c r="GRS61" s="108"/>
      <c r="GRT61" s="108"/>
      <c r="GRU61" s="108"/>
      <c r="GRV61" s="108"/>
      <c r="GRW61" s="108"/>
      <c r="GRX61" s="108"/>
      <c r="GRY61" s="108"/>
      <c r="GRZ61" s="108"/>
      <c r="GSA61" s="108"/>
      <c r="GSB61" s="108"/>
      <c r="GSC61" s="108"/>
      <c r="GSD61" s="108"/>
      <c r="GSE61" s="108"/>
      <c r="GSF61" s="108"/>
      <c r="GSG61" s="108"/>
      <c r="GSH61" s="108"/>
      <c r="GSI61" s="108"/>
      <c r="GSJ61" s="108"/>
      <c r="GSK61" s="108"/>
      <c r="GSL61" s="108"/>
      <c r="GSM61" s="108"/>
      <c r="GSN61" s="108"/>
      <c r="GSO61" s="108"/>
      <c r="GSP61" s="108"/>
      <c r="GSQ61" s="108"/>
      <c r="GSR61" s="108"/>
      <c r="GSS61" s="108"/>
      <c r="GST61" s="108"/>
      <c r="GSU61" s="108"/>
      <c r="GSV61" s="108"/>
      <c r="GSW61" s="108"/>
      <c r="GSX61" s="108"/>
      <c r="GSY61" s="108"/>
      <c r="GSZ61" s="108"/>
      <c r="GTA61" s="108"/>
      <c r="GTB61" s="108"/>
      <c r="GTC61" s="108"/>
      <c r="GTD61" s="108"/>
      <c r="GTE61" s="108"/>
      <c r="GTF61" s="108"/>
      <c r="GTG61" s="108"/>
      <c r="GTH61" s="108"/>
      <c r="GTI61" s="108"/>
      <c r="GTJ61" s="108"/>
      <c r="GTK61" s="108"/>
      <c r="GTL61" s="108"/>
      <c r="GTM61" s="108"/>
      <c r="GTN61" s="108"/>
      <c r="GTO61" s="108"/>
      <c r="GTP61" s="108"/>
      <c r="GTQ61" s="108"/>
      <c r="GTR61" s="108"/>
      <c r="GTS61" s="108"/>
      <c r="GTT61" s="108"/>
      <c r="GTU61" s="108"/>
      <c r="GTV61" s="108"/>
      <c r="GTW61" s="108"/>
      <c r="GTX61" s="108"/>
      <c r="GTY61" s="108"/>
      <c r="GTZ61" s="108"/>
      <c r="GUA61" s="108"/>
      <c r="GUB61" s="108"/>
      <c r="GUC61" s="108"/>
      <c r="GUD61" s="108"/>
      <c r="GUE61" s="108"/>
      <c r="GUF61" s="108"/>
      <c r="GUG61" s="108"/>
      <c r="GUH61" s="108"/>
      <c r="GUI61" s="108"/>
      <c r="GUJ61" s="108"/>
      <c r="GUK61" s="108"/>
      <c r="GUL61" s="108"/>
      <c r="GUM61" s="108"/>
      <c r="GUN61" s="108"/>
      <c r="GUO61" s="108"/>
      <c r="GUP61" s="108"/>
      <c r="GUQ61" s="108"/>
      <c r="GUR61" s="108"/>
      <c r="GUS61" s="108"/>
      <c r="GUT61" s="108"/>
      <c r="GUU61" s="108"/>
      <c r="GUV61" s="108"/>
      <c r="GUW61" s="108"/>
      <c r="GUX61" s="108"/>
      <c r="GUY61" s="108"/>
      <c r="GUZ61" s="108"/>
      <c r="GVA61" s="108"/>
      <c r="GVB61" s="108"/>
      <c r="GVC61" s="108"/>
      <c r="GVD61" s="108"/>
      <c r="GVE61" s="108"/>
      <c r="GVF61" s="108"/>
      <c r="GVG61" s="108"/>
      <c r="GVH61" s="108"/>
      <c r="GVI61" s="108"/>
      <c r="GVJ61" s="108"/>
      <c r="GVK61" s="108"/>
      <c r="GVL61" s="108"/>
      <c r="GVM61" s="108"/>
      <c r="GVN61" s="108"/>
      <c r="GVO61" s="108"/>
      <c r="GVP61" s="108"/>
      <c r="GVQ61" s="108"/>
      <c r="GVR61" s="108"/>
      <c r="GVS61" s="108"/>
      <c r="GVT61" s="108"/>
      <c r="GVU61" s="108"/>
      <c r="GVV61" s="108"/>
      <c r="GVW61" s="108"/>
      <c r="GVX61" s="108"/>
      <c r="GVY61" s="108"/>
      <c r="GVZ61" s="108"/>
      <c r="GWA61" s="108"/>
      <c r="GWB61" s="108"/>
      <c r="GWC61" s="108"/>
      <c r="GWD61" s="108"/>
      <c r="GWE61" s="108"/>
      <c r="GWF61" s="108"/>
      <c r="GWG61" s="108"/>
      <c r="GWH61" s="108"/>
      <c r="GWI61" s="108"/>
      <c r="GWJ61" s="108"/>
      <c r="GWK61" s="108"/>
      <c r="GWL61" s="108"/>
      <c r="GWM61" s="108"/>
      <c r="GWN61" s="108"/>
      <c r="GWO61" s="108"/>
      <c r="GWP61" s="108"/>
      <c r="GWQ61" s="108"/>
      <c r="GWR61" s="108"/>
      <c r="GWS61" s="108"/>
      <c r="GWT61" s="108"/>
      <c r="GWU61" s="108"/>
      <c r="GWV61" s="108"/>
      <c r="GWW61" s="108"/>
      <c r="GWX61" s="108"/>
      <c r="GWY61" s="108"/>
      <c r="GWZ61" s="108"/>
      <c r="GXA61" s="108"/>
      <c r="GXB61" s="108"/>
      <c r="GXC61" s="108"/>
      <c r="GXD61" s="108"/>
      <c r="GXE61" s="108"/>
      <c r="GXF61" s="108"/>
      <c r="GXG61" s="108"/>
      <c r="GXH61" s="108"/>
      <c r="GXI61" s="108"/>
      <c r="GXJ61" s="108"/>
      <c r="GXK61" s="108"/>
      <c r="GXL61" s="108"/>
      <c r="GXM61" s="108"/>
      <c r="GXN61" s="108"/>
      <c r="GXO61" s="108"/>
      <c r="GXP61" s="108"/>
      <c r="GXQ61" s="108"/>
      <c r="GXR61" s="108"/>
      <c r="GXS61" s="108"/>
      <c r="GXT61" s="108"/>
      <c r="GXU61" s="108"/>
      <c r="GXV61" s="108"/>
      <c r="GXW61" s="108"/>
      <c r="GXX61" s="108"/>
      <c r="GXY61" s="108"/>
      <c r="GXZ61" s="108"/>
      <c r="GYA61" s="108"/>
      <c r="GYB61" s="108"/>
      <c r="GYC61" s="108"/>
      <c r="GYD61" s="108"/>
      <c r="GYE61" s="108"/>
      <c r="GYF61" s="108"/>
      <c r="GYG61" s="108"/>
      <c r="GYH61" s="108"/>
      <c r="GYI61" s="108"/>
      <c r="GYJ61" s="108"/>
      <c r="GYK61" s="108"/>
      <c r="GYL61" s="108"/>
      <c r="GYM61" s="108"/>
      <c r="GYN61" s="108"/>
      <c r="GYO61" s="108"/>
      <c r="GYP61" s="108"/>
      <c r="GYQ61" s="108"/>
      <c r="GYR61" s="108"/>
      <c r="GYS61" s="108"/>
      <c r="GYT61" s="108"/>
      <c r="GYU61" s="108"/>
      <c r="GYV61" s="108"/>
      <c r="GYW61" s="108"/>
      <c r="GYX61" s="108"/>
      <c r="GYY61" s="108"/>
      <c r="GYZ61" s="108"/>
      <c r="GZA61" s="108"/>
      <c r="GZB61" s="108"/>
      <c r="GZC61" s="108"/>
      <c r="GZD61" s="108"/>
      <c r="GZE61" s="108"/>
      <c r="GZF61" s="108"/>
      <c r="GZG61" s="108"/>
      <c r="GZH61" s="108"/>
      <c r="GZI61" s="108"/>
      <c r="GZJ61" s="108"/>
      <c r="GZK61" s="108"/>
      <c r="GZL61" s="108"/>
      <c r="GZM61" s="108"/>
      <c r="GZN61" s="108"/>
      <c r="GZO61" s="108"/>
      <c r="GZP61" s="108"/>
      <c r="GZQ61" s="108"/>
      <c r="GZR61" s="108"/>
      <c r="GZS61" s="108"/>
      <c r="GZT61" s="108"/>
      <c r="GZU61" s="108"/>
      <c r="GZV61" s="108"/>
      <c r="GZW61" s="108"/>
      <c r="GZX61" s="108"/>
      <c r="GZY61" s="108"/>
      <c r="GZZ61" s="108"/>
      <c r="HAA61" s="108"/>
      <c r="HAB61" s="108"/>
      <c r="HAC61" s="108"/>
      <c r="HAD61" s="108"/>
      <c r="HAE61" s="108"/>
      <c r="HAF61" s="108"/>
      <c r="HAG61" s="108"/>
      <c r="HAH61" s="108"/>
      <c r="HAI61" s="108"/>
      <c r="HAJ61" s="108"/>
      <c r="HAK61" s="108"/>
      <c r="HAL61" s="108"/>
      <c r="HAM61" s="108"/>
      <c r="HAN61" s="108"/>
      <c r="HAO61" s="108"/>
      <c r="HAP61" s="108"/>
      <c r="HAQ61" s="108"/>
      <c r="HAR61" s="108"/>
      <c r="HAS61" s="108"/>
      <c r="HAT61" s="108"/>
      <c r="HAU61" s="108"/>
      <c r="HAV61" s="108"/>
      <c r="HAW61" s="108"/>
      <c r="HAX61" s="108"/>
      <c r="HAY61" s="108"/>
      <c r="HAZ61" s="108"/>
      <c r="HBA61" s="108"/>
      <c r="HBB61" s="108"/>
      <c r="HBC61" s="108"/>
      <c r="HBD61" s="108"/>
      <c r="HBE61" s="108"/>
      <c r="HBF61" s="108"/>
      <c r="HBG61" s="108"/>
      <c r="HBH61" s="108"/>
      <c r="HBI61" s="108"/>
      <c r="HBJ61" s="108"/>
      <c r="HBK61" s="108"/>
      <c r="HBL61" s="108"/>
      <c r="HBM61" s="108"/>
      <c r="HBN61" s="108"/>
      <c r="HBO61" s="108"/>
      <c r="HBP61" s="108"/>
      <c r="HBQ61" s="108"/>
      <c r="HBR61" s="108"/>
      <c r="HBS61" s="108"/>
      <c r="HBT61" s="108"/>
      <c r="HBU61" s="108"/>
      <c r="HBV61" s="108"/>
      <c r="HBW61" s="108"/>
      <c r="HBX61" s="108"/>
      <c r="HBY61" s="108"/>
      <c r="HBZ61" s="108"/>
      <c r="HCA61" s="108"/>
      <c r="HCB61" s="108"/>
      <c r="HCC61" s="108"/>
      <c r="HCD61" s="108"/>
      <c r="HCE61" s="108"/>
      <c r="HCF61" s="108"/>
      <c r="HCG61" s="108"/>
      <c r="HCH61" s="108"/>
      <c r="HCI61" s="108"/>
      <c r="HCJ61" s="108"/>
      <c r="HCK61" s="108"/>
      <c r="HCL61" s="108"/>
      <c r="HCM61" s="108"/>
      <c r="HCN61" s="108"/>
      <c r="HCO61" s="108"/>
      <c r="HCP61" s="108"/>
      <c r="HCQ61" s="108"/>
      <c r="HCR61" s="108"/>
      <c r="HCS61" s="108"/>
      <c r="HCT61" s="108"/>
      <c r="HCU61" s="108"/>
      <c r="HCV61" s="108"/>
      <c r="HCW61" s="108"/>
      <c r="HCX61" s="108"/>
      <c r="HCY61" s="108"/>
      <c r="HCZ61" s="108"/>
      <c r="HDA61" s="108"/>
      <c r="HDB61" s="108"/>
      <c r="HDC61" s="108"/>
      <c r="HDD61" s="108"/>
      <c r="HDE61" s="108"/>
      <c r="HDF61" s="108"/>
      <c r="HDG61" s="108"/>
      <c r="HDH61" s="108"/>
      <c r="HDI61" s="108"/>
      <c r="HDJ61" s="108"/>
      <c r="HDK61" s="108"/>
      <c r="HDL61" s="108"/>
      <c r="HDM61" s="108"/>
      <c r="HDN61" s="108"/>
      <c r="HDO61" s="108"/>
      <c r="HDP61" s="108"/>
      <c r="HDQ61" s="108"/>
      <c r="HDR61" s="108"/>
      <c r="HDS61" s="108"/>
      <c r="HDT61" s="108"/>
      <c r="HDU61" s="108"/>
      <c r="HDV61" s="108"/>
      <c r="HDW61" s="108"/>
      <c r="HDX61" s="108"/>
      <c r="HDY61" s="108"/>
      <c r="HDZ61" s="108"/>
      <c r="HEA61" s="108"/>
      <c r="HEB61" s="108"/>
      <c r="HEC61" s="108"/>
      <c r="HED61" s="108"/>
      <c r="HEE61" s="108"/>
      <c r="HEF61" s="108"/>
      <c r="HEG61" s="108"/>
      <c r="HEH61" s="108"/>
      <c r="HEI61" s="108"/>
      <c r="HEJ61" s="108"/>
      <c r="HEK61" s="108"/>
      <c r="HEL61" s="108"/>
      <c r="HEM61" s="108"/>
      <c r="HEN61" s="108"/>
      <c r="HEO61" s="108"/>
      <c r="HEP61" s="108"/>
      <c r="HEQ61" s="108"/>
      <c r="HER61" s="108"/>
      <c r="HES61" s="108"/>
      <c r="HET61" s="108"/>
      <c r="HEU61" s="108"/>
      <c r="HEV61" s="108"/>
      <c r="HEW61" s="108"/>
      <c r="HEX61" s="108"/>
      <c r="HEY61" s="108"/>
      <c r="HEZ61" s="108"/>
      <c r="HFA61" s="108"/>
      <c r="HFB61" s="108"/>
      <c r="HFC61" s="108"/>
      <c r="HFD61" s="108"/>
      <c r="HFE61" s="108"/>
      <c r="HFF61" s="108"/>
      <c r="HFG61" s="108"/>
      <c r="HFH61" s="108"/>
      <c r="HFI61" s="108"/>
      <c r="HFJ61" s="108"/>
      <c r="HFK61" s="108"/>
      <c r="HFL61" s="108"/>
      <c r="HFM61" s="108"/>
      <c r="HFN61" s="108"/>
      <c r="HFO61" s="108"/>
      <c r="HFP61" s="108"/>
      <c r="HFQ61" s="108"/>
      <c r="HFR61" s="108"/>
      <c r="HFS61" s="108"/>
      <c r="HFT61" s="108"/>
      <c r="HFU61" s="108"/>
      <c r="HFV61" s="108"/>
      <c r="HFW61" s="108"/>
      <c r="HFX61" s="108"/>
      <c r="HFY61" s="108"/>
      <c r="HFZ61" s="108"/>
      <c r="HGA61" s="108"/>
      <c r="HGB61" s="108"/>
      <c r="HGC61" s="108"/>
      <c r="HGD61" s="108"/>
      <c r="HGE61" s="108"/>
      <c r="HGF61" s="108"/>
      <c r="HGG61" s="108"/>
      <c r="HGH61" s="108"/>
      <c r="HGI61" s="108"/>
      <c r="HGJ61" s="108"/>
      <c r="HGK61" s="108"/>
      <c r="HGL61" s="108"/>
      <c r="HGM61" s="108"/>
      <c r="HGN61" s="108"/>
      <c r="HGO61" s="108"/>
      <c r="HGP61" s="108"/>
      <c r="HGQ61" s="108"/>
      <c r="HGR61" s="108"/>
      <c r="HGS61" s="108"/>
      <c r="HGT61" s="108"/>
      <c r="HGU61" s="108"/>
      <c r="HGV61" s="108"/>
      <c r="HGW61" s="108"/>
      <c r="HGX61" s="108"/>
      <c r="HGY61" s="108"/>
      <c r="HGZ61" s="108"/>
      <c r="HHA61" s="108"/>
      <c r="HHB61" s="108"/>
      <c r="HHC61" s="108"/>
      <c r="HHD61" s="108"/>
      <c r="HHE61" s="108"/>
      <c r="HHF61" s="108"/>
      <c r="HHG61" s="108"/>
      <c r="HHH61" s="108"/>
      <c r="HHI61" s="108"/>
      <c r="HHJ61" s="108"/>
      <c r="HHK61" s="108"/>
      <c r="HHL61" s="108"/>
      <c r="HHM61" s="108"/>
      <c r="HHN61" s="108"/>
      <c r="HHO61" s="108"/>
      <c r="HHP61" s="108"/>
      <c r="HHQ61" s="108"/>
      <c r="HHR61" s="108"/>
      <c r="HHS61" s="108"/>
      <c r="HHT61" s="108"/>
      <c r="HHU61" s="108"/>
      <c r="HHV61" s="108"/>
      <c r="HHW61" s="108"/>
      <c r="HHX61" s="108"/>
      <c r="HHY61" s="108"/>
      <c r="HHZ61" s="108"/>
      <c r="HIA61" s="108"/>
      <c r="HIB61" s="108"/>
      <c r="HIC61" s="108"/>
      <c r="HID61" s="108"/>
      <c r="HIE61" s="108"/>
      <c r="HIF61" s="108"/>
      <c r="HIG61" s="108"/>
      <c r="HIH61" s="108"/>
      <c r="HII61" s="108"/>
      <c r="HIJ61" s="108"/>
      <c r="HIK61" s="108"/>
      <c r="HIL61" s="108"/>
      <c r="HIM61" s="108"/>
      <c r="HIN61" s="108"/>
      <c r="HIO61" s="108"/>
      <c r="HIP61" s="108"/>
      <c r="HIQ61" s="108"/>
      <c r="HIR61" s="108"/>
      <c r="HIS61" s="108"/>
      <c r="HIT61" s="108"/>
      <c r="HIU61" s="108"/>
      <c r="HIV61" s="108"/>
      <c r="HIW61" s="108"/>
      <c r="HIX61" s="108"/>
      <c r="HIY61" s="108"/>
      <c r="HIZ61" s="108"/>
      <c r="HJA61" s="108"/>
      <c r="HJB61" s="108"/>
      <c r="HJC61" s="108"/>
      <c r="HJD61" s="108"/>
      <c r="HJE61" s="108"/>
      <c r="HJF61" s="108"/>
      <c r="HJG61" s="108"/>
      <c r="HJH61" s="108"/>
      <c r="HJI61" s="108"/>
      <c r="HJJ61" s="108"/>
      <c r="HJK61" s="108"/>
      <c r="HJL61" s="108"/>
      <c r="HJM61" s="108"/>
      <c r="HJN61" s="108"/>
      <c r="HJO61" s="108"/>
      <c r="HJP61" s="108"/>
      <c r="HJQ61" s="108"/>
      <c r="HJR61" s="108"/>
      <c r="HJS61" s="108"/>
      <c r="HJT61" s="108"/>
      <c r="HJU61" s="108"/>
      <c r="HJV61" s="108"/>
      <c r="HJW61" s="108"/>
      <c r="HJX61" s="108"/>
      <c r="HJY61" s="108"/>
      <c r="HJZ61" s="108"/>
      <c r="HKA61" s="108"/>
      <c r="HKB61" s="108"/>
      <c r="HKC61" s="108"/>
      <c r="HKD61" s="108"/>
      <c r="HKE61" s="108"/>
      <c r="HKF61" s="108"/>
      <c r="HKG61" s="108"/>
      <c r="HKH61" s="108"/>
      <c r="HKI61" s="108"/>
      <c r="HKJ61" s="108"/>
      <c r="HKK61" s="108"/>
      <c r="HKL61" s="108"/>
      <c r="HKM61" s="108"/>
      <c r="HKN61" s="108"/>
      <c r="HKO61" s="108"/>
      <c r="HKP61" s="108"/>
      <c r="HKQ61" s="108"/>
      <c r="HKR61" s="108"/>
      <c r="HKS61" s="108"/>
      <c r="HKT61" s="108"/>
      <c r="HKU61" s="108"/>
      <c r="HKV61" s="108"/>
      <c r="HKW61" s="108"/>
      <c r="HKX61" s="108"/>
      <c r="HKY61" s="108"/>
      <c r="HKZ61" s="108"/>
      <c r="HLA61" s="108"/>
      <c r="HLB61" s="108"/>
      <c r="HLC61" s="108"/>
      <c r="HLD61" s="108"/>
      <c r="HLE61" s="108"/>
      <c r="HLF61" s="108"/>
      <c r="HLG61" s="108"/>
      <c r="HLH61" s="108"/>
      <c r="HLI61" s="108"/>
      <c r="HLJ61" s="108"/>
      <c r="HLK61" s="108"/>
      <c r="HLL61" s="108"/>
      <c r="HLM61" s="108"/>
      <c r="HLN61" s="108"/>
      <c r="HLO61" s="108"/>
      <c r="HLP61" s="108"/>
      <c r="HLQ61" s="108"/>
      <c r="HLR61" s="108"/>
      <c r="HLS61" s="108"/>
      <c r="HLT61" s="108"/>
      <c r="HLU61" s="108"/>
      <c r="HLV61" s="108"/>
      <c r="HLW61" s="108"/>
      <c r="HLX61" s="108"/>
      <c r="HLY61" s="108"/>
      <c r="HLZ61" s="108"/>
      <c r="HMA61" s="108"/>
      <c r="HMB61" s="108"/>
      <c r="HMC61" s="108"/>
      <c r="HMD61" s="108"/>
      <c r="HME61" s="108"/>
      <c r="HMF61" s="108"/>
      <c r="HMG61" s="108"/>
      <c r="HMH61" s="108"/>
      <c r="HMI61" s="108"/>
      <c r="HMJ61" s="108"/>
      <c r="HMK61" s="108"/>
      <c r="HML61" s="108"/>
      <c r="HMM61" s="108"/>
      <c r="HMN61" s="108"/>
      <c r="HMO61" s="108"/>
      <c r="HMP61" s="108"/>
      <c r="HMQ61" s="108"/>
      <c r="HMR61" s="108"/>
      <c r="HMS61" s="108"/>
      <c r="HMT61" s="108"/>
      <c r="HMU61" s="108"/>
      <c r="HMV61" s="108"/>
      <c r="HMW61" s="108"/>
      <c r="HMX61" s="108"/>
      <c r="HMY61" s="108"/>
      <c r="HMZ61" s="108"/>
      <c r="HNA61" s="108"/>
      <c r="HNB61" s="108"/>
      <c r="HNC61" s="108"/>
      <c r="HND61" s="108"/>
      <c r="HNE61" s="108"/>
      <c r="HNF61" s="108"/>
      <c r="HNG61" s="108"/>
      <c r="HNH61" s="108"/>
      <c r="HNI61" s="108"/>
      <c r="HNJ61" s="108"/>
      <c r="HNK61" s="108"/>
      <c r="HNL61" s="108"/>
      <c r="HNM61" s="108"/>
      <c r="HNN61" s="108"/>
      <c r="HNO61" s="108"/>
      <c r="HNP61" s="108"/>
      <c r="HNQ61" s="108"/>
      <c r="HNR61" s="108"/>
      <c r="HNS61" s="108"/>
      <c r="HNT61" s="108"/>
      <c r="HNU61" s="108"/>
      <c r="HNV61" s="108"/>
      <c r="HNW61" s="108"/>
      <c r="HNX61" s="108"/>
      <c r="HNY61" s="108"/>
      <c r="HNZ61" s="108"/>
      <c r="HOA61" s="108"/>
      <c r="HOB61" s="108"/>
      <c r="HOC61" s="108"/>
      <c r="HOD61" s="108"/>
      <c r="HOE61" s="108"/>
      <c r="HOF61" s="108"/>
      <c r="HOG61" s="108"/>
      <c r="HOH61" s="108"/>
      <c r="HOI61" s="108"/>
      <c r="HOJ61" s="108"/>
      <c r="HOK61" s="108"/>
      <c r="HOL61" s="108"/>
      <c r="HOM61" s="108"/>
      <c r="HON61" s="108"/>
      <c r="HOO61" s="108"/>
      <c r="HOP61" s="108"/>
      <c r="HOQ61" s="108"/>
      <c r="HOR61" s="108"/>
      <c r="HOS61" s="108"/>
      <c r="HOT61" s="108"/>
      <c r="HOU61" s="108"/>
      <c r="HOV61" s="108"/>
      <c r="HOW61" s="108"/>
      <c r="HOX61" s="108"/>
      <c r="HOY61" s="108"/>
      <c r="HOZ61" s="108"/>
      <c r="HPA61" s="108"/>
      <c r="HPB61" s="108"/>
      <c r="HPC61" s="108"/>
      <c r="HPD61" s="108"/>
      <c r="HPE61" s="108"/>
      <c r="HPF61" s="108"/>
      <c r="HPG61" s="108"/>
      <c r="HPH61" s="108"/>
      <c r="HPI61" s="108"/>
      <c r="HPJ61" s="108"/>
      <c r="HPK61" s="108"/>
      <c r="HPL61" s="108"/>
      <c r="HPM61" s="108"/>
      <c r="HPN61" s="108"/>
      <c r="HPO61" s="108"/>
      <c r="HPP61" s="108"/>
      <c r="HPQ61" s="108"/>
      <c r="HPR61" s="108"/>
      <c r="HPS61" s="108"/>
      <c r="HPT61" s="108"/>
      <c r="HPU61" s="108"/>
      <c r="HPV61" s="108"/>
      <c r="HPW61" s="108"/>
      <c r="HPX61" s="108"/>
      <c r="HPY61" s="108"/>
      <c r="HPZ61" s="108"/>
      <c r="HQA61" s="108"/>
      <c r="HQB61" s="108"/>
      <c r="HQC61" s="108"/>
      <c r="HQD61" s="108"/>
      <c r="HQE61" s="108"/>
      <c r="HQF61" s="108"/>
      <c r="HQG61" s="108"/>
      <c r="HQH61" s="108"/>
      <c r="HQI61" s="108"/>
      <c r="HQJ61" s="108"/>
      <c r="HQK61" s="108"/>
      <c r="HQL61" s="108"/>
      <c r="HQM61" s="108"/>
      <c r="HQN61" s="108"/>
      <c r="HQO61" s="108"/>
      <c r="HQP61" s="108"/>
      <c r="HQQ61" s="108"/>
      <c r="HQR61" s="108"/>
      <c r="HQS61" s="108"/>
      <c r="HQT61" s="108"/>
      <c r="HQU61" s="108"/>
      <c r="HQV61" s="108"/>
      <c r="HQW61" s="108"/>
      <c r="HQX61" s="108"/>
      <c r="HQY61" s="108"/>
      <c r="HQZ61" s="108"/>
      <c r="HRA61" s="108"/>
      <c r="HRB61" s="108"/>
      <c r="HRC61" s="108"/>
      <c r="HRD61" s="108"/>
      <c r="HRE61" s="108"/>
      <c r="HRF61" s="108"/>
      <c r="HRG61" s="108"/>
      <c r="HRH61" s="108"/>
      <c r="HRI61" s="108"/>
      <c r="HRJ61" s="108"/>
      <c r="HRK61" s="108"/>
      <c r="HRL61" s="108"/>
      <c r="HRM61" s="108"/>
      <c r="HRN61" s="108"/>
      <c r="HRO61" s="108"/>
      <c r="HRP61" s="108"/>
      <c r="HRQ61" s="108"/>
      <c r="HRR61" s="108"/>
      <c r="HRS61" s="108"/>
      <c r="HRT61" s="108"/>
      <c r="HRU61" s="108"/>
      <c r="HRV61" s="108"/>
      <c r="HRW61" s="108"/>
      <c r="HRX61" s="108"/>
      <c r="HRY61" s="108"/>
      <c r="HRZ61" s="108"/>
      <c r="HSA61" s="108"/>
      <c r="HSB61" s="108"/>
      <c r="HSC61" s="108"/>
      <c r="HSD61" s="108"/>
      <c r="HSE61" s="108"/>
      <c r="HSF61" s="108"/>
      <c r="HSG61" s="108"/>
      <c r="HSH61" s="108"/>
      <c r="HSI61" s="108"/>
      <c r="HSJ61" s="108"/>
      <c r="HSK61" s="108"/>
      <c r="HSL61" s="108"/>
      <c r="HSM61" s="108"/>
      <c r="HSN61" s="108"/>
      <c r="HSO61" s="108"/>
      <c r="HSP61" s="108"/>
      <c r="HSQ61" s="108"/>
      <c r="HSR61" s="108"/>
      <c r="HSS61" s="108"/>
      <c r="HST61" s="108"/>
      <c r="HSU61" s="108"/>
      <c r="HSV61" s="108"/>
      <c r="HSW61" s="108"/>
      <c r="HSX61" s="108"/>
      <c r="HSY61" s="108"/>
      <c r="HSZ61" s="108"/>
      <c r="HTA61" s="108"/>
      <c r="HTB61" s="108"/>
      <c r="HTC61" s="108"/>
      <c r="HTD61" s="108"/>
      <c r="HTE61" s="108"/>
      <c r="HTF61" s="108"/>
      <c r="HTG61" s="108"/>
      <c r="HTH61" s="108"/>
      <c r="HTI61" s="108"/>
      <c r="HTJ61" s="108"/>
      <c r="HTK61" s="108"/>
      <c r="HTL61" s="108"/>
      <c r="HTM61" s="108"/>
      <c r="HTN61" s="108"/>
      <c r="HTO61" s="108"/>
      <c r="HTP61" s="108"/>
      <c r="HTQ61" s="108"/>
      <c r="HTR61" s="108"/>
      <c r="HTS61" s="108"/>
      <c r="HTT61" s="108"/>
      <c r="HTU61" s="108"/>
      <c r="HTV61" s="108"/>
      <c r="HTW61" s="108"/>
      <c r="HTX61" s="108"/>
      <c r="HTY61" s="108"/>
      <c r="HTZ61" s="108"/>
      <c r="HUA61" s="108"/>
      <c r="HUB61" s="108"/>
      <c r="HUC61" s="108"/>
      <c r="HUD61" s="108"/>
      <c r="HUE61" s="108"/>
      <c r="HUF61" s="108"/>
      <c r="HUG61" s="108"/>
      <c r="HUH61" s="108"/>
      <c r="HUI61" s="108"/>
      <c r="HUJ61" s="108"/>
      <c r="HUK61" s="108"/>
      <c r="HUL61" s="108"/>
      <c r="HUM61" s="108"/>
      <c r="HUN61" s="108"/>
      <c r="HUO61" s="108"/>
      <c r="HUP61" s="108"/>
      <c r="HUQ61" s="108"/>
      <c r="HUR61" s="108"/>
      <c r="HUS61" s="108"/>
      <c r="HUT61" s="108"/>
      <c r="HUU61" s="108"/>
      <c r="HUV61" s="108"/>
      <c r="HUW61" s="108"/>
      <c r="HUX61" s="108"/>
      <c r="HUY61" s="108"/>
      <c r="HUZ61" s="108"/>
      <c r="HVA61" s="108"/>
      <c r="HVB61" s="108"/>
      <c r="HVC61" s="108"/>
      <c r="HVD61" s="108"/>
      <c r="HVE61" s="108"/>
      <c r="HVF61" s="108"/>
      <c r="HVG61" s="108"/>
      <c r="HVH61" s="108"/>
      <c r="HVI61" s="108"/>
      <c r="HVJ61" s="108"/>
      <c r="HVK61" s="108"/>
      <c r="HVL61" s="108"/>
      <c r="HVM61" s="108"/>
      <c r="HVN61" s="108"/>
      <c r="HVO61" s="108"/>
      <c r="HVP61" s="108"/>
      <c r="HVQ61" s="108"/>
      <c r="HVR61" s="108"/>
      <c r="HVS61" s="108"/>
      <c r="HVT61" s="108"/>
      <c r="HVU61" s="108"/>
      <c r="HVV61" s="108"/>
      <c r="HVW61" s="108"/>
      <c r="HVX61" s="108"/>
      <c r="HVY61" s="108"/>
      <c r="HVZ61" s="108"/>
      <c r="HWA61" s="108"/>
      <c r="HWB61" s="108"/>
      <c r="HWC61" s="108"/>
      <c r="HWD61" s="108"/>
      <c r="HWE61" s="108"/>
      <c r="HWF61" s="108"/>
      <c r="HWG61" s="108"/>
      <c r="HWH61" s="108"/>
      <c r="HWI61" s="108"/>
      <c r="HWJ61" s="108"/>
      <c r="HWK61" s="108"/>
      <c r="HWL61" s="108"/>
      <c r="HWM61" s="108"/>
      <c r="HWN61" s="108"/>
      <c r="HWO61" s="108"/>
      <c r="HWP61" s="108"/>
      <c r="HWQ61" s="108"/>
      <c r="HWR61" s="108"/>
      <c r="HWS61" s="108"/>
      <c r="HWT61" s="108"/>
      <c r="HWU61" s="108"/>
      <c r="HWV61" s="108"/>
      <c r="HWW61" s="108"/>
      <c r="HWX61" s="108"/>
      <c r="HWY61" s="108"/>
      <c r="HWZ61" s="108"/>
      <c r="HXA61" s="108"/>
      <c r="HXB61" s="108"/>
      <c r="HXC61" s="108"/>
      <c r="HXD61" s="108"/>
      <c r="HXE61" s="108"/>
      <c r="HXF61" s="108"/>
      <c r="HXG61" s="108"/>
      <c r="HXH61" s="108"/>
      <c r="HXI61" s="108"/>
      <c r="HXJ61" s="108"/>
      <c r="HXK61" s="108"/>
      <c r="HXL61" s="108"/>
      <c r="HXM61" s="108"/>
      <c r="HXN61" s="108"/>
      <c r="HXO61" s="108"/>
      <c r="HXP61" s="108"/>
      <c r="HXQ61" s="108"/>
      <c r="HXR61" s="108"/>
      <c r="HXS61" s="108"/>
      <c r="HXT61" s="108"/>
      <c r="HXU61" s="108"/>
      <c r="HXV61" s="108"/>
      <c r="HXW61" s="108"/>
      <c r="HXX61" s="108"/>
      <c r="HXY61" s="108"/>
      <c r="HXZ61" s="108"/>
      <c r="HYA61" s="108"/>
      <c r="HYB61" s="108"/>
      <c r="HYC61" s="108"/>
      <c r="HYD61" s="108"/>
      <c r="HYE61" s="108"/>
      <c r="HYF61" s="108"/>
      <c r="HYG61" s="108"/>
      <c r="HYH61" s="108"/>
      <c r="HYI61" s="108"/>
      <c r="HYJ61" s="108"/>
      <c r="HYK61" s="108"/>
      <c r="HYL61" s="108"/>
      <c r="HYM61" s="108"/>
      <c r="HYN61" s="108"/>
      <c r="HYO61" s="108"/>
      <c r="HYP61" s="108"/>
      <c r="HYQ61" s="108"/>
      <c r="HYR61" s="108"/>
      <c r="HYS61" s="108"/>
      <c r="HYT61" s="108"/>
      <c r="HYU61" s="108"/>
      <c r="HYV61" s="108"/>
      <c r="HYW61" s="108"/>
      <c r="HYX61" s="108"/>
      <c r="HYY61" s="108"/>
      <c r="HYZ61" s="108"/>
      <c r="HZA61" s="108"/>
      <c r="HZB61" s="108"/>
      <c r="HZC61" s="108"/>
      <c r="HZD61" s="108"/>
      <c r="HZE61" s="108"/>
      <c r="HZF61" s="108"/>
      <c r="HZG61" s="108"/>
      <c r="HZH61" s="108"/>
      <c r="HZI61" s="108"/>
      <c r="HZJ61" s="108"/>
      <c r="HZK61" s="108"/>
      <c r="HZL61" s="108"/>
      <c r="HZM61" s="108"/>
      <c r="HZN61" s="108"/>
      <c r="HZO61" s="108"/>
      <c r="HZP61" s="108"/>
      <c r="HZQ61" s="108"/>
      <c r="HZR61" s="108"/>
      <c r="HZS61" s="108"/>
      <c r="HZT61" s="108"/>
      <c r="HZU61" s="108"/>
      <c r="HZV61" s="108"/>
      <c r="HZW61" s="108"/>
      <c r="HZX61" s="108"/>
      <c r="HZY61" s="108"/>
      <c r="HZZ61" s="108"/>
      <c r="IAA61" s="108"/>
      <c r="IAB61" s="108"/>
      <c r="IAC61" s="108"/>
      <c r="IAD61" s="108"/>
      <c r="IAE61" s="108"/>
      <c r="IAF61" s="108"/>
      <c r="IAG61" s="108"/>
      <c r="IAH61" s="108"/>
      <c r="IAI61" s="108"/>
      <c r="IAJ61" s="108"/>
      <c r="IAK61" s="108"/>
      <c r="IAL61" s="108"/>
      <c r="IAM61" s="108"/>
      <c r="IAN61" s="108"/>
      <c r="IAO61" s="108"/>
      <c r="IAP61" s="108"/>
      <c r="IAQ61" s="108"/>
      <c r="IAR61" s="108"/>
      <c r="IAS61" s="108"/>
      <c r="IAT61" s="108"/>
      <c r="IAU61" s="108"/>
      <c r="IAV61" s="108"/>
      <c r="IAW61" s="108"/>
      <c r="IAX61" s="108"/>
      <c r="IAY61" s="108"/>
      <c r="IAZ61" s="108"/>
      <c r="IBA61" s="108"/>
      <c r="IBB61" s="108"/>
      <c r="IBC61" s="108"/>
      <c r="IBD61" s="108"/>
      <c r="IBE61" s="108"/>
      <c r="IBF61" s="108"/>
      <c r="IBG61" s="108"/>
      <c r="IBH61" s="108"/>
      <c r="IBI61" s="108"/>
      <c r="IBJ61" s="108"/>
      <c r="IBK61" s="108"/>
      <c r="IBL61" s="108"/>
      <c r="IBM61" s="108"/>
      <c r="IBN61" s="108"/>
      <c r="IBO61" s="108"/>
      <c r="IBP61" s="108"/>
      <c r="IBQ61" s="108"/>
      <c r="IBR61" s="108"/>
      <c r="IBS61" s="108"/>
      <c r="IBT61" s="108"/>
      <c r="IBU61" s="108"/>
      <c r="IBV61" s="108"/>
      <c r="IBW61" s="108"/>
      <c r="IBX61" s="108"/>
      <c r="IBY61" s="108"/>
      <c r="IBZ61" s="108"/>
      <c r="ICA61" s="108"/>
      <c r="ICB61" s="108"/>
      <c r="ICC61" s="108"/>
      <c r="ICD61" s="108"/>
      <c r="ICE61" s="108"/>
      <c r="ICF61" s="108"/>
      <c r="ICG61" s="108"/>
      <c r="ICH61" s="108"/>
      <c r="ICI61" s="108"/>
      <c r="ICJ61" s="108"/>
      <c r="ICK61" s="108"/>
      <c r="ICL61" s="108"/>
      <c r="ICM61" s="108"/>
      <c r="ICN61" s="108"/>
      <c r="ICO61" s="108"/>
      <c r="ICP61" s="108"/>
      <c r="ICQ61" s="108"/>
      <c r="ICR61" s="108"/>
      <c r="ICS61" s="108"/>
      <c r="ICT61" s="108"/>
      <c r="ICU61" s="108"/>
      <c r="ICV61" s="108"/>
      <c r="ICW61" s="108"/>
      <c r="ICX61" s="108"/>
      <c r="ICY61" s="108"/>
      <c r="ICZ61" s="108"/>
      <c r="IDA61" s="108"/>
      <c r="IDB61" s="108"/>
      <c r="IDC61" s="108"/>
      <c r="IDD61" s="108"/>
      <c r="IDE61" s="108"/>
      <c r="IDF61" s="108"/>
      <c r="IDG61" s="108"/>
      <c r="IDH61" s="108"/>
      <c r="IDI61" s="108"/>
      <c r="IDJ61" s="108"/>
      <c r="IDK61" s="108"/>
      <c r="IDL61" s="108"/>
      <c r="IDM61" s="108"/>
      <c r="IDN61" s="108"/>
      <c r="IDO61" s="108"/>
      <c r="IDP61" s="108"/>
      <c r="IDQ61" s="108"/>
      <c r="IDR61" s="108"/>
      <c r="IDS61" s="108"/>
      <c r="IDT61" s="108"/>
      <c r="IDU61" s="108"/>
      <c r="IDV61" s="108"/>
      <c r="IDW61" s="108"/>
      <c r="IDX61" s="108"/>
      <c r="IDY61" s="108"/>
      <c r="IDZ61" s="108"/>
      <c r="IEA61" s="108"/>
      <c r="IEB61" s="108"/>
      <c r="IEC61" s="108"/>
      <c r="IED61" s="108"/>
      <c r="IEE61" s="108"/>
      <c r="IEF61" s="108"/>
      <c r="IEG61" s="108"/>
      <c r="IEH61" s="108"/>
      <c r="IEI61" s="108"/>
      <c r="IEJ61" s="108"/>
      <c r="IEK61" s="108"/>
      <c r="IEL61" s="108"/>
      <c r="IEM61" s="108"/>
      <c r="IEN61" s="108"/>
      <c r="IEO61" s="108"/>
      <c r="IEP61" s="108"/>
      <c r="IEQ61" s="108"/>
      <c r="IER61" s="108"/>
      <c r="IES61" s="108"/>
      <c r="IET61" s="108"/>
      <c r="IEU61" s="108"/>
      <c r="IEV61" s="108"/>
      <c r="IEW61" s="108"/>
      <c r="IEX61" s="108"/>
      <c r="IEY61" s="108"/>
      <c r="IEZ61" s="108"/>
      <c r="IFA61" s="108"/>
      <c r="IFB61" s="108"/>
      <c r="IFC61" s="108"/>
      <c r="IFD61" s="108"/>
      <c r="IFE61" s="108"/>
      <c r="IFF61" s="108"/>
      <c r="IFG61" s="108"/>
      <c r="IFH61" s="108"/>
      <c r="IFI61" s="108"/>
      <c r="IFJ61" s="108"/>
      <c r="IFK61" s="108"/>
      <c r="IFL61" s="108"/>
      <c r="IFM61" s="108"/>
      <c r="IFN61" s="108"/>
      <c r="IFO61" s="108"/>
      <c r="IFP61" s="108"/>
      <c r="IFQ61" s="108"/>
      <c r="IFR61" s="108"/>
      <c r="IFS61" s="108"/>
      <c r="IFT61" s="108"/>
      <c r="IFU61" s="108"/>
      <c r="IFV61" s="108"/>
      <c r="IFW61" s="108"/>
      <c r="IFX61" s="108"/>
      <c r="IFY61" s="108"/>
      <c r="IFZ61" s="108"/>
      <c r="IGA61" s="108"/>
      <c r="IGB61" s="108"/>
      <c r="IGC61" s="108"/>
      <c r="IGD61" s="108"/>
      <c r="IGE61" s="108"/>
      <c r="IGF61" s="108"/>
      <c r="IGG61" s="108"/>
      <c r="IGH61" s="108"/>
      <c r="IGI61" s="108"/>
      <c r="IGJ61" s="108"/>
      <c r="IGK61" s="108"/>
      <c r="IGL61" s="108"/>
      <c r="IGM61" s="108"/>
      <c r="IGN61" s="108"/>
      <c r="IGO61" s="108"/>
      <c r="IGP61" s="108"/>
      <c r="IGQ61" s="108"/>
      <c r="IGR61" s="108"/>
      <c r="IGS61" s="108"/>
      <c r="IGT61" s="108"/>
      <c r="IGU61" s="108"/>
      <c r="IGV61" s="108"/>
      <c r="IGW61" s="108"/>
      <c r="IGX61" s="108"/>
      <c r="IGY61" s="108"/>
      <c r="IGZ61" s="108"/>
      <c r="IHA61" s="108"/>
      <c r="IHB61" s="108"/>
      <c r="IHC61" s="108"/>
      <c r="IHD61" s="108"/>
      <c r="IHE61" s="108"/>
      <c r="IHF61" s="108"/>
      <c r="IHG61" s="108"/>
      <c r="IHH61" s="108"/>
      <c r="IHI61" s="108"/>
      <c r="IHJ61" s="108"/>
      <c r="IHK61" s="108"/>
      <c r="IHL61" s="108"/>
      <c r="IHM61" s="108"/>
      <c r="IHN61" s="108"/>
      <c r="IHO61" s="108"/>
      <c r="IHP61" s="108"/>
      <c r="IHQ61" s="108"/>
      <c r="IHR61" s="108"/>
      <c r="IHS61" s="108"/>
      <c r="IHT61" s="108"/>
      <c r="IHU61" s="108"/>
      <c r="IHV61" s="108"/>
      <c r="IHW61" s="108"/>
      <c r="IHX61" s="108"/>
      <c r="IHY61" s="108"/>
      <c r="IHZ61" s="108"/>
      <c r="IIA61" s="108"/>
      <c r="IIB61" s="108"/>
      <c r="IIC61" s="108"/>
      <c r="IID61" s="108"/>
      <c r="IIE61" s="108"/>
      <c r="IIF61" s="108"/>
      <c r="IIG61" s="108"/>
      <c r="IIH61" s="108"/>
      <c r="III61" s="108"/>
      <c r="IIJ61" s="108"/>
      <c r="IIK61" s="108"/>
      <c r="IIL61" s="108"/>
      <c r="IIM61" s="108"/>
      <c r="IIN61" s="108"/>
      <c r="IIO61" s="108"/>
      <c r="IIP61" s="108"/>
      <c r="IIQ61" s="108"/>
      <c r="IIR61" s="108"/>
      <c r="IIS61" s="108"/>
      <c r="IIT61" s="108"/>
      <c r="IIU61" s="108"/>
      <c r="IIV61" s="108"/>
      <c r="IIW61" s="108"/>
      <c r="IIX61" s="108"/>
      <c r="IIY61" s="108"/>
      <c r="IIZ61" s="108"/>
      <c r="IJA61" s="108"/>
      <c r="IJB61" s="108"/>
      <c r="IJC61" s="108"/>
      <c r="IJD61" s="108"/>
      <c r="IJE61" s="108"/>
      <c r="IJF61" s="108"/>
      <c r="IJG61" s="108"/>
      <c r="IJH61" s="108"/>
      <c r="IJI61" s="108"/>
      <c r="IJJ61" s="108"/>
      <c r="IJK61" s="108"/>
      <c r="IJL61" s="108"/>
      <c r="IJM61" s="108"/>
      <c r="IJN61" s="108"/>
      <c r="IJO61" s="108"/>
      <c r="IJP61" s="108"/>
      <c r="IJQ61" s="108"/>
      <c r="IJR61" s="108"/>
      <c r="IJS61" s="108"/>
      <c r="IJT61" s="108"/>
      <c r="IJU61" s="108"/>
      <c r="IJV61" s="108"/>
      <c r="IJW61" s="108"/>
      <c r="IJX61" s="108"/>
      <c r="IJY61" s="108"/>
      <c r="IJZ61" s="108"/>
      <c r="IKA61" s="108"/>
      <c r="IKB61" s="108"/>
      <c r="IKC61" s="108"/>
      <c r="IKD61" s="108"/>
      <c r="IKE61" s="108"/>
      <c r="IKF61" s="108"/>
      <c r="IKG61" s="108"/>
      <c r="IKH61" s="108"/>
      <c r="IKI61" s="108"/>
      <c r="IKJ61" s="108"/>
      <c r="IKK61" s="108"/>
      <c r="IKL61" s="108"/>
      <c r="IKM61" s="108"/>
      <c r="IKN61" s="108"/>
      <c r="IKO61" s="108"/>
      <c r="IKP61" s="108"/>
      <c r="IKQ61" s="108"/>
      <c r="IKR61" s="108"/>
      <c r="IKS61" s="108"/>
      <c r="IKT61" s="108"/>
      <c r="IKU61" s="108"/>
      <c r="IKV61" s="108"/>
      <c r="IKW61" s="108"/>
      <c r="IKX61" s="108"/>
      <c r="IKY61" s="108"/>
      <c r="IKZ61" s="108"/>
      <c r="ILA61" s="108"/>
      <c r="ILB61" s="108"/>
      <c r="ILC61" s="108"/>
      <c r="ILD61" s="108"/>
      <c r="ILE61" s="108"/>
      <c r="ILF61" s="108"/>
      <c r="ILG61" s="108"/>
      <c r="ILH61" s="108"/>
      <c r="ILI61" s="108"/>
      <c r="ILJ61" s="108"/>
      <c r="ILK61" s="108"/>
      <c r="ILL61" s="108"/>
      <c r="ILM61" s="108"/>
      <c r="ILN61" s="108"/>
      <c r="ILO61" s="108"/>
      <c r="ILP61" s="108"/>
      <c r="ILQ61" s="108"/>
      <c r="ILR61" s="108"/>
      <c r="ILS61" s="108"/>
      <c r="ILT61" s="108"/>
      <c r="ILU61" s="108"/>
      <c r="ILV61" s="108"/>
      <c r="ILW61" s="108"/>
      <c r="ILX61" s="108"/>
      <c r="ILY61" s="108"/>
      <c r="ILZ61" s="108"/>
      <c r="IMA61" s="108"/>
      <c r="IMB61" s="108"/>
      <c r="IMC61" s="108"/>
      <c r="IMD61" s="108"/>
      <c r="IME61" s="108"/>
      <c r="IMF61" s="108"/>
      <c r="IMG61" s="108"/>
      <c r="IMH61" s="108"/>
      <c r="IMI61" s="108"/>
      <c r="IMJ61" s="108"/>
      <c r="IMK61" s="108"/>
      <c r="IML61" s="108"/>
      <c r="IMM61" s="108"/>
      <c r="IMN61" s="108"/>
      <c r="IMO61" s="108"/>
      <c r="IMP61" s="108"/>
      <c r="IMQ61" s="108"/>
      <c r="IMR61" s="108"/>
      <c r="IMS61" s="108"/>
      <c r="IMT61" s="108"/>
      <c r="IMU61" s="108"/>
      <c r="IMV61" s="108"/>
      <c r="IMW61" s="108"/>
      <c r="IMX61" s="108"/>
      <c r="IMY61" s="108"/>
      <c r="IMZ61" s="108"/>
      <c r="INA61" s="108"/>
      <c r="INB61" s="108"/>
      <c r="INC61" s="108"/>
      <c r="IND61" s="108"/>
      <c r="INE61" s="108"/>
      <c r="INF61" s="108"/>
      <c r="ING61" s="108"/>
      <c r="INH61" s="108"/>
      <c r="INI61" s="108"/>
      <c r="INJ61" s="108"/>
      <c r="INK61" s="108"/>
      <c r="INL61" s="108"/>
      <c r="INM61" s="108"/>
      <c r="INN61" s="108"/>
      <c r="INO61" s="108"/>
      <c r="INP61" s="108"/>
      <c r="INQ61" s="108"/>
      <c r="INR61" s="108"/>
      <c r="INS61" s="108"/>
      <c r="INT61" s="108"/>
      <c r="INU61" s="108"/>
      <c r="INV61" s="108"/>
      <c r="INW61" s="108"/>
      <c r="INX61" s="108"/>
      <c r="INY61" s="108"/>
      <c r="INZ61" s="108"/>
      <c r="IOA61" s="108"/>
      <c r="IOB61" s="108"/>
      <c r="IOC61" s="108"/>
      <c r="IOD61" s="108"/>
      <c r="IOE61" s="108"/>
      <c r="IOF61" s="108"/>
      <c r="IOG61" s="108"/>
      <c r="IOH61" s="108"/>
      <c r="IOI61" s="108"/>
      <c r="IOJ61" s="108"/>
      <c r="IOK61" s="108"/>
      <c r="IOL61" s="108"/>
      <c r="IOM61" s="108"/>
      <c r="ION61" s="108"/>
      <c r="IOO61" s="108"/>
      <c r="IOP61" s="108"/>
      <c r="IOQ61" s="108"/>
      <c r="IOR61" s="108"/>
      <c r="IOS61" s="108"/>
      <c r="IOT61" s="108"/>
      <c r="IOU61" s="108"/>
      <c r="IOV61" s="108"/>
      <c r="IOW61" s="108"/>
      <c r="IOX61" s="108"/>
      <c r="IOY61" s="108"/>
      <c r="IOZ61" s="108"/>
      <c r="IPA61" s="108"/>
      <c r="IPB61" s="108"/>
      <c r="IPC61" s="108"/>
      <c r="IPD61" s="108"/>
      <c r="IPE61" s="108"/>
      <c r="IPF61" s="108"/>
      <c r="IPG61" s="108"/>
      <c r="IPH61" s="108"/>
      <c r="IPI61" s="108"/>
      <c r="IPJ61" s="108"/>
      <c r="IPK61" s="108"/>
      <c r="IPL61" s="108"/>
      <c r="IPM61" s="108"/>
      <c r="IPN61" s="108"/>
      <c r="IPO61" s="108"/>
      <c r="IPP61" s="108"/>
      <c r="IPQ61" s="108"/>
      <c r="IPR61" s="108"/>
      <c r="IPS61" s="108"/>
      <c r="IPT61" s="108"/>
      <c r="IPU61" s="108"/>
      <c r="IPV61" s="108"/>
      <c r="IPW61" s="108"/>
      <c r="IPX61" s="108"/>
      <c r="IPY61" s="108"/>
      <c r="IPZ61" s="108"/>
      <c r="IQA61" s="108"/>
      <c r="IQB61" s="108"/>
      <c r="IQC61" s="108"/>
      <c r="IQD61" s="108"/>
      <c r="IQE61" s="108"/>
      <c r="IQF61" s="108"/>
      <c r="IQG61" s="108"/>
      <c r="IQH61" s="108"/>
      <c r="IQI61" s="108"/>
      <c r="IQJ61" s="108"/>
      <c r="IQK61" s="108"/>
      <c r="IQL61" s="108"/>
      <c r="IQM61" s="108"/>
      <c r="IQN61" s="108"/>
      <c r="IQO61" s="108"/>
      <c r="IQP61" s="108"/>
      <c r="IQQ61" s="108"/>
      <c r="IQR61" s="108"/>
      <c r="IQS61" s="108"/>
      <c r="IQT61" s="108"/>
      <c r="IQU61" s="108"/>
      <c r="IQV61" s="108"/>
      <c r="IQW61" s="108"/>
      <c r="IQX61" s="108"/>
      <c r="IQY61" s="108"/>
      <c r="IQZ61" s="108"/>
      <c r="IRA61" s="108"/>
      <c r="IRB61" s="108"/>
      <c r="IRC61" s="108"/>
      <c r="IRD61" s="108"/>
      <c r="IRE61" s="108"/>
      <c r="IRF61" s="108"/>
      <c r="IRG61" s="108"/>
      <c r="IRH61" s="108"/>
      <c r="IRI61" s="108"/>
      <c r="IRJ61" s="108"/>
      <c r="IRK61" s="108"/>
      <c r="IRL61" s="108"/>
      <c r="IRM61" s="108"/>
      <c r="IRN61" s="108"/>
      <c r="IRO61" s="108"/>
      <c r="IRP61" s="108"/>
      <c r="IRQ61" s="108"/>
      <c r="IRR61" s="108"/>
      <c r="IRS61" s="108"/>
      <c r="IRT61" s="108"/>
      <c r="IRU61" s="108"/>
      <c r="IRV61" s="108"/>
      <c r="IRW61" s="108"/>
      <c r="IRX61" s="108"/>
      <c r="IRY61" s="108"/>
      <c r="IRZ61" s="108"/>
      <c r="ISA61" s="108"/>
      <c r="ISB61" s="108"/>
      <c r="ISC61" s="108"/>
      <c r="ISD61" s="108"/>
      <c r="ISE61" s="108"/>
      <c r="ISF61" s="108"/>
      <c r="ISG61" s="108"/>
      <c r="ISH61" s="108"/>
      <c r="ISI61" s="108"/>
      <c r="ISJ61" s="108"/>
      <c r="ISK61" s="108"/>
      <c r="ISL61" s="108"/>
      <c r="ISM61" s="108"/>
      <c r="ISN61" s="108"/>
      <c r="ISO61" s="108"/>
      <c r="ISP61" s="108"/>
      <c r="ISQ61" s="108"/>
      <c r="ISR61" s="108"/>
      <c r="ISS61" s="108"/>
      <c r="IST61" s="108"/>
      <c r="ISU61" s="108"/>
      <c r="ISV61" s="108"/>
      <c r="ISW61" s="108"/>
      <c r="ISX61" s="108"/>
      <c r="ISY61" s="108"/>
      <c r="ISZ61" s="108"/>
      <c r="ITA61" s="108"/>
      <c r="ITB61" s="108"/>
      <c r="ITC61" s="108"/>
      <c r="ITD61" s="108"/>
      <c r="ITE61" s="108"/>
      <c r="ITF61" s="108"/>
      <c r="ITG61" s="108"/>
      <c r="ITH61" s="108"/>
      <c r="ITI61" s="108"/>
      <c r="ITJ61" s="108"/>
      <c r="ITK61" s="108"/>
      <c r="ITL61" s="108"/>
      <c r="ITM61" s="108"/>
      <c r="ITN61" s="108"/>
      <c r="ITO61" s="108"/>
      <c r="ITP61" s="108"/>
      <c r="ITQ61" s="108"/>
      <c r="ITR61" s="108"/>
      <c r="ITS61" s="108"/>
      <c r="ITT61" s="108"/>
      <c r="ITU61" s="108"/>
      <c r="ITV61" s="108"/>
      <c r="ITW61" s="108"/>
      <c r="ITX61" s="108"/>
      <c r="ITY61" s="108"/>
      <c r="ITZ61" s="108"/>
      <c r="IUA61" s="108"/>
      <c r="IUB61" s="108"/>
      <c r="IUC61" s="108"/>
      <c r="IUD61" s="108"/>
      <c r="IUE61" s="108"/>
      <c r="IUF61" s="108"/>
      <c r="IUG61" s="108"/>
      <c r="IUH61" s="108"/>
      <c r="IUI61" s="108"/>
      <c r="IUJ61" s="108"/>
      <c r="IUK61" s="108"/>
      <c r="IUL61" s="108"/>
      <c r="IUM61" s="108"/>
      <c r="IUN61" s="108"/>
      <c r="IUO61" s="108"/>
      <c r="IUP61" s="108"/>
      <c r="IUQ61" s="108"/>
      <c r="IUR61" s="108"/>
      <c r="IUS61" s="108"/>
      <c r="IUT61" s="108"/>
      <c r="IUU61" s="108"/>
      <c r="IUV61" s="108"/>
      <c r="IUW61" s="108"/>
      <c r="IUX61" s="108"/>
      <c r="IUY61" s="108"/>
      <c r="IUZ61" s="108"/>
      <c r="IVA61" s="108"/>
      <c r="IVB61" s="108"/>
      <c r="IVC61" s="108"/>
      <c r="IVD61" s="108"/>
      <c r="IVE61" s="108"/>
      <c r="IVF61" s="108"/>
      <c r="IVG61" s="108"/>
      <c r="IVH61" s="108"/>
      <c r="IVI61" s="108"/>
      <c r="IVJ61" s="108"/>
      <c r="IVK61" s="108"/>
      <c r="IVL61" s="108"/>
      <c r="IVM61" s="108"/>
      <c r="IVN61" s="108"/>
      <c r="IVO61" s="108"/>
      <c r="IVP61" s="108"/>
      <c r="IVQ61" s="108"/>
      <c r="IVR61" s="108"/>
      <c r="IVS61" s="108"/>
      <c r="IVT61" s="108"/>
      <c r="IVU61" s="108"/>
      <c r="IVV61" s="108"/>
      <c r="IVW61" s="108"/>
      <c r="IVX61" s="108"/>
      <c r="IVY61" s="108"/>
      <c r="IVZ61" s="108"/>
      <c r="IWA61" s="108"/>
      <c r="IWB61" s="108"/>
      <c r="IWC61" s="108"/>
      <c r="IWD61" s="108"/>
      <c r="IWE61" s="108"/>
      <c r="IWF61" s="108"/>
      <c r="IWG61" s="108"/>
      <c r="IWH61" s="108"/>
      <c r="IWI61" s="108"/>
      <c r="IWJ61" s="108"/>
      <c r="IWK61" s="108"/>
      <c r="IWL61" s="108"/>
      <c r="IWM61" s="108"/>
      <c r="IWN61" s="108"/>
      <c r="IWO61" s="108"/>
      <c r="IWP61" s="108"/>
      <c r="IWQ61" s="108"/>
      <c r="IWR61" s="108"/>
      <c r="IWS61" s="108"/>
      <c r="IWT61" s="108"/>
      <c r="IWU61" s="108"/>
      <c r="IWV61" s="108"/>
      <c r="IWW61" s="108"/>
      <c r="IWX61" s="108"/>
      <c r="IWY61" s="108"/>
      <c r="IWZ61" s="108"/>
      <c r="IXA61" s="108"/>
      <c r="IXB61" s="108"/>
      <c r="IXC61" s="108"/>
      <c r="IXD61" s="108"/>
      <c r="IXE61" s="108"/>
      <c r="IXF61" s="108"/>
      <c r="IXG61" s="108"/>
      <c r="IXH61" s="108"/>
      <c r="IXI61" s="108"/>
      <c r="IXJ61" s="108"/>
      <c r="IXK61" s="108"/>
      <c r="IXL61" s="108"/>
      <c r="IXM61" s="108"/>
      <c r="IXN61" s="108"/>
      <c r="IXO61" s="108"/>
      <c r="IXP61" s="108"/>
      <c r="IXQ61" s="108"/>
      <c r="IXR61" s="108"/>
      <c r="IXS61" s="108"/>
      <c r="IXT61" s="108"/>
      <c r="IXU61" s="108"/>
      <c r="IXV61" s="108"/>
      <c r="IXW61" s="108"/>
      <c r="IXX61" s="108"/>
      <c r="IXY61" s="108"/>
      <c r="IXZ61" s="108"/>
      <c r="IYA61" s="108"/>
      <c r="IYB61" s="108"/>
      <c r="IYC61" s="108"/>
      <c r="IYD61" s="108"/>
      <c r="IYE61" s="108"/>
      <c r="IYF61" s="108"/>
      <c r="IYG61" s="108"/>
      <c r="IYH61" s="108"/>
      <c r="IYI61" s="108"/>
      <c r="IYJ61" s="108"/>
      <c r="IYK61" s="108"/>
      <c r="IYL61" s="108"/>
      <c r="IYM61" s="108"/>
      <c r="IYN61" s="108"/>
      <c r="IYO61" s="108"/>
      <c r="IYP61" s="108"/>
      <c r="IYQ61" s="108"/>
      <c r="IYR61" s="108"/>
      <c r="IYS61" s="108"/>
      <c r="IYT61" s="108"/>
      <c r="IYU61" s="108"/>
      <c r="IYV61" s="108"/>
      <c r="IYW61" s="108"/>
      <c r="IYX61" s="108"/>
      <c r="IYY61" s="108"/>
      <c r="IYZ61" s="108"/>
      <c r="IZA61" s="108"/>
      <c r="IZB61" s="108"/>
      <c r="IZC61" s="108"/>
      <c r="IZD61" s="108"/>
      <c r="IZE61" s="108"/>
      <c r="IZF61" s="108"/>
      <c r="IZG61" s="108"/>
      <c r="IZH61" s="108"/>
      <c r="IZI61" s="108"/>
      <c r="IZJ61" s="108"/>
      <c r="IZK61" s="108"/>
      <c r="IZL61" s="108"/>
      <c r="IZM61" s="108"/>
      <c r="IZN61" s="108"/>
      <c r="IZO61" s="108"/>
      <c r="IZP61" s="108"/>
      <c r="IZQ61" s="108"/>
      <c r="IZR61" s="108"/>
      <c r="IZS61" s="108"/>
      <c r="IZT61" s="108"/>
      <c r="IZU61" s="108"/>
      <c r="IZV61" s="108"/>
      <c r="IZW61" s="108"/>
      <c r="IZX61" s="108"/>
      <c r="IZY61" s="108"/>
      <c r="IZZ61" s="108"/>
      <c r="JAA61" s="108"/>
      <c r="JAB61" s="108"/>
      <c r="JAC61" s="108"/>
      <c r="JAD61" s="108"/>
      <c r="JAE61" s="108"/>
      <c r="JAF61" s="108"/>
      <c r="JAG61" s="108"/>
      <c r="JAH61" s="108"/>
      <c r="JAI61" s="108"/>
      <c r="JAJ61" s="108"/>
      <c r="JAK61" s="108"/>
      <c r="JAL61" s="108"/>
      <c r="JAM61" s="108"/>
      <c r="JAN61" s="108"/>
      <c r="JAO61" s="108"/>
      <c r="JAP61" s="108"/>
      <c r="JAQ61" s="108"/>
      <c r="JAR61" s="108"/>
      <c r="JAS61" s="108"/>
      <c r="JAT61" s="108"/>
      <c r="JAU61" s="108"/>
      <c r="JAV61" s="108"/>
      <c r="JAW61" s="108"/>
      <c r="JAX61" s="108"/>
      <c r="JAY61" s="108"/>
      <c r="JAZ61" s="108"/>
      <c r="JBA61" s="108"/>
      <c r="JBB61" s="108"/>
      <c r="JBC61" s="108"/>
      <c r="JBD61" s="108"/>
      <c r="JBE61" s="108"/>
      <c r="JBF61" s="108"/>
      <c r="JBG61" s="108"/>
      <c r="JBH61" s="108"/>
      <c r="JBI61" s="108"/>
      <c r="JBJ61" s="108"/>
      <c r="JBK61" s="108"/>
      <c r="JBL61" s="108"/>
      <c r="JBM61" s="108"/>
      <c r="JBN61" s="108"/>
      <c r="JBO61" s="108"/>
      <c r="JBP61" s="108"/>
      <c r="JBQ61" s="108"/>
      <c r="JBR61" s="108"/>
      <c r="JBS61" s="108"/>
      <c r="JBT61" s="108"/>
      <c r="JBU61" s="108"/>
      <c r="JBV61" s="108"/>
      <c r="JBW61" s="108"/>
      <c r="JBX61" s="108"/>
      <c r="JBY61" s="108"/>
      <c r="JBZ61" s="108"/>
      <c r="JCA61" s="108"/>
      <c r="JCB61" s="108"/>
      <c r="JCC61" s="108"/>
      <c r="JCD61" s="108"/>
      <c r="JCE61" s="108"/>
      <c r="JCF61" s="108"/>
      <c r="JCG61" s="108"/>
      <c r="JCH61" s="108"/>
      <c r="JCI61" s="108"/>
      <c r="JCJ61" s="108"/>
      <c r="JCK61" s="108"/>
      <c r="JCL61" s="108"/>
      <c r="JCM61" s="108"/>
      <c r="JCN61" s="108"/>
      <c r="JCO61" s="108"/>
      <c r="JCP61" s="108"/>
      <c r="JCQ61" s="108"/>
      <c r="JCR61" s="108"/>
      <c r="JCS61" s="108"/>
      <c r="JCT61" s="108"/>
      <c r="JCU61" s="108"/>
      <c r="JCV61" s="108"/>
      <c r="JCW61" s="108"/>
      <c r="JCX61" s="108"/>
      <c r="JCY61" s="108"/>
      <c r="JCZ61" s="108"/>
      <c r="JDA61" s="108"/>
      <c r="JDB61" s="108"/>
      <c r="JDC61" s="108"/>
      <c r="JDD61" s="108"/>
      <c r="JDE61" s="108"/>
      <c r="JDF61" s="108"/>
      <c r="JDG61" s="108"/>
      <c r="JDH61" s="108"/>
      <c r="JDI61" s="108"/>
      <c r="JDJ61" s="108"/>
      <c r="JDK61" s="108"/>
      <c r="JDL61" s="108"/>
      <c r="JDM61" s="108"/>
      <c r="JDN61" s="108"/>
      <c r="JDO61" s="108"/>
      <c r="JDP61" s="108"/>
      <c r="JDQ61" s="108"/>
      <c r="JDR61" s="108"/>
      <c r="JDS61" s="108"/>
      <c r="JDT61" s="108"/>
      <c r="JDU61" s="108"/>
      <c r="JDV61" s="108"/>
      <c r="JDW61" s="108"/>
      <c r="JDX61" s="108"/>
      <c r="JDY61" s="108"/>
      <c r="JDZ61" s="108"/>
      <c r="JEA61" s="108"/>
      <c r="JEB61" s="108"/>
      <c r="JEC61" s="108"/>
      <c r="JED61" s="108"/>
      <c r="JEE61" s="108"/>
      <c r="JEF61" s="108"/>
      <c r="JEG61" s="108"/>
      <c r="JEH61" s="108"/>
      <c r="JEI61" s="108"/>
      <c r="JEJ61" s="108"/>
      <c r="JEK61" s="108"/>
      <c r="JEL61" s="108"/>
      <c r="JEM61" s="108"/>
      <c r="JEN61" s="108"/>
      <c r="JEO61" s="108"/>
      <c r="JEP61" s="108"/>
      <c r="JEQ61" s="108"/>
      <c r="JER61" s="108"/>
      <c r="JES61" s="108"/>
      <c r="JET61" s="108"/>
      <c r="JEU61" s="108"/>
      <c r="JEV61" s="108"/>
      <c r="JEW61" s="108"/>
      <c r="JEX61" s="108"/>
      <c r="JEY61" s="108"/>
      <c r="JEZ61" s="108"/>
      <c r="JFA61" s="108"/>
      <c r="JFB61" s="108"/>
      <c r="JFC61" s="108"/>
      <c r="JFD61" s="108"/>
      <c r="JFE61" s="108"/>
      <c r="JFF61" s="108"/>
      <c r="JFG61" s="108"/>
      <c r="JFH61" s="108"/>
      <c r="JFI61" s="108"/>
      <c r="JFJ61" s="108"/>
      <c r="JFK61" s="108"/>
      <c r="JFL61" s="108"/>
      <c r="JFM61" s="108"/>
      <c r="JFN61" s="108"/>
      <c r="JFO61" s="108"/>
      <c r="JFP61" s="108"/>
      <c r="JFQ61" s="108"/>
      <c r="JFR61" s="108"/>
      <c r="JFS61" s="108"/>
      <c r="JFT61" s="108"/>
      <c r="JFU61" s="108"/>
      <c r="JFV61" s="108"/>
      <c r="JFW61" s="108"/>
      <c r="JFX61" s="108"/>
      <c r="JFY61" s="108"/>
      <c r="JFZ61" s="108"/>
      <c r="JGA61" s="108"/>
      <c r="JGB61" s="108"/>
      <c r="JGC61" s="108"/>
      <c r="JGD61" s="108"/>
      <c r="JGE61" s="108"/>
      <c r="JGF61" s="108"/>
      <c r="JGG61" s="108"/>
      <c r="JGH61" s="108"/>
      <c r="JGI61" s="108"/>
      <c r="JGJ61" s="108"/>
      <c r="JGK61" s="108"/>
      <c r="JGL61" s="108"/>
      <c r="JGM61" s="108"/>
      <c r="JGN61" s="108"/>
      <c r="JGO61" s="108"/>
      <c r="JGP61" s="108"/>
      <c r="JGQ61" s="108"/>
      <c r="JGR61" s="108"/>
      <c r="JGS61" s="108"/>
      <c r="JGT61" s="108"/>
      <c r="JGU61" s="108"/>
      <c r="JGV61" s="108"/>
      <c r="JGW61" s="108"/>
      <c r="JGX61" s="108"/>
      <c r="JGY61" s="108"/>
      <c r="JGZ61" s="108"/>
      <c r="JHA61" s="108"/>
      <c r="JHB61" s="108"/>
      <c r="JHC61" s="108"/>
      <c r="JHD61" s="108"/>
      <c r="JHE61" s="108"/>
      <c r="JHF61" s="108"/>
      <c r="JHG61" s="108"/>
      <c r="JHH61" s="108"/>
      <c r="JHI61" s="108"/>
      <c r="JHJ61" s="108"/>
      <c r="JHK61" s="108"/>
      <c r="JHL61" s="108"/>
      <c r="JHM61" s="108"/>
      <c r="JHN61" s="108"/>
      <c r="JHO61" s="108"/>
      <c r="JHP61" s="108"/>
      <c r="JHQ61" s="108"/>
      <c r="JHR61" s="108"/>
      <c r="JHS61" s="108"/>
      <c r="JHT61" s="108"/>
      <c r="JHU61" s="108"/>
      <c r="JHV61" s="108"/>
      <c r="JHW61" s="108"/>
      <c r="JHX61" s="108"/>
      <c r="JHY61" s="108"/>
      <c r="JHZ61" s="108"/>
      <c r="JIA61" s="108"/>
      <c r="JIB61" s="108"/>
      <c r="JIC61" s="108"/>
      <c r="JID61" s="108"/>
      <c r="JIE61" s="108"/>
      <c r="JIF61" s="108"/>
      <c r="JIG61" s="108"/>
      <c r="JIH61" s="108"/>
      <c r="JII61" s="108"/>
      <c r="JIJ61" s="108"/>
      <c r="JIK61" s="108"/>
      <c r="JIL61" s="108"/>
      <c r="JIM61" s="108"/>
      <c r="JIN61" s="108"/>
      <c r="JIO61" s="108"/>
      <c r="JIP61" s="108"/>
      <c r="JIQ61" s="108"/>
      <c r="JIR61" s="108"/>
      <c r="JIS61" s="108"/>
      <c r="JIT61" s="108"/>
      <c r="JIU61" s="108"/>
      <c r="JIV61" s="108"/>
      <c r="JIW61" s="108"/>
      <c r="JIX61" s="108"/>
      <c r="JIY61" s="108"/>
      <c r="JIZ61" s="108"/>
      <c r="JJA61" s="108"/>
      <c r="JJB61" s="108"/>
      <c r="JJC61" s="108"/>
      <c r="JJD61" s="108"/>
      <c r="JJE61" s="108"/>
      <c r="JJF61" s="108"/>
      <c r="JJG61" s="108"/>
      <c r="JJH61" s="108"/>
      <c r="JJI61" s="108"/>
      <c r="JJJ61" s="108"/>
      <c r="JJK61" s="108"/>
      <c r="JJL61" s="108"/>
      <c r="JJM61" s="108"/>
      <c r="JJN61" s="108"/>
      <c r="JJO61" s="108"/>
      <c r="JJP61" s="108"/>
      <c r="JJQ61" s="108"/>
      <c r="JJR61" s="108"/>
      <c r="JJS61" s="108"/>
      <c r="JJT61" s="108"/>
      <c r="JJU61" s="108"/>
      <c r="JJV61" s="108"/>
      <c r="JJW61" s="108"/>
      <c r="JJX61" s="108"/>
      <c r="JJY61" s="108"/>
      <c r="JJZ61" s="108"/>
      <c r="JKA61" s="108"/>
      <c r="JKB61" s="108"/>
      <c r="JKC61" s="108"/>
      <c r="JKD61" s="108"/>
      <c r="JKE61" s="108"/>
      <c r="JKF61" s="108"/>
      <c r="JKG61" s="108"/>
      <c r="JKH61" s="108"/>
      <c r="JKI61" s="108"/>
      <c r="JKJ61" s="108"/>
      <c r="JKK61" s="108"/>
      <c r="JKL61" s="108"/>
      <c r="JKM61" s="108"/>
      <c r="JKN61" s="108"/>
      <c r="JKO61" s="108"/>
      <c r="JKP61" s="108"/>
      <c r="JKQ61" s="108"/>
      <c r="JKR61" s="108"/>
      <c r="JKS61" s="108"/>
      <c r="JKT61" s="108"/>
      <c r="JKU61" s="108"/>
      <c r="JKV61" s="108"/>
      <c r="JKW61" s="108"/>
      <c r="JKX61" s="108"/>
      <c r="JKY61" s="108"/>
      <c r="JKZ61" s="108"/>
      <c r="JLA61" s="108"/>
      <c r="JLB61" s="108"/>
      <c r="JLC61" s="108"/>
      <c r="JLD61" s="108"/>
      <c r="JLE61" s="108"/>
      <c r="JLF61" s="108"/>
      <c r="JLG61" s="108"/>
      <c r="JLH61" s="108"/>
      <c r="JLI61" s="108"/>
      <c r="JLJ61" s="108"/>
      <c r="JLK61" s="108"/>
      <c r="JLL61" s="108"/>
      <c r="JLM61" s="108"/>
      <c r="JLN61" s="108"/>
      <c r="JLO61" s="108"/>
      <c r="JLP61" s="108"/>
      <c r="JLQ61" s="108"/>
      <c r="JLR61" s="108"/>
      <c r="JLS61" s="108"/>
      <c r="JLT61" s="108"/>
      <c r="JLU61" s="108"/>
      <c r="JLV61" s="108"/>
      <c r="JLW61" s="108"/>
      <c r="JLX61" s="108"/>
      <c r="JLY61" s="108"/>
      <c r="JLZ61" s="108"/>
      <c r="JMA61" s="108"/>
      <c r="JMB61" s="108"/>
      <c r="JMC61" s="108"/>
      <c r="JMD61" s="108"/>
      <c r="JME61" s="108"/>
      <c r="JMF61" s="108"/>
      <c r="JMG61" s="108"/>
      <c r="JMH61" s="108"/>
      <c r="JMI61" s="108"/>
      <c r="JMJ61" s="108"/>
      <c r="JMK61" s="108"/>
      <c r="JML61" s="108"/>
      <c r="JMM61" s="108"/>
      <c r="JMN61" s="108"/>
      <c r="JMO61" s="108"/>
      <c r="JMP61" s="108"/>
      <c r="JMQ61" s="108"/>
      <c r="JMR61" s="108"/>
      <c r="JMS61" s="108"/>
      <c r="JMT61" s="108"/>
      <c r="JMU61" s="108"/>
      <c r="JMV61" s="108"/>
      <c r="JMW61" s="108"/>
      <c r="JMX61" s="108"/>
      <c r="JMY61" s="108"/>
      <c r="JMZ61" s="108"/>
      <c r="JNA61" s="108"/>
      <c r="JNB61" s="108"/>
      <c r="JNC61" s="108"/>
      <c r="JND61" s="108"/>
      <c r="JNE61" s="108"/>
      <c r="JNF61" s="108"/>
      <c r="JNG61" s="108"/>
      <c r="JNH61" s="108"/>
      <c r="JNI61" s="108"/>
      <c r="JNJ61" s="108"/>
      <c r="JNK61" s="108"/>
      <c r="JNL61" s="108"/>
      <c r="JNM61" s="108"/>
      <c r="JNN61" s="108"/>
      <c r="JNO61" s="108"/>
      <c r="JNP61" s="108"/>
      <c r="JNQ61" s="108"/>
      <c r="JNR61" s="108"/>
      <c r="JNS61" s="108"/>
      <c r="JNT61" s="108"/>
      <c r="JNU61" s="108"/>
      <c r="JNV61" s="108"/>
      <c r="JNW61" s="108"/>
      <c r="JNX61" s="108"/>
      <c r="JNY61" s="108"/>
      <c r="JNZ61" s="108"/>
      <c r="JOA61" s="108"/>
      <c r="JOB61" s="108"/>
      <c r="JOC61" s="108"/>
      <c r="JOD61" s="108"/>
      <c r="JOE61" s="108"/>
      <c r="JOF61" s="108"/>
      <c r="JOG61" s="108"/>
      <c r="JOH61" s="108"/>
      <c r="JOI61" s="108"/>
      <c r="JOJ61" s="108"/>
      <c r="JOK61" s="108"/>
      <c r="JOL61" s="108"/>
      <c r="JOM61" s="108"/>
      <c r="JON61" s="108"/>
      <c r="JOO61" s="108"/>
      <c r="JOP61" s="108"/>
      <c r="JOQ61" s="108"/>
      <c r="JOR61" s="108"/>
      <c r="JOS61" s="108"/>
      <c r="JOT61" s="108"/>
      <c r="JOU61" s="108"/>
      <c r="JOV61" s="108"/>
      <c r="JOW61" s="108"/>
      <c r="JOX61" s="108"/>
      <c r="JOY61" s="108"/>
      <c r="JOZ61" s="108"/>
      <c r="JPA61" s="108"/>
      <c r="JPB61" s="108"/>
      <c r="JPC61" s="108"/>
      <c r="JPD61" s="108"/>
      <c r="JPE61" s="108"/>
      <c r="JPF61" s="108"/>
      <c r="JPG61" s="108"/>
      <c r="JPH61" s="108"/>
      <c r="JPI61" s="108"/>
      <c r="JPJ61" s="108"/>
      <c r="JPK61" s="108"/>
      <c r="JPL61" s="108"/>
      <c r="JPM61" s="108"/>
      <c r="JPN61" s="108"/>
      <c r="JPO61" s="108"/>
      <c r="JPP61" s="108"/>
      <c r="JPQ61" s="108"/>
      <c r="JPR61" s="108"/>
      <c r="JPS61" s="108"/>
      <c r="JPT61" s="108"/>
      <c r="JPU61" s="108"/>
      <c r="JPV61" s="108"/>
      <c r="JPW61" s="108"/>
      <c r="JPX61" s="108"/>
      <c r="JPY61" s="108"/>
      <c r="JPZ61" s="108"/>
      <c r="JQA61" s="108"/>
      <c r="JQB61" s="108"/>
      <c r="JQC61" s="108"/>
      <c r="JQD61" s="108"/>
      <c r="JQE61" s="108"/>
      <c r="JQF61" s="108"/>
      <c r="JQG61" s="108"/>
      <c r="JQH61" s="108"/>
      <c r="JQI61" s="108"/>
      <c r="JQJ61" s="108"/>
      <c r="JQK61" s="108"/>
      <c r="JQL61" s="108"/>
      <c r="JQM61" s="108"/>
      <c r="JQN61" s="108"/>
      <c r="JQO61" s="108"/>
      <c r="JQP61" s="108"/>
      <c r="JQQ61" s="108"/>
      <c r="JQR61" s="108"/>
      <c r="JQS61" s="108"/>
      <c r="JQT61" s="108"/>
      <c r="JQU61" s="108"/>
      <c r="JQV61" s="108"/>
      <c r="JQW61" s="108"/>
      <c r="JQX61" s="108"/>
      <c r="JQY61" s="108"/>
      <c r="JQZ61" s="108"/>
      <c r="JRA61" s="108"/>
      <c r="JRB61" s="108"/>
      <c r="JRC61" s="108"/>
      <c r="JRD61" s="108"/>
      <c r="JRE61" s="108"/>
      <c r="JRF61" s="108"/>
      <c r="JRG61" s="108"/>
      <c r="JRH61" s="108"/>
      <c r="JRI61" s="108"/>
      <c r="JRJ61" s="108"/>
      <c r="JRK61" s="108"/>
      <c r="JRL61" s="108"/>
      <c r="JRM61" s="108"/>
      <c r="JRN61" s="108"/>
      <c r="JRO61" s="108"/>
      <c r="JRP61" s="108"/>
      <c r="JRQ61" s="108"/>
      <c r="JRR61" s="108"/>
      <c r="JRS61" s="108"/>
      <c r="JRT61" s="108"/>
      <c r="JRU61" s="108"/>
      <c r="JRV61" s="108"/>
      <c r="JRW61" s="108"/>
      <c r="JRX61" s="108"/>
      <c r="JRY61" s="108"/>
      <c r="JRZ61" s="108"/>
      <c r="JSA61" s="108"/>
      <c r="JSB61" s="108"/>
      <c r="JSC61" s="108"/>
      <c r="JSD61" s="108"/>
      <c r="JSE61" s="108"/>
      <c r="JSF61" s="108"/>
      <c r="JSG61" s="108"/>
      <c r="JSH61" s="108"/>
      <c r="JSI61" s="108"/>
      <c r="JSJ61" s="108"/>
      <c r="JSK61" s="108"/>
      <c r="JSL61" s="108"/>
      <c r="JSM61" s="108"/>
      <c r="JSN61" s="108"/>
      <c r="JSO61" s="108"/>
      <c r="JSP61" s="108"/>
      <c r="JSQ61" s="108"/>
      <c r="JSR61" s="108"/>
      <c r="JSS61" s="108"/>
      <c r="JST61" s="108"/>
      <c r="JSU61" s="108"/>
      <c r="JSV61" s="108"/>
      <c r="JSW61" s="108"/>
      <c r="JSX61" s="108"/>
      <c r="JSY61" s="108"/>
      <c r="JSZ61" s="108"/>
      <c r="JTA61" s="108"/>
      <c r="JTB61" s="108"/>
      <c r="JTC61" s="108"/>
      <c r="JTD61" s="108"/>
      <c r="JTE61" s="108"/>
      <c r="JTF61" s="108"/>
      <c r="JTG61" s="108"/>
      <c r="JTH61" s="108"/>
      <c r="JTI61" s="108"/>
      <c r="JTJ61" s="108"/>
      <c r="JTK61" s="108"/>
      <c r="JTL61" s="108"/>
      <c r="JTM61" s="108"/>
      <c r="JTN61" s="108"/>
      <c r="JTO61" s="108"/>
      <c r="JTP61" s="108"/>
      <c r="JTQ61" s="108"/>
      <c r="JTR61" s="108"/>
      <c r="JTS61" s="108"/>
      <c r="JTT61" s="108"/>
      <c r="JTU61" s="108"/>
      <c r="JTV61" s="108"/>
      <c r="JTW61" s="108"/>
      <c r="JTX61" s="108"/>
      <c r="JTY61" s="108"/>
      <c r="JTZ61" s="108"/>
      <c r="JUA61" s="108"/>
      <c r="JUB61" s="108"/>
      <c r="JUC61" s="108"/>
      <c r="JUD61" s="108"/>
      <c r="JUE61" s="108"/>
      <c r="JUF61" s="108"/>
      <c r="JUG61" s="108"/>
      <c r="JUH61" s="108"/>
      <c r="JUI61" s="108"/>
      <c r="JUJ61" s="108"/>
      <c r="JUK61" s="108"/>
      <c r="JUL61" s="108"/>
      <c r="JUM61" s="108"/>
      <c r="JUN61" s="108"/>
      <c r="JUO61" s="108"/>
      <c r="JUP61" s="108"/>
      <c r="JUQ61" s="108"/>
      <c r="JUR61" s="108"/>
      <c r="JUS61" s="108"/>
      <c r="JUT61" s="108"/>
      <c r="JUU61" s="108"/>
      <c r="JUV61" s="108"/>
      <c r="JUW61" s="108"/>
      <c r="JUX61" s="108"/>
      <c r="JUY61" s="108"/>
      <c r="JUZ61" s="108"/>
      <c r="JVA61" s="108"/>
      <c r="JVB61" s="108"/>
      <c r="JVC61" s="108"/>
      <c r="JVD61" s="108"/>
      <c r="JVE61" s="108"/>
      <c r="JVF61" s="108"/>
      <c r="JVG61" s="108"/>
      <c r="JVH61" s="108"/>
      <c r="JVI61" s="108"/>
      <c r="JVJ61" s="108"/>
      <c r="JVK61" s="108"/>
      <c r="JVL61" s="108"/>
      <c r="JVM61" s="108"/>
      <c r="JVN61" s="108"/>
      <c r="JVO61" s="108"/>
      <c r="JVP61" s="108"/>
      <c r="JVQ61" s="108"/>
      <c r="JVR61" s="108"/>
      <c r="JVS61" s="108"/>
      <c r="JVT61" s="108"/>
      <c r="JVU61" s="108"/>
      <c r="JVV61" s="108"/>
      <c r="JVW61" s="108"/>
      <c r="JVX61" s="108"/>
      <c r="JVY61" s="108"/>
      <c r="JVZ61" s="108"/>
      <c r="JWA61" s="108"/>
      <c r="JWB61" s="108"/>
      <c r="JWC61" s="108"/>
      <c r="JWD61" s="108"/>
      <c r="JWE61" s="108"/>
      <c r="JWF61" s="108"/>
      <c r="JWG61" s="108"/>
      <c r="JWH61" s="108"/>
      <c r="JWI61" s="108"/>
      <c r="JWJ61" s="108"/>
      <c r="JWK61" s="108"/>
      <c r="JWL61" s="108"/>
      <c r="JWM61" s="108"/>
      <c r="JWN61" s="108"/>
      <c r="JWO61" s="108"/>
      <c r="JWP61" s="108"/>
      <c r="JWQ61" s="108"/>
      <c r="JWR61" s="108"/>
      <c r="JWS61" s="108"/>
      <c r="JWT61" s="108"/>
      <c r="JWU61" s="108"/>
      <c r="JWV61" s="108"/>
      <c r="JWW61" s="108"/>
      <c r="JWX61" s="108"/>
      <c r="JWY61" s="108"/>
      <c r="JWZ61" s="108"/>
      <c r="JXA61" s="108"/>
      <c r="JXB61" s="108"/>
      <c r="JXC61" s="108"/>
      <c r="JXD61" s="108"/>
      <c r="JXE61" s="108"/>
      <c r="JXF61" s="108"/>
      <c r="JXG61" s="108"/>
      <c r="JXH61" s="108"/>
      <c r="JXI61" s="108"/>
      <c r="JXJ61" s="108"/>
      <c r="JXK61" s="108"/>
      <c r="JXL61" s="108"/>
      <c r="JXM61" s="108"/>
      <c r="JXN61" s="108"/>
      <c r="JXO61" s="108"/>
      <c r="JXP61" s="108"/>
      <c r="JXQ61" s="108"/>
      <c r="JXR61" s="108"/>
      <c r="JXS61" s="108"/>
      <c r="JXT61" s="108"/>
      <c r="JXU61" s="108"/>
      <c r="JXV61" s="108"/>
      <c r="JXW61" s="108"/>
      <c r="JXX61" s="108"/>
      <c r="JXY61" s="108"/>
      <c r="JXZ61" s="108"/>
      <c r="JYA61" s="108"/>
      <c r="JYB61" s="108"/>
      <c r="JYC61" s="108"/>
      <c r="JYD61" s="108"/>
      <c r="JYE61" s="108"/>
      <c r="JYF61" s="108"/>
      <c r="JYG61" s="108"/>
      <c r="JYH61" s="108"/>
      <c r="JYI61" s="108"/>
      <c r="JYJ61" s="108"/>
      <c r="JYK61" s="108"/>
      <c r="JYL61" s="108"/>
      <c r="JYM61" s="108"/>
      <c r="JYN61" s="108"/>
      <c r="JYO61" s="108"/>
      <c r="JYP61" s="108"/>
      <c r="JYQ61" s="108"/>
      <c r="JYR61" s="108"/>
      <c r="JYS61" s="108"/>
      <c r="JYT61" s="108"/>
      <c r="JYU61" s="108"/>
      <c r="JYV61" s="108"/>
      <c r="JYW61" s="108"/>
      <c r="JYX61" s="108"/>
      <c r="JYY61" s="108"/>
      <c r="JYZ61" s="108"/>
      <c r="JZA61" s="108"/>
      <c r="JZB61" s="108"/>
      <c r="JZC61" s="108"/>
      <c r="JZD61" s="108"/>
      <c r="JZE61" s="108"/>
      <c r="JZF61" s="108"/>
      <c r="JZG61" s="108"/>
      <c r="JZH61" s="108"/>
      <c r="JZI61" s="108"/>
      <c r="JZJ61" s="108"/>
      <c r="JZK61" s="108"/>
      <c r="JZL61" s="108"/>
      <c r="JZM61" s="108"/>
      <c r="JZN61" s="108"/>
      <c r="JZO61" s="108"/>
      <c r="JZP61" s="108"/>
      <c r="JZQ61" s="108"/>
      <c r="JZR61" s="108"/>
      <c r="JZS61" s="108"/>
      <c r="JZT61" s="108"/>
      <c r="JZU61" s="108"/>
      <c r="JZV61" s="108"/>
      <c r="JZW61" s="108"/>
      <c r="JZX61" s="108"/>
      <c r="JZY61" s="108"/>
      <c r="JZZ61" s="108"/>
      <c r="KAA61" s="108"/>
      <c r="KAB61" s="108"/>
      <c r="KAC61" s="108"/>
      <c r="KAD61" s="108"/>
      <c r="KAE61" s="108"/>
      <c r="KAF61" s="108"/>
      <c r="KAG61" s="108"/>
      <c r="KAH61" s="108"/>
      <c r="KAI61" s="108"/>
      <c r="KAJ61" s="108"/>
      <c r="KAK61" s="108"/>
      <c r="KAL61" s="108"/>
      <c r="KAM61" s="108"/>
      <c r="KAN61" s="108"/>
      <c r="KAO61" s="108"/>
      <c r="KAP61" s="108"/>
      <c r="KAQ61" s="108"/>
      <c r="KAR61" s="108"/>
      <c r="KAS61" s="108"/>
      <c r="KAT61" s="108"/>
      <c r="KAU61" s="108"/>
      <c r="KAV61" s="108"/>
      <c r="KAW61" s="108"/>
      <c r="KAX61" s="108"/>
      <c r="KAY61" s="108"/>
      <c r="KAZ61" s="108"/>
      <c r="KBA61" s="108"/>
      <c r="KBB61" s="108"/>
      <c r="KBC61" s="108"/>
      <c r="KBD61" s="108"/>
      <c r="KBE61" s="108"/>
      <c r="KBF61" s="108"/>
      <c r="KBG61" s="108"/>
      <c r="KBH61" s="108"/>
      <c r="KBI61" s="108"/>
      <c r="KBJ61" s="108"/>
      <c r="KBK61" s="108"/>
      <c r="KBL61" s="108"/>
      <c r="KBM61" s="108"/>
      <c r="KBN61" s="108"/>
      <c r="KBO61" s="108"/>
      <c r="KBP61" s="108"/>
      <c r="KBQ61" s="108"/>
      <c r="KBR61" s="108"/>
      <c r="KBS61" s="108"/>
      <c r="KBT61" s="108"/>
      <c r="KBU61" s="108"/>
      <c r="KBV61" s="108"/>
      <c r="KBW61" s="108"/>
      <c r="KBX61" s="108"/>
      <c r="KBY61" s="108"/>
      <c r="KBZ61" s="108"/>
      <c r="KCA61" s="108"/>
      <c r="KCB61" s="108"/>
      <c r="KCC61" s="108"/>
      <c r="KCD61" s="108"/>
      <c r="KCE61" s="108"/>
      <c r="KCF61" s="108"/>
      <c r="KCG61" s="108"/>
      <c r="KCH61" s="108"/>
      <c r="KCI61" s="108"/>
      <c r="KCJ61" s="108"/>
      <c r="KCK61" s="108"/>
      <c r="KCL61" s="108"/>
      <c r="KCM61" s="108"/>
      <c r="KCN61" s="108"/>
      <c r="KCO61" s="108"/>
      <c r="KCP61" s="108"/>
      <c r="KCQ61" s="108"/>
      <c r="KCR61" s="108"/>
      <c r="KCS61" s="108"/>
      <c r="KCT61" s="108"/>
      <c r="KCU61" s="108"/>
      <c r="KCV61" s="108"/>
      <c r="KCW61" s="108"/>
      <c r="KCX61" s="108"/>
      <c r="KCY61" s="108"/>
      <c r="KCZ61" s="108"/>
      <c r="KDA61" s="108"/>
      <c r="KDB61" s="108"/>
      <c r="KDC61" s="108"/>
      <c r="KDD61" s="108"/>
      <c r="KDE61" s="108"/>
      <c r="KDF61" s="108"/>
      <c r="KDG61" s="108"/>
      <c r="KDH61" s="108"/>
      <c r="KDI61" s="108"/>
      <c r="KDJ61" s="108"/>
      <c r="KDK61" s="108"/>
      <c r="KDL61" s="108"/>
      <c r="KDM61" s="108"/>
      <c r="KDN61" s="108"/>
      <c r="KDO61" s="108"/>
      <c r="KDP61" s="108"/>
      <c r="KDQ61" s="108"/>
      <c r="KDR61" s="108"/>
      <c r="KDS61" s="108"/>
      <c r="KDT61" s="108"/>
      <c r="KDU61" s="108"/>
      <c r="KDV61" s="108"/>
      <c r="KDW61" s="108"/>
      <c r="KDX61" s="108"/>
      <c r="KDY61" s="108"/>
      <c r="KDZ61" s="108"/>
      <c r="KEA61" s="108"/>
      <c r="KEB61" s="108"/>
      <c r="KEC61" s="108"/>
      <c r="KED61" s="108"/>
      <c r="KEE61" s="108"/>
      <c r="KEF61" s="108"/>
      <c r="KEG61" s="108"/>
      <c r="KEH61" s="108"/>
      <c r="KEI61" s="108"/>
      <c r="KEJ61" s="108"/>
      <c r="KEK61" s="108"/>
      <c r="KEL61" s="108"/>
      <c r="KEM61" s="108"/>
      <c r="KEN61" s="108"/>
      <c r="KEO61" s="108"/>
      <c r="KEP61" s="108"/>
      <c r="KEQ61" s="108"/>
      <c r="KER61" s="108"/>
      <c r="KES61" s="108"/>
      <c r="KET61" s="108"/>
      <c r="KEU61" s="108"/>
      <c r="KEV61" s="108"/>
      <c r="KEW61" s="108"/>
      <c r="KEX61" s="108"/>
      <c r="KEY61" s="108"/>
      <c r="KEZ61" s="108"/>
      <c r="KFA61" s="108"/>
      <c r="KFB61" s="108"/>
      <c r="KFC61" s="108"/>
      <c r="KFD61" s="108"/>
      <c r="KFE61" s="108"/>
      <c r="KFF61" s="108"/>
      <c r="KFG61" s="108"/>
      <c r="KFH61" s="108"/>
      <c r="KFI61" s="108"/>
      <c r="KFJ61" s="108"/>
      <c r="KFK61" s="108"/>
      <c r="KFL61" s="108"/>
      <c r="KFM61" s="108"/>
      <c r="KFN61" s="108"/>
      <c r="KFO61" s="108"/>
      <c r="KFP61" s="108"/>
      <c r="KFQ61" s="108"/>
      <c r="KFR61" s="108"/>
      <c r="KFS61" s="108"/>
      <c r="KFT61" s="108"/>
      <c r="KFU61" s="108"/>
      <c r="KFV61" s="108"/>
      <c r="KFW61" s="108"/>
      <c r="KFX61" s="108"/>
      <c r="KFY61" s="108"/>
      <c r="KFZ61" s="108"/>
      <c r="KGA61" s="108"/>
      <c r="KGB61" s="108"/>
      <c r="KGC61" s="108"/>
      <c r="KGD61" s="108"/>
      <c r="KGE61" s="108"/>
      <c r="KGF61" s="108"/>
      <c r="KGG61" s="108"/>
      <c r="KGH61" s="108"/>
      <c r="KGI61" s="108"/>
      <c r="KGJ61" s="108"/>
      <c r="KGK61" s="108"/>
      <c r="KGL61" s="108"/>
      <c r="KGM61" s="108"/>
      <c r="KGN61" s="108"/>
      <c r="KGO61" s="108"/>
      <c r="KGP61" s="108"/>
      <c r="KGQ61" s="108"/>
      <c r="KGR61" s="108"/>
      <c r="KGS61" s="108"/>
      <c r="KGT61" s="108"/>
      <c r="KGU61" s="108"/>
      <c r="KGV61" s="108"/>
      <c r="KGW61" s="108"/>
      <c r="KGX61" s="108"/>
      <c r="KGY61" s="108"/>
      <c r="KGZ61" s="108"/>
      <c r="KHA61" s="108"/>
      <c r="KHB61" s="108"/>
      <c r="KHC61" s="108"/>
      <c r="KHD61" s="108"/>
      <c r="KHE61" s="108"/>
      <c r="KHF61" s="108"/>
      <c r="KHG61" s="108"/>
      <c r="KHH61" s="108"/>
      <c r="KHI61" s="108"/>
      <c r="KHJ61" s="108"/>
      <c r="KHK61" s="108"/>
      <c r="KHL61" s="108"/>
      <c r="KHM61" s="108"/>
      <c r="KHN61" s="108"/>
      <c r="KHO61" s="108"/>
      <c r="KHP61" s="108"/>
      <c r="KHQ61" s="108"/>
      <c r="KHR61" s="108"/>
      <c r="KHS61" s="108"/>
      <c r="KHT61" s="108"/>
      <c r="KHU61" s="108"/>
      <c r="KHV61" s="108"/>
      <c r="KHW61" s="108"/>
      <c r="KHX61" s="108"/>
      <c r="KHY61" s="108"/>
      <c r="KHZ61" s="108"/>
      <c r="KIA61" s="108"/>
      <c r="KIB61" s="108"/>
      <c r="KIC61" s="108"/>
      <c r="KID61" s="108"/>
      <c r="KIE61" s="108"/>
      <c r="KIF61" s="108"/>
      <c r="KIG61" s="108"/>
      <c r="KIH61" s="108"/>
      <c r="KII61" s="108"/>
      <c r="KIJ61" s="108"/>
      <c r="KIK61" s="108"/>
      <c r="KIL61" s="108"/>
      <c r="KIM61" s="108"/>
      <c r="KIN61" s="108"/>
      <c r="KIO61" s="108"/>
      <c r="KIP61" s="108"/>
      <c r="KIQ61" s="108"/>
      <c r="KIR61" s="108"/>
      <c r="KIS61" s="108"/>
      <c r="KIT61" s="108"/>
      <c r="KIU61" s="108"/>
      <c r="KIV61" s="108"/>
      <c r="KIW61" s="108"/>
      <c r="KIX61" s="108"/>
      <c r="KIY61" s="108"/>
      <c r="KIZ61" s="108"/>
      <c r="KJA61" s="108"/>
      <c r="KJB61" s="108"/>
      <c r="KJC61" s="108"/>
      <c r="KJD61" s="108"/>
      <c r="KJE61" s="108"/>
      <c r="KJF61" s="108"/>
      <c r="KJG61" s="108"/>
      <c r="KJH61" s="108"/>
      <c r="KJI61" s="108"/>
      <c r="KJJ61" s="108"/>
      <c r="KJK61" s="108"/>
      <c r="KJL61" s="108"/>
      <c r="KJM61" s="108"/>
      <c r="KJN61" s="108"/>
      <c r="KJO61" s="108"/>
      <c r="KJP61" s="108"/>
      <c r="KJQ61" s="108"/>
      <c r="KJR61" s="108"/>
      <c r="KJS61" s="108"/>
      <c r="KJT61" s="108"/>
      <c r="KJU61" s="108"/>
      <c r="KJV61" s="108"/>
      <c r="KJW61" s="108"/>
      <c r="KJX61" s="108"/>
      <c r="KJY61" s="108"/>
      <c r="KJZ61" s="108"/>
      <c r="KKA61" s="108"/>
      <c r="KKB61" s="108"/>
      <c r="KKC61" s="108"/>
      <c r="KKD61" s="108"/>
      <c r="KKE61" s="108"/>
      <c r="KKF61" s="108"/>
      <c r="KKG61" s="108"/>
      <c r="KKH61" s="108"/>
      <c r="KKI61" s="108"/>
      <c r="KKJ61" s="108"/>
      <c r="KKK61" s="108"/>
      <c r="KKL61" s="108"/>
      <c r="KKM61" s="108"/>
      <c r="KKN61" s="108"/>
      <c r="KKO61" s="108"/>
      <c r="KKP61" s="108"/>
      <c r="KKQ61" s="108"/>
      <c r="KKR61" s="108"/>
      <c r="KKS61" s="108"/>
      <c r="KKT61" s="108"/>
      <c r="KKU61" s="108"/>
      <c r="KKV61" s="108"/>
      <c r="KKW61" s="108"/>
      <c r="KKX61" s="108"/>
      <c r="KKY61" s="108"/>
      <c r="KKZ61" s="108"/>
      <c r="KLA61" s="108"/>
      <c r="KLB61" s="108"/>
      <c r="KLC61" s="108"/>
      <c r="KLD61" s="108"/>
      <c r="KLE61" s="108"/>
      <c r="KLF61" s="108"/>
      <c r="KLG61" s="108"/>
      <c r="KLH61" s="108"/>
      <c r="KLI61" s="108"/>
      <c r="KLJ61" s="108"/>
      <c r="KLK61" s="108"/>
      <c r="KLL61" s="108"/>
      <c r="KLM61" s="108"/>
      <c r="KLN61" s="108"/>
      <c r="KLO61" s="108"/>
      <c r="KLP61" s="108"/>
      <c r="KLQ61" s="108"/>
      <c r="KLR61" s="108"/>
      <c r="KLS61" s="108"/>
      <c r="KLT61" s="108"/>
      <c r="KLU61" s="108"/>
      <c r="KLV61" s="108"/>
      <c r="KLW61" s="108"/>
      <c r="KLX61" s="108"/>
      <c r="KLY61" s="108"/>
      <c r="KLZ61" s="108"/>
      <c r="KMA61" s="108"/>
      <c r="KMB61" s="108"/>
      <c r="KMC61" s="108"/>
      <c r="KMD61" s="108"/>
      <c r="KME61" s="108"/>
      <c r="KMF61" s="108"/>
      <c r="KMG61" s="108"/>
      <c r="KMH61" s="108"/>
      <c r="KMI61" s="108"/>
      <c r="KMJ61" s="108"/>
      <c r="KMK61" s="108"/>
      <c r="KML61" s="108"/>
      <c r="KMM61" s="108"/>
      <c r="KMN61" s="108"/>
      <c r="KMO61" s="108"/>
      <c r="KMP61" s="108"/>
      <c r="KMQ61" s="108"/>
      <c r="KMR61" s="108"/>
      <c r="KMS61" s="108"/>
      <c r="KMT61" s="108"/>
      <c r="KMU61" s="108"/>
      <c r="KMV61" s="108"/>
      <c r="KMW61" s="108"/>
      <c r="KMX61" s="108"/>
      <c r="KMY61" s="108"/>
      <c r="KMZ61" s="108"/>
      <c r="KNA61" s="108"/>
      <c r="KNB61" s="108"/>
      <c r="KNC61" s="108"/>
      <c r="KND61" s="108"/>
      <c r="KNE61" s="108"/>
      <c r="KNF61" s="108"/>
      <c r="KNG61" s="108"/>
      <c r="KNH61" s="108"/>
      <c r="KNI61" s="108"/>
      <c r="KNJ61" s="108"/>
      <c r="KNK61" s="108"/>
      <c r="KNL61" s="108"/>
      <c r="KNM61" s="108"/>
      <c r="KNN61" s="108"/>
      <c r="KNO61" s="108"/>
      <c r="KNP61" s="108"/>
      <c r="KNQ61" s="108"/>
      <c r="KNR61" s="108"/>
      <c r="KNS61" s="108"/>
      <c r="KNT61" s="108"/>
      <c r="KNU61" s="108"/>
      <c r="KNV61" s="108"/>
      <c r="KNW61" s="108"/>
      <c r="KNX61" s="108"/>
      <c r="KNY61" s="108"/>
      <c r="KNZ61" s="108"/>
      <c r="KOA61" s="108"/>
      <c r="KOB61" s="108"/>
      <c r="KOC61" s="108"/>
      <c r="KOD61" s="108"/>
      <c r="KOE61" s="108"/>
      <c r="KOF61" s="108"/>
      <c r="KOG61" s="108"/>
      <c r="KOH61" s="108"/>
      <c r="KOI61" s="108"/>
      <c r="KOJ61" s="108"/>
      <c r="KOK61" s="108"/>
      <c r="KOL61" s="108"/>
      <c r="KOM61" s="108"/>
      <c r="KON61" s="108"/>
      <c r="KOO61" s="108"/>
      <c r="KOP61" s="108"/>
      <c r="KOQ61" s="108"/>
      <c r="KOR61" s="108"/>
      <c r="KOS61" s="108"/>
      <c r="KOT61" s="108"/>
      <c r="KOU61" s="108"/>
      <c r="KOV61" s="108"/>
      <c r="KOW61" s="108"/>
      <c r="KOX61" s="108"/>
      <c r="KOY61" s="108"/>
      <c r="KOZ61" s="108"/>
      <c r="KPA61" s="108"/>
      <c r="KPB61" s="108"/>
      <c r="KPC61" s="108"/>
      <c r="KPD61" s="108"/>
      <c r="KPE61" s="108"/>
      <c r="KPF61" s="108"/>
      <c r="KPG61" s="108"/>
      <c r="KPH61" s="108"/>
      <c r="KPI61" s="108"/>
      <c r="KPJ61" s="108"/>
      <c r="KPK61" s="108"/>
      <c r="KPL61" s="108"/>
      <c r="KPM61" s="108"/>
      <c r="KPN61" s="108"/>
      <c r="KPO61" s="108"/>
      <c r="KPP61" s="108"/>
      <c r="KPQ61" s="108"/>
      <c r="KPR61" s="108"/>
      <c r="KPS61" s="108"/>
      <c r="KPT61" s="108"/>
      <c r="KPU61" s="108"/>
      <c r="KPV61" s="108"/>
      <c r="KPW61" s="108"/>
      <c r="KPX61" s="108"/>
      <c r="KPY61" s="108"/>
      <c r="KPZ61" s="108"/>
      <c r="KQA61" s="108"/>
      <c r="KQB61" s="108"/>
      <c r="KQC61" s="108"/>
      <c r="KQD61" s="108"/>
      <c r="KQE61" s="108"/>
      <c r="KQF61" s="108"/>
      <c r="KQG61" s="108"/>
      <c r="KQH61" s="108"/>
      <c r="KQI61" s="108"/>
      <c r="KQJ61" s="108"/>
      <c r="KQK61" s="108"/>
      <c r="KQL61" s="108"/>
      <c r="KQM61" s="108"/>
      <c r="KQN61" s="108"/>
      <c r="KQO61" s="108"/>
      <c r="KQP61" s="108"/>
      <c r="KQQ61" s="108"/>
      <c r="KQR61" s="108"/>
      <c r="KQS61" s="108"/>
      <c r="KQT61" s="108"/>
      <c r="KQU61" s="108"/>
      <c r="KQV61" s="108"/>
      <c r="KQW61" s="108"/>
      <c r="KQX61" s="108"/>
      <c r="KQY61" s="108"/>
      <c r="KQZ61" s="108"/>
      <c r="KRA61" s="108"/>
      <c r="KRB61" s="108"/>
      <c r="KRC61" s="108"/>
      <c r="KRD61" s="108"/>
      <c r="KRE61" s="108"/>
      <c r="KRF61" s="108"/>
      <c r="KRG61" s="108"/>
      <c r="KRH61" s="108"/>
      <c r="KRI61" s="108"/>
      <c r="KRJ61" s="108"/>
      <c r="KRK61" s="108"/>
      <c r="KRL61" s="108"/>
      <c r="KRM61" s="108"/>
      <c r="KRN61" s="108"/>
      <c r="KRO61" s="108"/>
      <c r="KRP61" s="108"/>
      <c r="KRQ61" s="108"/>
      <c r="KRR61" s="108"/>
      <c r="KRS61" s="108"/>
      <c r="KRT61" s="108"/>
      <c r="KRU61" s="108"/>
      <c r="KRV61" s="108"/>
      <c r="KRW61" s="108"/>
      <c r="KRX61" s="108"/>
      <c r="KRY61" s="108"/>
      <c r="KRZ61" s="108"/>
      <c r="KSA61" s="108"/>
      <c r="KSB61" s="108"/>
      <c r="KSC61" s="108"/>
      <c r="KSD61" s="108"/>
      <c r="KSE61" s="108"/>
      <c r="KSF61" s="108"/>
      <c r="KSG61" s="108"/>
      <c r="KSH61" s="108"/>
      <c r="KSI61" s="108"/>
      <c r="KSJ61" s="108"/>
      <c r="KSK61" s="108"/>
      <c r="KSL61" s="108"/>
      <c r="KSM61" s="108"/>
      <c r="KSN61" s="108"/>
      <c r="KSO61" s="108"/>
      <c r="KSP61" s="108"/>
      <c r="KSQ61" s="108"/>
      <c r="KSR61" s="108"/>
      <c r="KSS61" s="108"/>
      <c r="KST61" s="108"/>
      <c r="KSU61" s="108"/>
      <c r="KSV61" s="108"/>
      <c r="KSW61" s="108"/>
      <c r="KSX61" s="108"/>
      <c r="KSY61" s="108"/>
      <c r="KSZ61" s="108"/>
      <c r="KTA61" s="108"/>
      <c r="KTB61" s="108"/>
      <c r="KTC61" s="108"/>
      <c r="KTD61" s="108"/>
      <c r="KTE61" s="108"/>
      <c r="KTF61" s="108"/>
      <c r="KTG61" s="108"/>
      <c r="KTH61" s="108"/>
      <c r="KTI61" s="108"/>
      <c r="KTJ61" s="108"/>
      <c r="KTK61" s="108"/>
      <c r="KTL61" s="108"/>
      <c r="KTM61" s="108"/>
      <c r="KTN61" s="108"/>
      <c r="KTO61" s="108"/>
      <c r="KTP61" s="108"/>
      <c r="KTQ61" s="108"/>
      <c r="KTR61" s="108"/>
      <c r="KTS61" s="108"/>
      <c r="KTT61" s="108"/>
      <c r="KTU61" s="108"/>
      <c r="KTV61" s="108"/>
      <c r="KTW61" s="108"/>
      <c r="KTX61" s="108"/>
      <c r="KTY61" s="108"/>
      <c r="KTZ61" s="108"/>
      <c r="KUA61" s="108"/>
      <c r="KUB61" s="108"/>
      <c r="KUC61" s="108"/>
      <c r="KUD61" s="108"/>
      <c r="KUE61" s="108"/>
      <c r="KUF61" s="108"/>
      <c r="KUG61" s="108"/>
      <c r="KUH61" s="108"/>
      <c r="KUI61" s="108"/>
      <c r="KUJ61" s="108"/>
      <c r="KUK61" s="108"/>
      <c r="KUL61" s="108"/>
      <c r="KUM61" s="108"/>
      <c r="KUN61" s="108"/>
      <c r="KUO61" s="108"/>
      <c r="KUP61" s="108"/>
      <c r="KUQ61" s="108"/>
      <c r="KUR61" s="108"/>
      <c r="KUS61" s="108"/>
      <c r="KUT61" s="108"/>
      <c r="KUU61" s="108"/>
      <c r="KUV61" s="108"/>
      <c r="KUW61" s="108"/>
      <c r="KUX61" s="108"/>
      <c r="KUY61" s="108"/>
      <c r="KUZ61" s="108"/>
      <c r="KVA61" s="108"/>
      <c r="KVB61" s="108"/>
      <c r="KVC61" s="108"/>
      <c r="KVD61" s="108"/>
      <c r="KVE61" s="108"/>
      <c r="KVF61" s="108"/>
      <c r="KVG61" s="108"/>
      <c r="KVH61" s="108"/>
      <c r="KVI61" s="108"/>
      <c r="KVJ61" s="108"/>
      <c r="KVK61" s="108"/>
      <c r="KVL61" s="108"/>
      <c r="KVM61" s="108"/>
      <c r="KVN61" s="108"/>
      <c r="KVO61" s="108"/>
      <c r="KVP61" s="108"/>
      <c r="KVQ61" s="108"/>
      <c r="KVR61" s="108"/>
      <c r="KVS61" s="108"/>
      <c r="KVT61" s="108"/>
      <c r="KVU61" s="108"/>
      <c r="KVV61" s="108"/>
      <c r="KVW61" s="108"/>
      <c r="KVX61" s="108"/>
      <c r="KVY61" s="108"/>
      <c r="KVZ61" s="108"/>
      <c r="KWA61" s="108"/>
      <c r="KWB61" s="108"/>
      <c r="KWC61" s="108"/>
      <c r="KWD61" s="108"/>
      <c r="KWE61" s="108"/>
      <c r="KWF61" s="108"/>
      <c r="KWG61" s="108"/>
      <c r="KWH61" s="108"/>
      <c r="KWI61" s="108"/>
      <c r="KWJ61" s="108"/>
      <c r="KWK61" s="108"/>
      <c r="KWL61" s="108"/>
      <c r="KWM61" s="108"/>
      <c r="KWN61" s="108"/>
      <c r="KWO61" s="108"/>
      <c r="KWP61" s="108"/>
      <c r="KWQ61" s="108"/>
      <c r="KWR61" s="108"/>
      <c r="KWS61" s="108"/>
      <c r="KWT61" s="108"/>
      <c r="KWU61" s="108"/>
      <c r="KWV61" s="108"/>
      <c r="KWW61" s="108"/>
      <c r="KWX61" s="108"/>
      <c r="KWY61" s="108"/>
      <c r="KWZ61" s="108"/>
      <c r="KXA61" s="108"/>
      <c r="KXB61" s="108"/>
      <c r="KXC61" s="108"/>
      <c r="KXD61" s="108"/>
      <c r="KXE61" s="108"/>
      <c r="KXF61" s="108"/>
      <c r="KXG61" s="108"/>
      <c r="KXH61" s="108"/>
      <c r="KXI61" s="108"/>
      <c r="KXJ61" s="108"/>
      <c r="KXK61" s="108"/>
      <c r="KXL61" s="108"/>
      <c r="KXM61" s="108"/>
      <c r="KXN61" s="108"/>
      <c r="KXO61" s="108"/>
      <c r="KXP61" s="108"/>
      <c r="KXQ61" s="108"/>
      <c r="KXR61" s="108"/>
      <c r="KXS61" s="108"/>
      <c r="KXT61" s="108"/>
      <c r="KXU61" s="108"/>
      <c r="KXV61" s="108"/>
      <c r="KXW61" s="108"/>
      <c r="KXX61" s="108"/>
      <c r="KXY61" s="108"/>
      <c r="KXZ61" s="108"/>
      <c r="KYA61" s="108"/>
      <c r="KYB61" s="108"/>
      <c r="KYC61" s="108"/>
      <c r="KYD61" s="108"/>
      <c r="KYE61" s="108"/>
      <c r="KYF61" s="108"/>
      <c r="KYG61" s="108"/>
      <c r="KYH61" s="108"/>
      <c r="KYI61" s="108"/>
      <c r="KYJ61" s="108"/>
      <c r="KYK61" s="108"/>
      <c r="KYL61" s="108"/>
      <c r="KYM61" s="108"/>
      <c r="KYN61" s="108"/>
      <c r="KYO61" s="108"/>
      <c r="KYP61" s="108"/>
      <c r="KYQ61" s="108"/>
      <c r="KYR61" s="108"/>
      <c r="KYS61" s="108"/>
      <c r="KYT61" s="108"/>
      <c r="KYU61" s="108"/>
      <c r="KYV61" s="108"/>
      <c r="KYW61" s="108"/>
      <c r="KYX61" s="108"/>
      <c r="KYY61" s="108"/>
      <c r="KYZ61" s="108"/>
      <c r="KZA61" s="108"/>
      <c r="KZB61" s="108"/>
      <c r="KZC61" s="108"/>
      <c r="KZD61" s="108"/>
      <c r="KZE61" s="108"/>
      <c r="KZF61" s="108"/>
      <c r="KZG61" s="108"/>
      <c r="KZH61" s="108"/>
      <c r="KZI61" s="108"/>
      <c r="KZJ61" s="108"/>
      <c r="KZK61" s="108"/>
      <c r="KZL61" s="108"/>
      <c r="KZM61" s="108"/>
      <c r="KZN61" s="108"/>
      <c r="KZO61" s="108"/>
      <c r="KZP61" s="108"/>
      <c r="KZQ61" s="108"/>
      <c r="KZR61" s="108"/>
      <c r="KZS61" s="108"/>
      <c r="KZT61" s="108"/>
      <c r="KZU61" s="108"/>
      <c r="KZV61" s="108"/>
      <c r="KZW61" s="108"/>
      <c r="KZX61" s="108"/>
      <c r="KZY61" s="108"/>
      <c r="KZZ61" s="108"/>
      <c r="LAA61" s="108"/>
      <c r="LAB61" s="108"/>
      <c r="LAC61" s="108"/>
      <c r="LAD61" s="108"/>
      <c r="LAE61" s="108"/>
      <c r="LAF61" s="108"/>
      <c r="LAG61" s="108"/>
      <c r="LAH61" s="108"/>
      <c r="LAI61" s="108"/>
      <c r="LAJ61" s="108"/>
      <c r="LAK61" s="108"/>
      <c r="LAL61" s="108"/>
      <c r="LAM61" s="108"/>
      <c r="LAN61" s="108"/>
      <c r="LAO61" s="108"/>
      <c r="LAP61" s="108"/>
      <c r="LAQ61" s="108"/>
      <c r="LAR61" s="108"/>
      <c r="LAS61" s="108"/>
      <c r="LAT61" s="108"/>
      <c r="LAU61" s="108"/>
      <c r="LAV61" s="108"/>
      <c r="LAW61" s="108"/>
      <c r="LAX61" s="108"/>
      <c r="LAY61" s="108"/>
      <c r="LAZ61" s="108"/>
      <c r="LBA61" s="108"/>
      <c r="LBB61" s="108"/>
      <c r="LBC61" s="108"/>
      <c r="LBD61" s="108"/>
      <c r="LBE61" s="108"/>
      <c r="LBF61" s="108"/>
      <c r="LBG61" s="108"/>
      <c r="LBH61" s="108"/>
      <c r="LBI61" s="108"/>
      <c r="LBJ61" s="108"/>
      <c r="LBK61" s="108"/>
      <c r="LBL61" s="108"/>
      <c r="LBM61" s="108"/>
      <c r="LBN61" s="108"/>
      <c r="LBO61" s="108"/>
      <c r="LBP61" s="108"/>
      <c r="LBQ61" s="108"/>
      <c r="LBR61" s="108"/>
      <c r="LBS61" s="108"/>
      <c r="LBT61" s="108"/>
      <c r="LBU61" s="108"/>
      <c r="LBV61" s="108"/>
      <c r="LBW61" s="108"/>
      <c r="LBX61" s="108"/>
      <c r="LBY61" s="108"/>
      <c r="LBZ61" s="108"/>
      <c r="LCA61" s="108"/>
      <c r="LCB61" s="108"/>
      <c r="LCC61" s="108"/>
      <c r="LCD61" s="108"/>
      <c r="LCE61" s="108"/>
      <c r="LCF61" s="108"/>
      <c r="LCG61" s="108"/>
      <c r="LCH61" s="108"/>
      <c r="LCI61" s="108"/>
      <c r="LCJ61" s="108"/>
      <c r="LCK61" s="108"/>
      <c r="LCL61" s="108"/>
      <c r="LCM61" s="108"/>
      <c r="LCN61" s="108"/>
      <c r="LCO61" s="108"/>
      <c r="LCP61" s="108"/>
      <c r="LCQ61" s="108"/>
      <c r="LCR61" s="108"/>
      <c r="LCS61" s="108"/>
      <c r="LCT61" s="108"/>
      <c r="LCU61" s="108"/>
      <c r="LCV61" s="108"/>
      <c r="LCW61" s="108"/>
      <c r="LCX61" s="108"/>
      <c r="LCY61" s="108"/>
      <c r="LCZ61" s="108"/>
      <c r="LDA61" s="108"/>
      <c r="LDB61" s="108"/>
      <c r="LDC61" s="108"/>
      <c r="LDD61" s="108"/>
      <c r="LDE61" s="108"/>
      <c r="LDF61" s="108"/>
      <c r="LDG61" s="108"/>
      <c r="LDH61" s="108"/>
      <c r="LDI61" s="108"/>
      <c r="LDJ61" s="108"/>
      <c r="LDK61" s="108"/>
      <c r="LDL61" s="108"/>
      <c r="LDM61" s="108"/>
      <c r="LDN61" s="108"/>
      <c r="LDO61" s="108"/>
      <c r="LDP61" s="108"/>
      <c r="LDQ61" s="108"/>
      <c r="LDR61" s="108"/>
      <c r="LDS61" s="108"/>
      <c r="LDT61" s="108"/>
      <c r="LDU61" s="108"/>
      <c r="LDV61" s="108"/>
      <c r="LDW61" s="108"/>
      <c r="LDX61" s="108"/>
      <c r="LDY61" s="108"/>
      <c r="LDZ61" s="108"/>
      <c r="LEA61" s="108"/>
      <c r="LEB61" s="108"/>
      <c r="LEC61" s="108"/>
      <c r="LED61" s="108"/>
      <c r="LEE61" s="108"/>
      <c r="LEF61" s="108"/>
      <c r="LEG61" s="108"/>
      <c r="LEH61" s="108"/>
      <c r="LEI61" s="108"/>
      <c r="LEJ61" s="108"/>
      <c r="LEK61" s="108"/>
      <c r="LEL61" s="108"/>
      <c r="LEM61" s="108"/>
      <c r="LEN61" s="108"/>
      <c r="LEO61" s="108"/>
      <c r="LEP61" s="108"/>
      <c r="LEQ61" s="108"/>
      <c r="LER61" s="108"/>
      <c r="LES61" s="108"/>
      <c r="LET61" s="108"/>
      <c r="LEU61" s="108"/>
      <c r="LEV61" s="108"/>
      <c r="LEW61" s="108"/>
      <c r="LEX61" s="108"/>
      <c r="LEY61" s="108"/>
      <c r="LEZ61" s="108"/>
      <c r="LFA61" s="108"/>
      <c r="LFB61" s="108"/>
      <c r="LFC61" s="108"/>
      <c r="LFD61" s="108"/>
      <c r="LFE61" s="108"/>
      <c r="LFF61" s="108"/>
      <c r="LFG61" s="108"/>
      <c r="LFH61" s="108"/>
      <c r="LFI61" s="108"/>
      <c r="LFJ61" s="108"/>
      <c r="LFK61" s="108"/>
      <c r="LFL61" s="108"/>
      <c r="LFM61" s="108"/>
      <c r="LFN61" s="108"/>
      <c r="LFO61" s="108"/>
      <c r="LFP61" s="108"/>
      <c r="LFQ61" s="108"/>
      <c r="LFR61" s="108"/>
      <c r="LFS61" s="108"/>
      <c r="LFT61" s="108"/>
      <c r="LFU61" s="108"/>
      <c r="LFV61" s="108"/>
      <c r="LFW61" s="108"/>
      <c r="LFX61" s="108"/>
      <c r="LFY61" s="108"/>
      <c r="LFZ61" s="108"/>
      <c r="LGA61" s="108"/>
      <c r="LGB61" s="108"/>
      <c r="LGC61" s="108"/>
      <c r="LGD61" s="108"/>
      <c r="LGE61" s="108"/>
      <c r="LGF61" s="108"/>
      <c r="LGG61" s="108"/>
      <c r="LGH61" s="108"/>
      <c r="LGI61" s="108"/>
      <c r="LGJ61" s="108"/>
      <c r="LGK61" s="108"/>
      <c r="LGL61" s="108"/>
      <c r="LGM61" s="108"/>
      <c r="LGN61" s="108"/>
      <c r="LGO61" s="108"/>
      <c r="LGP61" s="108"/>
      <c r="LGQ61" s="108"/>
      <c r="LGR61" s="108"/>
      <c r="LGS61" s="108"/>
      <c r="LGT61" s="108"/>
      <c r="LGU61" s="108"/>
      <c r="LGV61" s="108"/>
      <c r="LGW61" s="108"/>
      <c r="LGX61" s="108"/>
      <c r="LGY61" s="108"/>
      <c r="LGZ61" s="108"/>
      <c r="LHA61" s="108"/>
      <c r="LHB61" s="108"/>
      <c r="LHC61" s="108"/>
      <c r="LHD61" s="108"/>
      <c r="LHE61" s="108"/>
      <c r="LHF61" s="108"/>
      <c r="LHG61" s="108"/>
      <c r="LHH61" s="108"/>
      <c r="LHI61" s="108"/>
      <c r="LHJ61" s="108"/>
      <c r="LHK61" s="108"/>
      <c r="LHL61" s="108"/>
      <c r="LHM61" s="108"/>
      <c r="LHN61" s="108"/>
      <c r="LHO61" s="108"/>
      <c r="LHP61" s="108"/>
      <c r="LHQ61" s="108"/>
      <c r="LHR61" s="108"/>
      <c r="LHS61" s="108"/>
      <c r="LHT61" s="108"/>
      <c r="LHU61" s="108"/>
      <c r="LHV61" s="108"/>
      <c r="LHW61" s="108"/>
      <c r="LHX61" s="108"/>
      <c r="LHY61" s="108"/>
      <c r="LHZ61" s="108"/>
      <c r="LIA61" s="108"/>
      <c r="LIB61" s="108"/>
      <c r="LIC61" s="108"/>
      <c r="LID61" s="108"/>
      <c r="LIE61" s="108"/>
      <c r="LIF61" s="108"/>
      <c r="LIG61" s="108"/>
      <c r="LIH61" s="108"/>
      <c r="LII61" s="108"/>
      <c r="LIJ61" s="108"/>
      <c r="LIK61" s="108"/>
      <c r="LIL61" s="108"/>
      <c r="LIM61" s="108"/>
      <c r="LIN61" s="108"/>
      <c r="LIO61" s="108"/>
      <c r="LIP61" s="108"/>
      <c r="LIQ61" s="108"/>
      <c r="LIR61" s="108"/>
      <c r="LIS61" s="108"/>
      <c r="LIT61" s="108"/>
      <c r="LIU61" s="108"/>
      <c r="LIV61" s="108"/>
      <c r="LIW61" s="108"/>
      <c r="LIX61" s="108"/>
      <c r="LIY61" s="108"/>
      <c r="LIZ61" s="108"/>
      <c r="LJA61" s="108"/>
      <c r="LJB61" s="108"/>
      <c r="LJC61" s="108"/>
      <c r="LJD61" s="108"/>
      <c r="LJE61" s="108"/>
      <c r="LJF61" s="108"/>
      <c r="LJG61" s="108"/>
      <c r="LJH61" s="108"/>
      <c r="LJI61" s="108"/>
      <c r="LJJ61" s="108"/>
      <c r="LJK61" s="108"/>
      <c r="LJL61" s="108"/>
      <c r="LJM61" s="108"/>
      <c r="LJN61" s="108"/>
      <c r="LJO61" s="108"/>
      <c r="LJP61" s="108"/>
      <c r="LJQ61" s="108"/>
      <c r="LJR61" s="108"/>
      <c r="LJS61" s="108"/>
      <c r="LJT61" s="108"/>
      <c r="LJU61" s="108"/>
      <c r="LJV61" s="108"/>
      <c r="LJW61" s="108"/>
      <c r="LJX61" s="108"/>
      <c r="LJY61" s="108"/>
      <c r="LJZ61" s="108"/>
      <c r="LKA61" s="108"/>
      <c r="LKB61" s="108"/>
      <c r="LKC61" s="108"/>
      <c r="LKD61" s="108"/>
      <c r="LKE61" s="108"/>
      <c r="LKF61" s="108"/>
      <c r="LKG61" s="108"/>
      <c r="LKH61" s="108"/>
      <c r="LKI61" s="108"/>
      <c r="LKJ61" s="108"/>
      <c r="LKK61" s="108"/>
      <c r="LKL61" s="108"/>
      <c r="LKM61" s="108"/>
      <c r="LKN61" s="108"/>
      <c r="LKO61" s="108"/>
      <c r="LKP61" s="108"/>
      <c r="LKQ61" s="108"/>
      <c r="LKR61" s="108"/>
      <c r="LKS61" s="108"/>
      <c r="LKT61" s="108"/>
      <c r="LKU61" s="108"/>
      <c r="LKV61" s="108"/>
      <c r="LKW61" s="108"/>
      <c r="LKX61" s="108"/>
      <c r="LKY61" s="108"/>
      <c r="LKZ61" s="108"/>
      <c r="LLA61" s="108"/>
      <c r="LLB61" s="108"/>
      <c r="LLC61" s="108"/>
      <c r="LLD61" s="108"/>
      <c r="LLE61" s="108"/>
      <c r="LLF61" s="108"/>
      <c r="LLG61" s="108"/>
      <c r="LLH61" s="108"/>
      <c r="LLI61" s="108"/>
      <c r="LLJ61" s="108"/>
      <c r="LLK61" s="108"/>
      <c r="LLL61" s="108"/>
      <c r="LLM61" s="108"/>
      <c r="LLN61" s="108"/>
      <c r="LLO61" s="108"/>
      <c r="LLP61" s="108"/>
      <c r="LLQ61" s="108"/>
      <c r="LLR61" s="108"/>
      <c r="LLS61" s="108"/>
      <c r="LLT61" s="108"/>
      <c r="LLU61" s="108"/>
      <c r="LLV61" s="108"/>
      <c r="LLW61" s="108"/>
      <c r="LLX61" s="108"/>
      <c r="LLY61" s="108"/>
      <c r="LLZ61" s="108"/>
      <c r="LMA61" s="108"/>
      <c r="LMB61" s="108"/>
      <c r="LMC61" s="108"/>
      <c r="LMD61" s="108"/>
      <c r="LME61" s="108"/>
      <c r="LMF61" s="108"/>
      <c r="LMG61" s="108"/>
      <c r="LMH61" s="108"/>
      <c r="LMI61" s="108"/>
      <c r="LMJ61" s="108"/>
      <c r="LMK61" s="108"/>
      <c r="LML61" s="108"/>
      <c r="LMM61" s="108"/>
      <c r="LMN61" s="108"/>
      <c r="LMO61" s="108"/>
      <c r="LMP61" s="108"/>
      <c r="LMQ61" s="108"/>
      <c r="LMR61" s="108"/>
      <c r="LMS61" s="108"/>
      <c r="LMT61" s="108"/>
      <c r="LMU61" s="108"/>
      <c r="LMV61" s="108"/>
      <c r="LMW61" s="108"/>
      <c r="LMX61" s="108"/>
      <c r="LMY61" s="108"/>
      <c r="LMZ61" s="108"/>
      <c r="LNA61" s="108"/>
      <c r="LNB61" s="108"/>
      <c r="LNC61" s="108"/>
      <c r="LND61" s="108"/>
      <c r="LNE61" s="108"/>
      <c r="LNF61" s="108"/>
      <c r="LNG61" s="108"/>
      <c r="LNH61" s="108"/>
      <c r="LNI61" s="108"/>
      <c r="LNJ61" s="108"/>
      <c r="LNK61" s="108"/>
      <c r="LNL61" s="108"/>
      <c r="LNM61" s="108"/>
      <c r="LNN61" s="108"/>
      <c r="LNO61" s="108"/>
      <c r="LNP61" s="108"/>
      <c r="LNQ61" s="108"/>
      <c r="LNR61" s="108"/>
      <c r="LNS61" s="108"/>
      <c r="LNT61" s="108"/>
      <c r="LNU61" s="108"/>
      <c r="LNV61" s="108"/>
      <c r="LNW61" s="108"/>
      <c r="LNX61" s="108"/>
      <c r="LNY61" s="108"/>
      <c r="LNZ61" s="108"/>
      <c r="LOA61" s="108"/>
      <c r="LOB61" s="108"/>
      <c r="LOC61" s="108"/>
      <c r="LOD61" s="108"/>
      <c r="LOE61" s="108"/>
      <c r="LOF61" s="108"/>
      <c r="LOG61" s="108"/>
      <c r="LOH61" s="108"/>
      <c r="LOI61" s="108"/>
      <c r="LOJ61" s="108"/>
      <c r="LOK61" s="108"/>
      <c r="LOL61" s="108"/>
      <c r="LOM61" s="108"/>
      <c r="LON61" s="108"/>
      <c r="LOO61" s="108"/>
      <c r="LOP61" s="108"/>
      <c r="LOQ61" s="108"/>
      <c r="LOR61" s="108"/>
      <c r="LOS61" s="108"/>
      <c r="LOT61" s="108"/>
      <c r="LOU61" s="108"/>
      <c r="LOV61" s="108"/>
      <c r="LOW61" s="108"/>
      <c r="LOX61" s="108"/>
      <c r="LOY61" s="108"/>
      <c r="LOZ61" s="108"/>
      <c r="LPA61" s="108"/>
      <c r="LPB61" s="108"/>
      <c r="LPC61" s="108"/>
      <c r="LPD61" s="108"/>
      <c r="LPE61" s="108"/>
      <c r="LPF61" s="108"/>
      <c r="LPG61" s="108"/>
      <c r="LPH61" s="108"/>
      <c r="LPI61" s="108"/>
      <c r="LPJ61" s="108"/>
      <c r="LPK61" s="108"/>
      <c r="LPL61" s="108"/>
      <c r="LPM61" s="108"/>
      <c r="LPN61" s="108"/>
      <c r="LPO61" s="108"/>
      <c r="LPP61" s="108"/>
      <c r="LPQ61" s="108"/>
      <c r="LPR61" s="108"/>
      <c r="LPS61" s="108"/>
      <c r="LPT61" s="108"/>
      <c r="LPU61" s="108"/>
      <c r="LPV61" s="108"/>
      <c r="LPW61" s="108"/>
      <c r="LPX61" s="108"/>
      <c r="LPY61" s="108"/>
      <c r="LPZ61" s="108"/>
      <c r="LQA61" s="108"/>
      <c r="LQB61" s="108"/>
      <c r="LQC61" s="108"/>
      <c r="LQD61" s="108"/>
      <c r="LQE61" s="108"/>
      <c r="LQF61" s="108"/>
      <c r="LQG61" s="108"/>
      <c r="LQH61" s="108"/>
      <c r="LQI61" s="108"/>
      <c r="LQJ61" s="108"/>
      <c r="LQK61" s="108"/>
      <c r="LQL61" s="108"/>
      <c r="LQM61" s="108"/>
      <c r="LQN61" s="108"/>
      <c r="LQO61" s="108"/>
      <c r="LQP61" s="108"/>
      <c r="LQQ61" s="108"/>
      <c r="LQR61" s="108"/>
      <c r="LQS61" s="108"/>
      <c r="LQT61" s="108"/>
      <c r="LQU61" s="108"/>
      <c r="LQV61" s="108"/>
      <c r="LQW61" s="108"/>
      <c r="LQX61" s="108"/>
      <c r="LQY61" s="108"/>
      <c r="LQZ61" s="108"/>
      <c r="LRA61" s="108"/>
      <c r="LRB61" s="108"/>
      <c r="LRC61" s="108"/>
      <c r="LRD61" s="108"/>
      <c r="LRE61" s="108"/>
      <c r="LRF61" s="108"/>
      <c r="LRG61" s="108"/>
      <c r="LRH61" s="108"/>
      <c r="LRI61" s="108"/>
      <c r="LRJ61" s="108"/>
      <c r="LRK61" s="108"/>
      <c r="LRL61" s="108"/>
      <c r="LRM61" s="108"/>
      <c r="LRN61" s="108"/>
      <c r="LRO61" s="108"/>
      <c r="LRP61" s="108"/>
      <c r="LRQ61" s="108"/>
      <c r="LRR61" s="108"/>
      <c r="LRS61" s="108"/>
      <c r="LRT61" s="108"/>
      <c r="LRU61" s="108"/>
      <c r="LRV61" s="108"/>
      <c r="LRW61" s="108"/>
      <c r="LRX61" s="108"/>
      <c r="LRY61" s="108"/>
      <c r="LRZ61" s="108"/>
      <c r="LSA61" s="108"/>
      <c r="LSB61" s="108"/>
      <c r="LSC61" s="108"/>
      <c r="LSD61" s="108"/>
      <c r="LSE61" s="108"/>
      <c r="LSF61" s="108"/>
      <c r="LSG61" s="108"/>
      <c r="LSH61" s="108"/>
      <c r="LSI61" s="108"/>
      <c r="LSJ61" s="108"/>
      <c r="LSK61" s="108"/>
      <c r="LSL61" s="108"/>
      <c r="LSM61" s="108"/>
      <c r="LSN61" s="108"/>
      <c r="LSO61" s="108"/>
      <c r="LSP61" s="108"/>
      <c r="LSQ61" s="108"/>
      <c r="LSR61" s="108"/>
      <c r="LSS61" s="108"/>
      <c r="LST61" s="108"/>
      <c r="LSU61" s="108"/>
      <c r="LSV61" s="108"/>
      <c r="LSW61" s="108"/>
      <c r="LSX61" s="108"/>
      <c r="LSY61" s="108"/>
      <c r="LSZ61" s="108"/>
      <c r="LTA61" s="108"/>
      <c r="LTB61" s="108"/>
      <c r="LTC61" s="108"/>
      <c r="LTD61" s="108"/>
      <c r="LTE61" s="108"/>
      <c r="LTF61" s="108"/>
      <c r="LTG61" s="108"/>
      <c r="LTH61" s="108"/>
      <c r="LTI61" s="108"/>
      <c r="LTJ61" s="108"/>
      <c r="LTK61" s="108"/>
      <c r="LTL61" s="108"/>
      <c r="LTM61" s="108"/>
      <c r="LTN61" s="108"/>
      <c r="LTO61" s="108"/>
      <c r="LTP61" s="108"/>
      <c r="LTQ61" s="108"/>
      <c r="LTR61" s="108"/>
      <c r="LTS61" s="108"/>
      <c r="LTT61" s="108"/>
      <c r="LTU61" s="108"/>
      <c r="LTV61" s="108"/>
      <c r="LTW61" s="108"/>
      <c r="LTX61" s="108"/>
      <c r="LTY61" s="108"/>
      <c r="LTZ61" s="108"/>
      <c r="LUA61" s="108"/>
      <c r="LUB61" s="108"/>
      <c r="LUC61" s="108"/>
      <c r="LUD61" s="108"/>
      <c r="LUE61" s="108"/>
      <c r="LUF61" s="108"/>
      <c r="LUG61" s="108"/>
      <c r="LUH61" s="108"/>
      <c r="LUI61" s="108"/>
      <c r="LUJ61" s="108"/>
      <c r="LUK61" s="108"/>
      <c r="LUL61" s="108"/>
      <c r="LUM61" s="108"/>
      <c r="LUN61" s="108"/>
      <c r="LUO61" s="108"/>
      <c r="LUP61" s="108"/>
      <c r="LUQ61" s="108"/>
      <c r="LUR61" s="108"/>
      <c r="LUS61" s="108"/>
      <c r="LUT61" s="108"/>
      <c r="LUU61" s="108"/>
      <c r="LUV61" s="108"/>
      <c r="LUW61" s="108"/>
      <c r="LUX61" s="108"/>
      <c r="LUY61" s="108"/>
      <c r="LUZ61" s="108"/>
      <c r="LVA61" s="108"/>
      <c r="LVB61" s="108"/>
      <c r="LVC61" s="108"/>
      <c r="LVD61" s="108"/>
      <c r="LVE61" s="108"/>
      <c r="LVF61" s="108"/>
      <c r="LVG61" s="108"/>
      <c r="LVH61" s="108"/>
      <c r="LVI61" s="108"/>
      <c r="LVJ61" s="108"/>
      <c r="LVK61" s="108"/>
      <c r="LVL61" s="108"/>
      <c r="LVM61" s="108"/>
      <c r="LVN61" s="108"/>
      <c r="LVO61" s="108"/>
      <c r="LVP61" s="108"/>
      <c r="LVQ61" s="108"/>
      <c r="LVR61" s="108"/>
      <c r="LVS61" s="108"/>
      <c r="LVT61" s="108"/>
      <c r="LVU61" s="108"/>
      <c r="LVV61" s="108"/>
      <c r="LVW61" s="108"/>
      <c r="LVX61" s="108"/>
      <c r="LVY61" s="108"/>
      <c r="LVZ61" s="108"/>
      <c r="LWA61" s="108"/>
      <c r="LWB61" s="108"/>
      <c r="LWC61" s="108"/>
      <c r="LWD61" s="108"/>
      <c r="LWE61" s="108"/>
      <c r="LWF61" s="108"/>
      <c r="LWG61" s="108"/>
      <c r="LWH61" s="108"/>
      <c r="LWI61" s="108"/>
      <c r="LWJ61" s="108"/>
      <c r="LWK61" s="108"/>
      <c r="LWL61" s="108"/>
      <c r="LWM61" s="108"/>
      <c r="LWN61" s="108"/>
      <c r="LWO61" s="108"/>
      <c r="LWP61" s="108"/>
      <c r="LWQ61" s="108"/>
      <c r="LWR61" s="108"/>
      <c r="LWS61" s="108"/>
      <c r="LWT61" s="108"/>
      <c r="LWU61" s="108"/>
      <c r="LWV61" s="108"/>
      <c r="LWW61" s="108"/>
      <c r="LWX61" s="108"/>
      <c r="LWY61" s="108"/>
      <c r="LWZ61" s="108"/>
      <c r="LXA61" s="108"/>
      <c r="LXB61" s="108"/>
      <c r="LXC61" s="108"/>
      <c r="LXD61" s="108"/>
      <c r="LXE61" s="108"/>
      <c r="LXF61" s="108"/>
      <c r="LXG61" s="108"/>
      <c r="LXH61" s="108"/>
      <c r="LXI61" s="108"/>
      <c r="LXJ61" s="108"/>
      <c r="LXK61" s="108"/>
      <c r="LXL61" s="108"/>
      <c r="LXM61" s="108"/>
      <c r="LXN61" s="108"/>
      <c r="LXO61" s="108"/>
      <c r="LXP61" s="108"/>
      <c r="LXQ61" s="108"/>
      <c r="LXR61" s="108"/>
      <c r="LXS61" s="108"/>
      <c r="LXT61" s="108"/>
      <c r="LXU61" s="108"/>
      <c r="LXV61" s="108"/>
      <c r="LXW61" s="108"/>
      <c r="LXX61" s="108"/>
      <c r="LXY61" s="108"/>
      <c r="LXZ61" s="108"/>
      <c r="LYA61" s="108"/>
      <c r="LYB61" s="108"/>
      <c r="LYC61" s="108"/>
      <c r="LYD61" s="108"/>
      <c r="LYE61" s="108"/>
      <c r="LYF61" s="108"/>
      <c r="LYG61" s="108"/>
      <c r="LYH61" s="108"/>
      <c r="LYI61" s="108"/>
      <c r="LYJ61" s="108"/>
      <c r="LYK61" s="108"/>
      <c r="LYL61" s="108"/>
      <c r="LYM61" s="108"/>
      <c r="LYN61" s="108"/>
      <c r="LYO61" s="108"/>
      <c r="LYP61" s="108"/>
      <c r="LYQ61" s="108"/>
      <c r="LYR61" s="108"/>
      <c r="LYS61" s="108"/>
      <c r="LYT61" s="108"/>
      <c r="LYU61" s="108"/>
      <c r="LYV61" s="108"/>
      <c r="LYW61" s="108"/>
      <c r="LYX61" s="108"/>
      <c r="LYY61" s="108"/>
      <c r="LYZ61" s="108"/>
      <c r="LZA61" s="108"/>
      <c r="LZB61" s="108"/>
      <c r="LZC61" s="108"/>
      <c r="LZD61" s="108"/>
      <c r="LZE61" s="108"/>
      <c r="LZF61" s="108"/>
      <c r="LZG61" s="108"/>
      <c r="LZH61" s="108"/>
      <c r="LZI61" s="108"/>
      <c r="LZJ61" s="108"/>
      <c r="LZK61" s="108"/>
      <c r="LZL61" s="108"/>
      <c r="LZM61" s="108"/>
      <c r="LZN61" s="108"/>
      <c r="LZO61" s="108"/>
      <c r="LZP61" s="108"/>
      <c r="LZQ61" s="108"/>
      <c r="LZR61" s="108"/>
      <c r="LZS61" s="108"/>
      <c r="LZT61" s="108"/>
      <c r="LZU61" s="108"/>
      <c r="LZV61" s="108"/>
      <c r="LZW61" s="108"/>
      <c r="LZX61" s="108"/>
      <c r="LZY61" s="108"/>
      <c r="LZZ61" s="108"/>
      <c r="MAA61" s="108"/>
      <c r="MAB61" s="108"/>
      <c r="MAC61" s="108"/>
      <c r="MAD61" s="108"/>
      <c r="MAE61" s="108"/>
      <c r="MAF61" s="108"/>
      <c r="MAG61" s="108"/>
      <c r="MAH61" s="108"/>
      <c r="MAI61" s="108"/>
      <c r="MAJ61" s="108"/>
      <c r="MAK61" s="108"/>
      <c r="MAL61" s="108"/>
      <c r="MAM61" s="108"/>
      <c r="MAN61" s="108"/>
      <c r="MAO61" s="108"/>
      <c r="MAP61" s="108"/>
      <c r="MAQ61" s="108"/>
      <c r="MAR61" s="108"/>
      <c r="MAS61" s="108"/>
      <c r="MAT61" s="108"/>
      <c r="MAU61" s="108"/>
      <c r="MAV61" s="108"/>
      <c r="MAW61" s="108"/>
      <c r="MAX61" s="108"/>
      <c r="MAY61" s="108"/>
      <c r="MAZ61" s="108"/>
      <c r="MBA61" s="108"/>
      <c r="MBB61" s="108"/>
      <c r="MBC61" s="108"/>
      <c r="MBD61" s="108"/>
      <c r="MBE61" s="108"/>
      <c r="MBF61" s="108"/>
      <c r="MBG61" s="108"/>
      <c r="MBH61" s="108"/>
      <c r="MBI61" s="108"/>
      <c r="MBJ61" s="108"/>
      <c r="MBK61" s="108"/>
      <c r="MBL61" s="108"/>
      <c r="MBM61" s="108"/>
      <c r="MBN61" s="108"/>
      <c r="MBO61" s="108"/>
      <c r="MBP61" s="108"/>
      <c r="MBQ61" s="108"/>
      <c r="MBR61" s="108"/>
      <c r="MBS61" s="108"/>
      <c r="MBT61" s="108"/>
      <c r="MBU61" s="108"/>
      <c r="MBV61" s="108"/>
      <c r="MBW61" s="108"/>
      <c r="MBX61" s="108"/>
      <c r="MBY61" s="108"/>
      <c r="MBZ61" s="108"/>
      <c r="MCA61" s="108"/>
      <c r="MCB61" s="108"/>
      <c r="MCC61" s="108"/>
      <c r="MCD61" s="108"/>
      <c r="MCE61" s="108"/>
      <c r="MCF61" s="108"/>
      <c r="MCG61" s="108"/>
      <c r="MCH61" s="108"/>
      <c r="MCI61" s="108"/>
      <c r="MCJ61" s="108"/>
      <c r="MCK61" s="108"/>
      <c r="MCL61" s="108"/>
      <c r="MCM61" s="108"/>
      <c r="MCN61" s="108"/>
      <c r="MCO61" s="108"/>
      <c r="MCP61" s="108"/>
      <c r="MCQ61" s="108"/>
      <c r="MCR61" s="108"/>
      <c r="MCS61" s="108"/>
      <c r="MCT61" s="108"/>
      <c r="MCU61" s="108"/>
      <c r="MCV61" s="108"/>
      <c r="MCW61" s="108"/>
      <c r="MCX61" s="108"/>
      <c r="MCY61" s="108"/>
      <c r="MCZ61" s="108"/>
      <c r="MDA61" s="108"/>
      <c r="MDB61" s="108"/>
      <c r="MDC61" s="108"/>
      <c r="MDD61" s="108"/>
      <c r="MDE61" s="108"/>
      <c r="MDF61" s="108"/>
      <c r="MDG61" s="108"/>
      <c r="MDH61" s="108"/>
      <c r="MDI61" s="108"/>
      <c r="MDJ61" s="108"/>
      <c r="MDK61" s="108"/>
      <c r="MDL61" s="108"/>
      <c r="MDM61" s="108"/>
      <c r="MDN61" s="108"/>
      <c r="MDO61" s="108"/>
      <c r="MDP61" s="108"/>
      <c r="MDQ61" s="108"/>
      <c r="MDR61" s="108"/>
      <c r="MDS61" s="108"/>
      <c r="MDT61" s="108"/>
      <c r="MDU61" s="108"/>
      <c r="MDV61" s="108"/>
      <c r="MDW61" s="108"/>
      <c r="MDX61" s="108"/>
      <c r="MDY61" s="108"/>
      <c r="MDZ61" s="108"/>
      <c r="MEA61" s="108"/>
      <c r="MEB61" s="108"/>
      <c r="MEC61" s="108"/>
      <c r="MED61" s="108"/>
      <c r="MEE61" s="108"/>
      <c r="MEF61" s="108"/>
      <c r="MEG61" s="108"/>
      <c r="MEH61" s="108"/>
      <c r="MEI61" s="108"/>
      <c r="MEJ61" s="108"/>
      <c r="MEK61" s="108"/>
      <c r="MEL61" s="108"/>
      <c r="MEM61" s="108"/>
      <c r="MEN61" s="108"/>
      <c r="MEO61" s="108"/>
      <c r="MEP61" s="108"/>
      <c r="MEQ61" s="108"/>
      <c r="MER61" s="108"/>
      <c r="MES61" s="108"/>
      <c r="MET61" s="108"/>
      <c r="MEU61" s="108"/>
      <c r="MEV61" s="108"/>
      <c r="MEW61" s="108"/>
      <c r="MEX61" s="108"/>
      <c r="MEY61" s="108"/>
      <c r="MEZ61" s="108"/>
      <c r="MFA61" s="108"/>
      <c r="MFB61" s="108"/>
      <c r="MFC61" s="108"/>
      <c r="MFD61" s="108"/>
      <c r="MFE61" s="108"/>
      <c r="MFF61" s="108"/>
      <c r="MFG61" s="108"/>
      <c r="MFH61" s="108"/>
      <c r="MFI61" s="108"/>
      <c r="MFJ61" s="108"/>
      <c r="MFK61" s="108"/>
      <c r="MFL61" s="108"/>
      <c r="MFM61" s="108"/>
      <c r="MFN61" s="108"/>
      <c r="MFO61" s="108"/>
      <c r="MFP61" s="108"/>
      <c r="MFQ61" s="108"/>
      <c r="MFR61" s="108"/>
      <c r="MFS61" s="108"/>
      <c r="MFT61" s="108"/>
      <c r="MFU61" s="108"/>
      <c r="MFV61" s="108"/>
      <c r="MFW61" s="108"/>
      <c r="MFX61" s="108"/>
      <c r="MFY61" s="108"/>
      <c r="MFZ61" s="108"/>
      <c r="MGA61" s="108"/>
      <c r="MGB61" s="108"/>
      <c r="MGC61" s="108"/>
      <c r="MGD61" s="108"/>
      <c r="MGE61" s="108"/>
      <c r="MGF61" s="108"/>
      <c r="MGG61" s="108"/>
      <c r="MGH61" s="108"/>
      <c r="MGI61" s="108"/>
      <c r="MGJ61" s="108"/>
      <c r="MGK61" s="108"/>
      <c r="MGL61" s="108"/>
      <c r="MGM61" s="108"/>
      <c r="MGN61" s="108"/>
      <c r="MGO61" s="108"/>
      <c r="MGP61" s="108"/>
      <c r="MGQ61" s="108"/>
      <c r="MGR61" s="108"/>
      <c r="MGS61" s="108"/>
      <c r="MGT61" s="108"/>
      <c r="MGU61" s="108"/>
      <c r="MGV61" s="108"/>
      <c r="MGW61" s="108"/>
      <c r="MGX61" s="108"/>
      <c r="MGY61" s="108"/>
      <c r="MGZ61" s="108"/>
      <c r="MHA61" s="108"/>
      <c r="MHB61" s="108"/>
      <c r="MHC61" s="108"/>
      <c r="MHD61" s="108"/>
      <c r="MHE61" s="108"/>
      <c r="MHF61" s="108"/>
      <c r="MHG61" s="108"/>
      <c r="MHH61" s="108"/>
      <c r="MHI61" s="108"/>
      <c r="MHJ61" s="108"/>
      <c r="MHK61" s="108"/>
      <c r="MHL61" s="108"/>
      <c r="MHM61" s="108"/>
      <c r="MHN61" s="108"/>
      <c r="MHO61" s="108"/>
      <c r="MHP61" s="108"/>
      <c r="MHQ61" s="108"/>
      <c r="MHR61" s="108"/>
      <c r="MHS61" s="108"/>
      <c r="MHT61" s="108"/>
      <c r="MHU61" s="108"/>
      <c r="MHV61" s="108"/>
      <c r="MHW61" s="108"/>
      <c r="MHX61" s="108"/>
      <c r="MHY61" s="108"/>
      <c r="MHZ61" s="108"/>
      <c r="MIA61" s="108"/>
      <c r="MIB61" s="108"/>
      <c r="MIC61" s="108"/>
      <c r="MID61" s="108"/>
      <c r="MIE61" s="108"/>
      <c r="MIF61" s="108"/>
      <c r="MIG61" s="108"/>
      <c r="MIH61" s="108"/>
      <c r="MII61" s="108"/>
      <c r="MIJ61" s="108"/>
      <c r="MIK61" s="108"/>
      <c r="MIL61" s="108"/>
      <c r="MIM61" s="108"/>
      <c r="MIN61" s="108"/>
      <c r="MIO61" s="108"/>
      <c r="MIP61" s="108"/>
      <c r="MIQ61" s="108"/>
      <c r="MIR61" s="108"/>
      <c r="MIS61" s="108"/>
      <c r="MIT61" s="108"/>
      <c r="MIU61" s="108"/>
      <c r="MIV61" s="108"/>
      <c r="MIW61" s="108"/>
      <c r="MIX61" s="108"/>
      <c r="MIY61" s="108"/>
      <c r="MIZ61" s="108"/>
      <c r="MJA61" s="108"/>
      <c r="MJB61" s="108"/>
      <c r="MJC61" s="108"/>
      <c r="MJD61" s="108"/>
      <c r="MJE61" s="108"/>
      <c r="MJF61" s="108"/>
      <c r="MJG61" s="108"/>
      <c r="MJH61" s="108"/>
      <c r="MJI61" s="108"/>
      <c r="MJJ61" s="108"/>
      <c r="MJK61" s="108"/>
      <c r="MJL61" s="108"/>
      <c r="MJM61" s="108"/>
      <c r="MJN61" s="108"/>
      <c r="MJO61" s="108"/>
      <c r="MJP61" s="108"/>
      <c r="MJQ61" s="108"/>
      <c r="MJR61" s="108"/>
      <c r="MJS61" s="108"/>
      <c r="MJT61" s="108"/>
      <c r="MJU61" s="108"/>
      <c r="MJV61" s="108"/>
      <c r="MJW61" s="108"/>
      <c r="MJX61" s="108"/>
      <c r="MJY61" s="108"/>
      <c r="MJZ61" s="108"/>
      <c r="MKA61" s="108"/>
      <c r="MKB61" s="108"/>
      <c r="MKC61" s="108"/>
      <c r="MKD61" s="108"/>
      <c r="MKE61" s="108"/>
      <c r="MKF61" s="108"/>
      <c r="MKG61" s="108"/>
      <c r="MKH61" s="108"/>
      <c r="MKI61" s="108"/>
      <c r="MKJ61" s="108"/>
      <c r="MKK61" s="108"/>
      <c r="MKL61" s="108"/>
      <c r="MKM61" s="108"/>
      <c r="MKN61" s="108"/>
      <c r="MKO61" s="108"/>
      <c r="MKP61" s="108"/>
      <c r="MKQ61" s="108"/>
      <c r="MKR61" s="108"/>
      <c r="MKS61" s="108"/>
      <c r="MKT61" s="108"/>
      <c r="MKU61" s="108"/>
      <c r="MKV61" s="108"/>
      <c r="MKW61" s="108"/>
      <c r="MKX61" s="108"/>
      <c r="MKY61" s="108"/>
      <c r="MKZ61" s="108"/>
      <c r="MLA61" s="108"/>
      <c r="MLB61" s="108"/>
      <c r="MLC61" s="108"/>
      <c r="MLD61" s="108"/>
      <c r="MLE61" s="108"/>
      <c r="MLF61" s="108"/>
      <c r="MLG61" s="108"/>
      <c r="MLH61" s="108"/>
      <c r="MLI61" s="108"/>
      <c r="MLJ61" s="108"/>
      <c r="MLK61" s="108"/>
      <c r="MLL61" s="108"/>
      <c r="MLM61" s="108"/>
      <c r="MLN61" s="108"/>
      <c r="MLO61" s="108"/>
      <c r="MLP61" s="108"/>
      <c r="MLQ61" s="108"/>
      <c r="MLR61" s="108"/>
      <c r="MLS61" s="108"/>
      <c r="MLT61" s="108"/>
      <c r="MLU61" s="108"/>
      <c r="MLV61" s="108"/>
      <c r="MLW61" s="108"/>
      <c r="MLX61" s="108"/>
      <c r="MLY61" s="108"/>
      <c r="MLZ61" s="108"/>
      <c r="MMA61" s="108"/>
      <c r="MMB61" s="108"/>
      <c r="MMC61" s="108"/>
      <c r="MMD61" s="108"/>
      <c r="MME61" s="108"/>
      <c r="MMF61" s="108"/>
      <c r="MMG61" s="108"/>
      <c r="MMH61" s="108"/>
      <c r="MMI61" s="108"/>
      <c r="MMJ61" s="108"/>
      <c r="MMK61" s="108"/>
      <c r="MML61" s="108"/>
      <c r="MMM61" s="108"/>
      <c r="MMN61" s="108"/>
      <c r="MMO61" s="108"/>
      <c r="MMP61" s="108"/>
      <c r="MMQ61" s="108"/>
      <c r="MMR61" s="108"/>
      <c r="MMS61" s="108"/>
      <c r="MMT61" s="108"/>
      <c r="MMU61" s="108"/>
      <c r="MMV61" s="108"/>
      <c r="MMW61" s="108"/>
      <c r="MMX61" s="108"/>
      <c r="MMY61" s="108"/>
      <c r="MMZ61" s="108"/>
      <c r="MNA61" s="108"/>
      <c r="MNB61" s="108"/>
      <c r="MNC61" s="108"/>
      <c r="MND61" s="108"/>
      <c r="MNE61" s="108"/>
      <c r="MNF61" s="108"/>
      <c r="MNG61" s="108"/>
      <c r="MNH61" s="108"/>
      <c r="MNI61" s="108"/>
      <c r="MNJ61" s="108"/>
      <c r="MNK61" s="108"/>
      <c r="MNL61" s="108"/>
      <c r="MNM61" s="108"/>
      <c r="MNN61" s="108"/>
      <c r="MNO61" s="108"/>
      <c r="MNP61" s="108"/>
      <c r="MNQ61" s="108"/>
      <c r="MNR61" s="108"/>
      <c r="MNS61" s="108"/>
      <c r="MNT61" s="108"/>
      <c r="MNU61" s="108"/>
      <c r="MNV61" s="108"/>
      <c r="MNW61" s="108"/>
      <c r="MNX61" s="108"/>
      <c r="MNY61" s="108"/>
      <c r="MNZ61" s="108"/>
      <c r="MOA61" s="108"/>
      <c r="MOB61" s="108"/>
      <c r="MOC61" s="108"/>
      <c r="MOD61" s="108"/>
      <c r="MOE61" s="108"/>
      <c r="MOF61" s="108"/>
      <c r="MOG61" s="108"/>
      <c r="MOH61" s="108"/>
      <c r="MOI61" s="108"/>
      <c r="MOJ61" s="108"/>
      <c r="MOK61" s="108"/>
      <c r="MOL61" s="108"/>
      <c r="MOM61" s="108"/>
      <c r="MON61" s="108"/>
      <c r="MOO61" s="108"/>
      <c r="MOP61" s="108"/>
      <c r="MOQ61" s="108"/>
      <c r="MOR61" s="108"/>
      <c r="MOS61" s="108"/>
      <c r="MOT61" s="108"/>
      <c r="MOU61" s="108"/>
      <c r="MOV61" s="108"/>
      <c r="MOW61" s="108"/>
      <c r="MOX61" s="108"/>
      <c r="MOY61" s="108"/>
      <c r="MOZ61" s="108"/>
      <c r="MPA61" s="108"/>
      <c r="MPB61" s="108"/>
      <c r="MPC61" s="108"/>
      <c r="MPD61" s="108"/>
      <c r="MPE61" s="108"/>
      <c r="MPF61" s="108"/>
      <c r="MPG61" s="108"/>
      <c r="MPH61" s="108"/>
      <c r="MPI61" s="108"/>
      <c r="MPJ61" s="108"/>
      <c r="MPK61" s="108"/>
      <c r="MPL61" s="108"/>
      <c r="MPM61" s="108"/>
      <c r="MPN61" s="108"/>
      <c r="MPO61" s="108"/>
      <c r="MPP61" s="108"/>
      <c r="MPQ61" s="108"/>
      <c r="MPR61" s="108"/>
      <c r="MPS61" s="108"/>
      <c r="MPT61" s="108"/>
      <c r="MPU61" s="108"/>
      <c r="MPV61" s="108"/>
      <c r="MPW61" s="108"/>
      <c r="MPX61" s="108"/>
      <c r="MPY61" s="108"/>
      <c r="MPZ61" s="108"/>
      <c r="MQA61" s="108"/>
      <c r="MQB61" s="108"/>
      <c r="MQC61" s="108"/>
      <c r="MQD61" s="108"/>
      <c r="MQE61" s="108"/>
      <c r="MQF61" s="108"/>
      <c r="MQG61" s="108"/>
      <c r="MQH61" s="108"/>
      <c r="MQI61" s="108"/>
      <c r="MQJ61" s="108"/>
      <c r="MQK61" s="108"/>
      <c r="MQL61" s="108"/>
      <c r="MQM61" s="108"/>
      <c r="MQN61" s="108"/>
      <c r="MQO61" s="108"/>
      <c r="MQP61" s="108"/>
      <c r="MQQ61" s="108"/>
      <c r="MQR61" s="108"/>
      <c r="MQS61" s="108"/>
      <c r="MQT61" s="108"/>
      <c r="MQU61" s="108"/>
      <c r="MQV61" s="108"/>
      <c r="MQW61" s="108"/>
      <c r="MQX61" s="108"/>
      <c r="MQY61" s="108"/>
      <c r="MQZ61" s="108"/>
      <c r="MRA61" s="108"/>
      <c r="MRB61" s="108"/>
      <c r="MRC61" s="108"/>
      <c r="MRD61" s="108"/>
      <c r="MRE61" s="108"/>
      <c r="MRF61" s="108"/>
      <c r="MRG61" s="108"/>
      <c r="MRH61" s="108"/>
      <c r="MRI61" s="108"/>
      <c r="MRJ61" s="108"/>
      <c r="MRK61" s="108"/>
      <c r="MRL61" s="108"/>
      <c r="MRM61" s="108"/>
      <c r="MRN61" s="108"/>
      <c r="MRO61" s="108"/>
      <c r="MRP61" s="108"/>
      <c r="MRQ61" s="108"/>
      <c r="MRR61" s="108"/>
      <c r="MRS61" s="108"/>
      <c r="MRT61" s="108"/>
      <c r="MRU61" s="108"/>
      <c r="MRV61" s="108"/>
      <c r="MRW61" s="108"/>
      <c r="MRX61" s="108"/>
      <c r="MRY61" s="108"/>
      <c r="MRZ61" s="108"/>
      <c r="MSA61" s="108"/>
      <c r="MSB61" s="108"/>
      <c r="MSC61" s="108"/>
      <c r="MSD61" s="108"/>
      <c r="MSE61" s="108"/>
      <c r="MSF61" s="108"/>
      <c r="MSG61" s="108"/>
      <c r="MSH61" s="108"/>
      <c r="MSI61" s="108"/>
      <c r="MSJ61" s="108"/>
      <c r="MSK61" s="108"/>
      <c r="MSL61" s="108"/>
      <c r="MSM61" s="108"/>
      <c r="MSN61" s="108"/>
      <c r="MSO61" s="108"/>
      <c r="MSP61" s="108"/>
      <c r="MSQ61" s="108"/>
      <c r="MSR61" s="108"/>
      <c r="MSS61" s="108"/>
      <c r="MST61" s="108"/>
      <c r="MSU61" s="108"/>
      <c r="MSV61" s="108"/>
      <c r="MSW61" s="108"/>
      <c r="MSX61" s="108"/>
      <c r="MSY61" s="108"/>
      <c r="MSZ61" s="108"/>
      <c r="MTA61" s="108"/>
      <c r="MTB61" s="108"/>
      <c r="MTC61" s="108"/>
      <c r="MTD61" s="108"/>
      <c r="MTE61" s="108"/>
      <c r="MTF61" s="108"/>
      <c r="MTG61" s="108"/>
      <c r="MTH61" s="108"/>
      <c r="MTI61" s="108"/>
      <c r="MTJ61" s="108"/>
      <c r="MTK61" s="108"/>
      <c r="MTL61" s="108"/>
      <c r="MTM61" s="108"/>
      <c r="MTN61" s="108"/>
      <c r="MTO61" s="108"/>
      <c r="MTP61" s="108"/>
      <c r="MTQ61" s="108"/>
      <c r="MTR61" s="108"/>
      <c r="MTS61" s="108"/>
      <c r="MTT61" s="108"/>
      <c r="MTU61" s="108"/>
      <c r="MTV61" s="108"/>
      <c r="MTW61" s="108"/>
      <c r="MTX61" s="108"/>
      <c r="MTY61" s="108"/>
      <c r="MTZ61" s="108"/>
      <c r="MUA61" s="108"/>
      <c r="MUB61" s="108"/>
      <c r="MUC61" s="108"/>
      <c r="MUD61" s="108"/>
      <c r="MUE61" s="108"/>
      <c r="MUF61" s="108"/>
      <c r="MUG61" s="108"/>
      <c r="MUH61" s="108"/>
      <c r="MUI61" s="108"/>
      <c r="MUJ61" s="108"/>
      <c r="MUK61" s="108"/>
      <c r="MUL61" s="108"/>
      <c r="MUM61" s="108"/>
      <c r="MUN61" s="108"/>
      <c r="MUO61" s="108"/>
      <c r="MUP61" s="108"/>
      <c r="MUQ61" s="108"/>
      <c r="MUR61" s="108"/>
      <c r="MUS61" s="108"/>
      <c r="MUT61" s="108"/>
      <c r="MUU61" s="108"/>
      <c r="MUV61" s="108"/>
      <c r="MUW61" s="108"/>
      <c r="MUX61" s="108"/>
      <c r="MUY61" s="108"/>
      <c r="MUZ61" s="108"/>
      <c r="MVA61" s="108"/>
      <c r="MVB61" s="108"/>
      <c r="MVC61" s="108"/>
      <c r="MVD61" s="108"/>
      <c r="MVE61" s="108"/>
      <c r="MVF61" s="108"/>
      <c r="MVG61" s="108"/>
      <c r="MVH61" s="108"/>
      <c r="MVI61" s="108"/>
      <c r="MVJ61" s="108"/>
      <c r="MVK61" s="108"/>
      <c r="MVL61" s="108"/>
      <c r="MVM61" s="108"/>
      <c r="MVN61" s="108"/>
      <c r="MVO61" s="108"/>
      <c r="MVP61" s="108"/>
      <c r="MVQ61" s="108"/>
      <c r="MVR61" s="108"/>
      <c r="MVS61" s="108"/>
      <c r="MVT61" s="108"/>
      <c r="MVU61" s="108"/>
      <c r="MVV61" s="108"/>
      <c r="MVW61" s="108"/>
      <c r="MVX61" s="108"/>
      <c r="MVY61" s="108"/>
      <c r="MVZ61" s="108"/>
      <c r="MWA61" s="108"/>
      <c r="MWB61" s="108"/>
      <c r="MWC61" s="108"/>
      <c r="MWD61" s="108"/>
      <c r="MWE61" s="108"/>
      <c r="MWF61" s="108"/>
      <c r="MWG61" s="108"/>
      <c r="MWH61" s="108"/>
      <c r="MWI61" s="108"/>
      <c r="MWJ61" s="108"/>
      <c r="MWK61" s="108"/>
      <c r="MWL61" s="108"/>
      <c r="MWM61" s="108"/>
      <c r="MWN61" s="108"/>
      <c r="MWO61" s="108"/>
      <c r="MWP61" s="108"/>
      <c r="MWQ61" s="108"/>
      <c r="MWR61" s="108"/>
      <c r="MWS61" s="108"/>
      <c r="MWT61" s="108"/>
      <c r="MWU61" s="108"/>
      <c r="MWV61" s="108"/>
      <c r="MWW61" s="108"/>
      <c r="MWX61" s="108"/>
      <c r="MWY61" s="108"/>
      <c r="MWZ61" s="108"/>
      <c r="MXA61" s="108"/>
      <c r="MXB61" s="108"/>
      <c r="MXC61" s="108"/>
      <c r="MXD61" s="108"/>
      <c r="MXE61" s="108"/>
      <c r="MXF61" s="108"/>
      <c r="MXG61" s="108"/>
      <c r="MXH61" s="108"/>
      <c r="MXI61" s="108"/>
      <c r="MXJ61" s="108"/>
      <c r="MXK61" s="108"/>
      <c r="MXL61" s="108"/>
      <c r="MXM61" s="108"/>
      <c r="MXN61" s="108"/>
      <c r="MXO61" s="108"/>
      <c r="MXP61" s="108"/>
      <c r="MXQ61" s="108"/>
      <c r="MXR61" s="108"/>
      <c r="MXS61" s="108"/>
      <c r="MXT61" s="108"/>
      <c r="MXU61" s="108"/>
      <c r="MXV61" s="108"/>
      <c r="MXW61" s="108"/>
      <c r="MXX61" s="108"/>
      <c r="MXY61" s="108"/>
      <c r="MXZ61" s="108"/>
      <c r="MYA61" s="108"/>
      <c r="MYB61" s="108"/>
      <c r="MYC61" s="108"/>
      <c r="MYD61" s="108"/>
      <c r="MYE61" s="108"/>
      <c r="MYF61" s="108"/>
      <c r="MYG61" s="108"/>
      <c r="MYH61" s="108"/>
      <c r="MYI61" s="108"/>
      <c r="MYJ61" s="108"/>
      <c r="MYK61" s="108"/>
      <c r="MYL61" s="108"/>
      <c r="MYM61" s="108"/>
      <c r="MYN61" s="108"/>
      <c r="MYO61" s="108"/>
      <c r="MYP61" s="108"/>
      <c r="MYQ61" s="108"/>
      <c r="MYR61" s="108"/>
      <c r="MYS61" s="108"/>
      <c r="MYT61" s="108"/>
      <c r="MYU61" s="108"/>
      <c r="MYV61" s="108"/>
      <c r="MYW61" s="108"/>
      <c r="MYX61" s="108"/>
      <c r="MYY61" s="108"/>
      <c r="MYZ61" s="108"/>
      <c r="MZA61" s="108"/>
      <c r="MZB61" s="108"/>
      <c r="MZC61" s="108"/>
      <c r="MZD61" s="108"/>
      <c r="MZE61" s="108"/>
      <c r="MZF61" s="108"/>
      <c r="MZG61" s="108"/>
      <c r="MZH61" s="108"/>
      <c r="MZI61" s="108"/>
      <c r="MZJ61" s="108"/>
      <c r="MZK61" s="108"/>
      <c r="MZL61" s="108"/>
      <c r="MZM61" s="108"/>
      <c r="MZN61" s="108"/>
      <c r="MZO61" s="108"/>
      <c r="MZP61" s="108"/>
      <c r="MZQ61" s="108"/>
      <c r="MZR61" s="108"/>
      <c r="MZS61" s="108"/>
      <c r="MZT61" s="108"/>
      <c r="MZU61" s="108"/>
      <c r="MZV61" s="108"/>
      <c r="MZW61" s="108"/>
      <c r="MZX61" s="108"/>
      <c r="MZY61" s="108"/>
      <c r="MZZ61" s="108"/>
      <c r="NAA61" s="108"/>
      <c r="NAB61" s="108"/>
      <c r="NAC61" s="108"/>
      <c r="NAD61" s="108"/>
      <c r="NAE61" s="108"/>
      <c r="NAF61" s="108"/>
      <c r="NAG61" s="108"/>
      <c r="NAH61" s="108"/>
      <c r="NAI61" s="108"/>
      <c r="NAJ61" s="108"/>
      <c r="NAK61" s="108"/>
      <c r="NAL61" s="108"/>
      <c r="NAM61" s="108"/>
      <c r="NAN61" s="108"/>
      <c r="NAO61" s="108"/>
      <c r="NAP61" s="108"/>
      <c r="NAQ61" s="108"/>
      <c r="NAR61" s="108"/>
      <c r="NAS61" s="108"/>
      <c r="NAT61" s="108"/>
      <c r="NAU61" s="108"/>
      <c r="NAV61" s="108"/>
      <c r="NAW61" s="108"/>
      <c r="NAX61" s="108"/>
      <c r="NAY61" s="108"/>
      <c r="NAZ61" s="108"/>
      <c r="NBA61" s="108"/>
      <c r="NBB61" s="108"/>
      <c r="NBC61" s="108"/>
      <c r="NBD61" s="108"/>
      <c r="NBE61" s="108"/>
      <c r="NBF61" s="108"/>
      <c r="NBG61" s="108"/>
      <c r="NBH61" s="108"/>
      <c r="NBI61" s="108"/>
      <c r="NBJ61" s="108"/>
      <c r="NBK61" s="108"/>
      <c r="NBL61" s="108"/>
      <c r="NBM61" s="108"/>
      <c r="NBN61" s="108"/>
      <c r="NBO61" s="108"/>
      <c r="NBP61" s="108"/>
      <c r="NBQ61" s="108"/>
      <c r="NBR61" s="108"/>
      <c r="NBS61" s="108"/>
      <c r="NBT61" s="108"/>
      <c r="NBU61" s="108"/>
      <c r="NBV61" s="108"/>
      <c r="NBW61" s="108"/>
      <c r="NBX61" s="108"/>
      <c r="NBY61" s="108"/>
      <c r="NBZ61" s="108"/>
      <c r="NCA61" s="108"/>
      <c r="NCB61" s="108"/>
      <c r="NCC61" s="108"/>
      <c r="NCD61" s="108"/>
      <c r="NCE61" s="108"/>
      <c r="NCF61" s="108"/>
      <c r="NCG61" s="108"/>
      <c r="NCH61" s="108"/>
      <c r="NCI61" s="108"/>
      <c r="NCJ61" s="108"/>
      <c r="NCK61" s="108"/>
      <c r="NCL61" s="108"/>
      <c r="NCM61" s="108"/>
      <c r="NCN61" s="108"/>
      <c r="NCO61" s="108"/>
      <c r="NCP61" s="108"/>
      <c r="NCQ61" s="108"/>
      <c r="NCR61" s="108"/>
      <c r="NCS61" s="108"/>
      <c r="NCT61" s="108"/>
      <c r="NCU61" s="108"/>
      <c r="NCV61" s="108"/>
      <c r="NCW61" s="108"/>
      <c r="NCX61" s="108"/>
      <c r="NCY61" s="108"/>
      <c r="NCZ61" s="108"/>
      <c r="NDA61" s="108"/>
      <c r="NDB61" s="108"/>
      <c r="NDC61" s="108"/>
      <c r="NDD61" s="108"/>
      <c r="NDE61" s="108"/>
      <c r="NDF61" s="108"/>
      <c r="NDG61" s="108"/>
      <c r="NDH61" s="108"/>
      <c r="NDI61" s="108"/>
      <c r="NDJ61" s="108"/>
      <c r="NDK61" s="108"/>
      <c r="NDL61" s="108"/>
      <c r="NDM61" s="108"/>
      <c r="NDN61" s="108"/>
      <c r="NDO61" s="108"/>
      <c r="NDP61" s="108"/>
      <c r="NDQ61" s="108"/>
      <c r="NDR61" s="108"/>
      <c r="NDS61" s="108"/>
      <c r="NDT61" s="108"/>
      <c r="NDU61" s="108"/>
      <c r="NDV61" s="108"/>
      <c r="NDW61" s="108"/>
      <c r="NDX61" s="108"/>
      <c r="NDY61" s="108"/>
      <c r="NDZ61" s="108"/>
      <c r="NEA61" s="108"/>
      <c r="NEB61" s="108"/>
      <c r="NEC61" s="108"/>
      <c r="NED61" s="108"/>
      <c r="NEE61" s="108"/>
      <c r="NEF61" s="108"/>
      <c r="NEG61" s="108"/>
      <c r="NEH61" s="108"/>
      <c r="NEI61" s="108"/>
      <c r="NEJ61" s="108"/>
      <c r="NEK61" s="108"/>
      <c r="NEL61" s="108"/>
      <c r="NEM61" s="108"/>
      <c r="NEN61" s="108"/>
      <c r="NEO61" s="108"/>
      <c r="NEP61" s="108"/>
      <c r="NEQ61" s="108"/>
      <c r="NER61" s="108"/>
      <c r="NES61" s="108"/>
      <c r="NET61" s="108"/>
      <c r="NEU61" s="108"/>
      <c r="NEV61" s="108"/>
      <c r="NEW61" s="108"/>
      <c r="NEX61" s="108"/>
      <c r="NEY61" s="108"/>
      <c r="NEZ61" s="108"/>
      <c r="NFA61" s="108"/>
      <c r="NFB61" s="108"/>
      <c r="NFC61" s="108"/>
      <c r="NFD61" s="108"/>
      <c r="NFE61" s="108"/>
      <c r="NFF61" s="108"/>
      <c r="NFG61" s="108"/>
      <c r="NFH61" s="108"/>
      <c r="NFI61" s="108"/>
      <c r="NFJ61" s="108"/>
      <c r="NFK61" s="108"/>
      <c r="NFL61" s="108"/>
      <c r="NFM61" s="108"/>
      <c r="NFN61" s="108"/>
      <c r="NFO61" s="108"/>
      <c r="NFP61" s="108"/>
      <c r="NFQ61" s="108"/>
      <c r="NFR61" s="108"/>
      <c r="NFS61" s="108"/>
      <c r="NFT61" s="108"/>
      <c r="NFU61" s="108"/>
      <c r="NFV61" s="108"/>
      <c r="NFW61" s="108"/>
      <c r="NFX61" s="108"/>
      <c r="NFY61" s="108"/>
      <c r="NFZ61" s="108"/>
      <c r="NGA61" s="108"/>
      <c r="NGB61" s="108"/>
      <c r="NGC61" s="108"/>
      <c r="NGD61" s="108"/>
      <c r="NGE61" s="108"/>
      <c r="NGF61" s="108"/>
      <c r="NGG61" s="108"/>
      <c r="NGH61" s="108"/>
      <c r="NGI61" s="108"/>
      <c r="NGJ61" s="108"/>
      <c r="NGK61" s="108"/>
      <c r="NGL61" s="108"/>
      <c r="NGM61" s="108"/>
      <c r="NGN61" s="108"/>
      <c r="NGO61" s="108"/>
      <c r="NGP61" s="108"/>
      <c r="NGQ61" s="108"/>
      <c r="NGR61" s="108"/>
      <c r="NGS61" s="108"/>
      <c r="NGT61" s="108"/>
      <c r="NGU61" s="108"/>
      <c r="NGV61" s="108"/>
      <c r="NGW61" s="108"/>
      <c r="NGX61" s="108"/>
      <c r="NGY61" s="108"/>
      <c r="NGZ61" s="108"/>
      <c r="NHA61" s="108"/>
      <c r="NHB61" s="108"/>
      <c r="NHC61" s="108"/>
      <c r="NHD61" s="108"/>
      <c r="NHE61" s="108"/>
      <c r="NHF61" s="108"/>
      <c r="NHG61" s="108"/>
      <c r="NHH61" s="108"/>
      <c r="NHI61" s="108"/>
      <c r="NHJ61" s="108"/>
      <c r="NHK61" s="108"/>
      <c r="NHL61" s="108"/>
      <c r="NHM61" s="108"/>
      <c r="NHN61" s="108"/>
      <c r="NHO61" s="108"/>
      <c r="NHP61" s="108"/>
      <c r="NHQ61" s="108"/>
      <c r="NHR61" s="108"/>
      <c r="NHS61" s="108"/>
      <c r="NHT61" s="108"/>
      <c r="NHU61" s="108"/>
      <c r="NHV61" s="108"/>
      <c r="NHW61" s="108"/>
      <c r="NHX61" s="108"/>
      <c r="NHY61" s="108"/>
      <c r="NHZ61" s="108"/>
      <c r="NIA61" s="108"/>
      <c r="NIB61" s="108"/>
      <c r="NIC61" s="108"/>
      <c r="NID61" s="108"/>
      <c r="NIE61" s="108"/>
      <c r="NIF61" s="108"/>
      <c r="NIG61" s="108"/>
      <c r="NIH61" s="108"/>
      <c r="NII61" s="108"/>
      <c r="NIJ61" s="108"/>
      <c r="NIK61" s="108"/>
      <c r="NIL61" s="108"/>
      <c r="NIM61" s="108"/>
      <c r="NIN61" s="108"/>
      <c r="NIO61" s="108"/>
      <c r="NIP61" s="108"/>
      <c r="NIQ61" s="108"/>
      <c r="NIR61" s="108"/>
      <c r="NIS61" s="108"/>
      <c r="NIT61" s="108"/>
      <c r="NIU61" s="108"/>
      <c r="NIV61" s="108"/>
      <c r="NIW61" s="108"/>
      <c r="NIX61" s="108"/>
      <c r="NIY61" s="108"/>
      <c r="NIZ61" s="108"/>
      <c r="NJA61" s="108"/>
      <c r="NJB61" s="108"/>
      <c r="NJC61" s="108"/>
      <c r="NJD61" s="108"/>
      <c r="NJE61" s="108"/>
      <c r="NJF61" s="108"/>
      <c r="NJG61" s="108"/>
      <c r="NJH61" s="108"/>
      <c r="NJI61" s="108"/>
      <c r="NJJ61" s="108"/>
      <c r="NJK61" s="108"/>
      <c r="NJL61" s="108"/>
      <c r="NJM61" s="108"/>
      <c r="NJN61" s="108"/>
      <c r="NJO61" s="108"/>
      <c r="NJP61" s="108"/>
      <c r="NJQ61" s="108"/>
      <c r="NJR61" s="108"/>
      <c r="NJS61" s="108"/>
      <c r="NJT61" s="108"/>
      <c r="NJU61" s="108"/>
      <c r="NJV61" s="108"/>
      <c r="NJW61" s="108"/>
      <c r="NJX61" s="108"/>
      <c r="NJY61" s="108"/>
      <c r="NJZ61" s="108"/>
      <c r="NKA61" s="108"/>
      <c r="NKB61" s="108"/>
      <c r="NKC61" s="108"/>
      <c r="NKD61" s="108"/>
      <c r="NKE61" s="108"/>
      <c r="NKF61" s="108"/>
      <c r="NKG61" s="108"/>
      <c r="NKH61" s="108"/>
      <c r="NKI61" s="108"/>
      <c r="NKJ61" s="108"/>
      <c r="NKK61" s="108"/>
      <c r="NKL61" s="108"/>
      <c r="NKM61" s="108"/>
      <c r="NKN61" s="108"/>
      <c r="NKO61" s="108"/>
      <c r="NKP61" s="108"/>
      <c r="NKQ61" s="108"/>
      <c r="NKR61" s="108"/>
      <c r="NKS61" s="108"/>
      <c r="NKT61" s="108"/>
      <c r="NKU61" s="108"/>
      <c r="NKV61" s="108"/>
      <c r="NKW61" s="108"/>
      <c r="NKX61" s="108"/>
      <c r="NKY61" s="108"/>
      <c r="NKZ61" s="108"/>
      <c r="NLA61" s="108"/>
      <c r="NLB61" s="108"/>
      <c r="NLC61" s="108"/>
      <c r="NLD61" s="108"/>
      <c r="NLE61" s="108"/>
      <c r="NLF61" s="108"/>
      <c r="NLG61" s="108"/>
      <c r="NLH61" s="108"/>
      <c r="NLI61" s="108"/>
      <c r="NLJ61" s="108"/>
      <c r="NLK61" s="108"/>
      <c r="NLL61" s="108"/>
      <c r="NLM61" s="108"/>
      <c r="NLN61" s="108"/>
      <c r="NLO61" s="108"/>
      <c r="NLP61" s="108"/>
      <c r="NLQ61" s="108"/>
      <c r="NLR61" s="108"/>
      <c r="NLS61" s="108"/>
      <c r="NLT61" s="108"/>
      <c r="NLU61" s="108"/>
      <c r="NLV61" s="108"/>
      <c r="NLW61" s="108"/>
      <c r="NLX61" s="108"/>
      <c r="NLY61" s="108"/>
      <c r="NLZ61" s="108"/>
      <c r="NMA61" s="108"/>
      <c r="NMB61" s="108"/>
      <c r="NMC61" s="108"/>
      <c r="NMD61" s="108"/>
      <c r="NME61" s="108"/>
      <c r="NMF61" s="108"/>
      <c r="NMG61" s="108"/>
      <c r="NMH61" s="108"/>
      <c r="NMI61" s="108"/>
      <c r="NMJ61" s="108"/>
      <c r="NMK61" s="108"/>
      <c r="NML61" s="108"/>
      <c r="NMM61" s="108"/>
      <c r="NMN61" s="108"/>
      <c r="NMO61" s="108"/>
      <c r="NMP61" s="108"/>
      <c r="NMQ61" s="108"/>
      <c r="NMR61" s="108"/>
      <c r="NMS61" s="108"/>
      <c r="NMT61" s="108"/>
      <c r="NMU61" s="108"/>
      <c r="NMV61" s="108"/>
      <c r="NMW61" s="108"/>
      <c r="NMX61" s="108"/>
      <c r="NMY61" s="108"/>
      <c r="NMZ61" s="108"/>
      <c r="NNA61" s="108"/>
      <c r="NNB61" s="108"/>
      <c r="NNC61" s="108"/>
      <c r="NND61" s="108"/>
      <c r="NNE61" s="108"/>
      <c r="NNF61" s="108"/>
      <c r="NNG61" s="108"/>
      <c r="NNH61" s="108"/>
      <c r="NNI61" s="108"/>
      <c r="NNJ61" s="108"/>
      <c r="NNK61" s="108"/>
      <c r="NNL61" s="108"/>
      <c r="NNM61" s="108"/>
      <c r="NNN61" s="108"/>
      <c r="NNO61" s="108"/>
      <c r="NNP61" s="108"/>
      <c r="NNQ61" s="108"/>
      <c r="NNR61" s="108"/>
      <c r="NNS61" s="108"/>
      <c r="NNT61" s="108"/>
      <c r="NNU61" s="108"/>
      <c r="NNV61" s="108"/>
      <c r="NNW61" s="108"/>
      <c r="NNX61" s="108"/>
      <c r="NNY61" s="108"/>
      <c r="NNZ61" s="108"/>
      <c r="NOA61" s="108"/>
      <c r="NOB61" s="108"/>
      <c r="NOC61" s="108"/>
      <c r="NOD61" s="108"/>
      <c r="NOE61" s="108"/>
      <c r="NOF61" s="108"/>
      <c r="NOG61" s="108"/>
      <c r="NOH61" s="108"/>
      <c r="NOI61" s="108"/>
      <c r="NOJ61" s="108"/>
      <c r="NOK61" s="108"/>
      <c r="NOL61" s="108"/>
      <c r="NOM61" s="108"/>
      <c r="NON61" s="108"/>
      <c r="NOO61" s="108"/>
      <c r="NOP61" s="108"/>
      <c r="NOQ61" s="108"/>
      <c r="NOR61" s="108"/>
      <c r="NOS61" s="108"/>
      <c r="NOT61" s="108"/>
      <c r="NOU61" s="108"/>
      <c r="NOV61" s="108"/>
      <c r="NOW61" s="108"/>
      <c r="NOX61" s="108"/>
      <c r="NOY61" s="108"/>
      <c r="NOZ61" s="108"/>
      <c r="NPA61" s="108"/>
      <c r="NPB61" s="108"/>
      <c r="NPC61" s="108"/>
      <c r="NPD61" s="108"/>
      <c r="NPE61" s="108"/>
      <c r="NPF61" s="108"/>
      <c r="NPG61" s="108"/>
      <c r="NPH61" s="108"/>
      <c r="NPI61" s="108"/>
      <c r="NPJ61" s="108"/>
      <c r="NPK61" s="108"/>
      <c r="NPL61" s="108"/>
      <c r="NPM61" s="108"/>
      <c r="NPN61" s="108"/>
      <c r="NPO61" s="108"/>
      <c r="NPP61" s="108"/>
      <c r="NPQ61" s="108"/>
      <c r="NPR61" s="108"/>
      <c r="NPS61" s="108"/>
      <c r="NPT61" s="108"/>
      <c r="NPU61" s="108"/>
      <c r="NPV61" s="108"/>
      <c r="NPW61" s="108"/>
      <c r="NPX61" s="108"/>
      <c r="NPY61" s="108"/>
      <c r="NPZ61" s="108"/>
      <c r="NQA61" s="108"/>
      <c r="NQB61" s="108"/>
      <c r="NQC61" s="108"/>
      <c r="NQD61" s="108"/>
      <c r="NQE61" s="108"/>
      <c r="NQF61" s="108"/>
      <c r="NQG61" s="108"/>
      <c r="NQH61" s="108"/>
      <c r="NQI61" s="108"/>
      <c r="NQJ61" s="108"/>
      <c r="NQK61" s="108"/>
      <c r="NQL61" s="108"/>
      <c r="NQM61" s="108"/>
      <c r="NQN61" s="108"/>
      <c r="NQO61" s="108"/>
      <c r="NQP61" s="108"/>
      <c r="NQQ61" s="108"/>
      <c r="NQR61" s="108"/>
      <c r="NQS61" s="108"/>
      <c r="NQT61" s="108"/>
      <c r="NQU61" s="108"/>
      <c r="NQV61" s="108"/>
      <c r="NQW61" s="108"/>
      <c r="NQX61" s="108"/>
      <c r="NQY61" s="108"/>
      <c r="NQZ61" s="108"/>
      <c r="NRA61" s="108"/>
      <c r="NRB61" s="108"/>
      <c r="NRC61" s="108"/>
      <c r="NRD61" s="108"/>
      <c r="NRE61" s="108"/>
      <c r="NRF61" s="108"/>
      <c r="NRG61" s="108"/>
      <c r="NRH61" s="108"/>
      <c r="NRI61" s="108"/>
      <c r="NRJ61" s="108"/>
      <c r="NRK61" s="108"/>
      <c r="NRL61" s="108"/>
      <c r="NRM61" s="108"/>
      <c r="NRN61" s="108"/>
      <c r="NRO61" s="108"/>
      <c r="NRP61" s="108"/>
      <c r="NRQ61" s="108"/>
      <c r="NRR61" s="108"/>
      <c r="NRS61" s="108"/>
      <c r="NRT61" s="108"/>
      <c r="NRU61" s="108"/>
      <c r="NRV61" s="108"/>
      <c r="NRW61" s="108"/>
      <c r="NRX61" s="108"/>
      <c r="NRY61" s="108"/>
      <c r="NRZ61" s="108"/>
      <c r="NSA61" s="108"/>
      <c r="NSB61" s="108"/>
      <c r="NSC61" s="108"/>
      <c r="NSD61" s="108"/>
      <c r="NSE61" s="108"/>
      <c r="NSF61" s="108"/>
      <c r="NSG61" s="108"/>
      <c r="NSH61" s="108"/>
      <c r="NSI61" s="108"/>
      <c r="NSJ61" s="108"/>
      <c r="NSK61" s="108"/>
      <c r="NSL61" s="108"/>
      <c r="NSM61" s="108"/>
      <c r="NSN61" s="108"/>
      <c r="NSO61" s="108"/>
      <c r="NSP61" s="108"/>
      <c r="NSQ61" s="108"/>
      <c r="NSR61" s="108"/>
      <c r="NSS61" s="108"/>
      <c r="NST61" s="108"/>
      <c r="NSU61" s="108"/>
      <c r="NSV61" s="108"/>
      <c r="NSW61" s="108"/>
      <c r="NSX61" s="108"/>
      <c r="NSY61" s="108"/>
      <c r="NSZ61" s="108"/>
      <c r="NTA61" s="108"/>
      <c r="NTB61" s="108"/>
      <c r="NTC61" s="108"/>
      <c r="NTD61" s="108"/>
      <c r="NTE61" s="108"/>
      <c r="NTF61" s="108"/>
      <c r="NTG61" s="108"/>
      <c r="NTH61" s="108"/>
      <c r="NTI61" s="108"/>
      <c r="NTJ61" s="108"/>
      <c r="NTK61" s="108"/>
      <c r="NTL61" s="108"/>
      <c r="NTM61" s="108"/>
      <c r="NTN61" s="108"/>
      <c r="NTO61" s="108"/>
      <c r="NTP61" s="108"/>
      <c r="NTQ61" s="108"/>
      <c r="NTR61" s="108"/>
      <c r="NTS61" s="108"/>
      <c r="NTT61" s="108"/>
      <c r="NTU61" s="108"/>
      <c r="NTV61" s="108"/>
      <c r="NTW61" s="108"/>
      <c r="NTX61" s="108"/>
      <c r="NTY61" s="108"/>
      <c r="NTZ61" s="108"/>
      <c r="NUA61" s="108"/>
      <c r="NUB61" s="108"/>
      <c r="NUC61" s="108"/>
      <c r="NUD61" s="108"/>
      <c r="NUE61" s="108"/>
      <c r="NUF61" s="108"/>
      <c r="NUG61" s="108"/>
      <c r="NUH61" s="108"/>
      <c r="NUI61" s="108"/>
      <c r="NUJ61" s="108"/>
      <c r="NUK61" s="108"/>
      <c r="NUL61" s="108"/>
      <c r="NUM61" s="108"/>
      <c r="NUN61" s="108"/>
      <c r="NUO61" s="108"/>
      <c r="NUP61" s="108"/>
      <c r="NUQ61" s="108"/>
      <c r="NUR61" s="108"/>
      <c r="NUS61" s="108"/>
      <c r="NUT61" s="108"/>
      <c r="NUU61" s="108"/>
      <c r="NUV61" s="108"/>
      <c r="NUW61" s="108"/>
      <c r="NUX61" s="108"/>
      <c r="NUY61" s="108"/>
      <c r="NUZ61" s="108"/>
      <c r="NVA61" s="108"/>
      <c r="NVB61" s="108"/>
      <c r="NVC61" s="108"/>
      <c r="NVD61" s="108"/>
      <c r="NVE61" s="108"/>
      <c r="NVF61" s="108"/>
      <c r="NVG61" s="108"/>
      <c r="NVH61" s="108"/>
      <c r="NVI61" s="108"/>
      <c r="NVJ61" s="108"/>
      <c r="NVK61" s="108"/>
      <c r="NVL61" s="108"/>
      <c r="NVM61" s="108"/>
      <c r="NVN61" s="108"/>
      <c r="NVO61" s="108"/>
      <c r="NVP61" s="108"/>
      <c r="NVQ61" s="108"/>
      <c r="NVR61" s="108"/>
      <c r="NVS61" s="108"/>
      <c r="NVT61" s="108"/>
      <c r="NVU61" s="108"/>
      <c r="NVV61" s="108"/>
      <c r="NVW61" s="108"/>
      <c r="NVX61" s="108"/>
      <c r="NVY61" s="108"/>
      <c r="NVZ61" s="108"/>
      <c r="NWA61" s="108"/>
      <c r="NWB61" s="108"/>
      <c r="NWC61" s="108"/>
      <c r="NWD61" s="108"/>
      <c r="NWE61" s="108"/>
      <c r="NWF61" s="108"/>
      <c r="NWG61" s="108"/>
      <c r="NWH61" s="108"/>
      <c r="NWI61" s="108"/>
      <c r="NWJ61" s="108"/>
      <c r="NWK61" s="108"/>
      <c r="NWL61" s="108"/>
      <c r="NWM61" s="108"/>
      <c r="NWN61" s="108"/>
      <c r="NWO61" s="108"/>
      <c r="NWP61" s="108"/>
      <c r="NWQ61" s="108"/>
      <c r="NWR61" s="108"/>
      <c r="NWS61" s="108"/>
      <c r="NWT61" s="108"/>
      <c r="NWU61" s="108"/>
      <c r="NWV61" s="108"/>
      <c r="NWW61" s="108"/>
      <c r="NWX61" s="108"/>
      <c r="NWY61" s="108"/>
      <c r="NWZ61" s="108"/>
      <c r="NXA61" s="108"/>
      <c r="NXB61" s="108"/>
      <c r="NXC61" s="108"/>
      <c r="NXD61" s="108"/>
      <c r="NXE61" s="108"/>
      <c r="NXF61" s="108"/>
      <c r="NXG61" s="108"/>
      <c r="NXH61" s="108"/>
      <c r="NXI61" s="108"/>
      <c r="NXJ61" s="108"/>
      <c r="NXK61" s="108"/>
      <c r="NXL61" s="108"/>
      <c r="NXM61" s="108"/>
      <c r="NXN61" s="108"/>
      <c r="NXO61" s="108"/>
      <c r="NXP61" s="108"/>
      <c r="NXQ61" s="108"/>
      <c r="NXR61" s="108"/>
      <c r="NXS61" s="108"/>
      <c r="NXT61" s="108"/>
      <c r="NXU61" s="108"/>
      <c r="NXV61" s="108"/>
      <c r="NXW61" s="108"/>
      <c r="NXX61" s="108"/>
      <c r="NXY61" s="108"/>
      <c r="NXZ61" s="108"/>
      <c r="NYA61" s="108"/>
      <c r="NYB61" s="108"/>
      <c r="NYC61" s="108"/>
      <c r="NYD61" s="108"/>
      <c r="NYE61" s="108"/>
      <c r="NYF61" s="108"/>
      <c r="NYG61" s="108"/>
      <c r="NYH61" s="108"/>
      <c r="NYI61" s="108"/>
      <c r="NYJ61" s="108"/>
      <c r="NYK61" s="108"/>
      <c r="NYL61" s="108"/>
      <c r="NYM61" s="108"/>
      <c r="NYN61" s="108"/>
      <c r="NYO61" s="108"/>
      <c r="NYP61" s="108"/>
      <c r="NYQ61" s="108"/>
      <c r="NYR61" s="108"/>
      <c r="NYS61" s="108"/>
      <c r="NYT61" s="108"/>
      <c r="NYU61" s="108"/>
      <c r="NYV61" s="108"/>
      <c r="NYW61" s="108"/>
      <c r="NYX61" s="108"/>
      <c r="NYY61" s="108"/>
      <c r="NYZ61" s="108"/>
      <c r="NZA61" s="108"/>
      <c r="NZB61" s="108"/>
      <c r="NZC61" s="108"/>
      <c r="NZD61" s="108"/>
      <c r="NZE61" s="108"/>
      <c r="NZF61" s="108"/>
      <c r="NZG61" s="108"/>
      <c r="NZH61" s="108"/>
      <c r="NZI61" s="108"/>
      <c r="NZJ61" s="108"/>
      <c r="NZK61" s="108"/>
      <c r="NZL61" s="108"/>
      <c r="NZM61" s="108"/>
      <c r="NZN61" s="108"/>
      <c r="NZO61" s="108"/>
      <c r="NZP61" s="108"/>
      <c r="NZQ61" s="108"/>
      <c r="NZR61" s="108"/>
      <c r="NZS61" s="108"/>
      <c r="NZT61" s="108"/>
      <c r="NZU61" s="108"/>
      <c r="NZV61" s="108"/>
      <c r="NZW61" s="108"/>
      <c r="NZX61" s="108"/>
      <c r="NZY61" s="108"/>
      <c r="NZZ61" s="108"/>
      <c r="OAA61" s="108"/>
      <c r="OAB61" s="108"/>
      <c r="OAC61" s="108"/>
      <c r="OAD61" s="108"/>
      <c r="OAE61" s="108"/>
      <c r="OAF61" s="108"/>
      <c r="OAG61" s="108"/>
      <c r="OAH61" s="108"/>
      <c r="OAI61" s="108"/>
      <c r="OAJ61" s="108"/>
      <c r="OAK61" s="108"/>
      <c r="OAL61" s="108"/>
      <c r="OAM61" s="108"/>
      <c r="OAN61" s="108"/>
      <c r="OAO61" s="108"/>
      <c r="OAP61" s="108"/>
      <c r="OAQ61" s="108"/>
      <c r="OAR61" s="108"/>
      <c r="OAS61" s="108"/>
      <c r="OAT61" s="108"/>
      <c r="OAU61" s="108"/>
      <c r="OAV61" s="108"/>
      <c r="OAW61" s="108"/>
      <c r="OAX61" s="108"/>
      <c r="OAY61" s="108"/>
      <c r="OAZ61" s="108"/>
      <c r="OBA61" s="108"/>
      <c r="OBB61" s="108"/>
      <c r="OBC61" s="108"/>
      <c r="OBD61" s="108"/>
      <c r="OBE61" s="108"/>
      <c r="OBF61" s="108"/>
      <c r="OBG61" s="108"/>
      <c r="OBH61" s="108"/>
      <c r="OBI61" s="108"/>
      <c r="OBJ61" s="108"/>
      <c r="OBK61" s="108"/>
      <c r="OBL61" s="108"/>
      <c r="OBM61" s="108"/>
      <c r="OBN61" s="108"/>
      <c r="OBO61" s="108"/>
      <c r="OBP61" s="108"/>
      <c r="OBQ61" s="108"/>
      <c r="OBR61" s="108"/>
      <c r="OBS61" s="108"/>
      <c r="OBT61" s="108"/>
      <c r="OBU61" s="108"/>
      <c r="OBV61" s="108"/>
      <c r="OBW61" s="108"/>
      <c r="OBX61" s="108"/>
      <c r="OBY61" s="108"/>
      <c r="OBZ61" s="108"/>
      <c r="OCA61" s="108"/>
      <c r="OCB61" s="108"/>
      <c r="OCC61" s="108"/>
      <c r="OCD61" s="108"/>
      <c r="OCE61" s="108"/>
      <c r="OCF61" s="108"/>
      <c r="OCG61" s="108"/>
      <c r="OCH61" s="108"/>
      <c r="OCI61" s="108"/>
      <c r="OCJ61" s="108"/>
      <c r="OCK61" s="108"/>
      <c r="OCL61" s="108"/>
      <c r="OCM61" s="108"/>
      <c r="OCN61" s="108"/>
      <c r="OCO61" s="108"/>
      <c r="OCP61" s="108"/>
      <c r="OCQ61" s="108"/>
      <c r="OCR61" s="108"/>
      <c r="OCS61" s="108"/>
      <c r="OCT61" s="108"/>
      <c r="OCU61" s="108"/>
      <c r="OCV61" s="108"/>
      <c r="OCW61" s="108"/>
      <c r="OCX61" s="108"/>
      <c r="OCY61" s="108"/>
      <c r="OCZ61" s="108"/>
      <c r="ODA61" s="108"/>
      <c r="ODB61" s="108"/>
      <c r="ODC61" s="108"/>
      <c r="ODD61" s="108"/>
      <c r="ODE61" s="108"/>
      <c r="ODF61" s="108"/>
      <c r="ODG61" s="108"/>
      <c r="ODH61" s="108"/>
      <c r="ODI61" s="108"/>
      <c r="ODJ61" s="108"/>
      <c r="ODK61" s="108"/>
      <c r="ODL61" s="108"/>
      <c r="ODM61" s="108"/>
      <c r="ODN61" s="108"/>
      <c r="ODO61" s="108"/>
      <c r="ODP61" s="108"/>
      <c r="ODQ61" s="108"/>
      <c r="ODR61" s="108"/>
      <c r="ODS61" s="108"/>
      <c r="ODT61" s="108"/>
      <c r="ODU61" s="108"/>
      <c r="ODV61" s="108"/>
      <c r="ODW61" s="108"/>
      <c r="ODX61" s="108"/>
      <c r="ODY61" s="108"/>
      <c r="ODZ61" s="108"/>
      <c r="OEA61" s="108"/>
      <c r="OEB61" s="108"/>
      <c r="OEC61" s="108"/>
      <c r="OED61" s="108"/>
      <c r="OEE61" s="108"/>
      <c r="OEF61" s="108"/>
      <c r="OEG61" s="108"/>
      <c r="OEH61" s="108"/>
      <c r="OEI61" s="108"/>
      <c r="OEJ61" s="108"/>
      <c r="OEK61" s="108"/>
      <c r="OEL61" s="108"/>
      <c r="OEM61" s="108"/>
      <c r="OEN61" s="108"/>
      <c r="OEO61" s="108"/>
      <c r="OEP61" s="108"/>
      <c r="OEQ61" s="108"/>
      <c r="OER61" s="108"/>
      <c r="OES61" s="108"/>
      <c r="OET61" s="108"/>
      <c r="OEU61" s="108"/>
      <c r="OEV61" s="108"/>
      <c r="OEW61" s="108"/>
      <c r="OEX61" s="108"/>
      <c r="OEY61" s="108"/>
      <c r="OEZ61" s="108"/>
      <c r="OFA61" s="108"/>
      <c r="OFB61" s="108"/>
      <c r="OFC61" s="108"/>
      <c r="OFD61" s="108"/>
      <c r="OFE61" s="108"/>
      <c r="OFF61" s="108"/>
      <c r="OFG61" s="108"/>
      <c r="OFH61" s="108"/>
      <c r="OFI61" s="108"/>
      <c r="OFJ61" s="108"/>
      <c r="OFK61" s="108"/>
      <c r="OFL61" s="108"/>
      <c r="OFM61" s="108"/>
      <c r="OFN61" s="108"/>
      <c r="OFO61" s="108"/>
      <c r="OFP61" s="108"/>
      <c r="OFQ61" s="108"/>
      <c r="OFR61" s="108"/>
      <c r="OFS61" s="108"/>
      <c r="OFT61" s="108"/>
      <c r="OFU61" s="108"/>
      <c r="OFV61" s="108"/>
      <c r="OFW61" s="108"/>
      <c r="OFX61" s="108"/>
      <c r="OFY61" s="108"/>
      <c r="OFZ61" s="108"/>
      <c r="OGA61" s="108"/>
      <c r="OGB61" s="108"/>
      <c r="OGC61" s="108"/>
      <c r="OGD61" s="108"/>
      <c r="OGE61" s="108"/>
      <c r="OGF61" s="108"/>
      <c r="OGG61" s="108"/>
      <c r="OGH61" s="108"/>
      <c r="OGI61" s="108"/>
      <c r="OGJ61" s="108"/>
      <c r="OGK61" s="108"/>
      <c r="OGL61" s="108"/>
      <c r="OGM61" s="108"/>
      <c r="OGN61" s="108"/>
      <c r="OGO61" s="108"/>
      <c r="OGP61" s="108"/>
      <c r="OGQ61" s="108"/>
      <c r="OGR61" s="108"/>
      <c r="OGS61" s="108"/>
      <c r="OGT61" s="108"/>
      <c r="OGU61" s="108"/>
      <c r="OGV61" s="108"/>
      <c r="OGW61" s="108"/>
      <c r="OGX61" s="108"/>
      <c r="OGY61" s="108"/>
      <c r="OGZ61" s="108"/>
      <c r="OHA61" s="108"/>
      <c r="OHB61" s="108"/>
      <c r="OHC61" s="108"/>
      <c r="OHD61" s="108"/>
      <c r="OHE61" s="108"/>
      <c r="OHF61" s="108"/>
      <c r="OHG61" s="108"/>
      <c r="OHH61" s="108"/>
      <c r="OHI61" s="108"/>
      <c r="OHJ61" s="108"/>
      <c r="OHK61" s="108"/>
      <c r="OHL61" s="108"/>
      <c r="OHM61" s="108"/>
      <c r="OHN61" s="108"/>
      <c r="OHO61" s="108"/>
      <c r="OHP61" s="108"/>
      <c r="OHQ61" s="108"/>
      <c r="OHR61" s="108"/>
      <c r="OHS61" s="108"/>
      <c r="OHT61" s="108"/>
      <c r="OHU61" s="108"/>
      <c r="OHV61" s="108"/>
      <c r="OHW61" s="108"/>
      <c r="OHX61" s="108"/>
      <c r="OHY61" s="108"/>
      <c r="OHZ61" s="108"/>
      <c r="OIA61" s="108"/>
      <c r="OIB61" s="108"/>
      <c r="OIC61" s="108"/>
      <c r="OID61" s="108"/>
      <c r="OIE61" s="108"/>
      <c r="OIF61" s="108"/>
      <c r="OIG61" s="108"/>
      <c r="OIH61" s="108"/>
      <c r="OII61" s="108"/>
      <c r="OIJ61" s="108"/>
      <c r="OIK61" s="108"/>
      <c r="OIL61" s="108"/>
      <c r="OIM61" s="108"/>
      <c r="OIN61" s="108"/>
      <c r="OIO61" s="108"/>
      <c r="OIP61" s="108"/>
      <c r="OIQ61" s="108"/>
      <c r="OIR61" s="108"/>
      <c r="OIS61" s="108"/>
      <c r="OIT61" s="108"/>
      <c r="OIU61" s="108"/>
      <c r="OIV61" s="108"/>
      <c r="OIW61" s="108"/>
      <c r="OIX61" s="108"/>
      <c r="OIY61" s="108"/>
      <c r="OIZ61" s="108"/>
      <c r="OJA61" s="108"/>
      <c r="OJB61" s="108"/>
      <c r="OJC61" s="108"/>
      <c r="OJD61" s="108"/>
      <c r="OJE61" s="108"/>
      <c r="OJF61" s="108"/>
      <c r="OJG61" s="108"/>
      <c r="OJH61" s="108"/>
      <c r="OJI61" s="108"/>
      <c r="OJJ61" s="108"/>
      <c r="OJK61" s="108"/>
      <c r="OJL61" s="108"/>
      <c r="OJM61" s="108"/>
      <c r="OJN61" s="108"/>
      <c r="OJO61" s="108"/>
      <c r="OJP61" s="108"/>
      <c r="OJQ61" s="108"/>
      <c r="OJR61" s="108"/>
      <c r="OJS61" s="108"/>
      <c r="OJT61" s="108"/>
      <c r="OJU61" s="108"/>
      <c r="OJV61" s="108"/>
      <c r="OJW61" s="108"/>
      <c r="OJX61" s="108"/>
      <c r="OJY61" s="108"/>
      <c r="OJZ61" s="108"/>
      <c r="OKA61" s="108"/>
      <c r="OKB61" s="108"/>
      <c r="OKC61" s="108"/>
      <c r="OKD61" s="108"/>
      <c r="OKE61" s="108"/>
      <c r="OKF61" s="108"/>
      <c r="OKG61" s="108"/>
      <c r="OKH61" s="108"/>
      <c r="OKI61" s="108"/>
      <c r="OKJ61" s="108"/>
      <c r="OKK61" s="108"/>
      <c r="OKL61" s="108"/>
      <c r="OKM61" s="108"/>
      <c r="OKN61" s="108"/>
      <c r="OKO61" s="108"/>
      <c r="OKP61" s="108"/>
      <c r="OKQ61" s="108"/>
      <c r="OKR61" s="108"/>
      <c r="OKS61" s="108"/>
      <c r="OKT61" s="108"/>
      <c r="OKU61" s="108"/>
      <c r="OKV61" s="108"/>
      <c r="OKW61" s="108"/>
      <c r="OKX61" s="108"/>
      <c r="OKY61" s="108"/>
      <c r="OKZ61" s="108"/>
      <c r="OLA61" s="108"/>
      <c r="OLB61" s="108"/>
      <c r="OLC61" s="108"/>
      <c r="OLD61" s="108"/>
      <c r="OLE61" s="108"/>
      <c r="OLF61" s="108"/>
      <c r="OLG61" s="108"/>
      <c r="OLH61" s="108"/>
      <c r="OLI61" s="108"/>
      <c r="OLJ61" s="108"/>
      <c r="OLK61" s="108"/>
      <c r="OLL61" s="108"/>
      <c r="OLM61" s="108"/>
      <c r="OLN61" s="108"/>
      <c r="OLO61" s="108"/>
      <c r="OLP61" s="108"/>
      <c r="OLQ61" s="108"/>
      <c r="OLR61" s="108"/>
      <c r="OLS61" s="108"/>
      <c r="OLT61" s="108"/>
      <c r="OLU61" s="108"/>
      <c r="OLV61" s="108"/>
      <c r="OLW61" s="108"/>
      <c r="OLX61" s="108"/>
      <c r="OLY61" s="108"/>
      <c r="OLZ61" s="108"/>
      <c r="OMA61" s="108"/>
      <c r="OMB61" s="108"/>
      <c r="OMC61" s="108"/>
      <c r="OMD61" s="108"/>
      <c r="OME61" s="108"/>
      <c r="OMF61" s="108"/>
      <c r="OMG61" s="108"/>
      <c r="OMH61" s="108"/>
      <c r="OMI61" s="108"/>
      <c r="OMJ61" s="108"/>
      <c r="OMK61" s="108"/>
      <c r="OML61" s="108"/>
      <c r="OMM61" s="108"/>
      <c r="OMN61" s="108"/>
      <c r="OMO61" s="108"/>
      <c r="OMP61" s="108"/>
      <c r="OMQ61" s="108"/>
      <c r="OMR61" s="108"/>
      <c r="OMS61" s="108"/>
      <c r="OMT61" s="108"/>
      <c r="OMU61" s="108"/>
      <c r="OMV61" s="108"/>
      <c r="OMW61" s="108"/>
      <c r="OMX61" s="108"/>
      <c r="OMY61" s="108"/>
      <c r="OMZ61" s="108"/>
      <c r="ONA61" s="108"/>
      <c r="ONB61" s="108"/>
      <c r="ONC61" s="108"/>
      <c r="OND61" s="108"/>
      <c r="ONE61" s="108"/>
      <c r="ONF61" s="108"/>
      <c r="ONG61" s="108"/>
      <c r="ONH61" s="108"/>
      <c r="ONI61" s="108"/>
      <c r="ONJ61" s="108"/>
      <c r="ONK61" s="108"/>
      <c r="ONL61" s="108"/>
      <c r="ONM61" s="108"/>
      <c r="ONN61" s="108"/>
      <c r="ONO61" s="108"/>
      <c r="ONP61" s="108"/>
      <c r="ONQ61" s="108"/>
      <c r="ONR61" s="108"/>
      <c r="ONS61" s="108"/>
      <c r="ONT61" s="108"/>
      <c r="ONU61" s="108"/>
      <c r="ONV61" s="108"/>
      <c r="ONW61" s="108"/>
      <c r="ONX61" s="108"/>
      <c r="ONY61" s="108"/>
      <c r="ONZ61" s="108"/>
      <c r="OOA61" s="108"/>
      <c r="OOB61" s="108"/>
      <c r="OOC61" s="108"/>
      <c r="OOD61" s="108"/>
      <c r="OOE61" s="108"/>
      <c r="OOF61" s="108"/>
      <c r="OOG61" s="108"/>
      <c r="OOH61" s="108"/>
      <c r="OOI61" s="108"/>
      <c r="OOJ61" s="108"/>
      <c r="OOK61" s="108"/>
      <c r="OOL61" s="108"/>
      <c r="OOM61" s="108"/>
      <c r="OON61" s="108"/>
      <c r="OOO61" s="108"/>
      <c r="OOP61" s="108"/>
      <c r="OOQ61" s="108"/>
      <c r="OOR61" s="108"/>
      <c r="OOS61" s="108"/>
      <c r="OOT61" s="108"/>
      <c r="OOU61" s="108"/>
      <c r="OOV61" s="108"/>
      <c r="OOW61" s="108"/>
      <c r="OOX61" s="108"/>
      <c r="OOY61" s="108"/>
      <c r="OOZ61" s="108"/>
      <c r="OPA61" s="108"/>
      <c r="OPB61" s="108"/>
      <c r="OPC61" s="108"/>
      <c r="OPD61" s="108"/>
      <c r="OPE61" s="108"/>
      <c r="OPF61" s="108"/>
      <c r="OPG61" s="108"/>
      <c r="OPH61" s="108"/>
      <c r="OPI61" s="108"/>
      <c r="OPJ61" s="108"/>
      <c r="OPK61" s="108"/>
      <c r="OPL61" s="108"/>
      <c r="OPM61" s="108"/>
      <c r="OPN61" s="108"/>
      <c r="OPO61" s="108"/>
      <c r="OPP61" s="108"/>
      <c r="OPQ61" s="108"/>
      <c r="OPR61" s="108"/>
      <c r="OPS61" s="108"/>
      <c r="OPT61" s="108"/>
      <c r="OPU61" s="108"/>
      <c r="OPV61" s="108"/>
      <c r="OPW61" s="108"/>
      <c r="OPX61" s="108"/>
      <c r="OPY61" s="108"/>
      <c r="OPZ61" s="108"/>
      <c r="OQA61" s="108"/>
      <c r="OQB61" s="108"/>
      <c r="OQC61" s="108"/>
      <c r="OQD61" s="108"/>
      <c r="OQE61" s="108"/>
      <c r="OQF61" s="108"/>
      <c r="OQG61" s="108"/>
      <c r="OQH61" s="108"/>
      <c r="OQI61" s="108"/>
      <c r="OQJ61" s="108"/>
      <c r="OQK61" s="108"/>
      <c r="OQL61" s="108"/>
      <c r="OQM61" s="108"/>
      <c r="OQN61" s="108"/>
      <c r="OQO61" s="108"/>
      <c r="OQP61" s="108"/>
      <c r="OQQ61" s="108"/>
      <c r="OQR61" s="108"/>
      <c r="OQS61" s="108"/>
      <c r="OQT61" s="108"/>
      <c r="OQU61" s="108"/>
      <c r="OQV61" s="108"/>
      <c r="OQW61" s="108"/>
      <c r="OQX61" s="108"/>
      <c r="OQY61" s="108"/>
      <c r="OQZ61" s="108"/>
      <c r="ORA61" s="108"/>
      <c r="ORB61" s="108"/>
      <c r="ORC61" s="108"/>
      <c r="ORD61" s="108"/>
      <c r="ORE61" s="108"/>
      <c r="ORF61" s="108"/>
      <c r="ORG61" s="108"/>
      <c r="ORH61" s="108"/>
      <c r="ORI61" s="108"/>
      <c r="ORJ61" s="108"/>
      <c r="ORK61" s="108"/>
      <c r="ORL61" s="108"/>
      <c r="ORM61" s="108"/>
      <c r="ORN61" s="108"/>
      <c r="ORO61" s="108"/>
      <c r="ORP61" s="108"/>
      <c r="ORQ61" s="108"/>
      <c r="ORR61" s="108"/>
      <c r="ORS61" s="108"/>
      <c r="ORT61" s="108"/>
      <c r="ORU61" s="108"/>
      <c r="ORV61" s="108"/>
      <c r="ORW61" s="108"/>
      <c r="ORX61" s="108"/>
      <c r="ORY61" s="108"/>
      <c r="ORZ61" s="108"/>
      <c r="OSA61" s="108"/>
      <c r="OSB61" s="108"/>
      <c r="OSC61" s="108"/>
      <c r="OSD61" s="108"/>
      <c r="OSE61" s="108"/>
      <c r="OSF61" s="108"/>
      <c r="OSG61" s="108"/>
      <c r="OSH61" s="108"/>
      <c r="OSI61" s="108"/>
      <c r="OSJ61" s="108"/>
      <c r="OSK61" s="108"/>
      <c r="OSL61" s="108"/>
      <c r="OSM61" s="108"/>
      <c r="OSN61" s="108"/>
      <c r="OSO61" s="108"/>
      <c r="OSP61" s="108"/>
      <c r="OSQ61" s="108"/>
      <c r="OSR61" s="108"/>
      <c r="OSS61" s="108"/>
      <c r="OST61" s="108"/>
      <c r="OSU61" s="108"/>
      <c r="OSV61" s="108"/>
      <c r="OSW61" s="108"/>
      <c r="OSX61" s="108"/>
      <c r="OSY61" s="108"/>
      <c r="OSZ61" s="108"/>
      <c r="OTA61" s="108"/>
      <c r="OTB61" s="108"/>
      <c r="OTC61" s="108"/>
      <c r="OTD61" s="108"/>
      <c r="OTE61" s="108"/>
      <c r="OTF61" s="108"/>
      <c r="OTG61" s="108"/>
      <c r="OTH61" s="108"/>
      <c r="OTI61" s="108"/>
      <c r="OTJ61" s="108"/>
      <c r="OTK61" s="108"/>
      <c r="OTL61" s="108"/>
      <c r="OTM61" s="108"/>
      <c r="OTN61" s="108"/>
      <c r="OTO61" s="108"/>
      <c r="OTP61" s="108"/>
      <c r="OTQ61" s="108"/>
      <c r="OTR61" s="108"/>
      <c r="OTS61" s="108"/>
      <c r="OTT61" s="108"/>
      <c r="OTU61" s="108"/>
      <c r="OTV61" s="108"/>
      <c r="OTW61" s="108"/>
      <c r="OTX61" s="108"/>
      <c r="OTY61" s="108"/>
      <c r="OTZ61" s="108"/>
      <c r="OUA61" s="108"/>
      <c r="OUB61" s="108"/>
      <c r="OUC61" s="108"/>
      <c r="OUD61" s="108"/>
      <c r="OUE61" s="108"/>
      <c r="OUF61" s="108"/>
      <c r="OUG61" s="108"/>
      <c r="OUH61" s="108"/>
      <c r="OUI61" s="108"/>
      <c r="OUJ61" s="108"/>
      <c r="OUK61" s="108"/>
      <c r="OUL61" s="108"/>
      <c r="OUM61" s="108"/>
      <c r="OUN61" s="108"/>
      <c r="OUO61" s="108"/>
      <c r="OUP61" s="108"/>
      <c r="OUQ61" s="108"/>
      <c r="OUR61" s="108"/>
      <c r="OUS61" s="108"/>
      <c r="OUT61" s="108"/>
      <c r="OUU61" s="108"/>
      <c r="OUV61" s="108"/>
      <c r="OUW61" s="108"/>
      <c r="OUX61" s="108"/>
      <c r="OUY61" s="108"/>
      <c r="OUZ61" s="108"/>
      <c r="OVA61" s="108"/>
      <c r="OVB61" s="108"/>
      <c r="OVC61" s="108"/>
      <c r="OVD61" s="108"/>
      <c r="OVE61" s="108"/>
      <c r="OVF61" s="108"/>
      <c r="OVG61" s="108"/>
      <c r="OVH61" s="108"/>
      <c r="OVI61" s="108"/>
      <c r="OVJ61" s="108"/>
      <c r="OVK61" s="108"/>
      <c r="OVL61" s="108"/>
      <c r="OVM61" s="108"/>
      <c r="OVN61" s="108"/>
      <c r="OVO61" s="108"/>
      <c r="OVP61" s="108"/>
      <c r="OVQ61" s="108"/>
      <c r="OVR61" s="108"/>
      <c r="OVS61" s="108"/>
      <c r="OVT61" s="108"/>
      <c r="OVU61" s="108"/>
      <c r="OVV61" s="108"/>
      <c r="OVW61" s="108"/>
      <c r="OVX61" s="108"/>
      <c r="OVY61" s="108"/>
      <c r="OVZ61" s="108"/>
      <c r="OWA61" s="108"/>
      <c r="OWB61" s="108"/>
      <c r="OWC61" s="108"/>
      <c r="OWD61" s="108"/>
      <c r="OWE61" s="108"/>
      <c r="OWF61" s="108"/>
      <c r="OWG61" s="108"/>
      <c r="OWH61" s="108"/>
      <c r="OWI61" s="108"/>
      <c r="OWJ61" s="108"/>
      <c r="OWK61" s="108"/>
      <c r="OWL61" s="108"/>
      <c r="OWM61" s="108"/>
      <c r="OWN61" s="108"/>
      <c r="OWO61" s="108"/>
      <c r="OWP61" s="108"/>
      <c r="OWQ61" s="108"/>
      <c r="OWR61" s="108"/>
      <c r="OWS61" s="108"/>
      <c r="OWT61" s="108"/>
      <c r="OWU61" s="108"/>
      <c r="OWV61" s="108"/>
      <c r="OWW61" s="108"/>
      <c r="OWX61" s="108"/>
      <c r="OWY61" s="108"/>
      <c r="OWZ61" s="108"/>
      <c r="OXA61" s="108"/>
      <c r="OXB61" s="108"/>
      <c r="OXC61" s="108"/>
      <c r="OXD61" s="108"/>
      <c r="OXE61" s="108"/>
      <c r="OXF61" s="108"/>
      <c r="OXG61" s="108"/>
      <c r="OXH61" s="108"/>
      <c r="OXI61" s="108"/>
      <c r="OXJ61" s="108"/>
      <c r="OXK61" s="108"/>
      <c r="OXL61" s="108"/>
      <c r="OXM61" s="108"/>
      <c r="OXN61" s="108"/>
      <c r="OXO61" s="108"/>
      <c r="OXP61" s="108"/>
      <c r="OXQ61" s="108"/>
      <c r="OXR61" s="108"/>
      <c r="OXS61" s="108"/>
      <c r="OXT61" s="108"/>
      <c r="OXU61" s="108"/>
      <c r="OXV61" s="108"/>
      <c r="OXW61" s="108"/>
      <c r="OXX61" s="108"/>
      <c r="OXY61" s="108"/>
      <c r="OXZ61" s="108"/>
      <c r="OYA61" s="108"/>
      <c r="OYB61" s="108"/>
      <c r="OYC61" s="108"/>
      <c r="OYD61" s="108"/>
      <c r="OYE61" s="108"/>
      <c r="OYF61" s="108"/>
      <c r="OYG61" s="108"/>
      <c r="OYH61" s="108"/>
      <c r="OYI61" s="108"/>
      <c r="OYJ61" s="108"/>
      <c r="OYK61" s="108"/>
      <c r="OYL61" s="108"/>
      <c r="OYM61" s="108"/>
      <c r="OYN61" s="108"/>
      <c r="OYO61" s="108"/>
      <c r="OYP61" s="108"/>
      <c r="OYQ61" s="108"/>
      <c r="OYR61" s="108"/>
      <c r="OYS61" s="108"/>
      <c r="OYT61" s="108"/>
      <c r="OYU61" s="108"/>
      <c r="OYV61" s="108"/>
      <c r="OYW61" s="108"/>
      <c r="OYX61" s="108"/>
      <c r="OYY61" s="108"/>
      <c r="OYZ61" s="108"/>
      <c r="OZA61" s="108"/>
      <c r="OZB61" s="108"/>
      <c r="OZC61" s="108"/>
      <c r="OZD61" s="108"/>
      <c r="OZE61" s="108"/>
      <c r="OZF61" s="108"/>
      <c r="OZG61" s="108"/>
      <c r="OZH61" s="108"/>
      <c r="OZI61" s="108"/>
      <c r="OZJ61" s="108"/>
      <c r="OZK61" s="108"/>
      <c r="OZL61" s="108"/>
      <c r="OZM61" s="108"/>
      <c r="OZN61" s="108"/>
      <c r="OZO61" s="108"/>
      <c r="OZP61" s="108"/>
      <c r="OZQ61" s="108"/>
      <c r="OZR61" s="108"/>
      <c r="OZS61" s="108"/>
      <c r="OZT61" s="108"/>
      <c r="OZU61" s="108"/>
      <c r="OZV61" s="108"/>
      <c r="OZW61" s="108"/>
      <c r="OZX61" s="108"/>
      <c r="OZY61" s="108"/>
      <c r="OZZ61" s="108"/>
      <c r="PAA61" s="108"/>
      <c r="PAB61" s="108"/>
      <c r="PAC61" s="108"/>
      <c r="PAD61" s="108"/>
      <c r="PAE61" s="108"/>
      <c r="PAF61" s="108"/>
      <c r="PAG61" s="108"/>
      <c r="PAH61" s="108"/>
      <c r="PAI61" s="108"/>
      <c r="PAJ61" s="108"/>
      <c r="PAK61" s="108"/>
      <c r="PAL61" s="108"/>
      <c r="PAM61" s="108"/>
      <c r="PAN61" s="108"/>
      <c r="PAO61" s="108"/>
      <c r="PAP61" s="108"/>
      <c r="PAQ61" s="108"/>
      <c r="PAR61" s="108"/>
      <c r="PAS61" s="108"/>
      <c r="PAT61" s="108"/>
      <c r="PAU61" s="108"/>
      <c r="PAV61" s="108"/>
      <c r="PAW61" s="108"/>
      <c r="PAX61" s="108"/>
      <c r="PAY61" s="108"/>
      <c r="PAZ61" s="108"/>
      <c r="PBA61" s="108"/>
      <c r="PBB61" s="108"/>
      <c r="PBC61" s="108"/>
      <c r="PBD61" s="108"/>
      <c r="PBE61" s="108"/>
      <c r="PBF61" s="108"/>
      <c r="PBG61" s="108"/>
      <c r="PBH61" s="108"/>
      <c r="PBI61" s="108"/>
      <c r="PBJ61" s="108"/>
      <c r="PBK61" s="108"/>
      <c r="PBL61" s="108"/>
      <c r="PBM61" s="108"/>
      <c r="PBN61" s="108"/>
      <c r="PBO61" s="108"/>
      <c r="PBP61" s="108"/>
      <c r="PBQ61" s="108"/>
      <c r="PBR61" s="108"/>
      <c r="PBS61" s="108"/>
      <c r="PBT61" s="108"/>
      <c r="PBU61" s="108"/>
      <c r="PBV61" s="108"/>
      <c r="PBW61" s="108"/>
      <c r="PBX61" s="108"/>
      <c r="PBY61" s="108"/>
      <c r="PBZ61" s="108"/>
      <c r="PCA61" s="108"/>
      <c r="PCB61" s="108"/>
      <c r="PCC61" s="108"/>
      <c r="PCD61" s="108"/>
      <c r="PCE61" s="108"/>
      <c r="PCF61" s="108"/>
      <c r="PCG61" s="108"/>
      <c r="PCH61" s="108"/>
      <c r="PCI61" s="108"/>
      <c r="PCJ61" s="108"/>
      <c r="PCK61" s="108"/>
      <c r="PCL61" s="108"/>
      <c r="PCM61" s="108"/>
      <c r="PCN61" s="108"/>
      <c r="PCO61" s="108"/>
      <c r="PCP61" s="108"/>
      <c r="PCQ61" s="108"/>
      <c r="PCR61" s="108"/>
      <c r="PCS61" s="108"/>
      <c r="PCT61" s="108"/>
      <c r="PCU61" s="108"/>
      <c r="PCV61" s="108"/>
      <c r="PCW61" s="108"/>
      <c r="PCX61" s="108"/>
      <c r="PCY61" s="108"/>
      <c r="PCZ61" s="108"/>
      <c r="PDA61" s="108"/>
      <c r="PDB61" s="108"/>
      <c r="PDC61" s="108"/>
      <c r="PDD61" s="108"/>
      <c r="PDE61" s="108"/>
      <c r="PDF61" s="108"/>
      <c r="PDG61" s="108"/>
      <c r="PDH61" s="108"/>
      <c r="PDI61" s="108"/>
      <c r="PDJ61" s="108"/>
      <c r="PDK61" s="108"/>
      <c r="PDL61" s="108"/>
      <c r="PDM61" s="108"/>
      <c r="PDN61" s="108"/>
      <c r="PDO61" s="108"/>
      <c r="PDP61" s="108"/>
      <c r="PDQ61" s="108"/>
      <c r="PDR61" s="108"/>
      <c r="PDS61" s="108"/>
      <c r="PDT61" s="108"/>
      <c r="PDU61" s="108"/>
      <c r="PDV61" s="108"/>
      <c r="PDW61" s="108"/>
      <c r="PDX61" s="108"/>
      <c r="PDY61" s="108"/>
      <c r="PDZ61" s="108"/>
      <c r="PEA61" s="108"/>
      <c r="PEB61" s="108"/>
      <c r="PEC61" s="108"/>
      <c r="PED61" s="108"/>
      <c r="PEE61" s="108"/>
      <c r="PEF61" s="108"/>
      <c r="PEG61" s="108"/>
      <c r="PEH61" s="108"/>
      <c r="PEI61" s="108"/>
      <c r="PEJ61" s="108"/>
      <c r="PEK61" s="108"/>
      <c r="PEL61" s="108"/>
      <c r="PEM61" s="108"/>
      <c r="PEN61" s="108"/>
      <c r="PEO61" s="108"/>
      <c r="PEP61" s="108"/>
      <c r="PEQ61" s="108"/>
      <c r="PER61" s="108"/>
      <c r="PES61" s="108"/>
      <c r="PET61" s="108"/>
      <c r="PEU61" s="108"/>
      <c r="PEV61" s="108"/>
      <c r="PEW61" s="108"/>
      <c r="PEX61" s="108"/>
      <c r="PEY61" s="108"/>
      <c r="PEZ61" s="108"/>
      <c r="PFA61" s="108"/>
      <c r="PFB61" s="108"/>
      <c r="PFC61" s="108"/>
      <c r="PFD61" s="108"/>
      <c r="PFE61" s="108"/>
      <c r="PFF61" s="108"/>
      <c r="PFG61" s="108"/>
      <c r="PFH61" s="108"/>
      <c r="PFI61" s="108"/>
      <c r="PFJ61" s="108"/>
      <c r="PFK61" s="108"/>
      <c r="PFL61" s="108"/>
      <c r="PFM61" s="108"/>
      <c r="PFN61" s="108"/>
      <c r="PFO61" s="108"/>
      <c r="PFP61" s="108"/>
      <c r="PFQ61" s="108"/>
      <c r="PFR61" s="108"/>
      <c r="PFS61" s="108"/>
      <c r="PFT61" s="108"/>
      <c r="PFU61" s="108"/>
      <c r="PFV61" s="108"/>
      <c r="PFW61" s="108"/>
      <c r="PFX61" s="108"/>
      <c r="PFY61" s="108"/>
      <c r="PFZ61" s="108"/>
      <c r="PGA61" s="108"/>
      <c r="PGB61" s="108"/>
      <c r="PGC61" s="108"/>
      <c r="PGD61" s="108"/>
      <c r="PGE61" s="108"/>
      <c r="PGF61" s="108"/>
      <c r="PGG61" s="108"/>
      <c r="PGH61" s="108"/>
      <c r="PGI61" s="108"/>
      <c r="PGJ61" s="108"/>
      <c r="PGK61" s="108"/>
      <c r="PGL61" s="108"/>
      <c r="PGM61" s="108"/>
      <c r="PGN61" s="108"/>
      <c r="PGO61" s="108"/>
      <c r="PGP61" s="108"/>
      <c r="PGQ61" s="108"/>
      <c r="PGR61" s="108"/>
      <c r="PGS61" s="108"/>
      <c r="PGT61" s="108"/>
      <c r="PGU61" s="108"/>
      <c r="PGV61" s="108"/>
      <c r="PGW61" s="108"/>
      <c r="PGX61" s="108"/>
      <c r="PGY61" s="108"/>
      <c r="PGZ61" s="108"/>
      <c r="PHA61" s="108"/>
      <c r="PHB61" s="108"/>
      <c r="PHC61" s="108"/>
      <c r="PHD61" s="108"/>
      <c r="PHE61" s="108"/>
      <c r="PHF61" s="108"/>
      <c r="PHG61" s="108"/>
      <c r="PHH61" s="108"/>
      <c r="PHI61" s="108"/>
      <c r="PHJ61" s="108"/>
      <c r="PHK61" s="108"/>
      <c r="PHL61" s="108"/>
      <c r="PHM61" s="108"/>
      <c r="PHN61" s="108"/>
      <c r="PHO61" s="108"/>
      <c r="PHP61" s="108"/>
      <c r="PHQ61" s="108"/>
      <c r="PHR61" s="108"/>
      <c r="PHS61" s="108"/>
      <c r="PHT61" s="108"/>
      <c r="PHU61" s="108"/>
      <c r="PHV61" s="108"/>
      <c r="PHW61" s="108"/>
      <c r="PHX61" s="108"/>
      <c r="PHY61" s="108"/>
      <c r="PHZ61" s="108"/>
      <c r="PIA61" s="108"/>
      <c r="PIB61" s="108"/>
      <c r="PIC61" s="108"/>
      <c r="PID61" s="108"/>
      <c r="PIE61" s="108"/>
      <c r="PIF61" s="108"/>
      <c r="PIG61" s="108"/>
      <c r="PIH61" s="108"/>
      <c r="PII61" s="108"/>
      <c r="PIJ61" s="108"/>
      <c r="PIK61" s="108"/>
      <c r="PIL61" s="108"/>
      <c r="PIM61" s="108"/>
      <c r="PIN61" s="108"/>
      <c r="PIO61" s="108"/>
      <c r="PIP61" s="108"/>
      <c r="PIQ61" s="108"/>
      <c r="PIR61" s="108"/>
      <c r="PIS61" s="108"/>
      <c r="PIT61" s="108"/>
      <c r="PIU61" s="108"/>
      <c r="PIV61" s="108"/>
      <c r="PIW61" s="108"/>
      <c r="PIX61" s="108"/>
      <c r="PIY61" s="108"/>
      <c r="PIZ61" s="108"/>
      <c r="PJA61" s="108"/>
      <c r="PJB61" s="108"/>
      <c r="PJC61" s="108"/>
      <c r="PJD61" s="108"/>
      <c r="PJE61" s="108"/>
      <c r="PJF61" s="108"/>
      <c r="PJG61" s="108"/>
      <c r="PJH61" s="108"/>
      <c r="PJI61" s="108"/>
      <c r="PJJ61" s="108"/>
      <c r="PJK61" s="108"/>
      <c r="PJL61" s="108"/>
      <c r="PJM61" s="108"/>
      <c r="PJN61" s="108"/>
      <c r="PJO61" s="108"/>
      <c r="PJP61" s="108"/>
      <c r="PJQ61" s="108"/>
      <c r="PJR61" s="108"/>
      <c r="PJS61" s="108"/>
      <c r="PJT61" s="108"/>
      <c r="PJU61" s="108"/>
      <c r="PJV61" s="108"/>
      <c r="PJW61" s="108"/>
      <c r="PJX61" s="108"/>
      <c r="PJY61" s="108"/>
      <c r="PJZ61" s="108"/>
      <c r="PKA61" s="108"/>
      <c r="PKB61" s="108"/>
      <c r="PKC61" s="108"/>
      <c r="PKD61" s="108"/>
      <c r="PKE61" s="108"/>
      <c r="PKF61" s="108"/>
      <c r="PKG61" s="108"/>
      <c r="PKH61" s="108"/>
      <c r="PKI61" s="108"/>
      <c r="PKJ61" s="108"/>
      <c r="PKK61" s="108"/>
      <c r="PKL61" s="108"/>
      <c r="PKM61" s="108"/>
      <c r="PKN61" s="108"/>
      <c r="PKO61" s="108"/>
      <c r="PKP61" s="108"/>
      <c r="PKQ61" s="108"/>
      <c r="PKR61" s="108"/>
      <c r="PKS61" s="108"/>
      <c r="PKT61" s="108"/>
      <c r="PKU61" s="108"/>
      <c r="PKV61" s="108"/>
      <c r="PKW61" s="108"/>
      <c r="PKX61" s="108"/>
      <c r="PKY61" s="108"/>
      <c r="PKZ61" s="108"/>
      <c r="PLA61" s="108"/>
      <c r="PLB61" s="108"/>
      <c r="PLC61" s="108"/>
      <c r="PLD61" s="108"/>
      <c r="PLE61" s="108"/>
      <c r="PLF61" s="108"/>
      <c r="PLG61" s="108"/>
      <c r="PLH61" s="108"/>
      <c r="PLI61" s="108"/>
      <c r="PLJ61" s="108"/>
      <c r="PLK61" s="108"/>
      <c r="PLL61" s="108"/>
      <c r="PLM61" s="108"/>
      <c r="PLN61" s="108"/>
      <c r="PLO61" s="108"/>
      <c r="PLP61" s="108"/>
      <c r="PLQ61" s="108"/>
      <c r="PLR61" s="108"/>
      <c r="PLS61" s="108"/>
      <c r="PLT61" s="108"/>
      <c r="PLU61" s="108"/>
      <c r="PLV61" s="108"/>
      <c r="PLW61" s="108"/>
      <c r="PLX61" s="108"/>
      <c r="PLY61" s="108"/>
      <c r="PLZ61" s="108"/>
      <c r="PMA61" s="108"/>
      <c r="PMB61" s="108"/>
      <c r="PMC61" s="108"/>
      <c r="PMD61" s="108"/>
      <c r="PME61" s="108"/>
      <c r="PMF61" s="108"/>
      <c r="PMG61" s="108"/>
      <c r="PMH61" s="108"/>
      <c r="PMI61" s="108"/>
      <c r="PMJ61" s="108"/>
      <c r="PMK61" s="108"/>
      <c r="PML61" s="108"/>
      <c r="PMM61" s="108"/>
      <c r="PMN61" s="108"/>
      <c r="PMO61" s="108"/>
      <c r="PMP61" s="108"/>
      <c r="PMQ61" s="108"/>
      <c r="PMR61" s="108"/>
      <c r="PMS61" s="108"/>
      <c r="PMT61" s="108"/>
      <c r="PMU61" s="108"/>
      <c r="PMV61" s="108"/>
      <c r="PMW61" s="108"/>
      <c r="PMX61" s="108"/>
      <c r="PMY61" s="108"/>
      <c r="PMZ61" s="108"/>
      <c r="PNA61" s="108"/>
      <c r="PNB61" s="108"/>
      <c r="PNC61" s="108"/>
      <c r="PND61" s="108"/>
      <c r="PNE61" s="108"/>
      <c r="PNF61" s="108"/>
      <c r="PNG61" s="108"/>
      <c r="PNH61" s="108"/>
      <c r="PNI61" s="108"/>
      <c r="PNJ61" s="108"/>
      <c r="PNK61" s="108"/>
      <c r="PNL61" s="108"/>
      <c r="PNM61" s="108"/>
      <c r="PNN61" s="108"/>
      <c r="PNO61" s="108"/>
      <c r="PNP61" s="108"/>
      <c r="PNQ61" s="108"/>
      <c r="PNR61" s="108"/>
      <c r="PNS61" s="108"/>
      <c r="PNT61" s="108"/>
      <c r="PNU61" s="108"/>
      <c r="PNV61" s="108"/>
      <c r="PNW61" s="108"/>
      <c r="PNX61" s="108"/>
      <c r="PNY61" s="108"/>
      <c r="PNZ61" s="108"/>
      <c r="POA61" s="108"/>
      <c r="POB61" s="108"/>
      <c r="POC61" s="108"/>
      <c r="POD61" s="108"/>
      <c r="POE61" s="108"/>
      <c r="POF61" s="108"/>
      <c r="POG61" s="108"/>
      <c r="POH61" s="108"/>
      <c r="POI61" s="108"/>
      <c r="POJ61" s="108"/>
      <c r="POK61" s="108"/>
      <c r="POL61" s="108"/>
      <c r="POM61" s="108"/>
      <c r="PON61" s="108"/>
      <c r="POO61" s="108"/>
      <c r="POP61" s="108"/>
      <c r="POQ61" s="108"/>
      <c r="POR61" s="108"/>
      <c r="POS61" s="108"/>
      <c r="POT61" s="108"/>
      <c r="POU61" s="108"/>
      <c r="POV61" s="108"/>
      <c r="POW61" s="108"/>
      <c r="POX61" s="108"/>
      <c r="POY61" s="108"/>
      <c r="POZ61" s="108"/>
      <c r="PPA61" s="108"/>
      <c r="PPB61" s="108"/>
      <c r="PPC61" s="108"/>
      <c r="PPD61" s="108"/>
      <c r="PPE61" s="108"/>
      <c r="PPF61" s="108"/>
      <c r="PPG61" s="108"/>
      <c r="PPH61" s="108"/>
      <c r="PPI61" s="108"/>
      <c r="PPJ61" s="108"/>
      <c r="PPK61" s="108"/>
      <c r="PPL61" s="108"/>
      <c r="PPM61" s="108"/>
      <c r="PPN61" s="108"/>
      <c r="PPO61" s="108"/>
      <c r="PPP61" s="108"/>
      <c r="PPQ61" s="108"/>
      <c r="PPR61" s="108"/>
      <c r="PPS61" s="108"/>
      <c r="PPT61" s="108"/>
      <c r="PPU61" s="108"/>
      <c r="PPV61" s="108"/>
      <c r="PPW61" s="108"/>
      <c r="PPX61" s="108"/>
      <c r="PPY61" s="108"/>
      <c r="PPZ61" s="108"/>
      <c r="PQA61" s="108"/>
      <c r="PQB61" s="108"/>
      <c r="PQC61" s="108"/>
      <c r="PQD61" s="108"/>
      <c r="PQE61" s="108"/>
      <c r="PQF61" s="108"/>
      <c r="PQG61" s="108"/>
      <c r="PQH61" s="108"/>
      <c r="PQI61" s="108"/>
      <c r="PQJ61" s="108"/>
      <c r="PQK61" s="108"/>
      <c r="PQL61" s="108"/>
      <c r="PQM61" s="108"/>
      <c r="PQN61" s="108"/>
      <c r="PQO61" s="108"/>
      <c r="PQP61" s="108"/>
      <c r="PQQ61" s="108"/>
      <c r="PQR61" s="108"/>
      <c r="PQS61" s="108"/>
      <c r="PQT61" s="108"/>
      <c r="PQU61" s="108"/>
      <c r="PQV61" s="108"/>
      <c r="PQW61" s="108"/>
      <c r="PQX61" s="108"/>
      <c r="PQY61" s="108"/>
      <c r="PQZ61" s="108"/>
      <c r="PRA61" s="108"/>
      <c r="PRB61" s="108"/>
      <c r="PRC61" s="108"/>
      <c r="PRD61" s="108"/>
      <c r="PRE61" s="108"/>
      <c r="PRF61" s="108"/>
      <c r="PRG61" s="108"/>
      <c r="PRH61" s="108"/>
      <c r="PRI61" s="108"/>
      <c r="PRJ61" s="108"/>
      <c r="PRK61" s="108"/>
      <c r="PRL61" s="108"/>
      <c r="PRM61" s="108"/>
      <c r="PRN61" s="108"/>
      <c r="PRO61" s="108"/>
      <c r="PRP61" s="108"/>
      <c r="PRQ61" s="108"/>
      <c r="PRR61" s="108"/>
      <c r="PRS61" s="108"/>
      <c r="PRT61" s="108"/>
      <c r="PRU61" s="108"/>
      <c r="PRV61" s="108"/>
      <c r="PRW61" s="108"/>
      <c r="PRX61" s="108"/>
      <c r="PRY61" s="108"/>
      <c r="PRZ61" s="108"/>
      <c r="PSA61" s="108"/>
      <c r="PSB61" s="108"/>
      <c r="PSC61" s="108"/>
      <c r="PSD61" s="108"/>
      <c r="PSE61" s="108"/>
      <c r="PSF61" s="108"/>
      <c r="PSG61" s="108"/>
      <c r="PSH61" s="108"/>
      <c r="PSI61" s="108"/>
      <c r="PSJ61" s="108"/>
      <c r="PSK61" s="108"/>
      <c r="PSL61" s="108"/>
      <c r="PSM61" s="108"/>
      <c r="PSN61" s="108"/>
      <c r="PSO61" s="108"/>
      <c r="PSP61" s="108"/>
      <c r="PSQ61" s="108"/>
      <c r="PSR61" s="108"/>
      <c r="PSS61" s="108"/>
      <c r="PST61" s="108"/>
      <c r="PSU61" s="108"/>
      <c r="PSV61" s="108"/>
      <c r="PSW61" s="108"/>
      <c r="PSX61" s="108"/>
      <c r="PSY61" s="108"/>
      <c r="PSZ61" s="108"/>
      <c r="PTA61" s="108"/>
      <c r="PTB61" s="108"/>
      <c r="PTC61" s="108"/>
      <c r="PTD61" s="108"/>
      <c r="PTE61" s="108"/>
      <c r="PTF61" s="108"/>
      <c r="PTG61" s="108"/>
      <c r="PTH61" s="108"/>
      <c r="PTI61" s="108"/>
      <c r="PTJ61" s="108"/>
      <c r="PTK61" s="108"/>
      <c r="PTL61" s="108"/>
      <c r="PTM61" s="108"/>
      <c r="PTN61" s="108"/>
      <c r="PTO61" s="108"/>
      <c r="PTP61" s="108"/>
      <c r="PTQ61" s="108"/>
      <c r="PTR61" s="108"/>
      <c r="PTS61" s="108"/>
      <c r="PTT61" s="108"/>
      <c r="PTU61" s="108"/>
      <c r="PTV61" s="108"/>
      <c r="PTW61" s="108"/>
      <c r="PTX61" s="108"/>
      <c r="PTY61" s="108"/>
      <c r="PTZ61" s="108"/>
      <c r="PUA61" s="108"/>
      <c r="PUB61" s="108"/>
      <c r="PUC61" s="108"/>
      <c r="PUD61" s="108"/>
      <c r="PUE61" s="108"/>
      <c r="PUF61" s="108"/>
      <c r="PUG61" s="108"/>
      <c r="PUH61" s="108"/>
      <c r="PUI61" s="108"/>
      <c r="PUJ61" s="108"/>
      <c r="PUK61" s="108"/>
      <c r="PUL61" s="108"/>
      <c r="PUM61" s="108"/>
      <c r="PUN61" s="108"/>
      <c r="PUO61" s="108"/>
      <c r="PUP61" s="108"/>
      <c r="PUQ61" s="108"/>
      <c r="PUR61" s="108"/>
      <c r="PUS61" s="108"/>
      <c r="PUT61" s="108"/>
      <c r="PUU61" s="108"/>
      <c r="PUV61" s="108"/>
      <c r="PUW61" s="108"/>
      <c r="PUX61" s="108"/>
      <c r="PUY61" s="108"/>
      <c r="PUZ61" s="108"/>
      <c r="PVA61" s="108"/>
      <c r="PVB61" s="108"/>
      <c r="PVC61" s="108"/>
      <c r="PVD61" s="108"/>
      <c r="PVE61" s="108"/>
      <c r="PVF61" s="108"/>
      <c r="PVG61" s="108"/>
      <c r="PVH61" s="108"/>
      <c r="PVI61" s="108"/>
      <c r="PVJ61" s="108"/>
      <c r="PVK61" s="108"/>
      <c r="PVL61" s="108"/>
      <c r="PVM61" s="108"/>
      <c r="PVN61" s="108"/>
      <c r="PVO61" s="108"/>
      <c r="PVP61" s="108"/>
      <c r="PVQ61" s="108"/>
      <c r="PVR61" s="108"/>
      <c r="PVS61" s="108"/>
      <c r="PVT61" s="108"/>
      <c r="PVU61" s="108"/>
      <c r="PVV61" s="108"/>
      <c r="PVW61" s="108"/>
      <c r="PVX61" s="108"/>
      <c r="PVY61" s="108"/>
      <c r="PVZ61" s="108"/>
      <c r="PWA61" s="108"/>
      <c r="PWB61" s="108"/>
      <c r="PWC61" s="108"/>
      <c r="PWD61" s="108"/>
      <c r="PWE61" s="108"/>
      <c r="PWF61" s="108"/>
      <c r="PWG61" s="108"/>
      <c r="PWH61" s="108"/>
      <c r="PWI61" s="108"/>
      <c r="PWJ61" s="108"/>
      <c r="PWK61" s="108"/>
      <c r="PWL61" s="108"/>
      <c r="PWM61" s="108"/>
      <c r="PWN61" s="108"/>
      <c r="PWO61" s="108"/>
      <c r="PWP61" s="108"/>
      <c r="PWQ61" s="108"/>
      <c r="PWR61" s="108"/>
      <c r="PWS61" s="108"/>
      <c r="PWT61" s="108"/>
      <c r="PWU61" s="108"/>
      <c r="PWV61" s="108"/>
      <c r="PWW61" s="108"/>
      <c r="PWX61" s="108"/>
      <c r="PWY61" s="108"/>
      <c r="PWZ61" s="108"/>
      <c r="PXA61" s="108"/>
      <c r="PXB61" s="108"/>
      <c r="PXC61" s="108"/>
      <c r="PXD61" s="108"/>
      <c r="PXE61" s="108"/>
      <c r="PXF61" s="108"/>
      <c r="PXG61" s="108"/>
      <c r="PXH61" s="108"/>
      <c r="PXI61" s="108"/>
      <c r="PXJ61" s="108"/>
      <c r="PXK61" s="108"/>
      <c r="PXL61" s="108"/>
      <c r="PXM61" s="108"/>
      <c r="PXN61" s="108"/>
      <c r="PXO61" s="108"/>
      <c r="PXP61" s="108"/>
      <c r="PXQ61" s="108"/>
      <c r="PXR61" s="108"/>
      <c r="PXS61" s="108"/>
      <c r="PXT61" s="108"/>
      <c r="PXU61" s="108"/>
      <c r="PXV61" s="108"/>
      <c r="PXW61" s="108"/>
      <c r="PXX61" s="108"/>
      <c r="PXY61" s="108"/>
      <c r="PXZ61" s="108"/>
      <c r="PYA61" s="108"/>
      <c r="PYB61" s="108"/>
      <c r="PYC61" s="108"/>
      <c r="PYD61" s="108"/>
      <c r="PYE61" s="108"/>
      <c r="PYF61" s="108"/>
      <c r="PYG61" s="108"/>
      <c r="PYH61" s="108"/>
      <c r="PYI61" s="108"/>
      <c r="PYJ61" s="108"/>
      <c r="PYK61" s="108"/>
      <c r="PYL61" s="108"/>
      <c r="PYM61" s="108"/>
      <c r="PYN61" s="108"/>
      <c r="PYO61" s="108"/>
      <c r="PYP61" s="108"/>
      <c r="PYQ61" s="108"/>
      <c r="PYR61" s="108"/>
      <c r="PYS61" s="108"/>
      <c r="PYT61" s="108"/>
      <c r="PYU61" s="108"/>
      <c r="PYV61" s="108"/>
      <c r="PYW61" s="108"/>
      <c r="PYX61" s="108"/>
      <c r="PYY61" s="108"/>
      <c r="PYZ61" s="108"/>
      <c r="PZA61" s="108"/>
      <c r="PZB61" s="108"/>
      <c r="PZC61" s="108"/>
      <c r="PZD61" s="108"/>
      <c r="PZE61" s="108"/>
      <c r="PZF61" s="108"/>
      <c r="PZG61" s="108"/>
      <c r="PZH61" s="108"/>
      <c r="PZI61" s="108"/>
      <c r="PZJ61" s="108"/>
      <c r="PZK61" s="108"/>
      <c r="PZL61" s="108"/>
      <c r="PZM61" s="108"/>
      <c r="PZN61" s="108"/>
      <c r="PZO61" s="108"/>
      <c r="PZP61" s="108"/>
      <c r="PZQ61" s="108"/>
      <c r="PZR61" s="108"/>
      <c r="PZS61" s="108"/>
      <c r="PZT61" s="108"/>
      <c r="PZU61" s="108"/>
      <c r="PZV61" s="108"/>
      <c r="PZW61" s="108"/>
      <c r="PZX61" s="108"/>
      <c r="PZY61" s="108"/>
      <c r="PZZ61" s="108"/>
      <c r="QAA61" s="108"/>
      <c r="QAB61" s="108"/>
      <c r="QAC61" s="108"/>
      <c r="QAD61" s="108"/>
      <c r="QAE61" s="108"/>
      <c r="QAF61" s="108"/>
      <c r="QAG61" s="108"/>
      <c r="QAH61" s="108"/>
      <c r="QAI61" s="108"/>
      <c r="QAJ61" s="108"/>
      <c r="QAK61" s="108"/>
      <c r="QAL61" s="108"/>
      <c r="QAM61" s="108"/>
      <c r="QAN61" s="108"/>
      <c r="QAO61" s="108"/>
      <c r="QAP61" s="108"/>
      <c r="QAQ61" s="108"/>
      <c r="QAR61" s="108"/>
      <c r="QAS61" s="108"/>
      <c r="QAT61" s="108"/>
      <c r="QAU61" s="108"/>
      <c r="QAV61" s="108"/>
      <c r="QAW61" s="108"/>
      <c r="QAX61" s="108"/>
      <c r="QAY61" s="108"/>
      <c r="QAZ61" s="108"/>
      <c r="QBA61" s="108"/>
      <c r="QBB61" s="108"/>
      <c r="QBC61" s="108"/>
      <c r="QBD61" s="108"/>
      <c r="QBE61" s="108"/>
      <c r="QBF61" s="108"/>
      <c r="QBG61" s="108"/>
      <c r="QBH61" s="108"/>
      <c r="QBI61" s="108"/>
      <c r="QBJ61" s="108"/>
      <c r="QBK61" s="108"/>
      <c r="QBL61" s="108"/>
      <c r="QBM61" s="108"/>
      <c r="QBN61" s="108"/>
      <c r="QBO61" s="108"/>
      <c r="QBP61" s="108"/>
      <c r="QBQ61" s="108"/>
      <c r="QBR61" s="108"/>
      <c r="QBS61" s="108"/>
      <c r="QBT61" s="108"/>
      <c r="QBU61" s="108"/>
      <c r="QBV61" s="108"/>
      <c r="QBW61" s="108"/>
      <c r="QBX61" s="108"/>
      <c r="QBY61" s="108"/>
      <c r="QBZ61" s="108"/>
      <c r="QCA61" s="108"/>
      <c r="QCB61" s="108"/>
      <c r="QCC61" s="108"/>
      <c r="QCD61" s="108"/>
      <c r="QCE61" s="108"/>
      <c r="QCF61" s="108"/>
      <c r="QCG61" s="108"/>
      <c r="QCH61" s="108"/>
      <c r="QCI61" s="108"/>
      <c r="QCJ61" s="108"/>
      <c r="QCK61" s="108"/>
      <c r="QCL61" s="108"/>
      <c r="QCM61" s="108"/>
      <c r="QCN61" s="108"/>
      <c r="QCO61" s="108"/>
      <c r="QCP61" s="108"/>
      <c r="QCQ61" s="108"/>
      <c r="QCR61" s="108"/>
      <c r="QCS61" s="108"/>
      <c r="QCT61" s="108"/>
      <c r="QCU61" s="108"/>
      <c r="QCV61" s="108"/>
      <c r="QCW61" s="108"/>
      <c r="QCX61" s="108"/>
      <c r="QCY61" s="108"/>
      <c r="QCZ61" s="108"/>
      <c r="QDA61" s="108"/>
      <c r="QDB61" s="108"/>
      <c r="QDC61" s="108"/>
      <c r="QDD61" s="108"/>
      <c r="QDE61" s="108"/>
      <c r="QDF61" s="108"/>
      <c r="QDG61" s="108"/>
      <c r="QDH61" s="108"/>
      <c r="QDI61" s="108"/>
      <c r="QDJ61" s="108"/>
      <c r="QDK61" s="108"/>
      <c r="QDL61" s="108"/>
      <c r="QDM61" s="108"/>
      <c r="QDN61" s="108"/>
      <c r="QDO61" s="108"/>
      <c r="QDP61" s="108"/>
      <c r="QDQ61" s="108"/>
      <c r="QDR61" s="108"/>
      <c r="QDS61" s="108"/>
      <c r="QDT61" s="108"/>
      <c r="QDU61" s="108"/>
      <c r="QDV61" s="108"/>
      <c r="QDW61" s="108"/>
      <c r="QDX61" s="108"/>
      <c r="QDY61" s="108"/>
      <c r="QDZ61" s="108"/>
      <c r="QEA61" s="108"/>
      <c r="QEB61" s="108"/>
      <c r="QEC61" s="108"/>
      <c r="QED61" s="108"/>
      <c r="QEE61" s="108"/>
      <c r="QEF61" s="108"/>
      <c r="QEG61" s="108"/>
      <c r="QEH61" s="108"/>
      <c r="QEI61" s="108"/>
      <c r="QEJ61" s="108"/>
      <c r="QEK61" s="108"/>
      <c r="QEL61" s="108"/>
      <c r="QEM61" s="108"/>
      <c r="QEN61" s="108"/>
      <c r="QEO61" s="108"/>
      <c r="QEP61" s="108"/>
      <c r="QEQ61" s="108"/>
      <c r="QER61" s="108"/>
      <c r="QES61" s="108"/>
      <c r="QET61" s="108"/>
      <c r="QEU61" s="108"/>
      <c r="QEV61" s="108"/>
      <c r="QEW61" s="108"/>
      <c r="QEX61" s="108"/>
      <c r="QEY61" s="108"/>
      <c r="QEZ61" s="108"/>
      <c r="QFA61" s="108"/>
      <c r="QFB61" s="108"/>
      <c r="QFC61" s="108"/>
      <c r="QFD61" s="108"/>
      <c r="QFE61" s="108"/>
      <c r="QFF61" s="108"/>
      <c r="QFG61" s="108"/>
      <c r="QFH61" s="108"/>
      <c r="QFI61" s="108"/>
      <c r="QFJ61" s="108"/>
      <c r="QFK61" s="108"/>
      <c r="QFL61" s="108"/>
      <c r="QFM61" s="108"/>
      <c r="QFN61" s="108"/>
      <c r="QFO61" s="108"/>
      <c r="QFP61" s="108"/>
      <c r="QFQ61" s="108"/>
      <c r="QFR61" s="108"/>
      <c r="QFS61" s="108"/>
      <c r="QFT61" s="108"/>
      <c r="QFU61" s="108"/>
      <c r="QFV61" s="108"/>
      <c r="QFW61" s="108"/>
      <c r="QFX61" s="108"/>
      <c r="QFY61" s="108"/>
      <c r="QFZ61" s="108"/>
      <c r="QGA61" s="108"/>
      <c r="QGB61" s="108"/>
      <c r="QGC61" s="108"/>
      <c r="QGD61" s="108"/>
      <c r="QGE61" s="108"/>
      <c r="QGF61" s="108"/>
      <c r="QGG61" s="108"/>
      <c r="QGH61" s="108"/>
      <c r="QGI61" s="108"/>
      <c r="QGJ61" s="108"/>
      <c r="QGK61" s="108"/>
      <c r="QGL61" s="108"/>
      <c r="QGM61" s="108"/>
      <c r="QGN61" s="108"/>
      <c r="QGO61" s="108"/>
      <c r="QGP61" s="108"/>
      <c r="QGQ61" s="108"/>
      <c r="QGR61" s="108"/>
      <c r="QGS61" s="108"/>
      <c r="QGT61" s="108"/>
      <c r="QGU61" s="108"/>
      <c r="QGV61" s="108"/>
      <c r="QGW61" s="108"/>
      <c r="QGX61" s="108"/>
      <c r="QGY61" s="108"/>
      <c r="QGZ61" s="108"/>
      <c r="QHA61" s="108"/>
      <c r="QHB61" s="108"/>
      <c r="QHC61" s="108"/>
      <c r="QHD61" s="108"/>
      <c r="QHE61" s="108"/>
      <c r="QHF61" s="108"/>
      <c r="QHG61" s="108"/>
      <c r="QHH61" s="108"/>
      <c r="QHI61" s="108"/>
      <c r="QHJ61" s="108"/>
      <c r="QHK61" s="108"/>
      <c r="QHL61" s="108"/>
      <c r="QHM61" s="108"/>
      <c r="QHN61" s="108"/>
      <c r="QHO61" s="108"/>
      <c r="QHP61" s="108"/>
      <c r="QHQ61" s="108"/>
      <c r="QHR61" s="108"/>
      <c r="QHS61" s="108"/>
      <c r="QHT61" s="108"/>
      <c r="QHU61" s="108"/>
      <c r="QHV61" s="108"/>
      <c r="QHW61" s="108"/>
      <c r="QHX61" s="108"/>
      <c r="QHY61" s="108"/>
      <c r="QHZ61" s="108"/>
      <c r="QIA61" s="108"/>
      <c r="QIB61" s="108"/>
      <c r="QIC61" s="108"/>
      <c r="QID61" s="108"/>
      <c r="QIE61" s="108"/>
      <c r="QIF61" s="108"/>
      <c r="QIG61" s="108"/>
      <c r="QIH61" s="108"/>
      <c r="QII61" s="108"/>
      <c r="QIJ61" s="108"/>
      <c r="QIK61" s="108"/>
      <c r="QIL61" s="108"/>
      <c r="QIM61" s="108"/>
      <c r="QIN61" s="108"/>
      <c r="QIO61" s="108"/>
      <c r="QIP61" s="108"/>
      <c r="QIQ61" s="108"/>
      <c r="QIR61" s="108"/>
      <c r="QIS61" s="108"/>
      <c r="QIT61" s="108"/>
      <c r="QIU61" s="108"/>
      <c r="QIV61" s="108"/>
      <c r="QIW61" s="108"/>
      <c r="QIX61" s="108"/>
      <c r="QIY61" s="108"/>
      <c r="QIZ61" s="108"/>
      <c r="QJA61" s="108"/>
      <c r="QJB61" s="108"/>
      <c r="QJC61" s="108"/>
      <c r="QJD61" s="108"/>
      <c r="QJE61" s="108"/>
      <c r="QJF61" s="108"/>
      <c r="QJG61" s="108"/>
      <c r="QJH61" s="108"/>
      <c r="QJI61" s="108"/>
      <c r="QJJ61" s="108"/>
      <c r="QJK61" s="108"/>
      <c r="QJL61" s="108"/>
      <c r="QJM61" s="108"/>
      <c r="QJN61" s="108"/>
      <c r="QJO61" s="108"/>
      <c r="QJP61" s="108"/>
      <c r="QJQ61" s="108"/>
      <c r="QJR61" s="108"/>
      <c r="QJS61" s="108"/>
      <c r="QJT61" s="108"/>
      <c r="QJU61" s="108"/>
      <c r="QJV61" s="108"/>
      <c r="QJW61" s="108"/>
      <c r="QJX61" s="108"/>
      <c r="QJY61" s="108"/>
      <c r="QJZ61" s="108"/>
      <c r="QKA61" s="108"/>
      <c r="QKB61" s="108"/>
      <c r="QKC61" s="108"/>
      <c r="QKD61" s="108"/>
      <c r="QKE61" s="108"/>
      <c r="QKF61" s="108"/>
      <c r="QKG61" s="108"/>
      <c r="QKH61" s="108"/>
      <c r="QKI61" s="108"/>
      <c r="QKJ61" s="108"/>
      <c r="QKK61" s="108"/>
      <c r="QKL61" s="108"/>
      <c r="QKM61" s="108"/>
      <c r="QKN61" s="108"/>
      <c r="QKO61" s="108"/>
      <c r="QKP61" s="108"/>
      <c r="QKQ61" s="108"/>
      <c r="QKR61" s="108"/>
      <c r="QKS61" s="108"/>
      <c r="QKT61" s="108"/>
      <c r="QKU61" s="108"/>
      <c r="QKV61" s="108"/>
      <c r="QKW61" s="108"/>
      <c r="QKX61" s="108"/>
      <c r="QKY61" s="108"/>
      <c r="QKZ61" s="108"/>
      <c r="QLA61" s="108"/>
      <c r="QLB61" s="108"/>
      <c r="QLC61" s="108"/>
      <c r="QLD61" s="108"/>
      <c r="QLE61" s="108"/>
      <c r="QLF61" s="108"/>
      <c r="QLG61" s="108"/>
      <c r="QLH61" s="108"/>
      <c r="QLI61" s="108"/>
      <c r="QLJ61" s="108"/>
      <c r="QLK61" s="108"/>
      <c r="QLL61" s="108"/>
      <c r="QLM61" s="108"/>
      <c r="QLN61" s="108"/>
      <c r="QLO61" s="108"/>
      <c r="QLP61" s="108"/>
      <c r="QLQ61" s="108"/>
      <c r="QLR61" s="108"/>
      <c r="QLS61" s="108"/>
      <c r="QLT61" s="108"/>
      <c r="QLU61" s="108"/>
      <c r="QLV61" s="108"/>
      <c r="QLW61" s="108"/>
      <c r="QLX61" s="108"/>
      <c r="QLY61" s="108"/>
      <c r="QLZ61" s="108"/>
      <c r="QMA61" s="108"/>
      <c r="QMB61" s="108"/>
      <c r="QMC61" s="108"/>
      <c r="QMD61" s="108"/>
      <c r="QME61" s="108"/>
      <c r="QMF61" s="108"/>
      <c r="QMG61" s="108"/>
      <c r="QMH61" s="108"/>
      <c r="QMI61" s="108"/>
      <c r="QMJ61" s="108"/>
      <c r="QMK61" s="108"/>
      <c r="QML61" s="108"/>
      <c r="QMM61" s="108"/>
      <c r="QMN61" s="108"/>
      <c r="QMO61" s="108"/>
      <c r="QMP61" s="108"/>
      <c r="QMQ61" s="108"/>
      <c r="QMR61" s="108"/>
      <c r="QMS61" s="108"/>
      <c r="QMT61" s="108"/>
      <c r="QMU61" s="108"/>
      <c r="QMV61" s="108"/>
      <c r="QMW61" s="108"/>
      <c r="QMX61" s="108"/>
      <c r="QMY61" s="108"/>
      <c r="QMZ61" s="108"/>
      <c r="QNA61" s="108"/>
      <c r="QNB61" s="108"/>
      <c r="QNC61" s="108"/>
      <c r="QND61" s="108"/>
      <c r="QNE61" s="108"/>
      <c r="QNF61" s="108"/>
      <c r="QNG61" s="108"/>
      <c r="QNH61" s="108"/>
      <c r="QNI61" s="108"/>
      <c r="QNJ61" s="108"/>
      <c r="QNK61" s="108"/>
      <c r="QNL61" s="108"/>
      <c r="QNM61" s="108"/>
      <c r="QNN61" s="108"/>
      <c r="QNO61" s="108"/>
      <c r="QNP61" s="108"/>
      <c r="QNQ61" s="108"/>
      <c r="QNR61" s="108"/>
      <c r="QNS61" s="108"/>
      <c r="QNT61" s="108"/>
      <c r="QNU61" s="108"/>
      <c r="QNV61" s="108"/>
      <c r="QNW61" s="108"/>
      <c r="QNX61" s="108"/>
      <c r="QNY61" s="108"/>
      <c r="QNZ61" s="108"/>
      <c r="QOA61" s="108"/>
      <c r="QOB61" s="108"/>
      <c r="QOC61" s="108"/>
      <c r="QOD61" s="108"/>
      <c r="QOE61" s="108"/>
      <c r="QOF61" s="108"/>
      <c r="QOG61" s="108"/>
      <c r="QOH61" s="108"/>
      <c r="QOI61" s="108"/>
      <c r="QOJ61" s="108"/>
      <c r="QOK61" s="108"/>
      <c r="QOL61" s="108"/>
      <c r="QOM61" s="108"/>
      <c r="QON61" s="108"/>
      <c r="QOO61" s="108"/>
      <c r="QOP61" s="108"/>
      <c r="QOQ61" s="108"/>
      <c r="QOR61" s="108"/>
      <c r="QOS61" s="108"/>
      <c r="QOT61" s="108"/>
      <c r="QOU61" s="108"/>
      <c r="QOV61" s="108"/>
      <c r="QOW61" s="108"/>
      <c r="QOX61" s="108"/>
      <c r="QOY61" s="108"/>
      <c r="QOZ61" s="108"/>
      <c r="QPA61" s="108"/>
      <c r="QPB61" s="108"/>
      <c r="QPC61" s="108"/>
      <c r="QPD61" s="108"/>
      <c r="QPE61" s="108"/>
      <c r="QPF61" s="108"/>
      <c r="QPG61" s="108"/>
      <c r="QPH61" s="108"/>
      <c r="QPI61" s="108"/>
      <c r="QPJ61" s="108"/>
      <c r="QPK61" s="108"/>
      <c r="QPL61" s="108"/>
      <c r="QPM61" s="108"/>
      <c r="QPN61" s="108"/>
      <c r="QPO61" s="108"/>
      <c r="QPP61" s="108"/>
      <c r="QPQ61" s="108"/>
      <c r="QPR61" s="108"/>
      <c r="QPS61" s="108"/>
      <c r="QPT61" s="108"/>
      <c r="QPU61" s="108"/>
      <c r="QPV61" s="108"/>
      <c r="QPW61" s="108"/>
      <c r="QPX61" s="108"/>
      <c r="QPY61" s="108"/>
      <c r="QPZ61" s="108"/>
      <c r="QQA61" s="108"/>
      <c r="QQB61" s="108"/>
      <c r="QQC61" s="108"/>
      <c r="QQD61" s="108"/>
      <c r="QQE61" s="108"/>
      <c r="QQF61" s="108"/>
      <c r="QQG61" s="108"/>
      <c r="QQH61" s="108"/>
      <c r="QQI61" s="108"/>
      <c r="QQJ61" s="108"/>
      <c r="QQK61" s="108"/>
      <c r="QQL61" s="108"/>
      <c r="QQM61" s="108"/>
      <c r="QQN61" s="108"/>
      <c r="QQO61" s="108"/>
      <c r="QQP61" s="108"/>
      <c r="QQQ61" s="108"/>
      <c r="QQR61" s="108"/>
      <c r="QQS61" s="108"/>
      <c r="QQT61" s="108"/>
      <c r="QQU61" s="108"/>
      <c r="QQV61" s="108"/>
      <c r="QQW61" s="108"/>
      <c r="QQX61" s="108"/>
      <c r="QQY61" s="108"/>
      <c r="QQZ61" s="108"/>
      <c r="QRA61" s="108"/>
      <c r="QRB61" s="108"/>
      <c r="QRC61" s="108"/>
      <c r="QRD61" s="108"/>
      <c r="QRE61" s="108"/>
      <c r="QRF61" s="108"/>
      <c r="QRG61" s="108"/>
      <c r="QRH61" s="108"/>
      <c r="QRI61" s="108"/>
      <c r="QRJ61" s="108"/>
      <c r="QRK61" s="108"/>
      <c r="QRL61" s="108"/>
      <c r="QRM61" s="108"/>
      <c r="QRN61" s="108"/>
      <c r="QRO61" s="108"/>
      <c r="QRP61" s="108"/>
      <c r="QRQ61" s="108"/>
      <c r="QRR61" s="108"/>
      <c r="QRS61" s="108"/>
      <c r="QRT61" s="108"/>
      <c r="QRU61" s="108"/>
      <c r="QRV61" s="108"/>
      <c r="QRW61" s="108"/>
      <c r="QRX61" s="108"/>
      <c r="QRY61" s="108"/>
      <c r="QRZ61" s="108"/>
      <c r="QSA61" s="108"/>
      <c r="QSB61" s="108"/>
      <c r="QSC61" s="108"/>
      <c r="QSD61" s="108"/>
      <c r="QSE61" s="108"/>
      <c r="QSF61" s="108"/>
      <c r="QSG61" s="108"/>
      <c r="QSH61" s="108"/>
      <c r="QSI61" s="108"/>
      <c r="QSJ61" s="108"/>
      <c r="QSK61" s="108"/>
      <c r="QSL61" s="108"/>
      <c r="QSM61" s="108"/>
      <c r="QSN61" s="108"/>
      <c r="QSO61" s="108"/>
      <c r="QSP61" s="108"/>
      <c r="QSQ61" s="108"/>
      <c r="QSR61" s="108"/>
      <c r="QSS61" s="108"/>
      <c r="QST61" s="108"/>
      <c r="QSU61" s="108"/>
      <c r="QSV61" s="108"/>
      <c r="QSW61" s="108"/>
      <c r="QSX61" s="108"/>
      <c r="QSY61" s="108"/>
      <c r="QSZ61" s="108"/>
      <c r="QTA61" s="108"/>
      <c r="QTB61" s="108"/>
      <c r="QTC61" s="108"/>
      <c r="QTD61" s="108"/>
      <c r="QTE61" s="108"/>
      <c r="QTF61" s="108"/>
      <c r="QTG61" s="108"/>
      <c r="QTH61" s="108"/>
      <c r="QTI61" s="108"/>
      <c r="QTJ61" s="108"/>
      <c r="QTK61" s="108"/>
      <c r="QTL61" s="108"/>
      <c r="QTM61" s="108"/>
      <c r="QTN61" s="108"/>
      <c r="QTO61" s="108"/>
      <c r="QTP61" s="108"/>
      <c r="QTQ61" s="108"/>
      <c r="QTR61" s="108"/>
      <c r="QTS61" s="108"/>
      <c r="QTT61" s="108"/>
      <c r="QTU61" s="108"/>
      <c r="QTV61" s="108"/>
      <c r="QTW61" s="108"/>
      <c r="QTX61" s="108"/>
      <c r="QTY61" s="108"/>
      <c r="QTZ61" s="108"/>
      <c r="QUA61" s="108"/>
      <c r="QUB61" s="108"/>
      <c r="QUC61" s="108"/>
      <c r="QUD61" s="108"/>
      <c r="QUE61" s="108"/>
      <c r="QUF61" s="108"/>
      <c r="QUG61" s="108"/>
      <c r="QUH61" s="108"/>
      <c r="QUI61" s="108"/>
      <c r="QUJ61" s="108"/>
      <c r="QUK61" s="108"/>
      <c r="QUL61" s="108"/>
      <c r="QUM61" s="108"/>
      <c r="QUN61" s="108"/>
      <c r="QUO61" s="108"/>
      <c r="QUP61" s="108"/>
      <c r="QUQ61" s="108"/>
      <c r="QUR61" s="108"/>
      <c r="QUS61" s="108"/>
      <c r="QUT61" s="108"/>
      <c r="QUU61" s="108"/>
      <c r="QUV61" s="108"/>
      <c r="QUW61" s="108"/>
      <c r="QUX61" s="108"/>
      <c r="QUY61" s="108"/>
      <c r="QUZ61" s="108"/>
      <c r="QVA61" s="108"/>
      <c r="QVB61" s="108"/>
      <c r="QVC61" s="108"/>
      <c r="QVD61" s="108"/>
      <c r="QVE61" s="108"/>
      <c r="QVF61" s="108"/>
      <c r="QVG61" s="108"/>
      <c r="QVH61" s="108"/>
      <c r="QVI61" s="108"/>
      <c r="QVJ61" s="108"/>
      <c r="QVK61" s="108"/>
      <c r="QVL61" s="108"/>
      <c r="QVM61" s="108"/>
      <c r="QVN61" s="108"/>
      <c r="QVO61" s="108"/>
      <c r="QVP61" s="108"/>
      <c r="QVQ61" s="108"/>
      <c r="QVR61" s="108"/>
      <c r="QVS61" s="108"/>
      <c r="QVT61" s="108"/>
      <c r="QVU61" s="108"/>
      <c r="QVV61" s="108"/>
      <c r="QVW61" s="108"/>
      <c r="QVX61" s="108"/>
      <c r="QVY61" s="108"/>
      <c r="QVZ61" s="108"/>
      <c r="QWA61" s="108"/>
      <c r="QWB61" s="108"/>
      <c r="QWC61" s="108"/>
      <c r="QWD61" s="108"/>
      <c r="QWE61" s="108"/>
      <c r="QWF61" s="108"/>
      <c r="QWG61" s="108"/>
      <c r="QWH61" s="108"/>
      <c r="QWI61" s="108"/>
      <c r="QWJ61" s="108"/>
      <c r="QWK61" s="108"/>
      <c r="QWL61" s="108"/>
      <c r="QWM61" s="108"/>
      <c r="QWN61" s="108"/>
      <c r="QWO61" s="108"/>
      <c r="QWP61" s="108"/>
      <c r="QWQ61" s="108"/>
      <c r="QWR61" s="108"/>
      <c r="QWS61" s="108"/>
      <c r="QWT61" s="108"/>
      <c r="QWU61" s="108"/>
      <c r="QWV61" s="108"/>
      <c r="QWW61" s="108"/>
      <c r="QWX61" s="108"/>
      <c r="QWY61" s="108"/>
      <c r="QWZ61" s="108"/>
      <c r="QXA61" s="108"/>
      <c r="QXB61" s="108"/>
      <c r="QXC61" s="108"/>
      <c r="QXD61" s="108"/>
      <c r="QXE61" s="108"/>
      <c r="QXF61" s="108"/>
      <c r="QXG61" s="108"/>
      <c r="QXH61" s="108"/>
      <c r="QXI61" s="108"/>
      <c r="QXJ61" s="108"/>
      <c r="QXK61" s="108"/>
      <c r="QXL61" s="108"/>
      <c r="QXM61" s="108"/>
      <c r="QXN61" s="108"/>
      <c r="QXO61" s="108"/>
      <c r="QXP61" s="108"/>
      <c r="QXQ61" s="108"/>
      <c r="QXR61" s="108"/>
      <c r="QXS61" s="108"/>
      <c r="QXT61" s="108"/>
      <c r="QXU61" s="108"/>
      <c r="QXV61" s="108"/>
      <c r="QXW61" s="108"/>
      <c r="QXX61" s="108"/>
      <c r="QXY61" s="108"/>
      <c r="QXZ61" s="108"/>
      <c r="QYA61" s="108"/>
      <c r="QYB61" s="108"/>
      <c r="QYC61" s="108"/>
      <c r="QYD61" s="108"/>
      <c r="QYE61" s="108"/>
      <c r="QYF61" s="108"/>
      <c r="QYG61" s="108"/>
      <c r="QYH61" s="108"/>
      <c r="QYI61" s="108"/>
      <c r="QYJ61" s="108"/>
      <c r="QYK61" s="108"/>
      <c r="QYL61" s="108"/>
      <c r="QYM61" s="108"/>
      <c r="QYN61" s="108"/>
      <c r="QYO61" s="108"/>
      <c r="QYP61" s="108"/>
      <c r="QYQ61" s="108"/>
      <c r="QYR61" s="108"/>
      <c r="QYS61" s="108"/>
      <c r="QYT61" s="108"/>
      <c r="QYU61" s="108"/>
      <c r="QYV61" s="108"/>
      <c r="QYW61" s="108"/>
      <c r="QYX61" s="108"/>
      <c r="QYY61" s="108"/>
      <c r="QYZ61" s="108"/>
      <c r="QZA61" s="108"/>
      <c r="QZB61" s="108"/>
      <c r="QZC61" s="108"/>
      <c r="QZD61" s="108"/>
      <c r="QZE61" s="108"/>
      <c r="QZF61" s="108"/>
      <c r="QZG61" s="108"/>
      <c r="QZH61" s="108"/>
      <c r="QZI61" s="108"/>
      <c r="QZJ61" s="108"/>
      <c r="QZK61" s="108"/>
      <c r="QZL61" s="108"/>
      <c r="QZM61" s="108"/>
      <c r="QZN61" s="108"/>
      <c r="QZO61" s="108"/>
      <c r="QZP61" s="108"/>
      <c r="QZQ61" s="108"/>
      <c r="QZR61" s="108"/>
      <c r="QZS61" s="108"/>
      <c r="QZT61" s="108"/>
      <c r="QZU61" s="108"/>
      <c r="QZV61" s="108"/>
      <c r="QZW61" s="108"/>
      <c r="QZX61" s="108"/>
      <c r="QZY61" s="108"/>
      <c r="QZZ61" s="108"/>
      <c r="RAA61" s="108"/>
      <c r="RAB61" s="108"/>
      <c r="RAC61" s="108"/>
      <c r="RAD61" s="108"/>
      <c r="RAE61" s="108"/>
      <c r="RAF61" s="108"/>
      <c r="RAG61" s="108"/>
      <c r="RAH61" s="108"/>
      <c r="RAI61" s="108"/>
      <c r="RAJ61" s="108"/>
      <c r="RAK61" s="108"/>
      <c r="RAL61" s="108"/>
      <c r="RAM61" s="108"/>
      <c r="RAN61" s="108"/>
      <c r="RAO61" s="108"/>
      <c r="RAP61" s="108"/>
      <c r="RAQ61" s="108"/>
      <c r="RAR61" s="108"/>
      <c r="RAS61" s="108"/>
      <c r="RAT61" s="108"/>
      <c r="RAU61" s="108"/>
      <c r="RAV61" s="108"/>
      <c r="RAW61" s="108"/>
      <c r="RAX61" s="108"/>
      <c r="RAY61" s="108"/>
      <c r="RAZ61" s="108"/>
      <c r="RBA61" s="108"/>
      <c r="RBB61" s="108"/>
      <c r="RBC61" s="108"/>
      <c r="RBD61" s="108"/>
      <c r="RBE61" s="108"/>
      <c r="RBF61" s="108"/>
      <c r="RBG61" s="108"/>
      <c r="RBH61" s="108"/>
      <c r="RBI61" s="108"/>
      <c r="RBJ61" s="108"/>
      <c r="RBK61" s="108"/>
      <c r="RBL61" s="108"/>
      <c r="RBM61" s="108"/>
      <c r="RBN61" s="108"/>
      <c r="RBO61" s="108"/>
      <c r="RBP61" s="108"/>
      <c r="RBQ61" s="108"/>
      <c r="RBR61" s="108"/>
      <c r="RBS61" s="108"/>
      <c r="RBT61" s="108"/>
      <c r="RBU61" s="108"/>
      <c r="RBV61" s="108"/>
      <c r="RBW61" s="108"/>
      <c r="RBX61" s="108"/>
      <c r="RBY61" s="108"/>
      <c r="RBZ61" s="108"/>
      <c r="RCA61" s="108"/>
      <c r="RCB61" s="108"/>
      <c r="RCC61" s="108"/>
      <c r="RCD61" s="108"/>
      <c r="RCE61" s="108"/>
      <c r="RCF61" s="108"/>
      <c r="RCG61" s="108"/>
      <c r="RCH61" s="108"/>
      <c r="RCI61" s="108"/>
      <c r="RCJ61" s="108"/>
      <c r="RCK61" s="108"/>
      <c r="RCL61" s="108"/>
      <c r="RCM61" s="108"/>
      <c r="RCN61" s="108"/>
      <c r="RCO61" s="108"/>
      <c r="RCP61" s="108"/>
      <c r="RCQ61" s="108"/>
      <c r="RCR61" s="108"/>
      <c r="RCS61" s="108"/>
      <c r="RCT61" s="108"/>
      <c r="RCU61" s="108"/>
      <c r="RCV61" s="108"/>
      <c r="RCW61" s="108"/>
      <c r="RCX61" s="108"/>
      <c r="RCY61" s="108"/>
      <c r="RCZ61" s="108"/>
      <c r="RDA61" s="108"/>
      <c r="RDB61" s="108"/>
      <c r="RDC61" s="108"/>
      <c r="RDD61" s="108"/>
      <c r="RDE61" s="108"/>
      <c r="RDF61" s="108"/>
      <c r="RDG61" s="108"/>
      <c r="RDH61" s="108"/>
      <c r="RDI61" s="108"/>
      <c r="RDJ61" s="108"/>
      <c r="RDK61" s="108"/>
      <c r="RDL61" s="108"/>
      <c r="RDM61" s="108"/>
      <c r="RDN61" s="108"/>
      <c r="RDO61" s="108"/>
      <c r="RDP61" s="108"/>
      <c r="RDQ61" s="108"/>
      <c r="RDR61" s="108"/>
      <c r="RDS61" s="108"/>
      <c r="RDT61" s="108"/>
      <c r="RDU61" s="108"/>
      <c r="RDV61" s="108"/>
      <c r="RDW61" s="108"/>
      <c r="RDX61" s="108"/>
      <c r="RDY61" s="108"/>
      <c r="RDZ61" s="108"/>
      <c r="REA61" s="108"/>
      <c r="REB61" s="108"/>
      <c r="REC61" s="108"/>
      <c r="RED61" s="108"/>
      <c r="REE61" s="108"/>
      <c r="REF61" s="108"/>
      <c r="REG61" s="108"/>
      <c r="REH61" s="108"/>
      <c r="REI61" s="108"/>
      <c r="REJ61" s="108"/>
      <c r="REK61" s="108"/>
      <c r="REL61" s="108"/>
      <c r="REM61" s="108"/>
      <c r="REN61" s="108"/>
      <c r="REO61" s="108"/>
      <c r="REP61" s="108"/>
      <c r="REQ61" s="108"/>
      <c r="RER61" s="108"/>
      <c r="RES61" s="108"/>
      <c r="RET61" s="108"/>
      <c r="REU61" s="108"/>
      <c r="REV61" s="108"/>
      <c r="REW61" s="108"/>
      <c r="REX61" s="108"/>
      <c r="REY61" s="108"/>
      <c r="REZ61" s="108"/>
      <c r="RFA61" s="108"/>
      <c r="RFB61" s="108"/>
      <c r="RFC61" s="108"/>
      <c r="RFD61" s="108"/>
      <c r="RFE61" s="108"/>
      <c r="RFF61" s="108"/>
      <c r="RFG61" s="108"/>
      <c r="RFH61" s="108"/>
      <c r="RFI61" s="108"/>
      <c r="RFJ61" s="108"/>
      <c r="RFK61" s="108"/>
      <c r="RFL61" s="108"/>
      <c r="RFM61" s="108"/>
      <c r="RFN61" s="108"/>
      <c r="RFO61" s="108"/>
      <c r="RFP61" s="108"/>
      <c r="RFQ61" s="108"/>
      <c r="RFR61" s="108"/>
      <c r="RFS61" s="108"/>
      <c r="RFT61" s="108"/>
      <c r="RFU61" s="108"/>
      <c r="RFV61" s="108"/>
      <c r="RFW61" s="108"/>
      <c r="RFX61" s="108"/>
      <c r="RFY61" s="108"/>
      <c r="RFZ61" s="108"/>
      <c r="RGA61" s="108"/>
      <c r="RGB61" s="108"/>
      <c r="RGC61" s="108"/>
      <c r="RGD61" s="108"/>
      <c r="RGE61" s="108"/>
      <c r="RGF61" s="108"/>
      <c r="RGG61" s="108"/>
      <c r="RGH61" s="108"/>
      <c r="RGI61" s="108"/>
      <c r="RGJ61" s="108"/>
      <c r="RGK61" s="108"/>
      <c r="RGL61" s="108"/>
      <c r="RGM61" s="108"/>
      <c r="RGN61" s="108"/>
      <c r="RGO61" s="108"/>
      <c r="RGP61" s="108"/>
      <c r="RGQ61" s="108"/>
      <c r="RGR61" s="108"/>
      <c r="RGS61" s="108"/>
      <c r="RGT61" s="108"/>
      <c r="RGU61" s="108"/>
      <c r="RGV61" s="108"/>
      <c r="RGW61" s="108"/>
      <c r="RGX61" s="108"/>
      <c r="RGY61" s="108"/>
      <c r="RGZ61" s="108"/>
      <c r="RHA61" s="108"/>
      <c r="RHB61" s="108"/>
      <c r="RHC61" s="108"/>
      <c r="RHD61" s="108"/>
      <c r="RHE61" s="108"/>
      <c r="RHF61" s="108"/>
      <c r="RHG61" s="108"/>
      <c r="RHH61" s="108"/>
      <c r="RHI61" s="108"/>
      <c r="RHJ61" s="108"/>
      <c r="RHK61" s="108"/>
      <c r="RHL61" s="108"/>
      <c r="RHM61" s="108"/>
      <c r="RHN61" s="108"/>
      <c r="RHO61" s="108"/>
      <c r="RHP61" s="108"/>
      <c r="RHQ61" s="108"/>
      <c r="RHR61" s="108"/>
      <c r="RHS61" s="108"/>
      <c r="RHT61" s="108"/>
      <c r="RHU61" s="108"/>
      <c r="RHV61" s="108"/>
      <c r="RHW61" s="108"/>
      <c r="RHX61" s="108"/>
      <c r="RHY61" s="108"/>
      <c r="RHZ61" s="108"/>
      <c r="RIA61" s="108"/>
      <c r="RIB61" s="108"/>
      <c r="RIC61" s="108"/>
      <c r="RID61" s="108"/>
      <c r="RIE61" s="108"/>
      <c r="RIF61" s="108"/>
      <c r="RIG61" s="108"/>
      <c r="RIH61" s="108"/>
      <c r="RII61" s="108"/>
      <c r="RIJ61" s="108"/>
      <c r="RIK61" s="108"/>
      <c r="RIL61" s="108"/>
      <c r="RIM61" s="108"/>
      <c r="RIN61" s="108"/>
      <c r="RIO61" s="108"/>
      <c r="RIP61" s="108"/>
      <c r="RIQ61" s="108"/>
      <c r="RIR61" s="108"/>
      <c r="RIS61" s="108"/>
      <c r="RIT61" s="108"/>
      <c r="RIU61" s="108"/>
      <c r="RIV61" s="108"/>
      <c r="RIW61" s="108"/>
      <c r="RIX61" s="108"/>
      <c r="RIY61" s="108"/>
      <c r="RIZ61" s="108"/>
      <c r="RJA61" s="108"/>
      <c r="RJB61" s="108"/>
      <c r="RJC61" s="108"/>
      <c r="RJD61" s="108"/>
      <c r="RJE61" s="108"/>
      <c r="RJF61" s="108"/>
      <c r="RJG61" s="108"/>
      <c r="RJH61" s="108"/>
      <c r="RJI61" s="108"/>
      <c r="RJJ61" s="108"/>
      <c r="RJK61" s="108"/>
      <c r="RJL61" s="108"/>
      <c r="RJM61" s="108"/>
      <c r="RJN61" s="108"/>
      <c r="RJO61" s="108"/>
      <c r="RJP61" s="108"/>
      <c r="RJQ61" s="108"/>
      <c r="RJR61" s="108"/>
      <c r="RJS61" s="108"/>
      <c r="RJT61" s="108"/>
      <c r="RJU61" s="108"/>
      <c r="RJV61" s="108"/>
      <c r="RJW61" s="108"/>
      <c r="RJX61" s="108"/>
      <c r="RJY61" s="108"/>
      <c r="RJZ61" s="108"/>
      <c r="RKA61" s="108"/>
      <c r="RKB61" s="108"/>
      <c r="RKC61" s="108"/>
      <c r="RKD61" s="108"/>
      <c r="RKE61" s="108"/>
      <c r="RKF61" s="108"/>
      <c r="RKG61" s="108"/>
      <c r="RKH61" s="108"/>
      <c r="RKI61" s="108"/>
      <c r="RKJ61" s="108"/>
      <c r="RKK61" s="108"/>
      <c r="RKL61" s="108"/>
      <c r="RKM61" s="108"/>
      <c r="RKN61" s="108"/>
      <c r="RKO61" s="108"/>
      <c r="RKP61" s="108"/>
      <c r="RKQ61" s="108"/>
      <c r="RKR61" s="108"/>
      <c r="RKS61" s="108"/>
      <c r="RKT61" s="108"/>
      <c r="RKU61" s="108"/>
      <c r="RKV61" s="108"/>
      <c r="RKW61" s="108"/>
      <c r="RKX61" s="108"/>
      <c r="RKY61" s="108"/>
      <c r="RKZ61" s="108"/>
      <c r="RLA61" s="108"/>
      <c r="RLB61" s="108"/>
      <c r="RLC61" s="108"/>
      <c r="RLD61" s="108"/>
      <c r="RLE61" s="108"/>
      <c r="RLF61" s="108"/>
      <c r="RLG61" s="108"/>
      <c r="RLH61" s="108"/>
      <c r="RLI61" s="108"/>
      <c r="RLJ61" s="108"/>
      <c r="RLK61" s="108"/>
      <c r="RLL61" s="108"/>
      <c r="RLM61" s="108"/>
      <c r="RLN61" s="108"/>
      <c r="RLO61" s="108"/>
      <c r="RLP61" s="108"/>
      <c r="RLQ61" s="108"/>
      <c r="RLR61" s="108"/>
      <c r="RLS61" s="108"/>
      <c r="RLT61" s="108"/>
      <c r="RLU61" s="108"/>
      <c r="RLV61" s="108"/>
      <c r="RLW61" s="108"/>
      <c r="RLX61" s="108"/>
      <c r="RLY61" s="108"/>
      <c r="RLZ61" s="108"/>
      <c r="RMA61" s="108"/>
      <c r="RMB61" s="108"/>
      <c r="RMC61" s="108"/>
      <c r="RMD61" s="108"/>
      <c r="RME61" s="108"/>
      <c r="RMF61" s="108"/>
      <c r="RMG61" s="108"/>
      <c r="RMH61" s="108"/>
      <c r="RMI61" s="108"/>
      <c r="RMJ61" s="108"/>
      <c r="RMK61" s="108"/>
      <c r="RML61" s="108"/>
      <c r="RMM61" s="108"/>
      <c r="RMN61" s="108"/>
      <c r="RMO61" s="108"/>
      <c r="RMP61" s="108"/>
      <c r="RMQ61" s="108"/>
      <c r="RMR61" s="108"/>
      <c r="RMS61" s="108"/>
      <c r="RMT61" s="108"/>
      <c r="RMU61" s="108"/>
      <c r="RMV61" s="108"/>
      <c r="RMW61" s="108"/>
      <c r="RMX61" s="108"/>
      <c r="RMY61" s="108"/>
      <c r="RMZ61" s="108"/>
      <c r="RNA61" s="108"/>
      <c r="RNB61" s="108"/>
      <c r="RNC61" s="108"/>
      <c r="RND61" s="108"/>
      <c r="RNE61" s="108"/>
      <c r="RNF61" s="108"/>
      <c r="RNG61" s="108"/>
      <c r="RNH61" s="108"/>
      <c r="RNI61" s="108"/>
      <c r="RNJ61" s="108"/>
      <c r="RNK61" s="108"/>
      <c r="RNL61" s="108"/>
      <c r="RNM61" s="108"/>
      <c r="RNN61" s="108"/>
      <c r="RNO61" s="108"/>
      <c r="RNP61" s="108"/>
      <c r="RNQ61" s="108"/>
      <c r="RNR61" s="108"/>
      <c r="RNS61" s="108"/>
      <c r="RNT61" s="108"/>
      <c r="RNU61" s="108"/>
      <c r="RNV61" s="108"/>
      <c r="RNW61" s="108"/>
      <c r="RNX61" s="108"/>
      <c r="RNY61" s="108"/>
      <c r="RNZ61" s="108"/>
      <c r="ROA61" s="108"/>
      <c r="ROB61" s="108"/>
      <c r="ROC61" s="108"/>
      <c r="ROD61" s="108"/>
      <c r="ROE61" s="108"/>
      <c r="ROF61" s="108"/>
      <c r="ROG61" s="108"/>
      <c r="ROH61" s="108"/>
      <c r="ROI61" s="108"/>
      <c r="ROJ61" s="108"/>
      <c r="ROK61" s="108"/>
      <c r="ROL61" s="108"/>
      <c r="ROM61" s="108"/>
      <c r="RON61" s="108"/>
      <c r="ROO61" s="108"/>
      <c r="ROP61" s="108"/>
      <c r="ROQ61" s="108"/>
      <c r="ROR61" s="108"/>
      <c r="ROS61" s="108"/>
      <c r="ROT61" s="108"/>
      <c r="ROU61" s="108"/>
      <c r="ROV61" s="108"/>
      <c r="ROW61" s="108"/>
      <c r="ROX61" s="108"/>
      <c r="ROY61" s="108"/>
      <c r="ROZ61" s="108"/>
      <c r="RPA61" s="108"/>
      <c r="RPB61" s="108"/>
      <c r="RPC61" s="108"/>
      <c r="RPD61" s="108"/>
      <c r="RPE61" s="108"/>
      <c r="RPF61" s="108"/>
      <c r="RPG61" s="108"/>
      <c r="RPH61" s="108"/>
      <c r="RPI61" s="108"/>
      <c r="RPJ61" s="108"/>
      <c r="RPK61" s="108"/>
      <c r="RPL61" s="108"/>
      <c r="RPM61" s="108"/>
      <c r="RPN61" s="108"/>
      <c r="RPO61" s="108"/>
      <c r="RPP61" s="108"/>
      <c r="RPQ61" s="108"/>
      <c r="RPR61" s="108"/>
      <c r="RPS61" s="108"/>
      <c r="RPT61" s="108"/>
      <c r="RPU61" s="108"/>
      <c r="RPV61" s="108"/>
      <c r="RPW61" s="108"/>
      <c r="RPX61" s="108"/>
      <c r="RPY61" s="108"/>
      <c r="RPZ61" s="108"/>
      <c r="RQA61" s="108"/>
      <c r="RQB61" s="108"/>
      <c r="RQC61" s="108"/>
      <c r="RQD61" s="108"/>
      <c r="RQE61" s="108"/>
      <c r="RQF61" s="108"/>
      <c r="RQG61" s="108"/>
      <c r="RQH61" s="108"/>
      <c r="RQI61" s="108"/>
      <c r="RQJ61" s="108"/>
      <c r="RQK61" s="108"/>
      <c r="RQL61" s="108"/>
      <c r="RQM61" s="108"/>
      <c r="RQN61" s="108"/>
      <c r="RQO61" s="108"/>
      <c r="RQP61" s="108"/>
      <c r="RQQ61" s="108"/>
      <c r="RQR61" s="108"/>
      <c r="RQS61" s="108"/>
      <c r="RQT61" s="108"/>
      <c r="RQU61" s="108"/>
      <c r="RQV61" s="108"/>
      <c r="RQW61" s="108"/>
      <c r="RQX61" s="108"/>
      <c r="RQY61" s="108"/>
      <c r="RQZ61" s="108"/>
      <c r="RRA61" s="108"/>
      <c r="RRB61" s="108"/>
      <c r="RRC61" s="108"/>
      <c r="RRD61" s="108"/>
      <c r="RRE61" s="108"/>
      <c r="RRF61" s="108"/>
      <c r="RRG61" s="108"/>
      <c r="RRH61" s="108"/>
      <c r="RRI61" s="108"/>
      <c r="RRJ61" s="108"/>
      <c r="RRK61" s="108"/>
      <c r="RRL61" s="108"/>
      <c r="RRM61" s="108"/>
      <c r="RRN61" s="108"/>
      <c r="RRO61" s="108"/>
      <c r="RRP61" s="108"/>
      <c r="RRQ61" s="108"/>
      <c r="RRR61" s="108"/>
      <c r="RRS61" s="108"/>
      <c r="RRT61" s="108"/>
      <c r="RRU61" s="108"/>
      <c r="RRV61" s="108"/>
      <c r="RRW61" s="108"/>
      <c r="RRX61" s="108"/>
      <c r="RRY61" s="108"/>
      <c r="RRZ61" s="108"/>
      <c r="RSA61" s="108"/>
      <c r="RSB61" s="108"/>
      <c r="RSC61" s="108"/>
      <c r="RSD61" s="108"/>
      <c r="RSE61" s="108"/>
      <c r="RSF61" s="108"/>
      <c r="RSG61" s="108"/>
      <c r="RSH61" s="108"/>
      <c r="RSI61" s="108"/>
      <c r="RSJ61" s="108"/>
      <c r="RSK61" s="108"/>
      <c r="RSL61" s="108"/>
      <c r="RSM61" s="108"/>
      <c r="RSN61" s="108"/>
      <c r="RSO61" s="108"/>
      <c r="RSP61" s="108"/>
      <c r="RSQ61" s="108"/>
      <c r="RSR61" s="108"/>
      <c r="RSS61" s="108"/>
      <c r="RST61" s="108"/>
      <c r="RSU61" s="108"/>
      <c r="RSV61" s="108"/>
      <c r="RSW61" s="108"/>
      <c r="RSX61" s="108"/>
      <c r="RSY61" s="108"/>
      <c r="RSZ61" s="108"/>
      <c r="RTA61" s="108"/>
      <c r="RTB61" s="108"/>
      <c r="RTC61" s="108"/>
      <c r="RTD61" s="108"/>
      <c r="RTE61" s="108"/>
      <c r="RTF61" s="108"/>
      <c r="RTG61" s="108"/>
      <c r="RTH61" s="108"/>
      <c r="RTI61" s="108"/>
      <c r="RTJ61" s="108"/>
      <c r="RTK61" s="108"/>
      <c r="RTL61" s="108"/>
      <c r="RTM61" s="108"/>
      <c r="RTN61" s="108"/>
      <c r="RTO61" s="108"/>
      <c r="RTP61" s="108"/>
      <c r="RTQ61" s="108"/>
      <c r="RTR61" s="108"/>
      <c r="RTS61" s="108"/>
      <c r="RTT61" s="108"/>
      <c r="RTU61" s="108"/>
      <c r="RTV61" s="108"/>
      <c r="RTW61" s="108"/>
      <c r="RTX61" s="108"/>
      <c r="RTY61" s="108"/>
      <c r="RTZ61" s="108"/>
      <c r="RUA61" s="108"/>
      <c r="RUB61" s="108"/>
      <c r="RUC61" s="108"/>
      <c r="RUD61" s="108"/>
      <c r="RUE61" s="108"/>
      <c r="RUF61" s="108"/>
      <c r="RUG61" s="108"/>
      <c r="RUH61" s="108"/>
      <c r="RUI61" s="108"/>
      <c r="RUJ61" s="108"/>
      <c r="RUK61" s="108"/>
      <c r="RUL61" s="108"/>
      <c r="RUM61" s="108"/>
      <c r="RUN61" s="108"/>
      <c r="RUO61" s="108"/>
      <c r="RUP61" s="108"/>
      <c r="RUQ61" s="108"/>
      <c r="RUR61" s="108"/>
      <c r="RUS61" s="108"/>
      <c r="RUT61" s="108"/>
      <c r="RUU61" s="108"/>
      <c r="RUV61" s="108"/>
      <c r="RUW61" s="108"/>
      <c r="RUX61" s="108"/>
      <c r="RUY61" s="108"/>
      <c r="RUZ61" s="108"/>
      <c r="RVA61" s="108"/>
      <c r="RVB61" s="108"/>
      <c r="RVC61" s="108"/>
      <c r="RVD61" s="108"/>
      <c r="RVE61" s="108"/>
      <c r="RVF61" s="108"/>
      <c r="RVG61" s="108"/>
      <c r="RVH61" s="108"/>
      <c r="RVI61" s="108"/>
      <c r="RVJ61" s="108"/>
      <c r="RVK61" s="108"/>
      <c r="RVL61" s="108"/>
      <c r="RVM61" s="108"/>
      <c r="RVN61" s="108"/>
      <c r="RVO61" s="108"/>
      <c r="RVP61" s="108"/>
      <c r="RVQ61" s="108"/>
      <c r="RVR61" s="108"/>
      <c r="RVS61" s="108"/>
      <c r="RVT61" s="108"/>
      <c r="RVU61" s="108"/>
      <c r="RVV61" s="108"/>
      <c r="RVW61" s="108"/>
      <c r="RVX61" s="108"/>
      <c r="RVY61" s="108"/>
      <c r="RVZ61" s="108"/>
      <c r="RWA61" s="108"/>
      <c r="RWB61" s="108"/>
      <c r="RWC61" s="108"/>
      <c r="RWD61" s="108"/>
      <c r="RWE61" s="108"/>
      <c r="RWF61" s="108"/>
      <c r="RWG61" s="108"/>
      <c r="RWH61" s="108"/>
      <c r="RWI61" s="108"/>
      <c r="RWJ61" s="108"/>
      <c r="RWK61" s="108"/>
      <c r="RWL61" s="108"/>
      <c r="RWM61" s="108"/>
      <c r="RWN61" s="108"/>
      <c r="RWO61" s="108"/>
      <c r="RWP61" s="108"/>
      <c r="RWQ61" s="108"/>
      <c r="RWR61" s="108"/>
      <c r="RWS61" s="108"/>
      <c r="RWT61" s="108"/>
      <c r="RWU61" s="108"/>
      <c r="RWV61" s="108"/>
      <c r="RWW61" s="108"/>
      <c r="RWX61" s="108"/>
      <c r="RWY61" s="108"/>
      <c r="RWZ61" s="108"/>
      <c r="RXA61" s="108"/>
      <c r="RXB61" s="108"/>
      <c r="RXC61" s="108"/>
      <c r="RXD61" s="108"/>
      <c r="RXE61" s="108"/>
      <c r="RXF61" s="108"/>
      <c r="RXG61" s="108"/>
      <c r="RXH61" s="108"/>
      <c r="RXI61" s="108"/>
      <c r="RXJ61" s="108"/>
      <c r="RXK61" s="108"/>
      <c r="RXL61" s="108"/>
      <c r="RXM61" s="108"/>
      <c r="RXN61" s="108"/>
      <c r="RXO61" s="108"/>
      <c r="RXP61" s="108"/>
      <c r="RXQ61" s="108"/>
      <c r="RXR61" s="108"/>
      <c r="RXS61" s="108"/>
      <c r="RXT61" s="108"/>
      <c r="RXU61" s="108"/>
      <c r="RXV61" s="108"/>
      <c r="RXW61" s="108"/>
      <c r="RXX61" s="108"/>
      <c r="RXY61" s="108"/>
      <c r="RXZ61" s="108"/>
      <c r="RYA61" s="108"/>
      <c r="RYB61" s="108"/>
      <c r="RYC61" s="108"/>
      <c r="RYD61" s="108"/>
      <c r="RYE61" s="108"/>
      <c r="RYF61" s="108"/>
      <c r="RYG61" s="108"/>
      <c r="RYH61" s="108"/>
      <c r="RYI61" s="108"/>
      <c r="RYJ61" s="108"/>
      <c r="RYK61" s="108"/>
      <c r="RYL61" s="108"/>
      <c r="RYM61" s="108"/>
      <c r="RYN61" s="108"/>
      <c r="RYO61" s="108"/>
      <c r="RYP61" s="108"/>
      <c r="RYQ61" s="108"/>
      <c r="RYR61" s="108"/>
      <c r="RYS61" s="108"/>
      <c r="RYT61" s="108"/>
      <c r="RYU61" s="108"/>
      <c r="RYV61" s="108"/>
      <c r="RYW61" s="108"/>
      <c r="RYX61" s="108"/>
      <c r="RYY61" s="108"/>
      <c r="RYZ61" s="108"/>
      <c r="RZA61" s="108"/>
      <c r="RZB61" s="108"/>
      <c r="RZC61" s="108"/>
      <c r="RZD61" s="108"/>
      <c r="RZE61" s="108"/>
      <c r="RZF61" s="108"/>
      <c r="RZG61" s="108"/>
      <c r="RZH61" s="108"/>
      <c r="RZI61" s="108"/>
      <c r="RZJ61" s="108"/>
      <c r="RZK61" s="108"/>
      <c r="RZL61" s="108"/>
      <c r="RZM61" s="108"/>
      <c r="RZN61" s="108"/>
      <c r="RZO61" s="108"/>
      <c r="RZP61" s="108"/>
      <c r="RZQ61" s="108"/>
      <c r="RZR61" s="108"/>
      <c r="RZS61" s="108"/>
      <c r="RZT61" s="108"/>
      <c r="RZU61" s="108"/>
      <c r="RZV61" s="108"/>
      <c r="RZW61" s="108"/>
      <c r="RZX61" s="108"/>
      <c r="RZY61" s="108"/>
      <c r="RZZ61" s="108"/>
      <c r="SAA61" s="108"/>
      <c r="SAB61" s="108"/>
      <c r="SAC61" s="108"/>
      <c r="SAD61" s="108"/>
      <c r="SAE61" s="108"/>
      <c r="SAF61" s="108"/>
      <c r="SAG61" s="108"/>
      <c r="SAH61" s="108"/>
      <c r="SAI61" s="108"/>
      <c r="SAJ61" s="108"/>
      <c r="SAK61" s="108"/>
      <c r="SAL61" s="108"/>
      <c r="SAM61" s="108"/>
      <c r="SAN61" s="108"/>
      <c r="SAO61" s="108"/>
      <c r="SAP61" s="108"/>
      <c r="SAQ61" s="108"/>
      <c r="SAR61" s="108"/>
      <c r="SAS61" s="108"/>
      <c r="SAT61" s="108"/>
      <c r="SAU61" s="108"/>
      <c r="SAV61" s="108"/>
      <c r="SAW61" s="108"/>
      <c r="SAX61" s="108"/>
      <c r="SAY61" s="108"/>
      <c r="SAZ61" s="108"/>
      <c r="SBA61" s="108"/>
      <c r="SBB61" s="108"/>
      <c r="SBC61" s="108"/>
      <c r="SBD61" s="108"/>
      <c r="SBE61" s="108"/>
      <c r="SBF61" s="108"/>
      <c r="SBG61" s="108"/>
      <c r="SBH61" s="108"/>
      <c r="SBI61" s="108"/>
      <c r="SBJ61" s="108"/>
      <c r="SBK61" s="108"/>
      <c r="SBL61" s="108"/>
      <c r="SBM61" s="108"/>
      <c r="SBN61" s="108"/>
      <c r="SBO61" s="108"/>
      <c r="SBP61" s="108"/>
      <c r="SBQ61" s="108"/>
      <c r="SBR61" s="108"/>
      <c r="SBS61" s="108"/>
      <c r="SBT61" s="108"/>
      <c r="SBU61" s="108"/>
      <c r="SBV61" s="108"/>
      <c r="SBW61" s="108"/>
      <c r="SBX61" s="108"/>
      <c r="SBY61" s="108"/>
      <c r="SBZ61" s="108"/>
      <c r="SCA61" s="108"/>
      <c r="SCB61" s="108"/>
      <c r="SCC61" s="108"/>
      <c r="SCD61" s="108"/>
      <c r="SCE61" s="108"/>
      <c r="SCF61" s="108"/>
      <c r="SCG61" s="108"/>
      <c r="SCH61" s="108"/>
      <c r="SCI61" s="108"/>
      <c r="SCJ61" s="108"/>
      <c r="SCK61" s="108"/>
      <c r="SCL61" s="108"/>
      <c r="SCM61" s="108"/>
      <c r="SCN61" s="108"/>
      <c r="SCO61" s="108"/>
      <c r="SCP61" s="108"/>
      <c r="SCQ61" s="108"/>
      <c r="SCR61" s="108"/>
      <c r="SCS61" s="108"/>
      <c r="SCT61" s="108"/>
      <c r="SCU61" s="108"/>
      <c r="SCV61" s="108"/>
      <c r="SCW61" s="108"/>
      <c r="SCX61" s="108"/>
      <c r="SCY61" s="108"/>
      <c r="SCZ61" s="108"/>
      <c r="SDA61" s="108"/>
      <c r="SDB61" s="108"/>
      <c r="SDC61" s="108"/>
      <c r="SDD61" s="108"/>
      <c r="SDE61" s="108"/>
      <c r="SDF61" s="108"/>
      <c r="SDG61" s="108"/>
      <c r="SDH61" s="108"/>
      <c r="SDI61" s="108"/>
      <c r="SDJ61" s="108"/>
      <c r="SDK61" s="108"/>
      <c r="SDL61" s="108"/>
      <c r="SDM61" s="108"/>
      <c r="SDN61" s="108"/>
      <c r="SDO61" s="108"/>
      <c r="SDP61" s="108"/>
      <c r="SDQ61" s="108"/>
      <c r="SDR61" s="108"/>
      <c r="SDS61" s="108"/>
      <c r="SDT61" s="108"/>
      <c r="SDU61" s="108"/>
      <c r="SDV61" s="108"/>
      <c r="SDW61" s="108"/>
      <c r="SDX61" s="108"/>
      <c r="SDY61" s="108"/>
      <c r="SDZ61" s="108"/>
      <c r="SEA61" s="108"/>
      <c r="SEB61" s="108"/>
      <c r="SEC61" s="108"/>
      <c r="SED61" s="108"/>
      <c r="SEE61" s="108"/>
      <c r="SEF61" s="108"/>
      <c r="SEG61" s="108"/>
      <c r="SEH61" s="108"/>
      <c r="SEI61" s="108"/>
      <c r="SEJ61" s="108"/>
      <c r="SEK61" s="108"/>
      <c r="SEL61" s="108"/>
      <c r="SEM61" s="108"/>
      <c r="SEN61" s="108"/>
      <c r="SEO61" s="108"/>
      <c r="SEP61" s="108"/>
      <c r="SEQ61" s="108"/>
      <c r="SER61" s="108"/>
      <c r="SES61" s="108"/>
      <c r="SET61" s="108"/>
      <c r="SEU61" s="108"/>
      <c r="SEV61" s="108"/>
      <c r="SEW61" s="108"/>
      <c r="SEX61" s="108"/>
      <c r="SEY61" s="108"/>
      <c r="SEZ61" s="108"/>
      <c r="SFA61" s="108"/>
      <c r="SFB61" s="108"/>
      <c r="SFC61" s="108"/>
      <c r="SFD61" s="108"/>
      <c r="SFE61" s="108"/>
      <c r="SFF61" s="108"/>
      <c r="SFG61" s="108"/>
      <c r="SFH61" s="108"/>
      <c r="SFI61" s="108"/>
      <c r="SFJ61" s="108"/>
      <c r="SFK61" s="108"/>
      <c r="SFL61" s="108"/>
      <c r="SFM61" s="108"/>
      <c r="SFN61" s="108"/>
      <c r="SFO61" s="108"/>
      <c r="SFP61" s="108"/>
      <c r="SFQ61" s="108"/>
      <c r="SFR61" s="108"/>
      <c r="SFS61" s="108"/>
      <c r="SFT61" s="108"/>
      <c r="SFU61" s="108"/>
      <c r="SFV61" s="108"/>
      <c r="SFW61" s="108"/>
      <c r="SFX61" s="108"/>
      <c r="SFY61" s="108"/>
      <c r="SFZ61" s="108"/>
      <c r="SGA61" s="108"/>
      <c r="SGB61" s="108"/>
      <c r="SGC61" s="108"/>
      <c r="SGD61" s="108"/>
      <c r="SGE61" s="108"/>
      <c r="SGF61" s="108"/>
      <c r="SGG61" s="108"/>
      <c r="SGH61" s="108"/>
      <c r="SGI61" s="108"/>
      <c r="SGJ61" s="108"/>
      <c r="SGK61" s="108"/>
      <c r="SGL61" s="108"/>
      <c r="SGM61" s="108"/>
      <c r="SGN61" s="108"/>
      <c r="SGO61" s="108"/>
      <c r="SGP61" s="108"/>
      <c r="SGQ61" s="108"/>
      <c r="SGR61" s="108"/>
      <c r="SGS61" s="108"/>
      <c r="SGT61" s="108"/>
      <c r="SGU61" s="108"/>
      <c r="SGV61" s="108"/>
      <c r="SGW61" s="108"/>
      <c r="SGX61" s="108"/>
      <c r="SGY61" s="108"/>
      <c r="SGZ61" s="108"/>
      <c r="SHA61" s="108"/>
      <c r="SHB61" s="108"/>
      <c r="SHC61" s="108"/>
      <c r="SHD61" s="108"/>
      <c r="SHE61" s="108"/>
      <c r="SHF61" s="108"/>
      <c r="SHG61" s="108"/>
      <c r="SHH61" s="108"/>
      <c r="SHI61" s="108"/>
      <c r="SHJ61" s="108"/>
      <c r="SHK61" s="108"/>
      <c r="SHL61" s="108"/>
      <c r="SHM61" s="108"/>
      <c r="SHN61" s="108"/>
      <c r="SHO61" s="108"/>
      <c r="SHP61" s="108"/>
      <c r="SHQ61" s="108"/>
      <c r="SHR61" s="108"/>
      <c r="SHS61" s="108"/>
      <c r="SHT61" s="108"/>
      <c r="SHU61" s="108"/>
      <c r="SHV61" s="108"/>
      <c r="SHW61" s="108"/>
      <c r="SHX61" s="108"/>
      <c r="SHY61" s="108"/>
      <c r="SHZ61" s="108"/>
      <c r="SIA61" s="108"/>
      <c r="SIB61" s="108"/>
      <c r="SIC61" s="108"/>
      <c r="SID61" s="108"/>
      <c r="SIE61" s="108"/>
      <c r="SIF61" s="108"/>
      <c r="SIG61" s="108"/>
      <c r="SIH61" s="108"/>
      <c r="SII61" s="108"/>
      <c r="SIJ61" s="108"/>
      <c r="SIK61" s="108"/>
      <c r="SIL61" s="108"/>
      <c r="SIM61" s="108"/>
      <c r="SIN61" s="108"/>
      <c r="SIO61" s="108"/>
      <c r="SIP61" s="108"/>
      <c r="SIQ61" s="108"/>
      <c r="SIR61" s="108"/>
      <c r="SIS61" s="108"/>
      <c r="SIT61" s="108"/>
      <c r="SIU61" s="108"/>
      <c r="SIV61" s="108"/>
      <c r="SIW61" s="108"/>
      <c r="SIX61" s="108"/>
      <c r="SIY61" s="108"/>
      <c r="SIZ61" s="108"/>
      <c r="SJA61" s="108"/>
      <c r="SJB61" s="108"/>
      <c r="SJC61" s="108"/>
      <c r="SJD61" s="108"/>
      <c r="SJE61" s="108"/>
      <c r="SJF61" s="108"/>
      <c r="SJG61" s="108"/>
      <c r="SJH61" s="108"/>
      <c r="SJI61" s="108"/>
      <c r="SJJ61" s="108"/>
      <c r="SJK61" s="108"/>
      <c r="SJL61" s="108"/>
      <c r="SJM61" s="108"/>
      <c r="SJN61" s="108"/>
      <c r="SJO61" s="108"/>
      <c r="SJP61" s="108"/>
      <c r="SJQ61" s="108"/>
      <c r="SJR61" s="108"/>
      <c r="SJS61" s="108"/>
      <c r="SJT61" s="108"/>
      <c r="SJU61" s="108"/>
      <c r="SJV61" s="108"/>
      <c r="SJW61" s="108"/>
      <c r="SJX61" s="108"/>
      <c r="SJY61" s="108"/>
      <c r="SJZ61" s="108"/>
      <c r="SKA61" s="108"/>
      <c r="SKB61" s="108"/>
      <c r="SKC61" s="108"/>
      <c r="SKD61" s="108"/>
      <c r="SKE61" s="108"/>
      <c r="SKF61" s="108"/>
      <c r="SKG61" s="108"/>
      <c r="SKH61" s="108"/>
      <c r="SKI61" s="108"/>
      <c r="SKJ61" s="108"/>
      <c r="SKK61" s="108"/>
      <c r="SKL61" s="108"/>
      <c r="SKM61" s="108"/>
      <c r="SKN61" s="108"/>
      <c r="SKO61" s="108"/>
      <c r="SKP61" s="108"/>
      <c r="SKQ61" s="108"/>
      <c r="SKR61" s="108"/>
      <c r="SKS61" s="108"/>
      <c r="SKT61" s="108"/>
      <c r="SKU61" s="108"/>
      <c r="SKV61" s="108"/>
      <c r="SKW61" s="108"/>
      <c r="SKX61" s="108"/>
      <c r="SKY61" s="108"/>
      <c r="SKZ61" s="108"/>
      <c r="SLA61" s="108"/>
      <c r="SLB61" s="108"/>
      <c r="SLC61" s="108"/>
      <c r="SLD61" s="108"/>
      <c r="SLE61" s="108"/>
      <c r="SLF61" s="108"/>
      <c r="SLG61" s="108"/>
      <c r="SLH61" s="108"/>
      <c r="SLI61" s="108"/>
      <c r="SLJ61" s="108"/>
      <c r="SLK61" s="108"/>
      <c r="SLL61" s="108"/>
      <c r="SLM61" s="108"/>
      <c r="SLN61" s="108"/>
      <c r="SLO61" s="108"/>
      <c r="SLP61" s="108"/>
      <c r="SLQ61" s="108"/>
      <c r="SLR61" s="108"/>
      <c r="SLS61" s="108"/>
      <c r="SLT61" s="108"/>
      <c r="SLU61" s="108"/>
      <c r="SLV61" s="108"/>
      <c r="SLW61" s="108"/>
      <c r="SLX61" s="108"/>
      <c r="SLY61" s="108"/>
      <c r="SLZ61" s="108"/>
      <c r="SMA61" s="108"/>
      <c r="SMB61" s="108"/>
      <c r="SMC61" s="108"/>
      <c r="SMD61" s="108"/>
      <c r="SME61" s="108"/>
      <c r="SMF61" s="108"/>
      <c r="SMG61" s="108"/>
      <c r="SMH61" s="108"/>
      <c r="SMI61" s="108"/>
      <c r="SMJ61" s="108"/>
      <c r="SMK61" s="108"/>
      <c r="SML61" s="108"/>
      <c r="SMM61" s="108"/>
      <c r="SMN61" s="108"/>
      <c r="SMO61" s="108"/>
      <c r="SMP61" s="108"/>
      <c r="SMQ61" s="108"/>
      <c r="SMR61" s="108"/>
      <c r="SMS61" s="108"/>
      <c r="SMT61" s="108"/>
      <c r="SMU61" s="108"/>
      <c r="SMV61" s="108"/>
      <c r="SMW61" s="108"/>
      <c r="SMX61" s="108"/>
      <c r="SMY61" s="108"/>
      <c r="SMZ61" s="108"/>
      <c r="SNA61" s="108"/>
      <c r="SNB61" s="108"/>
      <c r="SNC61" s="108"/>
      <c r="SND61" s="108"/>
      <c r="SNE61" s="108"/>
      <c r="SNF61" s="108"/>
      <c r="SNG61" s="108"/>
      <c r="SNH61" s="108"/>
      <c r="SNI61" s="108"/>
      <c r="SNJ61" s="108"/>
      <c r="SNK61" s="108"/>
      <c r="SNL61" s="108"/>
      <c r="SNM61" s="108"/>
      <c r="SNN61" s="108"/>
      <c r="SNO61" s="108"/>
      <c r="SNP61" s="108"/>
      <c r="SNQ61" s="108"/>
      <c r="SNR61" s="108"/>
      <c r="SNS61" s="108"/>
      <c r="SNT61" s="108"/>
      <c r="SNU61" s="108"/>
      <c r="SNV61" s="108"/>
      <c r="SNW61" s="108"/>
      <c r="SNX61" s="108"/>
      <c r="SNY61" s="108"/>
      <c r="SNZ61" s="108"/>
      <c r="SOA61" s="108"/>
      <c r="SOB61" s="108"/>
      <c r="SOC61" s="108"/>
      <c r="SOD61" s="108"/>
      <c r="SOE61" s="108"/>
      <c r="SOF61" s="108"/>
      <c r="SOG61" s="108"/>
      <c r="SOH61" s="108"/>
      <c r="SOI61" s="108"/>
      <c r="SOJ61" s="108"/>
      <c r="SOK61" s="108"/>
      <c r="SOL61" s="108"/>
      <c r="SOM61" s="108"/>
      <c r="SON61" s="108"/>
      <c r="SOO61" s="108"/>
      <c r="SOP61" s="108"/>
      <c r="SOQ61" s="108"/>
      <c r="SOR61" s="108"/>
      <c r="SOS61" s="108"/>
      <c r="SOT61" s="108"/>
      <c r="SOU61" s="108"/>
      <c r="SOV61" s="108"/>
      <c r="SOW61" s="108"/>
      <c r="SOX61" s="108"/>
      <c r="SOY61" s="108"/>
      <c r="SOZ61" s="108"/>
      <c r="SPA61" s="108"/>
      <c r="SPB61" s="108"/>
      <c r="SPC61" s="108"/>
      <c r="SPD61" s="108"/>
      <c r="SPE61" s="108"/>
      <c r="SPF61" s="108"/>
      <c r="SPG61" s="108"/>
      <c r="SPH61" s="108"/>
      <c r="SPI61" s="108"/>
      <c r="SPJ61" s="108"/>
      <c r="SPK61" s="108"/>
      <c r="SPL61" s="108"/>
      <c r="SPM61" s="108"/>
      <c r="SPN61" s="108"/>
      <c r="SPO61" s="108"/>
      <c r="SPP61" s="108"/>
      <c r="SPQ61" s="108"/>
      <c r="SPR61" s="108"/>
      <c r="SPS61" s="108"/>
      <c r="SPT61" s="108"/>
      <c r="SPU61" s="108"/>
      <c r="SPV61" s="108"/>
      <c r="SPW61" s="108"/>
      <c r="SPX61" s="108"/>
      <c r="SPY61" s="108"/>
      <c r="SPZ61" s="108"/>
      <c r="SQA61" s="108"/>
      <c r="SQB61" s="108"/>
      <c r="SQC61" s="108"/>
      <c r="SQD61" s="108"/>
      <c r="SQE61" s="108"/>
      <c r="SQF61" s="108"/>
      <c r="SQG61" s="108"/>
      <c r="SQH61" s="108"/>
      <c r="SQI61" s="108"/>
      <c r="SQJ61" s="108"/>
      <c r="SQK61" s="108"/>
      <c r="SQL61" s="108"/>
      <c r="SQM61" s="108"/>
      <c r="SQN61" s="108"/>
      <c r="SQO61" s="108"/>
      <c r="SQP61" s="108"/>
      <c r="SQQ61" s="108"/>
      <c r="SQR61" s="108"/>
      <c r="SQS61" s="108"/>
      <c r="SQT61" s="108"/>
      <c r="SQU61" s="108"/>
      <c r="SQV61" s="108"/>
      <c r="SQW61" s="108"/>
      <c r="SQX61" s="108"/>
      <c r="SQY61" s="108"/>
      <c r="SQZ61" s="108"/>
      <c r="SRA61" s="108"/>
      <c r="SRB61" s="108"/>
      <c r="SRC61" s="108"/>
      <c r="SRD61" s="108"/>
      <c r="SRE61" s="108"/>
      <c r="SRF61" s="108"/>
      <c r="SRG61" s="108"/>
      <c r="SRH61" s="108"/>
      <c r="SRI61" s="108"/>
      <c r="SRJ61" s="108"/>
      <c r="SRK61" s="108"/>
      <c r="SRL61" s="108"/>
      <c r="SRM61" s="108"/>
      <c r="SRN61" s="108"/>
      <c r="SRO61" s="108"/>
      <c r="SRP61" s="108"/>
      <c r="SRQ61" s="108"/>
      <c r="SRR61" s="108"/>
      <c r="SRS61" s="108"/>
      <c r="SRT61" s="108"/>
      <c r="SRU61" s="108"/>
      <c r="SRV61" s="108"/>
      <c r="SRW61" s="108"/>
      <c r="SRX61" s="108"/>
      <c r="SRY61" s="108"/>
      <c r="SRZ61" s="108"/>
      <c r="SSA61" s="108"/>
      <c r="SSB61" s="108"/>
      <c r="SSC61" s="108"/>
      <c r="SSD61" s="108"/>
      <c r="SSE61" s="108"/>
      <c r="SSF61" s="108"/>
      <c r="SSG61" s="108"/>
      <c r="SSH61" s="108"/>
      <c r="SSI61" s="108"/>
      <c r="SSJ61" s="108"/>
      <c r="SSK61" s="108"/>
      <c r="SSL61" s="108"/>
      <c r="SSM61" s="108"/>
      <c r="SSN61" s="108"/>
      <c r="SSO61" s="108"/>
      <c r="SSP61" s="108"/>
      <c r="SSQ61" s="108"/>
      <c r="SSR61" s="108"/>
      <c r="SSS61" s="108"/>
      <c r="SST61" s="108"/>
      <c r="SSU61" s="108"/>
      <c r="SSV61" s="108"/>
      <c r="SSW61" s="108"/>
      <c r="SSX61" s="108"/>
      <c r="SSY61" s="108"/>
      <c r="SSZ61" s="108"/>
      <c r="STA61" s="108"/>
      <c r="STB61" s="108"/>
      <c r="STC61" s="108"/>
      <c r="STD61" s="108"/>
      <c r="STE61" s="108"/>
      <c r="STF61" s="108"/>
      <c r="STG61" s="108"/>
      <c r="STH61" s="108"/>
      <c r="STI61" s="108"/>
      <c r="STJ61" s="108"/>
      <c r="STK61" s="108"/>
      <c r="STL61" s="108"/>
      <c r="STM61" s="108"/>
      <c r="STN61" s="108"/>
      <c r="STO61" s="108"/>
      <c r="STP61" s="108"/>
      <c r="STQ61" s="108"/>
      <c r="STR61" s="108"/>
      <c r="STS61" s="108"/>
      <c r="STT61" s="108"/>
      <c r="STU61" s="108"/>
      <c r="STV61" s="108"/>
      <c r="STW61" s="108"/>
      <c r="STX61" s="108"/>
      <c r="STY61" s="108"/>
      <c r="STZ61" s="108"/>
      <c r="SUA61" s="108"/>
      <c r="SUB61" s="108"/>
      <c r="SUC61" s="108"/>
      <c r="SUD61" s="108"/>
      <c r="SUE61" s="108"/>
      <c r="SUF61" s="108"/>
      <c r="SUG61" s="108"/>
      <c r="SUH61" s="108"/>
      <c r="SUI61" s="108"/>
      <c r="SUJ61" s="108"/>
      <c r="SUK61" s="108"/>
      <c r="SUL61" s="108"/>
      <c r="SUM61" s="108"/>
      <c r="SUN61" s="108"/>
      <c r="SUO61" s="108"/>
      <c r="SUP61" s="108"/>
      <c r="SUQ61" s="108"/>
      <c r="SUR61" s="108"/>
      <c r="SUS61" s="108"/>
      <c r="SUT61" s="108"/>
      <c r="SUU61" s="108"/>
      <c r="SUV61" s="108"/>
      <c r="SUW61" s="108"/>
      <c r="SUX61" s="108"/>
      <c r="SUY61" s="108"/>
      <c r="SUZ61" s="108"/>
      <c r="SVA61" s="108"/>
      <c r="SVB61" s="108"/>
      <c r="SVC61" s="108"/>
      <c r="SVD61" s="108"/>
      <c r="SVE61" s="108"/>
      <c r="SVF61" s="108"/>
      <c r="SVG61" s="108"/>
      <c r="SVH61" s="108"/>
      <c r="SVI61" s="108"/>
      <c r="SVJ61" s="108"/>
      <c r="SVK61" s="108"/>
      <c r="SVL61" s="108"/>
      <c r="SVM61" s="108"/>
      <c r="SVN61" s="108"/>
      <c r="SVO61" s="108"/>
      <c r="SVP61" s="108"/>
      <c r="SVQ61" s="108"/>
      <c r="SVR61" s="108"/>
      <c r="SVS61" s="108"/>
      <c r="SVT61" s="108"/>
      <c r="SVU61" s="108"/>
      <c r="SVV61" s="108"/>
      <c r="SVW61" s="108"/>
      <c r="SVX61" s="108"/>
      <c r="SVY61" s="108"/>
      <c r="SVZ61" s="108"/>
      <c r="SWA61" s="108"/>
      <c r="SWB61" s="108"/>
      <c r="SWC61" s="108"/>
      <c r="SWD61" s="108"/>
      <c r="SWE61" s="108"/>
      <c r="SWF61" s="108"/>
      <c r="SWG61" s="108"/>
      <c r="SWH61" s="108"/>
      <c r="SWI61" s="108"/>
      <c r="SWJ61" s="108"/>
      <c r="SWK61" s="108"/>
      <c r="SWL61" s="108"/>
      <c r="SWM61" s="108"/>
      <c r="SWN61" s="108"/>
      <c r="SWO61" s="108"/>
      <c r="SWP61" s="108"/>
      <c r="SWQ61" s="108"/>
      <c r="SWR61" s="108"/>
      <c r="SWS61" s="108"/>
      <c r="SWT61" s="108"/>
      <c r="SWU61" s="108"/>
      <c r="SWV61" s="108"/>
      <c r="SWW61" s="108"/>
      <c r="SWX61" s="108"/>
      <c r="SWY61" s="108"/>
      <c r="SWZ61" s="108"/>
      <c r="SXA61" s="108"/>
      <c r="SXB61" s="108"/>
      <c r="SXC61" s="108"/>
      <c r="SXD61" s="108"/>
      <c r="SXE61" s="108"/>
      <c r="SXF61" s="108"/>
      <c r="SXG61" s="108"/>
      <c r="SXH61" s="108"/>
      <c r="SXI61" s="108"/>
      <c r="SXJ61" s="108"/>
      <c r="SXK61" s="108"/>
      <c r="SXL61" s="108"/>
      <c r="SXM61" s="108"/>
      <c r="SXN61" s="108"/>
      <c r="SXO61" s="108"/>
      <c r="SXP61" s="108"/>
      <c r="SXQ61" s="108"/>
      <c r="SXR61" s="108"/>
      <c r="SXS61" s="108"/>
      <c r="SXT61" s="108"/>
      <c r="SXU61" s="108"/>
      <c r="SXV61" s="108"/>
      <c r="SXW61" s="108"/>
      <c r="SXX61" s="108"/>
      <c r="SXY61" s="108"/>
      <c r="SXZ61" s="108"/>
      <c r="SYA61" s="108"/>
      <c r="SYB61" s="108"/>
      <c r="SYC61" s="108"/>
      <c r="SYD61" s="108"/>
      <c r="SYE61" s="108"/>
      <c r="SYF61" s="108"/>
      <c r="SYG61" s="108"/>
      <c r="SYH61" s="108"/>
      <c r="SYI61" s="108"/>
      <c r="SYJ61" s="108"/>
      <c r="SYK61" s="108"/>
      <c r="SYL61" s="108"/>
      <c r="SYM61" s="108"/>
      <c r="SYN61" s="108"/>
      <c r="SYO61" s="108"/>
      <c r="SYP61" s="108"/>
      <c r="SYQ61" s="108"/>
      <c r="SYR61" s="108"/>
      <c r="SYS61" s="108"/>
      <c r="SYT61" s="108"/>
      <c r="SYU61" s="108"/>
      <c r="SYV61" s="108"/>
      <c r="SYW61" s="108"/>
      <c r="SYX61" s="108"/>
      <c r="SYY61" s="108"/>
      <c r="SYZ61" s="108"/>
      <c r="SZA61" s="108"/>
      <c r="SZB61" s="108"/>
      <c r="SZC61" s="108"/>
      <c r="SZD61" s="108"/>
      <c r="SZE61" s="108"/>
      <c r="SZF61" s="108"/>
      <c r="SZG61" s="108"/>
      <c r="SZH61" s="108"/>
      <c r="SZI61" s="108"/>
      <c r="SZJ61" s="108"/>
      <c r="SZK61" s="108"/>
      <c r="SZL61" s="108"/>
      <c r="SZM61" s="108"/>
      <c r="SZN61" s="108"/>
      <c r="SZO61" s="108"/>
      <c r="SZP61" s="108"/>
      <c r="SZQ61" s="108"/>
      <c r="SZR61" s="108"/>
      <c r="SZS61" s="108"/>
      <c r="SZT61" s="108"/>
      <c r="SZU61" s="108"/>
      <c r="SZV61" s="108"/>
      <c r="SZW61" s="108"/>
      <c r="SZX61" s="108"/>
      <c r="SZY61" s="108"/>
      <c r="SZZ61" s="108"/>
      <c r="TAA61" s="108"/>
      <c r="TAB61" s="108"/>
      <c r="TAC61" s="108"/>
      <c r="TAD61" s="108"/>
      <c r="TAE61" s="108"/>
      <c r="TAF61" s="108"/>
      <c r="TAG61" s="108"/>
      <c r="TAH61" s="108"/>
      <c r="TAI61" s="108"/>
      <c r="TAJ61" s="108"/>
      <c r="TAK61" s="108"/>
      <c r="TAL61" s="108"/>
      <c r="TAM61" s="108"/>
      <c r="TAN61" s="108"/>
      <c r="TAO61" s="108"/>
      <c r="TAP61" s="108"/>
      <c r="TAQ61" s="108"/>
      <c r="TAR61" s="108"/>
      <c r="TAS61" s="108"/>
      <c r="TAT61" s="108"/>
      <c r="TAU61" s="108"/>
      <c r="TAV61" s="108"/>
      <c r="TAW61" s="108"/>
      <c r="TAX61" s="108"/>
      <c r="TAY61" s="108"/>
      <c r="TAZ61" s="108"/>
      <c r="TBA61" s="108"/>
      <c r="TBB61" s="108"/>
      <c r="TBC61" s="108"/>
      <c r="TBD61" s="108"/>
      <c r="TBE61" s="108"/>
      <c r="TBF61" s="108"/>
      <c r="TBG61" s="108"/>
      <c r="TBH61" s="108"/>
      <c r="TBI61" s="108"/>
      <c r="TBJ61" s="108"/>
      <c r="TBK61" s="108"/>
      <c r="TBL61" s="108"/>
      <c r="TBM61" s="108"/>
      <c r="TBN61" s="108"/>
      <c r="TBO61" s="108"/>
      <c r="TBP61" s="108"/>
      <c r="TBQ61" s="108"/>
      <c r="TBR61" s="108"/>
      <c r="TBS61" s="108"/>
      <c r="TBT61" s="108"/>
      <c r="TBU61" s="108"/>
      <c r="TBV61" s="108"/>
      <c r="TBW61" s="108"/>
      <c r="TBX61" s="108"/>
      <c r="TBY61" s="108"/>
      <c r="TBZ61" s="108"/>
      <c r="TCA61" s="108"/>
      <c r="TCB61" s="108"/>
      <c r="TCC61" s="108"/>
      <c r="TCD61" s="108"/>
      <c r="TCE61" s="108"/>
      <c r="TCF61" s="108"/>
      <c r="TCG61" s="108"/>
      <c r="TCH61" s="108"/>
      <c r="TCI61" s="108"/>
      <c r="TCJ61" s="108"/>
      <c r="TCK61" s="108"/>
      <c r="TCL61" s="108"/>
      <c r="TCM61" s="108"/>
      <c r="TCN61" s="108"/>
      <c r="TCO61" s="108"/>
      <c r="TCP61" s="108"/>
      <c r="TCQ61" s="108"/>
      <c r="TCR61" s="108"/>
      <c r="TCS61" s="108"/>
      <c r="TCT61" s="108"/>
      <c r="TCU61" s="108"/>
      <c r="TCV61" s="108"/>
      <c r="TCW61" s="108"/>
      <c r="TCX61" s="108"/>
      <c r="TCY61" s="108"/>
      <c r="TCZ61" s="108"/>
      <c r="TDA61" s="108"/>
      <c r="TDB61" s="108"/>
      <c r="TDC61" s="108"/>
      <c r="TDD61" s="108"/>
      <c r="TDE61" s="108"/>
      <c r="TDF61" s="108"/>
      <c r="TDG61" s="108"/>
      <c r="TDH61" s="108"/>
      <c r="TDI61" s="108"/>
      <c r="TDJ61" s="108"/>
      <c r="TDK61" s="108"/>
      <c r="TDL61" s="108"/>
      <c r="TDM61" s="108"/>
      <c r="TDN61" s="108"/>
      <c r="TDO61" s="108"/>
      <c r="TDP61" s="108"/>
      <c r="TDQ61" s="108"/>
      <c r="TDR61" s="108"/>
      <c r="TDS61" s="108"/>
      <c r="TDT61" s="108"/>
      <c r="TDU61" s="108"/>
      <c r="TDV61" s="108"/>
      <c r="TDW61" s="108"/>
      <c r="TDX61" s="108"/>
      <c r="TDY61" s="108"/>
      <c r="TDZ61" s="108"/>
      <c r="TEA61" s="108"/>
      <c r="TEB61" s="108"/>
      <c r="TEC61" s="108"/>
      <c r="TED61" s="108"/>
      <c r="TEE61" s="108"/>
      <c r="TEF61" s="108"/>
      <c r="TEG61" s="108"/>
      <c r="TEH61" s="108"/>
      <c r="TEI61" s="108"/>
      <c r="TEJ61" s="108"/>
      <c r="TEK61" s="108"/>
      <c r="TEL61" s="108"/>
      <c r="TEM61" s="108"/>
      <c r="TEN61" s="108"/>
      <c r="TEO61" s="108"/>
      <c r="TEP61" s="108"/>
      <c r="TEQ61" s="108"/>
      <c r="TER61" s="108"/>
      <c r="TES61" s="108"/>
      <c r="TET61" s="108"/>
      <c r="TEU61" s="108"/>
      <c r="TEV61" s="108"/>
      <c r="TEW61" s="108"/>
      <c r="TEX61" s="108"/>
      <c r="TEY61" s="108"/>
      <c r="TEZ61" s="108"/>
      <c r="TFA61" s="108"/>
      <c r="TFB61" s="108"/>
      <c r="TFC61" s="108"/>
      <c r="TFD61" s="108"/>
      <c r="TFE61" s="108"/>
      <c r="TFF61" s="108"/>
      <c r="TFG61" s="108"/>
      <c r="TFH61" s="108"/>
      <c r="TFI61" s="108"/>
      <c r="TFJ61" s="108"/>
      <c r="TFK61" s="108"/>
      <c r="TFL61" s="108"/>
      <c r="TFM61" s="108"/>
      <c r="TFN61" s="108"/>
      <c r="TFO61" s="108"/>
      <c r="TFP61" s="108"/>
      <c r="TFQ61" s="108"/>
      <c r="TFR61" s="108"/>
      <c r="TFS61" s="108"/>
      <c r="TFT61" s="108"/>
      <c r="TFU61" s="108"/>
      <c r="TFV61" s="108"/>
      <c r="TFW61" s="108"/>
      <c r="TFX61" s="108"/>
      <c r="TFY61" s="108"/>
      <c r="TFZ61" s="108"/>
      <c r="TGA61" s="108"/>
      <c r="TGB61" s="108"/>
      <c r="TGC61" s="108"/>
      <c r="TGD61" s="108"/>
      <c r="TGE61" s="108"/>
      <c r="TGF61" s="108"/>
      <c r="TGG61" s="108"/>
      <c r="TGH61" s="108"/>
      <c r="TGI61" s="108"/>
      <c r="TGJ61" s="108"/>
      <c r="TGK61" s="108"/>
      <c r="TGL61" s="108"/>
      <c r="TGM61" s="108"/>
      <c r="TGN61" s="108"/>
      <c r="TGO61" s="108"/>
      <c r="TGP61" s="108"/>
      <c r="TGQ61" s="108"/>
      <c r="TGR61" s="108"/>
      <c r="TGS61" s="108"/>
      <c r="TGT61" s="108"/>
      <c r="TGU61" s="108"/>
      <c r="TGV61" s="108"/>
      <c r="TGW61" s="108"/>
      <c r="TGX61" s="108"/>
      <c r="TGY61" s="108"/>
      <c r="TGZ61" s="108"/>
      <c r="THA61" s="108"/>
      <c r="THB61" s="108"/>
      <c r="THC61" s="108"/>
      <c r="THD61" s="108"/>
      <c r="THE61" s="108"/>
      <c r="THF61" s="108"/>
      <c r="THG61" s="108"/>
      <c r="THH61" s="108"/>
      <c r="THI61" s="108"/>
      <c r="THJ61" s="108"/>
      <c r="THK61" s="108"/>
      <c r="THL61" s="108"/>
      <c r="THM61" s="108"/>
      <c r="THN61" s="108"/>
      <c r="THO61" s="108"/>
      <c r="THP61" s="108"/>
      <c r="THQ61" s="108"/>
      <c r="THR61" s="108"/>
      <c r="THS61" s="108"/>
      <c r="THT61" s="108"/>
      <c r="THU61" s="108"/>
      <c r="THV61" s="108"/>
      <c r="THW61" s="108"/>
      <c r="THX61" s="108"/>
      <c r="THY61" s="108"/>
      <c r="THZ61" s="108"/>
      <c r="TIA61" s="108"/>
      <c r="TIB61" s="108"/>
      <c r="TIC61" s="108"/>
      <c r="TID61" s="108"/>
      <c r="TIE61" s="108"/>
      <c r="TIF61" s="108"/>
      <c r="TIG61" s="108"/>
      <c r="TIH61" s="108"/>
      <c r="TII61" s="108"/>
      <c r="TIJ61" s="108"/>
      <c r="TIK61" s="108"/>
      <c r="TIL61" s="108"/>
      <c r="TIM61" s="108"/>
      <c r="TIN61" s="108"/>
      <c r="TIO61" s="108"/>
      <c r="TIP61" s="108"/>
      <c r="TIQ61" s="108"/>
      <c r="TIR61" s="108"/>
      <c r="TIS61" s="108"/>
      <c r="TIT61" s="108"/>
      <c r="TIU61" s="108"/>
      <c r="TIV61" s="108"/>
      <c r="TIW61" s="108"/>
      <c r="TIX61" s="108"/>
      <c r="TIY61" s="108"/>
      <c r="TIZ61" s="108"/>
      <c r="TJA61" s="108"/>
      <c r="TJB61" s="108"/>
      <c r="TJC61" s="108"/>
      <c r="TJD61" s="108"/>
      <c r="TJE61" s="108"/>
      <c r="TJF61" s="108"/>
      <c r="TJG61" s="108"/>
      <c r="TJH61" s="108"/>
      <c r="TJI61" s="108"/>
      <c r="TJJ61" s="108"/>
      <c r="TJK61" s="108"/>
      <c r="TJL61" s="108"/>
      <c r="TJM61" s="108"/>
      <c r="TJN61" s="108"/>
      <c r="TJO61" s="108"/>
      <c r="TJP61" s="108"/>
      <c r="TJQ61" s="108"/>
      <c r="TJR61" s="108"/>
      <c r="TJS61" s="108"/>
      <c r="TJT61" s="108"/>
      <c r="TJU61" s="108"/>
      <c r="TJV61" s="108"/>
      <c r="TJW61" s="108"/>
      <c r="TJX61" s="108"/>
      <c r="TJY61" s="108"/>
      <c r="TJZ61" s="108"/>
      <c r="TKA61" s="108"/>
      <c r="TKB61" s="108"/>
      <c r="TKC61" s="108"/>
      <c r="TKD61" s="108"/>
      <c r="TKE61" s="108"/>
      <c r="TKF61" s="108"/>
      <c r="TKG61" s="108"/>
      <c r="TKH61" s="108"/>
      <c r="TKI61" s="108"/>
      <c r="TKJ61" s="108"/>
      <c r="TKK61" s="108"/>
      <c r="TKL61" s="108"/>
      <c r="TKM61" s="108"/>
      <c r="TKN61" s="108"/>
      <c r="TKO61" s="108"/>
      <c r="TKP61" s="108"/>
      <c r="TKQ61" s="108"/>
      <c r="TKR61" s="108"/>
      <c r="TKS61" s="108"/>
      <c r="TKT61" s="108"/>
      <c r="TKU61" s="108"/>
      <c r="TKV61" s="108"/>
      <c r="TKW61" s="108"/>
      <c r="TKX61" s="108"/>
      <c r="TKY61" s="108"/>
      <c r="TKZ61" s="108"/>
      <c r="TLA61" s="108"/>
      <c r="TLB61" s="108"/>
      <c r="TLC61" s="108"/>
      <c r="TLD61" s="108"/>
      <c r="TLE61" s="108"/>
      <c r="TLF61" s="108"/>
      <c r="TLG61" s="108"/>
      <c r="TLH61" s="108"/>
      <c r="TLI61" s="108"/>
      <c r="TLJ61" s="108"/>
      <c r="TLK61" s="108"/>
      <c r="TLL61" s="108"/>
      <c r="TLM61" s="108"/>
      <c r="TLN61" s="108"/>
      <c r="TLO61" s="108"/>
      <c r="TLP61" s="108"/>
      <c r="TLQ61" s="108"/>
      <c r="TLR61" s="108"/>
      <c r="TLS61" s="108"/>
      <c r="TLT61" s="108"/>
      <c r="TLU61" s="108"/>
      <c r="TLV61" s="108"/>
      <c r="TLW61" s="108"/>
      <c r="TLX61" s="108"/>
      <c r="TLY61" s="108"/>
      <c r="TLZ61" s="108"/>
      <c r="TMA61" s="108"/>
      <c r="TMB61" s="108"/>
      <c r="TMC61" s="108"/>
      <c r="TMD61" s="108"/>
      <c r="TME61" s="108"/>
      <c r="TMF61" s="108"/>
      <c r="TMG61" s="108"/>
      <c r="TMH61" s="108"/>
      <c r="TMI61" s="108"/>
      <c r="TMJ61" s="108"/>
      <c r="TMK61" s="108"/>
      <c r="TML61" s="108"/>
      <c r="TMM61" s="108"/>
      <c r="TMN61" s="108"/>
      <c r="TMO61" s="108"/>
      <c r="TMP61" s="108"/>
      <c r="TMQ61" s="108"/>
      <c r="TMR61" s="108"/>
      <c r="TMS61" s="108"/>
      <c r="TMT61" s="108"/>
      <c r="TMU61" s="108"/>
      <c r="TMV61" s="108"/>
      <c r="TMW61" s="108"/>
      <c r="TMX61" s="108"/>
      <c r="TMY61" s="108"/>
      <c r="TMZ61" s="108"/>
      <c r="TNA61" s="108"/>
      <c r="TNB61" s="108"/>
      <c r="TNC61" s="108"/>
      <c r="TND61" s="108"/>
      <c r="TNE61" s="108"/>
      <c r="TNF61" s="108"/>
      <c r="TNG61" s="108"/>
      <c r="TNH61" s="108"/>
      <c r="TNI61" s="108"/>
      <c r="TNJ61" s="108"/>
      <c r="TNK61" s="108"/>
      <c r="TNL61" s="108"/>
      <c r="TNM61" s="108"/>
      <c r="TNN61" s="108"/>
      <c r="TNO61" s="108"/>
      <c r="TNP61" s="108"/>
      <c r="TNQ61" s="108"/>
      <c r="TNR61" s="108"/>
      <c r="TNS61" s="108"/>
      <c r="TNT61" s="108"/>
      <c r="TNU61" s="108"/>
      <c r="TNV61" s="108"/>
      <c r="TNW61" s="108"/>
      <c r="TNX61" s="108"/>
      <c r="TNY61" s="108"/>
      <c r="TNZ61" s="108"/>
      <c r="TOA61" s="108"/>
      <c r="TOB61" s="108"/>
      <c r="TOC61" s="108"/>
      <c r="TOD61" s="108"/>
      <c r="TOE61" s="108"/>
      <c r="TOF61" s="108"/>
      <c r="TOG61" s="108"/>
      <c r="TOH61" s="108"/>
      <c r="TOI61" s="108"/>
      <c r="TOJ61" s="108"/>
      <c r="TOK61" s="108"/>
      <c r="TOL61" s="108"/>
      <c r="TOM61" s="108"/>
      <c r="TON61" s="108"/>
      <c r="TOO61" s="108"/>
      <c r="TOP61" s="108"/>
      <c r="TOQ61" s="108"/>
      <c r="TOR61" s="108"/>
      <c r="TOS61" s="108"/>
      <c r="TOT61" s="108"/>
      <c r="TOU61" s="108"/>
      <c r="TOV61" s="108"/>
      <c r="TOW61" s="108"/>
      <c r="TOX61" s="108"/>
      <c r="TOY61" s="108"/>
      <c r="TOZ61" s="108"/>
      <c r="TPA61" s="108"/>
      <c r="TPB61" s="108"/>
      <c r="TPC61" s="108"/>
      <c r="TPD61" s="108"/>
      <c r="TPE61" s="108"/>
      <c r="TPF61" s="108"/>
      <c r="TPG61" s="108"/>
      <c r="TPH61" s="108"/>
      <c r="TPI61" s="108"/>
      <c r="TPJ61" s="108"/>
      <c r="TPK61" s="108"/>
      <c r="TPL61" s="108"/>
      <c r="TPM61" s="108"/>
      <c r="TPN61" s="108"/>
      <c r="TPO61" s="108"/>
      <c r="TPP61" s="108"/>
      <c r="TPQ61" s="108"/>
      <c r="TPR61" s="108"/>
      <c r="TPS61" s="108"/>
      <c r="TPT61" s="108"/>
      <c r="TPU61" s="108"/>
      <c r="TPV61" s="108"/>
      <c r="TPW61" s="108"/>
      <c r="TPX61" s="108"/>
      <c r="TPY61" s="108"/>
      <c r="TPZ61" s="108"/>
      <c r="TQA61" s="108"/>
      <c r="TQB61" s="108"/>
      <c r="TQC61" s="108"/>
      <c r="TQD61" s="108"/>
      <c r="TQE61" s="108"/>
      <c r="TQF61" s="108"/>
      <c r="TQG61" s="108"/>
      <c r="TQH61" s="108"/>
      <c r="TQI61" s="108"/>
      <c r="TQJ61" s="108"/>
      <c r="TQK61" s="108"/>
      <c r="TQL61" s="108"/>
      <c r="TQM61" s="108"/>
      <c r="TQN61" s="108"/>
      <c r="TQO61" s="108"/>
      <c r="TQP61" s="108"/>
      <c r="TQQ61" s="108"/>
      <c r="TQR61" s="108"/>
      <c r="TQS61" s="108"/>
      <c r="TQT61" s="108"/>
      <c r="TQU61" s="108"/>
      <c r="TQV61" s="108"/>
      <c r="TQW61" s="108"/>
      <c r="TQX61" s="108"/>
      <c r="TQY61" s="108"/>
      <c r="TQZ61" s="108"/>
      <c r="TRA61" s="108"/>
      <c r="TRB61" s="108"/>
      <c r="TRC61" s="108"/>
      <c r="TRD61" s="108"/>
      <c r="TRE61" s="108"/>
      <c r="TRF61" s="108"/>
      <c r="TRG61" s="108"/>
      <c r="TRH61" s="108"/>
      <c r="TRI61" s="108"/>
      <c r="TRJ61" s="108"/>
      <c r="TRK61" s="108"/>
      <c r="TRL61" s="108"/>
      <c r="TRM61" s="108"/>
      <c r="TRN61" s="108"/>
      <c r="TRO61" s="108"/>
      <c r="TRP61" s="108"/>
      <c r="TRQ61" s="108"/>
      <c r="TRR61" s="108"/>
      <c r="TRS61" s="108"/>
      <c r="TRT61" s="108"/>
      <c r="TRU61" s="108"/>
      <c r="TRV61" s="108"/>
      <c r="TRW61" s="108"/>
      <c r="TRX61" s="108"/>
      <c r="TRY61" s="108"/>
      <c r="TRZ61" s="108"/>
      <c r="TSA61" s="108"/>
      <c r="TSB61" s="108"/>
      <c r="TSC61" s="108"/>
      <c r="TSD61" s="108"/>
      <c r="TSE61" s="108"/>
      <c r="TSF61" s="108"/>
      <c r="TSG61" s="108"/>
      <c r="TSH61" s="108"/>
      <c r="TSI61" s="108"/>
      <c r="TSJ61" s="108"/>
      <c r="TSK61" s="108"/>
      <c r="TSL61" s="108"/>
      <c r="TSM61" s="108"/>
      <c r="TSN61" s="108"/>
      <c r="TSO61" s="108"/>
      <c r="TSP61" s="108"/>
      <c r="TSQ61" s="108"/>
      <c r="TSR61" s="108"/>
      <c r="TSS61" s="108"/>
      <c r="TST61" s="108"/>
      <c r="TSU61" s="108"/>
      <c r="TSV61" s="108"/>
      <c r="TSW61" s="108"/>
      <c r="TSX61" s="108"/>
      <c r="TSY61" s="108"/>
      <c r="TSZ61" s="108"/>
      <c r="TTA61" s="108"/>
      <c r="TTB61" s="108"/>
      <c r="TTC61" s="108"/>
      <c r="TTD61" s="108"/>
      <c r="TTE61" s="108"/>
      <c r="TTF61" s="108"/>
      <c r="TTG61" s="108"/>
      <c r="TTH61" s="108"/>
      <c r="TTI61" s="108"/>
      <c r="TTJ61" s="108"/>
      <c r="TTK61" s="108"/>
      <c r="TTL61" s="108"/>
      <c r="TTM61" s="108"/>
      <c r="TTN61" s="108"/>
      <c r="TTO61" s="108"/>
      <c r="TTP61" s="108"/>
      <c r="TTQ61" s="108"/>
      <c r="TTR61" s="108"/>
      <c r="TTS61" s="108"/>
      <c r="TTT61" s="108"/>
      <c r="TTU61" s="108"/>
      <c r="TTV61" s="108"/>
      <c r="TTW61" s="108"/>
      <c r="TTX61" s="108"/>
      <c r="TTY61" s="108"/>
      <c r="TTZ61" s="108"/>
      <c r="TUA61" s="108"/>
      <c r="TUB61" s="108"/>
      <c r="TUC61" s="108"/>
      <c r="TUD61" s="108"/>
      <c r="TUE61" s="108"/>
      <c r="TUF61" s="108"/>
      <c r="TUG61" s="108"/>
      <c r="TUH61" s="108"/>
      <c r="TUI61" s="108"/>
      <c r="TUJ61" s="108"/>
      <c r="TUK61" s="108"/>
      <c r="TUL61" s="108"/>
      <c r="TUM61" s="108"/>
      <c r="TUN61" s="108"/>
      <c r="TUO61" s="108"/>
      <c r="TUP61" s="108"/>
      <c r="TUQ61" s="108"/>
      <c r="TUR61" s="108"/>
      <c r="TUS61" s="108"/>
      <c r="TUT61" s="108"/>
      <c r="TUU61" s="108"/>
      <c r="TUV61" s="108"/>
      <c r="TUW61" s="108"/>
      <c r="TUX61" s="108"/>
      <c r="TUY61" s="108"/>
      <c r="TUZ61" s="108"/>
      <c r="TVA61" s="108"/>
      <c r="TVB61" s="108"/>
      <c r="TVC61" s="108"/>
      <c r="TVD61" s="108"/>
      <c r="TVE61" s="108"/>
      <c r="TVF61" s="108"/>
      <c r="TVG61" s="108"/>
      <c r="TVH61" s="108"/>
      <c r="TVI61" s="108"/>
      <c r="TVJ61" s="108"/>
      <c r="TVK61" s="108"/>
      <c r="TVL61" s="108"/>
      <c r="TVM61" s="108"/>
      <c r="TVN61" s="108"/>
      <c r="TVO61" s="108"/>
      <c r="TVP61" s="108"/>
      <c r="TVQ61" s="108"/>
      <c r="TVR61" s="108"/>
      <c r="TVS61" s="108"/>
      <c r="TVT61" s="108"/>
      <c r="TVU61" s="108"/>
      <c r="TVV61" s="108"/>
      <c r="TVW61" s="108"/>
      <c r="TVX61" s="108"/>
      <c r="TVY61" s="108"/>
      <c r="TVZ61" s="108"/>
      <c r="TWA61" s="108"/>
      <c r="TWB61" s="108"/>
      <c r="TWC61" s="108"/>
      <c r="TWD61" s="108"/>
      <c r="TWE61" s="108"/>
      <c r="TWF61" s="108"/>
      <c r="TWG61" s="108"/>
      <c r="TWH61" s="108"/>
      <c r="TWI61" s="108"/>
      <c r="TWJ61" s="108"/>
      <c r="TWK61" s="108"/>
      <c r="TWL61" s="108"/>
      <c r="TWM61" s="108"/>
      <c r="TWN61" s="108"/>
      <c r="TWO61" s="108"/>
      <c r="TWP61" s="108"/>
      <c r="TWQ61" s="108"/>
      <c r="TWR61" s="108"/>
      <c r="TWS61" s="108"/>
      <c r="TWT61" s="108"/>
      <c r="TWU61" s="108"/>
      <c r="TWV61" s="108"/>
      <c r="TWW61" s="108"/>
      <c r="TWX61" s="108"/>
      <c r="TWY61" s="108"/>
      <c r="TWZ61" s="108"/>
      <c r="TXA61" s="108"/>
      <c r="TXB61" s="108"/>
      <c r="TXC61" s="108"/>
      <c r="TXD61" s="108"/>
      <c r="TXE61" s="108"/>
      <c r="TXF61" s="108"/>
      <c r="TXG61" s="108"/>
      <c r="TXH61" s="108"/>
      <c r="TXI61" s="108"/>
      <c r="TXJ61" s="108"/>
      <c r="TXK61" s="108"/>
      <c r="TXL61" s="108"/>
      <c r="TXM61" s="108"/>
      <c r="TXN61" s="108"/>
      <c r="TXO61" s="108"/>
      <c r="TXP61" s="108"/>
      <c r="TXQ61" s="108"/>
      <c r="TXR61" s="108"/>
      <c r="TXS61" s="108"/>
      <c r="TXT61" s="108"/>
      <c r="TXU61" s="108"/>
      <c r="TXV61" s="108"/>
      <c r="TXW61" s="108"/>
      <c r="TXX61" s="108"/>
      <c r="TXY61" s="108"/>
      <c r="TXZ61" s="108"/>
      <c r="TYA61" s="108"/>
      <c r="TYB61" s="108"/>
      <c r="TYC61" s="108"/>
      <c r="TYD61" s="108"/>
      <c r="TYE61" s="108"/>
      <c r="TYF61" s="108"/>
      <c r="TYG61" s="108"/>
      <c r="TYH61" s="108"/>
      <c r="TYI61" s="108"/>
      <c r="TYJ61" s="108"/>
      <c r="TYK61" s="108"/>
      <c r="TYL61" s="108"/>
      <c r="TYM61" s="108"/>
      <c r="TYN61" s="108"/>
      <c r="TYO61" s="108"/>
      <c r="TYP61" s="108"/>
      <c r="TYQ61" s="108"/>
      <c r="TYR61" s="108"/>
      <c r="TYS61" s="108"/>
      <c r="TYT61" s="108"/>
      <c r="TYU61" s="108"/>
      <c r="TYV61" s="108"/>
      <c r="TYW61" s="108"/>
      <c r="TYX61" s="108"/>
      <c r="TYY61" s="108"/>
      <c r="TYZ61" s="108"/>
      <c r="TZA61" s="108"/>
      <c r="TZB61" s="108"/>
      <c r="TZC61" s="108"/>
      <c r="TZD61" s="108"/>
      <c r="TZE61" s="108"/>
      <c r="TZF61" s="108"/>
      <c r="TZG61" s="108"/>
      <c r="TZH61" s="108"/>
      <c r="TZI61" s="108"/>
      <c r="TZJ61" s="108"/>
      <c r="TZK61" s="108"/>
      <c r="TZL61" s="108"/>
      <c r="TZM61" s="108"/>
      <c r="TZN61" s="108"/>
      <c r="TZO61" s="108"/>
      <c r="TZP61" s="108"/>
      <c r="TZQ61" s="108"/>
      <c r="TZR61" s="108"/>
      <c r="TZS61" s="108"/>
      <c r="TZT61" s="108"/>
      <c r="TZU61" s="108"/>
      <c r="TZV61" s="108"/>
      <c r="TZW61" s="108"/>
      <c r="TZX61" s="108"/>
      <c r="TZY61" s="108"/>
      <c r="TZZ61" s="108"/>
      <c r="UAA61" s="108"/>
      <c r="UAB61" s="108"/>
      <c r="UAC61" s="108"/>
      <c r="UAD61" s="108"/>
      <c r="UAE61" s="108"/>
      <c r="UAF61" s="108"/>
      <c r="UAG61" s="108"/>
      <c r="UAH61" s="108"/>
      <c r="UAI61" s="108"/>
      <c r="UAJ61" s="108"/>
      <c r="UAK61" s="108"/>
      <c r="UAL61" s="108"/>
      <c r="UAM61" s="108"/>
      <c r="UAN61" s="108"/>
      <c r="UAO61" s="108"/>
      <c r="UAP61" s="108"/>
      <c r="UAQ61" s="108"/>
      <c r="UAR61" s="108"/>
      <c r="UAS61" s="108"/>
      <c r="UAT61" s="108"/>
      <c r="UAU61" s="108"/>
      <c r="UAV61" s="108"/>
      <c r="UAW61" s="108"/>
      <c r="UAX61" s="108"/>
      <c r="UAY61" s="108"/>
      <c r="UAZ61" s="108"/>
      <c r="UBA61" s="108"/>
      <c r="UBB61" s="108"/>
      <c r="UBC61" s="108"/>
      <c r="UBD61" s="108"/>
      <c r="UBE61" s="108"/>
      <c r="UBF61" s="108"/>
      <c r="UBG61" s="108"/>
      <c r="UBH61" s="108"/>
      <c r="UBI61" s="108"/>
      <c r="UBJ61" s="108"/>
      <c r="UBK61" s="108"/>
      <c r="UBL61" s="108"/>
      <c r="UBM61" s="108"/>
      <c r="UBN61" s="108"/>
      <c r="UBO61" s="108"/>
      <c r="UBP61" s="108"/>
      <c r="UBQ61" s="108"/>
      <c r="UBR61" s="108"/>
      <c r="UBS61" s="108"/>
      <c r="UBT61" s="108"/>
      <c r="UBU61" s="108"/>
      <c r="UBV61" s="108"/>
      <c r="UBW61" s="108"/>
      <c r="UBX61" s="108"/>
      <c r="UBY61" s="108"/>
      <c r="UBZ61" s="108"/>
      <c r="UCA61" s="108"/>
      <c r="UCB61" s="108"/>
      <c r="UCC61" s="108"/>
      <c r="UCD61" s="108"/>
      <c r="UCE61" s="108"/>
      <c r="UCF61" s="108"/>
      <c r="UCG61" s="108"/>
      <c r="UCH61" s="108"/>
      <c r="UCI61" s="108"/>
      <c r="UCJ61" s="108"/>
      <c r="UCK61" s="108"/>
      <c r="UCL61" s="108"/>
      <c r="UCM61" s="108"/>
      <c r="UCN61" s="108"/>
      <c r="UCO61" s="108"/>
      <c r="UCP61" s="108"/>
      <c r="UCQ61" s="108"/>
      <c r="UCR61" s="108"/>
      <c r="UCS61" s="108"/>
      <c r="UCT61" s="108"/>
      <c r="UCU61" s="108"/>
      <c r="UCV61" s="108"/>
      <c r="UCW61" s="108"/>
      <c r="UCX61" s="108"/>
      <c r="UCY61" s="108"/>
      <c r="UCZ61" s="108"/>
      <c r="UDA61" s="108"/>
      <c r="UDB61" s="108"/>
      <c r="UDC61" s="108"/>
      <c r="UDD61" s="108"/>
      <c r="UDE61" s="108"/>
      <c r="UDF61" s="108"/>
      <c r="UDG61" s="108"/>
      <c r="UDH61" s="108"/>
      <c r="UDI61" s="108"/>
      <c r="UDJ61" s="108"/>
      <c r="UDK61" s="108"/>
      <c r="UDL61" s="108"/>
      <c r="UDM61" s="108"/>
      <c r="UDN61" s="108"/>
      <c r="UDO61" s="108"/>
      <c r="UDP61" s="108"/>
      <c r="UDQ61" s="108"/>
      <c r="UDR61" s="108"/>
      <c r="UDS61" s="108"/>
      <c r="UDT61" s="108"/>
      <c r="UDU61" s="108"/>
      <c r="UDV61" s="108"/>
      <c r="UDW61" s="108"/>
      <c r="UDX61" s="108"/>
      <c r="UDY61" s="108"/>
      <c r="UDZ61" s="108"/>
      <c r="UEA61" s="108"/>
      <c r="UEB61" s="108"/>
      <c r="UEC61" s="108"/>
      <c r="UED61" s="108"/>
      <c r="UEE61" s="108"/>
      <c r="UEF61" s="108"/>
      <c r="UEG61" s="108"/>
      <c r="UEH61" s="108"/>
      <c r="UEI61" s="108"/>
      <c r="UEJ61" s="108"/>
      <c r="UEK61" s="108"/>
      <c r="UEL61" s="108"/>
      <c r="UEM61" s="108"/>
      <c r="UEN61" s="108"/>
      <c r="UEO61" s="108"/>
      <c r="UEP61" s="108"/>
      <c r="UEQ61" s="108"/>
      <c r="UER61" s="108"/>
      <c r="UES61" s="108"/>
      <c r="UET61" s="108"/>
      <c r="UEU61" s="108"/>
      <c r="UEV61" s="108"/>
      <c r="UEW61" s="108"/>
      <c r="UEX61" s="108"/>
      <c r="UEY61" s="108"/>
      <c r="UEZ61" s="108"/>
      <c r="UFA61" s="108"/>
      <c r="UFB61" s="108"/>
      <c r="UFC61" s="108"/>
      <c r="UFD61" s="108"/>
      <c r="UFE61" s="108"/>
      <c r="UFF61" s="108"/>
      <c r="UFG61" s="108"/>
      <c r="UFH61" s="108"/>
      <c r="UFI61" s="108"/>
      <c r="UFJ61" s="108"/>
      <c r="UFK61" s="108"/>
      <c r="UFL61" s="108"/>
      <c r="UFM61" s="108"/>
      <c r="UFN61" s="108"/>
      <c r="UFO61" s="108"/>
      <c r="UFP61" s="108"/>
      <c r="UFQ61" s="108"/>
      <c r="UFR61" s="108"/>
      <c r="UFS61" s="108"/>
      <c r="UFT61" s="108"/>
      <c r="UFU61" s="108"/>
      <c r="UFV61" s="108"/>
      <c r="UFW61" s="108"/>
      <c r="UFX61" s="108"/>
      <c r="UFY61" s="108"/>
      <c r="UFZ61" s="108"/>
      <c r="UGA61" s="108"/>
      <c r="UGB61" s="108"/>
      <c r="UGC61" s="108"/>
      <c r="UGD61" s="108"/>
      <c r="UGE61" s="108"/>
      <c r="UGF61" s="108"/>
      <c r="UGG61" s="108"/>
      <c r="UGH61" s="108"/>
      <c r="UGI61" s="108"/>
      <c r="UGJ61" s="108"/>
      <c r="UGK61" s="108"/>
      <c r="UGL61" s="108"/>
      <c r="UGM61" s="108"/>
      <c r="UGN61" s="108"/>
      <c r="UGO61" s="108"/>
      <c r="UGP61" s="108"/>
      <c r="UGQ61" s="108"/>
      <c r="UGR61" s="108"/>
      <c r="UGS61" s="108"/>
      <c r="UGT61" s="108"/>
      <c r="UGU61" s="108"/>
      <c r="UGV61" s="108"/>
      <c r="UGW61" s="108"/>
      <c r="UGX61" s="108"/>
      <c r="UGY61" s="108"/>
      <c r="UGZ61" s="108"/>
      <c r="UHA61" s="108"/>
      <c r="UHB61" s="108"/>
      <c r="UHC61" s="108"/>
      <c r="UHD61" s="108"/>
      <c r="UHE61" s="108"/>
      <c r="UHF61" s="108"/>
      <c r="UHG61" s="108"/>
      <c r="UHH61" s="108"/>
      <c r="UHI61" s="108"/>
      <c r="UHJ61" s="108"/>
      <c r="UHK61" s="108"/>
      <c r="UHL61" s="108"/>
      <c r="UHM61" s="108"/>
      <c r="UHN61" s="108"/>
      <c r="UHO61" s="108"/>
      <c r="UHP61" s="108"/>
      <c r="UHQ61" s="108"/>
      <c r="UHR61" s="108"/>
      <c r="UHS61" s="108"/>
      <c r="UHT61" s="108"/>
      <c r="UHU61" s="108"/>
      <c r="UHV61" s="108"/>
      <c r="UHW61" s="108"/>
      <c r="UHX61" s="108"/>
      <c r="UHY61" s="108"/>
      <c r="UHZ61" s="108"/>
      <c r="UIA61" s="108"/>
      <c r="UIB61" s="108"/>
      <c r="UIC61" s="108"/>
      <c r="UID61" s="108"/>
      <c r="UIE61" s="108"/>
      <c r="UIF61" s="108"/>
      <c r="UIG61" s="108"/>
      <c r="UIH61" s="108"/>
      <c r="UII61" s="108"/>
      <c r="UIJ61" s="108"/>
      <c r="UIK61" s="108"/>
      <c r="UIL61" s="108"/>
      <c r="UIM61" s="108"/>
      <c r="UIN61" s="108"/>
      <c r="UIO61" s="108"/>
      <c r="UIP61" s="108"/>
      <c r="UIQ61" s="108"/>
      <c r="UIR61" s="108"/>
      <c r="UIS61" s="108"/>
      <c r="UIT61" s="108"/>
      <c r="UIU61" s="108"/>
      <c r="UIV61" s="108"/>
      <c r="UIW61" s="108"/>
      <c r="UIX61" s="108"/>
      <c r="UIY61" s="108"/>
      <c r="UIZ61" s="108"/>
      <c r="UJA61" s="108"/>
      <c r="UJB61" s="108"/>
      <c r="UJC61" s="108"/>
      <c r="UJD61" s="108"/>
      <c r="UJE61" s="108"/>
      <c r="UJF61" s="108"/>
      <c r="UJG61" s="108"/>
      <c r="UJH61" s="108"/>
      <c r="UJI61" s="108"/>
      <c r="UJJ61" s="108"/>
      <c r="UJK61" s="108"/>
      <c r="UJL61" s="108"/>
      <c r="UJM61" s="108"/>
      <c r="UJN61" s="108"/>
      <c r="UJO61" s="108"/>
      <c r="UJP61" s="108"/>
      <c r="UJQ61" s="108"/>
      <c r="UJR61" s="108"/>
      <c r="UJS61" s="108"/>
      <c r="UJT61" s="108"/>
      <c r="UJU61" s="108"/>
      <c r="UJV61" s="108"/>
      <c r="UJW61" s="108"/>
      <c r="UJX61" s="108"/>
      <c r="UJY61" s="108"/>
      <c r="UJZ61" s="108"/>
      <c r="UKA61" s="108"/>
      <c r="UKB61" s="108"/>
      <c r="UKC61" s="108"/>
      <c r="UKD61" s="108"/>
      <c r="UKE61" s="108"/>
      <c r="UKF61" s="108"/>
      <c r="UKG61" s="108"/>
      <c r="UKH61" s="108"/>
      <c r="UKI61" s="108"/>
      <c r="UKJ61" s="108"/>
      <c r="UKK61" s="108"/>
      <c r="UKL61" s="108"/>
      <c r="UKM61" s="108"/>
      <c r="UKN61" s="108"/>
      <c r="UKO61" s="108"/>
      <c r="UKP61" s="108"/>
      <c r="UKQ61" s="108"/>
      <c r="UKR61" s="108"/>
      <c r="UKS61" s="108"/>
      <c r="UKT61" s="108"/>
      <c r="UKU61" s="108"/>
      <c r="UKV61" s="108"/>
      <c r="UKW61" s="108"/>
      <c r="UKX61" s="108"/>
      <c r="UKY61" s="108"/>
      <c r="UKZ61" s="108"/>
      <c r="ULA61" s="108"/>
      <c r="ULB61" s="108"/>
      <c r="ULC61" s="108"/>
      <c r="ULD61" s="108"/>
      <c r="ULE61" s="108"/>
      <c r="ULF61" s="108"/>
      <c r="ULG61" s="108"/>
      <c r="ULH61" s="108"/>
      <c r="ULI61" s="108"/>
      <c r="ULJ61" s="108"/>
      <c r="ULK61" s="108"/>
      <c r="ULL61" s="108"/>
      <c r="ULM61" s="108"/>
      <c r="ULN61" s="108"/>
      <c r="ULO61" s="108"/>
      <c r="ULP61" s="108"/>
      <c r="ULQ61" s="108"/>
      <c r="ULR61" s="108"/>
      <c r="ULS61" s="108"/>
      <c r="ULT61" s="108"/>
      <c r="ULU61" s="108"/>
      <c r="ULV61" s="108"/>
      <c r="ULW61" s="108"/>
      <c r="ULX61" s="108"/>
      <c r="ULY61" s="108"/>
      <c r="ULZ61" s="108"/>
      <c r="UMA61" s="108"/>
      <c r="UMB61" s="108"/>
      <c r="UMC61" s="108"/>
      <c r="UMD61" s="108"/>
      <c r="UME61" s="108"/>
      <c r="UMF61" s="108"/>
      <c r="UMG61" s="108"/>
      <c r="UMH61" s="108"/>
      <c r="UMI61" s="108"/>
      <c r="UMJ61" s="108"/>
      <c r="UMK61" s="108"/>
      <c r="UML61" s="108"/>
      <c r="UMM61" s="108"/>
      <c r="UMN61" s="108"/>
      <c r="UMO61" s="108"/>
      <c r="UMP61" s="108"/>
      <c r="UMQ61" s="108"/>
      <c r="UMR61" s="108"/>
      <c r="UMS61" s="108"/>
      <c r="UMT61" s="108"/>
      <c r="UMU61" s="108"/>
      <c r="UMV61" s="108"/>
      <c r="UMW61" s="108"/>
      <c r="UMX61" s="108"/>
      <c r="UMY61" s="108"/>
      <c r="UMZ61" s="108"/>
      <c r="UNA61" s="108"/>
      <c r="UNB61" s="108"/>
      <c r="UNC61" s="108"/>
      <c r="UND61" s="108"/>
      <c r="UNE61" s="108"/>
      <c r="UNF61" s="108"/>
      <c r="UNG61" s="108"/>
      <c r="UNH61" s="108"/>
      <c r="UNI61" s="108"/>
      <c r="UNJ61" s="108"/>
      <c r="UNK61" s="108"/>
      <c r="UNL61" s="108"/>
      <c r="UNM61" s="108"/>
      <c r="UNN61" s="108"/>
      <c r="UNO61" s="108"/>
      <c r="UNP61" s="108"/>
      <c r="UNQ61" s="108"/>
      <c r="UNR61" s="108"/>
      <c r="UNS61" s="108"/>
      <c r="UNT61" s="108"/>
      <c r="UNU61" s="108"/>
      <c r="UNV61" s="108"/>
      <c r="UNW61" s="108"/>
      <c r="UNX61" s="108"/>
      <c r="UNY61" s="108"/>
      <c r="UNZ61" s="108"/>
      <c r="UOA61" s="108"/>
      <c r="UOB61" s="108"/>
      <c r="UOC61" s="108"/>
      <c r="UOD61" s="108"/>
      <c r="UOE61" s="108"/>
      <c r="UOF61" s="108"/>
      <c r="UOG61" s="108"/>
      <c r="UOH61" s="108"/>
      <c r="UOI61" s="108"/>
      <c r="UOJ61" s="108"/>
      <c r="UOK61" s="108"/>
      <c r="UOL61" s="108"/>
      <c r="UOM61" s="108"/>
      <c r="UON61" s="108"/>
      <c r="UOO61" s="108"/>
      <c r="UOP61" s="108"/>
      <c r="UOQ61" s="108"/>
      <c r="UOR61" s="108"/>
      <c r="UOS61" s="108"/>
      <c r="UOT61" s="108"/>
      <c r="UOU61" s="108"/>
      <c r="UOV61" s="108"/>
      <c r="UOW61" s="108"/>
      <c r="UOX61" s="108"/>
      <c r="UOY61" s="108"/>
      <c r="UOZ61" s="108"/>
      <c r="UPA61" s="108"/>
      <c r="UPB61" s="108"/>
      <c r="UPC61" s="108"/>
      <c r="UPD61" s="108"/>
      <c r="UPE61" s="108"/>
      <c r="UPF61" s="108"/>
      <c r="UPG61" s="108"/>
      <c r="UPH61" s="108"/>
      <c r="UPI61" s="108"/>
      <c r="UPJ61" s="108"/>
      <c r="UPK61" s="108"/>
      <c r="UPL61" s="108"/>
      <c r="UPM61" s="108"/>
      <c r="UPN61" s="108"/>
      <c r="UPO61" s="108"/>
      <c r="UPP61" s="108"/>
      <c r="UPQ61" s="108"/>
      <c r="UPR61" s="108"/>
      <c r="UPS61" s="108"/>
      <c r="UPT61" s="108"/>
      <c r="UPU61" s="108"/>
      <c r="UPV61" s="108"/>
      <c r="UPW61" s="108"/>
      <c r="UPX61" s="108"/>
      <c r="UPY61" s="108"/>
      <c r="UPZ61" s="108"/>
      <c r="UQA61" s="108"/>
      <c r="UQB61" s="108"/>
      <c r="UQC61" s="108"/>
      <c r="UQD61" s="108"/>
      <c r="UQE61" s="108"/>
      <c r="UQF61" s="108"/>
      <c r="UQG61" s="108"/>
      <c r="UQH61" s="108"/>
      <c r="UQI61" s="108"/>
      <c r="UQJ61" s="108"/>
      <c r="UQK61" s="108"/>
      <c r="UQL61" s="108"/>
      <c r="UQM61" s="108"/>
      <c r="UQN61" s="108"/>
      <c r="UQO61" s="108"/>
      <c r="UQP61" s="108"/>
      <c r="UQQ61" s="108"/>
      <c r="UQR61" s="108"/>
      <c r="UQS61" s="108"/>
      <c r="UQT61" s="108"/>
      <c r="UQU61" s="108"/>
      <c r="UQV61" s="108"/>
      <c r="UQW61" s="108"/>
      <c r="UQX61" s="108"/>
      <c r="UQY61" s="108"/>
      <c r="UQZ61" s="108"/>
      <c r="URA61" s="108"/>
      <c r="URB61" s="108"/>
      <c r="URC61" s="108"/>
      <c r="URD61" s="108"/>
      <c r="URE61" s="108"/>
      <c r="URF61" s="108"/>
      <c r="URG61" s="108"/>
      <c r="URH61" s="108"/>
      <c r="URI61" s="108"/>
      <c r="URJ61" s="108"/>
      <c r="URK61" s="108"/>
      <c r="URL61" s="108"/>
      <c r="URM61" s="108"/>
      <c r="URN61" s="108"/>
      <c r="URO61" s="108"/>
      <c r="URP61" s="108"/>
      <c r="URQ61" s="108"/>
      <c r="URR61" s="108"/>
      <c r="URS61" s="108"/>
      <c r="URT61" s="108"/>
      <c r="URU61" s="108"/>
      <c r="URV61" s="108"/>
      <c r="URW61" s="108"/>
      <c r="URX61" s="108"/>
      <c r="URY61" s="108"/>
      <c r="URZ61" s="108"/>
      <c r="USA61" s="108"/>
      <c r="USB61" s="108"/>
      <c r="USC61" s="108"/>
      <c r="USD61" s="108"/>
      <c r="USE61" s="108"/>
      <c r="USF61" s="108"/>
      <c r="USG61" s="108"/>
      <c r="USH61" s="108"/>
      <c r="USI61" s="108"/>
      <c r="USJ61" s="108"/>
      <c r="USK61" s="108"/>
      <c r="USL61" s="108"/>
      <c r="USM61" s="108"/>
      <c r="USN61" s="108"/>
      <c r="USO61" s="108"/>
      <c r="USP61" s="108"/>
      <c r="USQ61" s="108"/>
      <c r="USR61" s="108"/>
      <c r="USS61" s="108"/>
      <c r="UST61" s="108"/>
      <c r="USU61" s="108"/>
      <c r="USV61" s="108"/>
      <c r="USW61" s="108"/>
      <c r="USX61" s="108"/>
      <c r="USY61" s="108"/>
      <c r="USZ61" s="108"/>
      <c r="UTA61" s="108"/>
      <c r="UTB61" s="108"/>
      <c r="UTC61" s="108"/>
      <c r="UTD61" s="108"/>
      <c r="UTE61" s="108"/>
      <c r="UTF61" s="108"/>
      <c r="UTG61" s="108"/>
      <c r="UTH61" s="108"/>
      <c r="UTI61" s="108"/>
      <c r="UTJ61" s="108"/>
      <c r="UTK61" s="108"/>
      <c r="UTL61" s="108"/>
      <c r="UTM61" s="108"/>
      <c r="UTN61" s="108"/>
      <c r="UTO61" s="108"/>
      <c r="UTP61" s="108"/>
      <c r="UTQ61" s="108"/>
      <c r="UTR61" s="108"/>
      <c r="UTS61" s="108"/>
      <c r="UTT61" s="108"/>
      <c r="UTU61" s="108"/>
      <c r="UTV61" s="108"/>
      <c r="UTW61" s="108"/>
      <c r="UTX61" s="108"/>
      <c r="UTY61" s="108"/>
      <c r="UTZ61" s="108"/>
      <c r="UUA61" s="108"/>
      <c r="UUB61" s="108"/>
      <c r="UUC61" s="108"/>
      <c r="UUD61" s="108"/>
      <c r="UUE61" s="108"/>
      <c r="UUF61" s="108"/>
      <c r="UUG61" s="108"/>
      <c r="UUH61" s="108"/>
      <c r="UUI61" s="108"/>
      <c r="UUJ61" s="108"/>
      <c r="UUK61" s="108"/>
      <c r="UUL61" s="108"/>
      <c r="UUM61" s="108"/>
      <c r="UUN61" s="108"/>
      <c r="UUO61" s="108"/>
      <c r="UUP61" s="108"/>
      <c r="UUQ61" s="108"/>
      <c r="UUR61" s="108"/>
      <c r="UUS61" s="108"/>
      <c r="UUT61" s="108"/>
      <c r="UUU61" s="108"/>
      <c r="UUV61" s="108"/>
      <c r="UUW61" s="108"/>
      <c r="UUX61" s="108"/>
      <c r="UUY61" s="108"/>
      <c r="UUZ61" s="108"/>
      <c r="UVA61" s="108"/>
      <c r="UVB61" s="108"/>
      <c r="UVC61" s="108"/>
      <c r="UVD61" s="108"/>
      <c r="UVE61" s="108"/>
      <c r="UVF61" s="108"/>
      <c r="UVG61" s="108"/>
      <c r="UVH61" s="108"/>
      <c r="UVI61" s="108"/>
      <c r="UVJ61" s="108"/>
      <c r="UVK61" s="108"/>
      <c r="UVL61" s="108"/>
      <c r="UVM61" s="108"/>
      <c r="UVN61" s="108"/>
      <c r="UVO61" s="108"/>
      <c r="UVP61" s="108"/>
      <c r="UVQ61" s="108"/>
      <c r="UVR61" s="108"/>
      <c r="UVS61" s="108"/>
      <c r="UVT61" s="108"/>
      <c r="UVU61" s="108"/>
      <c r="UVV61" s="108"/>
      <c r="UVW61" s="108"/>
      <c r="UVX61" s="108"/>
      <c r="UVY61" s="108"/>
      <c r="UVZ61" s="108"/>
      <c r="UWA61" s="108"/>
      <c r="UWB61" s="108"/>
      <c r="UWC61" s="108"/>
      <c r="UWD61" s="108"/>
      <c r="UWE61" s="108"/>
      <c r="UWF61" s="108"/>
      <c r="UWG61" s="108"/>
      <c r="UWH61" s="108"/>
      <c r="UWI61" s="108"/>
      <c r="UWJ61" s="108"/>
      <c r="UWK61" s="108"/>
      <c r="UWL61" s="108"/>
      <c r="UWM61" s="108"/>
      <c r="UWN61" s="108"/>
      <c r="UWO61" s="108"/>
      <c r="UWP61" s="108"/>
      <c r="UWQ61" s="108"/>
      <c r="UWR61" s="108"/>
      <c r="UWS61" s="108"/>
      <c r="UWT61" s="108"/>
      <c r="UWU61" s="108"/>
      <c r="UWV61" s="108"/>
      <c r="UWW61" s="108"/>
      <c r="UWX61" s="108"/>
      <c r="UWY61" s="108"/>
      <c r="UWZ61" s="108"/>
      <c r="UXA61" s="108"/>
      <c r="UXB61" s="108"/>
      <c r="UXC61" s="108"/>
      <c r="UXD61" s="108"/>
      <c r="UXE61" s="108"/>
      <c r="UXF61" s="108"/>
      <c r="UXG61" s="108"/>
      <c r="UXH61" s="108"/>
      <c r="UXI61" s="108"/>
      <c r="UXJ61" s="108"/>
      <c r="UXK61" s="108"/>
      <c r="UXL61" s="108"/>
      <c r="UXM61" s="108"/>
      <c r="UXN61" s="108"/>
      <c r="UXO61" s="108"/>
      <c r="UXP61" s="108"/>
      <c r="UXQ61" s="108"/>
      <c r="UXR61" s="108"/>
      <c r="UXS61" s="108"/>
      <c r="UXT61" s="108"/>
      <c r="UXU61" s="108"/>
      <c r="UXV61" s="108"/>
      <c r="UXW61" s="108"/>
      <c r="UXX61" s="108"/>
      <c r="UXY61" s="108"/>
      <c r="UXZ61" s="108"/>
      <c r="UYA61" s="108"/>
      <c r="UYB61" s="108"/>
      <c r="UYC61" s="108"/>
      <c r="UYD61" s="108"/>
      <c r="UYE61" s="108"/>
      <c r="UYF61" s="108"/>
      <c r="UYG61" s="108"/>
      <c r="UYH61" s="108"/>
      <c r="UYI61" s="108"/>
      <c r="UYJ61" s="108"/>
      <c r="UYK61" s="108"/>
      <c r="UYL61" s="108"/>
      <c r="UYM61" s="108"/>
      <c r="UYN61" s="108"/>
      <c r="UYO61" s="108"/>
      <c r="UYP61" s="108"/>
      <c r="UYQ61" s="108"/>
      <c r="UYR61" s="108"/>
      <c r="UYS61" s="108"/>
      <c r="UYT61" s="108"/>
      <c r="UYU61" s="108"/>
      <c r="UYV61" s="108"/>
      <c r="UYW61" s="108"/>
      <c r="UYX61" s="108"/>
      <c r="UYY61" s="108"/>
      <c r="UYZ61" s="108"/>
      <c r="UZA61" s="108"/>
      <c r="UZB61" s="108"/>
      <c r="UZC61" s="108"/>
      <c r="UZD61" s="108"/>
      <c r="UZE61" s="108"/>
      <c r="UZF61" s="108"/>
      <c r="UZG61" s="108"/>
      <c r="UZH61" s="108"/>
      <c r="UZI61" s="108"/>
      <c r="UZJ61" s="108"/>
      <c r="UZK61" s="108"/>
      <c r="UZL61" s="108"/>
      <c r="UZM61" s="108"/>
      <c r="UZN61" s="108"/>
      <c r="UZO61" s="108"/>
      <c r="UZP61" s="108"/>
      <c r="UZQ61" s="108"/>
      <c r="UZR61" s="108"/>
      <c r="UZS61" s="108"/>
      <c r="UZT61" s="108"/>
      <c r="UZU61" s="108"/>
      <c r="UZV61" s="108"/>
      <c r="UZW61" s="108"/>
      <c r="UZX61" s="108"/>
      <c r="UZY61" s="108"/>
      <c r="UZZ61" s="108"/>
      <c r="VAA61" s="108"/>
      <c r="VAB61" s="108"/>
      <c r="VAC61" s="108"/>
      <c r="VAD61" s="108"/>
      <c r="VAE61" s="108"/>
      <c r="VAF61" s="108"/>
      <c r="VAG61" s="108"/>
      <c r="VAH61" s="108"/>
      <c r="VAI61" s="108"/>
      <c r="VAJ61" s="108"/>
      <c r="VAK61" s="108"/>
      <c r="VAL61" s="108"/>
      <c r="VAM61" s="108"/>
      <c r="VAN61" s="108"/>
      <c r="VAO61" s="108"/>
      <c r="VAP61" s="108"/>
      <c r="VAQ61" s="108"/>
      <c r="VAR61" s="108"/>
      <c r="VAS61" s="108"/>
      <c r="VAT61" s="108"/>
      <c r="VAU61" s="108"/>
      <c r="VAV61" s="108"/>
      <c r="VAW61" s="108"/>
      <c r="VAX61" s="108"/>
      <c r="VAY61" s="108"/>
      <c r="VAZ61" s="108"/>
      <c r="VBA61" s="108"/>
      <c r="VBB61" s="108"/>
      <c r="VBC61" s="108"/>
      <c r="VBD61" s="108"/>
      <c r="VBE61" s="108"/>
      <c r="VBF61" s="108"/>
      <c r="VBG61" s="108"/>
      <c r="VBH61" s="108"/>
      <c r="VBI61" s="108"/>
      <c r="VBJ61" s="108"/>
      <c r="VBK61" s="108"/>
      <c r="VBL61" s="108"/>
      <c r="VBM61" s="108"/>
      <c r="VBN61" s="108"/>
      <c r="VBO61" s="108"/>
      <c r="VBP61" s="108"/>
      <c r="VBQ61" s="108"/>
      <c r="VBR61" s="108"/>
      <c r="VBS61" s="108"/>
      <c r="VBT61" s="108"/>
      <c r="VBU61" s="108"/>
      <c r="VBV61" s="108"/>
      <c r="VBW61" s="108"/>
      <c r="VBX61" s="108"/>
      <c r="VBY61" s="108"/>
      <c r="VBZ61" s="108"/>
      <c r="VCA61" s="108"/>
      <c r="VCB61" s="108"/>
      <c r="VCC61" s="108"/>
      <c r="VCD61" s="108"/>
      <c r="VCE61" s="108"/>
      <c r="VCF61" s="108"/>
      <c r="VCG61" s="108"/>
      <c r="VCH61" s="108"/>
      <c r="VCI61" s="108"/>
      <c r="VCJ61" s="108"/>
      <c r="VCK61" s="108"/>
      <c r="VCL61" s="108"/>
      <c r="VCM61" s="108"/>
      <c r="VCN61" s="108"/>
      <c r="VCO61" s="108"/>
      <c r="VCP61" s="108"/>
      <c r="VCQ61" s="108"/>
      <c r="VCR61" s="108"/>
      <c r="VCS61" s="108"/>
      <c r="VCT61" s="108"/>
      <c r="VCU61" s="108"/>
      <c r="VCV61" s="108"/>
      <c r="VCW61" s="108"/>
      <c r="VCX61" s="108"/>
      <c r="VCY61" s="108"/>
      <c r="VCZ61" s="108"/>
      <c r="VDA61" s="108"/>
      <c r="VDB61" s="108"/>
      <c r="VDC61" s="108"/>
      <c r="VDD61" s="108"/>
      <c r="VDE61" s="108"/>
      <c r="VDF61" s="108"/>
      <c r="VDG61" s="108"/>
      <c r="VDH61" s="108"/>
      <c r="VDI61" s="108"/>
      <c r="VDJ61" s="108"/>
      <c r="VDK61" s="108"/>
      <c r="VDL61" s="108"/>
      <c r="VDM61" s="108"/>
      <c r="VDN61" s="108"/>
      <c r="VDO61" s="108"/>
      <c r="VDP61" s="108"/>
      <c r="VDQ61" s="108"/>
      <c r="VDR61" s="108"/>
      <c r="VDS61" s="108"/>
      <c r="VDT61" s="108"/>
      <c r="VDU61" s="108"/>
      <c r="VDV61" s="108"/>
      <c r="VDW61" s="108"/>
      <c r="VDX61" s="108"/>
      <c r="VDY61" s="108"/>
      <c r="VDZ61" s="108"/>
      <c r="VEA61" s="108"/>
      <c r="VEB61" s="108"/>
      <c r="VEC61" s="108"/>
      <c r="VED61" s="108"/>
      <c r="VEE61" s="108"/>
      <c r="VEF61" s="108"/>
      <c r="VEG61" s="108"/>
      <c r="VEH61" s="108"/>
      <c r="VEI61" s="108"/>
      <c r="VEJ61" s="108"/>
      <c r="VEK61" s="108"/>
      <c r="VEL61" s="108"/>
      <c r="VEM61" s="108"/>
      <c r="VEN61" s="108"/>
      <c r="VEO61" s="108"/>
      <c r="VEP61" s="108"/>
      <c r="VEQ61" s="108"/>
      <c r="VER61" s="108"/>
      <c r="VES61" s="108"/>
      <c r="VET61" s="108"/>
      <c r="VEU61" s="108"/>
      <c r="VEV61" s="108"/>
      <c r="VEW61" s="108"/>
      <c r="VEX61" s="108"/>
      <c r="VEY61" s="108"/>
      <c r="VEZ61" s="108"/>
      <c r="VFA61" s="108"/>
      <c r="VFB61" s="108"/>
      <c r="VFC61" s="108"/>
      <c r="VFD61" s="108"/>
      <c r="VFE61" s="108"/>
      <c r="VFF61" s="108"/>
      <c r="VFG61" s="108"/>
      <c r="VFH61" s="108"/>
      <c r="VFI61" s="108"/>
      <c r="VFJ61" s="108"/>
      <c r="VFK61" s="108"/>
      <c r="VFL61" s="108"/>
      <c r="VFM61" s="108"/>
      <c r="VFN61" s="108"/>
      <c r="VFO61" s="108"/>
      <c r="VFP61" s="108"/>
      <c r="VFQ61" s="108"/>
      <c r="VFR61" s="108"/>
      <c r="VFS61" s="108"/>
      <c r="VFT61" s="108"/>
      <c r="VFU61" s="108"/>
      <c r="VFV61" s="108"/>
      <c r="VFW61" s="108"/>
      <c r="VFX61" s="108"/>
      <c r="VFY61" s="108"/>
      <c r="VFZ61" s="108"/>
      <c r="VGA61" s="108"/>
      <c r="VGB61" s="108"/>
      <c r="VGC61" s="108"/>
      <c r="VGD61" s="108"/>
      <c r="VGE61" s="108"/>
      <c r="VGF61" s="108"/>
      <c r="VGG61" s="108"/>
      <c r="VGH61" s="108"/>
      <c r="VGI61" s="108"/>
      <c r="VGJ61" s="108"/>
      <c r="VGK61" s="108"/>
      <c r="VGL61" s="108"/>
      <c r="VGM61" s="108"/>
      <c r="VGN61" s="108"/>
      <c r="VGO61" s="108"/>
      <c r="VGP61" s="108"/>
      <c r="VGQ61" s="108"/>
      <c r="VGR61" s="108"/>
      <c r="VGS61" s="108"/>
      <c r="VGT61" s="108"/>
      <c r="VGU61" s="108"/>
      <c r="VGV61" s="108"/>
      <c r="VGW61" s="108"/>
      <c r="VGX61" s="108"/>
      <c r="VGY61" s="108"/>
      <c r="VGZ61" s="108"/>
      <c r="VHA61" s="108"/>
      <c r="VHB61" s="108"/>
      <c r="VHC61" s="108"/>
      <c r="VHD61" s="108"/>
      <c r="VHE61" s="108"/>
      <c r="VHF61" s="108"/>
      <c r="VHG61" s="108"/>
      <c r="VHH61" s="108"/>
      <c r="VHI61" s="108"/>
      <c r="VHJ61" s="108"/>
      <c r="VHK61" s="108"/>
      <c r="VHL61" s="108"/>
      <c r="VHM61" s="108"/>
      <c r="VHN61" s="108"/>
      <c r="VHO61" s="108"/>
      <c r="VHP61" s="108"/>
      <c r="VHQ61" s="108"/>
      <c r="VHR61" s="108"/>
      <c r="VHS61" s="108"/>
      <c r="VHT61" s="108"/>
      <c r="VHU61" s="108"/>
      <c r="VHV61" s="108"/>
      <c r="VHW61" s="108"/>
      <c r="VHX61" s="108"/>
      <c r="VHY61" s="108"/>
      <c r="VHZ61" s="108"/>
      <c r="VIA61" s="108"/>
      <c r="VIB61" s="108"/>
      <c r="VIC61" s="108"/>
      <c r="VID61" s="108"/>
      <c r="VIE61" s="108"/>
      <c r="VIF61" s="108"/>
      <c r="VIG61" s="108"/>
      <c r="VIH61" s="108"/>
      <c r="VII61" s="108"/>
      <c r="VIJ61" s="108"/>
      <c r="VIK61" s="108"/>
      <c r="VIL61" s="108"/>
      <c r="VIM61" s="108"/>
      <c r="VIN61" s="108"/>
      <c r="VIO61" s="108"/>
      <c r="VIP61" s="108"/>
      <c r="VIQ61" s="108"/>
      <c r="VIR61" s="108"/>
      <c r="VIS61" s="108"/>
      <c r="VIT61" s="108"/>
      <c r="VIU61" s="108"/>
      <c r="VIV61" s="108"/>
      <c r="VIW61" s="108"/>
      <c r="VIX61" s="108"/>
      <c r="VIY61" s="108"/>
      <c r="VIZ61" s="108"/>
      <c r="VJA61" s="108"/>
      <c r="VJB61" s="108"/>
      <c r="VJC61" s="108"/>
      <c r="VJD61" s="108"/>
      <c r="VJE61" s="108"/>
      <c r="VJF61" s="108"/>
      <c r="VJG61" s="108"/>
      <c r="VJH61" s="108"/>
      <c r="VJI61" s="108"/>
      <c r="VJJ61" s="108"/>
      <c r="VJK61" s="108"/>
      <c r="VJL61" s="108"/>
      <c r="VJM61" s="108"/>
      <c r="VJN61" s="108"/>
      <c r="VJO61" s="108"/>
      <c r="VJP61" s="108"/>
      <c r="VJQ61" s="108"/>
      <c r="VJR61" s="108"/>
      <c r="VJS61" s="108"/>
      <c r="VJT61" s="108"/>
      <c r="VJU61" s="108"/>
      <c r="VJV61" s="108"/>
      <c r="VJW61" s="108"/>
      <c r="VJX61" s="108"/>
      <c r="VJY61" s="108"/>
      <c r="VJZ61" s="108"/>
      <c r="VKA61" s="108"/>
      <c r="VKB61" s="108"/>
      <c r="VKC61" s="108"/>
      <c r="VKD61" s="108"/>
      <c r="VKE61" s="108"/>
      <c r="VKF61" s="108"/>
      <c r="VKG61" s="108"/>
      <c r="VKH61" s="108"/>
      <c r="VKI61" s="108"/>
      <c r="VKJ61" s="108"/>
      <c r="VKK61" s="108"/>
      <c r="VKL61" s="108"/>
      <c r="VKM61" s="108"/>
      <c r="VKN61" s="108"/>
      <c r="VKO61" s="108"/>
      <c r="VKP61" s="108"/>
      <c r="VKQ61" s="108"/>
      <c r="VKR61" s="108"/>
      <c r="VKS61" s="108"/>
      <c r="VKT61" s="108"/>
      <c r="VKU61" s="108"/>
      <c r="VKV61" s="108"/>
      <c r="VKW61" s="108"/>
      <c r="VKX61" s="108"/>
      <c r="VKY61" s="108"/>
      <c r="VKZ61" s="108"/>
      <c r="VLA61" s="108"/>
      <c r="VLB61" s="108"/>
      <c r="VLC61" s="108"/>
      <c r="VLD61" s="108"/>
      <c r="VLE61" s="108"/>
      <c r="VLF61" s="108"/>
      <c r="VLG61" s="108"/>
      <c r="VLH61" s="108"/>
      <c r="VLI61" s="108"/>
      <c r="VLJ61" s="108"/>
      <c r="VLK61" s="108"/>
      <c r="VLL61" s="108"/>
      <c r="VLM61" s="108"/>
      <c r="VLN61" s="108"/>
      <c r="VLO61" s="108"/>
      <c r="VLP61" s="108"/>
      <c r="VLQ61" s="108"/>
      <c r="VLR61" s="108"/>
      <c r="VLS61" s="108"/>
      <c r="VLT61" s="108"/>
      <c r="VLU61" s="108"/>
      <c r="VLV61" s="108"/>
      <c r="VLW61" s="108"/>
      <c r="VLX61" s="108"/>
      <c r="VLY61" s="108"/>
      <c r="VLZ61" s="108"/>
      <c r="VMA61" s="108"/>
      <c r="VMB61" s="108"/>
      <c r="VMC61" s="108"/>
      <c r="VMD61" s="108"/>
      <c r="VME61" s="108"/>
      <c r="VMF61" s="108"/>
      <c r="VMG61" s="108"/>
      <c r="VMH61" s="108"/>
      <c r="VMI61" s="108"/>
      <c r="VMJ61" s="108"/>
      <c r="VMK61" s="108"/>
      <c r="VML61" s="108"/>
      <c r="VMM61" s="108"/>
      <c r="VMN61" s="108"/>
      <c r="VMO61" s="108"/>
      <c r="VMP61" s="108"/>
      <c r="VMQ61" s="108"/>
      <c r="VMR61" s="108"/>
      <c r="VMS61" s="108"/>
      <c r="VMT61" s="108"/>
      <c r="VMU61" s="108"/>
      <c r="VMV61" s="108"/>
      <c r="VMW61" s="108"/>
      <c r="VMX61" s="108"/>
      <c r="VMY61" s="108"/>
      <c r="VMZ61" s="108"/>
      <c r="VNA61" s="108"/>
      <c r="VNB61" s="108"/>
      <c r="VNC61" s="108"/>
      <c r="VND61" s="108"/>
      <c r="VNE61" s="108"/>
      <c r="VNF61" s="108"/>
      <c r="VNG61" s="108"/>
      <c r="VNH61" s="108"/>
      <c r="VNI61" s="108"/>
      <c r="VNJ61" s="108"/>
      <c r="VNK61" s="108"/>
      <c r="VNL61" s="108"/>
      <c r="VNM61" s="108"/>
      <c r="VNN61" s="108"/>
      <c r="VNO61" s="108"/>
      <c r="VNP61" s="108"/>
      <c r="VNQ61" s="108"/>
      <c r="VNR61" s="108"/>
      <c r="VNS61" s="108"/>
      <c r="VNT61" s="108"/>
      <c r="VNU61" s="108"/>
      <c r="VNV61" s="108"/>
      <c r="VNW61" s="108"/>
      <c r="VNX61" s="108"/>
      <c r="VNY61" s="108"/>
      <c r="VNZ61" s="108"/>
      <c r="VOA61" s="108"/>
      <c r="VOB61" s="108"/>
      <c r="VOC61" s="108"/>
      <c r="VOD61" s="108"/>
      <c r="VOE61" s="108"/>
      <c r="VOF61" s="108"/>
      <c r="VOG61" s="108"/>
      <c r="VOH61" s="108"/>
      <c r="VOI61" s="108"/>
      <c r="VOJ61" s="108"/>
      <c r="VOK61" s="108"/>
      <c r="VOL61" s="108"/>
      <c r="VOM61" s="108"/>
      <c r="VON61" s="108"/>
      <c r="VOO61" s="108"/>
      <c r="VOP61" s="108"/>
      <c r="VOQ61" s="108"/>
      <c r="VOR61" s="108"/>
      <c r="VOS61" s="108"/>
      <c r="VOT61" s="108"/>
      <c r="VOU61" s="108"/>
      <c r="VOV61" s="108"/>
      <c r="VOW61" s="108"/>
      <c r="VOX61" s="108"/>
      <c r="VOY61" s="108"/>
      <c r="VOZ61" s="108"/>
      <c r="VPA61" s="108"/>
      <c r="VPB61" s="108"/>
      <c r="VPC61" s="108"/>
      <c r="VPD61" s="108"/>
      <c r="VPE61" s="108"/>
      <c r="VPF61" s="108"/>
      <c r="VPG61" s="108"/>
      <c r="VPH61" s="108"/>
      <c r="VPI61" s="108"/>
      <c r="VPJ61" s="108"/>
      <c r="VPK61" s="108"/>
      <c r="VPL61" s="108"/>
      <c r="VPM61" s="108"/>
      <c r="VPN61" s="108"/>
      <c r="VPO61" s="108"/>
      <c r="VPP61" s="108"/>
      <c r="VPQ61" s="108"/>
      <c r="VPR61" s="108"/>
      <c r="VPS61" s="108"/>
      <c r="VPT61" s="108"/>
      <c r="VPU61" s="108"/>
      <c r="VPV61" s="108"/>
      <c r="VPW61" s="108"/>
      <c r="VPX61" s="108"/>
      <c r="VPY61" s="108"/>
      <c r="VPZ61" s="108"/>
      <c r="VQA61" s="108"/>
      <c r="VQB61" s="108"/>
      <c r="VQC61" s="108"/>
      <c r="VQD61" s="108"/>
      <c r="VQE61" s="108"/>
      <c r="VQF61" s="108"/>
      <c r="VQG61" s="108"/>
      <c r="VQH61" s="108"/>
      <c r="VQI61" s="108"/>
      <c r="VQJ61" s="108"/>
      <c r="VQK61" s="108"/>
      <c r="VQL61" s="108"/>
      <c r="VQM61" s="108"/>
      <c r="VQN61" s="108"/>
      <c r="VQO61" s="108"/>
      <c r="VQP61" s="108"/>
      <c r="VQQ61" s="108"/>
      <c r="VQR61" s="108"/>
      <c r="VQS61" s="108"/>
      <c r="VQT61" s="108"/>
      <c r="VQU61" s="108"/>
      <c r="VQV61" s="108"/>
      <c r="VQW61" s="108"/>
      <c r="VQX61" s="108"/>
      <c r="VQY61" s="108"/>
      <c r="VQZ61" s="108"/>
      <c r="VRA61" s="108"/>
      <c r="VRB61" s="108"/>
      <c r="VRC61" s="108"/>
      <c r="VRD61" s="108"/>
      <c r="VRE61" s="108"/>
      <c r="VRF61" s="108"/>
      <c r="VRG61" s="108"/>
      <c r="VRH61" s="108"/>
      <c r="VRI61" s="108"/>
      <c r="VRJ61" s="108"/>
      <c r="VRK61" s="108"/>
      <c r="VRL61" s="108"/>
      <c r="VRM61" s="108"/>
      <c r="VRN61" s="108"/>
      <c r="VRO61" s="108"/>
      <c r="VRP61" s="108"/>
      <c r="VRQ61" s="108"/>
      <c r="VRR61" s="108"/>
      <c r="VRS61" s="108"/>
      <c r="VRT61" s="108"/>
      <c r="VRU61" s="108"/>
      <c r="VRV61" s="108"/>
      <c r="VRW61" s="108"/>
      <c r="VRX61" s="108"/>
      <c r="VRY61" s="108"/>
      <c r="VRZ61" s="108"/>
      <c r="VSA61" s="108"/>
      <c r="VSB61" s="108"/>
      <c r="VSC61" s="108"/>
      <c r="VSD61" s="108"/>
      <c r="VSE61" s="108"/>
      <c r="VSF61" s="108"/>
      <c r="VSG61" s="108"/>
      <c r="VSH61" s="108"/>
      <c r="VSI61" s="108"/>
      <c r="VSJ61" s="108"/>
      <c r="VSK61" s="108"/>
      <c r="VSL61" s="108"/>
      <c r="VSM61" s="108"/>
      <c r="VSN61" s="108"/>
      <c r="VSO61" s="108"/>
      <c r="VSP61" s="108"/>
      <c r="VSQ61" s="108"/>
      <c r="VSR61" s="108"/>
      <c r="VSS61" s="108"/>
      <c r="VST61" s="108"/>
      <c r="VSU61" s="108"/>
      <c r="VSV61" s="108"/>
      <c r="VSW61" s="108"/>
      <c r="VSX61" s="108"/>
      <c r="VSY61" s="108"/>
      <c r="VSZ61" s="108"/>
      <c r="VTA61" s="108"/>
      <c r="VTB61" s="108"/>
      <c r="VTC61" s="108"/>
      <c r="VTD61" s="108"/>
      <c r="VTE61" s="108"/>
      <c r="VTF61" s="108"/>
      <c r="VTG61" s="108"/>
      <c r="VTH61" s="108"/>
      <c r="VTI61" s="108"/>
      <c r="VTJ61" s="108"/>
      <c r="VTK61" s="108"/>
      <c r="VTL61" s="108"/>
      <c r="VTM61" s="108"/>
      <c r="VTN61" s="108"/>
      <c r="VTO61" s="108"/>
      <c r="VTP61" s="108"/>
      <c r="VTQ61" s="108"/>
      <c r="VTR61" s="108"/>
      <c r="VTS61" s="108"/>
      <c r="VTT61" s="108"/>
      <c r="VTU61" s="108"/>
      <c r="VTV61" s="108"/>
      <c r="VTW61" s="108"/>
      <c r="VTX61" s="108"/>
      <c r="VTY61" s="108"/>
      <c r="VTZ61" s="108"/>
      <c r="VUA61" s="108"/>
      <c r="VUB61" s="108"/>
      <c r="VUC61" s="108"/>
      <c r="VUD61" s="108"/>
      <c r="VUE61" s="108"/>
      <c r="VUF61" s="108"/>
      <c r="VUG61" s="108"/>
      <c r="VUH61" s="108"/>
      <c r="VUI61" s="108"/>
      <c r="VUJ61" s="108"/>
      <c r="VUK61" s="108"/>
      <c r="VUL61" s="108"/>
      <c r="VUM61" s="108"/>
      <c r="VUN61" s="108"/>
      <c r="VUO61" s="108"/>
      <c r="VUP61" s="108"/>
      <c r="VUQ61" s="108"/>
      <c r="VUR61" s="108"/>
      <c r="VUS61" s="108"/>
      <c r="VUT61" s="108"/>
      <c r="VUU61" s="108"/>
      <c r="VUV61" s="108"/>
      <c r="VUW61" s="108"/>
      <c r="VUX61" s="108"/>
      <c r="VUY61" s="108"/>
      <c r="VUZ61" s="108"/>
      <c r="VVA61" s="108"/>
      <c r="VVB61" s="108"/>
      <c r="VVC61" s="108"/>
      <c r="VVD61" s="108"/>
      <c r="VVE61" s="108"/>
      <c r="VVF61" s="108"/>
      <c r="VVG61" s="108"/>
      <c r="VVH61" s="108"/>
      <c r="VVI61" s="108"/>
      <c r="VVJ61" s="108"/>
      <c r="VVK61" s="108"/>
      <c r="VVL61" s="108"/>
      <c r="VVM61" s="108"/>
      <c r="VVN61" s="108"/>
      <c r="VVO61" s="108"/>
      <c r="VVP61" s="108"/>
      <c r="VVQ61" s="108"/>
      <c r="VVR61" s="108"/>
      <c r="VVS61" s="108"/>
      <c r="VVT61" s="108"/>
      <c r="VVU61" s="108"/>
      <c r="VVV61" s="108"/>
      <c r="VVW61" s="108"/>
      <c r="VVX61" s="108"/>
      <c r="VVY61" s="108"/>
      <c r="VVZ61" s="108"/>
      <c r="VWA61" s="108"/>
      <c r="VWB61" s="108"/>
      <c r="VWC61" s="108"/>
      <c r="VWD61" s="108"/>
      <c r="VWE61" s="108"/>
      <c r="VWF61" s="108"/>
      <c r="VWG61" s="108"/>
      <c r="VWH61" s="108"/>
      <c r="VWI61" s="108"/>
      <c r="VWJ61" s="108"/>
      <c r="VWK61" s="108"/>
      <c r="VWL61" s="108"/>
      <c r="VWM61" s="108"/>
      <c r="VWN61" s="108"/>
      <c r="VWO61" s="108"/>
      <c r="VWP61" s="108"/>
      <c r="VWQ61" s="108"/>
      <c r="VWR61" s="108"/>
      <c r="VWS61" s="108"/>
      <c r="VWT61" s="108"/>
      <c r="VWU61" s="108"/>
      <c r="VWV61" s="108"/>
      <c r="VWW61" s="108"/>
      <c r="VWX61" s="108"/>
      <c r="VWY61" s="108"/>
      <c r="VWZ61" s="108"/>
      <c r="VXA61" s="108"/>
      <c r="VXB61" s="108"/>
      <c r="VXC61" s="108"/>
      <c r="VXD61" s="108"/>
      <c r="VXE61" s="108"/>
      <c r="VXF61" s="108"/>
      <c r="VXG61" s="108"/>
      <c r="VXH61" s="108"/>
      <c r="VXI61" s="108"/>
      <c r="VXJ61" s="108"/>
      <c r="VXK61" s="108"/>
      <c r="VXL61" s="108"/>
      <c r="VXM61" s="108"/>
      <c r="VXN61" s="108"/>
      <c r="VXO61" s="108"/>
      <c r="VXP61" s="108"/>
      <c r="VXQ61" s="108"/>
      <c r="VXR61" s="108"/>
      <c r="VXS61" s="108"/>
      <c r="VXT61" s="108"/>
      <c r="VXU61" s="108"/>
      <c r="VXV61" s="108"/>
      <c r="VXW61" s="108"/>
      <c r="VXX61" s="108"/>
      <c r="VXY61" s="108"/>
      <c r="VXZ61" s="108"/>
      <c r="VYA61" s="108"/>
      <c r="VYB61" s="108"/>
      <c r="VYC61" s="108"/>
      <c r="VYD61" s="108"/>
      <c r="VYE61" s="108"/>
      <c r="VYF61" s="108"/>
      <c r="VYG61" s="108"/>
      <c r="VYH61" s="108"/>
      <c r="VYI61" s="108"/>
      <c r="VYJ61" s="108"/>
      <c r="VYK61" s="108"/>
      <c r="VYL61" s="108"/>
      <c r="VYM61" s="108"/>
      <c r="VYN61" s="108"/>
      <c r="VYO61" s="108"/>
      <c r="VYP61" s="108"/>
      <c r="VYQ61" s="108"/>
      <c r="VYR61" s="108"/>
      <c r="VYS61" s="108"/>
      <c r="VYT61" s="108"/>
      <c r="VYU61" s="108"/>
      <c r="VYV61" s="108"/>
      <c r="VYW61" s="108"/>
      <c r="VYX61" s="108"/>
      <c r="VYY61" s="108"/>
      <c r="VYZ61" s="108"/>
      <c r="VZA61" s="108"/>
      <c r="VZB61" s="108"/>
      <c r="VZC61" s="108"/>
      <c r="VZD61" s="108"/>
      <c r="VZE61" s="108"/>
      <c r="VZF61" s="108"/>
      <c r="VZG61" s="108"/>
      <c r="VZH61" s="108"/>
      <c r="VZI61" s="108"/>
      <c r="VZJ61" s="108"/>
      <c r="VZK61" s="108"/>
      <c r="VZL61" s="108"/>
      <c r="VZM61" s="108"/>
      <c r="VZN61" s="108"/>
      <c r="VZO61" s="108"/>
      <c r="VZP61" s="108"/>
      <c r="VZQ61" s="108"/>
      <c r="VZR61" s="108"/>
      <c r="VZS61" s="108"/>
      <c r="VZT61" s="108"/>
      <c r="VZU61" s="108"/>
      <c r="VZV61" s="108"/>
      <c r="VZW61" s="108"/>
      <c r="VZX61" s="108"/>
      <c r="VZY61" s="108"/>
      <c r="VZZ61" s="108"/>
      <c r="WAA61" s="108"/>
      <c r="WAB61" s="108"/>
      <c r="WAC61" s="108"/>
      <c r="WAD61" s="108"/>
      <c r="WAE61" s="108"/>
      <c r="WAF61" s="108"/>
      <c r="WAG61" s="108"/>
      <c r="WAH61" s="108"/>
      <c r="WAI61" s="108"/>
      <c r="WAJ61" s="108"/>
      <c r="WAK61" s="108"/>
      <c r="WAL61" s="108"/>
      <c r="WAM61" s="108"/>
      <c r="WAN61" s="108"/>
      <c r="WAO61" s="108"/>
      <c r="WAP61" s="108"/>
      <c r="WAQ61" s="108"/>
      <c r="WAR61" s="108"/>
      <c r="WAS61" s="108"/>
      <c r="WAT61" s="108"/>
      <c r="WAU61" s="108"/>
      <c r="WAV61" s="108"/>
      <c r="WAW61" s="108"/>
      <c r="WAX61" s="108"/>
      <c r="WAY61" s="108"/>
      <c r="WAZ61" s="108"/>
      <c r="WBA61" s="108"/>
      <c r="WBB61" s="108"/>
      <c r="WBC61" s="108"/>
      <c r="WBD61" s="108"/>
      <c r="WBE61" s="108"/>
      <c r="WBF61" s="108"/>
      <c r="WBG61" s="108"/>
      <c r="WBH61" s="108"/>
      <c r="WBI61" s="108"/>
      <c r="WBJ61" s="108"/>
      <c r="WBK61" s="108"/>
      <c r="WBL61" s="108"/>
      <c r="WBM61" s="108"/>
      <c r="WBN61" s="108"/>
      <c r="WBO61" s="108"/>
      <c r="WBP61" s="108"/>
      <c r="WBQ61" s="108"/>
      <c r="WBR61" s="108"/>
      <c r="WBS61" s="108"/>
      <c r="WBT61" s="108"/>
      <c r="WBU61" s="108"/>
      <c r="WBV61" s="108"/>
      <c r="WBW61" s="108"/>
      <c r="WBX61" s="108"/>
      <c r="WBY61" s="108"/>
      <c r="WBZ61" s="108"/>
      <c r="WCA61" s="108"/>
      <c r="WCB61" s="108"/>
      <c r="WCC61" s="108"/>
      <c r="WCD61" s="108"/>
      <c r="WCE61" s="108"/>
      <c r="WCF61" s="108"/>
      <c r="WCG61" s="108"/>
      <c r="WCH61" s="108"/>
      <c r="WCI61" s="108"/>
      <c r="WCJ61" s="108"/>
      <c r="WCK61" s="108"/>
      <c r="WCL61" s="108"/>
      <c r="WCM61" s="108"/>
      <c r="WCN61" s="108"/>
      <c r="WCO61" s="108"/>
      <c r="WCP61" s="108"/>
      <c r="WCQ61" s="108"/>
      <c r="WCR61" s="108"/>
      <c r="WCS61" s="108"/>
      <c r="WCT61" s="108"/>
      <c r="WCU61" s="108"/>
      <c r="WCV61" s="108"/>
      <c r="WCW61" s="108"/>
      <c r="WCX61" s="108"/>
      <c r="WCY61" s="108"/>
      <c r="WCZ61" s="108"/>
      <c r="WDA61" s="108"/>
      <c r="WDB61" s="108"/>
      <c r="WDC61" s="108"/>
      <c r="WDD61" s="108"/>
      <c r="WDE61" s="108"/>
      <c r="WDF61" s="108"/>
      <c r="WDG61" s="108"/>
      <c r="WDH61" s="108"/>
      <c r="WDI61" s="108"/>
      <c r="WDJ61" s="108"/>
      <c r="WDK61" s="108"/>
      <c r="WDL61" s="108"/>
      <c r="WDM61" s="108"/>
      <c r="WDN61" s="108"/>
      <c r="WDO61" s="108"/>
      <c r="WDP61" s="108"/>
      <c r="WDQ61" s="108"/>
      <c r="WDR61" s="108"/>
      <c r="WDS61" s="108"/>
      <c r="WDT61" s="108"/>
      <c r="WDU61" s="108"/>
      <c r="WDV61" s="108"/>
      <c r="WDW61" s="108"/>
      <c r="WDX61" s="108"/>
      <c r="WDY61" s="108"/>
      <c r="WDZ61" s="108"/>
      <c r="WEA61" s="108"/>
      <c r="WEB61" s="108"/>
      <c r="WEC61" s="108"/>
      <c r="WED61" s="108"/>
      <c r="WEE61" s="108"/>
      <c r="WEF61" s="108"/>
      <c r="WEG61" s="108"/>
      <c r="WEH61" s="108"/>
      <c r="WEI61" s="108"/>
      <c r="WEJ61" s="108"/>
      <c r="WEK61" s="108"/>
      <c r="WEL61" s="108"/>
      <c r="WEM61" s="108"/>
      <c r="WEN61" s="108"/>
      <c r="WEO61" s="108"/>
      <c r="WEP61" s="108"/>
      <c r="WEQ61" s="108"/>
      <c r="WER61" s="108"/>
      <c r="WES61" s="108"/>
      <c r="WET61" s="108"/>
      <c r="WEU61" s="108"/>
      <c r="WEV61" s="108"/>
      <c r="WEW61" s="108"/>
      <c r="WEX61" s="108"/>
      <c r="WEY61" s="108"/>
      <c r="WEZ61" s="108"/>
      <c r="WFA61" s="108"/>
      <c r="WFB61" s="108"/>
      <c r="WFC61" s="108"/>
      <c r="WFD61" s="108"/>
      <c r="WFE61" s="108"/>
      <c r="WFF61" s="108"/>
      <c r="WFG61" s="108"/>
      <c r="WFH61" s="108"/>
      <c r="WFI61" s="108"/>
      <c r="WFJ61" s="108"/>
      <c r="WFK61" s="108"/>
      <c r="WFL61" s="108"/>
      <c r="WFM61" s="108"/>
      <c r="WFN61" s="108"/>
      <c r="WFO61" s="108"/>
      <c r="WFP61" s="108"/>
      <c r="WFQ61" s="108"/>
      <c r="WFR61" s="108"/>
      <c r="WFS61" s="108"/>
      <c r="WFT61" s="108"/>
      <c r="WFU61" s="108"/>
      <c r="WFV61" s="108"/>
      <c r="WFW61" s="108"/>
      <c r="WFX61" s="108"/>
      <c r="WFY61" s="108"/>
      <c r="WFZ61" s="108"/>
      <c r="WGA61" s="108"/>
      <c r="WGB61" s="108"/>
      <c r="WGC61" s="108"/>
      <c r="WGD61" s="108"/>
      <c r="WGE61" s="108"/>
      <c r="WGF61" s="108"/>
      <c r="WGG61" s="108"/>
      <c r="WGH61" s="108"/>
      <c r="WGI61" s="108"/>
      <c r="WGJ61" s="108"/>
      <c r="WGK61" s="108"/>
      <c r="WGL61" s="108"/>
      <c r="WGM61" s="108"/>
      <c r="WGN61" s="108"/>
      <c r="WGO61" s="108"/>
      <c r="WGP61" s="108"/>
      <c r="WGQ61" s="108"/>
      <c r="WGR61" s="108"/>
      <c r="WGS61" s="108"/>
      <c r="WGT61" s="108"/>
      <c r="WGU61" s="108"/>
      <c r="WGV61" s="108"/>
      <c r="WGW61" s="108"/>
      <c r="WGX61" s="108"/>
      <c r="WGY61" s="108"/>
      <c r="WGZ61" s="108"/>
      <c r="WHA61" s="108"/>
      <c r="WHB61" s="108"/>
      <c r="WHC61" s="108"/>
      <c r="WHD61" s="108"/>
      <c r="WHE61" s="108"/>
      <c r="WHF61" s="108"/>
      <c r="WHG61" s="108"/>
      <c r="WHH61" s="108"/>
      <c r="WHI61" s="108"/>
      <c r="WHJ61" s="108"/>
      <c r="WHK61" s="108"/>
      <c r="WHL61" s="108"/>
      <c r="WHM61" s="108"/>
      <c r="WHN61" s="108"/>
      <c r="WHO61" s="108"/>
      <c r="WHP61" s="108"/>
      <c r="WHQ61" s="108"/>
      <c r="WHR61" s="108"/>
      <c r="WHS61" s="108"/>
      <c r="WHT61" s="108"/>
      <c r="WHU61" s="108"/>
      <c r="WHV61" s="108"/>
      <c r="WHW61" s="108"/>
      <c r="WHX61" s="108"/>
      <c r="WHY61" s="108"/>
      <c r="WHZ61" s="108"/>
      <c r="WIA61" s="108"/>
      <c r="WIB61" s="108"/>
      <c r="WIC61" s="108"/>
      <c r="WID61" s="108"/>
      <c r="WIE61" s="108"/>
      <c r="WIF61" s="108"/>
      <c r="WIG61" s="108"/>
      <c r="WIH61" s="108"/>
      <c r="WII61" s="108"/>
      <c r="WIJ61" s="108"/>
      <c r="WIK61" s="108"/>
      <c r="WIL61" s="108"/>
      <c r="WIM61" s="108"/>
      <c r="WIN61" s="108"/>
      <c r="WIO61" s="108"/>
      <c r="WIP61" s="108"/>
      <c r="WIQ61" s="108"/>
      <c r="WIR61" s="108"/>
      <c r="WIS61" s="108"/>
      <c r="WIT61" s="108"/>
      <c r="WIU61" s="108"/>
      <c r="WIV61" s="108"/>
      <c r="WIW61" s="108"/>
      <c r="WIX61" s="108"/>
      <c r="WIY61" s="108"/>
      <c r="WIZ61" s="108"/>
      <c r="WJA61" s="108"/>
      <c r="WJB61" s="108"/>
      <c r="WJC61" s="108"/>
      <c r="WJD61" s="108"/>
      <c r="WJE61" s="108"/>
      <c r="WJF61" s="108"/>
      <c r="WJG61" s="108"/>
      <c r="WJH61" s="108"/>
      <c r="WJI61" s="108"/>
      <c r="WJJ61" s="108"/>
      <c r="WJK61" s="108"/>
      <c r="WJL61" s="108"/>
      <c r="WJM61" s="108"/>
      <c r="WJN61" s="108"/>
      <c r="WJO61" s="108"/>
      <c r="WJP61" s="108"/>
      <c r="WJQ61" s="108"/>
      <c r="WJR61" s="108"/>
      <c r="WJS61" s="108"/>
      <c r="WJT61" s="108"/>
      <c r="WJU61" s="108"/>
      <c r="WJV61" s="108"/>
      <c r="WJW61" s="108"/>
      <c r="WJX61" s="108"/>
      <c r="WJY61" s="108"/>
      <c r="WJZ61" s="108"/>
      <c r="WKA61" s="108"/>
      <c r="WKB61" s="108"/>
      <c r="WKC61" s="108"/>
      <c r="WKD61" s="108"/>
      <c r="WKE61" s="108"/>
      <c r="WKF61" s="108"/>
      <c r="WKG61" s="108"/>
      <c r="WKH61" s="108"/>
      <c r="WKI61" s="108"/>
      <c r="WKJ61" s="108"/>
      <c r="WKK61" s="108"/>
      <c r="WKL61" s="108"/>
      <c r="WKM61" s="108"/>
      <c r="WKN61" s="108"/>
      <c r="WKO61" s="108"/>
      <c r="WKP61" s="108"/>
      <c r="WKQ61" s="108"/>
      <c r="WKR61" s="108"/>
      <c r="WKS61" s="108"/>
      <c r="WKT61" s="108"/>
      <c r="WKU61" s="108"/>
      <c r="WKV61" s="108"/>
      <c r="WKW61" s="108"/>
      <c r="WKX61" s="108"/>
      <c r="WKY61" s="108"/>
      <c r="WKZ61" s="108"/>
      <c r="WLA61" s="108"/>
      <c r="WLB61" s="108"/>
      <c r="WLC61" s="108"/>
      <c r="WLD61" s="108"/>
      <c r="WLE61" s="108"/>
      <c r="WLF61" s="108"/>
      <c r="WLG61" s="108"/>
      <c r="WLH61" s="108"/>
      <c r="WLI61" s="108"/>
      <c r="WLJ61" s="108"/>
      <c r="WLK61" s="108"/>
      <c r="WLL61" s="108"/>
      <c r="WLM61" s="108"/>
      <c r="WLN61" s="108"/>
      <c r="WLO61" s="108"/>
      <c r="WLP61" s="108"/>
      <c r="WLQ61" s="108"/>
      <c r="WLR61" s="108"/>
      <c r="WLS61" s="108"/>
      <c r="WLT61" s="108"/>
      <c r="WLU61" s="108"/>
      <c r="WLV61" s="108"/>
      <c r="WLW61" s="108"/>
      <c r="WLX61" s="108"/>
      <c r="WLY61" s="108"/>
      <c r="WLZ61" s="108"/>
      <c r="WMA61" s="108"/>
      <c r="WMB61" s="108"/>
      <c r="WMC61" s="108"/>
      <c r="WMD61" s="108"/>
      <c r="WME61" s="108"/>
      <c r="WMF61" s="108"/>
      <c r="WMG61" s="108"/>
      <c r="WMH61" s="108"/>
      <c r="WMI61" s="108"/>
      <c r="WMJ61" s="108"/>
      <c r="WMK61" s="108"/>
      <c r="WML61" s="108"/>
      <c r="WMM61" s="108"/>
      <c r="WMN61" s="108"/>
      <c r="WMO61" s="108"/>
      <c r="WMP61" s="108"/>
      <c r="WMQ61" s="108"/>
      <c r="WMR61" s="108"/>
      <c r="WMS61" s="108"/>
      <c r="WMT61" s="108"/>
      <c r="WMU61" s="108"/>
      <c r="WMV61" s="108"/>
      <c r="WMW61" s="108"/>
      <c r="WMX61" s="108"/>
      <c r="WMY61" s="108"/>
      <c r="WMZ61" s="108"/>
      <c r="WNA61" s="108"/>
      <c r="WNB61" s="108"/>
      <c r="WNC61" s="108"/>
      <c r="WND61" s="108"/>
      <c r="WNE61" s="108"/>
      <c r="WNF61" s="108"/>
      <c r="WNG61" s="108"/>
      <c r="WNH61" s="108"/>
      <c r="WNI61" s="108"/>
      <c r="WNJ61" s="108"/>
      <c r="WNK61" s="108"/>
      <c r="WNL61" s="108"/>
      <c r="WNM61" s="108"/>
      <c r="WNN61" s="108"/>
      <c r="WNO61" s="108"/>
      <c r="WNP61" s="108"/>
      <c r="WNQ61" s="108"/>
      <c r="WNR61" s="108"/>
      <c r="WNS61" s="108"/>
      <c r="WNT61" s="108"/>
      <c r="WNU61" s="108"/>
      <c r="WNV61" s="108"/>
      <c r="WNW61" s="108"/>
      <c r="WNX61" s="108"/>
      <c r="WNY61" s="108"/>
      <c r="WNZ61" s="108"/>
      <c r="WOA61" s="108"/>
      <c r="WOB61" s="108"/>
      <c r="WOC61" s="108"/>
      <c r="WOD61" s="108"/>
      <c r="WOE61" s="108"/>
      <c r="WOF61" s="108"/>
      <c r="WOG61" s="108"/>
      <c r="WOH61" s="108"/>
      <c r="WOI61" s="108"/>
      <c r="WOJ61" s="108"/>
      <c r="WOK61" s="108"/>
      <c r="WOL61" s="108"/>
      <c r="WOM61" s="108"/>
      <c r="WON61" s="108"/>
      <c r="WOO61" s="108"/>
      <c r="WOP61" s="108"/>
      <c r="WOQ61" s="108"/>
      <c r="WOR61" s="108"/>
      <c r="WOS61" s="108"/>
      <c r="WOT61" s="108"/>
      <c r="WOU61" s="108"/>
      <c r="WOV61" s="108"/>
      <c r="WOW61" s="108"/>
      <c r="WOX61" s="108"/>
      <c r="WOY61" s="108"/>
      <c r="WOZ61" s="108"/>
      <c r="WPA61" s="108"/>
      <c r="WPB61" s="108"/>
      <c r="WPC61" s="108"/>
      <c r="WPD61" s="108"/>
      <c r="WPE61" s="108"/>
      <c r="WPF61" s="108"/>
      <c r="WPG61" s="108"/>
      <c r="WPH61" s="108"/>
      <c r="WPI61" s="108"/>
      <c r="WPJ61" s="108"/>
      <c r="WPK61" s="108"/>
      <c r="WPL61" s="108"/>
      <c r="WPM61" s="108"/>
      <c r="WPN61" s="108"/>
      <c r="WPO61" s="108"/>
      <c r="WPP61" s="108"/>
      <c r="WPQ61" s="108"/>
      <c r="WPR61" s="108"/>
      <c r="WPS61" s="108"/>
      <c r="WPT61" s="108"/>
      <c r="WPU61" s="108"/>
      <c r="WPV61" s="108"/>
      <c r="WPW61" s="108"/>
      <c r="WPX61" s="108"/>
      <c r="WPY61" s="108"/>
      <c r="WPZ61" s="108"/>
      <c r="WQA61" s="108"/>
      <c r="WQB61" s="108"/>
      <c r="WQC61" s="108"/>
      <c r="WQD61" s="108"/>
      <c r="WQE61" s="108"/>
      <c r="WQF61" s="108"/>
      <c r="WQG61" s="108"/>
      <c r="WQH61" s="108"/>
      <c r="WQI61" s="108"/>
      <c r="WQJ61" s="108"/>
      <c r="WQK61" s="108"/>
      <c r="WQL61" s="108"/>
      <c r="WQM61" s="108"/>
      <c r="WQN61" s="108"/>
      <c r="WQO61" s="108"/>
      <c r="WQP61" s="108"/>
      <c r="WQQ61" s="108"/>
      <c r="WQR61" s="108"/>
      <c r="WQS61" s="108"/>
      <c r="WQT61" s="108"/>
      <c r="WQU61" s="108"/>
      <c r="WQV61" s="108"/>
      <c r="WQW61" s="108"/>
      <c r="WQX61" s="108"/>
      <c r="WQY61" s="108"/>
      <c r="WQZ61" s="108"/>
      <c r="WRA61" s="108"/>
      <c r="WRB61" s="108"/>
      <c r="WRC61" s="108"/>
      <c r="WRD61" s="108"/>
      <c r="WRE61" s="108"/>
      <c r="WRF61" s="108"/>
      <c r="WRG61" s="108"/>
      <c r="WRH61" s="108"/>
      <c r="WRI61" s="108"/>
      <c r="WRJ61" s="108"/>
      <c r="WRK61" s="108"/>
      <c r="WRL61" s="108"/>
      <c r="WRM61" s="108"/>
      <c r="WRN61" s="108"/>
      <c r="WRO61" s="108"/>
      <c r="WRP61" s="108"/>
      <c r="WRQ61" s="108"/>
      <c r="WRR61" s="108"/>
      <c r="WRS61" s="108"/>
      <c r="WRT61" s="108"/>
      <c r="WRU61" s="108"/>
      <c r="WRV61" s="108"/>
      <c r="WRW61" s="108"/>
      <c r="WRX61" s="108"/>
      <c r="WRY61" s="108"/>
      <c r="WRZ61" s="108"/>
      <c r="WSA61" s="108"/>
      <c r="WSB61" s="108"/>
      <c r="WSC61" s="108"/>
      <c r="WSD61" s="108"/>
      <c r="WSE61" s="108"/>
      <c r="WSF61" s="108"/>
      <c r="WSG61" s="108"/>
      <c r="WSH61" s="108"/>
      <c r="WSI61" s="108"/>
      <c r="WSJ61" s="108"/>
      <c r="WSK61" s="108"/>
      <c r="WSL61" s="108"/>
      <c r="WSM61" s="108"/>
      <c r="WSN61" s="108"/>
      <c r="WSO61" s="108"/>
      <c r="WSP61" s="108"/>
      <c r="WSQ61" s="108"/>
      <c r="WSR61" s="108"/>
      <c r="WSS61" s="108"/>
      <c r="WST61" s="108"/>
      <c r="WSU61" s="108"/>
      <c r="WSV61" s="108"/>
      <c r="WSW61" s="108"/>
      <c r="WSX61" s="108"/>
      <c r="WSY61" s="108"/>
      <c r="WSZ61" s="108"/>
      <c r="WTA61" s="108"/>
      <c r="WTB61" s="108"/>
      <c r="WTC61" s="108"/>
      <c r="WTD61" s="108"/>
      <c r="WTE61" s="108"/>
      <c r="WTF61" s="108"/>
      <c r="WTG61" s="108"/>
      <c r="WTH61" s="108"/>
      <c r="WTI61" s="108"/>
      <c r="WTJ61" s="108"/>
      <c r="WTK61" s="108"/>
      <c r="WTL61" s="108"/>
      <c r="WTM61" s="108"/>
      <c r="WTN61" s="108"/>
      <c r="WTO61" s="108"/>
      <c r="WTP61" s="108"/>
      <c r="WTQ61" s="108"/>
      <c r="WTR61" s="108"/>
      <c r="WTS61" s="108"/>
      <c r="WTT61" s="108"/>
      <c r="WTU61" s="108"/>
      <c r="WTV61" s="108"/>
      <c r="WTW61" s="108"/>
      <c r="WTX61" s="108"/>
      <c r="WTY61" s="108"/>
      <c r="WTZ61" s="108"/>
      <c r="WUA61" s="108"/>
      <c r="WUB61" s="108"/>
      <c r="WUC61" s="108"/>
      <c r="WUD61" s="108"/>
      <c r="WUE61" s="108"/>
      <c r="WUF61" s="108"/>
      <c r="WUG61" s="108"/>
      <c r="WUH61" s="108"/>
      <c r="WUI61" s="108"/>
      <c r="WUJ61" s="108"/>
      <c r="WUK61" s="108"/>
      <c r="WUL61" s="108"/>
      <c r="WUM61" s="108"/>
      <c r="WUN61" s="108"/>
      <c r="WUO61" s="108"/>
      <c r="WUP61" s="108"/>
      <c r="WUQ61" s="108"/>
      <c r="WUR61" s="108"/>
      <c r="WUS61" s="108"/>
      <c r="WUT61" s="108"/>
      <c r="WUU61" s="108"/>
      <c r="WUV61" s="108"/>
      <c r="WUW61" s="108"/>
      <c r="WUX61" s="108"/>
      <c r="WUY61" s="108"/>
      <c r="WUZ61" s="108"/>
      <c r="WVA61" s="108"/>
      <c r="WVB61" s="108"/>
      <c r="WVC61" s="108"/>
      <c r="WVD61" s="108"/>
      <c r="WVE61" s="108"/>
      <c r="WVF61" s="108"/>
      <c r="WVG61" s="108"/>
      <c r="WVH61" s="108"/>
      <c r="WVI61" s="108"/>
      <c r="WVJ61" s="108"/>
      <c r="WVK61" s="108"/>
      <c r="WVL61" s="108"/>
      <c r="WVM61" s="108"/>
      <c r="WVN61" s="108"/>
      <c r="WVO61" s="108"/>
      <c r="WVP61" s="108"/>
      <c r="WVQ61" s="108"/>
      <c r="WVR61" s="108"/>
      <c r="WVS61" s="108"/>
      <c r="WVT61" s="108"/>
      <c r="WVU61" s="108"/>
      <c r="WVV61" s="108"/>
      <c r="WVW61" s="108"/>
      <c r="WVX61" s="108"/>
      <c r="WVY61" s="108"/>
      <c r="WVZ61" s="108"/>
      <c r="WWA61" s="108"/>
      <c r="WWB61" s="108"/>
      <c r="WWC61" s="108"/>
      <c r="WWD61" s="108"/>
      <c r="WWE61" s="108"/>
      <c r="WWF61" s="108"/>
      <c r="WWG61" s="108"/>
      <c r="WWH61" s="108"/>
      <c r="WWI61" s="108"/>
      <c r="WWJ61" s="108"/>
      <c r="WWK61" s="108"/>
      <c r="WWL61" s="108"/>
      <c r="WWM61" s="108"/>
      <c r="WWN61" s="108"/>
      <c r="WWO61" s="108"/>
      <c r="WWP61" s="108"/>
      <c r="WWQ61" s="108"/>
      <c r="WWR61" s="108"/>
      <c r="WWS61" s="108"/>
      <c r="WWT61" s="108"/>
      <c r="WWU61" s="108"/>
      <c r="WWV61" s="108"/>
      <c r="WWW61" s="108"/>
      <c r="WWX61" s="108"/>
      <c r="WWY61" s="108"/>
      <c r="WWZ61" s="108"/>
      <c r="WXA61" s="108"/>
      <c r="WXB61" s="108"/>
      <c r="WXC61" s="108"/>
      <c r="WXD61" s="108"/>
      <c r="WXE61" s="108"/>
      <c r="WXF61" s="108"/>
      <c r="WXG61" s="108"/>
      <c r="WXH61" s="108"/>
      <c r="WXI61" s="108"/>
      <c r="WXJ61" s="108"/>
      <c r="WXK61" s="108"/>
      <c r="WXL61" s="108"/>
      <c r="WXM61" s="108"/>
      <c r="WXN61" s="108"/>
      <c r="WXO61" s="108"/>
      <c r="WXP61" s="108"/>
      <c r="WXQ61" s="108"/>
      <c r="WXR61" s="108"/>
      <c r="WXS61" s="108"/>
      <c r="WXT61" s="108"/>
      <c r="WXU61" s="108"/>
      <c r="WXV61" s="108"/>
      <c r="WXW61" s="108"/>
      <c r="WXX61" s="108"/>
      <c r="WXY61" s="108"/>
      <c r="WXZ61" s="108"/>
      <c r="WYA61" s="108"/>
      <c r="WYB61" s="108"/>
      <c r="WYC61" s="108"/>
      <c r="WYD61" s="108"/>
      <c r="WYE61" s="108"/>
      <c r="WYF61" s="108"/>
      <c r="WYG61" s="108"/>
      <c r="WYH61" s="108"/>
      <c r="WYI61" s="108"/>
      <c r="WYJ61" s="108"/>
      <c r="WYK61" s="108"/>
      <c r="WYL61" s="108"/>
      <c r="WYM61" s="108"/>
      <c r="WYN61" s="108"/>
      <c r="WYO61" s="108"/>
      <c r="WYP61" s="108"/>
      <c r="WYQ61" s="108"/>
      <c r="WYR61" s="108"/>
      <c r="WYS61" s="108"/>
      <c r="WYT61" s="108"/>
      <c r="WYU61" s="108"/>
      <c r="WYV61" s="108"/>
      <c r="WYW61" s="108"/>
      <c r="WYX61" s="108"/>
      <c r="WYY61" s="108"/>
      <c r="WYZ61" s="108"/>
      <c r="WZA61" s="108"/>
      <c r="WZB61" s="108"/>
      <c r="WZC61" s="108"/>
      <c r="WZD61" s="108"/>
      <c r="WZE61" s="108"/>
      <c r="WZF61" s="108"/>
      <c r="WZG61" s="108"/>
      <c r="WZH61" s="108"/>
      <c r="WZI61" s="108"/>
      <c r="WZJ61" s="108"/>
      <c r="WZK61" s="108"/>
      <c r="WZL61" s="108"/>
      <c r="WZM61" s="108"/>
      <c r="WZN61" s="108"/>
      <c r="WZO61" s="108"/>
      <c r="WZP61" s="108"/>
      <c r="WZQ61" s="108"/>
      <c r="WZR61" s="108"/>
      <c r="WZS61" s="108"/>
      <c r="WZT61" s="108"/>
      <c r="WZU61" s="108"/>
      <c r="WZV61" s="108"/>
      <c r="WZW61" s="108"/>
      <c r="WZX61" s="108"/>
      <c r="WZY61" s="108"/>
      <c r="WZZ61" s="108"/>
      <c r="XAA61" s="108"/>
      <c r="XAB61" s="108"/>
      <c r="XAC61" s="108"/>
      <c r="XAD61" s="108"/>
      <c r="XAE61" s="108"/>
      <c r="XAF61" s="108"/>
      <c r="XAG61" s="108"/>
      <c r="XAH61" s="108"/>
      <c r="XAI61" s="108"/>
      <c r="XAJ61" s="108"/>
      <c r="XAK61" s="108"/>
      <c r="XAL61" s="108"/>
      <c r="XAM61" s="108"/>
      <c r="XAN61" s="108"/>
      <c r="XAO61" s="108"/>
      <c r="XAP61" s="108"/>
      <c r="XAQ61" s="108"/>
      <c r="XAR61" s="108"/>
      <c r="XAS61" s="108"/>
      <c r="XAT61" s="108"/>
      <c r="XAU61" s="108"/>
      <c r="XAV61" s="108"/>
      <c r="XAW61" s="108"/>
      <c r="XAX61" s="108"/>
      <c r="XAY61" s="108"/>
      <c r="XAZ61" s="108"/>
      <c r="XBA61" s="108"/>
      <c r="XBB61" s="108"/>
      <c r="XBC61" s="108"/>
      <c r="XBD61" s="108"/>
      <c r="XBE61" s="108"/>
      <c r="XBF61" s="108"/>
      <c r="XBG61" s="108"/>
      <c r="XBH61" s="108"/>
      <c r="XBI61" s="108"/>
      <c r="XBJ61" s="108"/>
      <c r="XBK61" s="108"/>
      <c r="XBL61" s="108"/>
      <c r="XBM61" s="108"/>
      <c r="XBN61" s="108"/>
      <c r="XBO61" s="108"/>
      <c r="XBP61" s="108"/>
      <c r="XBQ61" s="108"/>
      <c r="XBR61" s="108"/>
      <c r="XBS61" s="108"/>
      <c r="XBT61" s="108"/>
      <c r="XBU61" s="108"/>
      <c r="XBV61" s="108"/>
      <c r="XBW61" s="108"/>
      <c r="XBX61" s="108"/>
      <c r="XBY61" s="108"/>
      <c r="XBZ61" s="108"/>
      <c r="XCA61" s="108"/>
      <c r="XCB61" s="108"/>
      <c r="XCC61" s="108"/>
      <c r="XCD61" s="108"/>
      <c r="XCE61" s="108"/>
      <c r="XCF61" s="108"/>
      <c r="XCG61" s="108"/>
      <c r="XCH61" s="108"/>
      <c r="XCI61" s="108"/>
      <c r="XCJ61" s="108"/>
      <c r="XCK61" s="108"/>
      <c r="XCL61" s="108"/>
      <c r="XCM61" s="108"/>
      <c r="XCN61" s="108"/>
      <c r="XCO61" s="108"/>
      <c r="XCP61" s="108"/>
      <c r="XCQ61" s="108"/>
      <c r="XCR61" s="108"/>
      <c r="XCS61" s="108"/>
      <c r="XCT61" s="108"/>
      <c r="XCU61" s="108"/>
      <c r="XCV61" s="108"/>
      <c r="XCW61" s="108"/>
      <c r="XCX61" s="108"/>
      <c r="XCY61" s="108"/>
      <c r="XCZ61" s="108"/>
      <c r="XDA61" s="108"/>
      <c r="XDB61" s="108"/>
      <c r="XDC61" s="108"/>
      <c r="XDD61" s="108"/>
      <c r="XDE61" s="108"/>
      <c r="XDF61" s="108"/>
      <c r="XDG61" s="108"/>
      <c r="XDH61" s="108"/>
      <c r="XDI61" s="108"/>
      <c r="XDJ61" s="108"/>
      <c r="XDK61" s="108"/>
      <c r="XDL61" s="108"/>
      <c r="XDM61" s="108"/>
      <c r="XDN61" s="108"/>
      <c r="XDO61" s="108"/>
      <c r="XDP61" s="108"/>
      <c r="XDQ61" s="108"/>
      <c r="XDR61" s="108"/>
      <c r="XDS61" s="108"/>
      <c r="XDT61" s="108"/>
      <c r="XDU61" s="108"/>
      <c r="XDV61" s="108"/>
      <c r="XDW61" s="108"/>
      <c r="XDX61" s="108"/>
      <c r="XDY61" s="108"/>
      <c r="XDZ61" s="108"/>
      <c r="XEA61" s="108"/>
      <c r="XEB61" s="108"/>
      <c r="XEC61" s="108"/>
      <c r="XED61" s="108"/>
      <c r="XEE61" s="108"/>
      <c r="XEF61" s="108"/>
      <c r="XEG61" s="108"/>
      <c r="XEH61" s="108"/>
      <c r="XEI61" s="108"/>
      <c r="XEJ61" s="108"/>
      <c r="XEK61" s="108"/>
      <c r="XEL61" s="108"/>
      <c r="XEM61" s="108"/>
      <c r="XEN61" s="108"/>
      <c r="XEO61" s="108"/>
      <c r="XEP61" s="108"/>
    </row>
    <row r="62" spans="1:16370" hidden="1" outlineLevel="1">
      <c r="A62" s="70" t="s">
        <v>123</v>
      </c>
      <c r="B62" s="85" t="s">
        <v>85</v>
      </c>
      <c r="C62" s="72"/>
      <c r="D62" s="77">
        <f>'0'!D17</f>
        <v>1</v>
      </c>
      <c r="E62" s="77">
        <f>'0'!E17</f>
        <v>1</v>
      </c>
      <c r="F62" s="77">
        <f>'0'!F17</f>
        <v>2</v>
      </c>
      <c r="G62" s="77">
        <f>'0'!G17</f>
        <v>2</v>
      </c>
      <c r="H62" s="77">
        <f>'0'!H17</f>
        <v>3</v>
      </c>
      <c r="I62" s="77">
        <f>'0'!I17</f>
        <v>3</v>
      </c>
      <c r="J62" s="77">
        <f>'0'!J17</f>
        <v>4</v>
      </c>
      <c r="K62" s="77">
        <f>'0'!K17</f>
        <v>5</v>
      </c>
      <c r="L62" s="77">
        <f>'0'!L17</f>
        <v>6</v>
      </c>
      <c r="M62" s="77">
        <f>'0'!M17</f>
        <v>7</v>
      </c>
      <c r="N62" s="77">
        <f>'0'!N17</f>
        <v>8</v>
      </c>
      <c r="O62" s="77">
        <f>'0'!O17</f>
        <v>8</v>
      </c>
      <c r="P62" s="77">
        <f>'0'!P17</f>
        <v>8</v>
      </c>
      <c r="Q62" s="77">
        <f>'0'!Q17</f>
        <v>8</v>
      </c>
      <c r="R62" s="77">
        <f>'0'!R17</f>
        <v>8</v>
      </c>
      <c r="S62" s="77">
        <f>'0'!S17</f>
        <v>8</v>
      </c>
      <c r="T62" s="77">
        <f>'0'!T17</f>
        <v>8</v>
      </c>
      <c r="U62" s="77">
        <f>'0'!U17</f>
        <v>8</v>
      </c>
      <c r="V62" s="77">
        <f>'0'!V17</f>
        <v>8</v>
      </c>
      <c r="W62" s="77">
        <f>'0'!W17</f>
        <v>8</v>
      </c>
      <c r="X62" s="77">
        <f>'0'!X17</f>
        <v>8</v>
      </c>
      <c r="Y62" s="77">
        <f>'0'!Y17</f>
        <v>8</v>
      </c>
      <c r="Z62" s="77">
        <f>'0'!Z17</f>
        <v>8</v>
      </c>
      <c r="AA62" s="77">
        <f>'0'!AA17</f>
        <v>8</v>
      </c>
      <c r="AB62" s="77">
        <f>'0'!AB17</f>
        <v>8</v>
      </c>
      <c r="AC62" s="77">
        <f>'0'!AC17</f>
        <v>8</v>
      </c>
      <c r="AD62" s="77">
        <f>'0'!AD17</f>
        <v>8</v>
      </c>
      <c r="AE62" s="77">
        <f>'0'!AE17</f>
        <v>8</v>
      </c>
      <c r="AF62" s="77">
        <f>'0'!AF17</f>
        <v>8</v>
      </c>
      <c r="AG62" s="77">
        <f>'0'!AG17</f>
        <v>8</v>
      </c>
      <c r="AH62" s="77">
        <f>'0'!AH17</f>
        <v>8</v>
      </c>
      <c r="AI62" s="77">
        <f>'0'!AI17</f>
        <v>8</v>
      </c>
      <c r="AJ62" s="77">
        <f>'0'!AJ17</f>
        <v>8</v>
      </c>
      <c r="AK62" s="77">
        <f>'0'!AK17</f>
        <v>8</v>
      </c>
      <c r="AL62" s="77">
        <f>'0'!AL17</f>
        <v>8</v>
      </c>
      <c r="AM62" s="77">
        <f>'0'!AM17</f>
        <v>8</v>
      </c>
      <c r="AN62" s="81"/>
      <c r="AO62" s="75">
        <f>O62</f>
        <v>8</v>
      </c>
      <c r="AP62" s="75">
        <f>AA62</f>
        <v>8</v>
      </c>
      <c r="AQ62" s="75">
        <f>AM62</f>
        <v>8</v>
      </c>
    </row>
    <row r="63" spans="1:16370" hidden="1" outlineLevel="1">
      <c r="A63" s="70" t="s">
        <v>210</v>
      </c>
      <c r="B63" s="85" t="s">
        <v>85</v>
      </c>
      <c r="C63" s="72"/>
      <c r="D63" s="86">
        <v>40</v>
      </c>
      <c r="E63" s="86">
        <v>40</v>
      </c>
      <c r="F63" s="86">
        <v>40</v>
      </c>
      <c r="G63" s="86">
        <v>40</v>
      </c>
      <c r="H63" s="86">
        <v>40</v>
      </c>
      <c r="I63" s="86">
        <v>40</v>
      </c>
      <c r="J63" s="86">
        <v>40</v>
      </c>
      <c r="K63" s="86">
        <v>40</v>
      </c>
      <c r="L63" s="86">
        <v>40</v>
      </c>
      <c r="M63" s="86">
        <v>40</v>
      </c>
      <c r="N63" s="86">
        <v>40</v>
      </c>
      <c r="O63" s="86">
        <v>40</v>
      </c>
      <c r="P63" s="86">
        <v>40</v>
      </c>
      <c r="Q63" s="86">
        <v>40</v>
      </c>
      <c r="R63" s="86">
        <v>40</v>
      </c>
      <c r="S63" s="86">
        <v>40</v>
      </c>
      <c r="T63" s="86">
        <v>40</v>
      </c>
      <c r="U63" s="86">
        <v>40</v>
      </c>
      <c r="V63" s="86">
        <v>40</v>
      </c>
      <c r="W63" s="86">
        <v>40</v>
      </c>
      <c r="X63" s="86">
        <v>40</v>
      </c>
      <c r="Y63" s="86">
        <v>40</v>
      </c>
      <c r="Z63" s="86">
        <v>40</v>
      </c>
      <c r="AA63" s="86">
        <v>40</v>
      </c>
      <c r="AB63" s="86">
        <v>40</v>
      </c>
      <c r="AC63" s="86">
        <v>40</v>
      </c>
      <c r="AD63" s="86">
        <v>40</v>
      </c>
      <c r="AE63" s="86">
        <v>40</v>
      </c>
      <c r="AF63" s="86">
        <v>40</v>
      </c>
      <c r="AG63" s="86">
        <v>40</v>
      </c>
      <c r="AH63" s="86">
        <v>40</v>
      </c>
      <c r="AI63" s="86">
        <v>40</v>
      </c>
      <c r="AJ63" s="86">
        <v>40</v>
      </c>
      <c r="AK63" s="86">
        <v>40</v>
      </c>
      <c r="AL63" s="86">
        <v>40</v>
      </c>
      <c r="AM63" s="86">
        <v>40</v>
      </c>
      <c r="AN63" s="81"/>
      <c r="AO63" s="75">
        <f>AVERAGE(D63:O63)</f>
        <v>40</v>
      </c>
      <c r="AP63" s="75">
        <f>AVERAGE(P63:AA63)</f>
        <v>40</v>
      </c>
      <c r="AQ63" s="75">
        <f>AVERAGE(AB63:AM63)</f>
        <v>40</v>
      </c>
    </row>
    <row r="64" spans="1:16370" hidden="1" outlineLevel="1">
      <c r="A64" s="70" t="s">
        <v>211</v>
      </c>
      <c r="B64" s="85" t="s">
        <v>85</v>
      </c>
      <c r="C64" s="72"/>
      <c r="D64" s="77">
        <f t="shared" ref="D64:AM64" si="85">D62*D63</f>
        <v>40</v>
      </c>
      <c r="E64" s="77">
        <f t="shared" si="85"/>
        <v>40</v>
      </c>
      <c r="F64" s="77">
        <f>F62*F63</f>
        <v>80</v>
      </c>
      <c r="G64" s="77">
        <f t="shared" si="85"/>
        <v>80</v>
      </c>
      <c r="H64" s="77">
        <f t="shared" si="85"/>
        <v>120</v>
      </c>
      <c r="I64" s="77">
        <f t="shared" si="85"/>
        <v>120</v>
      </c>
      <c r="J64" s="77">
        <f t="shared" si="85"/>
        <v>160</v>
      </c>
      <c r="K64" s="77">
        <f t="shared" si="85"/>
        <v>200</v>
      </c>
      <c r="L64" s="77">
        <f t="shared" si="85"/>
        <v>240</v>
      </c>
      <c r="M64" s="77">
        <f t="shared" si="85"/>
        <v>280</v>
      </c>
      <c r="N64" s="77">
        <f t="shared" si="85"/>
        <v>320</v>
      </c>
      <c r="O64" s="77">
        <f t="shared" si="85"/>
        <v>320</v>
      </c>
      <c r="P64" s="77">
        <f t="shared" si="85"/>
        <v>320</v>
      </c>
      <c r="Q64" s="77">
        <f t="shared" si="85"/>
        <v>320</v>
      </c>
      <c r="R64" s="77">
        <f t="shared" si="85"/>
        <v>320</v>
      </c>
      <c r="S64" s="77">
        <f t="shared" si="85"/>
        <v>320</v>
      </c>
      <c r="T64" s="77">
        <f t="shared" si="85"/>
        <v>320</v>
      </c>
      <c r="U64" s="77">
        <f t="shared" si="85"/>
        <v>320</v>
      </c>
      <c r="V64" s="77">
        <f t="shared" si="85"/>
        <v>320</v>
      </c>
      <c r="W64" s="77">
        <f t="shared" si="85"/>
        <v>320</v>
      </c>
      <c r="X64" s="77">
        <f t="shared" si="85"/>
        <v>320</v>
      </c>
      <c r="Y64" s="77">
        <f t="shared" si="85"/>
        <v>320</v>
      </c>
      <c r="Z64" s="77">
        <f t="shared" si="85"/>
        <v>320</v>
      </c>
      <c r="AA64" s="77">
        <f t="shared" si="85"/>
        <v>320</v>
      </c>
      <c r="AB64" s="77">
        <f t="shared" si="85"/>
        <v>320</v>
      </c>
      <c r="AC64" s="77">
        <f t="shared" si="85"/>
        <v>320</v>
      </c>
      <c r="AD64" s="77">
        <f t="shared" si="85"/>
        <v>320</v>
      </c>
      <c r="AE64" s="77">
        <f t="shared" si="85"/>
        <v>320</v>
      </c>
      <c r="AF64" s="77">
        <f t="shared" si="85"/>
        <v>320</v>
      </c>
      <c r="AG64" s="77">
        <f t="shared" si="85"/>
        <v>320</v>
      </c>
      <c r="AH64" s="77">
        <f t="shared" si="85"/>
        <v>320</v>
      </c>
      <c r="AI64" s="77">
        <f t="shared" si="85"/>
        <v>320</v>
      </c>
      <c r="AJ64" s="77">
        <f t="shared" si="85"/>
        <v>320</v>
      </c>
      <c r="AK64" s="77">
        <f t="shared" si="85"/>
        <v>320</v>
      </c>
      <c r="AL64" s="77">
        <f t="shared" si="85"/>
        <v>320</v>
      </c>
      <c r="AM64" s="77">
        <f t="shared" si="85"/>
        <v>320</v>
      </c>
      <c r="AN64" s="81"/>
      <c r="AO64" s="75">
        <f>SUM(D64:O64)</f>
        <v>2000</v>
      </c>
      <c r="AP64" s="75">
        <f>SUM(P64:AA64)</f>
        <v>3840</v>
      </c>
      <c r="AQ64" s="75">
        <f>SUM(AB64:AM64)</f>
        <v>3840</v>
      </c>
    </row>
    <row r="65" spans="1:16370" hidden="1" outlineLevel="1">
      <c r="A65" s="70" t="s">
        <v>212</v>
      </c>
      <c r="B65" s="71" t="s">
        <v>208</v>
      </c>
      <c r="C65" s="72"/>
      <c r="D65" s="104">
        <v>5</v>
      </c>
      <c r="E65" s="104">
        <v>5</v>
      </c>
      <c r="F65" s="104">
        <v>5</v>
      </c>
      <c r="G65" s="104">
        <v>5</v>
      </c>
      <c r="H65" s="104">
        <v>5</v>
      </c>
      <c r="I65" s="104">
        <v>5</v>
      </c>
      <c r="J65" s="104">
        <v>5</v>
      </c>
      <c r="K65" s="104">
        <v>5</v>
      </c>
      <c r="L65" s="104">
        <v>5</v>
      </c>
      <c r="M65" s="104">
        <v>5</v>
      </c>
      <c r="N65" s="104">
        <v>5</v>
      </c>
      <c r="O65" s="104">
        <v>5</v>
      </c>
      <c r="P65" s="104">
        <v>5</v>
      </c>
      <c r="Q65" s="104">
        <v>5</v>
      </c>
      <c r="R65" s="104">
        <v>5</v>
      </c>
      <c r="S65" s="104">
        <v>5</v>
      </c>
      <c r="T65" s="104">
        <v>5</v>
      </c>
      <c r="U65" s="104">
        <v>5</v>
      </c>
      <c r="V65" s="104">
        <v>5</v>
      </c>
      <c r="W65" s="104">
        <v>5</v>
      </c>
      <c r="X65" s="104">
        <v>5</v>
      </c>
      <c r="Y65" s="104">
        <v>5</v>
      </c>
      <c r="Z65" s="104">
        <v>5</v>
      </c>
      <c r="AA65" s="104">
        <v>5</v>
      </c>
      <c r="AB65" s="104">
        <v>5</v>
      </c>
      <c r="AC65" s="104">
        <v>5</v>
      </c>
      <c r="AD65" s="104">
        <v>5</v>
      </c>
      <c r="AE65" s="104">
        <v>5</v>
      </c>
      <c r="AF65" s="104">
        <v>5</v>
      </c>
      <c r="AG65" s="104">
        <v>5</v>
      </c>
      <c r="AH65" s="104">
        <v>5</v>
      </c>
      <c r="AI65" s="104">
        <v>5</v>
      </c>
      <c r="AJ65" s="104">
        <v>5</v>
      </c>
      <c r="AK65" s="104">
        <v>5</v>
      </c>
      <c r="AL65" s="104">
        <v>5</v>
      </c>
      <c r="AM65" s="104">
        <v>5</v>
      </c>
      <c r="AN65" s="81"/>
      <c r="AO65" s="75">
        <f>AVERAGE(D65:O65)</f>
        <v>5</v>
      </c>
      <c r="AP65" s="75">
        <f>AVERAGE(P65:AA65)</f>
        <v>5</v>
      </c>
      <c r="AQ65" s="75">
        <f>AVERAGE(AB65:AM65)</f>
        <v>5</v>
      </c>
    </row>
    <row r="66" spans="1:16370" s="69" customFormat="1" hidden="1" outlineLevel="1">
      <c r="A66" s="70" t="s">
        <v>152</v>
      </c>
      <c r="B66" s="71" t="s">
        <v>208</v>
      </c>
      <c r="C66" s="72"/>
      <c r="D66" s="73">
        <f t="shared" ref="D66:AM66" si="86">D64*D65</f>
        <v>200</v>
      </c>
      <c r="E66" s="73">
        <f t="shared" si="86"/>
        <v>200</v>
      </c>
      <c r="F66" s="73">
        <f t="shared" si="86"/>
        <v>400</v>
      </c>
      <c r="G66" s="73">
        <f t="shared" si="86"/>
        <v>400</v>
      </c>
      <c r="H66" s="73">
        <f t="shared" si="86"/>
        <v>600</v>
      </c>
      <c r="I66" s="73">
        <f t="shared" si="86"/>
        <v>600</v>
      </c>
      <c r="J66" s="73">
        <f t="shared" si="86"/>
        <v>800</v>
      </c>
      <c r="K66" s="73">
        <f t="shared" si="86"/>
        <v>1000</v>
      </c>
      <c r="L66" s="73">
        <f t="shared" si="86"/>
        <v>1200</v>
      </c>
      <c r="M66" s="73">
        <f t="shared" si="86"/>
        <v>1400</v>
      </c>
      <c r="N66" s="73">
        <f t="shared" si="86"/>
        <v>1600</v>
      </c>
      <c r="O66" s="73">
        <f t="shared" si="86"/>
        <v>1600</v>
      </c>
      <c r="P66" s="73">
        <f t="shared" si="86"/>
        <v>1600</v>
      </c>
      <c r="Q66" s="73">
        <f t="shared" si="86"/>
        <v>1600</v>
      </c>
      <c r="R66" s="73">
        <f t="shared" si="86"/>
        <v>1600</v>
      </c>
      <c r="S66" s="73">
        <f t="shared" si="86"/>
        <v>1600</v>
      </c>
      <c r="T66" s="73">
        <f t="shared" si="86"/>
        <v>1600</v>
      </c>
      <c r="U66" s="73">
        <f t="shared" si="86"/>
        <v>1600</v>
      </c>
      <c r="V66" s="73">
        <f t="shared" si="86"/>
        <v>1600</v>
      </c>
      <c r="W66" s="73">
        <f t="shared" si="86"/>
        <v>1600</v>
      </c>
      <c r="X66" s="73">
        <f t="shared" si="86"/>
        <v>1600</v>
      </c>
      <c r="Y66" s="73">
        <f t="shared" si="86"/>
        <v>1600</v>
      </c>
      <c r="Z66" s="73">
        <f t="shared" si="86"/>
        <v>1600</v>
      </c>
      <c r="AA66" s="73">
        <f t="shared" si="86"/>
        <v>1600</v>
      </c>
      <c r="AB66" s="73">
        <f t="shared" si="86"/>
        <v>1600</v>
      </c>
      <c r="AC66" s="73">
        <f t="shared" si="86"/>
        <v>1600</v>
      </c>
      <c r="AD66" s="73">
        <f t="shared" si="86"/>
        <v>1600</v>
      </c>
      <c r="AE66" s="73">
        <f t="shared" si="86"/>
        <v>1600</v>
      </c>
      <c r="AF66" s="73">
        <f t="shared" si="86"/>
        <v>1600</v>
      </c>
      <c r="AG66" s="73">
        <f t="shared" si="86"/>
        <v>1600</v>
      </c>
      <c r="AH66" s="73">
        <f t="shared" si="86"/>
        <v>1600</v>
      </c>
      <c r="AI66" s="73">
        <f t="shared" si="86"/>
        <v>1600</v>
      </c>
      <c r="AJ66" s="73">
        <f t="shared" si="86"/>
        <v>1600</v>
      </c>
      <c r="AK66" s="73">
        <f t="shared" si="86"/>
        <v>1600</v>
      </c>
      <c r="AL66" s="73">
        <f t="shared" si="86"/>
        <v>1600</v>
      </c>
      <c r="AM66" s="73">
        <f t="shared" si="86"/>
        <v>1600</v>
      </c>
      <c r="AN66" s="74"/>
      <c r="AO66" s="75">
        <f>O66</f>
        <v>1600</v>
      </c>
      <c r="AP66" s="75">
        <f>AA66</f>
        <v>1600</v>
      </c>
      <c r="AQ66" s="75">
        <f>AM66</f>
        <v>1600</v>
      </c>
    </row>
    <row r="67" spans="1:16370" hidden="1" outlineLevel="1">
      <c r="A67" s="70" t="s">
        <v>80</v>
      </c>
      <c r="B67" s="71" t="s">
        <v>79</v>
      </c>
      <c r="C67" s="72"/>
      <c r="D67" s="92">
        <v>0.04</v>
      </c>
      <c r="E67" s="92">
        <v>0.04</v>
      </c>
      <c r="F67" s="92">
        <v>0.04</v>
      </c>
      <c r="G67" s="92">
        <v>0.04</v>
      </c>
      <c r="H67" s="92">
        <v>0.04</v>
      </c>
      <c r="I67" s="92">
        <v>0.04</v>
      </c>
      <c r="J67" s="92">
        <v>0.04</v>
      </c>
      <c r="K67" s="92">
        <v>0.04</v>
      </c>
      <c r="L67" s="92">
        <v>0.04</v>
      </c>
      <c r="M67" s="92">
        <v>0.04</v>
      </c>
      <c r="N67" s="92">
        <v>0.04</v>
      </c>
      <c r="O67" s="92">
        <v>0.04</v>
      </c>
      <c r="P67" s="92">
        <v>0.04</v>
      </c>
      <c r="Q67" s="92">
        <v>0.04</v>
      </c>
      <c r="R67" s="92">
        <v>0.04</v>
      </c>
      <c r="S67" s="92">
        <v>0.04</v>
      </c>
      <c r="T67" s="92">
        <v>0.04</v>
      </c>
      <c r="U67" s="92">
        <v>0.04</v>
      </c>
      <c r="V67" s="92">
        <v>0.04</v>
      </c>
      <c r="W67" s="92">
        <v>0.04</v>
      </c>
      <c r="X67" s="92">
        <v>0.04</v>
      </c>
      <c r="Y67" s="92">
        <v>0.04</v>
      </c>
      <c r="Z67" s="92">
        <v>0.04</v>
      </c>
      <c r="AA67" s="92">
        <v>0.04</v>
      </c>
      <c r="AB67" s="92">
        <v>0.04</v>
      </c>
      <c r="AC67" s="92">
        <v>0.04</v>
      </c>
      <c r="AD67" s="92">
        <v>0.04</v>
      </c>
      <c r="AE67" s="92">
        <v>0.04</v>
      </c>
      <c r="AF67" s="92">
        <v>0.04</v>
      </c>
      <c r="AG67" s="92">
        <v>0.04</v>
      </c>
      <c r="AH67" s="92">
        <v>0.04</v>
      </c>
      <c r="AI67" s="92">
        <v>0.04</v>
      </c>
      <c r="AJ67" s="92">
        <v>0.04</v>
      </c>
      <c r="AK67" s="92">
        <v>0.04</v>
      </c>
      <c r="AL67" s="92">
        <v>0.04</v>
      </c>
      <c r="AM67" s="92">
        <v>0.04</v>
      </c>
      <c r="AN67" s="81"/>
      <c r="AO67" s="93">
        <f>AVERAGE(D67:O67)</f>
        <v>3.9999999999999994E-2</v>
      </c>
      <c r="AP67" s="93">
        <f>AVERAGE(P67:AA67)</f>
        <v>3.9999999999999994E-2</v>
      </c>
      <c r="AQ67" s="93">
        <f>AVERAGE(AB67:AM67)</f>
        <v>3.9999999999999994E-2</v>
      </c>
    </row>
    <row r="68" spans="1:16370" hidden="1" outlineLevel="1">
      <c r="A68" s="70" t="s">
        <v>146</v>
      </c>
      <c r="B68" s="71" t="s">
        <v>208</v>
      </c>
      <c r="C68" s="72"/>
      <c r="D68" s="73">
        <f t="shared" ref="D68:AM68" si="87">(C66+D66)/2*D67/12</f>
        <v>0.33333333333333331</v>
      </c>
      <c r="E68" s="73">
        <f t="shared" si="87"/>
        <v>0.66666666666666663</v>
      </c>
      <c r="F68" s="73">
        <f t="shared" si="87"/>
        <v>1</v>
      </c>
      <c r="G68" s="73">
        <f t="shared" si="87"/>
        <v>1.3333333333333333</v>
      </c>
      <c r="H68" s="73">
        <f t="shared" si="87"/>
        <v>1.6666666666666667</v>
      </c>
      <c r="I68" s="73">
        <f t="shared" si="87"/>
        <v>2</v>
      </c>
      <c r="J68" s="73">
        <f t="shared" si="87"/>
        <v>2.3333333333333335</v>
      </c>
      <c r="K68" s="73">
        <f t="shared" si="87"/>
        <v>3</v>
      </c>
      <c r="L68" s="73">
        <f t="shared" si="87"/>
        <v>3.6666666666666665</v>
      </c>
      <c r="M68" s="73">
        <f t="shared" si="87"/>
        <v>4.333333333333333</v>
      </c>
      <c r="N68" s="73">
        <f t="shared" si="87"/>
        <v>5</v>
      </c>
      <c r="O68" s="73">
        <f t="shared" si="87"/>
        <v>5.333333333333333</v>
      </c>
      <c r="P68" s="73">
        <f t="shared" si="87"/>
        <v>5.333333333333333</v>
      </c>
      <c r="Q68" s="73">
        <f t="shared" si="87"/>
        <v>5.333333333333333</v>
      </c>
      <c r="R68" s="73">
        <f t="shared" si="87"/>
        <v>5.333333333333333</v>
      </c>
      <c r="S68" s="73">
        <f t="shared" si="87"/>
        <v>5.333333333333333</v>
      </c>
      <c r="T68" s="73">
        <f t="shared" si="87"/>
        <v>5.333333333333333</v>
      </c>
      <c r="U68" s="73">
        <f t="shared" si="87"/>
        <v>5.333333333333333</v>
      </c>
      <c r="V68" s="73">
        <f t="shared" si="87"/>
        <v>5.333333333333333</v>
      </c>
      <c r="W68" s="73">
        <f t="shared" si="87"/>
        <v>5.333333333333333</v>
      </c>
      <c r="X68" s="73">
        <f t="shared" si="87"/>
        <v>5.333333333333333</v>
      </c>
      <c r="Y68" s="73">
        <f t="shared" si="87"/>
        <v>5.333333333333333</v>
      </c>
      <c r="Z68" s="73">
        <f t="shared" si="87"/>
        <v>5.333333333333333</v>
      </c>
      <c r="AA68" s="73">
        <f t="shared" si="87"/>
        <v>5.333333333333333</v>
      </c>
      <c r="AB68" s="73">
        <f t="shared" si="87"/>
        <v>5.333333333333333</v>
      </c>
      <c r="AC68" s="73">
        <f t="shared" si="87"/>
        <v>5.333333333333333</v>
      </c>
      <c r="AD68" s="73">
        <f t="shared" si="87"/>
        <v>5.333333333333333</v>
      </c>
      <c r="AE68" s="73">
        <f t="shared" si="87"/>
        <v>5.333333333333333</v>
      </c>
      <c r="AF68" s="73">
        <f t="shared" si="87"/>
        <v>5.333333333333333</v>
      </c>
      <c r="AG68" s="73">
        <f t="shared" si="87"/>
        <v>5.333333333333333</v>
      </c>
      <c r="AH68" s="73">
        <f t="shared" si="87"/>
        <v>5.333333333333333</v>
      </c>
      <c r="AI68" s="73">
        <f t="shared" si="87"/>
        <v>5.333333333333333</v>
      </c>
      <c r="AJ68" s="73">
        <f t="shared" si="87"/>
        <v>5.333333333333333</v>
      </c>
      <c r="AK68" s="73">
        <f t="shared" si="87"/>
        <v>5.333333333333333</v>
      </c>
      <c r="AL68" s="73">
        <f t="shared" si="87"/>
        <v>5.333333333333333</v>
      </c>
      <c r="AM68" s="73">
        <f t="shared" si="87"/>
        <v>5.333333333333333</v>
      </c>
      <c r="AN68" s="81"/>
      <c r="AO68" s="75">
        <f>SUM(D68:O68)</f>
        <v>30.666666666666664</v>
      </c>
      <c r="AP68" s="75">
        <f>SUM(P68:AA68)</f>
        <v>64</v>
      </c>
      <c r="AQ68" s="75">
        <f>SUM(AB68:AM68)</f>
        <v>64</v>
      </c>
    </row>
    <row r="69" spans="1:16370" hidden="1" outlineLevel="1">
      <c r="A69" s="80" t="s">
        <v>216</v>
      </c>
      <c r="B69" s="71" t="s">
        <v>208</v>
      </c>
      <c r="C69" s="72"/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4">
        <v>0</v>
      </c>
      <c r="O69" s="104">
        <v>0</v>
      </c>
      <c r="P69" s="104">
        <v>0</v>
      </c>
      <c r="Q69" s="104">
        <v>0</v>
      </c>
      <c r="R69" s="104">
        <v>0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0</v>
      </c>
      <c r="Y69" s="104">
        <v>0</v>
      </c>
      <c r="Z69" s="104">
        <v>0</v>
      </c>
      <c r="AA69" s="104">
        <v>0</v>
      </c>
      <c r="AB69" s="104">
        <v>0</v>
      </c>
      <c r="AC69" s="104">
        <v>0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</v>
      </c>
      <c r="AJ69" s="104">
        <v>0</v>
      </c>
      <c r="AK69" s="104">
        <v>0</v>
      </c>
      <c r="AL69" s="104">
        <v>0</v>
      </c>
      <c r="AM69" s="104">
        <v>0</v>
      </c>
      <c r="AN69" s="81"/>
      <c r="AO69" s="131">
        <f>AVERAGE(D69:O69)</f>
        <v>0</v>
      </c>
      <c r="AP69" s="131">
        <f>AVERAGE(P69:AA69)</f>
        <v>0</v>
      </c>
      <c r="AQ69" s="131">
        <f>AVERAGE(AB69:AM69)</f>
        <v>0</v>
      </c>
    </row>
    <row r="70" spans="1:16370" hidden="1" outlineLevel="1">
      <c r="A70" s="70" t="s">
        <v>97</v>
      </c>
      <c r="B70" s="85" t="s">
        <v>78</v>
      </c>
      <c r="C70" s="72"/>
      <c r="D70" s="77">
        <f>D69*D64*(1-2/102)</f>
        <v>0</v>
      </c>
      <c r="E70" s="77">
        <f t="shared" ref="E70:AM70" si="88">E69*E64*(1-2/102)</f>
        <v>0</v>
      </c>
      <c r="F70" s="77">
        <f t="shared" si="88"/>
        <v>0</v>
      </c>
      <c r="G70" s="77">
        <f t="shared" si="88"/>
        <v>0</v>
      </c>
      <c r="H70" s="77">
        <f t="shared" si="88"/>
        <v>0</v>
      </c>
      <c r="I70" s="77">
        <f t="shared" si="88"/>
        <v>0</v>
      </c>
      <c r="J70" s="77">
        <f t="shared" si="88"/>
        <v>0</v>
      </c>
      <c r="K70" s="77">
        <f t="shared" si="88"/>
        <v>0</v>
      </c>
      <c r="L70" s="77">
        <f t="shared" si="88"/>
        <v>0</v>
      </c>
      <c r="M70" s="77">
        <f t="shared" si="88"/>
        <v>0</v>
      </c>
      <c r="N70" s="77">
        <f t="shared" si="88"/>
        <v>0</v>
      </c>
      <c r="O70" s="77">
        <f t="shared" si="88"/>
        <v>0</v>
      </c>
      <c r="P70" s="77">
        <f t="shared" si="88"/>
        <v>0</v>
      </c>
      <c r="Q70" s="77">
        <f t="shared" si="88"/>
        <v>0</v>
      </c>
      <c r="R70" s="77">
        <f t="shared" si="88"/>
        <v>0</v>
      </c>
      <c r="S70" s="77">
        <f t="shared" si="88"/>
        <v>0</v>
      </c>
      <c r="T70" s="77">
        <f t="shared" si="88"/>
        <v>0</v>
      </c>
      <c r="U70" s="77">
        <f t="shared" si="88"/>
        <v>0</v>
      </c>
      <c r="V70" s="77">
        <f t="shared" si="88"/>
        <v>0</v>
      </c>
      <c r="W70" s="77">
        <f t="shared" si="88"/>
        <v>0</v>
      </c>
      <c r="X70" s="77">
        <f t="shared" si="88"/>
        <v>0</v>
      </c>
      <c r="Y70" s="77">
        <f t="shared" si="88"/>
        <v>0</v>
      </c>
      <c r="Z70" s="77">
        <f t="shared" si="88"/>
        <v>0</v>
      </c>
      <c r="AA70" s="77">
        <f t="shared" si="88"/>
        <v>0</v>
      </c>
      <c r="AB70" s="77">
        <f t="shared" si="88"/>
        <v>0</v>
      </c>
      <c r="AC70" s="77">
        <f t="shared" si="88"/>
        <v>0</v>
      </c>
      <c r="AD70" s="77">
        <f t="shared" si="88"/>
        <v>0</v>
      </c>
      <c r="AE70" s="77">
        <f t="shared" si="88"/>
        <v>0</v>
      </c>
      <c r="AF70" s="77">
        <f t="shared" si="88"/>
        <v>0</v>
      </c>
      <c r="AG70" s="77">
        <f t="shared" si="88"/>
        <v>0</v>
      </c>
      <c r="AH70" s="77">
        <f t="shared" si="88"/>
        <v>0</v>
      </c>
      <c r="AI70" s="77">
        <f t="shared" si="88"/>
        <v>0</v>
      </c>
      <c r="AJ70" s="77">
        <f t="shared" si="88"/>
        <v>0</v>
      </c>
      <c r="AK70" s="77">
        <f t="shared" si="88"/>
        <v>0</v>
      </c>
      <c r="AL70" s="77">
        <f t="shared" si="88"/>
        <v>0</v>
      </c>
      <c r="AM70" s="77">
        <f t="shared" si="88"/>
        <v>0</v>
      </c>
      <c r="AN70" s="81"/>
      <c r="AO70" s="75">
        <f t="shared" ref="AO70" si="89">SUM(D70:O70)</f>
        <v>0</v>
      </c>
      <c r="AP70" s="75">
        <f t="shared" ref="AP70" si="90">SUM(P70:AA70)</f>
        <v>0</v>
      </c>
      <c r="AQ70" s="75">
        <f>SUM(AB70:AM70)</f>
        <v>0</v>
      </c>
    </row>
    <row r="71" spans="1:16370" hidden="1" outlineLevel="1">
      <c r="A71" s="70" t="s">
        <v>122</v>
      </c>
      <c r="B71" s="85" t="s">
        <v>78</v>
      </c>
      <c r="C71" s="72"/>
      <c r="D71" s="77">
        <f>D68+D70</f>
        <v>0.33333333333333331</v>
      </c>
      <c r="E71" s="77">
        <f t="shared" ref="E71:AM71" si="91">E68+E70</f>
        <v>0.66666666666666663</v>
      </c>
      <c r="F71" s="77">
        <f t="shared" si="91"/>
        <v>1</v>
      </c>
      <c r="G71" s="77">
        <f>G68+G70</f>
        <v>1.3333333333333333</v>
      </c>
      <c r="H71" s="77">
        <f t="shared" si="91"/>
        <v>1.6666666666666667</v>
      </c>
      <c r="I71" s="77">
        <f t="shared" si="91"/>
        <v>2</v>
      </c>
      <c r="J71" s="77">
        <f t="shared" si="91"/>
        <v>2.3333333333333335</v>
      </c>
      <c r="K71" s="77">
        <f t="shared" si="91"/>
        <v>3</v>
      </c>
      <c r="L71" s="77">
        <f t="shared" si="91"/>
        <v>3.6666666666666665</v>
      </c>
      <c r="M71" s="77">
        <f t="shared" si="91"/>
        <v>4.333333333333333</v>
      </c>
      <c r="N71" s="77">
        <f t="shared" si="91"/>
        <v>5</v>
      </c>
      <c r="O71" s="77">
        <f t="shared" si="91"/>
        <v>5.333333333333333</v>
      </c>
      <c r="P71" s="77">
        <f t="shared" si="91"/>
        <v>5.333333333333333</v>
      </c>
      <c r="Q71" s="77">
        <f t="shared" si="91"/>
        <v>5.333333333333333</v>
      </c>
      <c r="R71" s="77">
        <f t="shared" si="91"/>
        <v>5.333333333333333</v>
      </c>
      <c r="S71" s="77">
        <f t="shared" si="91"/>
        <v>5.333333333333333</v>
      </c>
      <c r="T71" s="77">
        <f t="shared" si="91"/>
        <v>5.333333333333333</v>
      </c>
      <c r="U71" s="77">
        <f t="shared" si="91"/>
        <v>5.333333333333333</v>
      </c>
      <c r="V71" s="77">
        <f t="shared" si="91"/>
        <v>5.333333333333333</v>
      </c>
      <c r="W71" s="77">
        <f t="shared" si="91"/>
        <v>5.333333333333333</v>
      </c>
      <c r="X71" s="77">
        <f t="shared" si="91"/>
        <v>5.333333333333333</v>
      </c>
      <c r="Y71" s="77">
        <f t="shared" si="91"/>
        <v>5.333333333333333</v>
      </c>
      <c r="Z71" s="77">
        <f t="shared" si="91"/>
        <v>5.333333333333333</v>
      </c>
      <c r="AA71" s="77">
        <f t="shared" si="91"/>
        <v>5.333333333333333</v>
      </c>
      <c r="AB71" s="77">
        <f t="shared" si="91"/>
        <v>5.333333333333333</v>
      </c>
      <c r="AC71" s="77">
        <f t="shared" si="91"/>
        <v>5.333333333333333</v>
      </c>
      <c r="AD71" s="77">
        <f t="shared" si="91"/>
        <v>5.333333333333333</v>
      </c>
      <c r="AE71" s="77">
        <f t="shared" si="91"/>
        <v>5.333333333333333</v>
      </c>
      <c r="AF71" s="77">
        <f t="shared" si="91"/>
        <v>5.333333333333333</v>
      </c>
      <c r="AG71" s="77">
        <f t="shared" si="91"/>
        <v>5.333333333333333</v>
      </c>
      <c r="AH71" s="77">
        <f t="shared" si="91"/>
        <v>5.333333333333333</v>
      </c>
      <c r="AI71" s="77">
        <f t="shared" si="91"/>
        <v>5.333333333333333</v>
      </c>
      <c r="AJ71" s="77">
        <f t="shared" si="91"/>
        <v>5.333333333333333</v>
      </c>
      <c r="AK71" s="77">
        <f t="shared" si="91"/>
        <v>5.333333333333333</v>
      </c>
      <c r="AL71" s="77">
        <f t="shared" si="91"/>
        <v>5.333333333333333</v>
      </c>
      <c r="AM71" s="77">
        <f t="shared" si="91"/>
        <v>5.333333333333333</v>
      </c>
      <c r="AN71" s="81"/>
      <c r="AO71" s="75">
        <f t="shared" ref="AO71" si="92">SUM(D71:O71)</f>
        <v>30.666666666666664</v>
      </c>
      <c r="AP71" s="75">
        <f t="shared" ref="AP71:AP72" si="93">SUM(P71:AA71)</f>
        <v>64</v>
      </c>
      <c r="AQ71" s="75">
        <f>SUM(AB71:AM71)</f>
        <v>64</v>
      </c>
    </row>
    <row r="72" spans="1:16370" s="144" customFormat="1" hidden="1" outlineLevel="1">
      <c r="A72" s="70" t="s">
        <v>320</v>
      </c>
      <c r="B72" s="139" t="s">
        <v>78</v>
      </c>
      <c r="C72" s="140"/>
      <c r="D72" s="141"/>
      <c r="E72" s="141">
        <f>-0.2%*D66/12</f>
        <v>-3.3333333333333333E-2</v>
      </c>
      <c r="F72" s="141">
        <f>-0.2%*(D66+E66)/2/12</f>
        <v>-3.3333333333333333E-2</v>
      </c>
      <c r="G72" s="141">
        <f t="shared" ref="G72:AM72" si="94">-0.2%*(E66+F66)/2/12</f>
        <v>-4.9999999999999996E-2</v>
      </c>
      <c r="H72" s="141">
        <f t="shared" si="94"/>
        <v>-6.6666666666666666E-2</v>
      </c>
      <c r="I72" s="141">
        <f t="shared" si="94"/>
        <v>-8.3333333333333329E-2</v>
      </c>
      <c r="J72" s="141">
        <f t="shared" si="94"/>
        <v>-9.9999999999999992E-2</v>
      </c>
      <c r="K72" s="141">
        <f t="shared" si="94"/>
        <v>-0.11666666666666668</v>
      </c>
      <c r="L72" s="141">
        <f t="shared" si="94"/>
        <v>-0.15</v>
      </c>
      <c r="M72" s="141">
        <f t="shared" si="94"/>
        <v>-0.18333333333333335</v>
      </c>
      <c r="N72" s="141">
        <f t="shared" si="94"/>
        <v>-0.21666666666666667</v>
      </c>
      <c r="O72" s="141">
        <f t="shared" si="94"/>
        <v>-0.25</v>
      </c>
      <c r="P72" s="141">
        <f t="shared" si="94"/>
        <v>-0.26666666666666666</v>
      </c>
      <c r="Q72" s="141">
        <f t="shared" si="94"/>
        <v>-0.26666666666666666</v>
      </c>
      <c r="R72" s="141">
        <f t="shared" si="94"/>
        <v>-0.26666666666666666</v>
      </c>
      <c r="S72" s="141">
        <f t="shared" si="94"/>
        <v>-0.26666666666666666</v>
      </c>
      <c r="T72" s="141">
        <f t="shared" si="94"/>
        <v>-0.26666666666666666</v>
      </c>
      <c r="U72" s="141">
        <f t="shared" si="94"/>
        <v>-0.26666666666666666</v>
      </c>
      <c r="V72" s="141">
        <f t="shared" si="94"/>
        <v>-0.26666666666666666</v>
      </c>
      <c r="W72" s="141">
        <f t="shared" si="94"/>
        <v>-0.26666666666666666</v>
      </c>
      <c r="X72" s="141">
        <f t="shared" si="94"/>
        <v>-0.26666666666666666</v>
      </c>
      <c r="Y72" s="141">
        <f t="shared" si="94"/>
        <v>-0.26666666666666666</v>
      </c>
      <c r="Z72" s="141">
        <f t="shared" si="94"/>
        <v>-0.26666666666666666</v>
      </c>
      <c r="AA72" s="141">
        <f t="shared" si="94"/>
        <v>-0.26666666666666666</v>
      </c>
      <c r="AB72" s="141">
        <f t="shared" si="94"/>
        <v>-0.26666666666666666</v>
      </c>
      <c r="AC72" s="141">
        <f t="shared" si="94"/>
        <v>-0.26666666666666666</v>
      </c>
      <c r="AD72" s="141">
        <f t="shared" si="94"/>
        <v>-0.26666666666666666</v>
      </c>
      <c r="AE72" s="141">
        <f t="shared" si="94"/>
        <v>-0.26666666666666666</v>
      </c>
      <c r="AF72" s="141">
        <f t="shared" si="94"/>
        <v>-0.26666666666666666</v>
      </c>
      <c r="AG72" s="141">
        <f t="shared" si="94"/>
        <v>-0.26666666666666666</v>
      </c>
      <c r="AH72" s="141">
        <f t="shared" si="94"/>
        <v>-0.26666666666666666</v>
      </c>
      <c r="AI72" s="141">
        <f t="shared" si="94"/>
        <v>-0.26666666666666666</v>
      </c>
      <c r="AJ72" s="141">
        <f t="shared" si="94"/>
        <v>-0.26666666666666666</v>
      </c>
      <c r="AK72" s="141">
        <f t="shared" si="94"/>
        <v>-0.26666666666666666</v>
      </c>
      <c r="AL72" s="141">
        <f t="shared" si="94"/>
        <v>-0.26666666666666666</v>
      </c>
      <c r="AM72" s="141">
        <f t="shared" si="94"/>
        <v>-0.26666666666666666</v>
      </c>
      <c r="AN72" s="142"/>
      <c r="AO72" s="143">
        <f t="shared" ref="AO72" si="95">SUM(D72:O72)</f>
        <v>-1.2833333333333332</v>
      </c>
      <c r="AP72" s="143">
        <f t="shared" si="93"/>
        <v>-3.1999999999999997</v>
      </c>
      <c r="AQ72" s="143">
        <f t="shared" ref="AQ72" si="96">SUM(AB72:AM72)</f>
        <v>-3.1999999999999997</v>
      </c>
    </row>
    <row r="73" spans="1:16370" hidden="1" outlineLevel="1">
      <c r="A73" s="70" t="s">
        <v>205</v>
      </c>
      <c r="B73" s="85" t="s">
        <v>78</v>
      </c>
      <c r="C73" s="72"/>
      <c r="D73" s="77">
        <f>-('OPEX+CAPEX'!E75+'OPEX+CAPEX'!E82+'OPEX+CAPEX'!E83)</f>
        <v>-100.0911111111111</v>
      </c>
      <c r="E73" s="77">
        <f>-('OPEX+CAPEX'!F75+'OPEX+CAPEX'!F82+'OPEX+CAPEX'!F83)</f>
        <v>-100.0911111111111</v>
      </c>
      <c r="F73" s="77">
        <f>-('OPEX+CAPEX'!G75+'OPEX+CAPEX'!G82+'OPEX+CAPEX'!G83)</f>
        <v>-100.18222222222222</v>
      </c>
      <c r="G73" s="77">
        <f>-('OPEX+CAPEX'!H75+'OPEX+CAPEX'!H82+'OPEX+CAPEX'!H83)</f>
        <v>-100.18222222222222</v>
      </c>
      <c r="H73" s="77">
        <f>-('OPEX+CAPEX'!I75+'OPEX+CAPEX'!I82+'OPEX+CAPEX'!I83)</f>
        <v>-125.065</v>
      </c>
      <c r="I73" s="77">
        <f>-('OPEX+CAPEX'!J75+'OPEX+CAPEX'!J82+'OPEX+CAPEX'!J83)</f>
        <v>-125.065</v>
      </c>
      <c r="J73" s="77">
        <f>-('OPEX+CAPEX'!K75+'OPEX+CAPEX'!K82+'OPEX+CAPEX'!K83)</f>
        <v>-125.15611111111112</v>
      </c>
      <c r="K73" s="77">
        <f>-('OPEX+CAPEX'!L75+'OPEX+CAPEX'!L82+'OPEX+CAPEX'!L83)</f>
        <v>-125.24722222222223</v>
      </c>
      <c r="L73" s="77">
        <f>-('OPEX+CAPEX'!M75+'OPEX+CAPEX'!M82+'OPEX+CAPEX'!M83)</f>
        <v>-125.33833333333334</v>
      </c>
      <c r="M73" s="77">
        <f>-('OPEX+CAPEX'!N75+'OPEX+CAPEX'!N82+'OPEX+CAPEX'!N83)</f>
        <v>-125.42944444444446</v>
      </c>
      <c r="N73" s="77">
        <f>-('OPEX+CAPEX'!O75+'OPEX+CAPEX'!O82+'OPEX+CAPEX'!O83)</f>
        <v>-125.52055555555556</v>
      </c>
      <c r="O73" s="77">
        <f>-('OPEX+CAPEX'!P75+'OPEX+CAPEX'!P82+'OPEX+CAPEX'!P83)</f>
        <v>-125.52055555555556</v>
      </c>
      <c r="P73" s="77">
        <f>-('OPEX+CAPEX'!Q75+'OPEX+CAPEX'!Q82+'OPEX+CAPEX'!Q83)</f>
        <v>-125.52055555555556</v>
      </c>
      <c r="Q73" s="77">
        <f>-('OPEX+CAPEX'!R75+'OPEX+CAPEX'!R82+'OPEX+CAPEX'!R83)</f>
        <v>-125.52055555555556</v>
      </c>
      <c r="R73" s="77">
        <f>-('OPEX+CAPEX'!S75+'OPEX+CAPEX'!S82+'OPEX+CAPEX'!S83)</f>
        <v>-139.68722222222223</v>
      </c>
      <c r="S73" s="77">
        <f>-('OPEX+CAPEX'!T75+'OPEX+CAPEX'!T82+'OPEX+CAPEX'!T83)</f>
        <v>-139.68722222222223</v>
      </c>
      <c r="T73" s="77">
        <f>-('OPEX+CAPEX'!U75+'OPEX+CAPEX'!U82+'OPEX+CAPEX'!U83)</f>
        <v>-139.68722222222223</v>
      </c>
      <c r="U73" s="77">
        <f>-('OPEX+CAPEX'!V75+'OPEX+CAPEX'!V82+'OPEX+CAPEX'!V83)</f>
        <v>-139.68722222222223</v>
      </c>
      <c r="V73" s="77">
        <f>-('OPEX+CAPEX'!W75+'OPEX+CAPEX'!W82+'OPEX+CAPEX'!W83)</f>
        <v>-139.68722222222223</v>
      </c>
      <c r="W73" s="77">
        <f>-('OPEX+CAPEX'!X75+'OPEX+CAPEX'!X82+'OPEX+CAPEX'!X83)</f>
        <v>-139.68722222222223</v>
      </c>
      <c r="X73" s="77">
        <f>-('OPEX+CAPEX'!Y75+'OPEX+CAPEX'!Y82+'OPEX+CAPEX'!Y83)</f>
        <v>-139.68722222222223</v>
      </c>
      <c r="Y73" s="77">
        <f>-('OPEX+CAPEX'!Z75+'OPEX+CAPEX'!Z82+'OPEX+CAPEX'!Z83)</f>
        <v>-139.68722222222223</v>
      </c>
      <c r="Z73" s="77">
        <f>-('OPEX+CAPEX'!AA75+'OPEX+CAPEX'!AA82+'OPEX+CAPEX'!AA83)</f>
        <v>-139.68722222222223</v>
      </c>
      <c r="AA73" s="77">
        <f>-('OPEX+CAPEX'!AB75+'OPEX+CAPEX'!AB82+'OPEX+CAPEX'!AB83)</f>
        <v>-139.68722222222223</v>
      </c>
      <c r="AB73" s="77">
        <f>-('OPEX+CAPEX'!AC75+'OPEX+CAPEX'!AC82+'OPEX+CAPEX'!AC83)</f>
        <v>-139.68722222222223</v>
      </c>
      <c r="AC73" s="77">
        <f>-('OPEX+CAPEX'!AD75+'OPEX+CAPEX'!AD82+'OPEX+CAPEX'!AD83)</f>
        <v>-139.68722222222223</v>
      </c>
      <c r="AD73" s="77">
        <f>-('OPEX+CAPEX'!AE75+'OPEX+CAPEX'!AE82+'OPEX+CAPEX'!AE83)</f>
        <v>-139.68722222222223</v>
      </c>
      <c r="AE73" s="77">
        <f>-('OPEX+CAPEX'!AF75+'OPEX+CAPEX'!AF82+'OPEX+CAPEX'!AF83)</f>
        <v>-139.68722222222223</v>
      </c>
      <c r="AF73" s="77">
        <f>-('OPEX+CAPEX'!AG75+'OPEX+CAPEX'!AG82+'OPEX+CAPEX'!AG83)</f>
        <v>-139.68722222222223</v>
      </c>
      <c r="AG73" s="77">
        <f>-('OPEX+CAPEX'!AH75+'OPEX+CAPEX'!AH82+'OPEX+CAPEX'!AH83)</f>
        <v>-139.68722222222223</v>
      </c>
      <c r="AH73" s="77">
        <f>-('OPEX+CAPEX'!AI75+'OPEX+CAPEX'!AI82+'OPEX+CAPEX'!AI83)</f>
        <v>-139.68722222222223</v>
      </c>
      <c r="AI73" s="77">
        <f>-('OPEX+CAPEX'!AJ75+'OPEX+CAPEX'!AJ82+'OPEX+CAPEX'!AJ83)</f>
        <v>-139.68722222222223</v>
      </c>
      <c r="AJ73" s="77">
        <f>-('OPEX+CAPEX'!AK75+'OPEX+CAPEX'!AK82+'OPEX+CAPEX'!AK83)</f>
        <v>-139.68722222222223</v>
      </c>
      <c r="AK73" s="77">
        <f>-('OPEX+CAPEX'!AL75+'OPEX+CAPEX'!AL82+'OPEX+CAPEX'!AL83)</f>
        <v>-139.68722222222223</v>
      </c>
      <c r="AL73" s="77">
        <f>-('OPEX+CAPEX'!AM75+'OPEX+CAPEX'!AM82+'OPEX+CAPEX'!AM83)</f>
        <v>-139.68722222222223</v>
      </c>
      <c r="AM73" s="77">
        <f>-('OPEX+CAPEX'!AN75+'OPEX+CAPEX'!AN82+'OPEX+CAPEX'!AN83)</f>
        <v>-139.68722222222223</v>
      </c>
      <c r="AN73" s="81"/>
      <c r="AO73" s="75">
        <f>SUM(D73:O73)</f>
        <v>-1402.8888888888891</v>
      </c>
      <c r="AP73" s="75">
        <f>SUM(P73:AA73)</f>
        <v>-1647.9133333333336</v>
      </c>
      <c r="AQ73" s="75">
        <f>SUM(AB73:AM73)</f>
        <v>-1676.2466666666671</v>
      </c>
    </row>
    <row r="74" spans="1:16370" hidden="1" outlineLevel="1">
      <c r="A74" s="70" t="s">
        <v>177</v>
      </c>
      <c r="B74" s="71" t="s">
        <v>78</v>
      </c>
      <c r="C74" s="72"/>
      <c r="D74" s="73">
        <f>D71+D73+D72</f>
        <v>-99.757777777777775</v>
      </c>
      <c r="E74" s="73">
        <f t="shared" ref="E74:AM74" si="97">E71+E73+E72</f>
        <v>-99.457777777777764</v>
      </c>
      <c r="F74" s="73">
        <f t="shared" si="97"/>
        <v>-99.215555555555554</v>
      </c>
      <c r="G74" s="73">
        <f t="shared" si="97"/>
        <v>-98.898888888888891</v>
      </c>
      <c r="H74" s="73">
        <f t="shared" si="97"/>
        <v>-123.46499999999999</v>
      </c>
      <c r="I74" s="73">
        <f t="shared" si="97"/>
        <v>-123.14833333333333</v>
      </c>
      <c r="J74" s="73">
        <f t="shared" si="97"/>
        <v>-122.92277777777778</v>
      </c>
      <c r="K74" s="73">
        <f t="shared" si="97"/>
        <v>-122.36388888888889</v>
      </c>
      <c r="L74" s="73">
        <f t="shared" si="97"/>
        <v>-121.82166666666667</v>
      </c>
      <c r="M74" s="73">
        <f t="shared" si="97"/>
        <v>-121.27944444444447</v>
      </c>
      <c r="N74" s="73">
        <f t="shared" si="97"/>
        <v>-120.73722222222223</v>
      </c>
      <c r="O74" s="73">
        <f t="shared" si="97"/>
        <v>-120.43722222222223</v>
      </c>
      <c r="P74" s="73">
        <f t="shared" si="97"/>
        <v>-120.4538888888889</v>
      </c>
      <c r="Q74" s="73">
        <f t="shared" si="97"/>
        <v>-120.4538888888889</v>
      </c>
      <c r="R74" s="73">
        <f t="shared" si="97"/>
        <v>-134.62055555555557</v>
      </c>
      <c r="S74" s="73">
        <f t="shared" si="97"/>
        <v>-134.62055555555557</v>
      </c>
      <c r="T74" s="73">
        <f t="shared" si="97"/>
        <v>-134.62055555555557</v>
      </c>
      <c r="U74" s="73">
        <f t="shared" si="97"/>
        <v>-134.62055555555557</v>
      </c>
      <c r="V74" s="73">
        <f t="shared" si="97"/>
        <v>-134.62055555555557</v>
      </c>
      <c r="W74" s="73">
        <f t="shared" si="97"/>
        <v>-134.62055555555557</v>
      </c>
      <c r="X74" s="73">
        <f t="shared" si="97"/>
        <v>-134.62055555555557</v>
      </c>
      <c r="Y74" s="73">
        <f t="shared" si="97"/>
        <v>-134.62055555555557</v>
      </c>
      <c r="Z74" s="73">
        <f t="shared" si="97"/>
        <v>-134.62055555555557</v>
      </c>
      <c r="AA74" s="73">
        <f t="shared" si="97"/>
        <v>-134.62055555555557</v>
      </c>
      <c r="AB74" s="73">
        <f t="shared" si="97"/>
        <v>-134.62055555555557</v>
      </c>
      <c r="AC74" s="73">
        <f t="shared" si="97"/>
        <v>-134.62055555555557</v>
      </c>
      <c r="AD74" s="73">
        <f t="shared" si="97"/>
        <v>-134.62055555555557</v>
      </c>
      <c r="AE74" s="73">
        <f t="shared" si="97"/>
        <v>-134.62055555555557</v>
      </c>
      <c r="AF74" s="73">
        <f t="shared" si="97"/>
        <v>-134.62055555555557</v>
      </c>
      <c r="AG74" s="73">
        <f t="shared" si="97"/>
        <v>-134.62055555555557</v>
      </c>
      <c r="AH74" s="73">
        <f t="shared" si="97"/>
        <v>-134.62055555555557</v>
      </c>
      <c r="AI74" s="73">
        <f t="shared" si="97"/>
        <v>-134.62055555555557</v>
      </c>
      <c r="AJ74" s="73">
        <f t="shared" si="97"/>
        <v>-134.62055555555557</v>
      </c>
      <c r="AK74" s="73">
        <f t="shared" si="97"/>
        <v>-134.62055555555557</v>
      </c>
      <c r="AL74" s="73">
        <f t="shared" si="97"/>
        <v>-134.62055555555557</v>
      </c>
      <c r="AM74" s="73">
        <f t="shared" si="97"/>
        <v>-134.62055555555557</v>
      </c>
      <c r="AN74" s="81"/>
      <c r="AO74" s="75">
        <f>SUM(D74:O74)</f>
        <v>-1373.5055555555557</v>
      </c>
      <c r="AP74" s="75">
        <f>SUM(P74:AA74)</f>
        <v>-1587.1133333333332</v>
      </c>
      <c r="AQ74" s="75">
        <f>SUM(AB74:AM74)</f>
        <v>-1615.4466666666665</v>
      </c>
    </row>
    <row r="75" spans="1:16370" collapsed="1"/>
    <row r="76" spans="1:16370" s="90" customFormat="1">
      <c r="A76" s="83" t="s">
        <v>305</v>
      </c>
      <c r="B76" s="66"/>
      <c r="C76" s="101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8"/>
      <c r="AO76" s="102"/>
      <c r="AP76" s="107"/>
      <c r="AQ76" s="107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08"/>
      <c r="EB76" s="108"/>
      <c r="EC76" s="108"/>
      <c r="ED76" s="108"/>
      <c r="EE76" s="108"/>
      <c r="EF76" s="108"/>
      <c r="EG76" s="108"/>
      <c r="EH76" s="108"/>
      <c r="EI76" s="108"/>
      <c r="EJ76" s="108"/>
      <c r="EK76" s="108"/>
      <c r="EL76" s="108"/>
      <c r="EM76" s="108"/>
      <c r="EN76" s="108"/>
      <c r="EO76" s="108"/>
      <c r="EP76" s="108"/>
      <c r="EQ76" s="108"/>
      <c r="ER76" s="108"/>
      <c r="ES76" s="108"/>
      <c r="ET76" s="108"/>
      <c r="EU76" s="108"/>
      <c r="EV76" s="108"/>
      <c r="EW76" s="108"/>
      <c r="EX76" s="108"/>
      <c r="EY76" s="108"/>
      <c r="EZ76" s="108"/>
      <c r="FA76" s="108"/>
      <c r="FB76" s="108"/>
      <c r="FC76" s="108"/>
      <c r="FD76" s="108"/>
      <c r="FE76" s="108"/>
      <c r="FF76" s="108"/>
      <c r="FG76" s="108"/>
      <c r="FH76" s="108"/>
      <c r="FI76" s="108"/>
      <c r="FJ76" s="108"/>
      <c r="FK76" s="108"/>
      <c r="FL76" s="108"/>
      <c r="FM76" s="108"/>
      <c r="FN76" s="108"/>
      <c r="FO76" s="108"/>
      <c r="FP76" s="108"/>
      <c r="FQ76" s="108"/>
      <c r="FR76" s="108"/>
      <c r="FS76" s="108"/>
      <c r="FT76" s="108"/>
      <c r="FU76" s="108"/>
      <c r="FV76" s="108"/>
      <c r="FW76" s="108"/>
      <c r="FX76" s="108"/>
      <c r="FY76" s="108"/>
      <c r="FZ76" s="108"/>
      <c r="GA76" s="108"/>
      <c r="GB76" s="108"/>
      <c r="GC76" s="108"/>
      <c r="GD76" s="108"/>
      <c r="GE76" s="108"/>
      <c r="GF76" s="108"/>
      <c r="GG76" s="108"/>
      <c r="GH76" s="108"/>
      <c r="GI76" s="108"/>
      <c r="GJ76" s="108"/>
      <c r="GK76" s="108"/>
      <c r="GL76" s="108"/>
      <c r="GM76" s="108"/>
      <c r="GN76" s="108"/>
      <c r="GO76" s="108"/>
      <c r="GP76" s="108"/>
      <c r="GQ76" s="108"/>
      <c r="GR76" s="108"/>
      <c r="GS76" s="108"/>
      <c r="GT76" s="108"/>
      <c r="GU76" s="108"/>
      <c r="GV76" s="108"/>
      <c r="GW76" s="108"/>
      <c r="GX76" s="108"/>
      <c r="GY76" s="108"/>
      <c r="GZ76" s="108"/>
      <c r="HA76" s="108"/>
      <c r="HB76" s="108"/>
      <c r="HC76" s="108"/>
      <c r="HD76" s="108"/>
      <c r="HE76" s="108"/>
      <c r="HF76" s="108"/>
      <c r="HG76" s="108"/>
      <c r="HH76" s="108"/>
      <c r="HI76" s="108"/>
      <c r="HJ76" s="108"/>
      <c r="HK76" s="108"/>
      <c r="HL76" s="108"/>
      <c r="HM76" s="108"/>
      <c r="HN76" s="108"/>
      <c r="HO76" s="108"/>
      <c r="HP76" s="108"/>
      <c r="HQ76" s="108"/>
      <c r="HR76" s="108"/>
      <c r="HS76" s="108"/>
      <c r="HT76" s="108"/>
      <c r="HU76" s="108"/>
      <c r="HV76" s="108"/>
      <c r="HW76" s="108"/>
      <c r="HX76" s="108"/>
      <c r="HY76" s="108"/>
      <c r="HZ76" s="108"/>
      <c r="IA76" s="108"/>
      <c r="IB76" s="108"/>
      <c r="IC76" s="108"/>
      <c r="ID76" s="108"/>
      <c r="IE76" s="108"/>
      <c r="IF76" s="108"/>
      <c r="IG76" s="108"/>
      <c r="IH76" s="108"/>
      <c r="II76" s="108"/>
      <c r="IJ76" s="108"/>
      <c r="IK76" s="108"/>
      <c r="IL76" s="108"/>
      <c r="IM76" s="108"/>
      <c r="IN76" s="108"/>
      <c r="IO76" s="108"/>
      <c r="IP76" s="108"/>
      <c r="IQ76" s="108"/>
      <c r="IR76" s="108"/>
      <c r="IS76" s="108"/>
      <c r="IT76" s="108"/>
      <c r="IU76" s="108"/>
      <c r="IV76" s="108"/>
      <c r="IW76" s="108"/>
      <c r="IX76" s="108"/>
      <c r="IY76" s="108"/>
      <c r="IZ76" s="108"/>
      <c r="JA76" s="108"/>
      <c r="JB76" s="108"/>
      <c r="JC76" s="108"/>
      <c r="JD76" s="108"/>
      <c r="JE76" s="108"/>
      <c r="JF76" s="108"/>
      <c r="JG76" s="108"/>
      <c r="JH76" s="108"/>
      <c r="JI76" s="108"/>
      <c r="JJ76" s="108"/>
      <c r="JK76" s="108"/>
      <c r="JL76" s="108"/>
      <c r="JM76" s="108"/>
      <c r="JN76" s="108"/>
      <c r="JO76" s="108"/>
      <c r="JP76" s="108"/>
      <c r="JQ76" s="108"/>
      <c r="JR76" s="108"/>
      <c r="JS76" s="108"/>
      <c r="JT76" s="108"/>
      <c r="JU76" s="108"/>
      <c r="JV76" s="108"/>
      <c r="JW76" s="108"/>
      <c r="JX76" s="108"/>
      <c r="JY76" s="108"/>
      <c r="JZ76" s="108"/>
      <c r="KA76" s="108"/>
      <c r="KB76" s="108"/>
      <c r="KC76" s="108"/>
      <c r="KD76" s="108"/>
      <c r="KE76" s="108"/>
      <c r="KF76" s="108"/>
      <c r="KG76" s="108"/>
      <c r="KH76" s="108"/>
      <c r="KI76" s="108"/>
      <c r="KJ76" s="108"/>
      <c r="KK76" s="108"/>
      <c r="KL76" s="108"/>
      <c r="KM76" s="108"/>
      <c r="KN76" s="108"/>
      <c r="KO76" s="108"/>
      <c r="KP76" s="108"/>
      <c r="KQ76" s="108"/>
      <c r="KR76" s="108"/>
      <c r="KS76" s="108"/>
      <c r="KT76" s="108"/>
      <c r="KU76" s="108"/>
      <c r="KV76" s="108"/>
      <c r="KW76" s="108"/>
      <c r="KX76" s="108"/>
      <c r="KY76" s="108"/>
      <c r="KZ76" s="108"/>
      <c r="LA76" s="108"/>
      <c r="LB76" s="108"/>
      <c r="LC76" s="108"/>
      <c r="LD76" s="108"/>
      <c r="LE76" s="108"/>
      <c r="LF76" s="108"/>
      <c r="LG76" s="108"/>
      <c r="LH76" s="108"/>
      <c r="LI76" s="108"/>
      <c r="LJ76" s="108"/>
      <c r="LK76" s="108"/>
      <c r="LL76" s="108"/>
      <c r="LM76" s="108"/>
      <c r="LN76" s="108"/>
      <c r="LO76" s="108"/>
      <c r="LP76" s="108"/>
      <c r="LQ76" s="108"/>
      <c r="LR76" s="108"/>
      <c r="LS76" s="108"/>
      <c r="LT76" s="108"/>
      <c r="LU76" s="108"/>
      <c r="LV76" s="108"/>
      <c r="LW76" s="108"/>
      <c r="LX76" s="108"/>
      <c r="LY76" s="108"/>
      <c r="LZ76" s="108"/>
      <c r="MA76" s="108"/>
      <c r="MB76" s="108"/>
      <c r="MC76" s="108"/>
      <c r="MD76" s="108"/>
      <c r="ME76" s="108"/>
      <c r="MF76" s="108"/>
      <c r="MG76" s="108"/>
      <c r="MH76" s="108"/>
      <c r="MI76" s="108"/>
      <c r="MJ76" s="108"/>
      <c r="MK76" s="108"/>
      <c r="ML76" s="108"/>
      <c r="MM76" s="108"/>
      <c r="MN76" s="108"/>
      <c r="MO76" s="108"/>
      <c r="MP76" s="108"/>
      <c r="MQ76" s="108"/>
      <c r="MR76" s="108"/>
      <c r="MS76" s="108"/>
      <c r="MT76" s="108"/>
      <c r="MU76" s="108"/>
      <c r="MV76" s="108"/>
      <c r="MW76" s="108"/>
      <c r="MX76" s="108"/>
      <c r="MY76" s="108"/>
      <c r="MZ76" s="108"/>
      <c r="NA76" s="108"/>
      <c r="NB76" s="108"/>
      <c r="NC76" s="108"/>
      <c r="ND76" s="108"/>
      <c r="NE76" s="108"/>
      <c r="NF76" s="108"/>
      <c r="NG76" s="108"/>
      <c r="NH76" s="108"/>
      <c r="NI76" s="108"/>
      <c r="NJ76" s="108"/>
      <c r="NK76" s="108"/>
      <c r="NL76" s="108"/>
      <c r="NM76" s="108"/>
      <c r="NN76" s="108"/>
      <c r="NO76" s="108"/>
      <c r="NP76" s="108"/>
      <c r="NQ76" s="108"/>
      <c r="NR76" s="108"/>
      <c r="NS76" s="108"/>
      <c r="NT76" s="108"/>
      <c r="NU76" s="108"/>
      <c r="NV76" s="108"/>
      <c r="NW76" s="108"/>
      <c r="NX76" s="108"/>
      <c r="NY76" s="108"/>
      <c r="NZ76" s="108"/>
      <c r="OA76" s="108"/>
      <c r="OB76" s="108"/>
      <c r="OC76" s="108"/>
      <c r="OD76" s="108"/>
      <c r="OE76" s="108"/>
      <c r="OF76" s="108"/>
      <c r="OG76" s="108"/>
      <c r="OH76" s="108"/>
      <c r="OI76" s="108"/>
      <c r="OJ76" s="108"/>
      <c r="OK76" s="108"/>
      <c r="OL76" s="108"/>
      <c r="OM76" s="108"/>
      <c r="ON76" s="108"/>
      <c r="OO76" s="108"/>
      <c r="OP76" s="108"/>
      <c r="OQ76" s="108"/>
      <c r="OR76" s="108"/>
      <c r="OS76" s="108"/>
      <c r="OT76" s="108"/>
      <c r="OU76" s="108"/>
      <c r="OV76" s="108"/>
      <c r="OW76" s="108"/>
      <c r="OX76" s="108"/>
      <c r="OY76" s="108"/>
      <c r="OZ76" s="108"/>
      <c r="PA76" s="108"/>
      <c r="PB76" s="108"/>
      <c r="PC76" s="108"/>
      <c r="PD76" s="108"/>
      <c r="PE76" s="108"/>
      <c r="PF76" s="108"/>
      <c r="PG76" s="108"/>
      <c r="PH76" s="108"/>
      <c r="PI76" s="108"/>
      <c r="PJ76" s="108"/>
      <c r="PK76" s="108"/>
      <c r="PL76" s="108"/>
      <c r="PM76" s="108"/>
      <c r="PN76" s="108"/>
      <c r="PO76" s="108"/>
      <c r="PP76" s="108"/>
      <c r="PQ76" s="108"/>
      <c r="PR76" s="108"/>
      <c r="PS76" s="108"/>
      <c r="PT76" s="108"/>
      <c r="PU76" s="108"/>
      <c r="PV76" s="108"/>
      <c r="PW76" s="108"/>
      <c r="PX76" s="108"/>
      <c r="PY76" s="108"/>
      <c r="PZ76" s="108"/>
      <c r="QA76" s="108"/>
      <c r="QB76" s="108"/>
      <c r="QC76" s="108"/>
      <c r="QD76" s="108"/>
      <c r="QE76" s="108"/>
      <c r="QF76" s="108"/>
      <c r="QG76" s="108"/>
      <c r="QH76" s="108"/>
      <c r="QI76" s="108"/>
      <c r="QJ76" s="108"/>
      <c r="QK76" s="108"/>
      <c r="QL76" s="108"/>
      <c r="QM76" s="108"/>
      <c r="QN76" s="108"/>
      <c r="QO76" s="108"/>
      <c r="QP76" s="108"/>
      <c r="QQ76" s="108"/>
      <c r="QR76" s="108"/>
      <c r="QS76" s="108"/>
      <c r="QT76" s="108"/>
      <c r="QU76" s="108"/>
      <c r="QV76" s="108"/>
      <c r="QW76" s="108"/>
      <c r="QX76" s="108"/>
      <c r="QY76" s="108"/>
      <c r="QZ76" s="108"/>
      <c r="RA76" s="108"/>
      <c r="RB76" s="108"/>
      <c r="RC76" s="108"/>
      <c r="RD76" s="108"/>
      <c r="RE76" s="108"/>
      <c r="RF76" s="108"/>
      <c r="RG76" s="108"/>
      <c r="RH76" s="108"/>
      <c r="RI76" s="108"/>
      <c r="RJ76" s="108"/>
      <c r="RK76" s="108"/>
      <c r="RL76" s="108"/>
      <c r="RM76" s="108"/>
      <c r="RN76" s="108"/>
      <c r="RO76" s="108"/>
      <c r="RP76" s="108"/>
      <c r="RQ76" s="108"/>
      <c r="RR76" s="108"/>
      <c r="RS76" s="108"/>
      <c r="RT76" s="108"/>
      <c r="RU76" s="108"/>
      <c r="RV76" s="108"/>
      <c r="RW76" s="108"/>
      <c r="RX76" s="108"/>
      <c r="RY76" s="108"/>
      <c r="RZ76" s="108"/>
      <c r="SA76" s="108"/>
      <c r="SB76" s="108"/>
      <c r="SC76" s="108"/>
      <c r="SD76" s="108"/>
      <c r="SE76" s="108"/>
      <c r="SF76" s="108"/>
      <c r="SG76" s="108"/>
      <c r="SH76" s="108"/>
      <c r="SI76" s="108"/>
      <c r="SJ76" s="108"/>
      <c r="SK76" s="108"/>
      <c r="SL76" s="108"/>
      <c r="SM76" s="108"/>
      <c r="SN76" s="108"/>
      <c r="SO76" s="108"/>
      <c r="SP76" s="108"/>
      <c r="SQ76" s="108"/>
      <c r="SR76" s="108"/>
      <c r="SS76" s="108"/>
      <c r="ST76" s="108"/>
      <c r="SU76" s="108"/>
      <c r="SV76" s="108"/>
      <c r="SW76" s="108"/>
      <c r="SX76" s="108"/>
      <c r="SY76" s="108"/>
      <c r="SZ76" s="108"/>
      <c r="TA76" s="108"/>
      <c r="TB76" s="108"/>
      <c r="TC76" s="108"/>
      <c r="TD76" s="108"/>
      <c r="TE76" s="108"/>
      <c r="TF76" s="108"/>
      <c r="TG76" s="108"/>
      <c r="TH76" s="108"/>
      <c r="TI76" s="108"/>
      <c r="TJ76" s="108"/>
      <c r="TK76" s="108"/>
      <c r="TL76" s="108"/>
      <c r="TM76" s="108"/>
      <c r="TN76" s="108"/>
      <c r="TO76" s="108"/>
      <c r="TP76" s="108"/>
      <c r="TQ76" s="108"/>
      <c r="TR76" s="108"/>
      <c r="TS76" s="108"/>
      <c r="TT76" s="108"/>
      <c r="TU76" s="108"/>
      <c r="TV76" s="108"/>
      <c r="TW76" s="108"/>
      <c r="TX76" s="108"/>
      <c r="TY76" s="108"/>
      <c r="TZ76" s="108"/>
      <c r="UA76" s="108"/>
      <c r="UB76" s="108"/>
      <c r="UC76" s="108"/>
      <c r="UD76" s="108"/>
      <c r="UE76" s="108"/>
      <c r="UF76" s="108"/>
      <c r="UG76" s="108"/>
      <c r="UH76" s="108"/>
      <c r="UI76" s="108"/>
      <c r="UJ76" s="108"/>
      <c r="UK76" s="108"/>
      <c r="UL76" s="108"/>
      <c r="UM76" s="108"/>
      <c r="UN76" s="108"/>
      <c r="UO76" s="108"/>
      <c r="UP76" s="108"/>
      <c r="UQ76" s="108"/>
      <c r="UR76" s="108"/>
      <c r="US76" s="108"/>
      <c r="UT76" s="108"/>
      <c r="UU76" s="108"/>
      <c r="UV76" s="108"/>
      <c r="UW76" s="108"/>
      <c r="UX76" s="108"/>
      <c r="UY76" s="108"/>
      <c r="UZ76" s="108"/>
      <c r="VA76" s="108"/>
      <c r="VB76" s="108"/>
      <c r="VC76" s="108"/>
      <c r="VD76" s="108"/>
      <c r="VE76" s="108"/>
      <c r="VF76" s="108"/>
      <c r="VG76" s="108"/>
      <c r="VH76" s="108"/>
      <c r="VI76" s="108"/>
      <c r="VJ76" s="108"/>
      <c r="VK76" s="108"/>
      <c r="VL76" s="108"/>
      <c r="VM76" s="108"/>
      <c r="VN76" s="108"/>
      <c r="VO76" s="108"/>
      <c r="VP76" s="108"/>
      <c r="VQ76" s="108"/>
      <c r="VR76" s="108"/>
      <c r="VS76" s="108"/>
      <c r="VT76" s="108"/>
      <c r="VU76" s="108"/>
      <c r="VV76" s="108"/>
      <c r="VW76" s="108"/>
      <c r="VX76" s="108"/>
      <c r="VY76" s="108"/>
      <c r="VZ76" s="108"/>
      <c r="WA76" s="108"/>
      <c r="WB76" s="108"/>
      <c r="WC76" s="108"/>
      <c r="WD76" s="108"/>
      <c r="WE76" s="108"/>
      <c r="WF76" s="108"/>
      <c r="WG76" s="108"/>
      <c r="WH76" s="108"/>
      <c r="WI76" s="108"/>
      <c r="WJ76" s="108"/>
      <c r="WK76" s="108"/>
      <c r="WL76" s="108"/>
      <c r="WM76" s="108"/>
      <c r="WN76" s="108"/>
      <c r="WO76" s="108"/>
      <c r="WP76" s="108"/>
      <c r="WQ76" s="108"/>
      <c r="WR76" s="108"/>
      <c r="WS76" s="108"/>
      <c r="WT76" s="108"/>
      <c r="WU76" s="108"/>
      <c r="WV76" s="108"/>
      <c r="WW76" s="108"/>
      <c r="WX76" s="108"/>
      <c r="WY76" s="108"/>
      <c r="WZ76" s="108"/>
      <c r="XA76" s="108"/>
      <c r="XB76" s="108"/>
      <c r="XC76" s="108"/>
      <c r="XD76" s="108"/>
      <c r="XE76" s="108"/>
      <c r="XF76" s="108"/>
      <c r="XG76" s="108"/>
      <c r="XH76" s="108"/>
      <c r="XI76" s="108"/>
      <c r="XJ76" s="108"/>
      <c r="XK76" s="108"/>
      <c r="XL76" s="108"/>
      <c r="XM76" s="108"/>
      <c r="XN76" s="108"/>
      <c r="XO76" s="108"/>
      <c r="XP76" s="108"/>
      <c r="XQ76" s="108"/>
      <c r="XR76" s="108"/>
      <c r="XS76" s="108"/>
      <c r="XT76" s="108"/>
      <c r="XU76" s="108"/>
      <c r="XV76" s="108"/>
      <c r="XW76" s="108"/>
      <c r="XX76" s="108"/>
      <c r="XY76" s="108"/>
      <c r="XZ76" s="108"/>
      <c r="YA76" s="108"/>
      <c r="YB76" s="108"/>
      <c r="YC76" s="108"/>
      <c r="YD76" s="108"/>
      <c r="YE76" s="108"/>
      <c r="YF76" s="108"/>
      <c r="YG76" s="108"/>
      <c r="YH76" s="108"/>
      <c r="YI76" s="108"/>
      <c r="YJ76" s="108"/>
      <c r="YK76" s="108"/>
      <c r="YL76" s="108"/>
      <c r="YM76" s="108"/>
      <c r="YN76" s="108"/>
      <c r="YO76" s="108"/>
      <c r="YP76" s="108"/>
      <c r="YQ76" s="108"/>
      <c r="YR76" s="108"/>
      <c r="YS76" s="108"/>
      <c r="YT76" s="108"/>
      <c r="YU76" s="108"/>
      <c r="YV76" s="108"/>
      <c r="YW76" s="108"/>
      <c r="YX76" s="108"/>
      <c r="YY76" s="108"/>
      <c r="YZ76" s="108"/>
      <c r="ZA76" s="108"/>
      <c r="ZB76" s="108"/>
      <c r="ZC76" s="108"/>
      <c r="ZD76" s="108"/>
      <c r="ZE76" s="108"/>
      <c r="ZF76" s="108"/>
      <c r="ZG76" s="108"/>
      <c r="ZH76" s="108"/>
      <c r="ZI76" s="108"/>
      <c r="ZJ76" s="108"/>
      <c r="ZK76" s="108"/>
      <c r="ZL76" s="108"/>
      <c r="ZM76" s="108"/>
      <c r="ZN76" s="108"/>
      <c r="ZO76" s="108"/>
      <c r="ZP76" s="108"/>
      <c r="ZQ76" s="108"/>
      <c r="ZR76" s="108"/>
      <c r="ZS76" s="108"/>
      <c r="ZT76" s="108"/>
      <c r="ZU76" s="108"/>
      <c r="ZV76" s="108"/>
      <c r="ZW76" s="108"/>
      <c r="ZX76" s="108"/>
      <c r="ZY76" s="108"/>
      <c r="ZZ76" s="108"/>
      <c r="AAA76" s="108"/>
      <c r="AAB76" s="108"/>
      <c r="AAC76" s="108"/>
      <c r="AAD76" s="108"/>
      <c r="AAE76" s="108"/>
      <c r="AAF76" s="108"/>
      <c r="AAG76" s="108"/>
      <c r="AAH76" s="108"/>
      <c r="AAI76" s="108"/>
      <c r="AAJ76" s="108"/>
      <c r="AAK76" s="108"/>
      <c r="AAL76" s="108"/>
      <c r="AAM76" s="108"/>
      <c r="AAN76" s="108"/>
      <c r="AAO76" s="108"/>
      <c r="AAP76" s="108"/>
      <c r="AAQ76" s="108"/>
      <c r="AAR76" s="108"/>
      <c r="AAS76" s="108"/>
      <c r="AAT76" s="108"/>
      <c r="AAU76" s="108"/>
      <c r="AAV76" s="108"/>
      <c r="AAW76" s="108"/>
      <c r="AAX76" s="108"/>
      <c r="AAY76" s="108"/>
      <c r="AAZ76" s="108"/>
      <c r="ABA76" s="108"/>
      <c r="ABB76" s="108"/>
      <c r="ABC76" s="108"/>
      <c r="ABD76" s="108"/>
      <c r="ABE76" s="108"/>
      <c r="ABF76" s="108"/>
      <c r="ABG76" s="108"/>
      <c r="ABH76" s="108"/>
      <c r="ABI76" s="108"/>
      <c r="ABJ76" s="108"/>
      <c r="ABK76" s="108"/>
      <c r="ABL76" s="108"/>
      <c r="ABM76" s="108"/>
      <c r="ABN76" s="108"/>
      <c r="ABO76" s="108"/>
      <c r="ABP76" s="108"/>
      <c r="ABQ76" s="108"/>
      <c r="ABR76" s="108"/>
      <c r="ABS76" s="108"/>
      <c r="ABT76" s="108"/>
      <c r="ABU76" s="108"/>
      <c r="ABV76" s="108"/>
      <c r="ABW76" s="108"/>
      <c r="ABX76" s="108"/>
      <c r="ABY76" s="108"/>
      <c r="ABZ76" s="108"/>
      <c r="ACA76" s="108"/>
      <c r="ACB76" s="108"/>
      <c r="ACC76" s="108"/>
      <c r="ACD76" s="108"/>
      <c r="ACE76" s="108"/>
      <c r="ACF76" s="108"/>
      <c r="ACG76" s="108"/>
      <c r="ACH76" s="108"/>
      <c r="ACI76" s="108"/>
      <c r="ACJ76" s="108"/>
      <c r="ACK76" s="108"/>
      <c r="ACL76" s="108"/>
      <c r="ACM76" s="108"/>
      <c r="ACN76" s="108"/>
      <c r="ACO76" s="108"/>
      <c r="ACP76" s="108"/>
      <c r="ACQ76" s="108"/>
      <c r="ACR76" s="108"/>
      <c r="ACS76" s="108"/>
      <c r="ACT76" s="108"/>
      <c r="ACU76" s="108"/>
      <c r="ACV76" s="108"/>
      <c r="ACW76" s="108"/>
      <c r="ACX76" s="108"/>
      <c r="ACY76" s="108"/>
      <c r="ACZ76" s="108"/>
      <c r="ADA76" s="108"/>
      <c r="ADB76" s="108"/>
      <c r="ADC76" s="108"/>
      <c r="ADD76" s="108"/>
      <c r="ADE76" s="108"/>
      <c r="ADF76" s="108"/>
      <c r="ADG76" s="108"/>
      <c r="ADH76" s="108"/>
      <c r="ADI76" s="108"/>
      <c r="ADJ76" s="108"/>
      <c r="ADK76" s="108"/>
      <c r="ADL76" s="108"/>
      <c r="ADM76" s="108"/>
      <c r="ADN76" s="108"/>
      <c r="ADO76" s="108"/>
      <c r="ADP76" s="108"/>
      <c r="ADQ76" s="108"/>
      <c r="ADR76" s="108"/>
      <c r="ADS76" s="108"/>
      <c r="ADT76" s="108"/>
      <c r="ADU76" s="108"/>
      <c r="ADV76" s="108"/>
      <c r="ADW76" s="108"/>
      <c r="ADX76" s="108"/>
      <c r="ADY76" s="108"/>
      <c r="ADZ76" s="108"/>
      <c r="AEA76" s="108"/>
      <c r="AEB76" s="108"/>
      <c r="AEC76" s="108"/>
      <c r="AED76" s="108"/>
      <c r="AEE76" s="108"/>
      <c r="AEF76" s="108"/>
      <c r="AEG76" s="108"/>
      <c r="AEH76" s="108"/>
      <c r="AEI76" s="108"/>
      <c r="AEJ76" s="108"/>
      <c r="AEK76" s="108"/>
      <c r="AEL76" s="108"/>
      <c r="AEM76" s="108"/>
      <c r="AEN76" s="108"/>
      <c r="AEO76" s="108"/>
      <c r="AEP76" s="108"/>
      <c r="AEQ76" s="108"/>
      <c r="AER76" s="108"/>
      <c r="AES76" s="108"/>
      <c r="AET76" s="108"/>
      <c r="AEU76" s="108"/>
      <c r="AEV76" s="108"/>
      <c r="AEW76" s="108"/>
      <c r="AEX76" s="108"/>
      <c r="AEY76" s="108"/>
      <c r="AEZ76" s="108"/>
      <c r="AFA76" s="108"/>
      <c r="AFB76" s="108"/>
      <c r="AFC76" s="108"/>
      <c r="AFD76" s="108"/>
      <c r="AFE76" s="108"/>
      <c r="AFF76" s="108"/>
      <c r="AFG76" s="108"/>
      <c r="AFH76" s="108"/>
      <c r="AFI76" s="108"/>
      <c r="AFJ76" s="108"/>
      <c r="AFK76" s="108"/>
      <c r="AFL76" s="108"/>
      <c r="AFM76" s="108"/>
      <c r="AFN76" s="108"/>
      <c r="AFO76" s="108"/>
      <c r="AFP76" s="108"/>
      <c r="AFQ76" s="108"/>
      <c r="AFR76" s="108"/>
      <c r="AFS76" s="108"/>
      <c r="AFT76" s="108"/>
      <c r="AFU76" s="108"/>
      <c r="AFV76" s="108"/>
      <c r="AFW76" s="108"/>
      <c r="AFX76" s="108"/>
      <c r="AFY76" s="108"/>
      <c r="AFZ76" s="108"/>
      <c r="AGA76" s="108"/>
      <c r="AGB76" s="108"/>
      <c r="AGC76" s="108"/>
      <c r="AGD76" s="108"/>
      <c r="AGE76" s="108"/>
      <c r="AGF76" s="108"/>
      <c r="AGG76" s="108"/>
      <c r="AGH76" s="108"/>
      <c r="AGI76" s="108"/>
      <c r="AGJ76" s="108"/>
      <c r="AGK76" s="108"/>
      <c r="AGL76" s="108"/>
      <c r="AGM76" s="108"/>
      <c r="AGN76" s="108"/>
      <c r="AGO76" s="108"/>
      <c r="AGP76" s="108"/>
      <c r="AGQ76" s="108"/>
      <c r="AGR76" s="108"/>
      <c r="AGS76" s="108"/>
      <c r="AGT76" s="108"/>
      <c r="AGU76" s="108"/>
      <c r="AGV76" s="108"/>
      <c r="AGW76" s="108"/>
      <c r="AGX76" s="108"/>
      <c r="AGY76" s="108"/>
      <c r="AGZ76" s="108"/>
      <c r="AHA76" s="108"/>
      <c r="AHB76" s="108"/>
      <c r="AHC76" s="108"/>
      <c r="AHD76" s="108"/>
      <c r="AHE76" s="108"/>
      <c r="AHF76" s="108"/>
      <c r="AHG76" s="108"/>
      <c r="AHH76" s="108"/>
      <c r="AHI76" s="108"/>
      <c r="AHJ76" s="108"/>
      <c r="AHK76" s="108"/>
      <c r="AHL76" s="108"/>
      <c r="AHM76" s="108"/>
      <c r="AHN76" s="108"/>
      <c r="AHO76" s="108"/>
      <c r="AHP76" s="108"/>
      <c r="AHQ76" s="108"/>
      <c r="AHR76" s="108"/>
      <c r="AHS76" s="108"/>
      <c r="AHT76" s="108"/>
      <c r="AHU76" s="108"/>
      <c r="AHV76" s="108"/>
      <c r="AHW76" s="108"/>
      <c r="AHX76" s="108"/>
      <c r="AHY76" s="108"/>
      <c r="AHZ76" s="108"/>
      <c r="AIA76" s="108"/>
      <c r="AIB76" s="108"/>
      <c r="AIC76" s="108"/>
      <c r="AID76" s="108"/>
      <c r="AIE76" s="108"/>
      <c r="AIF76" s="108"/>
      <c r="AIG76" s="108"/>
      <c r="AIH76" s="108"/>
      <c r="AII76" s="108"/>
      <c r="AIJ76" s="108"/>
      <c r="AIK76" s="108"/>
      <c r="AIL76" s="108"/>
      <c r="AIM76" s="108"/>
      <c r="AIN76" s="108"/>
      <c r="AIO76" s="108"/>
      <c r="AIP76" s="108"/>
      <c r="AIQ76" s="108"/>
      <c r="AIR76" s="108"/>
      <c r="AIS76" s="108"/>
      <c r="AIT76" s="108"/>
      <c r="AIU76" s="108"/>
      <c r="AIV76" s="108"/>
      <c r="AIW76" s="108"/>
      <c r="AIX76" s="108"/>
      <c r="AIY76" s="108"/>
      <c r="AIZ76" s="108"/>
      <c r="AJA76" s="108"/>
      <c r="AJB76" s="108"/>
      <c r="AJC76" s="108"/>
      <c r="AJD76" s="108"/>
      <c r="AJE76" s="108"/>
      <c r="AJF76" s="108"/>
      <c r="AJG76" s="108"/>
      <c r="AJH76" s="108"/>
      <c r="AJI76" s="108"/>
      <c r="AJJ76" s="108"/>
      <c r="AJK76" s="108"/>
      <c r="AJL76" s="108"/>
      <c r="AJM76" s="108"/>
      <c r="AJN76" s="108"/>
      <c r="AJO76" s="108"/>
      <c r="AJP76" s="108"/>
      <c r="AJQ76" s="108"/>
      <c r="AJR76" s="108"/>
      <c r="AJS76" s="108"/>
      <c r="AJT76" s="108"/>
      <c r="AJU76" s="108"/>
      <c r="AJV76" s="108"/>
      <c r="AJW76" s="108"/>
      <c r="AJX76" s="108"/>
      <c r="AJY76" s="108"/>
      <c r="AJZ76" s="108"/>
      <c r="AKA76" s="108"/>
      <c r="AKB76" s="108"/>
      <c r="AKC76" s="108"/>
      <c r="AKD76" s="108"/>
      <c r="AKE76" s="108"/>
      <c r="AKF76" s="108"/>
      <c r="AKG76" s="108"/>
      <c r="AKH76" s="108"/>
      <c r="AKI76" s="108"/>
      <c r="AKJ76" s="108"/>
      <c r="AKK76" s="108"/>
      <c r="AKL76" s="108"/>
      <c r="AKM76" s="108"/>
      <c r="AKN76" s="108"/>
      <c r="AKO76" s="108"/>
      <c r="AKP76" s="108"/>
      <c r="AKQ76" s="108"/>
      <c r="AKR76" s="108"/>
      <c r="AKS76" s="108"/>
      <c r="AKT76" s="108"/>
      <c r="AKU76" s="108"/>
      <c r="AKV76" s="108"/>
      <c r="AKW76" s="108"/>
      <c r="AKX76" s="108"/>
      <c r="AKY76" s="108"/>
      <c r="AKZ76" s="108"/>
      <c r="ALA76" s="108"/>
      <c r="ALB76" s="108"/>
      <c r="ALC76" s="108"/>
      <c r="ALD76" s="108"/>
      <c r="ALE76" s="108"/>
      <c r="ALF76" s="108"/>
      <c r="ALG76" s="108"/>
      <c r="ALH76" s="108"/>
      <c r="ALI76" s="108"/>
      <c r="ALJ76" s="108"/>
      <c r="ALK76" s="108"/>
      <c r="ALL76" s="108"/>
      <c r="ALM76" s="108"/>
      <c r="ALN76" s="108"/>
      <c r="ALO76" s="108"/>
      <c r="ALP76" s="108"/>
      <c r="ALQ76" s="108"/>
      <c r="ALR76" s="108"/>
      <c r="ALS76" s="108"/>
      <c r="ALT76" s="108"/>
      <c r="ALU76" s="108"/>
      <c r="ALV76" s="108"/>
      <c r="ALW76" s="108"/>
      <c r="ALX76" s="108"/>
      <c r="ALY76" s="108"/>
      <c r="ALZ76" s="108"/>
      <c r="AMA76" s="108"/>
      <c r="AMB76" s="108"/>
      <c r="AMC76" s="108"/>
      <c r="AMD76" s="108"/>
      <c r="AME76" s="108"/>
      <c r="AMF76" s="108"/>
      <c r="AMG76" s="108"/>
      <c r="AMH76" s="108"/>
      <c r="AMI76" s="108"/>
      <c r="AMJ76" s="108"/>
      <c r="AMK76" s="108"/>
      <c r="AML76" s="108"/>
      <c r="AMM76" s="108"/>
      <c r="AMN76" s="108"/>
      <c r="AMO76" s="108"/>
      <c r="AMP76" s="108"/>
      <c r="AMQ76" s="108"/>
      <c r="AMR76" s="108"/>
      <c r="AMS76" s="108"/>
      <c r="AMT76" s="108"/>
      <c r="AMU76" s="108"/>
      <c r="AMV76" s="108"/>
      <c r="AMW76" s="108"/>
      <c r="AMX76" s="108"/>
      <c r="AMY76" s="108"/>
      <c r="AMZ76" s="108"/>
      <c r="ANA76" s="108"/>
      <c r="ANB76" s="108"/>
      <c r="ANC76" s="108"/>
      <c r="AND76" s="108"/>
      <c r="ANE76" s="108"/>
      <c r="ANF76" s="108"/>
      <c r="ANG76" s="108"/>
      <c r="ANH76" s="108"/>
      <c r="ANI76" s="108"/>
      <c r="ANJ76" s="108"/>
      <c r="ANK76" s="108"/>
      <c r="ANL76" s="108"/>
      <c r="ANM76" s="108"/>
      <c r="ANN76" s="108"/>
      <c r="ANO76" s="108"/>
      <c r="ANP76" s="108"/>
      <c r="ANQ76" s="108"/>
      <c r="ANR76" s="108"/>
      <c r="ANS76" s="108"/>
      <c r="ANT76" s="108"/>
      <c r="ANU76" s="108"/>
      <c r="ANV76" s="108"/>
      <c r="ANW76" s="108"/>
      <c r="ANX76" s="108"/>
      <c r="ANY76" s="108"/>
      <c r="ANZ76" s="108"/>
      <c r="AOA76" s="108"/>
      <c r="AOB76" s="108"/>
      <c r="AOC76" s="108"/>
      <c r="AOD76" s="108"/>
      <c r="AOE76" s="108"/>
      <c r="AOF76" s="108"/>
      <c r="AOG76" s="108"/>
      <c r="AOH76" s="108"/>
      <c r="AOI76" s="108"/>
      <c r="AOJ76" s="108"/>
      <c r="AOK76" s="108"/>
      <c r="AOL76" s="108"/>
      <c r="AOM76" s="108"/>
      <c r="AON76" s="108"/>
      <c r="AOO76" s="108"/>
      <c r="AOP76" s="108"/>
      <c r="AOQ76" s="108"/>
      <c r="AOR76" s="108"/>
      <c r="AOS76" s="108"/>
      <c r="AOT76" s="108"/>
      <c r="AOU76" s="108"/>
      <c r="AOV76" s="108"/>
      <c r="AOW76" s="108"/>
      <c r="AOX76" s="108"/>
      <c r="AOY76" s="108"/>
      <c r="AOZ76" s="108"/>
      <c r="APA76" s="108"/>
      <c r="APB76" s="108"/>
      <c r="APC76" s="108"/>
      <c r="APD76" s="108"/>
      <c r="APE76" s="108"/>
      <c r="APF76" s="108"/>
      <c r="APG76" s="108"/>
      <c r="APH76" s="108"/>
      <c r="API76" s="108"/>
      <c r="APJ76" s="108"/>
      <c r="APK76" s="108"/>
      <c r="APL76" s="108"/>
      <c r="APM76" s="108"/>
      <c r="APN76" s="108"/>
      <c r="APO76" s="108"/>
      <c r="APP76" s="108"/>
      <c r="APQ76" s="108"/>
      <c r="APR76" s="108"/>
      <c r="APS76" s="108"/>
      <c r="APT76" s="108"/>
      <c r="APU76" s="108"/>
      <c r="APV76" s="108"/>
      <c r="APW76" s="108"/>
      <c r="APX76" s="108"/>
      <c r="APY76" s="108"/>
      <c r="APZ76" s="108"/>
      <c r="AQA76" s="108"/>
      <c r="AQB76" s="108"/>
      <c r="AQC76" s="108"/>
      <c r="AQD76" s="108"/>
      <c r="AQE76" s="108"/>
      <c r="AQF76" s="108"/>
      <c r="AQG76" s="108"/>
      <c r="AQH76" s="108"/>
      <c r="AQI76" s="108"/>
      <c r="AQJ76" s="108"/>
      <c r="AQK76" s="108"/>
      <c r="AQL76" s="108"/>
      <c r="AQM76" s="108"/>
      <c r="AQN76" s="108"/>
      <c r="AQO76" s="108"/>
      <c r="AQP76" s="108"/>
      <c r="AQQ76" s="108"/>
      <c r="AQR76" s="108"/>
      <c r="AQS76" s="108"/>
      <c r="AQT76" s="108"/>
      <c r="AQU76" s="108"/>
      <c r="AQV76" s="108"/>
      <c r="AQW76" s="108"/>
      <c r="AQX76" s="108"/>
      <c r="AQY76" s="108"/>
      <c r="AQZ76" s="108"/>
      <c r="ARA76" s="108"/>
      <c r="ARB76" s="108"/>
      <c r="ARC76" s="108"/>
      <c r="ARD76" s="108"/>
      <c r="ARE76" s="108"/>
      <c r="ARF76" s="108"/>
      <c r="ARG76" s="108"/>
      <c r="ARH76" s="108"/>
      <c r="ARI76" s="108"/>
      <c r="ARJ76" s="108"/>
      <c r="ARK76" s="108"/>
      <c r="ARL76" s="108"/>
      <c r="ARM76" s="108"/>
      <c r="ARN76" s="108"/>
      <c r="ARO76" s="108"/>
      <c r="ARP76" s="108"/>
      <c r="ARQ76" s="108"/>
      <c r="ARR76" s="108"/>
      <c r="ARS76" s="108"/>
      <c r="ART76" s="108"/>
      <c r="ARU76" s="108"/>
      <c r="ARV76" s="108"/>
      <c r="ARW76" s="108"/>
      <c r="ARX76" s="108"/>
      <c r="ARY76" s="108"/>
      <c r="ARZ76" s="108"/>
      <c r="ASA76" s="108"/>
      <c r="ASB76" s="108"/>
      <c r="ASC76" s="108"/>
      <c r="ASD76" s="108"/>
      <c r="ASE76" s="108"/>
      <c r="ASF76" s="108"/>
      <c r="ASG76" s="108"/>
      <c r="ASH76" s="108"/>
      <c r="ASI76" s="108"/>
      <c r="ASJ76" s="108"/>
      <c r="ASK76" s="108"/>
      <c r="ASL76" s="108"/>
      <c r="ASM76" s="108"/>
      <c r="ASN76" s="108"/>
      <c r="ASO76" s="108"/>
      <c r="ASP76" s="108"/>
      <c r="ASQ76" s="108"/>
      <c r="ASR76" s="108"/>
      <c r="ASS76" s="108"/>
      <c r="AST76" s="108"/>
      <c r="ASU76" s="108"/>
      <c r="ASV76" s="108"/>
      <c r="ASW76" s="108"/>
      <c r="ASX76" s="108"/>
      <c r="ASY76" s="108"/>
      <c r="ASZ76" s="108"/>
      <c r="ATA76" s="108"/>
      <c r="ATB76" s="108"/>
      <c r="ATC76" s="108"/>
      <c r="ATD76" s="108"/>
      <c r="ATE76" s="108"/>
      <c r="ATF76" s="108"/>
      <c r="ATG76" s="108"/>
      <c r="ATH76" s="108"/>
      <c r="ATI76" s="108"/>
      <c r="ATJ76" s="108"/>
      <c r="ATK76" s="108"/>
      <c r="ATL76" s="108"/>
      <c r="ATM76" s="108"/>
      <c r="ATN76" s="108"/>
      <c r="ATO76" s="108"/>
      <c r="ATP76" s="108"/>
      <c r="ATQ76" s="108"/>
      <c r="ATR76" s="108"/>
      <c r="ATS76" s="108"/>
      <c r="ATT76" s="108"/>
      <c r="ATU76" s="108"/>
      <c r="ATV76" s="108"/>
      <c r="ATW76" s="108"/>
      <c r="ATX76" s="108"/>
      <c r="ATY76" s="108"/>
      <c r="ATZ76" s="108"/>
      <c r="AUA76" s="108"/>
      <c r="AUB76" s="108"/>
      <c r="AUC76" s="108"/>
      <c r="AUD76" s="108"/>
      <c r="AUE76" s="108"/>
      <c r="AUF76" s="108"/>
      <c r="AUG76" s="108"/>
      <c r="AUH76" s="108"/>
      <c r="AUI76" s="108"/>
      <c r="AUJ76" s="108"/>
      <c r="AUK76" s="108"/>
      <c r="AUL76" s="108"/>
      <c r="AUM76" s="108"/>
      <c r="AUN76" s="108"/>
      <c r="AUO76" s="108"/>
      <c r="AUP76" s="108"/>
      <c r="AUQ76" s="108"/>
      <c r="AUR76" s="108"/>
      <c r="AUS76" s="108"/>
      <c r="AUT76" s="108"/>
      <c r="AUU76" s="108"/>
      <c r="AUV76" s="108"/>
      <c r="AUW76" s="108"/>
      <c r="AUX76" s="108"/>
      <c r="AUY76" s="108"/>
      <c r="AUZ76" s="108"/>
      <c r="AVA76" s="108"/>
      <c r="AVB76" s="108"/>
      <c r="AVC76" s="108"/>
      <c r="AVD76" s="108"/>
      <c r="AVE76" s="108"/>
      <c r="AVF76" s="108"/>
      <c r="AVG76" s="108"/>
      <c r="AVH76" s="108"/>
      <c r="AVI76" s="108"/>
      <c r="AVJ76" s="108"/>
      <c r="AVK76" s="108"/>
      <c r="AVL76" s="108"/>
      <c r="AVM76" s="108"/>
      <c r="AVN76" s="108"/>
      <c r="AVO76" s="108"/>
      <c r="AVP76" s="108"/>
      <c r="AVQ76" s="108"/>
      <c r="AVR76" s="108"/>
      <c r="AVS76" s="108"/>
      <c r="AVT76" s="108"/>
      <c r="AVU76" s="108"/>
      <c r="AVV76" s="108"/>
      <c r="AVW76" s="108"/>
      <c r="AVX76" s="108"/>
      <c r="AVY76" s="108"/>
      <c r="AVZ76" s="108"/>
      <c r="AWA76" s="108"/>
      <c r="AWB76" s="108"/>
      <c r="AWC76" s="108"/>
      <c r="AWD76" s="108"/>
      <c r="AWE76" s="108"/>
      <c r="AWF76" s="108"/>
      <c r="AWG76" s="108"/>
      <c r="AWH76" s="108"/>
      <c r="AWI76" s="108"/>
      <c r="AWJ76" s="108"/>
      <c r="AWK76" s="108"/>
      <c r="AWL76" s="108"/>
      <c r="AWM76" s="108"/>
      <c r="AWN76" s="108"/>
      <c r="AWO76" s="108"/>
      <c r="AWP76" s="108"/>
      <c r="AWQ76" s="108"/>
      <c r="AWR76" s="108"/>
      <c r="AWS76" s="108"/>
      <c r="AWT76" s="108"/>
      <c r="AWU76" s="108"/>
      <c r="AWV76" s="108"/>
      <c r="AWW76" s="108"/>
      <c r="AWX76" s="108"/>
      <c r="AWY76" s="108"/>
      <c r="AWZ76" s="108"/>
      <c r="AXA76" s="108"/>
      <c r="AXB76" s="108"/>
      <c r="AXC76" s="108"/>
      <c r="AXD76" s="108"/>
      <c r="AXE76" s="108"/>
      <c r="AXF76" s="108"/>
      <c r="AXG76" s="108"/>
      <c r="AXH76" s="108"/>
      <c r="AXI76" s="108"/>
      <c r="AXJ76" s="108"/>
      <c r="AXK76" s="108"/>
      <c r="AXL76" s="108"/>
      <c r="AXM76" s="108"/>
      <c r="AXN76" s="108"/>
      <c r="AXO76" s="108"/>
      <c r="AXP76" s="108"/>
      <c r="AXQ76" s="108"/>
      <c r="AXR76" s="108"/>
      <c r="AXS76" s="108"/>
      <c r="AXT76" s="108"/>
      <c r="AXU76" s="108"/>
      <c r="AXV76" s="108"/>
      <c r="AXW76" s="108"/>
      <c r="AXX76" s="108"/>
      <c r="AXY76" s="108"/>
      <c r="AXZ76" s="108"/>
      <c r="AYA76" s="108"/>
      <c r="AYB76" s="108"/>
      <c r="AYC76" s="108"/>
      <c r="AYD76" s="108"/>
      <c r="AYE76" s="108"/>
      <c r="AYF76" s="108"/>
      <c r="AYG76" s="108"/>
      <c r="AYH76" s="108"/>
      <c r="AYI76" s="108"/>
      <c r="AYJ76" s="108"/>
      <c r="AYK76" s="108"/>
      <c r="AYL76" s="108"/>
      <c r="AYM76" s="108"/>
      <c r="AYN76" s="108"/>
      <c r="AYO76" s="108"/>
      <c r="AYP76" s="108"/>
      <c r="AYQ76" s="108"/>
      <c r="AYR76" s="108"/>
      <c r="AYS76" s="108"/>
      <c r="AYT76" s="108"/>
      <c r="AYU76" s="108"/>
      <c r="AYV76" s="108"/>
      <c r="AYW76" s="108"/>
      <c r="AYX76" s="108"/>
      <c r="AYY76" s="108"/>
      <c r="AYZ76" s="108"/>
      <c r="AZA76" s="108"/>
      <c r="AZB76" s="108"/>
      <c r="AZC76" s="108"/>
      <c r="AZD76" s="108"/>
      <c r="AZE76" s="108"/>
      <c r="AZF76" s="108"/>
      <c r="AZG76" s="108"/>
      <c r="AZH76" s="108"/>
      <c r="AZI76" s="108"/>
      <c r="AZJ76" s="108"/>
      <c r="AZK76" s="108"/>
      <c r="AZL76" s="108"/>
      <c r="AZM76" s="108"/>
      <c r="AZN76" s="108"/>
      <c r="AZO76" s="108"/>
      <c r="AZP76" s="108"/>
      <c r="AZQ76" s="108"/>
      <c r="AZR76" s="108"/>
      <c r="AZS76" s="108"/>
      <c r="AZT76" s="108"/>
      <c r="AZU76" s="108"/>
      <c r="AZV76" s="108"/>
      <c r="AZW76" s="108"/>
      <c r="AZX76" s="108"/>
      <c r="AZY76" s="108"/>
      <c r="AZZ76" s="108"/>
      <c r="BAA76" s="108"/>
      <c r="BAB76" s="108"/>
      <c r="BAC76" s="108"/>
      <c r="BAD76" s="108"/>
      <c r="BAE76" s="108"/>
      <c r="BAF76" s="108"/>
      <c r="BAG76" s="108"/>
      <c r="BAH76" s="108"/>
      <c r="BAI76" s="108"/>
      <c r="BAJ76" s="108"/>
      <c r="BAK76" s="108"/>
      <c r="BAL76" s="108"/>
      <c r="BAM76" s="108"/>
      <c r="BAN76" s="108"/>
      <c r="BAO76" s="108"/>
      <c r="BAP76" s="108"/>
      <c r="BAQ76" s="108"/>
      <c r="BAR76" s="108"/>
      <c r="BAS76" s="108"/>
      <c r="BAT76" s="108"/>
      <c r="BAU76" s="108"/>
      <c r="BAV76" s="108"/>
      <c r="BAW76" s="108"/>
      <c r="BAX76" s="108"/>
      <c r="BAY76" s="108"/>
      <c r="BAZ76" s="108"/>
      <c r="BBA76" s="108"/>
      <c r="BBB76" s="108"/>
      <c r="BBC76" s="108"/>
      <c r="BBD76" s="108"/>
      <c r="BBE76" s="108"/>
      <c r="BBF76" s="108"/>
      <c r="BBG76" s="108"/>
      <c r="BBH76" s="108"/>
      <c r="BBI76" s="108"/>
      <c r="BBJ76" s="108"/>
      <c r="BBK76" s="108"/>
      <c r="BBL76" s="108"/>
      <c r="BBM76" s="108"/>
      <c r="BBN76" s="108"/>
      <c r="BBO76" s="108"/>
      <c r="BBP76" s="108"/>
      <c r="BBQ76" s="108"/>
      <c r="BBR76" s="108"/>
      <c r="BBS76" s="108"/>
      <c r="BBT76" s="108"/>
      <c r="BBU76" s="108"/>
      <c r="BBV76" s="108"/>
      <c r="BBW76" s="108"/>
      <c r="BBX76" s="108"/>
      <c r="BBY76" s="108"/>
      <c r="BBZ76" s="108"/>
      <c r="BCA76" s="108"/>
      <c r="BCB76" s="108"/>
      <c r="BCC76" s="108"/>
      <c r="BCD76" s="108"/>
      <c r="BCE76" s="108"/>
      <c r="BCF76" s="108"/>
      <c r="BCG76" s="108"/>
      <c r="BCH76" s="108"/>
      <c r="BCI76" s="108"/>
      <c r="BCJ76" s="108"/>
      <c r="BCK76" s="108"/>
      <c r="BCL76" s="108"/>
      <c r="BCM76" s="108"/>
      <c r="BCN76" s="108"/>
      <c r="BCO76" s="108"/>
      <c r="BCP76" s="108"/>
      <c r="BCQ76" s="108"/>
      <c r="BCR76" s="108"/>
      <c r="BCS76" s="108"/>
      <c r="BCT76" s="108"/>
      <c r="BCU76" s="108"/>
      <c r="BCV76" s="108"/>
      <c r="BCW76" s="108"/>
      <c r="BCX76" s="108"/>
      <c r="BCY76" s="108"/>
      <c r="BCZ76" s="108"/>
      <c r="BDA76" s="108"/>
      <c r="BDB76" s="108"/>
      <c r="BDC76" s="108"/>
      <c r="BDD76" s="108"/>
      <c r="BDE76" s="108"/>
      <c r="BDF76" s="108"/>
      <c r="BDG76" s="108"/>
      <c r="BDH76" s="108"/>
      <c r="BDI76" s="108"/>
      <c r="BDJ76" s="108"/>
      <c r="BDK76" s="108"/>
      <c r="BDL76" s="108"/>
      <c r="BDM76" s="108"/>
      <c r="BDN76" s="108"/>
      <c r="BDO76" s="108"/>
      <c r="BDP76" s="108"/>
      <c r="BDQ76" s="108"/>
      <c r="BDR76" s="108"/>
      <c r="BDS76" s="108"/>
      <c r="BDT76" s="108"/>
      <c r="BDU76" s="108"/>
      <c r="BDV76" s="108"/>
      <c r="BDW76" s="108"/>
      <c r="BDX76" s="108"/>
      <c r="BDY76" s="108"/>
      <c r="BDZ76" s="108"/>
      <c r="BEA76" s="108"/>
      <c r="BEB76" s="108"/>
      <c r="BEC76" s="108"/>
      <c r="BED76" s="108"/>
      <c r="BEE76" s="108"/>
      <c r="BEF76" s="108"/>
      <c r="BEG76" s="108"/>
      <c r="BEH76" s="108"/>
      <c r="BEI76" s="108"/>
      <c r="BEJ76" s="108"/>
      <c r="BEK76" s="108"/>
      <c r="BEL76" s="108"/>
      <c r="BEM76" s="108"/>
      <c r="BEN76" s="108"/>
      <c r="BEO76" s="108"/>
      <c r="BEP76" s="108"/>
      <c r="BEQ76" s="108"/>
      <c r="BER76" s="108"/>
      <c r="BES76" s="108"/>
      <c r="BET76" s="108"/>
      <c r="BEU76" s="108"/>
      <c r="BEV76" s="108"/>
      <c r="BEW76" s="108"/>
      <c r="BEX76" s="108"/>
      <c r="BEY76" s="108"/>
      <c r="BEZ76" s="108"/>
      <c r="BFA76" s="108"/>
      <c r="BFB76" s="108"/>
      <c r="BFC76" s="108"/>
      <c r="BFD76" s="108"/>
      <c r="BFE76" s="108"/>
      <c r="BFF76" s="108"/>
      <c r="BFG76" s="108"/>
      <c r="BFH76" s="108"/>
      <c r="BFI76" s="108"/>
      <c r="BFJ76" s="108"/>
      <c r="BFK76" s="108"/>
      <c r="BFL76" s="108"/>
      <c r="BFM76" s="108"/>
      <c r="BFN76" s="108"/>
      <c r="BFO76" s="108"/>
      <c r="BFP76" s="108"/>
      <c r="BFQ76" s="108"/>
      <c r="BFR76" s="108"/>
      <c r="BFS76" s="108"/>
      <c r="BFT76" s="108"/>
      <c r="BFU76" s="108"/>
      <c r="BFV76" s="108"/>
      <c r="BFW76" s="108"/>
      <c r="BFX76" s="108"/>
      <c r="BFY76" s="108"/>
      <c r="BFZ76" s="108"/>
      <c r="BGA76" s="108"/>
      <c r="BGB76" s="108"/>
      <c r="BGC76" s="108"/>
      <c r="BGD76" s="108"/>
      <c r="BGE76" s="108"/>
      <c r="BGF76" s="108"/>
      <c r="BGG76" s="108"/>
      <c r="BGH76" s="108"/>
      <c r="BGI76" s="108"/>
      <c r="BGJ76" s="108"/>
      <c r="BGK76" s="108"/>
      <c r="BGL76" s="108"/>
      <c r="BGM76" s="108"/>
      <c r="BGN76" s="108"/>
      <c r="BGO76" s="108"/>
      <c r="BGP76" s="108"/>
      <c r="BGQ76" s="108"/>
      <c r="BGR76" s="108"/>
      <c r="BGS76" s="108"/>
      <c r="BGT76" s="108"/>
      <c r="BGU76" s="108"/>
      <c r="BGV76" s="108"/>
      <c r="BGW76" s="108"/>
      <c r="BGX76" s="108"/>
      <c r="BGY76" s="108"/>
      <c r="BGZ76" s="108"/>
      <c r="BHA76" s="108"/>
      <c r="BHB76" s="108"/>
      <c r="BHC76" s="108"/>
      <c r="BHD76" s="108"/>
      <c r="BHE76" s="108"/>
      <c r="BHF76" s="108"/>
      <c r="BHG76" s="108"/>
      <c r="BHH76" s="108"/>
      <c r="BHI76" s="108"/>
      <c r="BHJ76" s="108"/>
      <c r="BHK76" s="108"/>
      <c r="BHL76" s="108"/>
      <c r="BHM76" s="108"/>
      <c r="BHN76" s="108"/>
      <c r="BHO76" s="108"/>
      <c r="BHP76" s="108"/>
      <c r="BHQ76" s="108"/>
      <c r="BHR76" s="108"/>
      <c r="BHS76" s="108"/>
      <c r="BHT76" s="108"/>
      <c r="BHU76" s="108"/>
      <c r="BHV76" s="108"/>
      <c r="BHW76" s="108"/>
      <c r="BHX76" s="108"/>
      <c r="BHY76" s="108"/>
      <c r="BHZ76" s="108"/>
      <c r="BIA76" s="108"/>
      <c r="BIB76" s="108"/>
      <c r="BIC76" s="108"/>
      <c r="BID76" s="108"/>
      <c r="BIE76" s="108"/>
      <c r="BIF76" s="108"/>
      <c r="BIG76" s="108"/>
      <c r="BIH76" s="108"/>
      <c r="BII76" s="108"/>
      <c r="BIJ76" s="108"/>
      <c r="BIK76" s="108"/>
      <c r="BIL76" s="108"/>
      <c r="BIM76" s="108"/>
      <c r="BIN76" s="108"/>
      <c r="BIO76" s="108"/>
      <c r="BIP76" s="108"/>
      <c r="BIQ76" s="108"/>
      <c r="BIR76" s="108"/>
      <c r="BIS76" s="108"/>
      <c r="BIT76" s="108"/>
      <c r="BIU76" s="108"/>
      <c r="BIV76" s="108"/>
      <c r="BIW76" s="108"/>
      <c r="BIX76" s="108"/>
      <c r="BIY76" s="108"/>
      <c r="BIZ76" s="108"/>
      <c r="BJA76" s="108"/>
      <c r="BJB76" s="108"/>
      <c r="BJC76" s="108"/>
      <c r="BJD76" s="108"/>
      <c r="BJE76" s="108"/>
      <c r="BJF76" s="108"/>
      <c r="BJG76" s="108"/>
      <c r="BJH76" s="108"/>
      <c r="BJI76" s="108"/>
      <c r="BJJ76" s="108"/>
      <c r="BJK76" s="108"/>
      <c r="BJL76" s="108"/>
      <c r="BJM76" s="108"/>
      <c r="BJN76" s="108"/>
      <c r="BJO76" s="108"/>
      <c r="BJP76" s="108"/>
      <c r="BJQ76" s="108"/>
      <c r="BJR76" s="108"/>
      <c r="BJS76" s="108"/>
      <c r="BJT76" s="108"/>
      <c r="BJU76" s="108"/>
      <c r="BJV76" s="108"/>
      <c r="BJW76" s="108"/>
      <c r="BJX76" s="108"/>
      <c r="BJY76" s="108"/>
      <c r="BJZ76" s="108"/>
      <c r="BKA76" s="108"/>
      <c r="BKB76" s="108"/>
      <c r="BKC76" s="108"/>
      <c r="BKD76" s="108"/>
      <c r="BKE76" s="108"/>
      <c r="BKF76" s="108"/>
      <c r="BKG76" s="108"/>
      <c r="BKH76" s="108"/>
      <c r="BKI76" s="108"/>
      <c r="BKJ76" s="108"/>
      <c r="BKK76" s="108"/>
      <c r="BKL76" s="108"/>
      <c r="BKM76" s="108"/>
      <c r="BKN76" s="108"/>
      <c r="BKO76" s="108"/>
      <c r="BKP76" s="108"/>
      <c r="BKQ76" s="108"/>
      <c r="BKR76" s="108"/>
      <c r="BKS76" s="108"/>
      <c r="BKT76" s="108"/>
      <c r="BKU76" s="108"/>
      <c r="BKV76" s="108"/>
      <c r="BKW76" s="108"/>
      <c r="BKX76" s="108"/>
      <c r="BKY76" s="108"/>
      <c r="BKZ76" s="108"/>
      <c r="BLA76" s="108"/>
      <c r="BLB76" s="108"/>
      <c r="BLC76" s="108"/>
      <c r="BLD76" s="108"/>
      <c r="BLE76" s="108"/>
      <c r="BLF76" s="108"/>
      <c r="BLG76" s="108"/>
      <c r="BLH76" s="108"/>
      <c r="BLI76" s="108"/>
      <c r="BLJ76" s="108"/>
      <c r="BLK76" s="108"/>
      <c r="BLL76" s="108"/>
      <c r="BLM76" s="108"/>
      <c r="BLN76" s="108"/>
      <c r="BLO76" s="108"/>
      <c r="BLP76" s="108"/>
      <c r="BLQ76" s="108"/>
      <c r="BLR76" s="108"/>
      <c r="BLS76" s="108"/>
      <c r="BLT76" s="108"/>
      <c r="BLU76" s="108"/>
      <c r="BLV76" s="108"/>
      <c r="BLW76" s="108"/>
      <c r="BLX76" s="108"/>
      <c r="BLY76" s="108"/>
      <c r="BLZ76" s="108"/>
      <c r="BMA76" s="108"/>
      <c r="BMB76" s="108"/>
      <c r="BMC76" s="108"/>
      <c r="BMD76" s="108"/>
      <c r="BME76" s="108"/>
      <c r="BMF76" s="108"/>
      <c r="BMG76" s="108"/>
      <c r="BMH76" s="108"/>
      <c r="BMI76" s="108"/>
      <c r="BMJ76" s="108"/>
      <c r="BMK76" s="108"/>
      <c r="BML76" s="108"/>
      <c r="BMM76" s="108"/>
      <c r="BMN76" s="108"/>
      <c r="BMO76" s="108"/>
      <c r="BMP76" s="108"/>
      <c r="BMQ76" s="108"/>
      <c r="BMR76" s="108"/>
      <c r="BMS76" s="108"/>
      <c r="BMT76" s="108"/>
      <c r="BMU76" s="108"/>
      <c r="BMV76" s="108"/>
      <c r="BMW76" s="108"/>
      <c r="BMX76" s="108"/>
      <c r="BMY76" s="108"/>
      <c r="BMZ76" s="108"/>
      <c r="BNA76" s="108"/>
      <c r="BNB76" s="108"/>
      <c r="BNC76" s="108"/>
      <c r="BND76" s="108"/>
      <c r="BNE76" s="108"/>
      <c r="BNF76" s="108"/>
      <c r="BNG76" s="108"/>
      <c r="BNH76" s="108"/>
      <c r="BNI76" s="108"/>
      <c r="BNJ76" s="108"/>
      <c r="BNK76" s="108"/>
      <c r="BNL76" s="108"/>
      <c r="BNM76" s="108"/>
      <c r="BNN76" s="108"/>
      <c r="BNO76" s="108"/>
      <c r="BNP76" s="108"/>
      <c r="BNQ76" s="108"/>
      <c r="BNR76" s="108"/>
      <c r="BNS76" s="108"/>
      <c r="BNT76" s="108"/>
      <c r="BNU76" s="108"/>
      <c r="BNV76" s="108"/>
      <c r="BNW76" s="108"/>
      <c r="BNX76" s="108"/>
      <c r="BNY76" s="108"/>
      <c r="BNZ76" s="108"/>
      <c r="BOA76" s="108"/>
      <c r="BOB76" s="108"/>
      <c r="BOC76" s="108"/>
      <c r="BOD76" s="108"/>
      <c r="BOE76" s="108"/>
      <c r="BOF76" s="108"/>
      <c r="BOG76" s="108"/>
      <c r="BOH76" s="108"/>
      <c r="BOI76" s="108"/>
      <c r="BOJ76" s="108"/>
      <c r="BOK76" s="108"/>
      <c r="BOL76" s="108"/>
      <c r="BOM76" s="108"/>
      <c r="BON76" s="108"/>
      <c r="BOO76" s="108"/>
      <c r="BOP76" s="108"/>
      <c r="BOQ76" s="108"/>
      <c r="BOR76" s="108"/>
      <c r="BOS76" s="108"/>
      <c r="BOT76" s="108"/>
      <c r="BOU76" s="108"/>
      <c r="BOV76" s="108"/>
      <c r="BOW76" s="108"/>
      <c r="BOX76" s="108"/>
      <c r="BOY76" s="108"/>
      <c r="BOZ76" s="108"/>
      <c r="BPA76" s="108"/>
      <c r="BPB76" s="108"/>
      <c r="BPC76" s="108"/>
      <c r="BPD76" s="108"/>
      <c r="BPE76" s="108"/>
      <c r="BPF76" s="108"/>
      <c r="BPG76" s="108"/>
      <c r="BPH76" s="108"/>
      <c r="BPI76" s="108"/>
      <c r="BPJ76" s="108"/>
      <c r="BPK76" s="108"/>
      <c r="BPL76" s="108"/>
      <c r="BPM76" s="108"/>
      <c r="BPN76" s="108"/>
      <c r="BPO76" s="108"/>
      <c r="BPP76" s="108"/>
      <c r="BPQ76" s="108"/>
      <c r="BPR76" s="108"/>
      <c r="BPS76" s="108"/>
      <c r="BPT76" s="108"/>
      <c r="BPU76" s="108"/>
      <c r="BPV76" s="108"/>
      <c r="BPW76" s="108"/>
      <c r="BPX76" s="108"/>
      <c r="BPY76" s="108"/>
      <c r="BPZ76" s="108"/>
      <c r="BQA76" s="108"/>
      <c r="BQB76" s="108"/>
      <c r="BQC76" s="108"/>
      <c r="BQD76" s="108"/>
      <c r="BQE76" s="108"/>
      <c r="BQF76" s="108"/>
      <c r="BQG76" s="108"/>
      <c r="BQH76" s="108"/>
      <c r="BQI76" s="108"/>
      <c r="BQJ76" s="108"/>
      <c r="BQK76" s="108"/>
      <c r="BQL76" s="108"/>
      <c r="BQM76" s="108"/>
      <c r="BQN76" s="108"/>
      <c r="BQO76" s="108"/>
      <c r="BQP76" s="108"/>
      <c r="BQQ76" s="108"/>
      <c r="BQR76" s="108"/>
      <c r="BQS76" s="108"/>
      <c r="BQT76" s="108"/>
      <c r="BQU76" s="108"/>
      <c r="BQV76" s="108"/>
      <c r="BQW76" s="108"/>
      <c r="BQX76" s="108"/>
      <c r="BQY76" s="108"/>
      <c r="BQZ76" s="108"/>
      <c r="BRA76" s="108"/>
      <c r="BRB76" s="108"/>
      <c r="BRC76" s="108"/>
      <c r="BRD76" s="108"/>
      <c r="BRE76" s="108"/>
      <c r="BRF76" s="108"/>
      <c r="BRG76" s="108"/>
      <c r="BRH76" s="108"/>
      <c r="BRI76" s="108"/>
      <c r="BRJ76" s="108"/>
      <c r="BRK76" s="108"/>
      <c r="BRL76" s="108"/>
      <c r="BRM76" s="108"/>
      <c r="BRN76" s="108"/>
      <c r="BRO76" s="108"/>
      <c r="BRP76" s="108"/>
      <c r="BRQ76" s="108"/>
      <c r="BRR76" s="108"/>
      <c r="BRS76" s="108"/>
      <c r="BRT76" s="108"/>
      <c r="BRU76" s="108"/>
      <c r="BRV76" s="108"/>
      <c r="BRW76" s="108"/>
      <c r="BRX76" s="108"/>
      <c r="BRY76" s="108"/>
      <c r="BRZ76" s="108"/>
      <c r="BSA76" s="108"/>
      <c r="BSB76" s="108"/>
      <c r="BSC76" s="108"/>
      <c r="BSD76" s="108"/>
      <c r="BSE76" s="108"/>
      <c r="BSF76" s="108"/>
      <c r="BSG76" s="108"/>
      <c r="BSH76" s="108"/>
      <c r="BSI76" s="108"/>
      <c r="BSJ76" s="108"/>
      <c r="BSK76" s="108"/>
      <c r="BSL76" s="108"/>
      <c r="BSM76" s="108"/>
      <c r="BSN76" s="108"/>
      <c r="BSO76" s="108"/>
      <c r="BSP76" s="108"/>
      <c r="BSQ76" s="108"/>
      <c r="BSR76" s="108"/>
      <c r="BSS76" s="108"/>
      <c r="BST76" s="108"/>
      <c r="BSU76" s="108"/>
      <c r="BSV76" s="108"/>
      <c r="BSW76" s="108"/>
      <c r="BSX76" s="108"/>
      <c r="BSY76" s="108"/>
      <c r="BSZ76" s="108"/>
      <c r="BTA76" s="108"/>
      <c r="BTB76" s="108"/>
      <c r="BTC76" s="108"/>
      <c r="BTD76" s="108"/>
      <c r="BTE76" s="108"/>
      <c r="BTF76" s="108"/>
      <c r="BTG76" s="108"/>
      <c r="BTH76" s="108"/>
      <c r="BTI76" s="108"/>
      <c r="BTJ76" s="108"/>
      <c r="BTK76" s="108"/>
      <c r="BTL76" s="108"/>
      <c r="BTM76" s="108"/>
      <c r="BTN76" s="108"/>
      <c r="BTO76" s="108"/>
      <c r="BTP76" s="108"/>
      <c r="BTQ76" s="108"/>
      <c r="BTR76" s="108"/>
      <c r="BTS76" s="108"/>
      <c r="BTT76" s="108"/>
      <c r="BTU76" s="108"/>
      <c r="BTV76" s="108"/>
      <c r="BTW76" s="108"/>
      <c r="BTX76" s="108"/>
      <c r="BTY76" s="108"/>
      <c r="BTZ76" s="108"/>
      <c r="BUA76" s="108"/>
      <c r="BUB76" s="108"/>
      <c r="BUC76" s="108"/>
      <c r="BUD76" s="108"/>
      <c r="BUE76" s="108"/>
      <c r="BUF76" s="108"/>
      <c r="BUG76" s="108"/>
      <c r="BUH76" s="108"/>
      <c r="BUI76" s="108"/>
      <c r="BUJ76" s="108"/>
      <c r="BUK76" s="108"/>
      <c r="BUL76" s="108"/>
      <c r="BUM76" s="108"/>
      <c r="BUN76" s="108"/>
      <c r="BUO76" s="108"/>
      <c r="BUP76" s="108"/>
      <c r="BUQ76" s="108"/>
      <c r="BUR76" s="108"/>
      <c r="BUS76" s="108"/>
      <c r="BUT76" s="108"/>
      <c r="BUU76" s="108"/>
      <c r="BUV76" s="108"/>
      <c r="BUW76" s="108"/>
      <c r="BUX76" s="108"/>
      <c r="BUY76" s="108"/>
      <c r="BUZ76" s="108"/>
      <c r="BVA76" s="108"/>
      <c r="BVB76" s="108"/>
      <c r="BVC76" s="108"/>
      <c r="BVD76" s="108"/>
      <c r="BVE76" s="108"/>
      <c r="BVF76" s="108"/>
      <c r="BVG76" s="108"/>
      <c r="BVH76" s="108"/>
      <c r="BVI76" s="108"/>
      <c r="BVJ76" s="108"/>
      <c r="BVK76" s="108"/>
      <c r="BVL76" s="108"/>
      <c r="BVM76" s="108"/>
      <c r="BVN76" s="108"/>
      <c r="BVO76" s="108"/>
      <c r="BVP76" s="108"/>
      <c r="BVQ76" s="108"/>
      <c r="BVR76" s="108"/>
      <c r="BVS76" s="108"/>
      <c r="BVT76" s="108"/>
      <c r="BVU76" s="108"/>
      <c r="BVV76" s="108"/>
      <c r="BVW76" s="108"/>
      <c r="BVX76" s="108"/>
      <c r="BVY76" s="108"/>
      <c r="BVZ76" s="108"/>
      <c r="BWA76" s="108"/>
      <c r="BWB76" s="108"/>
      <c r="BWC76" s="108"/>
      <c r="BWD76" s="108"/>
      <c r="BWE76" s="108"/>
      <c r="BWF76" s="108"/>
      <c r="BWG76" s="108"/>
      <c r="BWH76" s="108"/>
      <c r="BWI76" s="108"/>
      <c r="BWJ76" s="108"/>
      <c r="BWK76" s="108"/>
      <c r="BWL76" s="108"/>
      <c r="BWM76" s="108"/>
      <c r="BWN76" s="108"/>
      <c r="BWO76" s="108"/>
      <c r="BWP76" s="108"/>
      <c r="BWQ76" s="108"/>
      <c r="BWR76" s="108"/>
      <c r="BWS76" s="108"/>
      <c r="BWT76" s="108"/>
      <c r="BWU76" s="108"/>
      <c r="BWV76" s="108"/>
      <c r="BWW76" s="108"/>
      <c r="BWX76" s="108"/>
      <c r="BWY76" s="108"/>
      <c r="BWZ76" s="108"/>
      <c r="BXA76" s="108"/>
      <c r="BXB76" s="108"/>
      <c r="BXC76" s="108"/>
      <c r="BXD76" s="108"/>
      <c r="BXE76" s="108"/>
      <c r="BXF76" s="108"/>
      <c r="BXG76" s="108"/>
      <c r="BXH76" s="108"/>
      <c r="BXI76" s="108"/>
      <c r="BXJ76" s="108"/>
      <c r="BXK76" s="108"/>
      <c r="BXL76" s="108"/>
      <c r="BXM76" s="108"/>
      <c r="BXN76" s="108"/>
      <c r="BXO76" s="108"/>
      <c r="BXP76" s="108"/>
      <c r="BXQ76" s="108"/>
      <c r="BXR76" s="108"/>
      <c r="BXS76" s="108"/>
      <c r="BXT76" s="108"/>
      <c r="BXU76" s="108"/>
      <c r="BXV76" s="108"/>
      <c r="BXW76" s="108"/>
      <c r="BXX76" s="108"/>
      <c r="BXY76" s="108"/>
      <c r="BXZ76" s="108"/>
      <c r="BYA76" s="108"/>
      <c r="BYB76" s="108"/>
      <c r="BYC76" s="108"/>
      <c r="BYD76" s="108"/>
      <c r="BYE76" s="108"/>
      <c r="BYF76" s="108"/>
      <c r="BYG76" s="108"/>
      <c r="BYH76" s="108"/>
      <c r="BYI76" s="108"/>
      <c r="BYJ76" s="108"/>
      <c r="BYK76" s="108"/>
      <c r="BYL76" s="108"/>
      <c r="BYM76" s="108"/>
      <c r="BYN76" s="108"/>
      <c r="BYO76" s="108"/>
      <c r="BYP76" s="108"/>
      <c r="BYQ76" s="108"/>
      <c r="BYR76" s="108"/>
      <c r="BYS76" s="108"/>
      <c r="BYT76" s="108"/>
      <c r="BYU76" s="108"/>
      <c r="BYV76" s="108"/>
      <c r="BYW76" s="108"/>
      <c r="BYX76" s="108"/>
      <c r="BYY76" s="108"/>
      <c r="BYZ76" s="108"/>
      <c r="BZA76" s="108"/>
      <c r="BZB76" s="108"/>
      <c r="BZC76" s="108"/>
      <c r="BZD76" s="108"/>
      <c r="BZE76" s="108"/>
      <c r="BZF76" s="108"/>
      <c r="BZG76" s="108"/>
      <c r="BZH76" s="108"/>
      <c r="BZI76" s="108"/>
      <c r="BZJ76" s="108"/>
      <c r="BZK76" s="108"/>
      <c r="BZL76" s="108"/>
      <c r="BZM76" s="108"/>
      <c r="BZN76" s="108"/>
      <c r="BZO76" s="108"/>
      <c r="BZP76" s="108"/>
      <c r="BZQ76" s="108"/>
      <c r="BZR76" s="108"/>
      <c r="BZS76" s="108"/>
      <c r="BZT76" s="108"/>
      <c r="BZU76" s="108"/>
      <c r="BZV76" s="108"/>
      <c r="BZW76" s="108"/>
      <c r="BZX76" s="108"/>
      <c r="BZY76" s="108"/>
      <c r="BZZ76" s="108"/>
      <c r="CAA76" s="108"/>
      <c r="CAB76" s="108"/>
      <c r="CAC76" s="108"/>
      <c r="CAD76" s="108"/>
      <c r="CAE76" s="108"/>
      <c r="CAF76" s="108"/>
      <c r="CAG76" s="108"/>
      <c r="CAH76" s="108"/>
      <c r="CAI76" s="108"/>
      <c r="CAJ76" s="108"/>
      <c r="CAK76" s="108"/>
      <c r="CAL76" s="108"/>
      <c r="CAM76" s="108"/>
      <c r="CAN76" s="108"/>
      <c r="CAO76" s="108"/>
      <c r="CAP76" s="108"/>
      <c r="CAQ76" s="108"/>
      <c r="CAR76" s="108"/>
      <c r="CAS76" s="108"/>
      <c r="CAT76" s="108"/>
      <c r="CAU76" s="108"/>
      <c r="CAV76" s="108"/>
      <c r="CAW76" s="108"/>
      <c r="CAX76" s="108"/>
      <c r="CAY76" s="108"/>
      <c r="CAZ76" s="108"/>
      <c r="CBA76" s="108"/>
      <c r="CBB76" s="108"/>
      <c r="CBC76" s="108"/>
      <c r="CBD76" s="108"/>
      <c r="CBE76" s="108"/>
      <c r="CBF76" s="108"/>
      <c r="CBG76" s="108"/>
      <c r="CBH76" s="108"/>
      <c r="CBI76" s="108"/>
      <c r="CBJ76" s="108"/>
      <c r="CBK76" s="108"/>
      <c r="CBL76" s="108"/>
      <c r="CBM76" s="108"/>
      <c r="CBN76" s="108"/>
      <c r="CBO76" s="108"/>
      <c r="CBP76" s="108"/>
      <c r="CBQ76" s="108"/>
      <c r="CBR76" s="108"/>
      <c r="CBS76" s="108"/>
      <c r="CBT76" s="108"/>
      <c r="CBU76" s="108"/>
      <c r="CBV76" s="108"/>
      <c r="CBW76" s="108"/>
      <c r="CBX76" s="108"/>
      <c r="CBY76" s="108"/>
      <c r="CBZ76" s="108"/>
      <c r="CCA76" s="108"/>
      <c r="CCB76" s="108"/>
      <c r="CCC76" s="108"/>
      <c r="CCD76" s="108"/>
      <c r="CCE76" s="108"/>
      <c r="CCF76" s="108"/>
      <c r="CCG76" s="108"/>
      <c r="CCH76" s="108"/>
      <c r="CCI76" s="108"/>
      <c r="CCJ76" s="108"/>
      <c r="CCK76" s="108"/>
      <c r="CCL76" s="108"/>
      <c r="CCM76" s="108"/>
      <c r="CCN76" s="108"/>
      <c r="CCO76" s="108"/>
      <c r="CCP76" s="108"/>
      <c r="CCQ76" s="108"/>
      <c r="CCR76" s="108"/>
      <c r="CCS76" s="108"/>
      <c r="CCT76" s="108"/>
      <c r="CCU76" s="108"/>
      <c r="CCV76" s="108"/>
      <c r="CCW76" s="108"/>
      <c r="CCX76" s="108"/>
      <c r="CCY76" s="108"/>
      <c r="CCZ76" s="108"/>
      <c r="CDA76" s="108"/>
      <c r="CDB76" s="108"/>
      <c r="CDC76" s="108"/>
      <c r="CDD76" s="108"/>
      <c r="CDE76" s="108"/>
      <c r="CDF76" s="108"/>
      <c r="CDG76" s="108"/>
      <c r="CDH76" s="108"/>
      <c r="CDI76" s="108"/>
      <c r="CDJ76" s="108"/>
      <c r="CDK76" s="108"/>
      <c r="CDL76" s="108"/>
      <c r="CDM76" s="108"/>
      <c r="CDN76" s="108"/>
      <c r="CDO76" s="108"/>
      <c r="CDP76" s="108"/>
      <c r="CDQ76" s="108"/>
      <c r="CDR76" s="108"/>
      <c r="CDS76" s="108"/>
      <c r="CDT76" s="108"/>
      <c r="CDU76" s="108"/>
      <c r="CDV76" s="108"/>
      <c r="CDW76" s="108"/>
      <c r="CDX76" s="108"/>
      <c r="CDY76" s="108"/>
      <c r="CDZ76" s="108"/>
      <c r="CEA76" s="108"/>
      <c r="CEB76" s="108"/>
      <c r="CEC76" s="108"/>
      <c r="CED76" s="108"/>
      <c r="CEE76" s="108"/>
      <c r="CEF76" s="108"/>
      <c r="CEG76" s="108"/>
      <c r="CEH76" s="108"/>
      <c r="CEI76" s="108"/>
      <c r="CEJ76" s="108"/>
      <c r="CEK76" s="108"/>
      <c r="CEL76" s="108"/>
      <c r="CEM76" s="108"/>
      <c r="CEN76" s="108"/>
      <c r="CEO76" s="108"/>
      <c r="CEP76" s="108"/>
      <c r="CEQ76" s="108"/>
      <c r="CER76" s="108"/>
      <c r="CES76" s="108"/>
      <c r="CET76" s="108"/>
      <c r="CEU76" s="108"/>
      <c r="CEV76" s="108"/>
      <c r="CEW76" s="108"/>
      <c r="CEX76" s="108"/>
      <c r="CEY76" s="108"/>
      <c r="CEZ76" s="108"/>
      <c r="CFA76" s="108"/>
      <c r="CFB76" s="108"/>
      <c r="CFC76" s="108"/>
      <c r="CFD76" s="108"/>
      <c r="CFE76" s="108"/>
      <c r="CFF76" s="108"/>
      <c r="CFG76" s="108"/>
      <c r="CFH76" s="108"/>
      <c r="CFI76" s="108"/>
      <c r="CFJ76" s="108"/>
      <c r="CFK76" s="108"/>
      <c r="CFL76" s="108"/>
      <c r="CFM76" s="108"/>
      <c r="CFN76" s="108"/>
      <c r="CFO76" s="108"/>
      <c r="CFP76" s="108"/>
      <c r="CFQ76" s="108"/>
      <c r="CFR76" s="108"/>
      <c r="CFS76" s="108"/>
      <c r="CFT76" s="108"/>
      <c r="CFU76" s="108"/>
      <c r="CFV76" s="108"/>
      <c r="CFW76" s="108"/>
      <c r="CFX76" s="108"/>
      <c r="CFY76" s="108"/>
      <c r="CFZ76" s="108"/>
      <c r="CGA76" s="108"/>
      <c r="CGB76" s="108"/>
      <c r="CGC76" s="108"/>
      <c r="CGD76" s="108"/>
      <c r="CGE76" s="108"/>
      <c r="CGF76" s="108"/>
      <c r="CGG76" s="108"/>
      <c r="CGH76" s="108"/>
      <c r="CGI76" s="108"/>
      <c r="CGJ76" s="108"/>
      <c r="CGK76" s="108"/>
      <c r="CGL76" s="108"/>
      <c r="CGM76" s="108"/>
      <c r="CGN76" s="108"/>
      <c r="CGO76" s="108"/>
      <c r="CGP76" s="108"/>
      <c r="CGQ76" s="108"/>
      <c r="CGR76" s="108"/>
      <c r="CGS76" s="108"/>
      <c r="CGT76" s="108"/>
      <c r="CGU76" s="108"/>
      <c r="CGV76" s="108"/>
      <c r="CGW76" s="108"/>
      <c r="CGX76" s="108"/>
      <c r="CGY76" s="108"/>
      <c r="CGZ76" s="108"/>
      <c r="CHA76" s="108"/>
      <c r="CHB76" s="108"/>
      <c r="CHC76" s="108"/>
      <c r="CHD76" s="108"/>
      <c r="CHE76" s="108"/>
      <c r="CHF76" s="108"/>
      <c r="CHG76" s="108"/>
      <c r="CHH76" s="108"/>
      <c r="CHI76" s="108"/>
      <c r="CHJ76" s="108"/>
      <c r="CHK76" s="108"/>
      <c r="CHL76" s="108"/>
      <c r="CHM76" s="108"/>
      <c r="CHN76" s="108"/>
      <c r="CHO76" s="108"/>
      <c r="CHP76" s="108"/>
      <c r="CHQ76" s="108"/>
      <c r="CHR76" s="108"/>
      <c r="CHS76" s="108"/>
      <c r="CHT76" s="108"/>
      <c r="CHU76" s="108"/>
      <c r="CHV76" s="108"/>
      <c r="CHW76" s="108"/>
      <c r="CHX76" s="108"/>
      <c r="CHY76" s="108"/>
      <c r="CHZ76" s="108"/>
      <c r="CIA76" s="108"/>
      <c r="CIB76" s="108"/>
      <c r="CIC76" s="108"/>
      <c r="CID76" s="108"/>
      <c r="CIE76" s="108"/>
      <c r="CIF76" s="108"/>
      <c r="CIG76" s="108"/>
      <c r="CIH76" s="108"/>
      <c r="CII76" s="108"/>
      <c r="CIJ76" s="108"/>
      <c r="CIK76" s="108"/>
      <c r="CIL76" s="108"/>
      <c r="CIM76" s="108"/>
      <c r="CIN76" s="108"/>
      <c r="CIO76" s="108"/>
      <c r="CIP76" s="108"/>
      <c r="CIQ76" s="108"/>
      <c r="CIR76" s="108"/>
      <c r="CIS76" s="108"/>
      <c r="CIT76" s="108"/>
      <c r="CIU76" s="108"/>
      <c r="CIV76" s="108"/>
      <c r="CIW76" s="108"/>
      <c r="CIX76" s="108"/>
      <c r="CIY76" s="108"/>
      <c r="CIZ76" s="108"/>
      <c r="CJA76" s="108"/>
      <c r="CJB76" s="108"/>
      <c r="CJC76" s="108"/>
      <c r="CJD76" s="108"/>
      <c r="CJE76" s="108"/>
      <c r="CJF76" s="108"/>
      <c r="CJG76" s="108"/>
      <c r="CJH76" s="108"/>
      <c r="CJI76" s="108"/>
      <c r="CJJ76" s="108"/>
      <c r="CJK76" s="108"/>
      <c r="CJL76" s="108"/>
      <c r="CJM76" s="108"/>
      <c r="CJN76" s="108"/>
      <c r="CJO76" s="108"/>
      <c r="CJP76" s="108"/>
      <c r="CJQ76" s="108"/>
      <c r="CJR76" s="108"/>
      <c r="CJS76" s="108"/>
      <c r="CJT76" s="108"/>
      <c r="CJU76" s="108"/>
      <c r="CJV76" s="108"/>
      <c r="CJW76" s="108"/>
      <c r="CJX76" s="108"/>
      <c r="CJY76" s="108"/>
      <c r="CJZ76" s="108"/>
      <c r="CKA76" s="108"/>
      <c r="CKB76" s="108"/>
      <c r="CKC76" s="108"/>
      <c r="CKD76" s="108"/>
      <c r="CKE76" s="108"/>
      <c r="CKF76" s="108"/>
      <c r="CKG76" s="108"/>
      <c r="CKH76" s="108"/>
      <c r="CKI76" s="108"/>
      <c r="CKJ76" s="108"/>
      <c r="CKK76" s="108"/>
      <c r="CKL76" s="108"/>
      <c r="CKM76" s="108"/>
      <c r="CKN76" s="108"/>
      <c r="CKO76" s="108"/>
      <c r="CKP76" s="108"/>
      <c r="CKQ76" s="108"/>
      <c r="CKR76" s="108"/>
      <c r="CKS76" s="108"/>
      <c r="CKT76" s="108"/>
      <c r="CKU76" s="108"/>
      <c r="CKV76" s="108"/>
      <c r="CKW76" s="108"/>
      <c r="CKX76" s="108"/>
      <c r="CKY76" s="108"/>
      <c r="CKZ76" s="108"/>
      <c r="CLA76" s="108"/>
      <c r="CLB76" s="108"/>
      <c r="CLC76" s="108"/>
      <c r="CLD76" s="108"/>
      <c r="CLE76" s="108"/>
      <c r="CLF76" s="108"/>
      <c r="CLG76" s="108"/>
      <c r="CLH76" s="108"/>
      <c r="CLI76" s="108"/>
      <c r="CLJ76" s="108"/>
      <c r="CLK76" s="108"/>
      <c r="CLL76" s="108"/>
      <c r="CLM76" s="108"/>
      <c r="CLN76" s="108"/>
      <c r="CLO76" s="108"/>
      <c r="CLP76" s="108"/>
      <c r="CLQ76" s="108"/>
      <c r="CLR76" s="108"/>
      <c r="CLS76" s="108"/>
      <c r="CLT76" s="108"/>
      <c r="CLU76" s="108"/>
      <c r="CLV76" s="108"/>
      <c r="CLW76" s="108"/>
      <c r="CLX76" s="108"/>
      <c r="CLY76" s="108"/>
      <c r="CLZ76" s="108"/>
      <c r="CMA76" s="108"/>
      <c r="CMB76" s="108"/>
      <c r="CMC76" s="108"/>
      <c r="CMD76" s="108"/>
      <c r="CME76" s="108"/>
      <c r="CMF76" s="108"/>
      <c r="CMG76" s="108"/>
      <c r="CMH76" s="108"/>
      <c r="CMI76" s="108"/>
      <c r="CMJ76" s="108"/>
      <c r="CMK76" s="108"/>
      <c r="CML76" s="108"/>
      <c r="CMM76" s="108"/>
      <c r="CMN76" s="108"/>
      <c r="CMO76" s="108"/>
      <c r="CMP76" s="108"/>
      <c r="CMQ76" s="108"/>
      <c r="CMR76" s="108"/>
      <c r="CMS76" s="108"/>
      <c r="CMT76" s="108"/>
      <c r="CMU76" s="108"/>
      <c r="CMV76" s="108"/>
      <c r="CMW76" s="108"/>
      <c r="CMX76" s="108"/>
      <c r="CMY76" s="108"/>
      <c r="CMZ76" s="108"/>
      <c r="CNA76" s="108"/>
      <c r="CNB76" s="108"/>
      <c r="CNC76" s="108"/>
      <c r="CND76" s="108"/>
      <c r="CNE76" s="108"/>
      <c r="CNF76" s="108"/>
      <c r="CNG76" s="108"/>
      <c r="CNH76" s="108"/>
      <c r="CNI76" s="108"/>
      <c r="CNJ76" s="108"/>
      <c r="CNK76" s="108"/>
      <c r="CNL76" s="108"/>
      <c r="CNM76" s="108"/>
      <c r="CNN76" s="108"/>
      <c r="CNO76" s="108"/>
      <c r="CNP76" s="108"/>
      <c r="CNQ76" s="108"/>
      <c r="CNR76" s="108"/>
      <c r="CNS76" s="108"/>
      <c r="CNT76" s="108"/>
      <c r="CNU76" s="108"/>
      <c r="CNV76" s="108"/>
      <c r="CNW76" s="108"/>
      <c r="CNX76" s="108"/>
      <c r="CNY76" s="108"/>
      <c r="CNZ76" s="108"/>
      <c r="COA76" s="108"/>
      <c r="COB76" s="108"/>
      <c r="COC76" s="108"/>
      <c r="COD76" s="108"/>
      <c r="COE76" s="108"/>
      <c r="COF76" s="108"/>
      <c r="COG76" s="108"/>
      <c r="COH76" s="108"/>
      <c r="COI76" s="108"/>
      <c r="COJ76" s="108"/>
      <c r="COK76" s="108"/>
      <c r="COL76" s="108"/>
      <c r="COM76" s="108"/>
      <c r="CON76" s="108"/>
      <c r="COO76" s="108"/>
      <c r="COP76" s="108"/>
      <c r="COQ76" s="108"/>
      <c r="COR76" s="108"/>
      <c r="COS76" s="108"/>
      <c r="COT76" s="108"/>
      <c r="COU76" s="108"/>
      <c r="COV76" s="108"/>
      <c r="COW76" s="108"/>
      <c r="COX76" s="108"/>
      <c r="COY76" s="108"/>
      <c r="COZ76" s="108"/>
      <c r="CPA76" s="108"/>
      <c r="CPB76" s="108"/>
      <c r="CPC76" s="108"/>
      <c r="CPD76" s="108"/>
      <c r="CPE76" s="108"/>
      <c r="CPF76" s="108"/>
      <c r="CPG76" s="108"/>
      <c r="CPH76" s="108"/>
      <c r="CPI76" s="108"/>
      <c r="CPJ76" s="108"/>
      <c r="CPK76" s="108"/>
      <c r="CPL76" s="108"/>
      <c r="CPM76" s="108"/>
      <c r="CPN76" s="108"/>
      <c r="CPO76" s="108"/>
      <c r="CPP76" s="108"/>
      <c r="CPQ76" s="108"/>
      <c r="CPR76" s="108"/>
      <c r="CPS76" s="108"/>
      <c r="CPT76" s="108"/>
      <c r="CPU76" s="108"/>
      <c r="CPV76" s="108"/>
      <c r="CPW76" s="108"/>
      <c r="CPX76" s="108"/>
      <c r="CPY76" s="108"/>
      <c r="CPZ76" s="108"/>
      <c r="CQA76" s="108"/>
      <c r="CQB76" s="108"/>
      <c r="CQC76" s="108"/>
      <c r="CQD76" s="108"/>
      <c r="CQE76" s="108"/>
      <c r="CQF76" s="108"/>
      <c r="CQG76" s="108"/>
      <c r="CQH76" s="108"/>
      <c r="CQI76" s="108"/>
      <c r="CQJ76" s="108"/>
      <c r="CQK76" s="108"/>
      <c r="CQL76" s="108"/>
      <c r="CQM76" s="108"/>
      <c r="CQN76" s="108"/>
      <c r="CQO76" s="108"/>
      <c r="CQP76" s="108"/>
      <c r="CQQ76" s="108"/>
      <c r="CQR76" s="108"/>
      <c r="CQS76" s="108"/>
      <c r="CQT76" s="108"/>
      <c r="CQU76" s="108"/>
      <c r="CQV76" s="108"/>
      <c r="CQW76" s="108"/>
      <c r="CQX76" s="108"/>
      <c r="CQY76" s="108"/>
      <c r="CQZ76" s="108"/>
      <c r="CRA76" s="108"/>
      <c r="CRB76" s="108"/>
      <c r="CRC76" s="108"/>
      <c r="CRD76" s="108"/>
      <c r="CRE76" s="108"/>
      <c r="CRF76" s="108"/>
      <c r="CRG76" s="108"/>
      <c r="CRH76" s="108"/>
      <c r="CRI76" s="108"/>
      <c r="CRJ76" s="108"/>
      <c r="CRK76" s="108"/>
      <c r="CRL76" s="108"/>
      <c r="CRM76" s="108"/>
      <c r="CRN76" s="108"/>
      <c r="CRO76" s="108"/>
      <c r="CRP76" s="108"/>
      <c r="CRQ76" s="108"/>
      <c r="CRR76" s="108"/>
      <c r="CRS76" s="108"/>
      <c r="CRT76" s="108"/>
      <c r="CRU76" s="108"/>
      <c r="CRV76" s="108"/>
      <c r="CRW76" s="108"/>
      <c r="CRX76" s="108"/>
      <c r="CRY76" s="108"/>
      <c r="CRZ76" s="108"/>
      <c r="CSA76" s="108"/>
      <c r="CSB76" s="108"/>
      <c r="CSC76" s="108"/>
      <c r="CSD76" s="108"/>
      <c r="CSE76" s="108"/>
      <c r="CSF76" s="108"/>
      <c r="CSG76" s="108"/>
      <c r="CSH76" s="108"/>
      <c r="CSI76" s="108"/>
      <c r="CSJ76" s="108"/>
      <c r="CSK76" s="108"/>
      <c r="CSL76" s="108"/>
      <c r="CSM76" s="108"/>
      <c r="CSN76" s="108"/>
      <c r="CSO76" s="108"/>
      <c r="CSP76" s="108"/>
      <c r="CSQ76" s="108"/>
      <c r="CSR76" s="108"/>
      <c r="CSS76" s="108"/>
      <c r="CST76" s="108"/>
      <c r="CSU76" s="108"/>
      <c r="CSV76" s="108"/>
      <c r="CSW76" s="108"/>
      <c r="CSX76" s="108"/>
      <c r="CSY76" s="108"/>
      <c r="CSZ76" s="108"/>
      <c r="CTA76" s="108"/>
      <c r="CTB76" s="108"/>
      <c r="CTC76" s="108"/>
      <c r="CTD76" s="108"/>
      <c r="CTE76" s="108"/>
      <c r="CTF76" s="108"/>
      <c r="CTG76" s="108"/>
      <c r="CTH76" s="108"/>
      <c r="CTI76" s="108"/>
      <c r="CTJ76" s="108"/>
      <c r="CTK76" s="108"/>
      <c r="CTL76" s="108"/>
      <c r="CTM76" s="108"/>
      <c r="CTN76" s="108"/>
      <c r="CTO76" s="108"/>
      <c r="CTP76" s="108"/>
      <c r="CTQ76" s="108"/>
      <c r="CTR76" s="108"/>
      <c r="CTS76" s="108"/>
      <c r="CTT76" s="108"/>
      <c r="CTU76" s="108"/>
      <c r="CTV76" s="108"/>
      <c r="CTW76" s="108"/>
      <c r="CTX76" s="108"/>
      <c r="CTY76" s="108"/>
      <c r="CTZ76" s="108"/>
      <c r="CUA76" s="108"/>
      <c r="CUB76" s="108"/>
      <c r="CUC76" s="108"/>
      <c r="CUD76" s="108"/>
      <c r="CUE76" s="108"/>
      <c r="CUF76" s="108"/>
      <c r="CUG76" s="108"/>
      <c r="CUH76" s="108"/>
      <c r="CUI76" s="108"/>
      <c r="CUJ76" s="108"/>
      <c r="CUK76" s="108"/>
      <c r="CUL76" s="108"/>
      <c r="CUM76" s="108"/>
      <c r="CUN76" s="108"/>
      <c r="CUO76" s="108"/>
      <c r="CUP76" s="108"/>
      <c r="CUQ76" s="108"/>
      <c r="CUR76" s="108"/>
      <c r="CUS76" s="108"/>
      <c r="CUT76" s="108"/>
      <c r="CUU76" s="108"/>
      <c r="CUV76" s="108"/>
      <c r="CUW76" s="108"/>
      <c r="CUX76" s="108"/>
      <c r="CUY76" s="108"/>
      <c r="CUZ76" s="108"/>
      <c r="CVA76" s="108"/>
      <c r="CVB76" s="108"/>
      <c r="CVC76" s="108"/>
      <c r="CVD76" s="108"/>
      <c r="CVE76" s="108"/>
      <c r="CVF76" s="108"/>
      <c r="CVG76" s="108"/>
      <c r="CVH76" s="108"/>
      <c r="CVI76" s="108"/>
      <c r="CVJ76" s="108"/>
      <c r="CVK76" s="108"/>
      <c r="CVL76" s="108"/>
      <c r="CVM76" s="108"/>
      <c r="CVN76" s="108"/>
      <c r="CVO76" s="108"/>
      <c r="CVP76" s="108"/>
      <c r="CVQ76" s="108"/>
      <c r="CVR76" s="108"/>
      <c r="CVS76" s="108"/>
      <c r="CVT76" s="108"/>
      <c r="CVU76" s="108"/>
      <c r="CVV76" s="108"/>
      <c r="CVW76" s="108"/>
      <c r="CVX76" s="108"/>
      <c r="CVY76" s="108"/>
      <c r="CVZ76" s="108"/>
      <c r="CWA76" s="108"/>
      <c r="CWB76" s="108"/>
      <c r="CWC76" s="108"/>
      <c r="CWD76" s="108"/>
      <c r="CWE76" s="108"/>
      <c r="CWF76" s="108"/>
      <c r="CWG76" s="108"/>
      <c r="CWH76" s="108"/>
      <c r="CWI76" s="108"/>
      <c r="CWJ76" s="108"/>
      <c r="CWK76" s="108"/>
      <c r="CWL76" s="108"/>
      <c r="CWM76" s="108"/>
      <c r="CWN76" s="108"/>
      <c r="CWO76" s="108"/>
      <c r="CWP76" s="108"/>
      <c r="CWQ76" s="108"/>
      <c r="CWR76" s="108"/>
      <c r="CWS76" s="108"/>
      <c r="CWT76" s="108"/>
      <c r="CWU76" s="108"/>
      <c r="CWV76" s="108"/>
      <c r="CWW76" s="108"/>
      <c r="CWX76" s="108"/>
      <c r="CWY76" s="108"/>
      <c r="CWZ76" s="108"/>
      <c r="CXA76" s="108"/>
      <c r="CXB76" s="108"/>
      <c r="CXC76" s="108"/>
      <c r="CXD76" s="108"/>
      <c r="CXE76" s="108"/>
      <c r="CXF76" s="108"/>
      <c r="CXG76" s="108"/>
      <c r="CXH76" s="108"/>
      <c r="CXI76" s="108"/>
      <c r="CXJ76" s="108"/>
      <c r="CXK76" s="108"/>
      <c r="CXL76" s="108"/>
      <c r="CXM76" s="108"/>
      <c r="CXN76" s="108"/>
      <c r="CXO76" s="108"/>
      <c r="CXP76" s="108"/>
      <c r="CXQ76" s="108"/>
      <c r="CXR76" s="108"/>
      <c r="CXS76" s="108"/>
      <c r="CXT76" s="108"/>
      <c r="CXU76" s="108"/>
      <c r="CXV76" s="108"/>
      <c r="CXW76" s="108"/>
      <c r="CXX76" s="108"/>
      <c r="CXY76" s="108"/>
      <c r="CXZ76" s="108"/>
      <c r="CYA76" s="108"/>
      <c r="CYB76" s="108"/>
      <c r="CYC76" s="108"/>
      <c r="CYD76" s="108"/>
      <c r="CYE76" s="108"/>
      <c r="CYF76" s="108"/>
      <c r="CYG76" s="108"/>
      <c r="CYH76" s="108"/>
      <c r="CYI76" s="108"/>
      <c r="CYJ76" s="108"/>
      <c r="CYK76" s="108"/>
      <c r="CYL76" s="108"/>
      <c r="CYM76" s="108"/>
      <c r="CYN76" s="108"/>
      <c r="CYO76" s="108"/>
      <c r="CYP76" s="108"/>
      <c r="CYQ76" s="108"/>
      <c r="CYR76" s="108"/>
      <c r="CYS76" s="108"/>
      <c r="CYT76" s="108"/>
      <c r="CYU76" s="108"/>
      <c r="CYV76" s="108"/>
      <c r="CYW76" s="108"/>
      <c r="CYX76" s="108"/>
      <c r="CYY76" s="108"/>
      <c r="CYZ76" s="108"/>
      <c r="CZA76" s="108"/>
      <c r="CZB76" s="108"/>
      <c r="CZC76" s="108"/>
      <c r="CZD76" s="108"/>
      <c r="CZE76" s="108"/>
      <c r="CZF76" s="108"/>
      <c r="CZG76" s="108"/>
      <c r="CZH76" s="108"/>
      <c r="CZI76" s="108"/>
      <c r="CZJ76" s="108"/>
      <c r="CZK76" s="108"/>
      <c r="CZL76" s="108"/>
      <c r="CZM76" s="108"/>
      <c r="CZN76" s="108"/>
      <c r="CZO76" s="108"/>
      <c r="CZP76" s="108"/>
      <c r="CZQ76" s="108"/>
      <c r="CZR76" s="108"/>
      <c r="CZS76" s="108"/>
      <c r="CZT76" s="108"/>
      <c r="CZU76" s="108"/>
      <c r="CZV76" s="108"/>
      <c r="CZW76" s="108"/>
      <c r="CZX76" s="108"/>
      <c r="CZY76" s="108"/>
      <c r="CZZ76" s="108"/>
      <c r="DAA76" s="108"/>
      <c r="DAB76" s="108"/>
      <c r="DAC76" s="108"/>
      <c r="DAD76" s="108"/>
      <c r="DAE76" s="108"/>
      <c r="DAF76" s="108"/>
      <c r="DAG76" s="108"/>
      <c r="DAH76" s="108"/>
      <c r="DAI76" s="108"/>
      <c r="DAJ76" s="108"/>
      <c r="DAK76" s="108"/>
      <c r="DAL76" s="108"/>
      <c r="DAM76" s="108"/>
      <c r="DAN76" s="108"/>
      <c r="DAO76" s="108"/>
      <c r="DAP76" s="108"/>
      <c r="DAQ76" s="108"/>
      <c r="DAR76" s="108"/>
      <c r="DAS76" s="108"/>
      <c r="DAT76" s="108"/>
      <c r="DAU76" s="108"/>
      <c r="DAV76" s="108"/>
      <c r="DAW76" s="108"/>
      <c r="DAX76" s="108"/>
      <c r="DAY76" s="108"/>
      <c r="DAZ76" s="108"/>
      <c r="DBA76" s="108"/>
      <c r="DBB76" s="108"/>
      <c r="DBC76" s="108"/>
      <c r="DBD76" s="108"/>
      <c r="DBE76" s="108"/>
      <c r="DBF76" s="108"/>
      <c r="DBG76" s="108"/>
      <c r="DBH76" s="108"/>
      <c r="DBI76" s="108"/>
      <c r="DBJ76" s="108"/>
      <c r="DBK76" s="108"/>
      <c r="DBL76" s="108"/>
      <c r="DBM76" s="108"/>
      <c r="DBN76" s="108"/>
      <c r="DBO76" s="108"/>
      <c r="DBP76" s="108"/>
      <c r="DBQ76" s="108"/>
      <c r="DBR76" s="108"/>
      <c r="DBS76" s="108"/>
      <c r="DBT76" s="108"/>
      <c r="DBU76" s="108"/>
      <c r="DBV76" s="108"/>
      <c r="DBW76" s="108"/>
      <c r="DBX76" s="108"/>
      <c r="DBY76" s="108"/>
      <c r="DBZ76" s="108"/>
      <c r="DCA76" s="108"/>
      <c r="DCB76" s="108"/>
      <c r="DCC76" s="108"/>
      <c r="DCD76" s="108"/>
      <c r="DCE76" s="108"/>
      <c r="DCF76" s="108"/>
      <c r="DCG76" s="108"/>
      <c r="DCH76" s="108"/>
      <c r="DCI76" s="108"/>
      <c r="DCJ76" s="108"/>
      <c r="DCK76" s="108"/>
      <c r="DCL76" s="108"/>
      <c r="DCM76" s="108"/>
      <c r="DCN76" s="108"/>
      <c r="DCO76" s="108"/>
      <c r="DCP76" s="108"/>
      <c r="DCQ76" s="108"/>
      <c r="DCR76" s="108"/>
      <c r="DCS76" s="108"/>
      <c r="DCT76" s="108"/>
      <c r="DCU76" s="108"/>
      <c r="DCV76" s="108"/>
      <c r="DCW76" s="108"/>
      <c r="DCX76" s="108"/>
      <c r="DCY76" s="108"/>
      <c r="DCZ76" s="108"/>
      <c r="DDA76" s="108"/>
      <c r="DDB76" s="108"/>
      <c r="DDC76" s="108"/>
      <c r="DDD76" s="108"/>
      <c r="DDE76" s="108"/>
      <c r="DDF76" s="108"/>
      <c r="DDG76" s="108"/>
      <c r="DDH76" s="108"/>
      <c r="DDI76" s="108"/>
      <c r="DDJ76" s="108"/>
      <c r="DDK76" s="108"/>
      <c r="DDL76" s="108"/>
      <c r="DDM76" s="108"/>
      <c r="DDN76" s="108"/>
      <c r="DDO76" s="108"/>
      <c r="DDP76" s="108"/>
      <c r="DDQ76" s="108"/>
      <c r="DDR76" s="108"/>
      <c r="DDS76" s="108"/>
      <c r="DDT76" s="108"/>
      <c r="DDU76" s="108"/>
      <c r="DDV76" s="108"/>
      <c r="DDW76" s="108"/>
      <c r="DDX76" s="108"/>
      <c r="DDY76" s="108"/>
      <c r="DDZ76" s="108"/>
      <c r="DEA76" s="108"/>
      <c r="DEB76" s="108"/>
      <c r="DEC76" s="108"/>
      <c r="DED76" s="108"/>
      <c r="DEE76" s="108"/>
      <c r="DEF76" s="108"/>
      <c r="DEG76" s="108"/>
      <c r="DEH76" s="108"/>
      <c r="DEI76" s="108"/>
      <c r="DEJ76" s="108"/>
      <c r="DEK76" s="108"/>
      <c r="DEL76" s="108"/>
      <c r="DEM76" s="108"/>
      <c r="DEN76" s="108"/>
      <c r="DEO76" s="108"/>
      <c r="DEP76" s="108"/>
      <c r="DEQ76" s="108"/>
      <c r="DER76" s="108"/>
      <c r="DES76" s="108"/>
      <c r="DET76" s="108"/>
      <c r="DEU76" s="108"/>
      <c r="DEV76" s="108"/>
      <c r="DEW76" s="108"/>
      <c r="DEX76" s="108"/>
      <c r="DEY76" s="108"/>
      <c r="DEZ76" s="108"/>
      <c r="DFA76" s="108"/>
      <c r="DFB76" s="108"/>
      <c r="DFC76" s="108"/>
      <c r="DFD76" s="108"/>
      <c r="DFE76" s="108"/>
      <c r="DFF76" s="108"/>
      <c r="DFG76" s="108"/>
      <c r="DFH76" s="108"/>
      <c r="DFI76" s="108"/>
      <c r="DFJ76" s="108"/>
      <c r="DFK76" s="108"/>
      <c r="DFL76" s="108"/>
      <c r="DFM76" s="108"/>
      <c r="DFN76" s="108"/>
      <c r="DFO76" s="108"/>
      <c r="DFP76" s="108"/>
      <c r="DFQ76" s="108"/>
      <c r="DFR76" s="108"/>
      <c r="DFS76" s="108"/>
      <c r="DFT76" s="108"/>
      <c r="DFU76" s="108"/>
      <c r="DFV76" s="108"/>
      <c r="DFW76" s="108"/>
      <c r="DFX76" s="108"/>
      <c r="DFY76" s="108"/>
      <c r="DFZ76" s="108"/>
      <c r="DGA76" s="108"/>
      <c r="DGB76" s="108"/>
      <c r="DGC76" s="108"/>
      <c r="DGD76" s="108"/>
      <c r="DGE76" s="108"/>
      <c r="DGF76" s="108"/>
      <c r="DGG76" s="108"/>
      <c r="DGH76" s="108"/>
      <c r="DGI76" s="108"/>
      <c r="DGJ76" s="108"/>
      <c r="DGK76" s="108"/>
      <c r="DGL76" s="108"/>
      <c r="DGM76" s="108"/>
      <c r="DGN76" s="108"/>
      <c r="DGO76" s="108"/>
      <c r="DGP76" s="108"/>
      <c r="DGQ76" s="108"/>
      <c r="DGR76" s="108"/>
      <c r="DGS76" s="108"/>
      <c r="DGT76" s="108"/>
      <c r="DGU76" s="108"/>
      <c r="DGV76" s="108"/>
      <c r="DGW76" s="108"/>
      <c r="DGX76" s="108"/>
      <c r="DGY76" s="108"/>
      <c r="DGZ76" s="108"/>
      <c r="DHA76" s="108"/>
      <c r="DHB76" s="108"/>
      <c r="DHC76" s="108"/>
      <c r="DHD76" s="108"/>
      <c r="DHE76" s="108"/>
      <c r="DHF76" s="108"/>
      <c r="DHG76" s="108"/>
      <c r="DHH76" s="108"/>
      <c r="DHI76" s="108"/>
      <c r="DHJ76" s="108"/>
      <c r="DHK76" s="108"/>
      <c r="DHL76" s="108"/>
      <c r="DHM76" s="108"/>
      <c r="DHN76" s="108"/>
      <c r="DHO76" s="108"/>
      <c r="DHP76" s="108"/>
      <c r="DHQ76" s="108"/>
      <c r="DHR76" s="108"/>
      <c r="DHS76" s="108"/>
      <c r="DHT76" s="108"/>
      <c r="DHU76" s="108"/>
      <c r="DHV76" s="108"/>
      <c r="DHW76" s="108"/>
      <c r="DHX76" s="108"/>
      <c r="DHY76" s="108"/>
      <c r="DHZ76" s="108"/>
      <c r="DIA76" s="108"/>
      <c r="DIB76" s="108"/>
      <c r="DIC76" s="108"/>
      <c r="DID76" s="108"/>
      <c r="DIE76" s="108"/>
      <c r="DIF76" s="108"/>
      <c r="DIG76" s="108"/>
      <c r="DIH76" s="108"/>
      <c r="DII76" s="108"/>
      <c r="DIJ76" s="108"/>
      <c r="DIK76" s="108"/>
      <c r="DIL76" s="108"/>
      <c r="DIM76" s="108"/>
      <c r="DIN76" s="108"/>
      <c r="DIO76" s="108"/>
      <c r="DIP76" s="108"/>
      <c r="DIQ76" s="108"/>
      <c r="DIR76" s="108"/>
      <c r="DIS76" s="108"/>
      <c r="DIT76" s="108"/>
      <c r="DIU76" s="108"/>
      <c r="DIV76" s="108"/>
      <c r="DIW76" s="108"/>
      <c r="DIX76" s="108"/>
      <c r="DIY76" s="108"/>
      <c r="DIZ76" s="108"/>
      <c r="DJA76" s="108"/>
      <c r="DJB76" s="108"/>
      <c r="DJC76" s="108"/>
      <c r="DJD76" s="108"/>
      <c r="DJE76" s="108"/>
      <c r="DJF76" s="108"/>
      <c r="DJG76" s="108"/>
      <c r="DJH76" s="108"/>
      <c r="DJI76" s="108"/>
      <c r="DJJ76" s="108"/>
      <c r="DJK76" s="108"/>
      <c r="DJL76" s="108"/>
      <c r="DJM76" s="108"/>
      <c r="DJN76" s="108"/>
      <c r="DJO76" s="108"/>
      <c r="DJP76" s="108"/>
      <c r="DJQ76" s="108"/>
      <c r="DJR76" s="108"/>
      <c r="DJS76" s="108"/>
      <c r="DJT76" s="108"/>
      <c r="DJU76" s="108"/>
      <c r="DJV76" s="108"/>
      <c r="DJW76" s="108"/>
      <c r="DJX76" s="108"/>
      <c r="DJY76" s="108"/>
      <c r="DJZ76" s="108"/>
      <c r="DKA76" s="108"/>
      <c r="DKB76" s="108"/>
      <c r="DKC76" s="108"/>
      <c r="DKD76" s="108"/>
      <c r="DKE76" s="108"/>
      <c r="DKF76" s="108"/>
      <c r="DKG76" s="108"/>
      <c r="DKH76" s="108"/>
      <c r="DKI76" s="108"/>
      <c r="DKJ76" s="108"/>
      <c r="DKK76" s="108"/>
      <c r="DKL76" s="108"/>
      <c r="DKM76" s="108"/>
      <c r="DKN76" s="108"/>
      <c r="DKO76" s="108"/>
      <c r="DKP76" s="108"/>
      <c r="DKQ76" s="108"/>
      <c r="DKR76" s="108"/>
      <c r="DKS76" s="108"/>
      <c r="DKT76" s="108"/>
      <c r="DKU76" s="108"/>
      <c r="DKV76" s="108"/>
      <c r="DKW76" s="108"/>
      <c r="DKX76" s="108"/>
      <c r="DKY76" s="108"/>
      <c r="DKZ76" s="108"/>
      <c r="DLA76" s="108"/>
      <c r="DLB76" s="108"/>
      <c r="DLC76" s="108"/>
      <c r="DLD76" s="108"/>
      <c r="DLE76" s="108"/>
      <c r="DLF76" s="108"/>
      <c r="DLG76" s="108"/>
      <c r="DLH76" s="108"/>
      <c r="DLI76" s="108"/>
      <c r="DLJ76" s="108"/>
      <c r="DLK76" s="108"/>
      <c r="DLL76" s="108"/>
      <c r="DLM76" s="108"/>
      <c r="DLN76" s="108"/>
      <c r="DLO76" s="108"/>
      <c r="DLP76" s="108"/>
      <c r="DLQ76" s="108"/>
      <c r="DLR76" s="108"/>
      <c r="DLS76" s="108"/>
      <c r="DLT76" s="108"/>
      <c r="DLU76" s="108"/>
      <c r="DLV76" s="108"/>
      <c r="DLW76" s="108"/>
      <c r="DLX76" s="108"/>
      <c r="DLY76" s="108"/>
      <c r="DLZ76" s="108"/>
      <c r="DMA76" s="108"/>
      <c r="DMB76" s="108"/>
      <c r="DMC76" s="108"/>
      <c r="DMD76" s="108"/>
      <c r="DME76" s="108"/>
      <c r="DMF76" s="108"/>
      <c r="DMG76" s="108"/>
      <c r="DMH76" s="108"/>
      <c r="DMI76" s="108"/>
      <c r="DMJ76" s="108"/>
      <c r="DMK76" s="108"/>
      <c r="DML76" s="108"/>
      <c r="DMM76" s="108"/>
      <c r="DMN76" s="108"/>
      <c r="DMO76" s="108"/>
      <c r="DMP76" s="108"/>
      <c r="DMQ76" s="108"/>
      <c r="DMR76" s="108"/>
      <c r="DMS76" s="108"/>
      <c r="DMT76" s="108"/>
      <c r="DMU76" s="108"/>
      <c r="DMV76" s="108"/>
      <c r="DMW76" s="108"/>
      <c r="DMX76" s="108"/>
      <c r="DMY76" s="108"/>
      <c r="DMZ76" s="108"/>
      <c r="DNA76" s="108"/>
      <c r="DNB76" s="108"/>
      <c r="DNC76" s="108"/>
      <c r="DND76" s="108"/>
      <c r="DNE76" s="108"/>
      <c r="DNF76" s="108"/>
      <c r="DNG76" s="108"/>
      <c r="DNH76" s="108"/>
      <c r="DNI76" s="108"/>
      <c r="DNJ76" s="108"/>
      <c r="DNK76" s="108"/>
      <c r="DNL76" s="108"/>
      <c r="DNM76" s="108"/>
      <c r="DNN76" s="108"/>
      <c r="DNO76" s="108"/>
      <c r="DNP76" s="108"/>
      <c r="DNQ76" s="108"/>
      <c r="DNR76" s="108"/>
      <c r="DNS76" s="108"/>
      <c r="DNT76" s="108"/>
      <c r="DNU76" s="108"/>
      <c r="DNV76" s="108"/>
      <c r="DNW76" s="108"/>
      <c r="DNX76" s="108"/>
      <c r="DNY76" s="108"/>
      <c r="DNZ76" s="108"/>
      <c r="DOA76" s="108"/>
      <c r="DOB76" s="108"/>
      <c r="DOC76" s="108"/>
      <c r="DOD76" s="108"/>
      <c r="DOE76" s="108"/>
      <c r="DOF76" s="108"/>
      <c r="DOG76" s="108"/>
      <c r="DOH76" s="108"/>
      <c r="DOI76" s="108"/>
      <c r="DOJ76" s="108"/>
      <c r="DOK76" s="108"/>
      <c r="DOL76" s="108"/>
      <c r="DOM76" s="108"/>
      <c r="DON76" s="108"/>
      <c r="DOO76" s="108"/>
      <c r="DOP76" s="108"/>
      <c r="DOQ76" s="108"/>
      <c r="DOR76" s="108"/>
      <c r="DOS76" s="108"/>
      <c r="DOT76" s="108"/>
      <c r="DOU76" s="108"/>
      <c r="DOV76" s="108"/>
      <c r="DOW76" s="108"/>
      <c r="DOX76" s="108"/>
      <c r="DOY76" s="108"/>
      <c r="DOZ76" s="108"/>
      <c r="DPA76" s="108"/>
      <c r="DPB76" s="108"/>
      <c r="DPC76" s="108"/>
      <c r="DPD76" s="108"/>
      <c r="DPE76" s="108"/>
      <c r="DPF76" s="108"/>
      <c r="DPG76" s="108"/>
      <c r="DPH76" s="108"/>
      <c r="DPI76" s="108"/>
      <c r="DPJ76" s="108"/>
      <c r="DPK76" s="108"/>
      <c r="DPL76" s="108"/>
      <c r="DPM76" s="108"/>
      <c r="DPN76" s="108"/>
      <c r="DPO76" s="108"/>
      <c r="DPP76" s="108"/>
      <c r="DPQ76" s="108"/>
      <c r="DPR76" s="108"/>
      <c r="DPS76" s="108"/>
      <c r="DPT76" s="108"/>
      <c r="DPU76" s="108"/>
      <c r="DPV76" s="108"/>
      <c r="DPW76" s="108"/>
      <c r="DPX76" s="108"/>
      <c r="DPY76" s="108"/>
      <c r="DPZ76" s="108"/>
      <c r="DQA76" s="108"/>
      <c r="DQB76" s="108"/>
      <c r="DQC76" s="108"/>
      <c r="DQD76" s="108"/>
      <c r="DQE76" s="108"/>
      <c r="DQF76" s="108"/>
      <c r="DQG76" s="108"/>
      <c r="DQH76" s="108"/>
      <c r="DQI76" s="108"/>
      <c r="DQJ76" s="108"/>
      <c r="DQK76" s="108"/>
      <c r="DQL76" s="108"/>
      <c r="DQM76" s="108"/>
      <c r="DQN76" s="108"/>
      <c r="DQO76" s="108"/>
      <c r="DQP76" s="108"/>
      <c r="DQQ76" s="108"/>
      <c r="DQR76" s="108"/>
      <c r="DQS76" s="108"/>
      <c r="DQT76" s="108"/>
      <c r="DQU76" s="108"/>
      <c r="DQV76" s="108"/>
      <c r="DQW76" s="108"/>
      <c r="DQX76" s="108"/>
      <c r="DQY76" s="108"/>
      <c r="DQZ76" s="108"/>
      <c r="DRA76" s="108"/>
      <c r="DRB76" s="108"/>
      <c r="DRC76" s="108"/>
      <c r="DRD76" s="108"/>
      <c r="DRE76" s="108"/>
      <c r="DRF76" s="108"/>
      <c r="DRG76" s="108"/>
      <c r="DRH76" s="108"/>
      <c r="DRI76" s="108"/>
      <c r="DRJ76" s="108"/>
      <c r="DRK76" s="108"/>
      <c r="DRL76" s="108"/>
      <c r="DRM76" s="108"/>
      <c r="DRN76" s="108"/>
      <c r="DRO76" s="108"/>
      <c r="DRP76" s="108"/>
      <c r="DRQ76" s="108"/>
      <c r="DRR76" s="108"/>
      <c r="DRS76" s="108"/>
      <c r="DRT76" s="108"/>
      <c r="DRU76" s="108"/>
      <c r="DRV76" s="108"/>
      <c r="DRW76" s="108"/>
      <c r="DRX76" s="108"/>
      <c r="DRY76" s="108"/>
      <c r="DRZ76" s="108"/>
      <c r="DSA76" s="108"/>
      <c r="DSB76" s="108"/>
      <c r="DSC76" s="108"/>
      <c r="DSD76" s="108"/>
      <c r="DSE76" s="108"/>
      <c r="DSF76" s="108"/>
      <c r="DSG76" s="108"/>
      <c r="DSH76" s="108"/>
      <c r="DSI76" s="108"/>
      <c r="DSJ76" s="108"/>
      <c r="DSK76" s="108"/>
      <c r="DSL76" s="108"/>
      <c r="DSM76" s="108"/>
      <c r="DSN76" s="108"/>
      <c r="DSO76" s="108"/>
      <c r="DSP76" s="108"/>
      <c r="DSQ76" s="108"/>
      <c r="DSR76" s="108"/>
      <c r="DSS76" s="108"/>
      <c r="DST76" s="108"/>
      <c r="DSU76" s="108"/>
      <c r="DSV76" s="108"/>
      <c r="DSW76" s="108"/>
      <c r="DSX76" s="108"/>
      <c r="DSY76" s="108"/>
      <c r="DSZ76" s="108"/>
      <c r="DTA76" s="108"/>
      <c r="DTB76" s="108"/>
      <c r="DTC76" s="108"/>
      <c r="DTD76" s="108"/>
      <c r="DTE76" s="108"/>
      <c r="DTF76" s="108"/>
      <c r="DTG76" s="108"/>
      <c r="DTH76" s="108"/>
      <c r="DTI76" s="108"/>
      <c r="DTJ76" s="108"/>
      <c r="DTK76" s="108"/>
      <c r="DTL76" s="108"/>
      <c r="DTM76" s="108"/>
      <c r="DTN76" s="108"/>
      <c r="DTO76" s="108"/>
      <c r="DTP76" s="108"/>
      <c r="DTQ76" s="108"/>
      <c r="DTR76" s="108"/>
      <c r="DTS76" s="108"/>
      <c r="DTT76" s="108"/>
      <c r="DTU76" s="108"/>
      <c r="DTV76" s="108"/>
      <c r="DTW76" s="108"/>
      <c r="DTX76" s="108"/>
      <c r="DTY76" s="108"/>
      <c r="DTZ76" s="108"/>
      <c r="DUA76" s="108"/>
      <c r="DUB76" s="108"/>
      <c r="DUC76" s="108"/>
      <c r="DUD76" s="108"/>
      <c r="DUE76" s="108"/>
      <c r="DUF76" s="108"/>
      <c r="DUG76" s="108"/>
      <c r="DUH76" s="108"/>
      <c r="DUI76" s="108"/>
      <c r="DUJ76" s="108"/>
      <c r="DUK76" s="108"/>
      <c r="DUL76" s="108"/>
      <c r="DUM76" s="108"/>
      <c r="DUN76" s="108"/>
      <c r="DUO76" s="108"/>
      <c r="DUP76" s="108"/>
      <c r="DUQ76" s="108"/>
      <c r="DUR76" s="108"/>
      <c r="DUS76" s="108"/>
      <c r="DUT76" s="108"/>
      <c r="DUU76" s="108"/>
      <c r="DUV76" s="108"/>
      <c r="DUW76" s="108"/>
      <c r="DUX76" s="108"/>
      <c r="DUY76" s="108"/>
      <c r="DUZ76" s="108"/>
      <c r="DVA76" s="108"/>
      <c r="DVB76" s="108"/>
      <c r="DVC76" s="108"/>
      <c r="DVD76" s="108"/>
      <c r="DVE76" s="108"/>
      <c r="DVF76" s="108"/>
      <c r="DVG76" s="108"/>
      <c r="DVH76" s="108"/>
      <c r="DVI76" s="108"/>
      <c r="DVJ76" s="108"/>
      <c r="DVK76" s="108"/>
      <c r="DVL76" s="108"/>
      <c r="DVM76" s="108"/>
      <c r="DVN76" s="108"/>
      <c r="DVO76" s="108"/>
      <c r="DVP76" s="108"/>
      <c r="DVQ76" s="108"/>
      <c r="DVR76" s="108"/>
      <c r="DVS76" s="108"/>
      <c r="DVT76" s="108"/>
      <c r="DVU76" s="108"/>
      <c r="DVV76" s="108"/>
      <c r="DVW76" s="108"/>
      <c r="DVX76" s="108"/>
      <c r="DVY76" s="108"/>
      <c r="DVZ76" s="108"/>
      <c r="DWA76" s="108"/>
      <c r="DWB76" s="108"/>
      <c r="DWC76" s="108"/>
      <c r="DWD76" s="108"/>
      <c r="DWE76" s="108"/>
      <c r="DWF76" s="108"/>
      <c r="DWG76" s="108"/>
      <c r="DWH76" s="108"/>
      <c r="DWI76" s="108"/>
      <c r="DWJ76" s="108"/>
      <c r="DWK76" s="108"/>
      <c r="DWL76" s="108"/>
      <c r="DWM76" s="108"/>
      <c r="DWN76" s="108"/>
      <c r="DWO76" s="108"/>
      <c r="DWP76" s="108"/>
      <c r="DWQ76" s="108"/>
      <c r="DWR76" s="108"/>
      <c r="DWS76" s="108"/>
      <c r="DWT76" s="108"/>
      <c r="DWU76" s="108"/>
      <c r="DWV76" s="108"/>
      <c r="DWW76" s="108"/>
      <c r="DWX76" s="108"/>
      <c r="DWY76" s="108"/>
      <c r="DWZ76" s="108"/>
      <c r="DXA76" s="108"/>
      <c r="DXB76" s="108"/>
      <c r="DXC76" s="108"/>
      <c r="DXD76" s="108"/>
      <c r="DXE76" s="108"/>
      <c r="DXF76" s="108"/>
      <c r="DXG76" s="108"/>
      <c r="DXH76" s="108"/>
      <c r="DXI76" s="108"/>
      <c r="DXJ76" s="108"/>
      <c r="DXK76" s="108"/>
      <c r="DXL76" s="108"/>
      <c r="DXM76" s="108"/>
      <c r="DXN76" s="108"/>
      <c r="DXO76" s="108"/>
      <c r="DXP76" s="108"/>
      <c r="DXQ76" s="108"/>
      <c r="DXR76" s="108"/>
      <c r="DXS76" s="108"/>
      <c r="DXT76" s="108"/>
      <c r="DXU76" s="108"/>
      <c r="DXV76" s="108"/>
      <c r="DXW76" s="108"/>
      <c r="DXX76" s="108"/>
      <c r="DXY76" s="108"/>
      <c r="DXZ76" s="108"/>
      <c r="DYA76" s="108"/>
      <c r="DYB76" s="108"/>
      <c r="DYC76" s="108"/>
      <c r="DYD76" s="108"/>
      <c r="DYE76" s="108"/>
      <c r="DYF76" s="108"/>
      <c r="DYG76" s="108"/>
      <c r="DYH76" s="108"/>
      <c r="DYI76" s="108"/>
      <c r="DYJ76" s="108"/>
      <c r="DYK76" s="108"/>
      <c r="DYL76" s="108"/>
      <c r="DYM76" s="108"/>
      <c r="DYN76" s="108"/>
      <c r="DYO76" s="108"/>
      <c r="DYP76" s="108"/>
      <c r="DYQ76" s="108"/>
      <c r="DYR76" s="108"/>
      <c r="DYS76" s="108"/>
      <c r="DYT76" s="108"/>
      <c r="DYU76" s="108"/>
      <c r="DYV76" s="108"/>
      <c r="DYW76" s="108"/>
      <c r="DYX76" s="108"/>
      <c r="DYY76" s="108"/>
      <c r="DYZ76" s="108"/>
      <c r="DZA76" s="108"/>
      <c r="DZB76" s="108"/>
      <c r="DZC76" s="108"/>
      <c r="DZD76" s="108"/>
      <c r="DZE76" s="108"/>
      <c r="DZF76" s="108"/>
      <c r="DZG76" s="108"/>
      <c r="DZH76" s="108"/>
      <c r="DZI76" s="108"/>
      <c r="DZJ76" s="108"/>
      <c r="DZK76" s="108"/>
      <c r="DZL76" s="108"/>
      <c r="DZM76" s="108"/>
      <c r="DZN76" s="108"/>
      <c r="DZO76" s="108"/>
      <c r="DZP76" s="108"/>
      <c r="DZQ76" s="108"/>
      <c r="DZR76" s="108"/>
      <c r="DZS76" s="108"/>
      <c r="DZT76" s="108"/>
      <c r="DZU76" s="108"/>
      <c r="DZV76" s="108"/>
      <c r="DZW76" s="108"/>
      <c r="DZX76" s="108"/>
      <c r="DZY76" s="108"/>
      <c r="DZZ76" s="108"/>
      <c r="EAA76" s="108"/>
      <c r="EAB76" s="108"/>
      <c r="EAC76" s="108"/>
      <c r="EAD76" s="108"/>
      <c r="EAE76" s="108"/>
      <c r="EAF76" s="108"/>
      <c r="EAG76" s="108"/>
      <c r="EAH76" s="108"/>
      <c r="EAI76" s="108"/>
      <c r="EAJ76" s="108"/>
      <c r="EAK76" s="108"/>
      <c r="EAL76" s="108"/>
      <c r="EAM76" s="108"/>
      <c r="EAN76" s="108"/>
      <c r="EAO76" s="108"/>
      <c r="EAP76" s="108"/>
      <c r="EAQ76" s="108"/>
      <c r="EAR76" s="108"/>
      <c r="EAS76" s="108"/>
      <c r="EAT76" s="108"/>
      <c r="EAU76" s="108"/>
      <c r="EAV76" s="108"/>
      <c r="EAW76" s="108"/>
      <c r="EAX76" s="108"/>
      <c r="EAY76" s="108"/>
      <c r="EAZ76" s="108"/>
      <c r="EBA76" s="108"/>
      <c r="EBB76" s="108"/>
      <c r="EBC76" s="108"/>
      <c r="EBD76" s="108"/>
      <c r="EBE76" s="108"/>
      <c r="EBF76" s="108"/>
      <c r="EBG76" s="108"/>
      <c r="EBH76" s="108"/>
      <c r="EBI76" s="108"/>
      <c r="EBJ76" s="108"/>
      <c r="EBK76" s="108"/>
      <c r="EBL76" s="108"/>
      <c r="EBM76" s="108"/>
      <c r="EBN76" s="108"/>
      <c r="EBO76" s="108"/>
      <c r="EBP76" s="108"/>
      <c r="EBQ76" s="108"/>
      <c r="EBR76" s="108"/>
      <c r="EBS76" s="108"/>
      <c r="EBT76" s="108"/>
      <c r="EBU76" s="108"/>
      <c r="EBV76" s="108"/>
      <c r="EBW76" s="108"/>
      <c r="EBX76" s="108"/>
      <c r="EBY76" s="108"/>
      <c r="EBZ76" s="108"/>
      <c r="ECA76" s="108"/>
      <c r="ECB76" s="108"/>
      <c r="ECC76" s="108"/>
      <c r="ECD76" s="108"/>
      <c r="ECE76" s="108"/>
      <c r="ECF76" s="108"/>
      <c r="ECG76" s="108"/>
      <c r="ECH76" s="108"/>
      <c r="ECI76" s="108"/>
      <c r="ECJ76" s="108"/>
      <c r="ECK76" s="108"/>
      <c r="ECL76" s="108"/>
      <c r="ECM76" s="108"/>
      <c r="ECN76" s="108"/>
      <c r="ECO76" s="108"/>
      <c r="ECP76" s="108"/>
      <c r="ECQ76" s="108"/>
      <c r="ECR76" s="108"/>
      <c r="ECS76" s="108"/>
      <c r="ECT76" s="108"/>
      <c r="ECU76" s="108"/>
      <c r="ECV76" s="108"/>
      <c r="ECW76" s="108"/>
      <c r="ECX76" s="108"/>
      <c r="ECY76" s="108"/>
      <c r="ECZ76" s="108"/>
      <c r="EDA76" s="108"/>
      <c r="EDB76" s="108"/>
      <c r="EDC76" s="108"/>
      <c r="EDD76" s="108"/>
      <c r="EDE76" s="108"/>
      <c r="EDF76" s="108"/>
      <c r="EDG76" s="108"/>
      <c r="EDH76" s="108"/>
      <c r="EDI76" s="108"/>
      <c r="EDJ76" s="108"/>
      <c r="EDK76" s="108"/>
      <c r="EDL76" s="108"/>
      <c r="EDM76" s="108"/>
      <c r="EDN76" s="108"/>
      <c r="EDO76" s="108"/>
      <c r="EDP76" s="108"/>
      <c r="EDQ76" s="108"/>
      <c r="EDR76" s="108"/>
      <c r="EDS76" s="108"/>
      <c r="EDT76" s="108"/>
      <c r="EDU76" s="108"/>
      <c r="EDV76" s="108"/>
      <c r="EDW76" s="108"/>
      <c r="EDX76" s="108"/>
      <c r="EDY76" s="108"/>
      <c r="EDZ76" s="108"/>
      <c r="EEA76" s="108"/>
      <c r="EEB76" s="108"/>
      <c r="EEC76" s="108"/>
      <c r="EED76" s="108"/>
      <c r="EEE76" s="108"/>
      <c r="EEF76" s="108"/>
      <c r="EEG76" s="108"/>
      <c r="EEH76" s="108"/>
      <c r="EEI76" s="108"/>
      <c r="EEJ76" s="108"/>
      <c r="EEK76" s="108"/>
      <c r="EEL76" s="108"/>
      <c r="EEM76" s="108"/>
      <c r="EEN76" s="108"/>
      <c r="EEO76" s="108"/>
      <c r="EEP76" s="108"/>
      <c r="EEQ76" s="108"/>
      <c r="EER76" s="108"/>
      <c r="EES76" s="108"/>
      <c r="EET76" s="108"/>
      <c r="EEU76" s="108"/>
      <c r="EEV76" s="108"/>
      <c r="EEW76" s="108"/>
      <c r="EEX76" s="108"/>
      <c r="EEY76" s="108"/>
      <c r="EEZ76" s="108"/>
      <c r="EFA76" s="108"/>
      <c r="EFB76" s="108"/>
      <c r="EFC76" s="108"/>
      <c r="EFD76" s="108"/>
      <c r="EFE76" s="108"/>
      <c r="EFF76" s="108"/>
      <c r="EFG76" s="108"/>
      <c r="EFH76" s="108"/>
      <c r="EFI76" s="108"/>
      <c r="EFJ76" s="108"/>
      <c r="EFK76" s="108"/>
      <c r="EFL76" s="108"/>
      <c r="EFM76" s="108"/>
      <c r="EFN76" s="108"/>
      <c r="EFO76" s="108"/>
      <c r="EFP76" s="108"/>
      <c r="EFQ76" s="108"/>
      <c r="EFR76" s="108"/>
      <c r="EFS76" s="108"/>
      <c r="EFT76" s="108"/>
      <c r="EFU76" s="108"/>
      <c r="EFV76" s="108"/>
      <c r="EFW76" s="108"/>
      <c r="EFX76" s="108"/>
      <c r="EFY76" s="108"/>
      <c r="EFZ76" s="108"/>
      <c r="EGA76" s="108"/>
      <c r="EGB76" s="108"/>
      <c r="EGC76" s="108"/>
      <c r="EGD76" s="108"/>
      <c r="EGE76" s="108"/>
      <c r="EGF76" s="108"/>
      <c r="EGG76" s="108"/>
      <c r="EGH76" s="108"/>
      <c r="EGI76" s="108"/>
      <c r="EGJ76" s="108"/>
      <c r="EGK76" s="108"/>
      <c r="EGL76" s="108"/>
      <c r="EGM76" s="108"/>
      <c r="EGN76" s="108"/>
      <c r="EGO76" s="108"/>
      <c r="EGP76" s="108"/>
      <c r="EGQ76" s="108"/>
      <c r="EGR76" s="108"/>
      <c r="EGS76" s="108"/>
      <c r="EGT76" s="108"/>
      <c r="EGU76" s="108"/>
      <c r="EGV76" s="108"/>
      <c r="EGW76" s="108"/>
      <c r="EGX76" s="108"/>
      <c r="EGY76" s="108"/>
      <c r="EGZ76" s="108"/>
      <c r="EHA76" s="108"/>
      <c r="EHB76" s="108"/>
      <c r="EHC76" s="108"/>
      <c r="EHD76" s="108"/>
      <c r="EHE76" s="108"/>
      <c r="EHF76" s="108"/>
      <c r="EHG76" s="108"/>
      <c r="EHH76" s="108"/>
      <c r="EHI76" s="108"/>
      <c r="EHJ76" s="108"/>
      <c r="EHK76" s="108"/>
      <c r="EHL76" s="108"/>
      <c r="EHM76" s="108"/>
      <c r="EHN76" s="108"/>
      <c r="EHO76" s="108"/>
      <c r="EHP76" s="108"/>
      <c r="EHQ76" s="108"/>
      <c r="EHR76" s="108"/>
      <c r="EHS76" s="108"/>
      <c r="EHT76" s="108"/>
      <c r="EHU76" s="108"/>
      <c r="EHV76" s="108"/>
      <c r="EHW76" s="108"/>
      <c r="EHX76" s="108"/>
      <c r="EHY76" s="108"/>
      <c r="EHZ76" s="108"/>
      <c r="EIA76" s="108"/>
      <c r="EIB76" s="108"/>
      <c r="EIC76" s="108"/>
      <c r="EID76" s="108"/>
      <c r="EIE76" s="108"/>
      <c r="EIF76" s="108"/>
      <c r="EIG76" s="108"/>
      <c r="EIH76" s="108"/>
      <c r="EII76" s="108"/>
      <c r="EIJ76" s="108"/>
      <c r="EIK76" s="108"/>
      <c r="EIL76" s="108"/>
      <c r="EIM76" s="108"/>
      <c r="EIN76" s="108"/>
      <c r="EIO76" s="108"/>
      <c r="EIP76" s="108"/>
      <c r="EIQ76" s="108"/>
      <c r="EIR76" s="108"/>
      <c r="EIS76" s="108"/>
      <c r="EIT76" s="108"/>
      <c r="EIU76" s="108"/>
      <c r="EIV76" s="108"/>
      <c r="EIW76" s="108"/>
      <c r="EIX76" s="108"/>
      <c r="EIY76" s="108"/>
      <c r="EIZ76" s="108"/>
      <c r="EJA76" s="108"/>
      <c r="EJB76" s="108"/>
      <c r="EJC76" s="108"/>
      <c r="EJD76" s="108"/>
      <c r="EJE76" s="108"/>
      <c r="EJF76" s="108"/>
      <c r="EJG76" s="108"/>
      <c r="EJH76" s="108"/>
      <c r="EJI76" s="108"/>
      <c r="EJJ76" s="108"/>
      <c r="EJK76" s="108"/>
      <c r="EJL76" s="108"/>
      <c r="EJM76" s="108"/>
      <c r="EJN76" s="108"/>
      <c r="EJO76" s="108"/>
      <c r="EJP76" s="108"/>
      <c r="EJQ76" s="108"/>
      <c r="EJR76" s="108"/>
      <c r="EJS76" s="108"/>
      <c r="EJT76" s="108"/>
      <c r="EJU76" s="108"/>
      <c r="EJV76" s="108"/>
      <c r="EJW76" s="108"/>
      <c r="EJX76" s="108"/>
      <c r="EJY76" s="108"/>
      <c r="EJZ76" s="108"/>
      <c r="EKA76" s="108"/>
      <c r="EKB76" s="108"/>
      <c r="EKC76" s="108"/>
      <c r="EKD76" s="108"/>
      <c r="EKE76" s="108"/>
      <c r="EKF76" s="108"/>
      <c r="EKG76" s="108"/>
      <c r="EKH76" s="108"/>
      <c r="EKI76" s="108"/>
      <c r="EKJ76" s="108"/>
      <c r="EKK76" s="108"/>
      <c r="EKL76" s="108"/>
      <c r="EKM76" s="108"/>
      <c r="EKN76" s="108"/>
      <c r="EKO76" s="108"/>
      <c r="EKP76" s="108"/>
      <c r="EKQ76" s="108"/>
      <c r="EKR76" s="108"/>
      <c r="EKS76" s="108"/>
      <c r="EKT76" s="108"/>
      <c r="EKU76" s="108"/>
      <c r="EKV76" s="108"/>
      <c r="EKW76" s="108"/>
      <c r="EKX76" s="108"/>
      <c r="EKY76" s="108"/>
      <c r="EKZ76" s="108"/>
      <c r="ELA76" s="108"/>
      <c r="ELB76" s="108"/>
      <c r="ELC76" s="108"/>
      <c r="ELD76" s="108"/>
      <c r="ELE76" s="108"/>
      <c r="ELF76" s="108"/>
      <c r="ELG76" s="108"/>
      <c r="ELH76" s="108"/>
      <c r="ELI76" s="108"/>
      <c r="ELJ76" s="108"/>
      <c r="ELK76" s="108"/>
      <c r="ELL76" s="108"/>
      <c r="ELM76" s="108"/>
      <c r="ELN76" s="108"/>
      <c r="ELO76" s="108"/>
      <c r="ELP76" s="108"/>
      <c r="ELQ76" s="108"/>
      <c r="ELR76" s="108"/>
      <c r="ELS76" s="108"/>
      <c r="ELT76" s="108"/>
      <c r="ELU76" s="108"/>
      <c r="ELV76" s="108"/>
      <c r="ELW76" s="108"/>
      <c r="ELX76" s="108"/>
      <c r="ELY76" s="108"/>
      <c r="ELZ76" s="108"/>
      <c r="EMA76" s="108"/>
      <c r="EMB76" s="108"/>
      <c r="EMC76" s="108"/>
      <c r="EMD76" s="108"/>
      <c r="EME76" s="108"/>
      <c r="EMF76" s="108"/>
      <c r="EMG76" s="108"/>
      <c r="EMH76" s="108"/>
      <c r="EMI76" s="108"/>
      <c r="EMJ76" s="108"/>
      <c r="EMK76" s="108"/>
      <c r="EML76" s="108"/>
      <c r="EMM76" s="108"/>
      <c r="EMN76" s="108"/>
      <c r="EMO76" s="108"/>
      <c r="EMP76" s="108"/>
      <c r="EMQ76" s="108"/>
      <c r="EMR76" s="108"/>
      <c r="EMS76" s="108"/>
      <c r="EMT76" s="108"/>
      <c r="EMU76" s="108"/>
      <c r="EMV76" s="108"/>
      <c r="EMW76" s="108"/>
      <c r="EMX76" s="108"/>
      <c r="EMY76" s="108"/>
      <c r="EMZ76" s="108"/>
      <c r="ENA76" s="108"/>
      <c r="ENB76" s="108"/>
      <c r="ENC76" s="108"/>
      <c r="END76" s="108"/>
      <c r="ENE76" s="108"/>
      <c r="ENF76" s="108"/>
      <c r="ENG76" s="108"/>
      <c r="ENH76" s="108"/>
      <c r="ENI76" s="108"/>
      <c r="ENJ76" s="108"/>
      <c r="ENK76" s="108"/>
      <c r="ENL76" s="108"/>
      <c r="ENM76" s="108"/>
      <c r="ENN76" s="108"/>
      <c r="ENO76" s="108"/>
      <c r="ENP76" s="108"/>
      <c r="ENQ76" s="108"/>
      <c r="ENR76" s="108"/>
      <c r="ENS76" s="108"/>
      <c r="ENT76" s="108"/>
      <c r="ENU76" s="108"/>
      <c r="ENV76" s="108"/>
      <c r="ENW76" s="108"/>
      <c r="ENX76" s="108"/>
      <c r="ENY76" s="108"/>
      <c r="ENZ76" s="108"/>
      <c r="EOA76" s="108"/>
      <c r="EOB76" s="108"/>
      <c r="EOC76" s="108"/>
      <c r="EOD76" s="108"/>
      <c r="EOE76" s="108"/>
      <c r="EOF76" s="108"/>
      <c r="EOG76" s="108"/>
      <c r="EOH76" s="108"/>
      <c r="EOI76" s="108"/>
      <c r="EOJ76" s="108"/>
      <c r="EOK76" s="108"/>
      <c r="EOL76" s="108"/>
      <c r="EOM76" s="108"/>
      <c r="EON76" s="108"/>
      <c r="EOO76" s="108"/>
      <c r="EOP76" s="108"/>
      <c r="EOQ76" s="108"/>
      <c r="EOR76" s="108"/>
      <c r="EOS76" s="108"/>
      <c r="EOT76" s="108"/>
      <c r="EOU76" s="108"/>
      <c r="EOV76" s="108"/>
      <c r="EOW76" s="108"/>
      <c r="EOX76" s="108"/>
      <c r="EOY76" s="108"/>
      <c r="EOZ76" s="108"/>
      <c r="EPA76" s="108"/>
      <c r="EPB76" s="108"/>
      <c r="EPC76" s="108"/>
      <c r="EPD76" s="108"/>
      <c r="EPE76" s="108"/>
      <c r="EPF76" s="108"/>
      <c r="EPG76" s="108"/>
      <c r="EPH76" s="108"/>
      <c r="EPI76" s="108"/>
      <c r="EPJ76" s="108"/>
      <c r="EPK76" s="108"/>
      <c r="EPL76" s="108"/>
      <c r="EPM76" s="108"/>
      <c r="EPN76" s="108"/>
      <c r="EPO76" s="108"/>
      <c r="EPP76" s="108"/>
      <c r="EPQ76" s="108"/>
      <c r="EPR76" s="108"/>
      <c r="EPS76" s="108"/>
      <c r="EPT76" s="108"/>
      <c r="EPU76" s="108"/>
      <c r="EPV76" s="108"/>
      <c r="EPW76" s="108"/>
      <c r="EPX76" s="108"/>
      <c r="EPY76" s="108"/>
      <c r="EPZ76" s="108"/>
      <c r="EQA76" s="108"/>
      <c r="EQB76" s="108"/>
      <c r="EQC76" s="108"/>
      <c r="EQD76" s="108"/>
      <c r="EQE76" s="108"/>
      <c r="EQF76" s="108"/>
      <c r="EQG76" s="108"/>
      <c r="EQH76" s="108"/>
      <c r="EQI76" s="108"/>
      <c r="EQJ76" s="108"/>
      <c r="EQK76" s="108"/>
      <c r="EQL76" s="108"/>
      <c r="EQM76" s="108"/>
      <c r="EQN76" s="108"/>
      <c r="EQO76" s="108"/>
      <c r="EQP76" s="108"/>
      <c r="EQQ76" s="108"/>
      <c r="EQR76" s="108"/>
      <c r="EQS76" s="108"/>
      <c r="EQT76" s="108"/>
      <c r="EQU76" s="108"/>
      <c r="EQV76" s="108"/>
      <c r="EQW76" s="108"/>
      <c r="EQX76" s="108"/>
      <c r="EQY76" s="108"/>
      <c r="EQZ76" s="108"/>
      <c r="ERA76" s="108"/>
      <c r="ERB76" s="108"/>
      <c r="ERC76" s="108"/>
      <c r="ERD76" s="108"/>
      <c r="ERE76" s="108"/>
      <c r="ERF76" s="108"/>
      <c r="ERG76" s="108"/>
      <c r="ERH76" s="108"/>
      <c r="ERI76" s="108"/>
      <c r="ERJ76" s="108"/>
      <c r="ERK76" s="108"/>
      <c r="ERL76" s="108"/>
      <c r="ERM76" s="108"/>
      <c r="ERN76" s="108"/>
      <c r="ERO76" s="108"/>
      <c r="ERP76" s="108"/>
      <c r="ERQ76" s="108"/>
      <c r="ERR76" s="108"/>
      <c r="ERS76" s="108"/>
      <c r="ERT76" s="108"/>
      <c r="ERU76" s="108"/>
      <c r="ERV76" s="108"/>
      <c r="ERW76" s="108"/>
      <c r="ERX76" s="108"/>
      <c r="ERY76" s="108"/>
      <c r="ERZ76" s="108"/>
      <c r="ESA76" s="108"/>
      <c r="ESB76" s="108"/>
      <c r="ESC76" s="108"/>
      <c r="ESD76" s="108"/>
      <c r="ESE76" s="108"/>
      <c r="ESF76" s="108"/>
      <c r="ESG76" s="108"/>
      <c r="ESH76" s="108"/>
      <c r="ESI76" s="108"/>
      <c r="ESJ76" s="108"/>
      <c r="ESK76" s="108"/>
      <c r="ESL76" s="108"/>
      <c r="ESM76" s="108"/>
      <c r="ESN76" s="108"/>
      <c r="ESO76" s="108"/>
      <c r="ESP76" s="108"/>
      <c r="ESQ76" s="108"/>
      <c r="ESR76" s="108"/>
      <c r="ESS76" s="108"/>
      <c r="EST76" s="108"/>
      <c r="ESU76" s="108"/>
      <c r="ESV76" s="108"/>
      <c r="ESW76" s="108"/>
      <c r="ESX76" s="108"/>
      <c r="ESY76" s="108"/>
      <c r="ESZ76" s="108"/>
      <c r="ETA76" s="108"/>
      <c r="ETB76" s="108"/>
      <c r="ETC76" s="108"/>
      <c r="ETD76" s="108"/>
      <c r="ETE76" s="108"/>
      <c r="ETF76" s="108"/>
      <c r="ETG76" s="108"/>
      <c r="ETH76" s="108"/>
      <c r="ETI76" s="108"/>
      <c r="ETJ76" s="108"/>
      <c r="ETK76" s="108"/>
      <c r="ETL76" s="108"/>
      <c r="ETM76" s="108"/>
      <c r="ETN76" s="108"/>
      <c r="ETO76" s="108"/>
      <c r="ETP76" s="108"/>
      <c r="ETQ76" s="108"/>
      <c r="ETR76" s="108"/>
      <c r="ETS76" s="108"/>
      <c r="ETT76" s="108"/>
      <c r="ETU76" s="108"/>
      <c r="ETV76" s="108"/>
      <c r="ETW76" s="108"/>
      <c r="ETX76" s="108"/>
      <c r="ETY76" s="108"/>
      <c r="ETZ76" s="108"/>
      <c r="EUA76" s="108"/>
      <c r="EUB76" s="108"/>
      <c r="EUC76" s="108"/>
      <c r="EUD76" s="108"/>
      <c r="EUE76" s="108"/>
      <c r="EUF76" s="108"/>
      <c r="EUG76" s="108"/>
      <c r="EUH76" s="108"/>
      <c r="EUI76" s="108"/>
      <c r="EUJ76" s="108"/>
      <c r="EUK76" s="108"/>
      <c r="EUL76" s="108"/>
      <c r="EUM76" s="108"/>
      <c r="EUN76" s="108"/>
      <c r="EUO76" s="108"/>
      <c r="EUP76" s="108"/>
      <c r="EUQ76" s="108"/>
      <c r="EUR76" s="108"/>
      <c r="EUS76" s="108"/>
      <c r="EUT76" s="108"/>
      <c r="EUU76" s="108"/>
      <c r="EUV76" s="108"/>
      <c r="EUW76" s="108"/>
      <c r="EUX76" s="108"/>
      <c r="EUY76" s="108"/>
      <c r="EUZ76" s="108"/>
      <c r="EVA76" s="108"/>
      <c r="EVB76" s="108"/>
      <c r="EVC76" s="108"/>
      <c r="EVD76" s="108"/>
      <c r="EVE76" s="108"/>
      <c r="EVF76" s="108"/>
      <c r="EVG76" s="108"/>
      <c r="EVH76" s="108"/>
      <c r="EVI76" s="108"/>
      <c r="EVJ76" s="108"/>
      <c r="EVK76" s="108"/>
      <c r="EVL76" s="108"/>
      <c r="EVM76" s="108"/>
      <c r="EVN76" s="108"/>
      <c r="EVO76" s="108"/>
      <c r="EVP76" s="108"/>
      <c r="EVQ76" s="108"/>
      <c r="EVR76" s="108"/>
      <c r="EVS76" s="108"/>
      <c r="EVT76" s="108"/>
      <c r="EVU76" s="108"/>
      <c r="EVV76" s="108"/>
      <c r="EVW76" s="108"/>
      <c r="EVX76" s="108"/>
      <c r="EVY76" s="108"/>
      <c r="EVZ76" s="108"/>
      <c r="EWA76" s="108"/>
      <c r="EWB76" s="108"/>
      <c r="EWC76" s="108"/>
      <c r="EWD76" s="108"/>
      <c r="EWE76" s="108"/>
      <c r="EWF76" s="108"/>
      <c r="EWG76" s="108"/>
      <c r="EWH76" s="108"/>
      <c r="EWI76" s="108"/>
      <c r="EWJ76" s="108"/>
      <c r="EWK76" s="108"/>
      <c r="EWL76" s="108"/>
      <c r="EWM76" s="108"/>
      <c r="EWN76" s="108"/>
      <c r="EWO76" s="108"/>
      <c r="EWP76" s="108"/>
      <c r="EWQ76" s="108"/>
      <c r="EWR76" s="108"/>
      <c r="EWS76" s="108"/>
      <c r="EWT76" s="108"/>
      <c r="EWU76" s="108"/>
      <c r="EWV76" s="108"/>
      <c r="EWW76" s="108"/>
      <c r="EWX76" s="108"/>
      <c r="EWY76" s="108"/>
      <c r="EWZ76" s="108"/>
      <c r="EXA76" s="108"/>
      <c r="EXB76" s="108"/>
      <c r="EXC76" s="108"/>
      <c r="EXD76" s="108"/>
      <c r="EXE76" s="108"/>
      <c r="EXF76" s="108"/>
      <c r="EXG76" s="108"/>
      <c r="EXH76" s="108"/>
      <c r="EXI76" s="108"/>
      <c r="EXJ76" s="108"/>
      <c r="EXK76" s="108"/>
      <c r="EXL76" s="108"/>
      <c r="EXM76" s="108"/>
      <c r="EXN76" s="108"/>
      <c r="EXO76" s="108"/>
      <c r="EXP76" s="108"/>
      <c r="EXQ76" s="108"/>
      <c r="EXR76" s="108"/>
      <c r="EXS76" s="108"/>
      <c r="EXT76" s="108"/>
      <c r="EXU76" s="108"/>
      <c r="EXV76" s="108"/>
      <c r="EXW76" s="108"/>
      <c r="EXX76" s="108"/>
      <c r="EXY76" s="108"/>
      <c r="EXZ76" s="108"/>
      <c r="EYA76" s="108"/>
      <c r="EYB76" s="108"/>
      <c r="EYC76" s="108"/>
      <c r="EYD76" s="108"/>
      <c r="EYE76" s="108"/>
      <c r="EYF76" s="108"/>
      <c r="EYG76" s="108"/>
      <c r="EYH76" s="108"/>
      <c r="EYI76" s="108"/>
      <c r="EYJ76" s="108"/>
      <c r="EYK76" s="108"/>
      <c r="EYL76" s="108"/>
      <c r="EYM76" s="108"/>
      <c r="EYN76" s="108"/>
      <c r="EYO76" s="108"/>
      <c r="EYP76" s="108"/>
      <c r="EYQ76" s="108"/>
      <c r="EYR76" s="108"/>
      <c r="EYS76" s="108"/>
      <c r="EYT76" s="108"/>
      <c r="EYU76" s="108"/>
      <c r="EYV76" s="108"/>
      <c r="EYW76" s="108"/>
      <c r="EYX76" s="108"/>
      <c r="EYY76" s="108"/>
      <c r="EYZ76" s="108"/>
      <c r="EZA76" s="108"/>
      <c r="EZB76" s="108"/>
      <c r="EZC76" s="108"/>
      <c r="EZD76" s="108"/>
      <c r="EZE76" s="108"/>
      <c r="EZF76" s="108"/>
      <c r="EZG76" s="108"/>
      <c r="EZH76" s="108"/>
      <c r="EZI76" s="108"/>
      <c r="EZJ76" s="108"/>
      <c r="EZK76" s="108"/>
      <c r="EZL76" s="108"/>
      <c r="EZM76" s="108"/>
      <c r="EZN76" s="108"/>
      <c r="EZO76" s="108"/>
      <c r="EZP76" s="108"/>
      <c r="EZQ76" s="108"/>
      <c r="EZR76" s="108"/>
      <c r="EZS76" s="108"/>
      <c r="EZT76" s="108"/>
      <c r="EZU76" s="108"/>
      <c r="EZV76" s="108"/>
      <c r="EZW76" s="108"/>
      <c r="EZX76" s="108"/>
      <c r="EZY76" s="108"/>
      <c r="EZZ76" s="108"/>
      <c r="FAA76" s="108"/>
      <c r="FAB76" s="108"/>
      <c r="FAC76" s="108"/>
      <c r="FAD76" s="108"/>
      <c r="FAE76" s="108"/>
      <c r="FAF76" s="108"/>
      <c r="FAG76" s="108"/>
      <c r="FAH76" s="108"/>
      <c r="FAI76" s="108"/>
      <c r="FAJ76" s="108"/>
      <c r="FAK76" s="108"/>
      <c r="FAL76" s="108"/>
      <c r="FAM76" s="108"/>
      <c r="FAN76" s="108"/>
      <c r="FAO76" s="108"/>
      <c r="FAP76" s="108"/>
      <c r="FAQ76" s="108"/>
      <c r="FAR76" s="108"/>
      <c r="FAS76" s="108"/>
      <c r="FAT76" s="108"/>
      <c r="FAU76" s="108"/>
      <c r="FAV76" s="108"/>
      <c r="FAW76" s="108"/>
      <c r="FAX76" s="108"/>
      <c r="FAY76" s="108"/>
      <c r="FAZ76" s="108"/>
      <c r="FBA76" s="108"/>
      <c r="FBB76" s="108"/>
      <c r="FBC76" s="108"/>
      <c r="FBD76" s="108"/>
      <c r="FBE76" s="108"/>
      <c r="FBF76" s="108"/>
      <c r="FBG76" s="108"/>
      <c r="FBH76" s="108"/>
      <c r="FBI76" s="108"/>
      <c r="FBJ76" s="108"/>
      <c r="FBK76" s="108"/>
      <c r="FBL76" s="108"/>
      <c r="FBM76" s="108"/>
      <c r="FBN76" s="108"/>
      <c r="FBO76" s="108"/>
      <c r="FBP76" s="108"/>
      <c r="FBQ76" s="108"/>
      <c r="FBR76" s="108"/>
      <c r="FBS76" s="108"/>
      <c r="FBT76" s="108"/>
      <c r="FBU76" s="108"/>
      <c r="FBV76" s="108"/>
      <c r="FBW76" s="108"/>
      <c r="FBX76" s="108"/>
      <c r="FBY76" s="108"/>
      <c r="FBZ76" s="108"/>
      <c r="FCA76" s="108"/>
      <c r="FCB76" s="108"/>
      <c r="FCC76" s="108"/>
      <c r="FCD76" s="108"/>
      <c r="FCE76" s="108"/>
      <c r="FCF76" s="108"/>
      <c r="FCG76" s="108"/>
      <c r="FCH76" s="108"/>
      <c r="FCI76" s="108"/>
      <c r="FCJ76" s="108"/>
      <c r="FCK76" s="108"/>
      <c r="FCL76" s="108"/>
      <c r="FCM76" s="108"/>
      <c r="FCN76" s="108"/>
      <c r="FCO76" s="108"/>
      <c r="FCP76" s="108"/>
      <c r="FCQ76" s="108"/>
      <c r="FCR76" s="108"/>
      <c r="FCS76" s="108"/>
      <c r="FCT76" s="108"/>
      <c r="FCU76" s="108"/>
      <c r="FCV76" s="108"/>
      <c r="FCW76" s="108"/>
      <c r="FCX76" s="108"/>
      <c r="FCY76" s="108"/>
      <c r="FCZ76" s="108"/>
      <c r="FDA76" s="108"/>
      <c r="FDB76" s="108"/>
      <c r="FDC76" s="108"/>
      <c r="FDD76" s="108"/>
      <c r="FDE76" s="108"/>
      <c r="FDF76" s="108"/>
      <c r="FDG76" s="108"/>
      <c r="FDH76" s="108"/>
      <c r="FDI76" s="108"/>
      <c r="FDJ76" s="108"/>
      <c r="FDK76" s="108"/>
      <c r="FDL76" s="108"/>
      <c r="FDM76" s="108"/>
      <c r="FDN76" s="108"/>
      <c r="FDO76" s="108"/>
      <c r="FDP76" s="108"/>
      <c r="FDQ76" s="108"/>
      <c r="FDR76" s="108"/>
      <c r="FDS76" s="108"/>
      <c r="FDT76" s="108"/>
      <c r="FDU76" s="108"/>
      <c r="FDV76" s="108"/>
      <c r="FDW76" s="108"/>
      <c r="FDX76" s="108"/>
      <c r="FDY76" s="108"/>
      <c r="FDZ76" s="108"/>
      <c r="FEA76" s="108"/>
      <c r="FEB76" s="108"/>
      <c r="FEC76" s="108"/>
      <c r="FED76" s="108"/>
      <c r="FEE76" s="108"/>
      <c r="FEF76" s="108"/>
      <c r="FEG76" s="108"/>
      <c r="FEH76" s="108"/>
      <c r="FEI76" s="108"/>
      <c r="FEJ76" s="108"/>
      <c r="FEK76" s="108"/>
      <c r="FEL76" s="108"/>
      <c r="FEM76" s="108"/>
      <c r="FEN76" s="108"/>
      <c r="FEO76" s="108"/>
      <c r="FEP76" s="108"/>
      <c r="FEQ76" s="108"/>
      <c r="FER76" s="108"/>
      <c r="FES76" s="108"/>
      <c r="FET76" s="108"/>
      <c r="FEU76" s="108"/>
      <c r="FEV76" s="108"/>
      <c r="FEW76" s="108"/>
      <c r="FEX76" s="108"/>
      <c r="FEY76" s="108"/>
      <c r="FEZ76" s="108"/>
      <c r="FFA76" s="108"/>
      <c r="FFB76" s="108"/>
      <c r="FFC76" s="108"/>
      <c r="FFD76" s="108"/>
      <c r="FFE76" s="108"/>
      <c r="FFF76" s="108"/>
      <c r="FFG76" s="108"/>
      <c r="FFH76" s="108"/>
      <c r="FFI76" s="108"/>
      <c r="FFJ76" s="108"/>
      <c r="FFK76" s="108"/>
      <c r="FFL76" s="108"/>
      <c r="FFM76" s="108"/>
      <c r="FFN76" s="108"/>
      <c r="FFO76" s="108"/>
      <c r="FFP76" s="108"/>
      <c r="FFQ76" s="108"/>
      <c r="FFR76" s="108"/>
      <c r="FFS76" s="108"/>
      <c r="FFT76" s="108"/>
      <c r="FFU76" s="108"/>
      <c r="FFV76" s="108"/>
      <c r="FFW76" s="108"/>
      <c r="FFX76" s="108"/>
      <c r="FFY76" s="108"/>
      <c r="FFZ76" s="108"/>
      <c r="FGA76" s="108"/>
      <c r="FGB76" s="108"/>
      <c r="FGC76" s="108"/>
      <c r="FGD76" s="108"/>
      <c r="FGE76" s="108"/>
      <c r="FGF76" s="108"/>
      <c r="FGG76" s="108"/>
      <c r="FGH76" s="108"/>
      <c r="FGI76" s="108"/>
      <c r="FGJ76" s="108"/>
      <c r="FGK76" s="108"/>
      <c r="FGL76" s="108"/>
      <c r="FGM76" s="108"/>
      <c r="FGN76" s="108"/>
      <c r="FGO76" s="108"/>
      <c r="FGP76" s="108"/>
      <c r="FGQ76" s="108"/>
      <c r="FGR76" s="108"/>
      <c r="FGS76" s="108"/>
      <c r="FGT76" s="108"/>
      <c r="FGU76" s="108"/>
      <c r="FGV76" s="108"/>
      <c r="FGW76" s="108"/>
      <c r="FGX76" s="108"/>
      <c r="FGY76" s="108"/>
      <c r="FGZ76" s="108"/>
      <c r="FHA76" s="108"/>
      <c r="FHB76" s="108"/>
      <c r="FHC76" s="108"/>
      <c r="FHD76" s="108"/>
      <c r="FHE76" s="108"/>
      <c r="FHF76" s="108"/>
      <c r="FHG76" s="108"/>
      <c r="FHH76" s="108"/>
      <c r="FHI76" s="108"/>
      <c r="FHJ76" s="108"/>
      <c r="FHK76" s="108"/>
      <c r="FHL76" s="108"/>
      <c r="FHM76" s="108"/>
      <c r="FHN76" s="108"/>
      <c r="FHO76" s="108"/>
      <c r="FHP76" s="108"/>
      <c r="FHQ76" s="108"/>
      <c r="FHR76" s="108"/>
      <c r="FHS76" s="108"/>
      <c r="FHT76" s="108"/>
      <c r="FHU76" s="108"/>
      <c r="FHV76" s="108"/>
      <c r="FHW76" s="108"/>
      <c r="FHX76" s="108"/>
      <c r="FHY76" s="108"/>
      <c r="FHZ76" s="108"/>
      <c r="FIA76" s="108"/>
      <c r="FIB76" s="108"/>
      <c r="FIC76" s="108"/>
      <c r="FID76" s="108"/>
      <c r="FIE76" s="108"/>
      <c r="FIF76" s="108"/>
      <c r="FIG76" s="108"/>
      <c r="FIH76" s="108"/>
      <c r="FII76" s="108"/>
      <c r="FIJ76" s="108"/>
      <c r="FIK76" s="108"/>
      <c r="FIL76" s="108"/>
      <c r="FIM76" s="108"/>
      <c r="FIN76" s="108"/>
      <c r="FIO76" s="108"/>
      <c r="FIP76" s="108"/>
      <c r="FIQ76" s="108"/>
      <c r="FIR76" s="108"/>
      <c r="FIS76" s="108"/>
      <c r="FIT76" s="108"/>
      <c r="FIU76" s="108"/>
      <c r="FIV76" s="108"/>
      <c r="FIW76" s="108"/>
      <c r="FIX76" s="108"/>
      <c r="FIY76" s="108"/>
      <c r="FIZ76" s="108"/>
      <c r="FJA76" s="108"/>
      <c r="FJB76" s="108"/>
      <c r="FJC76" s="108"/>
      <c r="FJD76" s="108"/>
      <c r="FJE76" s="108"/>
      <c r="FJF76" s="108"/>
      <c r="FJG76" s="108"/>
      <c r="FJH76" s="108"/>
      <c r="FJI76" s="108"/>
      <c r="FJJ76" s="108"/>
      <c r="FJK76" s="108"/>
      <c r="FJL76" s="108"/>
      <c r="FJM76" s="108"/>
      <c r="FJN76" s="108"/>
      <c r="FJO76" s="108"/>
      <c r="FJP76" s="108"/>
      <c r="FJQ76" s="108"/>
      <c r="FJR76" s="108"/>
      <c r="FJS76" s="108"/>
      <c r="FJT76" s="108"/>
      <c r="FJU76" s="108"/>
      <c r="FJV76" s="108"/>
      <c r="FJW76" s="108"/>
      <c r="FJX76" s="108"/>
      <c r="FJY76" s="108"/>
      <c r="FJZ76" s="108"/>
      <c r="FKA76" s="108"/>
      <c r="FKB76" s="108"/>
      <c r="FKC76" s="108"/>
      <c r="FKD76" s="108"/>
      <c r="FKE76" s="108"/>
      <c r="FKF76" s="108"/>
      <c r="FKG76" s="108"/>
      <c r="FKH76" s="108"/>
      <c r="FKI76" s="108"/>
      <c r="FKJ76" s="108"/>
      <c r="FKK76" s="108"/>
      <c r="FKL76" s="108"/>
      <c r="FKM76" s="108"/>
      <c r="FKN76" s="108"/>
      <c r="FKO76" s="108"/>
      <c r="FKP76" s="108"/>
      <c r="FKQ76" s="108"/>
      <c r="FKR76" s="108"/>
      <c r="FKS76" s="108"/>
      <c r="FKT76" s="108"/>
      <c r="FKU76" s="108"/>
      <c r="FKV76" s="108"/>
      <c r="FKW76" s="108"/>
      <c r="FKX76" s="108"/>
      <c r="FKY76" s="108"/>
      <c r="FKZ76" s="108"/>
      <c r="FLA76" s="108"/>
      <c r="FLB76" s="108"/>
      <c r="FLC76" s="108"/>
      <c r="FLD76" s="108"/>
      <c r="FLE76" s="108"/>
      <c r="FLF76" s="108"/>
      <c r="FLG76" s="108"/>
      <c r="FLH76" s="108"/>
      <c r="FLI76" s="108"/>
      <c r="FLJ76" s="108"/>
      <c r="FLK76" s="108"/>
      <c r="FLL76" s="108"/>
      <c r="FLM76" s="108"/>
      <c r="FLN76" s="108"/>
      <c r="FLO76" s="108"/>
      <c r="FLP76" s="108"/>
      <c r="FLQ76" s="108"/>
      <c r="FLR76" s="108"/>
      <c r="FLS76" s="108"/>
      <c r="FLT76" s="108"/>
      <c r="FLU76" s="108"/>
      <c r="FLV76" s="108"/>
      <c r="FLW76" s="108"/>
      <c r="FLX76" s="108"/>
      <c r="FLY76" s="108"/>
      <c r="FLZ76" s="108"/>
      <c r="FMA76" s="108"/>
      <c r="FMB76" s="108"/>
      <c r="FMC76" s="108"/>
      <c r="FMD76" s="108"/>
      <c r="FME76" s="108"/>
      <c r="FMF76" s="108"/>
      <c r="FMG76" s="108"/>
      <c r="FMH76" s="108"/>
      <c r="FMI76" s="108"/>
      <c r="FMJ76" s="108"/>
      <c r="FMK76" s="108"/>
      <c r="FML76" s="108"/>
      <c r="FMM76" s="108"/>
      <c r="FMN76" s="108"/>
      <c r="FMO76" s="108"/>
      <c r="FMP76" s="108"/>
      <c r="FMQ76" s="108"/>
      <c r="FMR76" s="108"/>
      <c r="FMS76" s="108"/>
      <c r="FMT76" s="108"/>
      <c r="FMU76" s="108"/>
      <c r="FMV76" s="108"/>
      <c r="FMW76" s="108"/>
      <c r="FMX76" s="108"/>
      <c r="FMY76" s="108"/>
      <c r="FMZ76" s="108"/>
      <c r="FNA76" s="108"/>
      <c r="FNB76" s="108"/>
      <c r="FNC76" s="108"/>
      <c r="FND76" s="108"/>
      <c r="FNE76" s="108"/>
      <c r="FNF76" s="108"/>
      <c r="FNG76" s="108"/>
      <c r="FNH76" s="108"/>
      <c r="FNI76" s="108"/>
      <c r="FNJ76" s="108"/>
      <c r="FNK76" s="108"/>
      <c r="FNL76" s="108"/>
      <c r="FNM76" s="108"/>
      <c r="FNN76" s="108"/>
      <c r="FNO76" s="108"/>
      <c r="FNP76" s="108"/>
      <c r="FNQ76" s="108"/>
      <c r="FNR76" s="108"/>
      <c r="FNS76" s="108"/>
      <c r="FNT76" s="108"/>
      <c r="FNU76" s="108"/>
      <c r="FNV76" s="108"/>
      <c r="FNW76" s="108"/>
      <c r="FNX76" s="108"/>
      <c r="FNY76" s="108"/>
      <c r="FNZ76" s="108"/>
      <c r="FOA76" s="108"/>
      <c r="FOB76" s="108"/>
      <c r="FOC76" s="108"/>
      <c r="FOD76" s="108"/>
      <c r="FOE76" s="108"/>
      <c r="FOF76" s="108"/>
      <c r="FOG76" s="108"/>
      <c r="FOH76" s="108"/>
      <c r="FOI76" s="108"/>
      <c r="FOJ76" s="108"/>
      <c r="FOK76" s="108"/>
      <c r="FOL76" s="108"/>
      <c r="FOM76" s="108"/>
      <c r="FON76" s="108"/>
      <c r="FOO76" s="108"/>
      <c r="FOP76" s="108"/>
      <c r="FOQ76" s="108"/>
      <c r="FOR76" s="108"/>
      <c r="FOS76" s="108"/>
      <c r="FOT76" s="108"/>
      <c r="FOU76" s="108"/>
      <c r="FOV76" s="108"/>
      <c r="FOW76" s="108"/>
      <c r="FOX76" s="108"/>
      <c r="FOY76" s="108"/>
      <c r="FOZ76" s="108"/>
      <c r="FPA76" s="108"/>
      <c r="FPB76" s="108"/>
      <c r="FPC76" s="108"/>
      <c r="FPD76" s="108"/>
      <c r="FPE76" s="108"/>
      <c r="FPF76" s="108"/>
      <c r="FPG76" s="108"/>
      <c r="FPH76" s="108"/>
      <c r="FPI76" s="108"/>
      <c r="FPJ76" s="108"/>
      <c r="FPK76" s="108"/>
      <c r="FPL76" s="108"/>
      <c r="FPM76" s="108"/>
      <c r="FPN76" s="108"/>
      <c r="FPO76" s="108"/>
      <c r="FPP76" s="108"/>
      <c r="FPQ76" s="108"/>
      <c r="FPR76" s="108"/>
      <c r="FPS76" s="108"/>
      <c r="FPT76" s="108"/>
      <c r="FPU76" s="108"/>
      <c r="FPV76" s="108"/>
      <c r="FPW76" s="108"/>
      <c r="FPX76" s="108"/>
      <c r="FPY76" s="108"/>
      <c r="FPZ76" s="108"/>
      <c r="FQA76" s="108"/>
      <c r="FQB76" s="108"/>
      <c r="FQC76" s="108"/>
      <c r="FQD76" s="108"/>
      <c r="FQE76" s="108"/>
      <c r="FQF76" s="108"/>
      <c r="FQG76" s="108"/>
      <c r="FQH76" s="108"/>
      <c r="FQI76" s="108"/>
      <c r="FQJ76" s="108"/>
      <c r="FQK76" s="108"/>
      <c r="FQL76" s="108"/>
      <c r="FQM76" s="108"/>
      <c r="FQN76" s="108"/>
      <c r="FQO76" s="108"/>
      <c r="FQP76" s="108"/>
      <c r="FQQ76" s="108"/>
      <c r="FQR76" s="108"/>
      <c r="FQS76" s="108"/>
      <c r="FQT76" s="108"/>
      <c r="FQU76" s="108"/>
      <c r="FQV76" s="108"/>
      <c r="FQW76" s="108"/>
      <c r="FQX76" s="108"/>
      <c r="FQY76" s="108"/>
      <c r="FQZ76" s="108"/>
      <c r="FRA76" s="108"/>
      <c r="FRB76" s="108"/>
      <c r="FRC76" s="108"/>
      <c r="FRD76" s="108"/>
      <c r="FRE76" s="108"/>
      <c r="FRF76" s="108"/>
      <c r="FRG76" s="108"/>
      <c r="FRH76" s="108"/>
      <c r="FRI76" s="108"/>
      <c r="FRJ76" s="108"/>
      <c r="FRK76" s="108"/>
      <c r="FRL76" s="108"/>
      <c r="FRM76" s="108"/>
      <c r="FRN76" s="108"/>
      <c r="FRO76" s="108"/>
      <c r="FRP76" s="108"/>
      <c r="FRQ76" s="108"/>
      <c r="FRR76" s="108"/>
      <c r="FRS76" s="108"/>
      <c r="FRT76" s="108"/>
      <c r="FRU76" s="108"/>
      <c r="FRV76" s="108"/>
      <c r="FRW76" s="108"/>
      <c r="FRX76" s="108"/>
      <c r="FRY76" s="108"/>
      <c r="FRZ76" s="108"/>
      <c r="FSA76" s="108"/>
      <c r="FSB76" s="108"/>
      <c r="FSC76" s="108"/>
      <c r="FSD76" s="108"/>
      <c r="FSE76" s="108"/>
      <c r="FSF76" s="108"/>
      <c r="FSG76" s="108"/>
      <c r="FSH76" s="108"/>
      <c r="FSI76" s="108"/>
      <c r="FSJ76" s="108"/>
      <c r="FSK76" s="108"/>
      <c r="FSL76" s="108"/>
      <c r="FSM76" s="108"/>
      <c r="FSN76" s="108"/>
      <c r="FSO76" s="108"/>
      <c r="FSP76" s="108"/>
      <c r="FSQ76" s="108"/>
      <c r="FSR76" s="108"/>
      <c r="FSS76" s="108"/>
      <c r="FST76" s="108"/>
      <c r="FSU76" s="108"/>
      <c r="FSV76" s="108"/>
      <c r="FSW76" s="108"/>
      <c r="FSX76" s="108"/>
      <c r="FSY76" s="108"/>
      <c r="FSZ76" s="108"/>
      <c r="FTA76" s="108"/>
      <c r="FTB76" s="108"/>
      <c r="FTC76" s="108"/>
      <c r="FTD76" s="108"/>
      <c r="FTE76" s="108"/>
      <c r="FTF76" s="108"/>
      <c r="FTG76" s="108"/>
      <c r="FTH76" s="108"/>
      <c r="FTI76" s="108"/>
      <c r="FTJ76" s="108"/>
      <c r="FTK76" s="108"/>
      <c r="FTL76" s="108"/>
      <c r="FTM76" s="108"/>
      <c r="FTN76" s="108"/>
      <c r="FTO76" s="108"/>
      <c r="FTP76" s="108"/>
      <c r="FTQ76" s="108"/>
      <c r="FTR76" s="108"/>
      <c r="FTS76" s="108"/>
      <c r="FTT76" s="108"/>
      <c r="FTU76" s="108"/>
      <c r="FTV76" s="108"/>
      <c r="FTW76" s="108"/>
      <c r="FTX76" s="108"/>
      <c r="FTY76" s="108"/>
      <c r="FTZ76" s="108"/>
      <c r="FUA76" s="108"/>
      <c r="FUB76" s="108"/>
      <c r="FUC76" s="108"/>
      <c r="FUD76" s="108"/>
      <c r="FUE76" s="108"/>
      <c r="FUF76" s="108"/>
      <c r="FUG76" s="108"/>
      <c r="FUH76" s="108"/>
      <c r="FUI76" s="108"/>
      <c r="FUJ76" s="108"/>
      <c r="FUK76" s="108"/>
      <c r="FUL76" s="108"/>
      <c r="FUM76" s="108"/>
      <c r="FUN76" s="108"/>
      <c r="FUO76" s="108"/>
      <c r="FUP76" s="108"/>
      <c r="FUQ76" s="108"/>
      <c r="FUR76" s="108"/>
      <c r="FUS76" s="108"/>
      <c r="FUT76" s="108"/>
      <c r="FUU76" s="108"/>
      <c r="FUV76" s="108"/>
      <c r="FUW76" s="108"/>
      <c r="FUX76" s="108"/>
      <c r="FUY76" s="108"/>
      <c r="FUZ76" s="108"/>
      <c r="FVA76" s="108"/>
      <c r="FVB76" s="108"/>
      <c r="FVC76" s="108"/>
      <c r="FVD76" s="108"/>
      <c r="FVE76" s="108"/>
      <c r="FVF76" s="108"/>
      <c r="FVG76" s="108"/>
      <c r="FVH76" s="108"/>
      <c r="FVI76" s="108"/>
      <c r="FVJ76" s="108"/>
      <c r="FVK76" s="108"/>
      <c r="FVL76" s="108"/>
      <c r="FVM76" s="108"/>
      <c r="FVN76" s="108"/>
      <c r="FVO76" s="108"/>
      <c r="FVP76" s="108"/>
      <c r="FVQ76" s="108"/>
      <c r="FVR76" s="108"/>
      <c r="FVS76" s="108"/>
      <c r="FVT76" s="108"/>
      <c r="FVU76" s="108"/>
      <c r="FVV76" s="108"/>
      <c r="FVW76" s="108"/>
      <c r="FVX76" s="108"/>
      <c r="FVY76" s="108"/>
      <c r="FVZ76" s="108"/>
      <c r="FWA76" s="108"/>
      <c r="FWB76" s="108"/>
      <c r="FWC76" s="108"/>
      <c r="FWD76" s="108"/>
      <c r="FWE76" s="108"/>
      <c r="FWF76" s="108"/>
      <c r="FWG76" s="108"/>
      <c r="FWH76" s="108"/>
      <c r="FWI76" s="108"/>
      <c r="FWJ76" s="108"/>
      <c r="FWK76" s="108"/>
      <c r="FWL76" s="108"/>
      <c r="FWM76" s="108"/>
      <c r="FWN76" s="108"/>
      <c r="FWO76" s="108"/>
      <c r="FWP76" s="108"/>
      <c r="FWQ76" s="108"/>
      <c r="FWR76" s="108"/>
      <c r="FWS76" s="108"/>
      <c r="FWT76" s="108"/>
      <c r="FWU76" s="108"/>
      <c r="FWV76" s="108"/>
      <c r="FWW76" s="108"/>
      <c r="FWX76" s="108"/>
      <c r="FWY76" s="108"/>
      <c r="FWZ76" s="108"/>
      <c r="FXA76" s="108"/>
      <c r="FXB76" s="108"/>
      <c r="FXC76" s="108"/>
      <c r="FXD76" s="108"/>
      <c r="FXE76" s="108"/>
      <c r="FXF76" s="108"/>
      <c r="FXG76" s="108"/>
      <c r="FXH76" s="108"/>
      <c r="FXI76" s="108"/>
      <c r="FXJ76" s="108"/>
      <c r="FXK76" s="108"/>
      <c r="FXL76" s="108"/>
      <c r="FXM76" s="108"/>
      <c r="FXN76" s="108"/>
      <c r="FXO76" s="108"/>
      <c r="FXP76" s="108"/>
      <c r="FXQ76" s="108"/>
      <c r="FXR76" s="108"/>
      <c r="FXS76" s="108"/>
      <c r="FXT76" s="108"/>
      <c r="FXU76" s="108"/>
      <c r="FXV76" s="108"/>
      <c r="FXW76" s="108"/>
      <c r="FXX76" s="108"/>
      <c r="FXY76" s="108"/>
      <c r="FXZ76" s="108"/>
      <c r="FYA76" s="108"/>
      <c r="FYB76" s="108"/>
      <c r="FYC76" s="108"/>
      <c r="FYD76" s="108"/>
      <c r="FYE76" s="108"/>
      <c r="FYF76" s="108"/>
      <c r="FYG76" s="108"/>
      <c r="FYH76" s="108"/>
      <c r="FYI76" s="108"/>
      <c r="FYJ76" s="108"/>
      <c r="FYK76" s="108"/>
      <c r="FYL76" s="108"/>
      <c r="FYM76" s="108"/>
      <c r="FYN76" s="108"/>
      <c r="FYO76" s="108"/>
      <c r="FYP76" s="108"/>
      <c r="FYQ76" s="108"/>
      <c r="FYR76" s="108"/>
      <c r="FYS76" s="108"/>
      <c r="FYT76" s="108"/>
      <c r="FYU76" s="108"/>
      <c r="FYV76" s="108"/>
      <c r="FYW76" s="108"/>
      <c r="FYX76" s="108"/>
      <c r="FYY76" s="108"/>
      <c r="FYZ76" s="108"/>
      <c r="FZA76" s="108"/>
      <c r="FZB76" s="108"/>
      <c r="FZC76" s="108"/>
      <c r="FZD76" s="108"/>
      <c r="FZE76" s="108"/>
      <c r="FZF76" s="108"/>
      <c r="FZG76" s="108"/>
      <c r="FZH76" s="108"/>
      <c r="FZI76" s="108"/>
      <c r="FZJ76" s="108"/>
      <c r="FZK76" s="108"/>
      <c r="FZL76" s="108"/>
      <c r="FZM76" s="108"/>
      <c r="FZN76" s="108"/>
      <c r="FZO76" s="108"/>
      <c r="FZP76" s="108"/>
      <c r="FZQ76" s="108"/>
      <c r="FZR76" s="108"/>
      <c r="FZS76" s="108"/>
      <c r="FZT76" s="108"/>
      <c r="FZU76" s="108"/>
      <c r="FZV76" s="108"/>
      <c r="FZW76" s="108"/>
      <c r="FZX76" s="108"/>
      <c r="FZY76" s="108"/>
      <c r="FZZ76" s="108"/>
      <c r="GAA76" s="108"/>
      <c r="GAB76" s="108"/>
      <c r="GAC76" s="108"/>
      <c r="GAD76" s="108"/>
      <c r="GAE76" s="108"/>
      <c r="GAF76" s="108"/>
      <c r="GAG76" s="108"/>
      <c r="GAH76" s="108"/>
      <c r="GAI76" s="108"/>
      <c r="GAJ76" s="108"/>
      <c r="GAK76" s="108"/>
      <c r="GAL76" s="108"/>
      <c r="GAM76" s="108"/>
      <c r="GAN76" s="108"/>
      <c r="GAO76" s="108"/>
      <c r="GAP76" s="108"/>
      <c r="GAQ76" s="108"/>
      <c r="GAR76" s="108"/>
      <c r="GAS76" s="108"/>
      <c r="GAT76" s="108"/>
      <c r="GAU76" s="108"/>
      <c r="GAV76" s="108"/>
      <c r="GAW76" s="108"/>
      <c r="GAX76" s="108"/>
      <c r="GAY76" s="108"/>
      <c r="GAZ76" s="108"/>
      <c r="GBA76" s="108"/>
      <c r="GBB76" s="108"/>
      <c r="GBC76" s="108"/>
      <c r="GBD76" s="108"/>
      <c r="GBE76" s="108"/>
      <c r="GBF76" s="108"/>
      <c r="GBG76" s="108"/>
      <c r="GBH76" s="108"/>
      <c r="GBI76" s="108"/>
      <c r="GBJ76" s="108"/>
      <c r="GBK76" s="108"/>
      <c r="GBL76" s="108"/>
      <c r="GBM76" s="108"/>
      <c r="GBN76" s="108"/>
      <c r="GBO76" s="108"/>
      <c r="GBP76" s="108"/>
      <c r="GBQ76" s="108"/>
      <c r="GBR76" s="108"/>
      <c r="GBS76" s="108"/>
      <c r="GBT76" s="108"/>
      <c r="GBU76" s="108"/>
      <c r="GBV76" s="108"/>
      <c r="GBW76" s="108"/>
      <c r="GBX76" s="108"/>
      <c r="GBY76" s="108"/>
      <c r="GBZ76" s="108"/>
      <c r="GCA76" s="108"/>
      <c r="GCB76" s="108"/>
      <c r="GCC76" s="108"/>
      <c r="GCD76" s="108"/>
      <c r="GCE76" s="108"/>
      <c r="GCF76" s="108"/>
      <c r="GCG76" s="108"/>
      <c r="GCH76" s="108"/>
      <c r="GCI76" s="108"/>
      <c r="GCJ76" s="108"/>
      <c r="GCK76" s="108"/>
      <c r="GCL76" s="108"/>
      <c r="GCM76" s="108"/>
      <c r="GCN76" s="108"/>
      <c r="GCO76" s="108"/>
      <c r="GCP76" s="108"/>
      <c r="GCQ76" s="108"/>
      <c r="GCR76" s="108"/>
      <c r="GCS76" s="108"/>
      <c r="GCT76" s="108"/>
      <c r="GCU76" s="108"/>
      <c r="GCV76" s="108"/>
      <c r="GCW76" s="108"/>
      <c r="GCX76" s="108"/>
      <c r="GCY76" s="108"/>
      <c r="GCZ76" s="108"/>
      <c r="GDA76" s="108"/>
      <c r="GDB76" s="108"/>
      <c r="GDC76" s="108"/>
      <c r="GDD76" s="108"/>
      <c r="GDE76" s="108"/>
      <c r="GDF76" s="108"/>
      <c r="GDG76" s="108"/>
      <c r="GDH76" s="108"/>
      <c r="GDI76" s="108"/>
      <c r="GDJ76" s="108"/>
      <c r="GDK76" s="108"/>
      <c r="GDL76" s="108"/>
      <c r="GDM76" s="108"/>
      <c r="GDN76" s="108"/>
      <c r="GDO76" s="108"/>
      <c r="GDP76" s="108"/>
      <c r="GDQ76" s="108"/>
      <c r="GDR76" s="108"/>
      <c r="GDS76" s="108"/>
      <c r="GDT76" s="108"/>
      <c r="GDU76" s="108"/>
      <c r="GDV76" s="108"/>
      <c r="GDW76" s="108"/>
      <c r="GDX76" s="108"/>
      <c r="GDY76" s="108"/>
      <c r="GDZ76" s="108"/>
      <c r="GEA76" s="108"/>
      <c r="GEB76" s="108"/>
      <c r="GEC76" s="108"/>
      <c r="GED76" s="108"/>
      <c r="GEE76" s="108"/>
      <c r="GEF76" s="108"/>
      <c r="GEG76" s="108"/>
      <c r="GEH76" s="108"/>
      <c r="GEI76" s="108"/>
      <c r="GEJ76" s="108"/>
      <c r="GEK76" s="108"/>
      <c r="GEL76" s="108"/>
      <c r="GEM76" s="108"/>
      <c r="GEN76" s="108"/>
      <c r="GEO76" s="108"/>
      <c r="GEP76" s="108"/>
      <c r="GEQ76" s="108"/>
      <c r="GER76" s="108"/>
      <c r="GES76" s="108"/>
      <c r="GET76" s="108"/>
      <c r="GEU76" s="108"/>
      <c r="GEV76" s="108"/>
      <c r="GEW76" s="108"/>
      <c r="GEX76" s="108"/>
      <c r="GEY76" s="108"/>
      <c r="GEZ76" s="108"/>
      <c r="GFA76" s="108"/>
      <c r="GFB76" s="108"/>
      <c r="GFC76" s="108"/>
      <c r="GFD76" s="108"/>
      <c r="GFE76" s="108"/>
      <c r="GFF76" s="108"/>
      <c r="GFG76" s="108"/>
      <c r="GFH76" s="108"/>
      <c r="GFI76" s="108"/>
      <c r="GFJ76" s="108"/>
      <c r="GFK76" s="108"/>
      <c r="GFL76" s="108"/>
      <c r="GFM76" s="108"/>
      <c r="GFN76" s="108"/>
      <c r="GFO76" s="108"/>
      <c r="GFP76" s="108"/>
      <c r="GFQ76" s="108"/>
      <c r="GFR76" s="108"/>
      <c r="GFS76" s="108"/>
      <c r="GFT76" s="108"/>
      <c r="GFU76" s="108"/>
      <c r="GFV76" s="108"/>
      <c r="GFW76" s="108"/>
      <c r="GFX76" s="108"/>
      <c r="GFY76" s="108"/>
      <c r="GFZ76" s="108"/>
      <c r="GGA76" s="108"/>
      <c r="GGB76" s="108"/>
      <c r="GGC76" s="108"/>
      <c r="GGD76" s="108"/>
      <c r="GGE76" s="108"/>
      <c r="GGF76" s="108"/>
      <c r="GGG76" s="108"/>
      <c r="GGH76" s="108"/>
      <c r="GGI76" s="108"/>
      <c r="GGJ76" s="108"/>
      <c r="GGK76" s="108"/>
      <c r="GGL76" s="108"/>
      <c r="GGM76" s="108"/>
      <c r="GGN76" s="108"/>
      <c r="GGO76" s="108"/>
      <c r="GGP76" s="108"/>
      <c r="GGQ76" s="108"/>
      <c r="GGR76" s="108"/>
      <c r="GGS76" s="108"/>
      <c r="GGT76" s="108"/>
      <c r="GGU76" s="108"/>
      <c r="GGV76" s="108"/>
      <c r="GGW76" s="108"/>
      <c r="GGX76" s="108"/>
      <c r="GGY76" s="108"/>
      <c r="GGZ76" s="108"/>
      <c r="GHA76" s="108"/>
      <c r="GHB76" s="108"/>
      <c r="GHC76" s="108"/>
      <c r="GHD76" s="108"/>
      <c r="GHE76" s="108"/>
      <c r="GHF76" s="108"/>
      <c r="GHG76" s="108"/>
      <c r="GHH76" s="108"/>
      <c r="GHI76" s="108"/>
      <c r="GHJ76" s="108"/>
      <c r="GHK76" s="108"/>
      <c r="GHL76" s="108"/>
      <c r="GHM76" s="108"/>
      <c r="GHN76" s="108"/>
      <c r="GHO76" s="108"/>
      <c r="GHP76" s="108"/>
      <c r="GHQ76" s="108"/>
      <c r="GHR76" s="108"/>
      <c r="GHS76" s="108"/>
      <c r="GHT76" s="108"/>
      <c r="GHU76" s="108"/>
      <c r="GHV76" s="108"/>
      <c r="GHW76" s="108"/>
      <c r="GHX76" s="108"/>
      <c r="GHY76" s="108"/>
      <c r="GHZ76" s="108"/>
      <c r="GIA76" s="108"/>
      <c r="GIB76" s="108"/>
      <c r="GIC76" s="108"/>
      <c r="GID76" s="108"/>
      <c r="GIE76" s="108"/>
      <c r="GIF76" s="108"/>
      <c r="GIG76" s="108"/>
      <c r="GIH76" s="108"/>
      <c r="GII76" s="108"/>
      <c r="GIJ76" s="108"/>
      <c r="GIK76" s="108"/>
      <c r="GIL76" s="108"/>
      <c r="GIM76" s="108"/>
      <c r="GIN76" s="108"/>
      <c r="GIO76" s="108"/>
      <c r="GIP76" s="108"/>
      <c r="GIQ76" s="108"/>
      <c r="GIR76" s="108"/>
      <c r="GIS76" s="108"/>
      <c r="GIT76" s="108"/>
      <c r="GIU76" s="108"/>
      <c r="GIV76" s="108"/>
      <c r="GIW76" s="108"/>
      <c r="GIX76" s="108"/>
      <c r="GIY76" s="108"/>
      <c r="GIZ76" s="108"/>
      <c r="GJA76" s="108"/>
      <c r="GJB76" s="108"/>
      <c r="GJC76" s="108"/>
      <c r="GJD76" s="108"/>
      <c r="GJE76" s="108"/>
      <c r="GJF76" s="108"/>
      <c r="GJG76" s="108"/>
      <c r="GJH76" s="108"/>
      <c r="GJI76" s="108"/>
      <c r="GJJ76" s="108"/>
      <c r="GJK76" s="108"/>
      <c r="GJL76" s="108"/>
      <c r="GJM76" s="108"/>
      <c r="GJN76" s="108"/>
      <c r="GJO76" s="108"/>
      <c r="GJP76" s="108"/>
      <c r="GJQ76" s="108"/>
      <c r="GJR76" s="108"/>
      <c r="GJS76" s="108"/>
      <c r="GJT76" s="108"/>
      <c r="GJU76" s="108"/>
      <c r="GJV76" s="108"/>
      <c r="GJW76" s="108"/>
      <c r="GJX76" s="108"/>
      <c r="GJY76" s="108"/>
      <c r="GJZ76" s="108"/>
      <c r="GKA76" s="108"/>
      <c r="GKB76" s="108"/>
      <c r="GKC76" s="108"/>
      <c r="GKD76" s="108"/>
      <c r="GKE76" s="108"/>
      <c r="GKF76" s="108"/>
      <c r="GKG76" s="108"/>
      <c r="GKH76" s="108"/>
      <c r="GKI76" s="108"/>
      <c r="GKJ76" s="108"/>
      <c r="GKK76" s="108"/>
      <c r="GKL76" s="108"/>
      <c r="GKM76" s="108"/>
      <c r="GKN76" s="108"/>
      <c r="GKO76" s="108"/>
      <c r="GKP76" s="108"/>
      <c r="GKQ76" s="108"/>
      <c r="GKR76" s="108"/>
      <c r="GKS76" s="108"/>
      <c r="GKT76" s="108"/>
      <c r="GKU76" s="108"/>
      <c r="GKV76" s="108"/>
      <c r="GKW76" s="108"/>
      <c r="GKX76" s="108"/>
      <c r="GKY76" s="108"/>
      <c r="GKZ76" s="108"/>
      <c r="GLA76" s="108"/>
      <c r="GLB76" s="108"/>
      <c r="GLC76" s="108"/>
      <c r="GLD76" s="108"/>
      <c r="GLE76" s="108"/>
      <c r="GLF76" s="108"/>
      <c r="GLG76" s="108"/>
      <c r="GLH76" s="108"/>
      <c r="GLI76" s="108"/>
      <c r="GLJ76" s="108"/>
      <c r="GLK76" s="108"/>
      <c r="GLL76" s="108"/>
      <c r="GLM76" s="108"/>
      <c r="GLN76" s="108"/>
      <c r="GLO76" s="108"/>
      <c r="GLP76" s="108"/>
      <c r="GLQ76" s="108"/>
      <c r="GLR76" s="108"/>
      <c r="GLS76" s="108"/>
      <c r="GLT76" s="108"/>
      <c r="GLU76" s="108"/>
      <c r="GLV76" s="108"/>
      <c r="GLW76" s="108"/>
      <c r="GLX76" s="108"/>
      <c r="GLY76" s="108"/>
      <c r="GLZ76" s="108"/>
      <c r="GMA76" s="108"/>
      <c r="GMB76" s="108"/>
      <c r="GMC76" s="108"/>
      <c r="GMD76" s="108"/>
      <c r="GME76" s="108"/>
      <c r="GMF76" s="108"/>
      <c r="GMG76" s="108"/>
      <c r="GMH76" s="108"/>
      <c r="GMI76" s="108"/>
      <c r="GMJ76" s="108"/>
      <c r="GMK76" s="108"/>
      <c r="GML76" s="108"/>
      <c r="GMM76" s="108"/>
      <c r="GMN76" s="108"/>
      <c r="GMO76" s="108"/>
      <c r="GMP76" s="108"/>
      <c r="GMQ76" s="108"/>
      <c r="GMR76" s="108"/>
      <c r="GMS76" s="108"/>
      <c r="GMT76" s="108"/>
      <c r="GMU76" s="108"/>
      <c r="GMV76" s="108"/>
      <c r="GMW76" s="108"/>
      <c r="GMX76" s="108"/>
      <c r="GMY76" s="108"/>
      <c r="GMZ76" s="108"/>
      <c r="GNA76" s="108"/>
      <c r="GNB76" s="108"/>
      <c r="GNC76" s="108"/>
      <c r="GND76" s="108"/>
      <c r="GNE76" s="108"/>
      <c r="GNF76" s="108"/>
      <c r="GNG76" s="108"/>
      <c r="GNH76" s="108"/>
      <c r="GNI76" s="108"/>
      <c r="GNJ76" s="108"/>
      <c r="GNK76" s="108"/>
      <c r="GNL76" s="108"/>
      <c r="GNM76" s="108"/>
      <c r="GNN76" s="108"/>
      <c r="GNO76" s="108"/>
      <c r="GNP76" s="108"/>
      <c r="GNQ76" s="108"/>
      <c r="GNR76" s="108"/>
      <c r="GNS76" s="108"/>
      <c r="GNT76" s="108"/>
      <c r="GNU76" s="108"/>
      <c r="GNV76" s="108"/>
      <c r="GNW76" s="108"/>
      <c r="GNX76" s="108"/>
      <c r="GNY76" s="108"/>
      <c r="GNZ76" s="108"/>
      <c r="GOA76" s="108"/>
      <c r="GOB76" s="108"/>
      <c r="GOC76" s="108"/>
      <c r="GOD76" s="108"/>
      <c r="GOE76" s="108"/>
      <c r="GOF76" s="108"/>
      <c r="GOG76" s="108"/>
      <c r="GOH76" s="108"/>
      <c r="GOI76" s="108"/>
      <c r="GOJ76" s="108"/>
      <c r="GOK76" s="108"/>
      <c r="GOL76" s="108"/>
      <c r="GOM76" s="108"/>
      <c r="GON76" s="108"/>
      <c r="GOO76" s="108"/>
      <c r="GOP76" s="108"/>
      <c r="GOQ76" s="108"/>
      <c r="GOR76" s="108"/>
      <c r="GOS76" s="108"/>
      <c r="GOT76" s="108"/>
      <c r="GOU76" s="108"/>
      <c r="GOV76" s="108"/>
      <c r="GOW76" s="108"/>
      <c r="GOX76" s="108"/>
      <c r="GOY76" s="108"/>
      <c r="GOZ76" s="108"/>
      <c r="GPA76" s="108"/>
      <c r="GPB76" s="108"/>
      <c r="GPC76" s="108"/>
      <c r="GPD76" s="108"/>
      <c r="GPE76" s="108"/>
      <c r="GPF76" s="108"/>
      <c r="GPG76" s="108"/>
      <c r="GPH76" s="108"/>
      <c r="GPI76" s="108"/>
      <c r="GPJ76" s="108"/>
      <c r="GPK76" s="108"/>
      <c r="GPL76" s="108"/>
      <c r="GPM76" s="108"/>
      <c r="GPN76" s="108"/>
      <c r="GPO76" s="108"/>
      <c r="GPP76" s="108"/>
      <c r="GPQ76" s="108"/>
      <c r="GPR76" s="108"/>
      <c r="GPS76" s="108"/>
      <c r="GPT76" s="108"/>
      <c r="GPU76" s="108"/>
      <c r="GPV76" s="108"/>
      <c r="GPW76" s="108"/>
      <c r="GPX76" s="108"/>
      <c r="GPY76" s="108"/>
      <c r="GPZ76" s="108"/>
      <c r="GQA76" s="108"/>
      <c r="GQB76" s="108"/>
      <c r="GQC76" s="108"/>
      <c r="GQD76" s="108"/>
      <c r="GQE76" s="108"/>
      <c r="GQF76" s="108"/>
      <c r="GQG76" s="108"/>
      <c r="GQH76" s="108"/>
      <c r="GQI76" s="108"/>
      <c r="GQJ76" s="108"/>
      <c r="GQK76" s="108"/>
      <c r="GQL76" s="108"/>
      <c r="GQM76" s="108"/>
      <c r="GQN76" s="108"/>
      <c r="GQO76" s="108"/>
      <c r="GQP76" s="108"/>
      <c r="GQQ76" s="108"/>
      <c r="GQR76" s="108"/>
      <c r="GQS76" s="108"/>
      <c r="GQT76" s="108"/>
      <c r="GQU76" s="108"/>
      <c r="GQV76" s="108"/>
      <c r="GQW76" s="108"/>
      <c r="GQX76" s="108"/>
      <c r="GQY76" s="108"/>
      <c r="GQZ76" s="108"/>
      <c r="GRA76" s="108"/>
      <c r="GRB76" s="108"/>
      <c r="GRC76" s="108"/>
      <c r="GRD76" s="108"/>
      <c r="GRE76" s="108"/>
      <c r="GRF76" s="108"/>
      <c r="GRG76" s="108"/>
      <c r="GRH76" s="108"/>
      <c r="GRI76" s="108"/>
      <c r="GRJ76" s="108"/>
      <c r="GRK76" s="108"/>
      <c r="GRL76" s="108"/>
      <c r="GRM76" s="108"/>
      <c r="GRN76" s="108"/>
      <c r="GRO76" s="108"/>
      <c r="GRP76" s="108"/>
      <c r="GRQ76" s="108"/>
      <c r="GRR76" s="108"/>
      <c r="GRS76" s="108"/>
      <c r="GRT76" s="108"/>
      <c r="GRU76" s="108"/>
      <c r="GRV76" s="108"/>
      <c r="GRW76" s="108"/>
      <c r="GRX76" s="108"/>
      <c r="GRY76" s="108"/>
      <c r="GRZ76" s="108"/>
      <c r="GSA76" s="108"/>
      <c r="GSB76" s="108"/>
      <c r="GSC76" s="108"/>
      <c r="GSD76" s="108"/>
      <c r="GSE76" s="108"/>
      <c r="GSF76" s="108"/>
      <c r="GSG76" s="108"/>
      <c r="GSH76" s="108"/>
      <c r="GSI76" s="108"/>
      <c r="GSJ76" s="108"/>
      <c r="GSK76" s="108"/>
      <c r="GSL76" s="108"/>
      <c r="GSM76" s="108"/>
      <c r="GSN76" s="108"/>
      <c r="GSO76" s="108"/>
      <c r="GSP76" s="108"/>
      <c r="GSQ76" s="108"/>
      <c r="GSR76" s="108"/>
      <c r="GSS76" s="108"/>
      <c r="GST76" s="108"/>
      <c r="GSU76" s="108"/>
      <c r="GSV76" s="108"/>
      <c r="GSW76" s="108"/>
      <c r="GSX76" s="108"/>
      <c r="GSY76" s="108"/>
      <c r="GSZ76" s="108"/>
      <c r="GTA76" s="108"/>
      <c r="GTB76" s="108"/>
      <c r="GTC76" s="108"/>
      <c r="GTD76" s="108"/>
      <c r="GTE76" s="108"/>
      <c r="GTF76" s="108"/>
      <c r="GTG76" s="108"/>
      <c r="GTH76" s="108"/>
      <c r="GTI76" s="108"/>
      <c r="GTJ76" s="108"/>
      <c r="GTK76" s="108"/>
      <c r="GTL76" s="108"/>
      <c r="GTM76" s="108"/>
      <c r="GTN76" s="108"/>
      <c r="GTO76" s="108"/>
      <c r="GTP76" s="108"/>
      <c r="GTQ76" s="108"/>
      <c r="GTR76" s="108"/>
      <c r="GTS76" s="108"/>
      <c r="GTT76" s="108"/>
      <c r="GTU76" s="108"/>
      <c r="GTV76" s="108"/>
      <c r="GTW76" s="108"/>
      <c r="GTX76" s="108"/>
      <c r="GTY76" s="108"/>
      <c r="GTZ76" s="108"/>
      <c r="GUA76" s="108"/>
      <c r="GUB76" s="108"/>
      <c r="GUC76" s="108"/>
      <c r="GUD76" s="108"/>
      <c r="GUE76" s="108"/>
      <c r="GUF76" s="108"/>
      <c r="GUG76" s="108"/>
      <c r="GUH76" s="108"/>
      <c r="GUI76" s="108"/>
      <c r="GUJ76" s="108"/>
      <c r="GUK76" s="108"/>
      <c r="GUL76" s="108"/>
      <c r="GUM76" s="108"/>
      <c r="GUN76" s="108"/>
      <c r="GUO76" s="108"/>
      <c r="GUP76" s="108"/>
      <c r="GUQ76" s="108"/>
      <c r="GUR76" s="108"/>
      <c r="GUS76" s="108"/>
      <c r="GUT76" s="108"/>
      <c r="GUU76" s="108"/>
      <c r="GUV76" s="108"/>
      <c r="GUW76" s="108"/>
      <c r="GUX76" s="108"/>
      <c r="GUY76" s="108"/>
      <c r="GUZ76" s="108"/>
      <c r="GVA76" s="108"/>
      <c r="GVB76" s="108"/>
      <c r="GVC76" s="108"/>
      <c r="GVD76" s="108"/>
      <c r="GVE76" s="108"/>
      <c r="GVF76" s="108"/>
      <c r="GVG76" s="108"/>
      <c r="GVH76" s="108"/>
      <c r="GVI76" s="108"/>
      <c r="GVJ76" s="108"/>
      <c r="GVK76" s="108"/>
      <c r="GVL76" s="108"/>
      <c r="GVM76" s="108"/>
      <c r="GVN76" s="108"/>
      <c r="GVO76" s="108"/>
      <c r="GVP76" s="108"/>
      <c r="GVQ76" s="108"/>
      <c r="GVR76" s="108"/>
      <c r="GVS76" s="108"/>
      <c r="GVT76" s="108"/>
      <c r="GVU76" s="108"/>
      <c r="GVV76" s="108"/>
      <c r="GVW76" s="108"/>
      <c r="GVX76" s="108"/>
      <c r="GVY76" s="108"/>
      <c r="GVZ76" s="108"/>
      <c r="GWA76" s="108"/>
      <c r="GWB76" s="108"/>
      <c r="GWC76" s="108"/>
      <c r="GWD76" s="108"/>
      <c r="GWE76" s="108"/>
      <c r="GWF76" s="108"/>
      <c r="GWG76" s="108"/>
      <c r="GWH76" s="108"/>
      <c r="GWI76" s="108"/>
      <c r="GWJ76" s="108"/>
      <c r="GWK76" s="108"/>
      <c r="GWL76" s="108"/>
      <c r="GWM76" s="108"/>
      <c r="GWN76" s="108"/>
      <c r="GWO76" s="108"/>
      <c r="GWP76" s="108"/>
      <c r="GWQ76" s="108"/>
      <c r="GWR76" s="108"/>
      <c r="GWS76" s="108"/>
      <c r="GWT76" s="108"/>
      <c r="GWU76" s="108"/>
      <c r="GWV76" s="108"/>
      <c r="GWW76" s="108"/>
      <c r="GWX76" s="108"/>
      <c r="GWY76" s="108"/>
      <c r="GWZ76" s="108"/>
      <c r="GXA76" s="108"/>
      <c r="GXB76" s="108"/>
      <c r="GXC76" s="108"/>
      <c r="GXD76" s="108"/>
      <c r="GXE76" s="108"/>
      <c r="GXF76" s="108"/>
      <c r="GXG76" s="108"/>
      <c r="GXH76" s="108"/>
      <c r="GXI76" s="108"/>
      <c r="GXJ76" s="108"/>
      <c r="GXK76" s="108"/>
      <c r="GXL76" s="108"/>
      <c r="GXM76" s="108"/>
      <c r="GXN76" s="108"/>
      <c r="GXO76" s="108"/>
      <c r="GXP76" s="108"/>
      <c r="GXQ76" s="108"/>
      <c r="GXR76" s="108"/>
      <c r="GXS76" s="108"/>
      <c r="GXT76" s="108"/>
      <c r="GXU76" s="108"/>
      <c r="GXV76" s="108"/>
      <c r="GXW76" s="108"/>
      <c r="GXX76" s="108"/>
      <c r="GXY76" s="108"/>
      <c r="GXZ76" s="108"/>
      <c r="GYA76" s="108"/>
      <c r="GYB76" s="108"/>
      <c r="GYC76" s="108"/>
      <c r="GYD76" s="108"/>
      <c r="GYE76" s="108"/>
      <c r="GYF76" s="108"/>
      <c r="GYG76" s="108"/>
      <c r="GYH76" s="108"/>
      <c r="GYI76" s="108"/>
      <c r="GYJ76" s="108"/>
      <c r="GYK76" s="108"/>
      <c r="GYL76" s="108"/>
      <c r="GYM76" s="108"/>
      <c r="GYN76" s="108"/>
      <c r="GYO76" s="108"/>
      <c r="GYP76" s="108"/>
      <c r="GYQ76" s="108"/>
      <c r="GYR76" s="108"/>
      <c r="GYS76" s="108"/>
      <c r="GYT76" s="108"/>
      <c r="GYU76" s="108"/>
      <c r="GYV76" s="108"/>
      <c r="GYW76" s="108"/>
      <c r="GYX76" s="108"/>
      <c r="GYY76" s="108"/>
      <c r="GYZ76" s="108"/>
      <c r="GZA76" s="108"/>
      <c r="GZB76" s="108"/>
      <c r="GZC76" s="108"/>
      <c r="GZD76" s="108"/>
      <c r="GZE76" s="108"/>
      <c r="GZF76" s="108"/>
      <c r="GZG76" s="108"/>
      <c r="GZH76" s="108"/>
      <c r="GZI76" s="108"/>
      <c r="GZJ76" s="108"/>
      <c r="GZK76" s="108"/>
      <c r="GZL76" s="108"/>
      <c r="GZM76" s="108"/>
      <c r="GZN76" s="108"/>
      <c r="GZO76" s="108"/>
      <c r="GZP76" s="108"/>
      <c r="GZQ76" s="108"/>
      <c r="GZR76" s="108"/>
      <c r="GZS76" s="108"/>
      <c r="GZT76" s="108"/>
      <c r="GZU76" s="108"/>
      <c r="GZV76" s="108"/>
      <c r="GZW76" s="108"/>
      <c r="GZX76" s="108"/>
      <c r="GZY76" s="108"/>
      <c r="GZZ76" s="108"/>
      <c r="HAA76" s="108"/>
      <c r="HAB76" s="108"/>
      <c r="HAC76" s="108"/>
      <c r="HAD76" s="108"/>
      <c r="HAE76" s="108"/>
      <c r="HAF76" s="108"/>
      <c r="HAG76" s="108"/>
      <c r="HAH76" s="108"/>
      <c r="HAI76" s="108"/>
      <c r="HAJ76" s="108"/>
      <c r="HAK76" s="108"/>
      <c r="HAL76" s="108"/>
      <c r="HAM76" s="108"/>
      <c r="HAN76" s="108"/>
      <c r="HAO76" s="108"/>
      <c r="HAP76" s="108"/>
      <c r="HAQ76" s="108"/>
      <c r="HAR76" s="108"/>
      <c r="HAS76" s="108"/>
      <c r="HAT76" s="108"/>
      <c r="HAU76" s="108"/>
      <c r="HAV76" s="108"/>
      <c r="HAW76" s="108"/>
      <c r="HAX76" s="108"/>
      <c r="HAY76" s="108"/>
      <c r="HAZ76" s="108"/>
      <c r="HBA76" s="108"/>
      <c r="HBB76" s="108"/>
      <c r="HBC76" s="108"/>
      <c r="HBD76" s="108"/>
      <c r="HBE76" s="108"/>
      <c r="HBF76" s="108"/>
      <c r="HBG76" s="108"/>
      <c r="HBH76" s="108"/>
      <c r="HBI76" s="108"/>
      <c r="HBJ76" s="108"/>
      <c r="HBK76" s="108"/>
      <c r="HBL76" s="108"/>
      <c r="HBM76" s="108"/>
      <c r="HBN76" s="108"/>
      <c r="HBO76" s="108"/>
      <c r="HBP76" s="108"/>
      <c r="HBQ76" s="108"/>
      <c r="HBR76" s="108"/>
      <c r="HBS76" s="108"/>
      <c r="HBT76" s="108"/>
      <c r="HBU76" s="108"/>
      <c r="HBV76" s="108"/>
      <c r="HBW76" s="108"/>
      <c r="HBX76" s="108"/>
      <c r="HBY76" s="108"/>
      <c r="HBZ76" s="108"/>
      <c r="HCA76" s="108"/>
      <c r="HCB76" s="108"/>
      <c r="HCC76" s="108"/>
      <c r="HCD76" s="108"/>
      <c r="HCE76" s="108"/>
      <c r="HCF76" s="108"/>
      <c r="HCG76" s="108"/>
      <c r="HCH76" s="108"/>
      <c r="HCI76" s="108"/>
      <c r="HCJ76" s="108"/>
      <c r="HCK76" s="108"/>
      <c r="HCL76" s="108"/>
      <c r="HCM76" s="108"/>
      <c r="HCN76" s="108"/>
      <c r="HCO76" s="108"/>
      <c r="HCP76" s="108"/>
      <c r="HCQ76" s="108"/>
      <c r="HCR76" s="108"/>
      <c r="HCS76" s="108"/>
      <c r="HCT76" s="108"/>
      <c r="HCU76" s="108"/>
      <c r="HCV76" s="108"/>
      <c r="HCW76" s="108"/>
      <c r="HCX76" s="108"/>
      <c r="HCY76" s="108"/>
      <c r="HCZ76" s="108"/>
      <c r="HDA76" s="108"/>
      <c r="HDB76" s="108"/>
      <c r="HDC76" s="108"/>
      <c r="HDD76" s="108"/>
      <c r="HDE76" s="108"/>
      <c r="HDF76" s="108"/>
      <c r="HDG76" s="108"/>
      <c r="HDH76" s="108"/>
      <c r="HDI76" s="108"/>
      <c r="HDJ76" s="108"/>
      <c r="HDK76" s="108"/>
      <c r="HDL76" s="108"/>
      <c r="HDM76" s="108"/>
      <c r="HDN76" s="108"/>
      <c r="HDO76" s="108"/>
      <c r="HDP76" s="108"/>
      <c r="HDQ76" s="108"/>
      <c r="HDR76" s="108"/>
      <c r="HDS76" s="108"/>
      <c r="HDT76" s="108"/>
      <c r="HDU76" s="108"/>
      <c r="HDV76" s="108"/>
      <c r="HDW76" s="108"/>
      <c r="HDX76" s="108"/>
      <c r="HDY76" s="108"/>
      <c r="HDZ76" s="108"/>
      <c r="HEA76" s="108"/>
      <c r="HEB76" s="108"/>
      <c r="HEC76" s="108"/>
      <c r="HED76" s="108"/>
      <c r="HEE76" s="108"/>
      <c r="HEF76" s="108"/>
      <c r="HEG76" s="108"/>
      <c r="HEH76" s="108"/>
      <c r="HEI76" s="108"/>
      <c r="HEJ76" s="108"/>
      <c r="HEK76" s="108"/>
      <c r="HEL76" s="108"/>
      <c r="HEM76" s="108"/>
      <c r="HEN76" s="108"/>
      <c r="HEO76" s="108"/>
      <c r="HEP76" s="108"/>
      <c r="HEQ76" s="108"/>
      <c r="HER76" s="108"/>
      <c r="HES76" s="108"/>
      <c r="HET76" s="108"/>
      <c r="HEU76" s="108"/>
      <c r="HEV76" s="108"/>
      <c r="HEW76" s="108"/>
      <c r="HEX76" s="108"/>
      <c r="HEY76" s="108"/>
      <c r="HEZ76" s="108"/>
      <c r="HFA76" s="108"/>
      <c r="HFB76" s="108"/>
      <c r="HFC76" s="108"/>
      <c r="HFD76" s="108"/>
      <c r="HFE76" s="108"/>
      <c r="HFF76" s="108"/>
      <c r="HFG76" s="108"/>
      <c r="HFH76" s="108"/>
      <c r="HFI76" s="108"/>
      <c r="HFJ76" s="108"/>
      <c r="HFK76" s="108"/>
      <c r="HFL76" s="108"/>
      <c r="HFM76" s="108"/>
      <c r="HFN76" s="108"/>
      <c r="HFO76" s="108"/>
      <c r="HFP76" s="108"/>
      <c r="HFQ76" s="108"/>
      <c r="HFR76" s="108"/>
      <c r="HFS76" s="108"/>
      <c r="HFT76" s="108"/>
      <c r="HFU76" s="108"/>
      <c r="HFV76" s="108"/>
      <c r="HFW76" s="108"/>
      <c r="HFX76" s="108"/>
      <c r="HFY76" s="108"/>
      <c r="HFZ76" s="108"/>
      <c r="HGA76" s="108"/>
      <c r="HGB76" s="108"/>
      <c r="HGC76" s="108"/>
      <c r="HGD76" s="108"/>
      <c r="HGE76" s="108"/>
      <c r="HGF76" s="108"/>
      <c r="HGG76" s="108"/>
      <c r="HGH76" s="108"/>
      <c r="HGI76" s="108"/>
      <c r="HGJ76" s="108"/>
      <c r="HGK76" s="108"/>
      <c r="HGL76" s="108"/>
      <c r="HGM76" s="108"/>
      <c r="HGN76" s="108"/>
      <c r="HGO76" s="108"/>
      <c r="HGP76" s="108"/>
      <c r="HGQ76" s="108"/>
      <c r="HGR76" s="108"/>
      <c r="HGS76" s="108"/>
      <c r="HGT76" s="108"/>
      <c r="HGU76" s="108"/>
      <c r="HGV76" s="108"/>
      <c r="HGW76" s="108"/>
      <c r="HGX76" s="108"/>
      <c r="HGY76" s="108"/>
      <c r="HGZ76" s="108"/>
      <c r="HHA76" s="108"/>
      <c r="HHB76" s="108"/>
      <c r="HHC76" s="108"/>
      <c r="HHD76" s="108"/>
      <c r="HHE76" s="108"/>
      <c r="HHF76" s="108"/>
      <c r="HHG76" s="108"/>
      <c r="HHH76" s="108"/>
      <c r="HHI76" s="108"/>
      <c r="HHJ76" s="108"/>
      <c r="HHK76" s="108"/>
      <c r="HHL76" s="108"/>
      <c r="HHM76" s="108"/>
      <c r="HHN76" s="108"/>
      <c r="HHO76" s="108"/>
      <c r="HHP76" s="108"/>
      <c r="HHQ76" s="108"/>
      <c r="HHR76" s="108"/>
      <c r="HHS76" s="108"/>
      <c r="HHT76" s="108"/>
      <c r="HHU76" s="108"/>
      <c r="HHV76" s="108"/>
      <c r="HHW76" s="108"/>
      <c r="HHX76" s="108"/>
      <c r="HHY76" s="108"/>
      <c r="HHZ76" s="108"/>
      <c r="HIA76" s="108"/>
      <c r="HIB76" s="108"/>
      <c r="HIC76" s="108"/>
      <c r="HID76" s="108"/>
      <c r="HIE76" s="108"/>
      <c r="HIF76" s="108"/>
      <c r="HIG76" s="108"/>
      <c r="HIH76" s="108"/>
      <c r="HII76" s="108"/>
      <c r="HIJ76" s="108"/>
      <c r="HIK76" s="108"/>
      <c r="HIL76" s="108"/>
      <c r="HIM76" s="108"/>
      <c r="HIN76" s="108"/>
      <c r="HIO76" s="108"/>
      <c r="HIP76" s="108"/>
      <c r="HIQ76" s="108"/>
      <c r="HIR76" s="108"/>
      <c r="HIS76" s="108"/>
      <c r="HIT76" s="108"/>
      <c r="HIU76" s="108"/>
      <c r="HIV76" s="108"/>
      <c r="HIW76" s="108"/>
      <c r="HIX76" s="108"/>
      <c r="HIY76" s="108"/>
      <c r="HIZ76" s="108"/>
      <c r="HJA76" s="108"/>
      <c r="HJB76" s="108"/>
      <c r="HJC76" s="108"/>
      <c r="HJD76" s="108"/>
      <c r="HJE76" s="108"/>
      <c r="HJF76" s="108"/>
      <c r="HJG76" s="108"/>
      <c r="HJH76" s="108"/>
      <c r="HJI76" s="108"/>
      <c r="HJJ76" s="108"/>
      <c r="HJK76" s="108"/>
      <c r="HJL76" s="108"/>
      <c r="HJM76" s="108"/>
      <c r="HJN76" s="108"/>
      <c r="HJO76" s="108"/>
      <c r="HJP76" s="108"/>
      <c r="HJQ76" s="108"/>
      <c r="HJR76" s="108"/>
      <c r="HJS76" s="108"/>
      <c r="HJT76" s="108"/>
      <c r="HJU76" s="108"/>
      <c r="HJV76" s="108"/>
      <c r="HJW76" s="108"/>
      <c r="HJX76" s="108"/>
      <c r="HJY76" s="108"/>
      <c r="HJZ76" s="108"/>
      <c r="HKA76" s="108"/>
      <c r="HKB76" s="108"/>
      <c r="HKC76" s="108"/>
      <c r="HKD76" s="108"/>
      <c r="HKE76" s="108"/>
      <c r="HKF76" s="108"/>
      <c r="HKG76" s="108"/>
      <c r="HKH76" s="108"/>
      <c r="HKI76" s="108"/>
      <c r="HKJ76" s="108"/>
      <c r="HKK76" s="108"/>
      <c r="HKL76" s="108"/>
      <c r="HKM76" s="108"/>
      <c r="HKN76" s="108"/>
      <c r="HKO76" s="108"/>
      <c r="HKP76" s="108"/>
      <c r="HKQ76" s="108"/>
      <c r="HKR76" s="108"/>
      <c r="HKS76" s="108"/>
      <c r="HKT76" s="108"/>
      <c r="HKU76" s="108"/>
      <c r="HKV76" s="108"/>
      <c r="HKW76" s="108"/>
      <c r="HKX76" s="108"/>
      <c r="HKY76" s="108"/>
      <c r="HKZ76" s="108"/>
      <c r="HLA76" s="108"/>
      <c r="HLB76" s="108"/>
      <c r="HLC76" s="108"/>
      <c r="HLD76" s="108"/>
      <c r="HLE76" s="108"/>
      <c r="HLF76" s="108"/>
      <c r="HLG76" s="108"/>
      <c r="HLH76" s="108"/>
      <c r="HLI76" s="108"/>
      <c r="HLJ76" s="108"/>
      <c r="HLK76" s="108"/>
      <c r="HLL76" s="108"/>
      <c r="HLM76" s="108"/>
      <c r="HLN76" s="108"/>
      <c r="HLO76" s="108"/>
      <c r="HLP76" s="108"/>
      <c r="HLQ76" s="108"/>
      <c r="HLR76" s="108"/>
      <c r="HLS76" s="108"/>
      <c r="HLT76" s="108"/>
      <c r="HLU76" s="108"/>
      <c r="HLV76" s="108"/>
      <c r="HLW76" s="108"/>
      <c r="HLX76" s="108"/>
      <c r="HLY76" s="108"/>
      <c r="HLZ76" s="108"/>
      <c r="HMA76" s="108"/>
      <c r="HMB76" s="108"/>
      <c r="HMC76" s="108"/>
      <c r="HMD76" s="108"/>
      <c r="HME76" s="108"/>
      <c r="HMF76" s="108"/>
      <c r="HMG76" s="108"/>
      <c r="HMH76" s="108"/>
      <c r="HMI76" s="108"/>
      <c r="HMJ76" s="108"/>
      <c r="HMK76" s="108"/>
      <c r="HML76" s="108"/>
      <c r="HMM76" s="108"/>
      <c r="HMN76" s="108"/>
      <c r="HMO76" s="108"/>
      <c r="HMP76" s="108"/>
      <c r="HMQ76" s="108"/>
      <c r="HMR76" s="108"/>
      <c r="HMS76" s="108"/>
      <c r="HMT76" s="108"/>
      <c r="HMU76" s="108"/>
      <c r="HMV76" s="108"/>
      <c r="HMW76" s="108"/>
      <c r="HMX76" s="108"/>
      <c r="HMY76" s="108"/>
      <c r="HMZ76" s="108"/>
      <c r="HNA76" s="108"/>
      <c r="HNB76" s="108"/>
      <c r="HNC76" s="108"/>
      <c r="HND76" s="108"/>
      <c r="HNE76" s="108"/>
      <c r="HNF76" s="108"/>
      <c r="HNG76" s="108"/>
      <c r="HNH76" s="108"/>
      <c r="HNI76" s="108"/>
      <c r="HNJ76" s="108"/>
      <c r="HNK76" s="108"/>
      <c r="HNL76" s="108"/>
      <c r="HNM76" s="108"/>
      <c r="HNN76" s="108"/>
      <c r="HNO76" s="108"/>
      <c r="HNP76" s="108"/>
      <c r="HNQ76" s="108"/>
      <c r="HNR76" s="108"/>
      <c r="HNS76" s="108"/>
      <c r="HNT76" s="108"/>
      <c r="HNU76" s="108"/>
      <c r="HNV76" s="108"/>
      <c r="HNW76" s="108"/>
      <c r="HNX76" s="108"/>
      <c r="HNY76" s="108"/>
      <c r="HNZ76" s="108"/>
      <c r="HOA76" s="108"/>
      <c r="HOB76" s="108"/>
      <c r="HOC76" s="108"/>
      <c r="HOD76" s="108"/>
      <c r="HOE76" s="108"/>
      <c r="HOF76" s="108"/>
      <c r="HOG76" s="108"/>
      <c r="HOH76" s="108"/>
      <c r="HOI76" s="108"/>
      <c r="HOJ76" s="108"/>
      <c r="HOK76" s="108"/>
      <c r="HOL76" s="108"/>
      <c r="HOM76" s="108"/>
      <c r="HON76" s="108"/>
      <c r="HOO76" s="108"/>
      <c r="HOP76" s="108"/>
      <c r="HOQ76" s="108"/>
      <c r="HOR76" s="108"/>
      <c r="HOS76" s="108"/>
      <c r="HOT76" s="108"/>
      <c r="HOU76" s="108"/>
      <c r="HOV76" s="108"/>
      <c r="HOW76" s="108"/>
      <c r="HOX76" s="108"/>
      <c r="HOY76" s="108"/>
      <c r="HOZ76" s="108"/>
      <c r="HPA76" s="108"/>
      <c r="HPB76" s="108"/>
      <c r="HPC76" s="108"/>
      <c r="HPD76" s="108"/>
      <c r="HPE76" s="108"/>
      <c r="HPF76" s="108"/>
      <c r="HPG76" s="108"/>
      <c r="HPH76" s="108"/>
      <c r="HPI76" s="108"/>
      <c r="HPJ76" s="108"/>
      <c r="HPK76" s="108"/>
      <c r="HPL76" s="108"/>
      <c r="HPM76" s="108"/>
      <c r="HPN76" s="108"/>
      <c r="HPO76" s="108"/>
      <c r="HPP76" s="108"/>
      <c r="HPQ76" s="108"/>
      <c r="HPR76" s="108"/>
      <c r="HPS76" s="108"/>
      <c r="HPT76" s="108"/>
      <c r="HPU76" s="108"/>
      <c r="HPV76" s="108"/>
      <c r="HPW76" s="108"/>
      <c r="HPX76" s="108"/>
      <c r="HPY76" s="108"/>
      <c r="HPZ76" s="108"/>
      <c r="HQA76" s="108"/>
      <c r="HQB76" s="108"/>
      <c r="HQC76" s="108"/>
      <c r="HQD76" s="108"/>
      <c r="HQE76" s="108"/>
      <c r="HQF76" s="108"/>
      <c r="HQG76" s="108"/>
      <c r="HQH76" s="108"/>
      <c r="HQI76" s="108"/>
      <c r="HQJ76" s="108"/>
      <c r="HQK76" s="108"/>
      <c r="HQL76" s="108"/>
      <c r="HQM76" s="108"/>
      <c r="HQN76" s="108"/>
      <c r="HQO76" s="108"/>
      <c r="HQP76" s="108"/>
      <c r="HQQ76" s="108"/>
      <c r="HQR76" s="108"/>
      <c r="HQS76" s="108"/>
      <c r="HQT76" s="108"/>
      <c r="HQU76" s="108"/>
      <c r="HQV76" s="108"/>
      <c r="HQW76" s="108"/>
      <c r="HQX76" s="108"/>
      <c r="HQY76" s="108"/>
      <c r="HQZ76" s="108"/>
      <c r="HRA76" s="108"/>
      <c r="HRB76" s="108"/>
      <c r="HRC76" s="108"/>
      <c r="HRD76" s="108"/>
      <c r="HRE76" s="108"/>
      <c r="HRF76" s="108"/>
      <c r="HRG76" s="108"/>
      <c r="HRH76" s="108"/>
      <c r="HRI76" s="108"/>
      <c r="HRJ76" s="108"/>
      <c r="HRK76" s="108"/>
      <c r="HRL76" s="108"/>
      <c r="HRM76" s="108"/>
      <c r="HRN76" s="108"/>
      <c r="HRO76" s="108"/>
      <c r="HRP76" s="108"/>
      <c r="HRQ76" s="108"/>
      <c r="HRR76" s="108"/>
      <c r="HRS76" s="108"/>
      <c r="HRT76" s="108"/>
      <c r="HRU76" s="108"/>
      <c r="HRV76" s="108"/>
      <c r="HRW76" s="108"/>
      <c r="HRX76" s="108"/>
      <c r="HRY76" s="108"/>
      <c r="HRZ76" s="108"/>
      <c r="HSA76" s="108"/>
      <c r="HSB76" s="108"/>
      <c r="HSC76" s="108"/>
      <c r="HSD76" s="108"/>
      <c r="HSE76" s="108"/>
      <c r="HSF76" s="108"/>
      <c r="HSG76" s="108"/>
      <c r="HSH76" s="108"/>
      <c r="HSI76" s="108"/>
      <c r="HSJ76" s="108"/>
      <c r="HSK76" s="108"/>
      <c r="HSL76" s="108"/>
      <c r="HSM76" s="108"/>
      <c r="HSN76" s="108"/>
      <c r="HSO76" s="108"/>
      <c r="HSP76" s="108"/>
      <c r="HSQ76" s="108"/>
      <c r="HSR76" s="108"/>
      <c r="HSS76" s="108"/>
      <c r="HST76" s="108"/>
      <c r="HSU76" s="108"/>
      <c r="HSV76" s="108"/>
      <c r="HSW76" s="108"/>
      <c r="HSX76" s="108"/>
      <c r="HSY76" s="108"/>
      <c r="HSZ76" s="108"/>
      <c r="HTA76" s="108"/>
      <c r="HTB76" s="108"/>
      <c r="HTC76" s="108"/>
      <c r="HTD76" s="108"/>
      <c r="HTE76" s="108"/>
      <c r="HTF76" s="108"/>
      <c r="HTG76" s="108"/>
      <c r="HTH76" s="108"/>
      <c r="HTI76" s="108"/>
      <c r="HTJ76" s="108"/>
      <c r="HTK76" s="108"/>
      <c r="HTL76" s="108"/>
      <c r="HTM76" s="108"/>
      <c r="HTN76" s="108"/>
      <c r="HTO76" s="108"/>
      <c r="HTP76" s="108"/>
      <c r="HTQ76" s="108"/>
      <c r="HTR76" s="108"/>
      <c r="HTS76" s="108"/>
      <c r="HTT76" s="108"/>
      <c r="HTU76" s="108"/>
      <c r="HTV76" s="108"/>
      <c r="HTW76" s="108"/>
      <c r="HTX76" s="108"/>
      <c r="HTY76" s="108"/>
      <c r="HTZ76" s="108"/>
      <c r="HUA76" s="108"/>
      <c r="HUB76" s="108"/>
      <c r="HUC76" s="108"/>
      <c r="HUD76" s="108"/>
      <c r="HUE76" s="108"/>
      <c r="HUF76" s="108"/>
      <c r="HUG76" s="108"/>
      <c r="HUH76" s="108"/>
      <c r="HUI76" s="108"/>
      <c r="HUJ76" s="108"/>
      <c r="HUK76" s="108"/>
      <c r="HUL76" s="108"/>
      <c r="HUM76" s="108"/>
      <c r="HUN76" s="108"/>
      <c r="HUO76" s="108"/>
      <c r="HUP76" s="108"/>
      <c r="HUQ76" s="108"/>
      <c r="HUR76" s="108"/>
      <c r="HUS76" s="108"/>
      <c r="HUT76" s="108"/>
      <c r="HUU76" s="108"/>
      <c r="HUV76" s="108"/>
      <c r="HUW76" s="108"/>
      <c r="HUX76" s="108"/>
      <c r="HUY76" s="108"/>
      <c r="HUZ76" s="108"/>
      <c r="HVA76" s="108"/>
      <c r="HVB76" s="108"/>
      <c r="HVC76" s="108"/>
      <c r="HVD76" s="108"/>
      <c r="HVE76" s="108"/>
      <c r="HVF76" s="108"/>
      <c r="HVG76" s="108"/>
      <c r="HVH76" s="108"/>
      <c r="HVI76" s="108"/>
      <c r="HVJ76" s="108"/>
      <c r="HVK76" s="108"/>
      <c r="HVL76" s="108"/>
      <c r="HVM76" s="108"/>
      <c r="HVN76" s="108"/>
      <c r="HVO76" s="108"/>
      <c r="HVP76" s="108"/>
      <c r="HVQ76" s="108"/>
      <c r="HVR76" s="108"/>
      <c r="HVS76" s="108"/>
      <c r="HVT76" s="108"/>
      <c r="HVU76" s="108"/>
      <c r="HVV76" s="108"/>
      <c r="HVW76" s="108"/>
      <c r="HVX76" s="108"/>
      <c r="HVY76" s="108"/>
      <c r="HVZ76" s="108"/>
      <c r="HWA76" s="108"/>
      <c r="HWB76" s="108"/>
      <c r="HWC76" s="108"/>
      <c r="HWD76" s="108"/>
      <c r="HWE76" s="108"/>
      <c r="HWF76" s="108"/>
      <c r="HWG76" s="108"/>
      <c r="HWH76" s="108"/>
      <c r="HWI76" s="108"/>
      <c r="HWJ76" s="108"/>
      <c r="HWK76" s="108"/>
      <c r="HWL76" s="108"/>
      <c r="HWM76" s="108"/>
      <c r="HWN76" s="108"/>
      <c r="HWO76" s="108"/>
      <c r="HWP76" s="108"/>
      <c r="HWQ76" s="108"/>
      <c r="HWR76" s="108"/>
      <c r="HWS76" s="108"/>
      <c r="HWT76" s="108"/>
      <c r="HWU76" s="108"/>
      <c r="HWV76" s="108"/>
      <c r="HWW76" s="108"/>
      <c r="HWX76" s="108"/>
      <c r="HWY76" s="108"/>
      <c r="HWZ76" s="108"/>
      <c r="HXA76" s="108"/>
      <c r="HXB76" s="108"/>
      <c r="HXC76" s="108"/>
      <c r="HXD76" s="108"/>
      <c r="HXE76" s="108"/>
      <c r="HXF76" s="108"/>
      <c r="HXG76" s="108"/>
      <c r="HXH76" s="108"/>
      <c r="HXI76" s="108"/>
      <c r="HXJ76" s="108"/>
      <c r="HXK76" s="108"/>
      <c r="HXL76" s="108"/>
      <c r="HXM76" s="108"/>
      <c r="HXN76" s="108"/>
      <c r="HXO76" s="108"/>
      <c r="HXP76" s="108"/>
      <c r="HXQ76" s="108"/>
      <c r="HXR76" s="108"/>
      <c r="HXS76" s="108"/>
      <c r="HXT76" s="108"/>
      <c r="HXU76" s="108"/>
      <c r="HXV76" s="108"/>
      <c r="HXW76" s="108"/>
      <c r="HXX76" s="108"/>
      <c r="HXY76" s="108"/>
      <c r="HXZ76" s="108"/>
      <c r="HYA76" s="108"/>
      <c r="HYB76" s="108"/>
      <c r="HYC76" s="108"/>
      <c r="HYD76" s="108"/>
      <c r="HYE76" s="108"/>
      <c r="HYF76" s="108"/>
      <c r="HYG76" s="108"/>
      <c r="HYH76" s="108"/>
      <c r="HYI76" s="108"/>
      <c r="HYJ76" s="108"/>
      <c r="HYK76" s="108"/>
      <c r="HYL76" s="108"/>
      <c r="HYM76" s="108"/>
      <c r="HYN76" s="108"/>
      <c r="HYO76" s="108"/>
      <c r="HYP76" s="108"/>
      <c r="HYQ76" s="108"/>
      <c r="HYR76" s="108"/>
      <c r="HYS76" s="108"/>
      <c r="HYT76" s="108"/>
      <c r="HYU76" s="108"/>
      <c r="HYV76" s="108"/>
      <c r="HYW76" s="108"/>
      <c r="HYX76" s="108"/>
      <c r="HYY76" s="108"/>
      <c r="HYZ76" s="108"/>
      <c r="HZA76" s="108"/>
      <c r="HZB76" s="108"/>
      <c r="HZC76" s="108"/>
      <c r="HZD76" s="108"/>
      <c r="HZE76" s="108"/>
      <c r="HZF76" s="108"/>
      <c r="HZG76" s="108"/>
      <c r="HZH76" s="108"/>
      <c r="HZI76" s="108"/>
      <c r="HZJ76" s="108"/>
      <c r="HZK76" s="108"/>
      <c r="HZL76" s="108"/>
      <c r="HZM76" s="108"/>
      <c r="HZN76" s="108"/>
      <c r="HZO76" s="108"/>
      <c r="HZP76" s="108"/>
      <c r="HZQ76" s="108"/>
      <c r="HZR76" s="108"/>
      <c r="HZS76" s="108"/>
      <c r="HZT76" s="108"/>
      <c r="HZU76" s="108"/>
      <c r="HZV76" s="108"/>
      <c r="HZW76" s="108"/>
      <c r="HZX76" s="108"/>
      <c r="HZY76" s="108"/>
      <c r="HZZ76" s="108"/>
      <c r="IAA76" s="108"/>
      <c r="IAB76" s="108"/>
      <c r="IAC76" s="108"/>
      <c r="IAD76" s="108"/>
      <c r="IAE76" s="108"/>
      <c r="IAF76" s="108"/>
      <c r="IAG76" s="108"/>
      <c r="IAH76" s="108"/>
      <c r="IAI76" s="108"/>
      <c r="IAJ76" s="108"/>
      <c r="IAK76" s="108"/>
      <c r="IAL76" s="108"/>
      <c r="IAM76" s="108"/>
      <c r="IAN76" s="108"/>
      <c r="IAO76" s="108"/>
      <c r="IAP76" s="108"/>
      <c r="IAQ76" s="108"/>
      <c r="IAR76" s="108"/>
      <c r="IAS76" s="108"/>
      <c r="IAT76" s="108"/>
      <c r="IAU76" s="108"/>
      <c r="IAV76" s="108"/>
      <c r="IAW76" s="108"/>
      <c r="IAX76" s="108"/>
      <c r="IAY76" s="108"/>
      <c r="IAZ76" s="108"/>
      <c r="IBA76" s="108"/>
      <c r="IBB76" s="108"/>
      <c r="IBC76" s="108"/>
      <c r="IBD76" s="108"/>
      <c r="IBE76" s="108"/>
      <c r="IBF76" s="108"/>
      <c r="IBG76" s="108"/>
      <c r="IBH76" s="108"/>
      <c r="IBI76" s="108"/>
      <c r="IBJ76" s="108"/>
      <c r="IBK76" s="108"/>
      <c r="IBL76" s="108"/>
      <c r="IBM76" s="108"/>
      <c r="IBN76" s="108"/>
      <c r="IBO76" s="108"/>
      <c r="IBP76" s="108"/>
      <c r="IBQ76" s="108"/>
      <c r="IBR76" s="108"/>
      <c r="IBS76" s="108"/>
      <c r="IBT76" s="108"/>
      <c r="IBU76" s="108"/>
      <c r="IBV76" s="108"/>
      <c r="IBW76" s="108"/>
      <c r="IBX76" s="108"/>
      <c r="IBY76" s="108"/>
      <c r="IBZ76" s="108"/>
      <c r="ICA76" s="108"/>
      <c r="ICB76" s="108"/>
      <c r="ICC76" s="108"/>
      <c r="ICD76" s="108"/>
      <c r="ICE76" s="108"/>
      <c r="ICF76" s="108"/>
      <c r="ICG76" s="108"/>
      <c r="ICH76" s="108"/>
      <c r="ICI76" s="108"/>
      <c r="ICJ76" s="108"/>
      <c r="ICK76" s="108"/>
      <c r="ICL76" s="108"/>
      <c r="ICM76" s="108"/>
      <c r="ICN76" s="108"/>
      <c r="ICO76" s="108"/>
      <c r="ICP76" s="108"/>
      <c r="ICQ76" s="108"/>
      <c r="ICR76" s="108"/>
      <c r="ICS76" s="108"/>
      <c r="ICT76" s="108"/>
      <c r="ICU76" s="108"/>
      <c r="ICV76" s="108"/>
      <c r="ICW76" s="108"/>
      <c r="ICX76" s="108"/>
      <c r="ICY76" s="108"/>
      <c r="ICZ76" s="108"/>
      <c r="IDA76" s="108"/>
      <c r="IDB76" s="108"/>
      <c r="IDC76" s="108"/>
      <c r="IDD76" s="108"/>
      <c r="IDE76" s="108"/>
      <c r="IDF76" s="108"/>
      <c r="IDG76" s="108"/>
      <c r="IDH76" s="108"/>
      <c r="IDI76" s="108"/>
      <c r="IDJ76" s="108"/>
      <c r="IDK76" s="108"/>
      <c r="IDL76" s="108"/>
      <c r="IDM76" s="108"/>
      <c r="IDN76" s="108"/>
      <c r="IDO76" s="108"/>
      <c r="IDP76" s="108"/>
      <c r="IDQ76" s="108"/>
      <c r="IDR76" s="108"/>
      <c r="IDS76" s="108"/>
      <c r="IDT76" s="108"/>
      <c r="IDU76" s="108"/>
      <c r="IDV76" s="108"/>
      <c r="IDW76" s="108"/>
      <c r="IDX76" s="108"/>
      <c r="IDY76" s="108"/>
      <c r="IDZ76" s="108"/>
      <c r="IEA76" s="108"/>
      <c r="IEB76" s="108"/>
      <c r="IEC76" s="108"/>
      <c r="IED76" s="108"/>
      <c r="IEE76" s="108"/>
      <c r="IEF76" s="108"/>
      <c r="IEG76" s="108"/>
      <c r="IEH76" s="108"/>
      <c r="IEI76" s="108"/>
      <c r="IEJ76" s="108"/>
      <c r="IEK76" s="108"/>
      <c r="IEL76" s="108"/>
      <c r="IEM76" s="108"/>
      <c r="IEN76" s="108"/>
      <c r="IEO76" s="108"/>
      <c r="IEP76" s="108"/>
      <c r="IEQ76" s="108"/>
      <c r="IER76" s="108"/>
      <c r="IES76" s="108"/>
      <c r="IET76" s="108"/>
      <c r="IEU76" s="108"/>
      <c r="IEV76" s="108"/>
      <c r="IEW76" s="108"/>
      <c r="IEX76" s="108"/>
      <c r="IEY76" s="108"/>
      <c r="IEZ76" s="108"/>
      <c r="IFA76" s="108"/>
      <c r="IFB76" s="108"/>
      <c r="IFC76" s="108"/>
      <c r="IFD76" s="108"/>
      <c r="IFE76" s="108"/>
      <c r="IFF76" s="108"/>
      <c r="IFG76" s="108"/>
      <c r="IFH76" s="108"/>
      <c r="IFI76" s="108"/>
      <c r="IFJ76" s="108"/>
      <c r="IFK76" s="108"/>
      <c r="IFL76" s="108"/>
      <c r="IFM76" s="108"/>
      <c r="IFN76" s="108"/>
      <c r="IFO76" s="108"/>
      <c r="IFP76" s="108"/>
      <c r="IFQ76" s="108"/>
      <c r="IFR76" s="108"/>
      <c r="IFS76" s="108"/>
      <c r="IFT76" s="108"/>
      <c r="IFU76" s="108"/>
      <c r="IFV76" s="108"/>
      <c r="IFW76" s="108"/>
      <c r="IFX76" s="108"/>
      <c r="IFY76" s="108"/>
      <c r="IFZ76" s="108"/>
      <c r="IGA76" s="108"/>
      <c r="IGB76" s="108"/>
      <c r="IGC76" s="108"/>
      <c r="IGD76" s="108"/>
      <c r="IGE76" s="108"/>
      <c r="IGF76" s="108"/>
      <c r="IGG76" s="108"/>
      <c r="IGH76" s="108"/>
      <c r="IGI76" s="108"/>
      <c r="IGJ76" s="108"/>
      <c r="IGK76" s="108"/>
      <c r="IGL76" s="108"/>
      <c r="IGM76" s="108"/>
      <c r="IGN76" s="108"/>
      <c r="IGO76" s="108"/>
      <c r="IGP76" s="108"/>
      <c r="IGQ76" s="108"/>
      <c r="IGR76" s="108"/>
      <c r="IGS76" s="108"/>
      <c r="IGT76" s="108"/>
      <c r="IGU76" s="108"/>
      <c r="IGV76" s="108"/>
      <c r="IGW76" s="108"/>
      <c r="IGX76" s="108"/>
      <c r="IGY76" s="108"/>
      <c r="IGZ76" s="108"/>
      <c r="IHA76" s="108"/>
      <c r="IHB76" s="108"/>
      <c r="IHC76" s="108"/>
      <c r="IHD76" s="108"/>
      <c r="IHE76" s="108"/>
      <c r="IHF76" s="108"/>
      <c r="IHG76" s="108"/>
      <c r="IHH76" s="108"/>
      <c r="IHI76" s="108"/>
      <c r="IHJ76" s="108"/>
      <c r="IHK76" s="108"/>
      <c r="IHL76" s="108"/>
      <c r="IHM76" s="108"/>
      <c r="IHN76" s="108"/>
      <c r="IHO76" s="108"/>
      <c r="IHP76" s="108"/>
      <c r="IHQ76" s="108"/>
      <c r="IHR76" s="108"/>
      <c r="IHS76" s="108"/>
      <c r="IHT76" s="108"/>
      <c r="IHU76" s="108"/>
      <c r="IHV76" s="108"/>
      <c r="IHW76" s="108"/>
      <c r="IHX76" s="108"/>
      <c r="IHY76" s="108"/>
      <c r="IHZ76" s="108"/>
      <c r="IIA76" s="108"/>
      <c r="IIB76" s="108"/>
      <c r="IIC76" s="108"/>
      <c r="IID76" s="108"/>
      <c r="IIE76" s="108"/>
      <c r="IIF76" s="108"/>
      <c r="IIG76" s="108"/>
      <c r="IIH76" s="108"/>
      <c r="III76" s="108"/>
      <c r="IIJ76" s="108"/>
      <c r="IIK76" s="108"/>
      <c r="IIL76" s="108"/>
      <c r="IIM76" s="108"/>
      <c r="IIN76" s="108"/>
      <c r="IIO76" s="108"/>
      <c r="IIP76" s="108"/>
      <c r="IIQ76" s="108"/>
      <c r="IIR76" s="108"/>
      <c r="IIS76" s="108"/>
      <c r="IIT76" s="108"/>
      <c r="IIU76" s="108"/>
      <c r="IIV76" s="108"/>
      <c r="IIW76" s="108"/>
      <c r="IIX76" s="108"/>
      <c r="IIY76" s="108"/>
      <c r="IIZ76" s="108"/>
      <c r="IJA76" s="108"/>
      <c r="IJB76" s="108"/>
      <c r="IJC76" s="108"/>
      <c r="IJD76" s="108"/>
      <c r="IJE76" s="108"/>
      <c r="IJF76" s="108"/>
      <c r="IJG76" s="108"/>
      <c r="IJH76" s="108"/>
      <c r="IJI76" s="108"/>
      <c r="IJJ76" s="108"/>
      <c r="IJK76" s="108"/>
      <c r="IJL76" s="108"/>
      <c r="IJM76" s="108"/>
      <c r="IJN76" s="108"/>
      <c r="IJO76" s="108"/>
      <c r="IJP76" s="108"/>
      <c r="IJQ76" s="108"/>
      <c r="IJR76" s="108"/>
      <c r="IJS76" s="108"/>
      <c r="IJT76" s="108"/>
      <c r="IJU76" s="108"/>
      <c r="IJV76" s="108"/>
      <c r="IJW76" s="108"/>
      <c r="IJX76" s="108"/>
      <c r="IJY76" s="108"/>
      <c r="IJZ76" s="108"/>
      <c r="IKA76" s="108"/>
      <c r="IKB76" s="108"/>
      <c r="IKC76" s="108"/>
      <c r="IKD76" s="108"/>
      <c r="IKE76" s="108"/>
      <c r="IKF76" s="108"/>
      <c r="IKG76" s="108"/>
      <c r="IKH76" s="108"/>
      <c r="IKI76" s="108"/>
      <c r="IKJ76" s="108"/>
      <c r="IKK76" s="108"/>
      <c r="IKL76" s="108"/>
      <c r="IKM76" s="108"/>
      <c r="IKN76" s="108"/>
      <c r="IKO76" s="108"/>
      <c r="IKP76" s="108"/>
      <c r="IKQ76" s="108"/>
      <c r="IKR76" s="108"/>
      <c r="IKS76" s="108"/>
      <c r="IKT76" s="108"/>
      <c r="IKU76" s="108"/>
      <c r="IKV76" s="108"/>
      <c r="IKW76" s="108"/>
      <c r="IKX76" s="108"/>
      <c r="IKY76" s="108"/>
      <c r="IKZ76" s="108"/>
      <c r="ILA76" s="108"/>
      <c r="ILB76" s="108"/>
      <c r="ILC76" s="108"/>
      <c r="ILD76" s="108"/>
      <c r="ILE76" s="108"/>
      <c r="ILF76" s="108"/>
      <c r="ILG76" s="108"/>
      <c r="ILH76" s="108"/>
      <c r="ILI76" s="108"/>
      <c r="ILJ76" s="108"/>
      <c r="ILK76" s="108"/>
      <c r="ILL76" s="108"/>
      <c r="ILM76" s="108"/>
      <c r="ILN76" s="108"/>
      <c r="ILO76" s="108"/>
      <c r="ILP76" s="108"/>
      <c r="ILQ76" s="108"/>
      <c r="ILR76" s="108"/>
      <c r="ILS76" s="108"/>
      <c r="ILT76" s="108"/>
      <c r="ILU76" s="108"/>
      <c r="ILV76" s="108"/>
      <c r="ILW76" s="108"/>
      <c r="ILX76" s="108"/>
      <c r="ILY76" s="108"/>
      <c r="ILZ76" s="108"/>
      <c r="IMA76" s="108"/>
      <c r="IMB76" s="108"/>
      <c r="IMC76" s="108"/>
      <c r="IMD76" s="108"/>
      <c r="IME76" s="108"/>
      <c r="IMF76" s="108"/>
      <c r="IMG76" s="108"/>
      <c r="IMH76" s="108"/>
      <c r="IMI76" s="108"/>
      <c r="IMJ76" s="108"/>
      <c r="IMK76" s="108"/>
      <c r="IML76" s="108"/>
      <c r="IMM76" s="108"/>
      <c r="IMN76" s="108"/>
      <c r="IMO76" s="108"/>
      <c r="IMP76" s="108"/>
      <c r="IMQ76" s="108"/>
      <c r="IMR76" s="108"/>
      <c r="IMS76" s="108"/>
      <c r="IMT76" s="108"/>
      <c r="IMU76" s="108"/>
      <c r="IMV76" s="108"/>
      <c r="IMW76" s="108"/>
      <c r="IMX76" s="108"/>
      <c r="IMY76" s="108"/>
      <c r="IMZ76" s="108"/>
      <c r="INA76" s="108"/>
      <c r="INB76" s="108"/>
      <c r="INC76" s="108"/>
      <c r="IND76" s="108"/>
      <c r="INE76" s="108"/>
      <c r="INF76" s="108"/>
      <c r="ING76" s="108"/>
      <c r="INH76" s="108"/>
      <c r="INI76" s="108"/>
      <c r="INJ76" s="108"/>
      <c r="INK76" s="108"/>
      <c r="INL76" s="108"/>
      <c r="INM76" s="108"/>
      <c r="INN76" s="108"/>
      <c r="INO76" s="108"/>
      <c r="INP76" s="108"/>
      <c r="INQ76" s="108"/>
      <c r="INR76" s="108"/>
      <c r="INS76" s="108"/>
      <c r="INT76" s="108"/>
      <c r="INU76" s="108"/>
      <c r="INV76" s="108"/>
      <c r="INW76" s="108"/>
      <c r="INX76" s="108"/>
      <c r="INY76" s="108"/>
      <c r="INZ76" s="108"/>
      <c r="IOA76" s="108"/>
      <c r="IOB76" s="108"/>
      <c r="IOC76" s="108"/>
      <c r="IOD76" s="108"/>
      <c r="IOE76" s="108"/>
      <c r="IOF76" s="108"/>
      <c r="IOG76" s="108"/>
      <c r="IOH76" s="108"/>
      <c r="IOI76" s="108"/>
      <c r="IOJ76" s="108"/>
      <c r="IOK76" s="108"/>
      <c r="IOL76" s="108"/>
      <c r="IOM76" s="108"/>
      <c r="ION76" s="108"/>
      <c r="IOO76" s="108"/>
      <c r="IOP76" s="108"/>
      <c r="IOQ76" s="108"/>
      <c r="IOR76" s="108"/>
      <c r="IOS76" s="108"/>
      <c r="IOT76" s="108"/>
      <c r="IOU76" s="108"/>
      <c r="IOV76" s="108"/>
      <c r="IOW76" s="108"/>
      <c r="IOX76" s="108"/>
      <c r="IOY76" s="108"/>
      <c r="IOZ76" s="108"/>
      <c r="IPA76" s="108"/>
      <c r="IPB76" s="108"/>
      <c r="IPC76" s="108"/>
      <c r="IPD76" s="108"/>
      <c r="IPE76" s="108"/>
      <c r="IPF76" s="108"/>
      <c r="IPG76" s="108"/>
      <c r="IPH76" s="108"/>
      <c r="IPI76" s="108"/>
      <c r="IPJ76" s="108"/>
      <c r="IPK76" s="108"/>
      <c r="IPL76" s="108"/>
      <c r="IPM76" s="108"/>
      <c r="IPN76" s="108"/>
      <c r="IPO76" s="108"/>
      <c r="IPP76" s="108"/>
      <c r="IPQ76" s="108"/>
      <c r="IPR76" s="108"/>
      <c r="IPS76" s="108"/>
      <c r="IPT76" s="108"/>
      <c r="IPU76" s="108"/>
      <c r="IPV76" s="108"/>
      <c r="IPW76" s="108"/>
      <c r="IPX76" s="108"/>
      <c r="IPY76" s="108"/>
      <c r="IPZ76" s="108"/>
      <c r="IQA76" s="108"/>
      <c r="IQB76" s="108"/>
      <c r="IQC76" s="108"/>
      <c r="IQD76" s="108"/>
      <c r="IQE76" s="108"/>
      <c r="IQF76" s="108"/>
      <c r="IQG76" s="108"/>
      <c r="IQH76" s="108"/>
      <c r="IQI76" s="108"/>
      <c r="IQJ76" s="108"/>
      <c r="IQK76" s="108"/>
      <c r="IQL76" s="108"/>
      <c r="IQM76" s="108"/>
      <c r="IQN76" s="108"/>
      <c r="IQO76" s="108"/>
      <c r="IQP76" s="108"/>
      <c r="IQQ76" s="108"/>
      <c r="IQR76" s="108"/>
      <c r="IQS76" s="108"/>
      <c r="IQT76" s="108"/>
      <c r="IQU76" s="108"/>
      <c r="IQV76" s="108"/>
      <c r="IQW76" s="108"/>
      <c r="IQX76" s="108"/>
      <c r="IQY76" s="108"/>
      <c r="IQZ76" s="108"/>
      <c r="IRA76" s="108"/>
      <c r="IRB76" s="108"/>
      <c r="IRC76" s="108"/>
      <c r="IRD76" s="108"/>
      <c r="IRE76" s="108"/>
      <c r="IRF76" s="108"/>
      <c r="IRG76" s="108"/>
      <c r="IRH76" s="108"/>
      <c r="IRI76" s="108"/>
      <c r="IRJ76" s="108"/>
      <c r="IRK76" s="108"/>
      <c r="IRL76" s="108"/>
      <c r="IRM76" s="108"/>
      <c r="IRN76" s="108"/>
      <c r="IRO76" s="108"/>
      <c r="IRP76" s="108"/>
      <c r="IRQ76" s="108"/>
      <c r="IRR76" s="108"/>
      <c r="IRS76" s="108"/>
      <c r="IRT76" s="108"/>
      <c r="IRU76" s="108"/>
      <c r="IRV76" s="108"/>
      <c r="IRW76" s="108"/>
      <c r="IRX76" s="108"/>
      <c r="IRY76" s="108"/>
      <c r="IRZ76" s="108"/>
      <c r="ISA76" s="108"/>
      <c r="ISB76" s="108"/>
      <c r="ISC76" s="108"/>
      <c r="ISD76" s="108"/>
      <c r="ISE76" s="108"/>
      <c r="ISF76" s="108"/>
      <c r="ISG76" s="108"/>
      <c r="ISH76" s="108"/>
      <c r="ISI76" s="108"/>
      <c r="ISJ76" s="108"/>
      <c r="ISK76" s="108"/>
      <c r="ISL76" s="108"/>
      <c r="ISM76" s="108"/>
      <c r="ISN76" s="108"/>
      <c r="ISO76" s="108"/>
      <c r="ISP76" s="108"/>
      <c r="ISQ76" s="108"/>
      <c r="ISR76" s="108"/>
      <c r="ISS76" s="108"/>
      <c r="IST76" s="108"/>
      <c r="ISU76" s="108"/>
      <c r="ISV76" s="108"/>
      <c r="ISW76" s="108"/>
      <c r="ISX76" s="108"/>
      <c r="ISY76" s="108"/>
      <c r="ISZ76" s="108"/>
      <c r="ITA76" s="108"/>
      <c r="ITB76" s="108"/>
      <c r="ITC76" s="108"/>
      <c r="ITD76" s="108"/>
      <c r="ITE76" s="108"/>
      <c r="ITF76" s="108"/>
      <c r="ITG76" s="108"/>
      <c r="ITH76" s="108"/>
      <c r="ITI76" s="108"/>
      <c r="ITJ76" s="108"/>
      <c r="ITK76" s="108"/>
      <c r="ITL76" s="108"/>
      <c r="ITM76" s="108"/>
      <c r="ITN76" s="108"/>
      <c r="ITO76" s="108"/>
      <c r="ITP76" s="108"/>
      <c r="ITQ76" s="108"/>
      <c r="ITR76" s="108"/>
      <c r="ITS76" s="108"/>
      <c r="ITT76" s="108"/>
      <c r="ITU76" s="108"/>
      <c r="ITV76" s="108"/>
      <c r="ITW76" s="108"/>
      <c r="ITX76" s="108"/>
      <c r="ITY76" s="108"/>
      <c r="ITZ76" s="108"/>
      <c r="IUA76" s="108"/>
      <c r="IUB76" s="108"/>
      <c r="IUC76" s="108"/>
      <c r="IUD76" s="108"/>
      <c r="IUE76" s="108"/>
      <c r="IUF76" s="108"/>
      <c r="IUG76" s="108"/>
      <c r="IUH76" s="108"/>
      <c r="IUI76" s="108"/>
      <c r="IUJ76" s="108"/>
      <c r="IUK76" s="108"/>
      <c r="IUL76" s="108"/>
      <c r="IUM76" s="108"/>
      <c r="IUN76" s="108"/>
      <c r="IUO76" s="108"/>
      <c r="IUP76" s="108"/>
      <c r="IUQ76" s="108"/>
      <c r="IUR76" s="108"/>
      <c r="IUS76" s="108"/>
      <c r="IUT76" s="108"/>
      <c r="IUU76" s="108"/>
      <c r="IUV76" s="108"/>
      <c r="IUW76" s="108"/>
      <c r="IUX76" s="108"/>
      <c r="IUY76" s="108"/>
      <c r="IUZ76" s="108"/>
      <c r="IVA76" s="108"/>
      <c r="IVB76" s="108"/>
      <c r="IVC76" s="108"/>
      <c r="IVD76" s="108"/>
      <c r="IVE76" s="108"/>
      <c r="IVF76" s="108"/>
      <c r="IVG76" s="108"/>
      <c r="IVH76" s="108"/>
      <c r="IVI76" s="108"/>
      <c r="IVJ76" s="108"/>
      <c r="IVK76" s="108"/>
      <c r="IVL76" s="108"/>
      <c r="IVM76" s="108"/>
      <c r="IVN76" s="108"/>
      <c r="IVO76" s="108"/>
      <c r="IVP76" s="108"/>
      <c r="IVQ76" s="108"/>
      <c r="IVR76" s="108"/>
      <c r="IVS76" s="108"/>
      <c r="IVT76" s="108"/>
      <c r="IVU76" s="108"/>
      <c r="IVV76" s="108"/>
      <c r="IVW76" s="108"/>
      <c r="IVX76" s="108"/>
      <c r="IVY76" s="108"/>
      <c r="IVZ76" s="108"/>
      <c r="IWA76" s="108"/>
      <c r="IWB76" s="108"/>
      <c r="IWC76" s="108"/>
      <c r="IWD76" s="108"/>
      <c r="IWE76" s="108"/>
      <c r="IWF76" s="108"/>
      <c r="IWG76" s="108"/>
      <c r="IWH76" s="108"/>
      <c r="IWI76" s="108"/>
      <c r="IWJ76" s="108"/>
      <c r="IWK76" s="108"/>
      <c r="IWL76" s="108"/>
      <c r="IWM76" s="108"/>
      <c r="IWN76" s="108"/>
      <c r="IWO76" s="108"/>
      <c r="IWP76" s="108"/>
      <c r="IWQ76" s="108"/>
      <c r="IWR76" s="108"/>
      <c r="IWS76" s="108"/>
      <c r="IWT76" s="108"/>
      <c r="IWU76" s="108"/>
      <c r="IWV76" s="108"/>
      <c r="IWW76" s="108"/>
      <c r="IWX76" s="108"/>
      <c r="IWY76" s="108"/>
      <c r="IWZ76" s="108"/>
      <c r="IXA76" s="108"/>
      <c r="IXB76" s="108"/>
      <c r="IXC76" s="108"/>
      <c r="IXD76" s="108"/>
      <c r="IXE76" s="108"/>
      <c r="IXF76" s="108"/>
      <c r="IXG76" s="108"/>
      <c r="IXH76" s="108"/>
      <c r="IXI76" s="108"/>
      <c r="IXJ76" s="108"/>
      <c r="IXK76" s="108"/>
      <c r="IXL76" s="108"/>
      <c r="IXM76" s="108"/>
      <c r="IXN76" s="108"/>
      <c r="IXO76" s="108"/>
      <c r="IXP76" s="108"/>
      <c r="IXQ76" s="108"/>
      <c r="IXR76" s="108"/>
      <c r="IXS76" s="108"/>
      <c r="IXT76" s="108"/>
      <c r="IXU76" s="108"/>
      <c r="IXV76" s="108"/>
      <c r="IXW76" s="108"/>
      <c r="IXX76" s="108"/>
      <c r="IXY76" s="108"/>
      <c r="IXZ76" s="108"/>
      <c r="IYA76" s="108"/>
      <c r="IYB76" s="108"/>
      <c r="IYC76" s="108"/>
      <c r="IYD76" s="108"/>
      <c r="IYE76" s="108"/>
      <c r="IYF76" s="108"/>
      <c r="IYG76" s="108"/>
      <c r="IYH76" s="108"/>
      <c r="IYI76" s="108"/>
      <c r="IYJ76" s="108"/>
      <c r="IYK76" s="108"/>
      <c r="IYL76" s="108"/>
      <c r="IYM76" s="108"/>
      <c r="IYN76" s="108"/>
      <c r="IYO76" s="108"/>
      <c r="IYP76" s="108"/>
      <c r="IYQ76" s="108"/>
      <c r="IYR76" s="108"/>
      <c r="IYS76" s="108"/>
      <c r="IYT76" s="108"/>
      <c r="IYU76" s="108"/>
      <c r="IYV76" s="108"/>
      <c r="IYW76" s="108"/>
      <c r="IYX76" s="108"/>
      <c r="IYY76" s="108"/>
      <c r="IYZ76" s="108"/>
      <c r="IZA76" s="108"/>
      <c r="IZB76" s="108"/>
      <c r="IZC76" s="108"/>
      <c r="IZD76" s="108"/>
      <c r="IZE76" s="108"/>
      <c r="IZF76" s="108"/>
      <c r="IZG76" s="108"/>
      <c r="IZH76" s="108"/>
      <c r="IZI76" s="108"/>
      <c r="IZJ76" s="108"/>
      <c r="IZK76" s="108"/>
      <c r="IZL76" s="108"/>
      <c r="IZM76" s="108"/>
      <c r="IZN76" s="108"/>
      <c r="IZO76" s="108"/>
      <c r="IZP76" s="108"/>
      <c r="IZQ76" s="108"/>
      <c r="IZR76" s="108"/>
      <c r="IZS76" s="108"/>
      <c r="IZT76" s="108"/>
      <c r="IZU76" s="108"/>
      <c r="IZV76" s="108"/>
      <c r="IZW76" s="108"/>
      <c r="IZX76" s="108"/>
      <c r="IZY76" s="108"/>
      <c r="IZZ76" s="108"/>
      <c r="JAA76" s="108"/>
      <c r="JAB76" s="108"/>
      <c r="JAC76" s="108"/>
      <c r="JAD76" s="108"/>
      <c r="JAE76" s="108"/>
      <c r="JAF76" s="108"/>
      <c r="JAG76" s="108"/>
      <c r="JAH76" s="108"/>
      <c r="JAI76" s="108"/>
      <c r="JAJ76" s="108"/>
      <c r="JAK76" s="108"/>
      <c r="JAL76" s="108"/>
      <c r="JAM76" s="108"/>
      <c r="JAN76" s="108"/>
      <c r="JAO76" s="108"/>
      <c r="JAP76" s="108"/>
      <c r="JAQ76" s="108"/>
      <c r="JAR76" s="108"/>
      <c r="JAS76" s="108"/>
      <c r="JAT76" s="108"/>
      <c r="JAU76" s="108"/>
      <c r="JAV76" s="108"/>
      <c r="JAW76" s="108"/>
      <c r="JAX76" s="108"/>
      <c r="JAY76" s="108"/>
      <c r="JAZ76" s="108"/>
      <c r="JBA76" s="108"/>
      <c r="JBB76" s="108"/>
      <c r="JBC76" s="108"/>
      <c r="JBD76" s="108"/>
      <c r="JBE76" s="108"/>
      <c r="JBF76" s="108"/>
      <c r="JBG76" s="108"/>
      <c r="JBH76" s="108"/>
      <c r="JBI76" s="108"/>
      <c r="JBJ76" s="108"/>
      <c r="JBK76" s="108"/>
      <c r="JBL76" s="108"/>
      <c r="JBM76" s="108"/>
      <c r="JBN76" s="108"/>
      <c r="JBO76" s="108"/>
      <c r="JBP76" s="108"/>
      <c r="JBQ76" s="108"/>
      <c r="JBR76" s="108"/>
      <c r="JBS76" s="108"/>
      <c r="JBT76" s="108"/>
      <c r="JBU76" s="108"/>
      <c r="JBV76" s="108"/>
      <c r="JBW76" s="108"/>
      <c r="JBX76" s="108"/>
      <c r="JBY76" s="108"/>
      <c r="JBZ76" s="108"/>
      <c r="JCA76" s="108"/>
      <c r="JCB76" s="108"/>
      <c r="JCC76" s="108"/>
      <c r="JCD76" s="108"/>
      <c r="JCE76" s="108"/>
      <c r="JCF76" s="108"/>
      <c r="JCG76" s="108"/>
      <c r="JCH76" s="108"/>
      <c r="JCI76" s="108"/>
      <c r="JCJ76" s="108"/>
      <c r="JCK76" s="108"/>
      <c r="JCL76" s="108"/>
      <c r="JCM76" s="108"/>
      <c r="JCN76" s="108"/>
      <c r="JCO76" s="108"/>
      <c r="JCP76" s="108"/>
      <c r="JCQ76" s="108"/>
      <c r="JCR76" s="108"/>
      <c r="JCS76" s="108"/>
      <c r="JCT76" s="108"/>
      <c r="JCU76" s="108"/>
      <c r="JCV76" s="108"/>
      <c r="JCW76" s="108"/>
      <c r="JCX76" s="108"/>
      <c r="JCY76" s="108"/>
      <c r="JCZ76" s="108"/>
      <c r="JDA76" s="108"/>
      <c r="JDB76" s="108"/>
      <c r="JDC76" s="108"/>
      <c r="JDD76" s="108"/>
      <c r="JDE76" s="108"/>
      <c r="JDF76" s="108"/>
      <c r="JDG76" s="108"/>
      <c r="JDH76" s="108"/>
      <c r="JDI76" s="108"/>
      <c r="JDJ76" s="108"/>
      <c r="JDK76" s="108"/>
      <c r="JDL76" s="108"/>
      <c r="JDM76" s="108"/>
      <c r="JDN76" s="108"/>
      <c r="JDO76" s="108"/>
      <c r="JDP76" s="108"/>
      <c r="JDQ76" s="108"/>
      <c r="JDR76" s="108"/>
      <c r="JDS76" s="108"/>
      <c r="JDT76" s="108"/>
      <c r="JDU76" s="108"/>
      <c r="JDV76" s="108"/>
      <c r="JDW76" s="108"/>
      <c r="JDX76" s="108"/>
      <c r="JDY76" s="108"/>
      <c r="JDZ76" s="108"/>
      <c r="JEA76" s="108"/>
      <c r="JEB76" s="108"/>
      <c r="JEC76" s="108"/>
      <c r="JED76" s="108"/>
      <c r="JEE76" s="108"/>
      <c r="JEF76" s="108"/>
      <c r="JEG76" s="108"/>
      <c r="JEH76" s="108"/>
      <c r="JEI76" s="108"/>
      <c r="JEJ76" s="108"/>
      <c r="JEK76" s="108"/>
      <c r="JEL76" s="108"/>
      <c r="JEM76" s="108"/>
      <c r="JEN76" s="108"/>
      <c r="JEO76" s="108"/>
      <c r="JEP76" s="108"/>
      <c r="JEQ76" s="108"/>
      <c r="JER76" s="108"/>
      <c r="JES76" s="108"/>
      <c r="JET76" s="108"/>
      <c r="JEU76" s="108"/>
      <c r="JEV76" s="108"/>
      <c r="JEW76" s="108"/>
      <c r="JEX76" s="108"/>
      <c r="JEY76" s="108"/>
      <c r="JEZ76" s="108"/>
      <c r="JFA76" s="108"/>
      <c r="JFB76" s="108"/>
      <c r="JFC76" s="108"/>
      <c r="JFD76" s="108"/>
      <c r="JFE76" s="108"/>
      <c r="JFF76" s="108"/>
      <c r="JFG76" s="108"/>
      <c r="JFH76" s="108"/>
      <c r="JFI76" s="108"/>
      <c r="JFJ76" s="108"/>
      <c r="JFK76" s="108"/>
      <c r="JFL76" s="108"/>
      <c r="JFM76" s="108"/>
      <c r="JFN76" s="108"/>
      <c r="JFO76" s="108"/>
      <c r="JFP76" s="108"/>
      <c r="JFQ76" s="108"/>
      <c r="JFR76" s="108"/>
      <c r="JFS76" s="108"/>
      <c r="JFT76" s="108"/>
      <c r="JFU76" s="108"/>
      <c r="JFV76" s="108"/>
      <c r="JFW76" s="108"/>
      <c r="JFX76" s="108"/>
      <c r="JFY76" s="108"/>
      <c r="JFZ76" s="108"/>
      <c r="JGA76" s="108"/>
      <c r="JGB76" s="108"/>
      <c r="JGC76" s="108"/>
      <c r="JGD76" s="108"/>
      <c r="JGE76" s="108"/>
      <c r="JGF76" s="108"/>
      <c r="JGG76" s="108"/>
      <c r="JGH76" s="108"/>
      <c r="JGI76" s="108"/>
      <c r="JGJ76" s="108"/>
      <c r="JGK76" s="108"/>
      <c r="JGL76" s="108"/>
      <c r="JGM76" s="108"/>
      <c r="JGN76" s="108"/>
      <c r="JGO76" s="108"/>
      <c r="JGP76" s="108"/>
      <c r="JGQ76" s="108"/>
      <c r="JGR76" s="108"/>
      <c r="JGS76" s="108"/>
      <c r="JGT76" s="108"/>
      <c r="JGU76" s="108"/>
      <c r="JGV76" s="108"/>
      <c r="JGW76" s="108"/>
      <c r="JGX76" s="108"/>
      <c r="JGY76" s="108"/>
      <c r="JGZ76" s="108"/>
      <c r="JHA76" s="108"/>
      <c r="JHB76" s="108"/>
      <c r="JHC76" s="108"/>
      <c r="JHD76" s="108"/>
      <c r="JHE76" s="108"/>
      <c r="JHF76" s="108"/>
      <c r="JHG76" s="108"/>
      <c r="JHH76" s="108"/>
      <c r="JHI76" s="108"/>
      <c r="JHJ76" s="108"/>
      <c r="JHK76" s="108"/>
      <c r="JHL76" s="108"/>
      <c r="JHM76" s="108"/>
      <c r="JHN76" s="108"/>
      <c r="JHO76" s="108"/>
      <c r="JHP76" s="108"/>
      <c r="JHQ76" s="108"/>
      <c r="JHR76" s="108"/>
      <c r="JHS76" s="108"/>
      <c r="JHT76" s="108"/>
      <c r="JHU76" s="108"/>
      <c r="JHV76" s="108"/>
      <c r="JHW76" s="108"/>
      <c r="JHX76" s="108"/>
      <c r="JHY76" s="108"/>
      <c r="JHZ76" s="108"/>
      <c r="JIA76" s="108"/>
      <c r="JIB76" s="108"/>
      <c r="JIC76" s="108"/>
      <c r="JID76" s="108"/>
      <c r="JIE76" s="108"/>
      <c r="JIF76" s="108"/>
      <c r="JIG76" s="108"/>
      <c r="JIH76" s="108"/>
      <c r="JII76" s="108"/>
      <c r="JIJ76" s="108"/>
      <c r="JIK76" s="108"/>
      <c r="JIL76" s="108"/>
      <c r="JIM76" s="108"/>
      <c r="JIN76" s="108"/>
      <c r="JIO76" s="108"/>
      <c r="JIP76" s="108"/>
      <c r="JIQ76" s="108"/>
      <c r="JIR76" s="108"/>
      <c r="JIS76" s="108"/>
      <c r="JIT76" s="108"/>
      <c r="JIU76" s="108"/>
      <c r="JIV76" s="108"/>
      <c r="JIW76" s="108"/>
      <c r="JIX76" s="108"/>
      <c r="JIY76" s="108"/>
      <c r="JIZ76" s="108"/>
      <c r="JJA76" s="108"/>
      <c r="JJB76" s="108"/>
      <c r="JJC76" s="108"/>
      <c r="JJD76" s="108"/>
      <c r="JJE76" s="108"/>
      <c r="JJF76" s="108"/>
      <c r="JJG76" s="108"/>
      <c r="JJH76" s="108"/>
      <c r="JJI76" s="108"/>
      <c r="JJJ76" s="108"/>
      <c r="JJK76" s="108"/>
      <c r="JJL76" s="108"/>
      <c r="JJM76" s="108"/>
      <c r="JJN76" s="108"/>
      <c r="JJO76" s="108"/>
      <c r="JJP76" s="108"/>
      <c r="JJQ76" s="108"/>
      <c r="JJR76" s="108"/>
      <c r="JJS76" s="108"/>
      <c r="JJT76" s="108"/>
      <c r="JJU76" s="108"/>
      <c r="JJV76" s="108"/>
      <c r="JJW76" s="108"/>
      <c r="JJX76" s="108"/>
      <c r="JJY76" s="108"/>
      <c r="JJZ76" s="108"/>
      <c r="JKA76" s="108"/>
      <c r="JKB76" s="108"/>
      <c r="JKC76" s="108"/>
      <c r="JKD76" s="108"/>
      <c r="JKE76" s="108"/>
      <c r="JKF76" s="108"/>
      <c r="JKG76" s="108"/>
      <c r="JKH76" s="108"/>
      <c r="JKI76" s="108"/>
      <c r="JKJ76" s="108"/>
      <c r="JKK76" s="108"/>
      <c r="JKL76" s="108"/>
      <c r="JKM76" s="108"/>
      <c r="JKN76" s="108"/>
      <c r="JKO76" s="108"/>
      <c r="JKP76" s="108"/>
      <c r="JKQ76" s="108"/>
      <c r="JKR76" s="108"/>
      <c r="JKS76" s="108"/>
      <c r="JKT76" s="108"/>
      <c r="JKU76" s="108"/>
      <c r="JKV76" s="108"/>
      <c r="JKW76" s="108"/>
      <c r="JKX76" s="108"/>
      <c r="JKY76" s="108"/>
      <c r="JKZ76" s="108"/>
      <c r="JLA76" s="108"/>
      <c r="JLB76" s="108"/>
      <c r="JLC76" s="108"/>
      <c r="JLD76" s="108"/>
      <c r="JLE76" s="108"/>
      <c r="JLF76" s="108"/>
      <c r="JLG76" s="108"/>
      <c r="JLH76" s="108"/>
      <c r="JLI76" s="108"/>
      <c r="JLJ76" s="108"/>
      <c r="JLK76" s="108"/>
      <c r="JLL76" s="108"/>
      <c r="JLM76" s="108"/>
      <c r="JLN76" s="108"/>
      <c r="JLO76" s="108"/>
      <c r="JLP76" s="108"/>
      <c r="JLQ76" s="108"/>
      <c r="JLR76" s="108"/>
      <c r="JLS76" s="108"/>
      <c r="JLT76" s="108"/>
      <c r="JLU76" s="108"/>
      <c r="JLV76" s="108"/>
      <c r="JLW76" s="108"/>
      <c r="JLX76" s="108"/>
      <c r="JLY76" s="108"/>
      <c r="JLZ76" s="108"/>
      <c r="JMA76" s="108"/>
      <c r="JMB76" s="108"/>
      <c r="JMC76" s="108"/>
      <c r="JMD76" s="108"/>
      <c r="JME76" s="108"/>
      <c r="JMF76" s="108"/>
      <c r="JMG76" s="108"/>
      <c r="JMH76" s="108"/>
      <c r="JMI76" s="108"/>
      <c r="JMJ76" s="108"/>
      <c r="JMK76" s="108"/>
      <c r="JML76" s="108"/>
      <c r="JMM76" s="108"/>
      <c r="JMN76" s="108"/>
      <c r="JMO76" s="108"/>
      <c r="JMP76" s="108"/>
      <c r="JMQ76" s="108"/>
      <c r="JMR76" s="108"/>
      <c r="JMS76" s="108"/>
      <c r="JMT76" s="108"/>
      <c r="JMU76" s="108"/>
      <c r="JMV76" s="108"/>
      <c r="JMW76" s="108"/>
      <c r="JMX76" s="108"/>
      <c r="JMY76" s="108"/>
      <c r="JMZ76" s="108"/>
      <c r="JNA76" s="108"/>
      <c r="JNB76" s="108"/>
      <c r="JNC76" s="108"/>
      <c r="JND76" s="108"/>
      <c r="JNE76" s="108"/>
      <c r="JNF76" s="108"/>
      <c r="JNG76" s="108"/>
      <c r="JNH76" s="108"/>
      <c r="JNI76" s="108"/>
      <c r="JNJ76" s="108"/>
      <c r="JNK76" s="108"/>
      <c r="JNL76" s="108"/>
      <c r="JNM76" s="108"/>
      <c r="JNN76" s="108"/>
      <c r="JNO76" s="108"/>
      <c r="JNP76" s="108"/>
      <c r="JNQ76" s="108"/>
      <c r="JNR76" s="108"/>
      <c r="JNS76" s="108"/>
      <c r="JNT76" s="108"/>
      <c r="JNU76" s="108"/>
      <c r="JNV76" s="108"/>
      <c r="JNW76" s="108"/>
      <c r="JNX76" s="108"/>
      <c r="JNY76" s="108"/>
      <c r="JNZ76" s="108"/>
      <c r="JOA76" s="108"/>
      <c r="JOB76" s="108"/>
      <c r="JOC76" s="108"/>
      <c r="JOD76" s="108"/>
      <c r="JOE76" s="108"/>
      <c r="JOF76" s="108"/>
      <c r="JOG76" s="108"/>
      <c r="JOH76" s="108"/>
      <c r="JOI76" s="108"/>
      <c r="JOJ76" s="108"/>
      <c r="JOK76" s="108"/>
      <c r="JOL76" s="108"/>
      <c r="JOM76" s="108"/>
      <c r="JON76" s="108"/>
      <c r="JOO76" s="108"/>
      <c r="JOP76" s="108"/>
      <c r="JOQ76" s="108"/>
      <c r="JOR76" s="108"/>
      <c r="JOS76" s="108"/>
      <c r="JOT76" s="108"/>
      <c r="JOU76" s="108"/>
      <c r="JOV76" s="108"/>
      <c r="JOW76" s="108"/>
      <c r="JOX76" s="108"/>
      <c r="JOY76" s="108"/>
      <c r="JOZ76" s="108"/>
      <c r="JPA76" s="108"/>
      <c r="JPB76" s="108"/>
      <c r="JPC76" s="108"/>
      <c r="JPD76" s="108"/>
      <c r="JPE76" s="108"/>
      <c r="JPF76" s="108"/>
      <c r="JPG76" s="108"/>
      <c r="JPH76" s="108"/>
      <c r="JPI76" s="108"/>
      <c r="JPJ76" s="108"/>
      <c r="JPK76" s="108"/>
      <c r="JPL76" s="108"/>
      <c r="JPM76" s="108"/>
      <c r="JPN76" s="108"/>
      <c r="JPO76" s="108"/>
      <c r="JPP76" s="108"/>
      <c r="JPQ76" s="108"/>
      <c r="JPR76" s="108"/>
      <c r="JPS76" s="108"/>
      <c r="JPT76" s="108"/>
      <c r="JPU76" s="108"/>
      <c r="JPV76" s="108"/>
      <c r="JPW76" s="108"/>
      <c r="JPX76" s="108"/>
      <c r="JPY76" s="108"/>
      <c r="JPZ76" s="108"/>
      <c r="JQA76" s="108"/>
      <c r="JQB76" s="108"/>
      <c r="JQC76" s="108"/>
      <c r="JQD76" s="108"/>
      <c r="JQE76" s="108"/>
      <c r="JQF76" s="108"/>
      <c r="JQG76" s="108"/>
      <c r="JQH76" s="108"/>
      <c r="JQI76" s="108"/>
      <c r="JQJ76" s="108"/>
      <c r="JQK76" s="108"/>
      <c r="JQL76" s="108"/>
      <c r="JQM76" s="108"/>
      <c r="JQN76" s="108"/>
      <c r="JQO76" s="108"/>
      <c r="JQP76" s="108"/>
      <c r="JQQ76" s="108"/>
      <c r="JQR76" s="108"/>
      <c r="JQS76" s="108"/>
      <c r="JQT76" s="108"/>
      <c r="JQU76" s="108"/>
      <c r="JQV76" s="108"/>
      <c r="JQW76" s="108"/>
      <c r="JQX76" s="108"/>
      <c r="JQY76" s="108"/>
      <c r="JQZ76" s="108"/>
      <c r="JRA76" s="108"/>
      <c r="JRB76" s="108"/>
      <c r="JRC76" s="108"/>
      <c r="JRD76" s="108"/>
      <c r="JRE76" s="108"/>
      <c r="JRF76" s="108"/>
      <c r="JRG76" s="108"/>
      <c r="JRH76" s="108"/>
      <c r="JRI76" s="108"/>
      <c r="JRJ76" s="108"/>
      <c r="JRK76" s="108"/>
      <c r="JRL76" s="108"/>
      <c r="JRM76" s="108"/>
      <c r="JRN76" s="108"/>
      <c r="JRO76" s="108"/>
      <c r="JRP76" s="108"/>
      <c r="JRQ76" s="108"/>
      <c r="JRR76" s="108"/>
      <c r="JRS76" s="108"/>
      <c r="JRT76" s="108"/>
      <c r="JRU76" s="108"/>
      <c r="JRV76" s="108"/>
      <c r="JRW76" s="108"/>
      <c r="JRX76" s="108"/>
      <c r="JRY76" s="108"/>
      <c r="JRZ76" s="108"/>
      <c r="JSA76" s="108"/>
      <c r="JSB76" s="108"/>
      <c r="JSC76" s="108"/>
      <c r="JSD76" s="108"/>
      <c r="JSE76" s="108"/>
      <c r="JSF76" s="108"/>
      <c r="JSG76" s="108"/>
      <c r="JSH76" s="108"/>
      <c r="JSI76" s="108"/>
      <c r="JSJ76" s="108"/>
      <c r="JSK76" s="108"/>
      <c r="JSL76" s="108"/>
      <c r="JSM76" s="108"/>
      <c r="JSN76" s="108"/>
      <c r="JSO76" s="108"/>
      <c r="JSP76" s="108"/>
      <c r="JSQ76" s="108"/>
      <c r="JSR76" s="108"/>
      <c r="JSS76" s="108"/>
      <c r="JST76" s="108"/>
      <c r="JSU76" s="108"/>
      <c r="JSV76" s="108"/>
      <c r="JSW76" s="108"/>
      <c r="JSX76" s="108"/>
      <c r="JSY76" s="108"/>
      <c r="JSZ76" s="108"/>
      <c r="JTA76" s="108"/>
      <c r="JTB76" s="108"/>
      <c r="JTC76" s="108"/>
      <c r="JTD76" s="108"/>
      <c r="JTE76" s="108"/>
      <c r="JTF76" s="108"/>
      <c r="JTG76" s="108"/>
      <c r="JTH76" s="108"/>
      <c r="JTI76" s="108"/>
      <c r="JTJ76" s="108"/>
      <c r="JTK76" s="108"/>
      <c r="JTL76" s="108"/>
      <c r="JTM76" s="108"/>
      <c r="JTN76" s="108"/>
      <c r="JTO76" s="108"/>
      <c r="JTP76" s="108"/>
      <c r="JTQ76" s="108"/>
      <c r="JTR76" s="108"/>
      <c r="JTS76" s="108"/>
      <c r="JTT76" s="108"/>
      <c r="JTU76" s="108"/>
      <c r="JTV76" s="108"/>
      <c r="JTW76" s="108"/>
      <c r="JTX76" s="108"/>
      <c r="JTY76" s="108"/>
      <c r="JTZ76" s="108"/>
      <c r="JUA76" s="108"/>
      <c r="JUB76" s="108"/>
      <c r="JUC76" s="108"/>
      <c r="JUD76" s="108"/>
      <c r="JUE76" s="108"/>
      <c r="JUF76" s="108"/>
      <c r="JUG76" s="108"/>
      <c r="JUH76" s="108"/>
      <c r="JUI76" s="108"/>
      <c r="JUJ76" s="108"/>
      <c r="JUK76" s="108"/>
      <c r="JUL76" s="108"/>
      <c r="JUM76" s="108"/>
      <c r="JUN76" s="108"/>
      <c r="JUO76" s="108"/>
      <c r="JUP76" s="108"/>
      <c r="JUQ76" s="108"/>
      <c r="JUR76" s="108"/>
      <c r="JUS76" s="108"/>
      <c r="JUT76" s="108"/>
      <c r="JUU76" s="108"/>
      <c r="JUV76" s="108"/>
      <c r="JUW76" s="108"/>
      <c r="JUX76" s="108"/>
      <c r="JUY76" s="108"/>
      <c r="JUZ76" s="108"/>
      <c r="JVA76" s="108"/>
      <c r="JVB76" s="108"/>
      <c r="JVC76" s="108"/>
      <c r="JVD76" s="108"/>
      <c r="JVE76" s="108"/>
      <c r="JVF76" s="108"/>
      <c r="JVG76" s="108"/>
      <c r="JVH76" s="108"/>
      <c r="JVI76" s="108"/>
      <c r="JVJ76" s="108"/>
      <c r="JVK76" s="108"/>
      <c r="JVL76" s="108"/>
      <c r="JVM76" s="108"/>
      <c r="JVN76" s="108"/>
      <c r="JVO76" s="108"/>
      <c r="JVP76" s="108"/>
      <c r="JVQ76" s="108"/>
      <c r="JVR76" s="108"/>
      <c r="JVS76" s="108"/>
      <c r="JVT76" s="108"/>
      <c r="JVU76" s="108"/>
      <c r="JVV76" s="108"/>
      <c r="JVW76" s="108"/>
      <c r="JVX76" s="108"/>
      <c r="JVY76" s="108"/>
      <c r="JVZ76" s="108"/>
      <c r="JWA76" s="108"/>
      <c r="JWB76" s="108"/>
      <c r="JWC76" s="108"/>
      <c r="JWD76" s="108"/>
      <c r="JWE76" s="108"/>
      <c r="JWF76" s="108"/>
      <c r="JWG76" s="108"/>
      <c r="JWH76" s="108"/>
      <c r="JWI76" s="108"/>
      <c r="JWJ76" s="108"/>
      <c r="JWK76" s="108"/>
      <c r="JWL76" s="108"/>
      <c r="JWM76" s="108"/>
      <c r="JWN76" s="108"/>
      <c r="JWO76" s="108"/>
      <c r="JWP76" s="108"/>
      <c r="JWQ76" s="108"/>
      <c r="JWR76" s="108"/>
      <c r="JWS76" s="108"/>
      <c r="JWT76" s="108"/>
      <c r="JWU76" s="108"/>
      <c r="JWV76" s="108"/>
      <c r="JWW76" s="108"/>
      <c r="JWX76" s="108"/>
      <c r="JWY76" s="108"/>
      <c r="JWZ76" s="108"/>
      <c r="JXA76" s="108"/>
      <c r="JXB76" s="108"/>
      <c r="JXC76" s="108"/>
      <c r="JXD76" s="108"/>
      <c r="JXE76" s="108"/>
      <c r="JXF76" s="108"/>
      <c r="JXG76" s="108"/>
      <c r="JXH76" s="108"/>
      <c r="JXI76" s="108"/>
      <c r="JXJ76" s="108"/>
      <c r="JXK76" s="108"/>
      <c r="JXL76" s="108"/>
      <c r="JXM76" s="108"/>
      <c r="JXN76" s="108"/>
      <c r="JXO76" s="108"/>
      <c r="JXP76" s="108"/>
      <c r="JXQ76" s="108"/>
      <c r="JXR76" s="108"/>
      <c r="JXS76" s="108"/>
      <c r="JXT76" s="108"/>
      <c r="JXU76" s="108"/>
      <c r="JXV76" s="108"/>
      <c r="JXW76" s="108"/>
      <c r="JXX76" s="108"/>
      <c r="JXY76" s="108"/>
      <c r="JXZ76" s="108"/>
      <c r="JYA76" s="108"/>
      <c r="JYB76" s="108"/>
      <c r="JYC76" s="108"/>
      <c r="JYD76" s="108"/>
      <c r="JYE76" s="108"/>
      <c r="JYF76" s="108"/>
      <c r="JYG76" s="108"/>
      <c r="JYH76" s="108"/>
      <c r="JYI76" s="108"/>
      <c r="JYJ76" s="108"/>
      <c r="JYK76" s="108"/>
      <c r="JYL76" s="108"/>
      <c r="JYM76" s="108"/>
      <c r="JYN76" s="108"/>
      <c r="JYO76" s="108"/>
      <c r="JYP76" s="108"/>
      <c r="JYQ76" s="108"/>
      <c r="JYR76" s="108"/>
      <c r="JYS76" s="108"/>
      <c r="JYT76" s="108"/>
      <c r="JYU76" s="108"/>
      <c r="JYV76" s="108"/>
      <c r="JYW76" s="108"/>
      <c r="JYX76" s="108"/>
      <c r="JYY76" s="108"/>
      <c r="JYZ76" s="108"/>
      <c r="JZA76" s="108"/>
      <c r="JZB76" s="108"/>
      <c r="JZC76" s="108"/>
      <c r="JZD76" s="108"/>
      <c r="JZE76" s="108"/>
      <c r="JZF76" s="108"/>
      <c r="JZG76" s="108"/>
      <c r="JZH76" s="108"/>
      <c r="JZI76" s="108"/>
      <c r="JZJ76" s="108"/>
      <c r="JZK76" s="108"/>
      <c r="JZL76" s="108"/>
      <c r="JZM76" s="108"/>
      <c r="JZN76" s="108"/>
      <c r="JZO76" s="108"/>
      <c r="JZP76" s="108"/>
      <c r="JZQ76" s="108"/>
      <c r="JZR76" s="108"/>
      <c r="JZS76" s="108"/>
      <c r="JZT76" s="108"/>
      <c r="JZU76" s="108"/>
      <c r="JZV76" s="108"/>
      <c r="JZW76" s="108"/>
      <c r="JZX76" s="108"/>
      <c r="JZY76" s="108"/>
      <c r="JZZ76" s="108"/>
      <c r="KAA76" s="108"/>
      <c r="KAB76" s="108"/>
      <c r="KAC76" s="108"/>
      <c r="KAD76" s="108"/>
      <c r="KAE76" s="108"/>
      <c r="KAF76" s="108"/>
      <c r="KAG76" s="108"/>
      <c r="KAH76" s="108"/>
      <c r="KAI76" s="108"/>
      <c r="KAJ76" s="108"/>
      <c r="KAK76" s="108"/>
      <c r="KAL76" s="108"/>
      <c r="KAM76" s="108"/>
      <c r="KAN76" s="108"/>
      <c r="KAO76" s="108"/>
      <c r="KAP76" s="108"/>
      <c r="KAQ76" s="108"/>
      <c r="KAR76" s="108"/>
      <c r="KAS76" s="108"/>
      <c r="KAT76" s="108"/>
      <c r="KAU76" s="108"/>
      <c r="KAV76" s="108"/>
      <c r="KAW76" s="108"/>
      <c r="KAX76" s="108"/>
      <c r="KAY76" s="108"/>
      <c r="KAZ76" s="108"/>
      <c r="KBA76" s="108"/>
      <c r="KBB76" s="108"/>
      <c r="KBC76" s="108"/>
      <c r="KBD76" s="108"/>
      <c r="KBE76" s="108"/>
      <c r="KBF76" s="108"/>
      <c r="KBG76" s="108"/>
      <c r="KBH76" s="108"/>
      <c r="KBI76" s="108"/>
      <c r="KBJ76" s="108"/>
      <c r="KBK76" s="108"/>
      <c r="KBL76" s="108"/>
      <c r="KBM76" s="108"/>
      <c r="KBN76" s="108"/>
      <c r="KBO76" s="108"/>
      <c r="KBP76" s="108"/>
      <c r="KBQ76" s="108"/>
      <c r="KBR76" s="108"/>
      <c r="KBS76" s="108"/>
      <c r="KBT76" s="108"/>
      <c r="KBU76" s="108"/>
      <c r="KBV76" s="108"/>
      <c r="KBW76" s="108"/>
      <c r="KBX76" s="108"/>
      <c r="KBY76" s="108"/>
      <c r="KBZ76" s="108"/>
      <c r="KCA76" s="108"/>
      <c r="KCB76" s="108"/>
      <c r="KCC76" s="108"/>
      <c r="KCD76" s="108"/>
      <c r="KCE76" s="108"/>
      <c r="KCF76" s="108"/>
      <c r="KCG76" s="108"/>
      <c r="KCH76" s="108"/>
      <c r="KCI76" s="108"/>
      <c r="KCJ76" s="108"/>
      <c r="KCK76" s="108"/>
      <c r="KCL76" s="108"/>
      <c r="KCM76" s="108"/>
      <c r="KCN76" s="108"/>
      <c r="KCO76" s="108"/>
      <c r="KCP76" s="108"/>
      <c r="KCQ76" s="108"/>
      <c r="KCR76" s="108"/>
      <c r="KCS76" s="108"/>
      <c r="KCT76" s="108"/>
      <c r="KCU76" s="108"/>
      <c r="KCV76" s="108"/>
      <c r="KCW76" s="108"/>
      <c r="KCX76" s="108"/>
      <c r="KCY76" s="108"/>
      <c r="KCZ76" s="108"/>
      <c r="KDA76" s="108"/>
      <c r="KDB76" s="108"/>
      <c r="KDC76" s="108"/>
      <c r="KDD76" s="108"/>
      <c r="KDE76" s="108"/>
      <c r="KDF76" s="108"/>
      <c r="KDG76" s="108"/>
      <c r="KDH76" s="108"/>
      <c r="KDI76" s="108"/>
      <c r="KDJ76" s="108"/>
      <c r="KDK76" s="108"/>
      <c r="KDL76" s="108"/>
      <c r="KDM76" s="108"/>
      <c r="KDN76" s="108"/>
      <c r="KDO76" s="108"/>
      <c r="KDP76" s="108"/>
      <c r="KDQ76" s="108"/>
      <c r="KDR76" s="108"/>
      <c r="KDS76" s="108"/>
      <c r="KDT76" s="108"/>
      <c r="KDU76" s="108"/>
      <c r="KDV76" s="108"/>
      <c r="KDW76" s="108"/>
      <c r="KDX76" s="108"/>
      <c r="KDY76" s="108"/>
      <c r="KDZ76" s="108"/>
      <c r="KEA76" s="108"/>
      <c r="KEB76" s="108"/>
      <c r="KEC76" s="108"/>
      <c r="KED76" s="108"/>
      <c r="KEE76" s="108"/>
      <c r="KEF76" s="108"/>
      <c r="KEG76" s="108"/>
      <c r="KEH76" s="108"/>
      <c r="KEI76" s="108"/>
      <c r="KEJ76" s="108"/>
      <c r="KEK76" s="108"/>
      <c r="KEL76" s="108"/>
      <c r="KEM76" s="108"/>
      <c r="KEN76" s="108"/>
      <c r="KEO76" s="108"/>
      <c r="KEP76" s="108"/>
      <c r="KEQ76" s="108"/>
      <c r="KER76" s="108"/>
      <c r="KES76" s="108"/>
      <c r="KET76" s="108"/>
      <c r="KEU76" s="108"/>
      <c r="KEV76" s="108"/>
      <c r="KEW76" s="108"/>
      <c r="KEX76" s="108"/>
      <c r="KEY76" s="108"/>
      <c r="KEZ76" s="108"/>
      <c r="KFA76" s="108"/>
      <c r="KFB76" s="108"/>
      <c r="KFC76" s="108"/>
      <c r="KFD76" s="108"/>
      <c r="KFE76" s="108"/>
      <c r="KFF76" s="108"/>
      <c r="KFG76" s="108"/>
      <c r="KFH76" s="108"/>
      <c r="KFI76" s="108"/>
      <c r="KFJ76" s="108"/>
      <c r="KFK76" s="108"/>
      <c r="KFL76" s="108"/>
      <c r="KFM76" s="108"/>
      <c r="KFN76" s="108"/>
      <c r="KFO76" s="108"/>
      <c r="KFP76" s="108"/>
      <c r="KFQ76" s="108"/>
      <c r="KFR76" s="108"/>
      <c r="KFS76" s="108"/>
      <c r="KFT76" s="108"/>
      <c r="KFU76" s="108"/>
      <c r="KFV76" s="108"/>
      <c r="KFW76" s="108"/>
      <c r="KFX76" s="108"/>
      <c r="KFY76" s="108"/>
      <c r="KFZ76" s="108"/>
      <c r="KGA76" s="108"/>
      <c r="KGB76" s="108"/>
      <c r="KGC76" s="108"/>
      <c r="KGD76" s="108"/>
      <c r="KGE76" s="108"/>
      <c r="KGF76" s="108"/>
      <c r="KGG76" s="108"/>
      <c r="KGH76" s="108"/>
      <c r="KGI76" s="108"/>
      <c r="KGJ76" s="108"/>
      <c r="KGK76" s="108"/>
      <c r="KGL76" s="108"/>
      <c r="KGM76" s="108"/>
      <c r="KGN76" s="108"/>
      <c r="KGO76" s="108"/>
      <c r="KGP76" s="108"/>
      <c r="KGQ76" s="108"/>
      <c r="KGR76" s="108"/>
      <c r="KGS76" s="108"/>
      <c r="KGT76" s="108"/>
      <c r="KGU76" s="108"/>
      <c r="KGV76" s="108"/>
      <c r="KGW76" s="108"/>
      <c r="KGX76" s="108"/>
      <c r="KGY76" s="108"/>
      <c r="KGZ76" s="108"/>
      <c r="KHA76" s="108"/>
      <c r="KHB76" s="108"/>
      <c r="KHC76" s="108"/>
      <c r="KHD76" s="108"/>
      <c r="KHE76" s="108"/>
      <c r="KHF76" s="108"/>
      <c r="KHG76" s="108"/>
      <c r="KHH76" s="108"/>
      <c r="KHI76" s="108"/>
      <c r="KHJ76" s="108"/>
      <c r="KHK76" s="108"/>
      <c r="KHL76" s="108"/>
      <c r="KHM76" s="108"/>
      <c r="KHN76" s="108"/>
      <c r="KHO76" s="108"/>
      <c r="KHP76" s="108"/>
      <c r="KHQ76" s="108"/>
      <c r="KHR76" s="108"/>
      <c r="KHS76" s="108"/>
      <c r="KHT76" s="108"/>
      <c r="KHU76" s="108"/>
      <c r="KHV76" s="108"/>
      <c r="KHW76" s="108"/>
      <c r="KHX76" s="108"/>
      <c r="KHY76" s="108"/>
      <c r="KHZ76" s="108"/>
      <c r="KIA76" s="108"/>
      <c r="KIB76" s="108"/>
      <c r="KIC76" s="108"/>
      <c r="KID76" s="108"/>
      <c r="KIE76" s="108"/>
      <c r="KIF76" s="108"/>
      <c r="KIG76" s="108"/>
      <c r="KIH76" s="108"/>
      <c r="KII76" s="108"/>
      <c r="KIJ76" s="108"/>
      <c r="KIK76" s="108"/>
      <c r="KIL76" s="108"/>
      <c r="KIM76" s="108"/>
      <c r="KIN76" s="108"/>
      <c r="KIO76" s="108"/>
      <c r="KIP76" s="108"/>
      <c r="KIQ76" s="108"/>
      <c r="KIR76" s="108"/>
      <c r="KIS76" s="108"/>
      <c r="KIT76" s="108"/>
      <c r="KIU76" s="108"/>
      <c r="KIV76" s="108"/>
      <c r="KIW76" s="108"/>
      <c r="KIX76" s="108"/>
      <c r="KIY76" s="108"/>
      <c r="KIZ76" s="108"/>
      <c r="KJA76" s="108"/>
      <c r="KJB76" s="108"/>
      <c r="KJC76" s="108"/>
      <c r="KJD76" s="108"/>
      <c r="KJE76" s="108"/>
      <c r="KJF76" s="108"/>
      <c r="KJG76" s="108"/>
      <c r="KJH76" s="108"/>
      <c r="KJI76" s="108"/>
      <c r="KJJ76" s="108"/>
      <c r="KJK76" s="108"/>
      <c r="KJL76" s="108"/>
      <c r="KJM76" s="108"/>
      <c r="KJN76" s="108"/>
      <c r="KJO76" s="108"/>
      <c r="KJP76" s="108"/>
      <c r="KJQ76" s="108"/>
      <c r="KJR76" s="108"/>
      <c r="KJS76" s="108"/>
      <c r="KJT76" s="108"/>
      <c r="KJU76" s="108"/>
      <c r="KJV76" s="108"/>
      <c r="KJW76" s="108"/>
      <c r="KJX76" s="108"/>
      <c r="KJY76" s="108"/>
      <c r="KJZ76" s="108"/>
      <c r="KKA76" s="108"/>
      <c r="KKB76" s="108"/>
      <c r="KKC76" s="108"/>
      <c r="KKD76" s="108"/>
      <c r="KKE76" s="108"/>
      <c r="KKF76" s="108"/>
      <c r="KKG76" s="108"/>
      <c r="KKH76" s="108"/>
      <c r="KKI76" s="108"/>
      <c r="KKJ76" s="108"/>
      <c r="KKK76" s="108"/>
      <c r="KKL76" s="108"/>
      <c r="KKM76" s="108"/>
      <c r="KKN76" s="108"/>
      <c r="KKO76" s="108"/>
      <c r="KKP76" s="108"/>
      <c r="KKQ76" s="108"/>
      <c r="KKR76" s="108"/>
      <c r="KKS76" s="108"/>
      <c r="KKT76" s="108"/>
      <c r="KKU76" s="108"/>
      <c r="KKV76" s="108"/>
      <c r="KKW76" s="108"/>
      <c r="KKX76" s="108"/>
      <c r="KKY76" s="108"/>
      <c r="KKZ76" s="108"/>
      <c r="KLA76" s="108"/>
      <c r="KLB76" s="108"/>
      <c r="KLC76" s="108"/>
      <c r="KLD76" s="108"/>
      <c r="KLE76" s="108"/>
      <c r="KLF76" s="108"/>
      <c r="KLG76" s="108"/>
      <c r="KLH76" s="108"/>
      <c r="KLI76" s="108"/>
      <c r="KLJ76" s="108"/>
      <c r="KLK76" s="108"/>
      <c r="KLL76" s="108"/>
      <c r="KLM76" s="108"/>
      <c r="KLN76" s="108"/>
      <c r="KLO76" s="108"/>
      <c r="KLP76" s="108"/>
      <c r="KLQ76" s="108"/>
      <c r="KLR76" s="108"/>
      <c r="KLS76" s="108"/>
      <c r="KLT76" s="108"/>
      <c r="KLU76" s="108"/>
      <c r="KLV76" s="108"/>
      <c r="KLW76" s="108"/>
      <c r="KLX76" s="108"/>
      <c r="KLY76" s="108"/>
      <c r="KLZ76" s="108"/>
      <c r="KMA76" s="108"/>
      <c r="KMB76" s="108"/>
      <c r="KMC76" s="108"/>
      <c r="KMD76" s="108"/>
      <c r="KME76" s="108"/>
      <c r="KMF76" s="108"/>
      <c r="KMG76" s="108"/>
      <c r="KMH76" s="108"/>
      <c r="KMI76" s="108"/>
      <c r="KMJ76" s="108"/>
      <c r="KMK76" s="108"/>
      <c r="KML76" s="108"/>
      <c r="KMM76" s="108"/>
      <c r="KMN76" s="108"/>
      <c r="KMO76" s="108"/>
      <c r="KMP76" s="108"/>
      <c r="KMQ76" s="108"/>
      <c r="KMR76" s="108"/>
      <c r="KMS76" s="108"/>
      <c r="KMT76" s="108"/>
      <c r="KMU76" s="108"/>
      <c r="KMV76" s="108"/>
      <c r="KMW76" s="108"/>
      <c r="KMX76" s="108"/>
      <c r="KMY76" s="108"/>
      <c r="KMZ76" s="108"/>
      <c r="KNA76" s="108"/>
      <c r="KNB76" s="108"/>
      <c r="KNC76" s="108"/>
      <c r="KND76" s="108"/>
      <c r="KNE76" s="108"/>
      <c r="KNF76" s="108"/>
      <c r="KNG76" s="108"/>
      <c r="KNH76" s="108"/>
      <c r="KNI76" s="108"/>
      <c r="KNJ76" s="108"/>
      <c r="KNK76" s="108"/>
      <c r="KNL76" s="108"/>
      <c r="KNM76" s="108"/>
      <c r="KNN76" s="108"/>
      <c r="KNO76" s="108"/>
      <c r="KNP76" s="108"/>
      <c r="KNQ76" s="108"/>
      <c r="KNR76" s="108"/>
      <c r="KNS76" s="108"/>
      <c r="KNT76" s="108"/>
      <c r="KNU76" s="108"/>
      <c r="KNV76" s="108"/>
      <c r="KNW76" s="108"/>
      <c r="KNX76" s="108"/>
      <c r="KNY76" s="108"/>
      <c r="KNZ76" s="108"/>
      <c r="KOA76" s="108"/>
      <c r="KOB76" s="108"/>
      <c r="KOC76" s="108"/>
      <c r="KOD76" s="108"/>
      <c r="KOE76" s="108"/>
      <c r="KOF76" s="108"/>
      <c r="KOG76" s="108"/>
      <c r="KOH76" s="108"/>
      <c r="KOI76" s="108"/>
      <c r="KOJ76" s="108"/>
      <c r="KOK76" s="108"/>
      <c r="KOL76" s="108"/>
      <c r="KOM76" s="108"/>
      <c r="KON76" s="108"/>
      <c r="KOO76" s="108"/>
      <c r="KOP76" s="108"/>
      <c r="KOQ76" s="108"/>
      <c r="KOR76" s="108"/>
      <c r="KOS76" s="108"/>
      <c r="KOT76" s="108"/>
      <c r="KOU76" s="108"/>
      <c r="KOV76" s="108"/>
      <c r="KOW76" s="108"/>
      <c r="KOX76" s="108"/>
      <c r="KOY76" s="108"/>
      <c r="KOZ76" s="108"/>
      <c r="KPA76" s="108"/>
      <c r="KPB76" s="108"/>
      <c r="KPC76" s="108"/>
      <c r="KPD76" s="108"/>
      <c r="KPE76" s="108"/>
      <c r="KPF76" s="108"/>
      <c r="KPG76" s="108"/>
      <c r="KPH76" s="108"/>
      <c r="KPI76" s="108"/>
      <c r="KPJ76" s="108"/>
      <c r="KPK76" s="108"/>
      <c r="KPL76" s="108"/>
      <c r="KPM76" s="108"/>
      <c r="KPN76" s="108"/>
      <c r="KPO76" s="108"/>
      <c r="KPP76" s="108"/>
      <c r="KPQ76" s="108"/>
      <c r="KPR76" s="108"/>
      <c r="KPS76" s="108"/>
      <c r="KPT76" s="108"/>
      <c r="KPU76" s="108"/>
      <c r="KPV76" s="108"/>
      <c r="KPW76" s="108"/>
      <c r="KPX76" s="108"/>
      <c r="KPY76" s="108"/>
      <c r="KPZ76" s="108"/>
      <c r="KQA76" s="108"/>
      <c r="KQB76" s="108"/>
      <c r="KQC76" s="108"/>
      <c r="KQD76" s="108"/>
      <c r="KQE76" s="108"/>
      <c r="KQF76" s="108"/>
      <c r="KQG76" s="108"/>
      <c r="KQH76" s="108"/>
      <c r="KQI76" s="108"/>
      <c r="KQJ76" s="108"/>
      <c r="KQK76" s="108"/>
      <c r="KQL76" s="108"/>
      <c r="KQM76" s="108"/>
      <c r="KQN76" s="108"/>
      <c r="KQO76" s="108"/>
      <c r="KQP76" s="108"/>
      <c r="KQQ76" s="108"/>
      <c r="KQR76" s="108"/>
      <c r="KQS76" s="108"/>
      <c r="KQT76" s="108"/>
      <c r="KQU76" s="108"/>
      <c r="KQV76" s="108"/>
      <c r="KQW76" s="108"/>
      <c r="KQX76" s="108"/>
      <c r="KQY76" s="108"/>
      <c r="KQZ76" s="108"/>
      <c r="KRA76" s="108"/>
      <c r="KRB76" s="108"/>
      <c r="KRC76" s="108"/>
      <c r="KRD76" s="108"/>
      <c r="KRE76" s="108"/>
      <c r="KRF76" s="108"/>
      <c r="KRG76" s="108"/>
      <c r="KRH76" s="108"/>
      <c r="KRI76" s="108"/>
      <c r="KRJ76" s="108"/>
      <c r="KRK76" s="108"/>
      <c r="KRL76" s="108"/>
      <c r="KRM76" s="108"/>
      <c r="KRN76" s="108"/>
      <c r="KRO76" s="108"/>
      <c r="KRP76" s="108"/>
      <c r="KRQ76" s="108"/>
      <c r="KRR76" s="108"/>
      <c r="KRS76" s="108"/>
      <c r="KRT76" s="108"/>
      <c r="KRU76" s="108"/>
      <c r="KRV76" s="108"/>
      <c r="KRW76" s="108"/>
      <c r="KRX76" s="108"/>
      <c r="KRY76" s="108"/>
      <c r="KRZ76" s="108"/>
      <c r="KSA76" s="108"/>
      <c r="KSB76" s="108"/>
      <c r="KSC76" s="108"/>
      <c r="KSD76" s="108"/>
      <c r="KSE76" s="108"/>
      <c r="KSF76" s="108"/>
      <c r="KSG76" s="108"/>
      <c r="KSH76" s="108"/>
      <c r="KSI76" s="108"/>
      <c r="KSJ76" s="108"/>
      <c r="KSK76" s="108"/>
      <c r="KSL76" s="108"/>
      <c r="KSM76" s="108"/>
      <c r="KSN76" s="108"/>
      <c r="KSO76" s="108"/>
      <c r="KSP76" s="108"/>
      <c r="KSQ76" s="108"/>
      <c r="KSR76" s="108"/>
      <c r="KSS76" s="108"/>
      <c r="KST76" s="108"/>
      <c r="KSU76" s="108"/>
      <c r="KSV76" s="108"/>
      <c r="KSW76" s="108"/>
      <c r="KSX76" s="108"/>
      <c r="KSY76" s="108"/>
      <c r="KSZ76" s="108"/>
      <c r="KTA76" s="108"/>
      <c r="KTB76" s="108"/>
      <c r="KTC76" s="108"/>
      <c r="KTD76" s="108"/>
      <c r="KTE76" s="108"/>
      <c r="KTF76" s="108"/>
      <c r="KTG76" s="108"/>
      <c r="KTH76" s="108"/>
      <c r="KTI76" s="108"/>
      <c r="KTJ76" s="108"/>
      <c r="KTK76" s="108"/>
      <c r="KTL76" s="108"/>
      <c r="KTM76" s="108"/>
      <c r="KTN76" s="108"/>
      <c r="KTO76" s="108"/>
      <c r="KTP76" s="108"/>
      <c r="KTQ76" s="108"/>
      <c r="KTR76" s="108"/>
      <c r="KTS76" s="108"/>
      <c r="KTT76" s="108"/>
      <c r="KTU76" s="108"/>
      <c r="KTV76" s="108"/>
      <c r="KTW76" s="108"/>
      <c r="KTX76" s="108"/>
      <c r="KTY76" s="108"/>
      <c r="KTZ76" s="108"/>
      <c r="KUA76" s="108"/>
      <c r="KUB76" s="108"/>
      <c r="KUC76" s="108"/>
      <c r="KUD76" s="108"/>
      <c r="KUE76" s="108"/>
      <c r="KUF76" s="108"/>
      <c r="KUG76" s="108"/>
      <c r="KUH76" s="108"/>
      <c r="KUI76" s="108"/>
      <c r="KUJ76" s="108"/>
      <c r="KUK76" s="108"/>
      <c r="KUL76" s="108"/>
      <c r="KUM76" s="108"/>
      <c r="KUN76" s="108"/>
      <c r="KUO76" s="108"/>
      <c r="KUP76" s="108"/>
      <c r="KUQ76" s="108"/>
      <c r="KUR76" s="108"/>
      <c r="KUS76" s="108"/>
      <c r="KUT76" s="108"/>
      <c r="KUU76" s="108"/>
      <c r="KUV76" s="108"/>
      <c r="KUW76" s="108"/>
      <c r="KUX76" s="108"/>
      <c r="KUY76" s="108"/>
      <c r="KUZ76" s="108"/>
      <c r="KVA76" s="108"/>
      <c r="KVB76" s="108"/>
      <c r="KVC76" s="108"/>
      <c r="KVD76" s="108"/>
      <c r="KVE76" s="108"/>
      <c r="KVF76" s="108"/>
      <c r="KVG76" s="108"/>
      <c r="KVH76" s="108"/>
      <c r="KVI76" s="108"/>
      <c r="KVJ76" s="108"/>
      <c r="KVK76" s="108"/>
      <c r="KVL76" s="108"/>
      <c r="KVM76" s="108"/>
      <c r="KVN76" s="108"/>
      <c r="KVO76" s="108"/>
      <c r="KVP76" s="108"/>
      <c r="KVQ76" s="108"/>
      <c r="KVR76" s="108"/>
      <c r="KVS76" s="108"/>
      <c r="KVT76" s="108"/>
      <c r="KVU76" s="108"/>
      <c r="KVV76" s="108"/>
      <c r="KVW76" s="108"/>
      <c r="KVX76" s="108"/>
      <c r="KVY76" s="108"/>
      <c r="KVZ76" s="108"/>
      <c r="KWA76" s="108"/>
      <c r="KWB76" s="108"/>
      <c r="KWC76" s="108"/>
      <c r="KWD76" s="108"/>
      <c r="KWE76" s="108"/>
      <c r="KWF76" s="108"/>
      <c r="KWG76" s="108"/>
      <c r="KWH76" s="108"/>
      <c r="KWI76" s="108"/>
      <c r="KWJ76" s="108"/>
      <c r="KWK76" s="108"/>
      <c r="KWL76" s="108"/>
      <c r="KWM76" s="108"/>
      <c r="KWN76" s="108"/>
      <c r="KWO76" s="108"/>
      <c r="KWP76" s="108"/>
      <c r="KWQ76" s="108"/>
      <c r="KWR76" s="108"/>
      <c r="KWS76" s="108"/>
      <c r="KWT76" s="108"/>
      <c r="KWU76" s="108"/>
      <c r="KWV76" s="108"/>
      <c r="KWW76" s="108"/>
      <c r="KWX76" s="108"/>
      <c r="KWY76" s="108"/>
      <c r="KWZ76" s="108"/>
      <c r="KXA76" s="108"/>
      <c r="KXB76" s="108"/>
      <c r="KXC76" s="108"/>
      <c r="KXD76" s="108"/>
      <c r="KXE76" s="108"/>
      <c r="KXF76" s="108"/>
      <c r="KXG76" s="108"/>
      <c r="KXH76" s="108"/>
      <c r="KXI76" s="108"/>
      <c r="KXJ76" s="108"/>
      <c r="KXK76" s="108"/>
      <c r="KXL76" s="108"/>
      <c r="KXM76" s="108"/>
      <c r="KXN76" s="108"/>
      <c r="KXO76" s="108"/>
      <c r="KXP76" s="108"/>
      <c r="KXQ76" s="108"/>
      <c r="KXR76" s="108"/>
      <c r="KXS76" s="108"/>
      <c r="KXT76" s="108"/>
      <c r="KXU76" s="108"/>
      <c r="KXV76" s="108"/>
      <c r="KXW76" s="108"/>
      <c r="KXX76" s="108"/>
      <c r="KXY76" s="108"/>
      <c r="KXZ76" s="108"/>
      <c r="KYA76" s="108"/>
      <c r="KYB76" s="108"/>
      <c r="KYC76" s="108"/>
      <c r="KYD76" s="108"/>
      <c r="KYE76" s="108"/>
      <c r="KYF76" s="108"/>
      <c r="KYG76" s="108"/>
      <c r="KYH76" s="108"/>
      <c r="KYI76" s="108"/>
      <c r="KYJ76" s="108"/>
      <c r="KYK76" s="108"/>
      <c r="KYL76" s="108"/>
      <c r="KYM76" s="108"/>
      <c r="KYN76" s="108"/>
      <c r="KYO76" s="108"/>
      <c r="KYP76" s="108"/>
      <c r="KYQ76" s="108"/>
      <c r="KYR76" s="108"/>
      <c r="KYS76" s="108"/>
      <c r="KYT76" s="108"/>
      <c r="KYU76" s="108"/>
      <c r="KYV76" s="108"/>
      <c r="KYW76" s="108"/>
      <c r="KYX76" s="108"/>
      <c r="KYY76" s="108"/>
      <c r="KYZ76" s="108"/>
      <c r="KZA76" s="108"/>
      <c r="KZB76" s="108"/>
      <c r="KZC76" s="108"/>
      <c r="KZD76" s="108"/>
      <c r="KZE76" s="108"/>
      <c r="KZF76" s="108"/>
      <c r="KZG76" s="108"/>
      <c r="KZH76" s="108"/>
      <c r="KZI76" s="108"/>
      <c r="KZJ76" s="108"/>
      <c r="KZK76" s="108"/>
      <c r="KZL76" s="108"/>
      <c r="KZM76" s="108"/>
      <c r="KZN76" s="108"/>
      <c r="KZO76" s="108"/>
      <c r="KZP76" s="108"/>
      <c r="KZQ76" s="108"/>
      <c r="KZR76" s="108"/>
      <c r="KZS76" s="108"/>
      <c r="KZT76" s="108"/>
      <c r="KZU76" s="108"/>
      <c r="KZV76" s="108"/>
      <c r="KZW76" s="108"/>
      <c r="KZX76" s="108"/>
      <c r="KZY76" s="108"/>
      <c r="KZZ76" s="108"/>
      <c r="LAA76" s="108"/>
      <c r="LAB76" s="108"/>
      <c r="LAC76" s="108"/>
      <c r="LAD76" s="108"/>
      <c r="LAE76" s="108"/>
      <c r="LAF76" s="108"/>
      <c r="LAG76" s="108"/>
      <c r="LAH76" s="108"/>
      <c r="LAI76" s="108"/>
      <c r="LAJ76" s="108"/>
      <c r="LAK76" s="108"/>
      <c r="LAL76" s="108"/>
      <c r="LAM76" s="108"/>
      <c r="LAN76" s="108"/>
      <c r="LAO76" s="108"/>
      <c r="LAP76" s="108"/>
      <c r="LAQ76" s="108"/>
      <c r="LAR76" s="108"/>
      <c r="LAS76" s="108"/>
      <c r="LAT76" s="108"/>
      <c r="LAU76" s="108"/>
      <c r="LAV76" s="108"/>
      <c r="LAW76" s="108"/>
      <c r="LAX76" s="108"/>
      <c r="LAY76" s="108"/>
      <c r="LAZ76" s="108"/>
      <c r="LBA76" s="108"/>
      <c r="LBB76" s="108"/>
      <c r="LBC76" s="108"/>
      <c r="LBD76" s="108"/>
      <c r="LBE76" s="108"/>
      <c r="LBF76" s="108"/>
      <c r="LBG76" s="108"/>
      <c r="LBH76" s="108"/>
      <c r="LBI76" s="108"/>
      <c r="LBJ76" s="108"/>
      <c r="LBK76" s="108"/>
      <c r="LBL76" s="108"/>
      <c r="LBM76" s="108"/>
      <c r="LBN76" s="108"/>
      <c r="LBO76" s="108"/>
      <c r="LBP76" s="108"/>
      <c r="LBQ76" s="108"/>
      <c r="LBR76" s="108"/>
      <c r="LBS76" s="108"/>
      <c r="LBT76" s="108"/>
      <c r="LBU76" s="108"/>
      <c r="LBV76" s="108"/>
      <c r="LBW76" s="108"/>
      <c r="LBX76" s="108"/>
      <c r="LBY76" s="108"/>
      <c r="LBZ76" s="108"/>
      <c r="LCA76" s="108"/>
      <c r="LCB76" s="108"/>
      <c r="LCC76" s="108"/>
      <c r="LCD76" s="108"/>
      <c r="LCE76" s="108"/>
      <c r="LCF76" s="108"/>
      <c r="LCG76" s="108"/>
      <c r="LCH76" s="108"/>
      <c r="LCI76" s="108"/>
      <c r="LCJ76" s="108"/>
      <c r="LCK76" s="108"/>
      <c r="LCL76" s="108"/>
      <c r="LCM76" s="108"/>
      <c r="LCN76" s="108"/>
      <c r="LCO76" s="108"/>
      <c r="LCP76" s="108"/>
      <c r="LCQ76" s="108"/>
      <c r="LCR76" s="108"/>
      <c r="LCS76" s="108"/>
      <c r="LCT76" s="108"/>
      <c r="LCU76" s="108"/>
      <c r="LCV76" s="108"/>
      <c r="LCW76" s="108"/>
      <c r="LCX76" s="108"/>
      <c r="LCY76" s="108"/>
      <c r="LCZ76" s="108"/>
      <c r="LDA76" s="108"/>
      <c r="LDB76" s="108"/>
      <c r="LDC76" s="108"/>
      <c r="LDD76" s="108"/>
      <c r="LDE76" s="108"/>
      <c r="LDF76" s="108"/>
      <c r="LDG76" s="108"/>
      <c r="LDH76" s="108"/>
      <c r="LDI76" s="108"/>
      <c r="LDJ76" s="108"/>
      <c r="LDK76" s="108"/>
      <c r="LDL76" s="108"/>
      <c r="LDM76" s="108"/>
      <c r="LDN76" s="108"/>
      <c r="LDO76" s="108"/>
      <c r="LDP76" s="108"/>
      <c r="LDQ76" s="108"/>
      <c r="LDR76" s="108"/>
      <c r="LDS76" s="108"/>
      <c r="LDT76" s="108"/>
      <c r="LDU76" s="108"/>
      <c r="LDV76" s="108"/>
      <c r="LDW76" s="108"/>
      <c r="LDX76" s="108"/>
      <c r="LDY76" s="108"/>
      <c r="LDZ76" s="108"/>
      <c r="LEA76" s="108"/>
      <c r="LEB76" s="108"/>
      <c r="LEC76" s="108"/>
      <c r="LED76" s="108"/>
      <c r="LEE76" s="108"/>
      <c r="LEF76" s="108"/>
      <c r="LEG76" s="108"/>
      <c r="LEH76" s="108"/>
      <c r="LEI76" s="108"/>
      <c r="LEJ76" s="108"/>
      <c r="LEK76" s="108"/>
      <c r="LEL76" s="108"/>
      <c r="LEM76" s="108"/>
      <c r="LEN76" s="108"/>
      <c r="LEO76" s="108"/>
      <c r="LEP76" s="108"/>
      <c r="LEQ76" s="108"/>
      <c r="LER76" s="108"/>
      <c r="LES76" s="108"/>
      <c r="LET76" s="108"/>
      <c r="LEU76" s="108"/>
      <c r="LEV76" s="108"/>
      <c r="LEW76" s="108"/>
      <c r="LEX76" s="108"/>
      <c r="LEY76" s="108"/>
      <c r="LEZ76" s="108"/>
      <c r="LFA76" s="108"/>
      <c r="LFB76" s="108"/>
      <c r="LFC76" s="108"/>
      <c r="LFD76" s="108"/>
      <c r="LFE76" s="108"/>
      <c r="LFF76" s="108"/>
      <c r="LFG76" s="108"/>
      <c r="LFH76" s="108"/>
      <c r="LFI76" s="108"/>
      <c r="LFJ76" s="108"/>
      <c r="LFK76" s="108"/>
      <c r="LFL76" s="108"/>
      <c r="LFM76" s="108"/>
      <c r="LFN76" s="108"/>
      <c r="LFO76" s="108"/>
      <c r="LFP76" s="108"/>
      <c r="LFQ76" s="108"/>
      <c r="LFR76" s="108"/>
      <c r="LFS76" s="108"/>
      <c r="LFT76" s="108"/>
      <c r="LFU76" s="108"/>
      <c r="LFV76" s="108"/>
      <c r="LFW76" s="108"/>
      <c r="LFX76" s="108"/>
      <c r="LFY76" s="108"/>
      <c r="LFZ76" s="108"/>
      <c r="LGA76" s="108"/>
      <c r="LGB76" s="108"/>
      <c r="LGC76" s="108"/>
      <c r="LGD76" s="108"/>
      <c r="LGE76" s="108"/>
      <c r="LGF76" s="108"/>
      <c r="LGG76" s="108"/>
      <c r="LGH76" s="108"/>
      <c r="LGI76" s="108"/>
      <c r="LGJ76" s="108"/>
      <c r="LGK76" s="108"/>
      <c r="LGL76" s="108"/>
      <c r="LGM76" s="108"/>
      <c r="LGN76" s="108"/>
      <c r="LGO76" s="108"/>
      <c r="LGP76" s="108"/>
      <c r="LGQ76" s="108"/>
      <c r="LGR76" s="108"/>
      <c r="LGS76" s="108"/>
      <c r="LGT76" s="108"/>
      <c r="LGU76" s="108"/>
      <c r="LGV76" s="108"/>
      <c r="LGW76" s="108"/>
      <c r="LGX76" s="108"/>
      <c r="LGY76" s="108"/>
      <c r="LGZ76" s="108"/>
      <c r="LHA76" s="108"/>
      <c r="LHB76" s="108"/>
      <c r="LHC76" s="108"/>
      <c r="LHD76" s="108"/>
      <c r="LHE76" s="108"/>
      <c r="LHF76" s="108"/>
      <c r="LHG76" s="108"/>
      <c r="LHH76" s="108"/>
      <c r="LHI76" s="108"/>
      <c r="LHJ76" s="108"/>
      <c r="LHK76" s="108"/>
      <c r="LHL76" s="108"/>
      <c r="LHM76" s="108"/>
      <c r="LHN76" s="108"/>
      <c r="LHO76" s="108"/>
      <c r="LHP76" s="108"/>
      <c r="LHQ76" s="108"/>
      <c r="LHR76" s="108"/>
      <c r="LHS76" s="108"/>
      <c r="LHT76" s="108"/>
      <c r="LHU76" s="108"/>
      <c r="LHV76" s="108"/>
      <c r="LHW76" s="108"/>
      <c r="LHX76" s="108"/>
      <c r="LHY76" s="108"/>
      <c r="LHZ76" s="108"/>
      <c r="LIA76" s="108"/>
      <c r="LIB76" s="108"/>
      <c r="LIC76" s="108"/>
      <c r="LID76" s="108"/>
      <c r="LIE76" s="108"/>
      <c r="LIF76" s="108"/>
      <c r="LIG76" s="108"/>
      <c r="LIH76" s="108"/>
      <c r="LII76" s="108"/>
      <c r="LIJ76" s="108"/>
      <c r="LIK76" s="108"/>
      <c r="LIL76" s="108"/>
      <c r="LIM76" s="108"/>
      <c r="LIN76" s="108"/>
      <c r="LIO76" s="108"/>
      <c r="LIP76" s="108"/>
      <c r="LIQ76" s="108"/>
      <c r="LIR76" s="108"/>
      <c r="LIS76" s="108"/>
      <c r="LIT76" s="108"/>
      <c r="LIU76" s="108"/>
      <c r="LIV76" s="108"/>
      <c r="LIW76" s="108"/>
      <c r="LIX76" s="108"/>
      <c r="LIY76" s="108"/>
      <c r="LIZ76" s="108"/>
      <c r="LJA76" s="108"/>
      <c r="LJB76" s="108"/>
      <c r="LJC76" s="108"/>
      <c r="LJD76" s="108"/>
      <c r="LJE76" s="108"/>
      <c r="LJF76" s="108"/>
      <c r="LJG76" s="108"/>
      <c r="LJH76" s="108"/>
      <c r="LJI76" s="108"/>
      <c r="LJJ76" s="108"/>
      <c r="LJK76" s="108"/>
      <c r="LJL76" s="108"/>
      <c r="LJM76" s="108"/>
      <c r="LJN76" s="108"/>
      <c r="LJO76" s="108"/>
      <c r="LJP76" s="108"/>
      <c r="LJQ76" s="108"/>
      <c r="LJR76" s="108"/>
      <c r="LJS76" s="108"/>
      <c r="LJT76" s="108"/>
      <c r="LJU76" s="108"/>
      <c r="LJV76" s="108"/>
      <c r="LJW76" s="108"/>
      <c r="LJX76" s="108"/>
      <c r="LJY76" s="108"/>
      <c r="LJZ76" s="108"/>
      <c r="LKA76" s="108"/>
      <c r="LKB76" s="108"/>
      <c r="LKC76" s="108"/>
      <c r="LKD76" s="108"/>
      <c r="LKE76" s="108"/>
      <c r="LKF76" s="108"/>
      <c r="LKG76" s="108"/>
      <c r="LKH76" s="108"/>
      <c r="LKI76" s="108"/>
      <c r="LKJ76" s="108"/>
      <c r="LKK76" s="108"/>
      <c r="LKL76" s="108"/>
      <c r="LKM76" s="108"/>
      <c r="LKN76" s="108"/>
      <c r="LKO76" s="108"/>
      <c r="LKP76" s="108"/>
      <c r="LKQ76" s="108"/>
      <c r="LKR76" s="108"/>
      <c r="LKS76" s="108"/>
      <c r="LKT76" s="108"/>
      <c r="LKU76" s="108"/>
      <c r="LKV76" s="108"/>
      <c r="LKW76" s="108"/>
      <c r="LKX76" s="108"/>
      <c r="LKY76" s="108"/>
      <c r="LKZ76" s="108"/>
      <c r="LLA76" s="108"/>
      <c r="LLB76" s="108"/>
      <c r="LLC76" s="108"/>
      <c r="LLD76" s="108"/>
      <c r="LLE76" s="108"/>
      <c r="LLF76" s="108"/>
      <c r="LLG76" s="108"/>
      <c r="LLH76" s="108"/>
      <c r="LLI76" s="108"/>
      <c r="LLJ76" s="108"/>
      <c r="LLK76" s="108"/>
      <c r="LLL76" s="108"/>
      <c r="LLM76" s="108"/>
      <c r="LLN76" s="108"/>
      <c r="LLO76" s="108"/>
      <c r="LLP76" s="108"/>
      <c r="LLQ76" s="108"/>
      <c r="LLR76" s="108"/>
      <c r="LLS76" s="108"/>
      <c r="LLT76" s="108"/>
      <c r="LLU76" s="108"/>
      <c r="LLV76" s="108"/>
      <c r="LLW76" s="108"/>
      <c r="LLX76" s="108"/>
      <c r="LLY76" s="108"/>
      <c r="LLZ76" s="108"/>
      <c r="LMA76" s="108"/>
      <c r="LMB76" s="108"/>
      <c r="LMC76" s="108"/>
      <c r="LMD76" s="108"/>
      <c r="LME76" s="108"/>
      <c r="LMF76" s="108"/>
      <c r="LMG76" s="108"/>
      <c r="LMH76" s="108"/>
      <c r="LMI76" s="108"/>
      <c r="LMJ76" s="108"/>
      <c r="LMK76" s="108"/>
      <c r="LML76" s="108"/>
      <c r="LMM76" s="108"/>
      <c r="LMN76" s="108"/>
      <c r="LMO76" s="108"/>
      <c r="LMP76" s="108"/>
      <c r="LMQ76" s="108"/>
      <c r="LMR76" s="108"/>
      <c r="LMS76" s="108"/>
      <c r="LMT76" s="108"/>
      <c r="LMU76" s="108"/>
      <c r="LMV76" s="108"/>
      <c r="LMW76" s="108"/>
      <c r="LMX76" s="108"/>
      <c r="LMY76" s="108"/>
      <c r="LMZ76" s="108"/>
      <c r="LNA76" s="108"/>
      <c r="LNB76" s="108"/>
      <c r="LNC76" s="108"/>
      <c r="LND76" s="108"/>
      <c r="LNE76" s="108"/>
      <c r="LNF76" s="108"/>
      <c r="LNG76" s="108"/>
      <c r="LNH76" s="108"/>
      <c r="LNI76" s="108"/>
      <c r="LNJ76" s="108"/>
      <c r="LNK76" s="108"/>
      <c r="LNL76" s="108"/>
      <c r="LNM76" s="108"/>
      <c r="LNN76" s="108"/>
      <c r="LNO76" s="108"/>
      <c r="LNP76" s="108"/>
      <c r="LNQ76" s="108"/>
      <c r="LNR76" s="108"/>
      <c r="LNS76" s="108"/>
      <c r="LNT76" s="108"/>
      <c r="LNU76" s="108"/>
      <c r="LNV76" s="108"/>
      <c r="LNW76" s="108"/>
      <c r="LNX76" s="108"/>
      <c r="LNY76" s="108"/>
      <c r="LNZ76" s="108"/>
      <c r="LOA76" s="108"/>
      <c r="LOB76" s="108"/>
      <c r="LOC76" s="108"/>
      <c r="LOD76" s="108"/>
      <c r="LOE76" s="108"/>
      <c r="LOF76" s="108"/>
      <c r="LOG76" s="108"/>
      <c r="LOH76" s="108"/>
      <c r="LOI76" s="108"/>
      <c r="LOJ76" s="108"/>
      <c r="LOK76" s="108"/>
      <c r="LOL76" s="108"/>
      <c r="LOM76" s="108"/>
      <c r="LON76" s="108"/>
      <c r="LOO76" s="108"/>
      <c r="LOP76" s="108"/>
      <c r="LOQ76" s="108"/>
      <c r="LOR76" s="108"/>
      <c r="LOS76" s="108"/>
      <c r="LOT76" s="108"/>
      <c r="LOU76" s="108"/>
      <c r="LOV76" s="108"/>
      <c r="LOW76" s="108"/>
      <c r="LOX76" s="108"/>
      <c r="LOY76" s="108"/>
      <c r="LOZ76" s="108"/>
      <c r="LPA76" s="108"/>
      <c r="LPB76" s="108"/>
      <c r="LPC76" s="108"/>
      <c r="LPD76" s="108"/>
      <c r="LPE76" s="108"/>
      <c r="LPF76" s="108"/>
      <c r="LPG76" s="108"/>
      <c r="LPH76" s="108"/>
      <c r="LPI76" s="108"/>
      <c r="LPJ76" s="108"/>
      <c r="LPK76" s="108"/>
      <c r="LPL76" s="108"/>
      <c r="LPM76" s="108"/>
      <c r="LPN76" s="108"/>
      <c r="LPO76" s="108"/>
      <c r="LPP76" s="108"/>
      <c r="LPQ76" s="108"/>
      <c r="LPR76" s="108"/>
      <c r="LPS76" s="108"/>
      <c r="LPT76" s="108"/>
      <c r="LPU76" s="108"/>
      <c r="LPV76" s="108"/>
      <c r="LPW76" s="108"/>
      <c r="LPX76" s="108"/>
      <c r="LPY76" s="108"/>
      <c r="LPZ76" s="108"/>
      <c r="LQA76" s="108"/>
      <c r="LQB76" s="108"/>
      <c r="LQC76" s="108"/>
      <c r="LQD76" s="108"/>
      <c r="LQE76" s="108"/>
      <c r="LQF76" s="108"/>
      <c r="LQG76" s="108"/>
      <c r="LQH76" s="108"/>
      <c r="LQI76" s="108"/>
      <c r="LQJ76" s="108"/>
      <c r="LQK76" s="108"/>
      <c r="LQL76" s="108"/>
      <c r="LQM76" s="108"/>
      <c r="LQN76" s="108"/>
      <c r="LQO76" s="108"/>
      <c r="LQP76" s="108"/>
      <c r="LQQ76" s="108"/>
      <c r="LQR76" s="108"/>
      <c r="LQS76" s="108"/>
      <c r="LQT76" s="108"/>
      <c r="LQU76" s="108"/>
      <c r="LQV76" s="108"/>
      <c r="LQW76" s="108"/>
      <c r="LQX76" s="108"/>
      <c r="LQY76" s="108"/>
      <c r="LQZ76" s="108"/>
      <c r="LRA76" s="108"/>
      <c r="LRB76" s="108"/>
      <c r="LRC76" s="108"/>
      <c r="LRD76" s="108"/>
      <c r="LRE76" s="108"/>
      <c r="LRF76" s="108"/>
      <c r="LRG76" s="108"/>
      <c r="LRH76" s="108"/>
      <c r="LRI76" s="108"/>
      <c r="LRJ76" s="108"/>
      <c r="LRK76" s="108"/>
      <c r="LRL76" s="108"/>
      <c r="LRM76" s="108"/>
      <c r="LRN76" s="108"/>
      <c r="LRO76" s="108"/>
      <c r="LRP76" s="108"/>
      <c r="LRQ76" s="108"/>
      <c r="LRR76" s="108"/>
      <c r="LRS76" s="108"/>
      <c r="LRT76" s="108"/>
      <c r="LRU76" s="108"/>
      <c r="LRV76" s="108"/>
      <c r="LRW76" s="108"/>
      <c r="LRX76" s="108"/>
      <c r="LRY76" s="108"/>
      <c r="LRZ76" s="108"/>
      <c r="LSA76" s="108"/>
      <c r="LSB76" s="108"/>
      <c r="LSC76" s="108"/>
      <c r="LSD76" s="108"/>
      <c r="LSE76" s="108"/>
      <c r="LSF76" s="108"/>
      <c r="LSG76" s="108"/>
      <c r="LSH76" s="108"/>
      <c r="LSI76" s="108"/>
      <c r="LSJ76" s="108"/>
      <c r="LSK76" s="108"/>
      <c r="LSL76" s="108"/>
      <c r="LSM76" s="108"/>
      <c r="LSN76" s="108"/>
      <c r="LSO76" s="108"/>
      <c r="LSP76" s="108"/>
      <c r="LSQ76" s="108"/>
      <c r="LSR76" s="108"/>
      <c r="LSS76" s="108"/>
      <c r="LST76" s="108"/>
      <c r="LSU76" s="108"/>
      <c r="LSV76" s="108"/>
      <c r="LSW76" s="108"/>
      <c r="LSX76" s="108"/>
      <c r="LSY76" s="108"/>
      <c r="LSZ76" s="108"/>
      <c r="LTA76" s="108"/>
      <c r="LTB76" s="108"/>
      <c r="LTC76" s="108"/>
      <c r="LTD76" s="108"/>
      <c r="LTE76" s="108"/>
      <c r="LTF76" s="108"/>
      <c r="LTG76" s="108"/>
      <c r="LTH76" s="108"/>
      <c r="LTI76" s="108"/>
      <c r="LTJ76" s="108"/>
      <c r="LTK76" s="108"/>
      <c r="LTL76" s="108"/>
      <c r="LTM76" s="108"/>
      <c r="LTN76" s="108"/>
      <c r="LTO76" s="108"/>
      <c r="LTP76" s="108"/>
      <c r="LTQ76" s="108"/>
      <c r="LTR76" s="108"/>
      <c r="LTS76" s="108"/>
      <c r="LTT76" s="108"/>
      <c r="LTU76" s="108"/>
      <c r="LTV76" s="108"/>
      <c r="LTW76" s="108"/>
      <c r="LTX76" s="108"/>
      <c r="LTY76" s="108"/>
      <c r="LTZ76" s="108"/>
      <c r="LUA76" s="108"/>
      <c r="LUB76" s="108"/>
      <c r="LUC76" s="108"/>
      <c r="LUD76" s="108"/>
      <c r="LUE76" s="108"/>
      <c r="LUF76" s="108"/>
      <c r="LUG76" s="108"/>
      <c r="LUH76" s="108"/>
      <c r="LUI76" s="108"/>
      <c r="LUJ76" s="108"/>
      <c r="LUK76" s="108"/>
      <c r="LUL76" s="108"/>
      <c r="LUM76" s="108"/>
      <c r="LUN76" s="108"/>
      <c r="LUO76" s="108"/>
      <c r="LUP76" s="108"/>
      <c r="LUQ76" s="108"/>
      <c r="LUR76" s="108"/>
      <c r="LUS76" s="108"/>
      <c r="LUT76" s="108"/>
      <c r="LUU76" s="108"/>
      <c r="LUV76" s="108"/>
      <c r="LUW76" s="108"/>
      <c r="LUX76" s="108"/>
      <c r="LUY76" s="108"/>
      <c r="LUZ76" s="108"/>
      <c r="LVA76" s="108"/>
      <c r="LVB76" s="108"/>
      <c r="LVC76" s="108"/>
      <c r="LVD76" s="108"/>
      <c r="LVE76" s="108"/>
      <c r="LVF76" s="108"/>
      <c r="LVG76" s="108"/>
      <c r="LVH76" s="108"/>
      <c r="LVI76" s="108"/>
      <c r="LVJ76" s="108"/>
      <c r="LVK76" s="108"/>
      <c r="LVL76" s="108"/>
      <c r="LVM76" s="108"/>
      <c r="LVN76" s="108"/>
      <c r="LVO76" s="108"/>
      <c r="LVP76" s="108"/>
      <c r="LVQ76" s="108"/>
      <c r="LVR76" s="108"/>
      <c r="LVS76" s="108"/>
      <c r="LVT76" s="108"/>
      <c r="LVU76" s="108"/>
      <c r="LVV76" s="108"/>
      <c r="LVW76" s="108"/>
      <c r="LVX76" s="108"/>
      <c r="LVY76" s="108"/>
      <c r="LVZ76" s="108"/>
      <c r="LWA76" s="108"/>
      <c r="LWB76" s="108"/>
      <c r="LWC76" s="108"/>
      <c r="LWD76" s="108"/>
      <c r="LWE76" s="108"/>
      <c r="LWF76" s="108"/>
      <c r="LWG76" s="108"/>
      <c r="LWH76" s="108"/>
      <c r="LWI76" s="108"/>
      <c r="LWJ76" s="108"/>
      <c r="LWK76" s="108"/>
      <c r="LWL76" s="108"/>
      <c r="LWM76" s="108"/>
      <c r="LWN76" s="108"/>
      <c r="LWO76" s="108"/>
      <c r="LWP76" s="108"/>
      <c r="LWQ76" s="108"/>
      <c r="LWR76" s="108"/>
      <c r="LWS76" s="108"/>
      <c r="LWT76" s="108"/>
      <c r="LWU76" s="108"/>
      <c r="LWV76" s="108"/>
      <c r="LWW76" s="108"/>
      <c r="LWX76" s="108"/>
      <c r="LWY76" s="108"/>
      <c r="LWZ76" s="108"/>
      <c r="LXA76" s="108"/>
      <c r="LXB76" s="108"/>
      <c r="LXC76" s="108"/>
      <c r="LXD76" s="108"/>
      <c r="LXE76" s="108"/>
      <c r="LXF76" s="108"/>
      <c r="LXG76" s="108"/>
      <c r="LXH76" s="108"/>
      <c r="LXI76" s="108"/>
      <c r="LXJ76" s="108"/>
      <c r="LXK76" s="108"/>
      <c r="LXL76" s="108"/>
      <c r="LXM76" s="108"/>
      <c r="LXN76" s="108"/>
      <c r="LXO76" s="108"/>
      <c r="LXP76" s="108"/>
      <c r="LXQ76" s="108"/>
      <c r="LXR76" s="108"/>
      <c r="LXS76" s="108"/>
      <c r="LXT76" s="108"/>
      <c r="LXU76" s="108"/>
      <c r="LXV76" s="108"/>
      <c r="LXW76" s="108"/>
      <c r="LXX76" s="108"/>
      <c r="LXY76" s="108"/>
      <c r="LXZ76" s="108"/>
      <c r="LYA76" s="108"/>
      <c r="LYB76" s="108"/>
      <c r="LYC76" s="108"/>
      <c r="LYD76" s="108"/>
      <c r="LYE76" s="108"/>
      <c r="LYF76" s="108"/>
      <c r="LYG76" s="108"/>
      <c r="LYH76" s="108"/>
      <c r="LYI76" s="108"/>
      <c r="LYJ76" s="108"/>
      <c r="LYK76" s="108"/>
      <c r="LYL76" s="108"/>
      <c r="LYM76" s="108"/>
      <c r="LYN76" s="108"/>
      <c r="LYO76" s="108"/>
      <c r="LYP76" s="108"/>
      <c r="LYQ76" s="108"/>
      <c r="LYR76" s="108"/>
      <c r="LYS76" s="108"/>
      <c r="LYT76" s="108"/>
      <c r="LYU76" s="108"/>
      <c r="LYV76" s="108"/>
      <c r="LYW76" s="108"/>
      <c r="LYX76" s="108"/>
      <c r="LYY76" s="108"/>
      <c r="LYZ76" s="108"/>
      <c r="LZA76" s="108"/>
      <c r="LZB76" s="108"/>
      <c r="LZC76" s="108"/>
      <c r="LZD76" s="108"/>
      <c r="LZE76" s="108"/>
      <c r="LZF76" s="108"/>
      <c r="LZG76" s="108"/>
      <c r="LZH76" s="108"/>
      <c r="LZI76" s="108"/>
      <c r="LZJ76" s="108"/>
      <c r="LZK76" s="108"/>
      <c r="LZL76" s="108"/>
      <c r="LZM76" s="108"/>
      <c r="LZN76" s="108"/>
      <c r="LZO76" s="108"/>
      <c r="LZP76" s="108"/>
      <c r="LZQ76" s="108"/>
      <c r="LZR76" s="108"/>
      <c r="LZS76" s="108"/>
      <c r="LZT76" s="108"/>
      <c r="LZU76" s="108"/>
      <c r="LZV76" s="108"/>
      <c r="LZW76" s="108"/>
      <c r="LZX76" s="108"/>
      <c r="LZY76" s="108"/>
      <c r="LZZ76" s="108"/>
      <c r="MAA76" s="108"/>
      <c r="MAB76" s="108"/>
      <c r="MAC76" s="108"/>
      <c r="MAD76" s="108"/>
      <c r="MAE76" s="108"/>
      <c r="MAF76" s="108"/>
      <c r="MAG76" s="108"/>
      <c r="MAH76" s="108"/>
      <c r="MAI76" s="108"/>
      <c r="MAJ76" s="108"/>
      <c r="MAK76" s="108"/>
      <c r="MAL76" s="108"/>
      <c r="MAM76" s="108"/>
      <c r="MAN76" s="108"/>
      <c r="MAO76" s="108"/>
      <c r="MAP76" s="108"/>
      <c r="MAQ76" s="108"/>
      <c r="MAR76" s="108"/>
      <c r="MAS76" s="108"/>
      <c r="MAT76" s="108"/>
      <c r="MAU76" s="108"/>
      <c r="MAV76" s="108"/>
      <c r="MAW76" s="108"/>
      <c r="MAX76" s="108"/>
      <c r="MAY76" s="108"/>
      <c r="MAZ76" s="108"/>
      <c r="MBA76" s="108"/>
      <c r="MBB76" s="108"/>
      <c r="MBC76" s="108"/>
      <c r="MBD76" s="108"/>
      <c r="MBE76" s="108"/>
      <c r="MBF76" s="108"/>
      <c r="MBG76" s="108"/>
      <c r="MBH76" s="108"/>
      <c r="MBI76" s="108"/>
      <c r="MBJ76" s="108"/>
      <c r="MBK76" s="108"/>
      <c r="MBL76" s="108"/>
      <c r="MBM76" s="108"/>
      <c r="MBN76" s="108"/>
      <c r="MBO76" s="108"/>
      <c r="MBP76" s="108"/>
      <c r="MBQ76" s="108"/>
      <c r="MBR76" s="108"/>
      <c r="MBS76" s="108"/>
      <c r="MBT76" s="108"/>
      <c r="MBU76" s="108"/>
      <c r="MBV76" s="108"/>
      <c r="MBW76" s="108"/>
      <c r="MBX76" s="108"/>
      <c r="MBY76" s="108"/>
      <c r="MBZ76" s="108"/>
      <c r="MCA76" s="108"/>
      <c r="MCB76" s="108"/>
      <c r="MCC76" s="108"/>
      <c r="MCD76" s="108"/>
      <c r="MCE76" s="108"/>
      <c r="MCF76" s="108"/>
      <c r="MCG76" s="108"/>
      <c r="MCH76" s="108"/>
      <c r="MCI76" s="108"/>
      <c r="MCJ76" s="108"/>
      <c r="MCK76" s="108"/>
      <c r="MCL76" s="108"/>
      <c r="MCM76" s="108"/>
      <c r="MCN76" s="108"/>
      <c r="MCO76" s="108"/>
      <c r="MCP76" s="108"/>
      <c r="MCQ76" s="108"/>
      <c r="MCR76" s="108"/>
      <c r="MCS76" s="108"/>
      <c r="MCT76" s="108"/>
      <c r="MCU76" s="108"/>
      <c r="MCV76" s="108"/>
      <c r="MCW76" s="108"/>
      <c r="MCX76" s="108"/>
      <c r="MCY76" s="108"/>
      <c r="MCZ76" s="108"/>
      <c r="MDA76" s="108"/>
      <c r="MDB76" s="108"/>
      <c r="MDC76" s="108"/>
      <c r="MDD76" s="108"/>
      <c r="MDE76" s="108"/>
      <c r="MDF76" s="108"/>
      <c r="MDG76" s="108"/>
      <c r="MDH76" s="108"/>
      <c r="MDI76" s="108"/>
      <c r="MDJ76" s="108"/>
      <c r="MDK76" s="108"/>
      <c r="MDL76" s="108"/>
      <c r="MDM76" s="108"/>
      <c r="MDN76" s="108"/>
      <c r="MDO76" s="108"/>
      <c r="MDP76" s="108"/>
      <c r="MDQ76" s="108"/>
      <c r="MDR76" s="108"/>
      <c r="MDS76" s="108"/>
      <c r="MDT76" s="108"/>
      <c r="MDU76" s="108"/>
      <c r="MDV76" s="108"/>
      <c r="MDW76" s="108"/>
      <c r="MDX76" s="108"/>
      <c r="MDY76" s="108"/>
      <c r="MDZ76" s="108"/>
      <c r="MEA76" s="108"/>
      <c r="MEB76" s="108"/>
      <c r="MEC76" s="108"/>
      <c r="MED76" s="108"/>
      <c r="MEE76" s="108"/>
      <c r="MEF76" s="108"/>
      <c r="MEG76" s="108"/>
      <c r="MEH76" s="108"/>
      <c r="MEI76" s="108"/>
      <c r="MEJ76" s="108"/>
      <c r="MEK76" s="108"/>
      <c r="MEL76" s="108"/>
      <c r="MEM76" s="108"/>
      <c r="MEN76" s="108"/>
      <c r="MEO76" s="108"/>
      <c r="MEP76" s="108"/>
      <c r="MEQ76" s="108"/>
      <c r="MER76" s="108"/>
      <c r="MES76" s="108"/>
      <c r="MET76" s="108"/>
      <c r="MEU76" s="108"/>
      <c r="MEV76" s="108"/>
      <c r="MEW76" s="108"/>
      <c r="MEX76" s="108"/>
      <c r="MEY76" s="108"/>
      <c r="MEZ76" s="108"/>
      <c r="MFA76" s="108"/>
      <c r="MFB76" s="108"/>
      <c r="MFC76" s="108"/>
      <c r="MFD76" s="108"/>
      <c r="MFE76" s="108"/>
      <c r="MFF76" s="108"/>
      <c r="MFG76" s="108"/>
      <c r="MFH76" s="108"/>
      <c r="MFI76" s="108"/>
      <c r="MFJ76" s="108"/>
      <c r="MFK76" s="108"/>
      <c r="MFL76" s="108"/>
      <c r="MFM76" s="108"/>
      <c r="MFN76" s="108"/>
      <c r="MFO76" s="108"/>
      <c r="MFP76" s="108"/>
      <c r="MFQ76" s="108"/>
      <c r="MFR76" s="108"/>
      <c r="MFS76" s="108"/>
      <c r="MFT76" s="108"/>
      <c r="MFU76" s="108"/>
      <c r="MFV76" s="108"/>
      <c r="MFW76" s="108"/>
      <c r="MFX76" s="108"/>
      <c r="MFY76" s="108"/>
      <c r="MFZ76" s="108"/>
      <c r="MGA76" s="108"/>
      <c r="MGB76" s="108"/>
      <c r="MGC76" s="108"/>
      <c r="MGD76" s="108"/>
      <c r="MGE76" s="108"/>
      <c r="MGF76" s="108"/>
      <c r="MGG76" s="108"/>
      <c r="MGH76" s="108"/>
      <c r="MGI76" s="108"/>
      <c r="MGJ76" s="108"/>
      <c r="MGK76" s="108"/>
      <c r="MGL76" s="108"/>
      <c r="MGM76" s="108"/>
      <c r="MGN76" s="108"/>
      <c r="MGO76" s="108"/>
      <c r="MGP76" s="108"/>
      <c r="MGQ76" s="108"/>
      <c r="MGR76" s="108"/>
      <c r="MGS76" s="108"/>
      <c r="MGT76" s="108"/>
      <c r="MGU76" s="108"/>
      <c r="MGV76" s="108"/>
      <c r="MGW76" s="108"/>
      <c r="MGX76" s="108"/>
      <c r="MGY76" s="108"/>
      <c r="MGZ76" s="108"/>
      <c r="MHA76" s="108"/>
      <c r="MHB76" s="108"/>
      <c r="MHC76" s="108"/>
      <c r="MHD76" s="108"/>
      <c r="MHE76" s="108"/>
      <c r="MHF76" s="108"/>
      <c r="MHG76" s="108"/>
      <c r="MHH76" s="108"/>
      <c r="MHI76" s="108"/>
      <c r="MHJ76" s="108"/>
      <c r="MHK76" s="108"/>
      <c r="MHL76" s="108"/>
      <c r="MHM76" s="108"/>
      <c r="MHN76" s="108"/>
      <c r="MHO76" s="108"/>
      <c r="MHP76" s="108"/>
      <c r="MHQ76" s="108"/>
      <c r="MHR76" s="108"/>
      <c r="MHS76" s="108"/>
      <c r="MHT76" s="108"/>
      <c r="MHU76" s="108"/>
      <c r="MHV76" s="108"/>
      <c r="MHW76" s="108"/>
      <c r="MHX76" s="108"/>
      <c r="MHY76" s="108"/>
      <c r="MHZ76" s="108"/>
      <c r="MIA76" s="108"/>
      <c r="MIB76" s="108"/>
      <c r="MIC76" s="108"/>
      <c r="MID76" s="108"/>
      <c r="MIE76" s="108"/>
      <c r="MIF76" s="108"/>
      <c r="MIG76" s="108"/>
      <c r="MIH76" s="108"/>
      <c r="MII76" s="108"/>
      <c r="MIJ76" s="108"/>
      <c r="MIK76" s="108"/>
      <c r="MIL76" s="108"/>
      <c r="MIM76" s="108"/>
      <c r="MIN76" s="108"/>
      <c r="MIO76" s="108"/>
      <c r="MIP76" s="108"/>
      <c r="MIQ76" s="108"/>
      <c r="MIR76" s="108"/>
      <c r="MIS76" s="108"/>
      <c r="MIT76" s="108"/>
      <c r="MIU76" s="108"/>
      <c r="MIV76" s="108"/>
      <c r="MIW76" s="108"/>
      <c r="MIX76" s="108"/>
      <c r="MIY76" s="108"/>
      <c r="MIZ76" s="108"/>
      <c r="MJA76" s="108"/>
      <c r="MJB76" s="108"/>
      <c r="MJC76" s="108"/>
      <c r="MJD76" s="108"/>
      <c r="MJE76" s="108"/>
      <c r="MJF76" s="108"/>
      <c r="MJG76" s="108"/>
      <c r="MJH76" s="108"/>
      <c r="MJI76" s="108"/>
      <c r="MJJ76" s="108"/>
      <c r="MJK76" s="108"/>
      <c r="MJL76" s="108"/>
      <c r="MJM76" s="108"/>
      <c r="MJN76" s="108"/>
      <c r="MJO76" s="108"/>
      <c r="MJP76" s="108"/>
      <c r="MJQ76" s="108"/>
      <c r="MJR76" s="108"/>
      <c r="MJS76" s="108"/>
      <c r="MJT76" s="108"/>
      <c r="MJU76" s="108"/>
      <c r="MJV76" s="108"/>
      <c r="MJW76" s="108"/>
      <c r="MJX76" s="108"/>
      <c r="MJY76" s="108"/>
      <c r="MJZ76" s="108"/>
      <c r="MKA76" s="108"/>
      <c r="MKB76" s="108"/>
      <c r="MKC76" s="108"/>
      <c r="MKD76" s="108"/>
      <c r="MKE76" s="108"/>
      <c r="MKF76" s="108"/>
      <c r="MKG76" s="108"/>
      <c r="MKH76" s="108"/>
      <c r="MKI76" s="108"/>
      <c r="MKJ76" s="108"/>
      <c r="MKK76" s="108"/>
      <c r="MKL76" s="108"/>
      <c r="MKM76" s="108"/>
      <c r="MKN76" s="108"/>
      <c r="MKO76" s="108"/>
      <c r="MKP76" s="108"/>
      <c r="MKQ76" s="108"/>
      <c r="MKR76" s="108"/>
      <c r="MKS76" s="108"/>
      <c r="MKT76" s="108"/>
      <c r="MKU76" s="108"/>
      <c r="MKV76" s="108"/>
      <c r="MKW76" s="108"/>
      <c r="MKX76" s="108"/>
      <c r="MKY76" s="108"/>
      <c r="MKZ76" s="108"/>
      <c r="MLA76" s="108"/>
      <c r="MLB76" s="108"/>
      <c r="MLC76" s="108"/>
      <c r="MLD76" s="108"/>
      <c r="MLE76" s="108"/>
      <c r="MLF76" s="108"/>
      <c r="MLG76" s="108"/>
      <c r="MLH76" s="108"/>
      <c r="MLI76" s="108"/>
      <c r="MLJ76" s="108"/>
      <c r="MLK76" s="108"/>
      <c r="MLL76" s="108"/>
      <c r="MLM76" s="108"/>
      <c r="MLN76" s="108"/>
      <c r="MLO76" s="108"/>
      <c r="MLP76" s="108"/>
      <c r="MLQ76" s="108"/>
      <c r="MLR76" s="108"/>
      <c r="MLS76" s="108"/>
      <c r="MLT76" s="108"/>
      <c r="MLU76" s="108"/>
      <c r="MLV76" s="108"/>
      <c r="MLW76" s="108"/>
      <c r="MLX76" s="108"/>
      <c r="MLY76" s="108"/>
      <c r="MLZ76" s="108"/>
      <c r="MMA76" s="108"/>
      <c r="MMB76" s="108"/>
      <c r="MMC76" s="108"/>
      <c r="MMD76" s="108"/>
      <c r="MME76" s="108"/>
      <c r="MMF76" s="108"/>
      <c r="MMG76" s="108"/>
      <c r="MMH76" s="108"/>
      <c r="MMI76" s="108"/>
      <c r="MMJ76" s="108"/>
      <c r="MMK76" s="108"/>
      <c r="MML76" s="108"/>
      <c r="MMM76" s="108"/>
      <c r="MMN76" s="108"/>
      <c r="MMO76" s="108"/>
      <c r="MMP76" s="108"/>
      <c r="MMQ76" s="108"/>
      <c r="MMR76" s="108"/>
      <c r="MMS76" s="108"/>
      <c r="MMT76" s="108"/>
      <c r="MMU76" s="108"/>
      <c r="MMV76" s="108"/>
      <c r="MMW76" s="108"/>
      <c r="MMX76" s="108"/>
      <c r="MMY76" s="108"/>
      <c r="MMZ76" s="108"/>
      <c r="MNA76" s="108"/>
      <c r="MNB76" s="108"/>
      <c r="MNC76" s="108"/>
      <c r="MND76" s="108"/>
      <c r="MNE76" s="108"/>
      <c r="MNF76" s="108"/>
      <c r="MNG76" s="108"/>
      <c r="MNH76" s="108"/>
      <c r="MNI76" s="108"/>
      <c r="MNJ76" s="108"/>
      <c r="MNK76" s="108"/>
      <c r="MNL76" s="108"/>
      <c r="MNM76" s="108"/>
      <c r="MNN76" s="108"/>
      <c r="MNO76" s="108"/>
      <c r="MNP76" s="108"/>
      <c r="MNQ76" s="108"/>
      <c r="MNR76" s="108"/>
      <c r="MNS76" s="108"/>
      <c r="MNT76" s="108"/>
      <c r="MNU76" s="108"/>
      <c r="MNV76" s="108"/>
      <c r="MNW76" s="108"/>
      <c r="MNX76" s="108"/>
      <c r="MNY76" s="108"/>
      <c r="MNZ76" s="108"/>
      <c r="MOA76" s="108"/>
      <c r="MOB76" s="108"/>
      <c r="MOC76" s="108"/>
      <c r="MOD76" s="108"/>
      <c r="MOE76" s="108"/>
      <c r="MOF76" s="108"/>
      <c r="MOG76" s="108"/>
      <c r="MOH76" s="108"/>
      <c r="MOI76" s="108"/>
      <c r="MOJ76" s="108"/>
      <c r="MOK76" s="108"/>
      <c r="MOL76" s="108"/>
      <c r="MOM76" s="108"/>
      <c r="MON76" s="108"/>
      <c r="MOO76" s="108"/>
      <c r="MOP76" s="108"/>
      <c r="MOQ76" s="108"/>
      <c r="MOR76" s="108"/>
      <c r="MOS76" s="108"/>
      <c r="MOT76" s="108"/>
      <c r="MOU76" s="108"/>
      <c r="MOV76" s="108"/>
      <c r="MOW76" s="108"/>
      <c r="MOX76" s="108"/>
      <c r="MOY76" s="108"/>
      <c r="MOZ76" s="108"/>
      <c r="MPA76" s="108"/>
      <c r="MPB76" s="108"/>
      <c r="MPC76" s="108"/>
      <c r="MPD76" s="108"/>
      <c r="MPE76" s="108"/>
      <c r="MPF76" s="108"/>
      <c r="MPG76" s="108"/>
      <c r="MPH76" s="108"/>
      <c r="MPI76" s="108"/>
      <c r="MPJ76" s="108"/>
      <c r="MPK76" s="108"/>
      <c r="MPL76" s="108"/>
      <c r="MPM76" s="108"/>
      <c r="MPN76" s="108"/>
      <c r="MPO76" s="108"/>
      <c r="MPP76" s="108"/>
      <c r="MPQ76" s="108"/>
      <c r="MPR76" s="108"/>
      <c r="MPS76" s="108"/>
      <c r="MPT76" s="108"/>
      <c r="MPU76" s="108"/>
      <c r="MPV76" s="108"/>
      <c r="MPW76" s="108"/>
      <c r="MPX76" s="108"/>
      <c r="MPY76" s="108"/>
      <c r="MPZ76" s="108"/>
      <c r="MQA76" s="108"/>
      <c r="MQB76" s="108"/>
      <c r="MQC76" s="108"/>
      <c r="MQD76" s="108"/>
      <c r="MQE76" s="108"/>
      <c r="MQF76" s="108"/>
      <c r="MQG76" s="108"/>
      <c r="MQH76" s="108"/>
      <c r="MQI76" s="108"/>
      <c r="MQJ76" s="108"/>
      <c r="MQK76" s="108"/>
      <c r="MQL76" s="108"/>
      <c r="MQM76" s="108"/>
      <c r="MQN76" s="108"/>
      <c r="MQO76" s="108"/>
      <c r="MQP76" s="108"/>
      <c r="MQQ76" s="108"/>
      <c r="MQR76" s="108"/>
      <c r="MQS76" s="108"/>
      <c r="MQT76" s="108"/>
      <c r="MQU76" s="108"/>
      <c r="MQV76" s="108"/>
      <c r="MQW76" s="108"/>
      <c r="MQX76" s="108"/>
      <c r="MQY76" s="108"/>
      <c r="MQZ76" s="108"/>
      <c r="MRA76" s="108"/>
      <c r="MRB76" s="108"/>
      <c r="MRC76" s="108"/>
      <c r="MRD76" s="108"/>
      <c r="MRE76" s="108"/>
      <c r="MRF76" s="108"/>
      <c r="MRG76" s="108"/>
      <c r="MRH76" s="108"/>
      <c r="MRI76" s="108"/>
      <c r="MRJ76" s="108"/>
      <c r="MRK76" s="108"/>
      <c r="MRL76" s="108"/>
      <c r="MRM76" s="108"/>
      <c r="MRN76" s="108"/>
      <c r="MRO76" s="108"/>
      <c r="MRP76" s="108"/>
      <c r="MRQ76" s="108"/>
      <c r="MRR76" s="108"/>
      <c r="MRS76" s="108"/>
      <c r="MRT76" s="108"/>
      <c r="MRU76" s="108"/>
      <c r="MRV76" s="108"/>
      <c r="MRW76" s="108"/>
      <c r="MRX76" s="108"/>
      <c r="MRY76" s="108"/>
      <c r="MRZ76" s="108"/>
      <c r="MSA76" s="108"/>
      <c r="MSB76" s="108"/>
      <c r="MSC76" s="108"/>
      <c r="MSD76" s="108"/>
      <c r="MSE76" s="108"/>
      <c r="MSF76" s="108"/>
      <c r="MSG76" s="108"/>
      <c r="MSH76" s="108"/>
      <c r="MSI76" s="108"/>
      <c r="MSJ76" s="108"/>
      <c r="MSK76" s="108"/>
      <c r="MSL76" s="108"/>
      <c r="MSM76" s="108"/>
      <c r="MSN76" s="108"/>
      <c r="MSO76" s="108"/>
      <c r="MSP76" s="108"/>
      <c r="MSQ76" s="108"/>
      <c r="MSR76" s="108"/>
      <c r="MSS76" s="108"/>
      <c r="MST76" s="108"/>
      <c r="MSU76" s="108"/>
      <c r="MSV76" s="108"/>
      <c r="MSW76" s="108"/>
      <c r="MSX76" s="108"/>
      <c r="MSY76" s="108"/>
      <c r="MSZ76" s="108"/>
      <c r="MTA76" s="108"/>
      <c r="MTB76" s="108"/>
      <c r="MTC76" s="108"/>
      <c r="MTD76" s="108"/>
      <c r="MTE76" s="108"/>
      <c r="MTF76" s="108"/>
      <c r="MTG76" s="108"/>
      <c r="MTH76" s="108"/>
      <c r="MTI76" s="108"/>
      <c r="MTJ76" s="108"/>
      <c r="MTK76" s="108"/>
      <c r="MTL76" s="108"/>
      <c r="MTM76" s="108"/>
      <c r="MTN76" s="108"/>
      <c r="MTO76" s="108"/>
      <c r="MTP76" s="108"/>
      <c r="MTQ76" s="108"/>
      <c r="MTR76" s="108"/>
      <c r="MTS76" s="108"/>
      <c r="MTT76" s="108"/>
      <c r="MTU76" s="108"/>
      <c r="MTV76" s="108"/>
      <c r="MTW76" s="108"/>
      <c r="MTX76" s="108"/>
      <c r="MTY76" s="108"/>
      <c r="MTZ76" s="108"/>
      <c r="MUA76" s="108"/>
      <c r="MUB76" s="108"/>
      <c r="MUC76" s="108"/>
      <c r="MUD76" s="108"/>
      <c r="MUE76" s="108"/>
      <c r="MUF76" s="108"/>
      <c r="MUG76" s="108"/>
      <c r="MUH76" s="108"/>
      <c r="MUI76" s="108"/>
      <c r="MUJ76" s="108"/>
      <c r="MUK76" s="108"/>
      <c r="MUL76" s="108"/>
      <c r="MUM76" s="108"/>
      <c r="MUN76" s="108"/>
      <c r="MUO76" s="108"/>
      <c r="MUP76" s="108"/>
      <c r="MUQ76" s="108"/>
      <c r="MUR76" s="108"/>
      <c r="MUS76" s="108"/>
      <c r="MUT76" s="108"/>
      <c r="MUU76" s="108"/>
      <c r="MUV76" s="108"/>
      <c r="MUW76" s="108"/>
      <c r="MUX76" s="108"/>
      <c r="MUY76" s="108"/>
      <c r="MUZ76" s="108"/>
      <c r="MVA76" s="108"/>
      <c r="MVB76" s="108"/>
      <c r="MVC76" s="108"/>
      <c r="MVD76" s="108"/>
      <c r="MVE76" s="108"/>
      <c r="MVF76" s="108"/>
      <c r="MVG76" s="108"/>
      <c r="MVH76" s="108"/>
      <c r="MVI76" s="108"/>
      <c r="MVJ76" s="108"/>
      <c r="MVK76" s="108"/>
      <c r="MVL76" s="108"/>
      <c r="MVM76" s="108"/>
      <c r="MVN76" s="108"/>
      <c r="MVO76" s="108"/>
      <c r="MVP76" s="108"/>
      <c r="MVQ76" s="108"/>
      <c r="MVR76" s="108"/>
      <c r="MVS76" s="108"/>
      <c r="MVT76" s="108"/>
      <c r="MVU76" s="108"/>
      <c r="MVV76" s="108"/>
      <c r="MVW76" s="108"/>
      <c r="MVX76" s="108"/>
      <c r="MVY76" s="108"/>
      <c r="MVZ76" s="108"/>
      <c r="MWA76" s="108"/>
      <c r="MWB76" s="108"/>
      <c r="MWC76" s="108"/>
      <c r="MWD76" s="108"/>
      <c r="MWE76" s="108"/>
      <c r="MWF76" s="108"/>
      <c r="MWG76" s="108"/>
      <c r="MWH76" s="108"/>
      <c r="MWI76" s="108"/>
      <c r="MWJ76" s="108"/>
      <c r="MWK76" s="108"/>
      <c r="MWL76" s="108"/>
      <c r="MWM76" s="108"/>
      <c r="MWN76" s="108"/>
      <c r="MWO76" s="108"/>
      <c r="MWP76" s="108"/>
      <c r="MWQ76" s="108"/>
      <c r="MWR76" s="108"/>
      <c r="MWS76" s="108"/>
      <c r="MWT76" s="108"/>
      <c r="MWU76" s="108"/>
      <c r="MWV76" s="108"/>
      <c r="MWW76" s="108"/>
      <c r="MWX76" s="108"/>
      <c r="MWY76" s="108"/>
      <c r="MWZ76" s="108"/>
      <c r="MXA76" s="108"/>
      <c r="MXB76" s="108"/>
      <c r="MXC76" s="108"/>
      <c r="MXD76" s="108"/>
      <c r="MXE76" s="108"/>
      <c r="MXF76" s="108"/>
      <c r="MXG76" s="108"/>
      <c r="MXH76" s="108"/>
      <c r="MXI76" s="108"/>
      <c r="MXJ76" s="108"/>
      <c r="MXK76" s="108"/>
      <c r="MXL76" s="108"/>
      <c r="MXM76" s="108"/>
      <c r="MXN76" s="108"/>
      <c r="MXO76" s="108"/>
      <c r="MXP76" s="108"/>
      <c r="MXQ76" s="108"/>
      <c r="MXR76" s="108"/>
      <c r="MXS76" s="108"/>
      <c r="MXT76" s="108"/>
      <c r="MXU76" s="108"/>
      <c r="MXV76" s="108"/>
      <c r="MXW76" s="108"/>
      <c r="MXX76" s="108"/>
      <c r="MXY76" s="108"/>
      <c r="MXZ76" s="108"/>
      <c r="MYA76" s="108"/>
      <c r="MYB76" s="108"/>
      <c r="MYC76" s="108"/>
      <c r="MYD76" s="108"/>
      <c r="MYE76" s="108"/>
      <c r="MYF76" s="108"/>
      <c r="MYG76" s="108"/>
      <c r="MYH76" s="108"/>
      <c r="MYI76" s="108"/>
      <c r="MYJ76" s="108"/>
      <c r="MYK76" s="108"/>
      <c r="MYL76" s="108"/>
      <c r="MYM76" s="108"/>
      <c r="MYN76" s="108"/>
      <c r="MYO76" s="108"/>
      <c r="MYP76" s="108"/>
      <c r="MYQ76" s="108"/>
      <c r="MYR76" s="108"/>
      <c r="MYS76" s="108"/>
      <c r="MYT76" s="108"/>
      <c r="MYU76" s="108"/>
      <c r="MYV76" s="108"/>
      <c r="MYW76" s="108"/>
      <c r="MYX76" s="108"/>
      <c r="MYY76" s="108"/>
      <c r="MYZ76" s="108"/>
      <c r="MZA76" s="108"/>
      <c r="MZB76" s="108"/>
      <c r="MZC76" s="108"/>
      <c r="MZD76" s="108"/>
      <c r="MZE76" s="108"/>
      <c r="MZF76" s="108"/>
      <c r="MZG76" s="108"/>
      <c r="MZH76" s="108"/>
      <c r="MZI76" s="108"/>
      <c r="MZJ76" s="108"/>
      <c r="MZK76" s="108"/>
      <c r="MZL76" s="108"/>
      <c r="MZM76" s="108"/>
      <c r="MZN76" s="108"/>
      <c r="MZO76" s="108"/>
      <c r="MZP76" s="108"/>
      <c r="MZQ76" s="108"/>
      <c r="MZR76" s="108"/>
      <c r="MZS76" s="108"/>
      <c r="MZT76" s="108"/>
      <c r="MZU76" s="108"/>
      <c r="MZV76" s="108"/>
      <c r="MZW76" s="108"/>
      <c r="MZX76" s="108"/>
      <c r="MZY76" s="108"/>
      <c r="MZZ76" s="108"/>
      <c r="NAA76" s="108"/>
      <c r="NAB76" s="108"/>
      <c r="NAC76" s="108"/>
      <c r="NAD76" s="108"/>
      <c r="NAE76" s="108"/>
      <c r="NAF76" s="108"/>
      <c r="NAG76" s="108"/>
      <c r="NAH76" s="108"/>
      <c r="NAI76" s="108"/>
      <c r="NAJ76" s="108"/>
      <c r="NAK76" s="108"/>
      <c r="NAL76" s="108"/>
      <c r="NAM76" s="108"/>
      <c r="NAN76" s="108"/>
      <c r="NAO76" s="108"/>
      <c r="NAP76" s="108"/>
      <c r="NAQ76" s="108"/>
      <c r="NAR76" s="108"/>
      <c r="NAS76" s="108"/>
      <c r="NAT76" s="108"/>
      <c r="NAU76" s="108"/>
      <c r="NAV76" s="108"/>
      <c r="NAW76" s="108"/>
      <c r="NAX76" s="108"/>
      <c r="NAY76" s="108"/>
      <c r="NAZ76" s="108"/>
      <c r="NBA76" s="108"/>
      <c r="NBB76" s="108"/>
      <c r="NBC76" s="108"/>
      <c r="NBD76" s="108"/>
      <c r="NBE76" s="108"/>
      <c r="NBF76" s="108"/>
      <c r="NBG76" s="108"/>
      <c r="NBH76" s="108"/>
      <c r="NBI76" s="108"/>
      <c r="NBJ76" s="108"/>
      <c r="NBK76" s="108"/>
      <c r="NBL76" s="108"/>
      <c r="NBM76" s="108"/>
      <c r="NBN76" s="108"/>
      <c r="NBO76" s="108"/>
      <c r="NBP76" s="108"/>
      <c r="NBQ76" s="108"/>
      <c r="NBR76" s="108"/>
      <c r="NBS76" s="108"/>
      <c r="NBT76" s="108"/>
      <c r="NBU76" s="108"/>
      <c r="NBV76" s="108"/>
      <c r="NBW76" s="108"/>
      <c r="NBX76" s="108"/>
      <c r="NBY76" s="108"/>
      <c r="NBZ76" s="108"/>
      <c r="NCA76" s="108"/>
      <c r="NCB76" s="108"/>
      <c r="NCC76" s="108"/>
      <c r="NCD76" s="108"/>
      <c r="NCE76" s="108"/>
      <c r="NCF76" s="108"/>
      <c r="NCG76" s="108"/>
      <c r="NCH76" s="108"/>
      <c r="NCI76" s="108"/>
      <c r="NCJ76" s="108"/>
      <c r="NCK76" s="108"/>
      <c r="NCL76" s="108"/>
      <c r="NCM76" s="108"/>
      <c r="NCN76" s="108"/>
      <c r="NCO76" s="108"/>
      <c r="NCP76" s="108"/>
      <c r="NCQ76" s="108"/>
      <c r="NCR76" s="108"/>
      <c r="NCS76" s="108"/>
      <c r="NCT76" s="108"/>
      <c r="NCU76" s="108"/>
      <c r="NCV76" s="108"/>
      <c r="NCW76" s="108"/>
      <c r="NCX76" s="108"/>
      <c r="NCY76" s="108"/>
      <c r="NCZ76" s="108"/>
      <c r="NDA76" s="108"/>
      <c r="NDB76" s="108"/>
      <c r="NDC76" s="108"/>
      <c r="NDD76" s="108"/>
      <c r="NDE76" s="108"/>
      <c r="NDF76" s="108"/>
      <c r="NDG76" s="108"/>
      <c r="NDH76" s="108"/>
      <c r="NDI76" s="108"/>
      <c r="NDJ76" s="108"/>
      <c r="NDK76" s="108"/>
      <c r="NDL76" s="108"/>
      <c r="NDM76" s="108"/>
      <c r="NDN76" s="108"/>
      <c r="NDO76" s="108"/>
      <c r="NDP76" s="108"/>
      <c r="NDQ76" s="108"/>
      <c r="NDR76" s="108"/>
      <c r="NDS76" s="108"/>
      <c r="NDT76" s="108"/>
      <c r="NDU76" s="108"/>
      <c r="NDV76" s="108"/>
      <c r="NDW76" s="108"/>
      <c r="NDX76" s="108"/>
      <c r="NDY76" s="108"/>
      <c r="NDZ76" s="108"/>
      <c r="NEA76" s="108"/>
      <c r="NEB76" s="108"/>
      <c r="NEC76" s="108"/>
      <c r="NED76" s="108"/>
      <c r="NEE76" s="108"/>
      <c r="NEF76" s="108"/>
      <c r="NEG76" s="108"/>
      <c r="NEH76" s="108"/>
      <c r="NEI76" s="108"/>
      <c r="NEJ76" s="108"/>
      <c r="NEK76" s="108"/>
      <c r="NEL76" s="108"/>
      <c r="NEM76" s="108"/>
      <c r="NEN76" s="108"/>
      <c r="NEO76" s="108"/>
      <c r="NEP76" s="108"/>
      <c r="NEQ76" s="108"/>
      <c r="NER76" s="108"/>
      <c r="NES76" s="108"/>
      <c r="NET76" s="108"/>
      <c r="NEU76" s="108"/>
      <c r="NEV76" s="108"/>
      <c r="NEW76" s="108"/>
      <c r="NEX76" s="108"/>
      <c r="NEY76" s="108"/>
      <c r="NEZ76" s="108"/>
      <c r="NFA76" s="108"/>
      <c r="NFB76" s="108"/>
      <c r="NFC76" s="108"/>
      <c r="NFD76" s="108"/>
      <c r="NFE76" s="108"/>
      <c r="NFF76" s="108"/>
      <c r="NFG76" s="108"/>
      <c r="NFH76" s="108"/>
      <c r="NFI76" s="108"/>
      <c r="NFJ76" s="108"/>
      <c r="NFK76" s="108"/>
      <c r="NFL76" s="108"/>
      <c r="NFM76" s="108"/>
      <c r="NFN76" s="108"/>
      <c r="NFO76" s="108"/>
      <c r="NFP76" s="108"/>
      <c r="NFQ76" s="108"/>
      <c r="NFR76" s="108"/>
      <c r="NFS76" s="108"/>
      <c r="NFT76" s="108"/>
      <c r="NFU76" s="108"/>
      <c r="NFV76" s="108"/>
      <c r="NFW76" s="108"/>
      <c r="NFX76" s="108"/>
      <c r="NFY76" s="108"/>
      <c r="NFZ76" s="108"/>
      <c r="NGA76" s="108"/>
      <c r="NGB76" s="108"/>
      <c r="NGC76" s="108"/>
      <c r="NGD76" s="108"/>
      <c r="NGE76" s="108"/>
      <c r="NGF76" s="108"/>
      <c r="NGG76" s="108"/>
      <c r="NGH76" s="108"/>
      <c r="NGI76" s="108"/>
      <c r="NGJ76" s="108"/>
      <c r="NGK76" s="108"/>
      <c r="NGL76" s="108"/>
      <c r="NGM76" s="108"/>
      <c r="NGN76" s="108"/>
      <c r="NGO76" s="108"/>
      <c r="NGP76" s="108"/>
      <c r="NGQ76" s="108"/>
      <c r="NGR76" s="108"/>
      <c r="NGS76" s="108"/>
      <c r="NGT76" s="108"/>
      <c r="NGU76" s="108"/>
      <c r="NGV76" s="108"/>
      <c r="NGW76" s="108"/>
      <c r="NGX76" s="108"/>
      <c r="NGY76" s="108"/>
      <c r="NGZ76" s="108"/>
      <c r="NHA76" s="108"/>
      <c r="NHB76" s="108"/>
      <c r="NHC76" s="108"/>
      <c r="NHD76" s="108"/>
      <c r="NHE76" s="108"/>
      <c r="NHF76" s="108"/>
      <c r="NHG76" s="108"/>
      <c r="NHH76" s="108"/>
      <c r="NHI76" s="108"/>
      <c r="NHJ76" s="108"/>
      <c r="NHK76" s="108"/>
      <c r="NHL76" s="108"/>
      <c r="NHM76" s="108"/>
      <c r="NHN76" s="108"/>
      <c r="NHO76" s="108"/>
      <c r="NHP76" s="108"/>
      <c r="NHQ76" s="108"/>
      <c r="NHR76" s="108"/>
      <c r="NHS76" s="108"/>
      <c r="NHT76" s="108"/>
      <c r="NHU76" s="108"/>
      <c r="NHV76" s="108"/>
      <c r="NHW76" s="108"/>
      <c r="NHX76" s="108"/>
      <c r="NHY76" s="108"/>
      <c r="NHZ76" s="108"/>
      <c r="NIA76" s="108"/>
      <c r="NIB76" s="108"/>
      <c r="NIC76" s="108"/>
      <c r="NID76" s="108"/>
      <c r="NIE76" s="108"/>
      <c r="NIF76" s="108"/>
      <c r="NIG76" s="108"/>
      <c r="NIH76" s="108"/>
      <c r="NII76" s="108"/>
      <c r="NIJ76" s="108"/>
      <c r="NIK76" s="108"/>
      <c r="NIL76" s="108"/>
      <c r="NIM76" s="108"/>
      <c r="NIN76" s="108"/>
      <c r="NIO76" s="108"/>
      <c r="NIP76" s="108"/>
      <c r="NIQ76" s="108"/>
      <c r="NIR76" s="108"/>
      <c r="NIS76" s="108"/>
      <c r="NIT76" s="108"/>
      <c r="NIU76" s="108"/>
      <c r="NIV76" s="108"/>
      <c r="NIW76" s="108"/>
      <c r="NIX76" s="108"/>
      <c r="NIY76" s="108"/>
      <c r="NIZ76" s="108"/>
      <c r="NJA76" s="108"/>
      <c r="NJB76" s="108"/>
      <c r="NJC76" s="108"/>
      <c r="NJD76" s="108"/>
      <c r="NJE76" s="108"/>
      <c r="NJF76" s="108"/>
      <c r="NJG76" s="108"/>
      <c r="NJH76" s="108"/>
      <c r="NJI76" s="108"/>
      <c r="NJJ76" s="108"/>
      <c r="NJK76" s="108"/>
      <c r="NJL76" s="108"/>
      <c r="NJM76" s="108"/>
      <c r="NJN76" s="108"/>
      <c r="NJO76" s="108"/>
      <c r="NJP76" s="108"/>
      <c r="NJQ76" s="108"/>
      <c r="NJR76" s="108"/>
      <c r="NJS76" s="108"/>
      <c r="NJT76" s="108"/>
      <c r="NJU76" s="108"/>
      <c r="NJV76" s="108"/>
      <c r="NJW76" s="108"/>
      <c r="NJX76" s="108"/>
      <c r="NJY76" s="108"/>
      <c r="NJZ76" s="108"/>
      <c r="NKA76" s="108"/>
      <c r="NKB76" s="108"/>
      <c r="NKC76" s="108"/>
      <c r="NKD76" s="108"/>
      <c r="NKE76" s="108"/>
      <c r="NKF76" s="108"/>
      <c r="NKG76" s="108"/>
      <c r="NKH76" s="108"/>
      <c r="NKI76" s="108"/>
      <c r="NKJ76" s="108"/>
      <c r="NKK76" s="108"/>
      <c r="NKL76" s="108"/>
      <c r="NKM76" s="108"/>
      <c r="NKN76" s="108"/>
      <c r="NKO76" s="108"/>
      <c r="NKP76" s="108"/>
      <c r="NKQ76" s="108"/>
      <c r="NKR76" s="108"/>
      <c r="NKS76" s="108"/>
      <c r="NKT76" s="108"/>
      <c r="NKU76" s="108"/>
      <c r="NKV76" s="108"/>
      <c r="NKW76" s="108"/>
      <c r="NKX76" s="108"/>
      <c r="NKY76" s="108"/>
      <c r="NKZ76" s="108"/>
      <c r="NLA76" s="108"/>
      <c r="NLB76" s="108"/>
      <c r="NLC76" s="108"/>
      <c r="NLD76" s="108"/>
      <c r="NLE76" s="108"/>
      <c r="NLF76" s="108"/>
      <c r="NLG76" s="108"/>
      <c r="NLH76" s="108"/>
      <c r="NLI76" s="108"/>
      <c r="NLJ76" s="108"/>
      <c r="NLK76" s="108"/>
      <c r="NLL76" s="108"/>
      <c r="NLM76" s="108"/>
      <c r="NLN76" s="108"/>
      <c r="NLO76" s="108"/>
      <c r="NLP76" s="108"/>
      <c r="NLQ76" s="108"/>
      <c r="NLR76" s="108"/>
      <c r="NLS76" s="108"/>
      <c r="NLT76" s="108"/>
      <c r="NLU76" s="108"/>
      <c r="NLV76" s="108"/>
      <c r="NLW76" s="108"/>
      <c r="NLX76" s="108"/>
      <c r="NLY76" s="108"/>
      <c r="NLZ76" s="108"/>
      <c r="NMA76" s="108"/>
      <c r="NMB76" s="108"/>
      <c r="NMC76" s="108"/>
      <c r="NMD76" s="108"/>
      <c r="NME76" s="108"/>
      <c r="NMF76" s="108"/>
      <c r="NMG76" s="108"/>
      <c r="NMH76" s="108"/>
      <c r="NMI76" s="108"/>
      <c r="NMJ76" s="108"/>
      <c r="NMK76" s="108"/>
      <c r="NML76" s="108"/>
      <c r="NMM76" s="108"/>
      <c r="NMN76" s="108"/>
      <c r="NMO76" s="108"/>
      <c r="NMP76" s="108"/>
      <c r="NMQ76" s="108"/>
      <c r="NMR76" s="108"/>
      <c r="NMS76" s="108"/>
      <c r="NMT76" s="108"/>
      <c r="NMU76" s="108"/>
      <c r="NMV76" s="108"/>
      <c r="NMW76" s="108"/>
      <c r="NMX76" s="108"/>
      <c r="NMY76" s="108"/>
      <c r="NMZ76" s="108"/>
      <c r="NNA76" s="108"/>
      <c r="NNB76" s="108"/>
      <c r="NNC76" s="108"/>
      <c r="NND76" s="108"/>
      <c r="NNE76" s="108"/>
      <c r="NNF76" s="108"/>
      <c r="NNG76" s="108"/>
      <c r="NNH76" s="108"/>
      <c r="NNI76" s="108"/>
      <c r="NNJ76" s="108"/>
      <c r="NNK76" s="108"/>
      <c r="NNL76" s="108"/>
      <c r="NNM76" s="108"/>
      <c r="NNN76" s="108"/>
      <c r="NNO76" s="108"/>
      <c r="NNP76" s="108"/>
      <c r="NNQ76" s="108"/>
      <c r="NNR76" s="108"/>
      <c r="NNS76" s="108"/>
      <c r="NNT76" s="108"/>
      <c r="NNU76" s="108"/>
      <c r="NNV76" s="108"/>
      <c r="NNW76" s="108"/>
      <c r="NNX76" s="108"/>
      <c r="NNY76" s="108"/>
      <c r="NNZ76" s="108"/>
      <c r="NOA76" s="108"/>
      <c r="NOB76" s="108"/>
      <c r="NOC76" s="108"/>
      <c r="NOD76" s="108"/>
      <c r="NOE76" s="108"/>
      <c r="NOF76" s="108"/>
      <c r="NOG76" s="108"/>
      <c r="NOH76" s="108"/>
      <c r="NOI76" s="108"/>
      <c r="NOJ76" s="108"/>
      <c r="NOK76" s="108"/>
      <c r="NOL76" s="108"/>
      <c r="NOM76" s="108"/>
      <c r="NON76" s="108"/>
      <c r="NOO76" s="108"/>
      <c r="NOP76" s="108"/>
      <c r="NOQ76" s="108"/>
      <c r="NOR76" s="108"/>
      <c r="NOS76" s="108"/>
      <c r="NOT76" s="108"/>
      <c r="NOU76" s="108"/>
      <c r="NOV76" s="108"/>
      <c r="NOW76" s="108"/>
      <c r="NOX76" s="108"/>
      <c r="NOY76" s="108"/>
      <c r="NOZ76" s="108"/>
      <c r="NPA76" s="108"/>
      <c r="NPB76" s="108"/>
      <c r="NPC76" s="108"/>
      <c r="NPD76" s="108"/>
      <c r="NPE76" s="108"/>
      <c r="NPF76" s="108"/>
      <c r="NPG76" s="108"/>
      <c r="NPH76" s="108"/>
      <c r="NPI76" s="108"/>
      <c r="NPJ76" s="108"/>
      <c r="NPK76" s="108"/>
      <c r="NPL76" s="108"/>
      <c r="NPM76" s="108"/>
      <c r="NPN76" s="108"/>
      <c r="NPO76" s="108"/>
      <c r="NPP76" s="108"/>
      <c r="NPQ76" s="108"/>
      <c r="NPR76" s="108"/>
      <c r="NPS76" s="108"/>
      <c r="NPT76" s="108"/>
      <c r="NPU76" s="108"/>
      <c r="NPV76" s="108"/>
      <c r="NPW76" s="108"/>
      <c r="NPX76" s="108"/>
      <c r="NPY76" s="108"/>
      <c r="NPZ76" s="108"/>
      <c r="NQA76" s="108"/>
      <c r="NQB76" s="108"/>
      <c r="NQC76" s="108"/>
      <c r="NQD76" s="108"/>
      <c r="NQE76" s="108"/>
      <c r="NQF76" s="108"/>
      <c r="NQG76" s="108"/>
      <c r="NQH76" s="108"/>
      <c r="NQI76" s="108"/>
      <c r="NQJ76" s="108"/>
      <c r="NQK76" s="108"/>
      <c r="NQL76" s="108"/>
      <c r="NQM76" s="108"/>
      <c r="NQN76" s="108"/>
      <c r="NQO76" s="108"/>
      <c r="NQP76" s="108"/>
      <c r="NQQ76" s="108"/>
      <c r="NQR76" s="108"/>
      <c r="NQS76" s="108"/>
      <c r="NQT76" s="108"/>
      <c r="NQU76" s="108"/>
      <c r="NQV76" s="108"/>
      <c r="NQW76" s="108"/>
      <c r="NQX76" s="108"/>
      <c r="NQY76" s="108"/>
      <c r="NQZ76" s="108"/>
      <c r="NRA76" s="108"/>
      <c r="NRB76" s="108"/>
      <c r="NRC76" s="108"/>
      <c r="NRD76" s="108"/>
      <c r="NRE76" s="108"/>
      <c r="NRF76" s="108"/>
      <c r="NRG76" s="108"/>
      <c r="NRH76" s="108"/>
      <c r="NRI76" s="108"/>
      <c r="NRJ76" s="108"/>
      <c r="NRK76" s="108"/>
      <c r="NRL76" s="108"/>
      <c r="NRM76" s="108"/>
      <c r="NRN76" s="108"/>
      <c r="NRO76" s="108"/>
      <c r="NRP76" s="108"/>
      <c r="NRQ76" s="108"/>
      <c r="NRR76" s="108"/>
      <c r="NRS76" s="108"/>
      <c r="NRT76" s="108"/>
      <c r="NRU76" s="108"/>
      <c r="NRV76" s="108"/>
      <c r="NRW76" s="108"/>
      <c r="NRX76" s="108"/>
      <c r="NRY76" s="108"/>
      <c r="NRZ76" s="108"/>
      <c r="NSA76" s="108"/>
      <c r="NSB76" s="108"/>
      <c r="NSC76" s="108"/>
      <c r="NSD76" s="108"/>
      <c r="NSE76" s="108"/>
      <c r="NSF76" s="108"/>
      <c r="NSG76" s="108"/>
      <c r="NSH76" s="108"/>
      <c r="NSI76" s="108"/>
      <c r="NSJ76" s="108"/>
      <c r="NSK76" s="108"/>
      <c r="NSL76" s="108"/>
      <c r="NSM76" s="108"/>
      <c r="NSN76" s="108"/>
      <c r="NSO76" s="108"/>
      <c r="NSP76" s="108"/>
      <c r="NSQ76" s="108"/>
      <c r="NSR76" s="108"/>
      <c r="NSS76" s="108"/>
      <c r="NST76" s="108"/>
      <c r="NSU76" s="108"/>
      <c r="NSV76" s="108"/>
      <c r="NSW76" s="108"/>
      <c r="NSX76" s="108"/>
      <c r="NSY76" s="108"/>
      <c r="NSZ76" s="108"/>
      <c r="NTA76" s="108"/>
      <c r="NTB76" s="108"/>
      <c r="NTC76" s="108"/>
      <c r="NTD76" s="108"/>
      <c r="NTE76" s="108"/>
      <c r="NTF76" s="108"/>
      <c r="NTG76" s="108"/>
      <c r="NTH76" s="108"/>
      <c r="NTI76" s="108"/>
      <c r="NTJ76" s="108"/>
      <c r="NTK76" s="108"/>
      <c r="NTL76" s="108"/>
      <c r="NTM76" s="108"/>
      <c r="NTN76" s="108"/>
      <c r="NTO76" s="108"/>
      <c r="NTP76" s="108"/>
      <c r="NTQ76" s="108"/>
      <c r="NTR76" s="108"/>
      <c r="NTS76" s="108"/>
      <c r="NTT76" s="108"/>
      <c r="NTU76" s="108"/>
      <c r="NTV76" s="108"/>
      <c r="NTW76" s="108"/>
      <c r="NTX76" s="108"/>
      <c r="NTY76" s="108"/>
      <c r="NTZ76" s="108"/>
      <c r="NUA76" s="108"/>
      <c r="NUB76" s="108"/>
      <c r="NUC76" s="108"/>
      <c r="NUD76" s="108"/>
      <c r="NUE76" s="108"/>
      <c r="NUF76" s="108"/>
      <c r="NUG76" s="108"/>
      <c r="NUH76" s="108"/>
      <c r="NUI76" s="108"/>
      <c r="NUJ76" s="108"/>
      <c r="NUK76" s="108"/>
      <c r="NUL76" s="108"/>
      <c r="NUM76" s="108"/>
      <c r="NUN76" s="108"/>
      <c r="NUO76" s="108"/>
      <c r="NUP76" s="108"/>
      <c r="NUQ76" s="108"/>
      <c r="NUR76" s="108"/>
      <c r="NUS76" s="108"/>
      <c r="NUT76" s="108"/>
      <c r="NUU76" s="108"/>
      <c r="NUV76" s="108"/>
      <c r="NUW76" s="108"/>
      <c r="NUX76" s="108"/>
      <c r="NUY76" s="108"/>
      <c r="NUZ76" s="108"/>
      <c r="NVA76" s="108"/>
      <c r="NVB76" s="108"/>
      <c r="NVC76" s="108"/>
      <c r="NVD76" s="108"/>
      <c r="NVE76" s="108"/>
      <c r="NVF76" s="108"/>
      <c r="NVG76" s="108"/>
      <c r="NVH76" s="108"/>
      <c r="NVI76" s="108"/>
      <c r="NVJ76" s="108"/>
      <c r="NVK76" s="108"/>
      <c r="NVL76" s="108"/>
      <c r="NVM76" s="108"/>
      <c r="NVN76" s="108"/>
      <c r="NVO76" s="108"/>
      <c r="NVP76" s="108"/>
      <c r="NVQ76" s="108"/>
      <c r="NVR76" s="108"/>
      <c r="NVS76" s="108"/>
      <c r="NVT76" s="108"/>
      <c r="NVU76" s="108"/>
      <c r="NVV76" s="108"/>
      <c r="NVW76" s="108"/>
      <c r="NVX76" s="108"/>
      <c r="NVY76" s="108"/>
      <c r="NVZ76" s="108"/>
      <c r="NWA76" s="108"/>
      <c r="NWB76" s="108"/>
      <c r="NWC76" s="108"/>
      <c r="NWD76" s="108"/>
      <c r="NWE76" s="108"/>
      <c r="NWF76" s="108"/>
      <c r="NWG76" s="108"/>
      <c r="NWH76" s="108"/>
      <c r="NWI76" s="108"/>
      <c r="NWJ76" s="108"/>
      <c r="NWK76" s="108"/>
      <c r="NWL76" s="108"/>
      <c r="NWM76" s="108"/>
      <c r="NWN76" s="108"/>
      <c r="NWO76" s="108"/>
      <c r="NWP76" s="108"/>
      <c r="NWQ76" s="108"/>
      <c r="NWR76" s="108"/>
      <c r="NWS76" s="108"/>
      <c r="NWT76" s="108"/>
      <c r="NWU76" s="108"/>
      <c r="NWV76" s="108"/>
      <c r="NWW76" s="108"/>
      <c r="NWX76" s="108"/>
      <c r="NWY76" s="108"/>
      <c r="NWZ76" s="108"/>
      <c r="NXA76" s="108"/>
      <c r="NXB76" s="108"/>
      <c r="NXC76" s="108"/>
      <c r="NXD76" s="108"/>
      <c r="NXE76" s="108"/>
      <c r="NXF76" s="108"/>
      <c r="NXG76" s="108"/>
      <c r="NXH76" s="108"/>
      <c r="NXI76" s="108"/>
      <c r="NXJ76" s="108"/>
      <c r="NXK76" s="108"/>
      <c r="NXL76" s="108"/>
      <c r="NXM76" s="108"/>
      <c r="NXN76" s="108"/>
      <c r="NXO76" s="108"/>
      <c r="NXP76" s="108"/>
      <c r="NXQ76" s="108"/>
      <c r="NXR76" s="108"/>
      <c r="NXS76" s="108"/>
      <c r="NXT76" s="108"/>
      <c r="NXU76" s="108"/>
      <c r="NXV76" s="108"/>
      <c r="NXW76" s="108"/>
      <c r="NXX76" s="108"/>
      <c r="NXY76" s="108"/>
      <c r="NXZ76" s="108"/>
      <c r="NYA76" s="108"/>
      <c r="NYB76" s="108"/>
      <c r="NYC76" s="108"/>
      <c r="NYD76" s="108"/>
      <c r="NYE76" s="108"/>
      <c r="NYF76" s="108"/>
      <c r="NYG76" s="108"/>
      <c r="NYH76" s="108"/>
      <c r="NYI76" s="108"/>
      <c r="NYJ76" s="108"/>
      <c r="NYK76" s="108"/>
      <c r="NYL76" s="108"/>
      <c r="NYM76" s="108"/>
      <c r="NYN76" s="108"/>
      <c r="NYO76" s="108"/>
      <c r="NYP76" s="108"/>
      <c r="NYQ76" s="108"/>
      <c r="NYR76" s="108"/>
      <c r="NYS76" s="108"/>
      <c r="NYT76" s="108"/>
      <c r="NYU76" s="108"/>
      <c r="NYV76" s="108"/>
      <c r="NYW76" s="108"/>
      <c r="NYX76" s="108"/>
      <c r="NYY76" s="108"/>
      <c r="NYZ76" s="108"/>
      <c r="NZA76" s="108"/>
      <c r="NZB76" s="108"/>
      <c r="NZC76" s="108"/>
      <c r="NZD76" s="108"/>
      <c r="NZE76" s="108"/>
      <c r="NZF76" s="108"/>
      <c r="NZG76" s="108"/>
      <c r="NZH76" s="108"/>
      <c r="NZI76" s="108"/>
      <c r="NZJ76" s="108"/>
      <c r="NZK76" s="108"/>
      <c r="NZL76" s="108"/>
      <c r="NZM76" s="108"/>
      <c r="NZN76" s="108"/>
      <c r="NZO76" s="108"/>
      <c r="NZP76" s="108"/>
      <c r="NZQ76" s="108"/>
      <c r="NZR76" s="108"/>
      <c r="NZS76" s="108"/>
      <c r="NZT76" s="108"/>
      <c r="NZU76" s="108"/>
      <c r="NZV76" s="108"/>
      <c r="NZW76" s="108"/>
      <c r="NZX76" s="108"/>
      <c r="NZY76" s="108"/>
      <c r="NZZ76" s="108"/>
      <c r="OAA76" s="108"/>
      <c r="OAB76" s="108"/>
      <c r="OAC76" s="108"/>
      <c r="OAD76" s="108"/>
      <c r="OAE76" s="108"/>
      <c r="OAF76" s="108"/>
      <c r="OAG76" s="108"/>
      <c r="OAH76" s="108"/>
      <c r="OAI76" s="108"/>
      <c r="OAJ76" s="108"/>
      <c r="OAK76" s="108"/>
      <c r="OAL76" s="108"/>
      <c r="OAM76" s="108"/>
      <c r="OAN76" s="108"/>
      <c r="OAO76" s="108"/>
      <c r="OAP76" s="108"/>
      <c r="OAQ76" s="108"/>
      <c r="OAR76" s="108"/>
      <c r="OAS76" s="108"/>
      <c r="OAT76" s="108"/>
      <c r="OAU76" s="108"/>
      <c r="OAV76" s="108"/>
      <c r="OAW76" s="108"/>
      <c r="OAX76" s="108"/>
      <c r="OAY76" s="108"/>
      <c r="OAZ76" s="108"/>
      <c r="OBA76" s="108"/>
      <c r="OBB76" s="108"/>
      <c r="OBC76" s="108"/>
      <c r="OBD76" s="108"/>
      <c r="OBE76" s="108"/>
      <c r="OBF76" s="108"/>
      <c r="OBG76" s="108"/>
      <c r="OBH76" s="108"/>
      <c r="OBI76" s="108"/>
      <c r="OBJ76" s="108"/>
      <c r="OBK76" s="108"/>
      <c r="OBL76" s="108"/>
      <c r="OBM76" s="108"/>
      <c r="OBN76" s="108"/>
      <c r="OBO76" s="108"/>
      <c r="OBP76" s="108"/>
      <c r="OBQ76" s="108"/>
      <c r="OBR76" s="108"/>
      <c r="OBS76" s="108"/>
      <c r="OBT76" s="108"/>
      <c r="OBU76" s="108"/>
      <c r="OBV76" s="108"/>
      <c r="OBW76" s="108"/>
      <c r="OBX76" s="108"/>
      <c r="OBY76" s="108"/>
      <c r="OBZ76" s="108"/>
      <c r="OCA76" s="108"/>
      <c r="OCB76" s="108"/>
      <c r="OCC76" s="108"/>
      <c r="OCD76" s="108"/>
      <c r="OCE76" s="108"/>
      <c r="OCF76" s="108"/>
      <c r="OCG76" s="108"/>
      <c r="OCH76" s="108"/>
      <c r="OCI76" s="108"/>
      <c r="OCJ76" s="108"/>
      <c r="OCK76" s="108"/>
      <c r="OCL76" s="108"/>
      <c r="OCM76" s="108"/>
      <c r="OCN76" s="108"/>
      <c r="OCO76" s="108"/>
      <c r="OCP76" s="108"/>
      <c r="OCQ76" s="108"/>
      <c r="OCR76" s="108"/>
      <c r="OCS76" s="108"/>
      <c r="OCT76" s="108"/>
      <c r="OCU76" s="108"/>
      <c r="OCV76" s="108"/>
      <c r="OCW76" s="108"/>
      <c r="OCX76" s="108"/>
      <c r="OCY76" s="108"/>
      <c r="OCZ76" s="108"/>
      <c r="ODA76" s="108"/>
      <c r="ODB76" s="108"/>
      <c r="ODC76" s="108"/>
      <c r="ODD76" s="108"/>
      <c r="ODE76" s="108"/>
      <c r="ODF76" s="108"/>
      <c r="ODG76" s="108"/>
      <c r="ODH76" s="108"/>
      <c r="ODI76" s="108"/>
      <c r="ODJ76" s="108"/>
      <c r="ODK76" s="108"/>
      <c r="ODL76" s="108"/>
      <c r="ODM76" s="108"/>
      <c r="ODN76" s="108"/>
      <c r="ODO76" s="108"/>
      <c r="ODP76" s="108"/>
      <c r="ODQ76" s="108"/>
      <c r="ODR76" s="108"/>
      <c r="ODS76" s="108"/>
      <c r="ODT76" s="108"/>
      <c r="ODU76" s="108"/>
      <c r="ODV76" s="108"/>
      <c r="ODW76" s="108"/>
      <c r="ODX76" s="108"/>
      <c r="ODY76" s="108"/>
      <c r="ODZ76" s="108"/>
      <c r="OEA76" s="108"/>
      <c r="OEB76" s="108"/>
      <c r="OEC76" s="108"/>
      <c r="OED76" s="108"/>
      <c r="OEE76" s="108"/>
      <c r="OEF76" s="108"/>
      <c r="OEG76" s="108"/>
      <c r="OEH76" s="108"/>
      <c r="OEI76" s="108"/>
      <c r="OEJ76" s="108"/>
      <c r="OEK76" s="108"/>
      <c r="OEL76" s="108"/>
      <c r="OEM76" s="108"/>
      <c r="OEN76" s="108"/>
      <c r="OEO76" s="108"/>
      <c r="OEP76" s="108"/>
      <c r="OEQ76" s="108"/>
      <c r="OER76" s="108"/>
      <c r="OES76" s="108"/>
      <c r="OET76" s="108"/>
      <c r="OEU76" s="108"/>
      <c r="OEV76" s="108"/>
      <c r="OEW76" s="108"/>
      <c r="OEX76" s="108"/>
      <c r="OEY76" s="108"/>
      <c r="OEZ76" s="108"/>
      <c r="OFA76" s="108"/>
      <c r="OFB76" s="108"/>
      <c r="OFC76" s="108"/>
      <c r="OFD76" s="108"/>
      <c r="OFE76" s="108"/>
      <c r="OFF76" s="108"/>
      <c r="OFG76" s="108"/>
      <c r="OFH76" s="108"/>
      <c r="OFI76" s="108"/>
      <c r="OFJ76" s="108"/>
      <c r="OFK76" s="108"/>
      <c r="OFL76" s="108"/>
      <c r="OFM76" s="108"/>
      <c r="OFN76" s="108"/>
      <c r="OFO76" s="108"/>
      <c r="OFP76" s="108"/>
      <c r="OFQ76" s="108"/>
      <c r="OFR76" s="108"/>
      <c r="OFS76" s="108"/>
      <c r="OFT76" s="108"/>
      <c r="OFU76" s="108"/>
      <c r="OFV76" s="108"/>
      <c r="OFW76" s="108"/>
      <c r="OFX76" s="108"/>
      <c r="OFY76" s="108"/>
      <c r="OFZ76" s="108"/>
      <c r="OGA76" s="108"/>
      <c r="OGB76" s="108"/>
      <c r="OGC76" s="108"/>
      <c r="OGD76" s="108"/>
      <c r="OGE76" s="108"/>
      <c r="OGF76" s="108"/>
      <c r="OGG76" s="108"/>
      <c r="OGH76" s="108"/>
      <c r="OGI76" s="108"/>
      <c r="OGJ76" s="108"/>
      <c r="OGK76" s="108"/>
      <c r="OGL76" s="108"/>
      <c r="OGM76" s="108"/>
      <c r="OGN76" s="108"/>
      <c r="OGO76" s="108"/>
      <c r="OGP76" s="108"/>
      <c r="OGQ76" s="108"/>
      <c r="OGR76" s="108"/>
      <c r="OGS76" s="108"/>
      <c r="OGT76" s="108"/>
      <c r="OGU76" s="108"/>
      <c r="OGV76" s="108"/>
      <c r="OGW76" s="108"/>
      <c r="OGX76" s="108"/>
      <c r="OGY76" s="108"/>
      <c r="OGZ76" s="108"/>
      <c r="OHA76" s="108"/>
      <c r="OHB76" s="108"/>
      <c r="OHC76" s="108"/>
      <c r="OHD76" s="108"/>
      <c r="OHE76" s="108"/>
      <c r="OHF76" s="108"/>
      <c r="OHG76" s="108"/>
      <c r="OHH76" s="108"/>
      <c r="OHI76" s="108"/>
      <c r="OHJ76" s="108"/>
      <c r="OHK76" s="108"/>
      <c r="OHL76" s="108"/>
      <c r="OHM76" s="108"/>
      <c r="OHN76" s="108"/>
      <c r="OHO76" s="108"/>
      <c r="OHP76" s="108"/>
      <c r="OHQ76" s="108"/>
      <c r="OHR76" s="108"/>
      <c r="OHS76" s="108"/>
      <c r="OHT76" s="108"/>
      <c r="OHU76" s="108"/>
      <c r="OHV76" s="108"/>
      <c r="OHW76" s="108"/>
      <c r="OHX76" s="108"/>
      <c r="OHY76" s="108"/>
      <c r="OHZ76" s="108"/>
      <c r="OIA76" s="108"/>
      <c r="OIB76" s="108"/>
      <c r="OIC76" s="108"/>
      <c r="OID76" s="108"/>
      <c r="OIE76" s="108"/>
      <c r="OIF76" s="108"/>
      <c r="OIG76" s="108"/>
      <c r="OIH76" s="108"/>
      <c r="OII76" s="108"/>
      <c r="OIJ76" s="108"/>
      <c r="OIK76" s="108"/>
      <c r="OIL76" s="108"/>
      <c r="OIM76" s="108"/>
      <c r="OIN76" s="108"/>
      <c r="OIO76" s="108"/>
      <c r="OIP76" s="108"/>
      <c r="OIQ76" s="108"/>
      <c r="OIR76" s="108"/>
      <c r="OIS76" s="108"/>
      <c r="OIT76" s="108"/>
      <c r="OIU76" s="108"/>
      <c r="OIV76" s="108"/>
      <c r="OIW76" s="108"/>
      <c r="OIX76" s="108"/>
      <c r="OIY76" s="108"/>
      <c r="OIZ76" s="108"/>
      <c r="OJA76" s="108"/>
      <c r="OJB76" s="108"/>
      <c r="OJC76" s="108"/>
      <c r="OJD76" s="108"/>
      <c r="OJE76" s="108"/>
      <c r="OJF76" s="108"/>
      <c r="OJG76" s="108"/>
      <c r="OJH76" s="108"/>
      <c r="OJI76" s="108"/>
      <c r="OJJ76" s="108"/>
      <c r="OJK76" s="108"/>
      <c r="OJL76" s="108"/>
      <c r="OJM76" s="108"/>
      <c r="OJN76" s="108"/>
      <c r="OJO76" s="108"/>
      <c r="OJP76" s="108"/>
      <c r="OJQ76" s="108"/>
      <c r="OJR76" s="108"/>
      <c r="OJS76" s="108"/>
      <c r="OJT76" s="108"/>
      <c r="OJU76" s="108"/>
      <c r="OJV76" s="108"/>
      <c r="OJW76" s="108"/>
      <c r="OJX76" s="108"/>
      <c r="OJY76" s="108"/>
      <c r="OJZ76" s="108"/>
      <c r="OKA76" s="108"/>
      <c r="OKB76" s="108"/>
      <c r="OKC76" s="108"/>
      <c r="OKD76" s="108"/>
      <c r="OKE76" s="108"/>
      <c r="OKF76" s="108"/>
      <c r="OKG76" s="108"/>
      <c r="OKH76" s="108"/>
      <c r="OKI76" s="108"/>
      <c r="OKJ76" s="108"/>
      <c r="OKK76" s="108"/>
      <c r="OKL76" s="108"/>
      <c r="OKM76" s="108"/>
      <c r="OKN76" s="108"/>
      <c r="OKO76" s="108"/>
      <c r="OKP76" s="108"/>
      <c r="OKQ76" s="108"/>
      <c r="OKR76" s="108"/>
      <c r="OKS76" s="108"/>
      <c r="OKT76" s="108"/>
      <c r="OKU76" s="108"/>
      <c r="OKV76" s="108"/>
      <c r="OKW76" s="108"/>
      <c r="OKX76" s="108"/>
      <c r="OKY76" s="108"/>
      <c r="OKZ76" s="108"/>
      <c r="OLA76" s="108"/>
      <c r="OLB76" s="108"/>
      <c r="OLC76" s="108"/>
      <c r="OLD76" s="108"/>
      <c r="OLE76" s="108"/>
      <c r="OLF76" s="108"/>
      <c r="OLG76" s="108"/>
      <c r="OLH76" s="108"/>
      <c r="OLI76" s="108"/>
      <c r="OLJ76" s="108"/>
      <c r="OLK76" s="108"/>
      <c r="OLL76" s="108"/>
      <c r="OLM76" s="108"/>
      <c r="OLN76" s="108"/>
      <c r="OLO76" s="108"/>
      <c r="OLP76" s="108"/>
      <c r="OLQ76" s="108"/>
      <c r="OLR76" s="108"/>
      <c r="OLS76" s="108"/>
      <c r="OLT76" s="108"/>
      <c r="OLU76" s="108"/>
      <c r="OLV76" s="108"/>
      <c r="OLW76" s="108"/>
      <c r="OLX76" s="108"/>
      <c r="OLY76" s="108"/>
      <c r="OLZ76" s="108"/>
      <c r="OMA76" s="108"/>
      <c r="OMB76" s="108"/>
      <c r="OMC76" s="108"/>
      <c r="OMD76" s="108"/>
      <c r="OME76" s="108"/>
      <c r="OMF76" s="108"/>
      <c r="OMG76" s="108"/>
      <c r="OMH76" s="108"/>
      <c r="OMI76" s="108"/>
      <c r="OMJ76" s="108"/>
      <c r="OMK76" s="108"/>
      <c r="OML76" s="108"/>
      <c r="OMM76" s="108"/>
      <c r="OMN76" s="108"/>
      <c r="OMO76" s="108"/>
      <c r="OMP76" s="108"/>
      <c r="OMQ76" s="108"/>
      <c r="OMR76" s="108"/>
      <c r="OMS76" s="108"/>
      <c r="OMT76" s="108"/>
      <c r="OMU76" s="108"/>
      <c r="OMV76" s="108"/>
      <c r="OMW76" s="108"/>
      <c r="OMX76" s="108"/>
      <c r="OMY76" s="108"/>
      <c r="OMZ76" s="108"/>
      <c r="ONA76" s="108"/>
      <c r="ONB76" s="108"/>
      <c r="ONC76" s="108"/>
      <c r="OND76" s="108"/>
      <c r="ONE76" s="108"/>
      <c r="ONF76" s="108"/>
      <c r="ONG76" s="108"/>
      <c r="ONH76" s="108"/>
      <c r="ONI76" s="108"/>
      <c r="ONJ76" s="108"/>
      <c r="ONK76" s="108"/>
      <c r="ONL76" s="108"/>
      <c r="ONM76" s="108"/>
      <c r="ONN76" s="108"/>
      <c r="ONO76" s="108"/>
      <c r="ONP76" s="108"/>
      <c r="ONQ76" s="108"/>
      <c r="ONR76" s="108"/>
      <c r="ONS76" s="108"/>
      <c r="ONT76" s="108"/>
      <c r="ONU76" s="108"/>
      <c r="ONV76" s="108"/>
      <c r="ONW76" s="108"/>
      <c r="ONX76" s="108"/>
      <c r="ONY76" s="108"/>
      <c r="ONZ76" s="108"/>
      <c r="OOA76" s="108"/>
      <c r="OOB76" s="108"/>
      <c r="OOC76" s="108"/>
      <c r="OOD76" s="108"/>
      <c r="OOE76" s="108"/>
      <c r="OOF76" s="108"/>
      <c r="OOG76" s="108"/>
      <c r="OOH76" s="108"/>
      <c r="OOI76" s="108"/>
      <c r="OOJ76" s="108"/>
      <c r="OOK76" s="108"/>
      <c r="OOL76" s="108"/>
      <c r="OOM76" s="108"/>
      <c r="OON76" s="108"/>
      <c r="OOO76" s="108"/>
      <c r="OOP76" s="108"/>
      <c r="OOQ76" s="108"/>
      <c r="OOR76" s="108"/>
      <c r="OOS76" s="108"/>
      <c r="OOT76" s="108"/>
      <c r="OOU76" s="108"/>
      <c r="OOV76" s="108"/>
      <c r="OOW76" s="108"/>
      <c r="OOX76" s="108"/>
      <c r="OOY76" s="108"/>
      <c r="OOZ76" s="108"/>
      <c r="OPA76" s="108"/>
      <c r="OPB76" s="108"/>
      <c r="OPC76" s="108"/>
      <c r="OPD76" s="108"/>
      <c r="OPE76" s="108"/>
      <c r="OPF76" s="108"/>
      <c r="OPG76" s="108"/>
      <c r="OPH76" s="108"/>
      <c r="OPI76" s="108"/>
      <c r="OPJ76" s="108"/>
      <c r="OPK76" s="108"/>
      <c r="OPL76" s="108"/>
      <c r="OPM76" s="108"/>
      <c r="OPN76" s="108"/>
      <c r="OPO76" s="108"/>
      <c r="OPP76" s="108"/>
      <c r="OPQ76" s="108"/>
      <c r="OPR76" s="108"/>
      <c r="OPS76" s="108"/>
      <c r="OPT76" s="108"/>
      <c r="OPU76" s="108"/>
      <c r="OPV76" s="108"/>
      <c r="OPW76" s="108"/>
      <c r="OPX76" s="108"/>
      <c r="OPY76" s="108"/>
      <c r="OPZ76" s="108"/>
      <c r="OQA76" s="108"/>
      <c r="OQB76" s="108"/>
      <c r="OQC76" s="108"/>
      <c r="OQD76" s="108"/>
      <c r="OQE76" s="108"/>
      <c r="OQF76" s="108"/>
      <c r="OQG76" s="108"/>
      <c r="OQH76" s="108"/>
      <c r="OQI76" s="108"/>
      <c r="OQJ76" s="108"/>
      <c r="OQK76" s="108"/>
      <c r="OQL76" s="108"/>
      <c r="OQM76" s="108"/>
      <c r="OQN76" s="108"/>
      <c r="OQO76" s="108"/>
      <c r="OQP76" s="108"/>
      <c r="OQQ76" s="108"/>
      <c r="OQR76" s="108"/>
      <c r="OQS76" s="108"/>
      <c r="OQT76" s="108"/>
      <c r="OQU76" s="108"/>
      <c r="OQV76" s="108"/>
      <c r="OQW76" s="108"/>
      <c r="OQX76" s="108"/>
      <c r="OQY76" s="108"/>
      <c r="OQZ76" s="108"/>
      <c r="ORA76" s="108"/>
      <c r="ORB76" s="108"/>
      <c r="ORC76" s="108"/>
      <c r="ORD76" s="108"/>
      <c r="ORE76" s="108"/>
      <c r="ORF76" s="108"/>
      <c r="ORG76" s="108"/>
      <c r="ORH76" s="108"/>
      <c r="ORI76" s="108"/>
      <c r="ORJ76" s="108"/>
      <c r="ORK76" s="108"/>
      <c r="ORL76" s="108"/>
      <c r="ORM76" s="108"/>
      <c r="ORN76" s="108"/>
      <c r="ORO76" s="108"/>
      <c r="ORP76" s="108"/>
      <c r="ORQ76" s="108"/>
      <c r="ORR76" s="108"/>
      <c r="ORS76" s="108"/>
      <c r="ORT76" s="108"/>
      <c r="ORU76" s="108"/>
      <c r="ORV76" s="108"/>
      <c r="ORW76" s="108"/>
      <c r="ORX76" s="108"/>
      <c r="ORY76" s="108"/>
      <c r="ORZ76" s="108"/>
      <c r="OSA76" s="108"/>
      <c r="OSB76" s="108"/>
      <c r="OSC76" s="108"/>
      <c r="OSD76" s="108"/>
      <c r="OSE76" s="108"/>
      <c r="OSF76" s="108"/>
      <c r="OSG76" s="108"/>
      <c r="OSH76" s="108"/>
      <c r="OSI76" s="108"/>
      <c r="OSJ76" s="108"/>
      <c r="OSK76" s="108"/>
      <c r="OSL76" s="108"/>
      <c r="OSM76" s="108"/>
      <c r="OSN76" s="108"/>
      <c r="OSO76" s="108"/>
      <c r="OSP76" s="108"/>
      <c r="OSQ76" s="108"/>
      <c r="OSR76" s="108"/>
      <c r="OSS76" s="108"/>
      <c r="OST76" s="108"/>
      <c r="OSU76" s="108"/>
      <c r="OSV76" s="108"/>
      <c r="OSW76" s="108"/>
      <c r="OSX76" s="108"/>
      <c r="OSY76" s="108"/>
      <c r="OSZ76" s="108"/>
      <c r="OTA76" s="108"/>
      <c r="OTB76" s="108"/>
      <c r="OTC76" s="108"/>
      <c r="OTD76" s="108"/>
      <c r="OTE76" s="108"/>
      <c r="OTF76" s="108"/>
      <c r="OTG76" s="108"/>
      <c r="OTH76" s="108"/>
      <c r="OTI76" s="108"/>
      <c r="OTJ76" s="108"/>
      <c r="OTK76" s="108"/>
      <c r="OTL76" s="108"/>
      <c r="OTM76" s="108"/>
      <c r="OTN76" s="108"/>
      <c r="OTO76" s="108"/>
      <c r="OTP76" s="108"/>
      <c r="OTQ76" s="108"/>
      <c r="OTR76" s="108"/>
      <c r="OTS76" s="108"/>
      <c r="OTT76" s="108"/>
      <c r="OTU76" s="108"/>
      <c r="OTV76" s="108"/>
      <c r="OTW76" s="108"/>
      <c r="OTX76" s="108"/>
      <c r="OTY76" s="108"/>
      <c r="OTZ76" s="108"/>
      <c r="OUA76" s="108"/>
      <c r="OUB76" s="108"/>
      <c r="OUC76" s="108"/>
      <c r="OUD76" s="108"/>
      <c r="OUE76" s="108"/>
      <c r="OUF76" s="108"/>
      <c r="OUG76" s="108"/>
      <c r="OUH76" s="108"/>
      <c r="OUI76" s="108"/>
      <c r="OUJ76" s="108"/>
      <c r="OUK76" s="108"/>
      <c r="OUL76" s="108"/>
      <c r="OUM76" s="108"/>
      <c r="OUN76" s="108"/>
      <c r="OUO76" s="108"/>
      <c r="OUP76" s="108"/>
      <c r="OUQ76" s="108"/>
      <c r="OUR76" s="108"/>
      <c r="OUS76" s="108"/>
      <c r="OUT76" s="108"/>
      <c r="OUU76" s="108"/>
      <c r="OUV76" s="108"/>
      <c r="OUW76" s="108"/>
      <c r="OUX76" s="108"/>
      <c r="OUY76" s="108"/>
      <c r="OUZ76" s="108"/>
      <c r="OVA76" s="108"/>
      <c r="OVB76" s="108"/>
      <c r="OVC76" s="108"/>
      <c r="OVD76" s="108"/>
      <c r="OVE76" s="108"/>
      <c r="OVF76" s="108"/>
      <c r="OVG76" s="108"/>
      <c r="OVH76" s="108"/>
      <c r="OVI76" s="108"/>
      <c r="OVJ76" s="108"/>
      <c r="OVK76" s="108"/>
      <c r="OVL76" s="108"/>
      <c r="OVM76" s="108"/>
      <c r="OVN76" s="108"/>
      <c r="OVO76" s="108"/>
      <c r="OVP76" s="108"/>
      <c r="OVQ76" s="108"/>
      <c r="OVR76" s="108"/>
      <c r="OVS76" s="108"/>
      <c r="OVT76" s="108"/>
      <c r="OVU76" s="108"/>
      <c r="OVV76" s="108"/>
      <c r="OVW76" s="108"/>
      <c r="OVX76" s="108"/>
      <c r="OVY76" s="108"/>
      <c r="OVZ76" s="108"/>
      <c r="OWA76" s="108"/>
      <c r="OWB76" s="108"/>
      <c r="OWC76" s="108"/>
      <c r="OWD76" s="108"/>
      <c r="OWE76" s="108"/>
      <c r="OWF76" s="108"/>
      <c r="OWG76" s="108"/>
      <c r="OWH76" s="108"/>
      <c r="OWI76" s="108"/>
      <c r="OWJ76" s="108"/>
      <c r="OWK76" s="108"/>
      <c r="OWL76" s="108"/>
      <c r="OWM76" s="108"/>
      <c r="OWN76" s="108"/>
      <c r="OWO76" s="108"/>
      <c r="OWP76" s="108"/>
      <c r="OWQ76" s="108"/>
      <c r="OWR76" s="108"/>
      <c r="OWS76" s="108"/>
      <c r="OWT76" s="108"/>
      <c r="OWU76" s="108"/>
      <c r="OWV76" s="108"/>
      <c r="OWW76" s="108"/>
      <c r="OWX76" s="108"/>
      <c r="OWY76" s="108"/>
      <c r="OWZ76" s="108"/>
      <c r="OXA76" s="108"/>
      <c r="OXB76" s="108"/>
      <c r="OXC76" s="108"/>
      <c r="OXD76" s="108"/>
      <c r="OXE76" s="108"/>
      <c r="OXF76" s="108"/>
      <c r="OXG76" s="108"/>
      <c r="OXH76" s="108"/>
      <c r="OXI76" s="108"/>
      <c r="OXJ76" s="108"/>
      <c r="OXK76" s="108"/>
      <c r="OXL76" s="108"/>
      <c r="OXM76" s="108"/>
      <c r="OXN76" s="108"/>
      <c r="OXO76" s="108"/>
      <c r="OXP76" s="108"/>
      <c r="OXQ76" s="108"/>
      <c r="OXR76" s="108"/>
      <c r="OXS76" s="108"/>
      <c r="OXT76" s="108"/>
      <c r="OXU76" s="108"/>
      <c r="OXV76" s="108"/>
      <c r="OXW76" s="108"/>
      <c r="OXX76" s="108"/>
      <c r="OXY76" s="108"/>
      <c r="OXZ76" s="108"/>
      <c r="OYA76" s="108"/>
      <c r="OYB76" s="108"/>
      <c r="OYC76" s="108"/>
      <c r="OYD76" s="108"/>
      <c r="OYE76" s="108"/>
      <c r="OYF76" s="108"/>
      <c r="OYG76" s="108"/>
      <c r="OYH76" s="108"/>
      <c r="OYI76" s="108"/>
      <c r="OYJ76" s="108"/>
      <c r="OYK76" s="108"/>
      <c r="OYL76" s="108"/>
      <c r="OYM76" s="108"/>
      <c r="OYN76" s="108"/>
      <c r="OYO76" s="108"/>
      <c r="OYP76" s="108"/>
      <c r="OYQ76" s="108"/>
      <c r="OYR76" s="108"/>
      <c r="OYS76" s="108"/>
      <c r="OYT76" s="108"/>
      <c r="OYU76" s="108"/>
      <c r="OYV76" s="108"/>
      <c r="OYW76" s="108"/>
      <c r="OYX76" s="108"/>
      <c r="OYY76" s="108"/>
      <c r="OYZ76" s="108"/>
      <c r="OZA76" s="108"/>
      <c r="OZB76" s="108"/>
      <c r="OZC76" s="108"/>
      <c r="OZD76" s="108"/>
      <c r="OZE76" s="108"/>
      <c r="OZF76" s="108"/>
      <c r="OZG76" s="108"/>
      <c r="OZH76" s="108"/>
      <c r="OZI76" s="108"/>
      <c r="OZJ76" s="108"/>
      <c r="OZK76" s="108"/>
      <c r="OZL76" s="108"/>
      <c r="OZM76" s="108"/>
      <c r="OZN76" s="108"/>
      <c r="OZO76" s="108"/>
      <c r="OZP76" s="108"/>
      <c r="OZQ76" s="108"/>
      <c r="OZR76" s="108"/>
      <c r="OZS76" s="108"/>
      <c r="OZT76" s="108"/>
      <c r="OZU76" s="108"/>
      <c r="OZV76" s="108"/>
      <c r="OZW76" s="108"/>
      <c r="OZX76" s="108"/>
      <c r="OZY76" s="108"/>
      <c r="OZZ76" s="108"/>
      <c r="PAA76" s="108"/>
      <c r="PAB76" s="108"/>
      <c r="PAC76" s="108"/>
      <c r="PAD76" s="108"/>
      <c r="PAE76" s="108"/>
      <c r="PAF76" s="108"/>
      <c r="PAG76" s="108"/>
      <c r="PAH76" s="108"/>
      <c r="PAI76" s="108"/>
      <c r="PAJ76" s="108"/>
      <c r="PAK76" s="108"/>
      <c r="PAL76" s="108"/>
      <c r="PAM76" s="108"/>
      <c r="PAN76" s="108"/>
      <c r="PAO76" s="108"/>
      <c r="PAP76" s="108"/>
      <c r="PAQ76" s="108"/>
      <c r="PAR76" s="108"/>
      <c r="PAS76" s="108"/>
      <c r="PAT76" s="108"/>
      <c r="PAU76" s="108"/>
      <c r="PAV76" s="108"/>
      <c r="PAW76" s="108"/>
      <c r="PAX76" s="108"/>
      <c r="PAY76" s="108"/>
      <c r="PAZ76" s="108"/>
      <c r="PBA76" s="108"/>
      <c r="PBB76" s="108"/>
      <c r="PBC76" s="108"/>
      <c r="PBD76" s="108"/>
      <c r="PBE76" s="108"/>
      <c r="PBF76" s="108"/>
      <c r="PBG76" s="108"/>
      <c r="PBH76" s="108"/>
      <c r="PBI76" s="108"/>
      <c r="PBJ76" s="108"/>
      <c r="PBK76" s="108"/>
      <c r="PBL76" s="108"/>
      <c r="PBM76" s="108"/>
      <c r="PBN76" s="108"/>
      <c r="PBO76" s="108"/>
      <c r="PBP76" s="108"/>
      <c r="PBQ76" s="108"/>
      <c r="PBR76" s="108"/>
      <c r="PBS76" s="108"/>
      <c r="PBT76" s="108"/>
      <c r="PBU76" s="108"/>
      <c r="PBV76" s="108"/>
      <c r="PBW76" s="108"/>
      <c r="PBX76" s="108"/>
      <c r="PBY76" s="108"/>
      <c r="PBZ76" s="108"/>
      <c r="PCA76" s="108"/>
      <c r="PCB76" s="108"/>
      <c r="PCC76" s="108"/>
      <c r="PCD76" s="108"/>
      <c r="PCE76" s="108"/>
      <c r="PCF76" s="108"/>
      <c r="PCG76" s="108"/>
      <c r="PCH76" s="108"/>
      <c r="PCI76" s="108"/>
      <c r="PCJ76" s="108"/>
      <c r="PCK76" s="108"/>
      <c r="PCL76" s="108"/>
      <c r="PCM76" s="108"/>
      <c r="PCN76" s="108"/>
      <c r="PCO76" s="108"/>
      <c r="PCP76" s="108"/>
      <c r="PCQ76" s="108"/>
      <c r="PCR76" s="108"/>
      <c r="PCS76" s="108"/>
      <c r="PCT76" s="108"/>
      <c r="PCU76" s="108"/>
      <c r="PCV76" s="108"/>
      <c r="PCW76" s="108"/>
      <c r="PCX76" s="108"/>
      <c r="PCY76" s="108"/>
      <c r="PCZ76" s="108"/>
      <c r="PDA76" s="108"/>
      <c r="PDB76" s="108"/>
      <c r="PDC76" s="108"/>
      <c r="PDD76" s="108"/>
      <c r="PDE76" s="108"/>
      <c r="PDF76" s="108"/>
      <c r="PDG76" s="108"/>
      <c r="PDH76" s="108"/>
      <c r="PDI76" s="108"/>
      <c r="PDJ76" s="108"/>
      <c r="PDK76" s="108"/>
      <c r="PDL76" s="108"/>
      <c r="PDM76" s="108"/>
      <c r="PDN76" s="108"/>
      <c r="PDO76" s="108"/>
      <c r="PDP76" s="108"/>
      <c r="PDQ76" s="108"/>
      <c r="PDR76" s="108"/>
      <c r="PDS76" s="108"/>
      <c r="PDT76" s="108"/>
      <c r="PDU76" s="108"/>
      <c r="PDV76" s="108"/>
      <c r="PDW76" s="108"/>
      <c r="PDX76" s="108"/>
      <c r="PDY76" s="108"/>
      <c r="PDZ76" s="108"/>
      <c r="PEA76" s="108"/>
      <c r="PEB76" s="108"/>
      <c r="PEC76" s="108"/>
      <c r="PED76" s="108"/>
      <c r="PEE76" s="108"/>
      <c r="PEF76" s="108"/>
      <c r="PEG76" s="108"/>
      <c r="PEH76" s="108"/>
      <c r="PEI76" s="108"/>
      <c r="PEJ76" s="108"/>
      <c r="PEK76" s="108"/>
      <c r="PEL76" s="108"/>
      <c r="PEM76" s="108"/>
      <c r="PEN76" s="108"/>
      <c r="PEO76" s="108"/>
      <c r="PEP76" s="108"/>
      <c r="PEQ76" s="108"/>
      <c r="PER76" s="108"/>
      <c r="PES76" s="108"/>
      <c r="PET76" s="108"/>
      <c r="PEU76" s="108"/>
      <c r="PEV76" s="108"/>
      <c r="PEW76" s="108"/>
      <c r="PEX76" s="108"/>
      <c r="PEY76" s="108"/>
      <c r="PEZ76" s="108"/>
      <c r="PFA76" s="108"/>
      <c r="PFB76" s="108"/>
      <c r="PFC76" s="108"/>
      <c r="PFD76" s="108"/>
      <c r="PFE76" s="108"/>
      <c r="PFF76" s="108"/>
      <c r="PFG76" s="108"/>
      <c r="PFH76" s="108"/>
      <c r="PFI76" s="108"/>
      <c r="PFJ76" s="108"/>
      <c r="PFK76" s="108"/>
      <c r="PFL76" s="108"/>
      <c r="PFM76" s="108"/>
      <c r="PFN76" s="108"/>
      <c r="PFO76" s="108"/>
      <c r="PFP76" s="108"/>
      <c r="PFQ76" s="108"/>
      <c r="PFR76" s="108"/>
      <c r="PFS76" s="108"/>
      <c r="PFT76" s="108"/>
      <c r="PFU76" s="108"/>
      <c r="PFV76" s="108"/>
      <c r="PFW76" s="108"/>
      <c r="PFX76" s="108"/>
      <c r="PFY76" s="108"/>
      <c r="PFZ76" s="108"/>
      <c r="PGA76" s="108"/>
      <c r="PGB76" s="108"/>
      <c r="PGC76" s="108"/>
      <c r="PGD76" s="108"/>
      <c r="PGE76" s="108"/>
      <c r="PGF76" s="108"/>
      <c r="PGG76" s="108"/>
      <c r="PGH76" s="108"/>
      <c r="PGI76" s="108"/>
      <c r="PGJ76" s="108"/>
      <c r="PGK76" s="108"/>
      <c r="PGL76" s="108"/>
      <c r="PGM76" s="108"/>
      <c r="PGN76" s="108"/>
      <c r="PGO76" s="108"/>
      <c r="PGP76" s="108"/>
      <c r="PGQ76" s="108"/>
      <c r="PGR76" s="108"/>
      <c r="PGS76" s="108"/>
      <c r="PGT76" s="108"/>
      <c r="PGU76" s="108"/>
      <c r="PGV76" s="108"/>
      <c r="PGW76" s="108"/>
      <c r="PGX76" s="108"/>
      <c r="PGY76" s="108"/>
      <c r="PGZ76" s="108"/>
      <c r="PHA76" s="108"/>
      <c r="PHB76" s="108"/>
      <c r="PHC76" s="108"/>
      <c r="PHD76" s="108"/>
      <c r="PHE76" s="108"/>
      <c r="PHF76" s="108"/>
      <c r="PHG76" s="108"/>
      <c r="PHH76" s="108"/>
      <c r="PHI76" s="108"/>
      <c r="PHJ76" s="108"/>
      <c r="PHK76" s="108"/>
      <c r="PHL76" s="108"/>
      <c r="PHM76" s="108"/>
      <c r="PHN76" s="108"/>
      <c r="PHO76" s="108"/>
      <c r="PHP76" s="108"/>
      <c r="PHQ76" s="108"/>
      <c r="PHR76" s="108"/>
      <c r="PHS76" s="108"/>
      <c r="PHT76" s="108"/>
      <c r="PHU76" s="108"/>
      <c r="PHV76" s="108"/>
      <c r="PHW76" s="108"/>
      <c r="PHX76" s="108"/>
      <c r="PHY76" s="108"/>
      <c r="PHZ76" s="108"/>
      <c r="PIA76" s="108"/>
      <c r="PIB76" s="108"/>
      <c r="PIC76" s="108"/>
      <c r="PID76" s="108"/>
      <c r="PIE76" s="108"/>
      <c r="PIF76" s="108"/>
      <c r="PIG76" s="108"/>
      <c r="PIH76" s="108"/>
      <c r="PII76" s="108"/>
      <c r="PIJ76" s="108"/>
      <c r="PIK76" s="108"/>
      <c r="PIL76" s="108"/>
      <c r="PIM76" s="108"/>
      <c r="PIN76" s="108"/>
      <c r="PIO76" s="108"/>
      <c r="PIP76" s="108"/>
      <c r="PIQ76" s="108"/>
      <c r="PIR76" s="108"/>
      <c r="PIS76" s="108"/>
      <c r="PIT76" s="108"/>
      <c r="PIU76" s="108"/>
      <c r="PIV76" s="108"/>
      <c r="PIW76" s="108"/>
      <c r="PIX76" s="108"/>
      <c r="PIY76" s="108"/>
      <c r="PIZ76" s="108"/>
      <c r="PJA76" s="108"/>
      <c r="PJB76" s="108"/>
      <c r="PJC76" s="108"/>
      <c r="PJD76" s="108"/>
      <c r="PJE76" s="108"/>
      <c r="PJF76" s="108"/>
      <c r="PJG76" s="108"/>
      <c r="PJH76" s="108"/>
      <c r="PJI76" s="108"/>
      <c r="PJJ76" s="108"/>
      <c r="PJK76" s="108"/>
      <c r="PJL76" s="108"/>
      <c r="PJM76" s="108"/>
      <c r="PJN76" s="108"/>
      <c r="PJO76" s="108"/>
      <c r="PJP76" s="108"/>
      <c r="PJQ76" s="108"/>
      <c r="PJR76" s="108"/>
      <c r="PJS76" s="108"/>
      <c r="PJT76" s="108"/>
      <c r="PJU76" s="108"/>
      <c r="PJV76" s="108"/>
      <c r="PJW76" s="108"/>
      <c r="PJX76" s="108"/>
      <c r="PJY76" s="108"/>
      <c r="PJZ76" s="108"/>
      <c r="PKA76" s="108"/>
      <c r="PKB76" s="108"/>
      <c r="PKC76" s="108"/>
      <c r="PKD76" s="108"/>
      <c r="PKE76" s="108"/>
      <c r="PKF76" s="108"/>
      <c r="PKG76" s="108"/>
      <c r="PKH76" s="108"/>
      <c r="PKI76" s="108"/>
      <c r="PKJ76" s="108"/>
      <c r="PKK76" s="108"/>
      <c r="PKL76" s="108"/>
      <c r="PKM76" s="108"/>
      <c r="PKN76" s="108"/>
      <c r="PKO76" s="108"/>
      <c r="PKP76" s="108"/>
      <c r="PKQ76" s="108"/>
      <c r="PKR76" s="108"/>
      <c r="PKS76" s="108"/>
      <c r="PKT76" s="108"/>
      <c r="PKU76" s="108"/>
      <c r="PKV76" s="108"/>
      <c r="PKW76" s="108"/>
      <c r="PKX76" s="108"/>
      <c r="PKY76" s="108"/>
      <c r="PKZ76" s="108"/>
      <c r="PLA76" s="108"/>
      <c r="PLB76" s="108"/>
      <c r="PLC76" s="108"/>
      <c r="PLD76" s="108"/>
      <c r="PLE76" s="108"/>
      <c r="PLF76" s="108"/>
      <c r="PLG76" s="108"/>
      <c r="PLH76" s="108"/>
      <c r="PLI76" s="108"/>
      <c r="PLJ76" s="108"/>
      <c r="PLK76" s="108"/>
      <c r="PLL76" s="108"/>
      <c r="PLM76" s="108"/>
      <c r="PLN76" s="108"/>
      <c r="PLO76" s="108"/>
      <c r="PLP76" s="108"/>
      <c r="PLQ76" s="108"/>
      <c r="PLR76" s="108"/>
      <c r="PLS76" s="108"/>
      <c r="PLT76" s="108"/>
      <c r="PLU76" s="108"/>
      <c r="PLV76" s="108"/>
      <c r="PLW76" s="108"/>
      <c r="PLX76" s="108"/>
      <c r="PLY76" s="108"/>
      <c r="PLZ76" s="108"/>
      <c r="PMA76" s="108"/>
      <c r="PMB76" s="108"/>
      <c r="PMC76" s="108"/>
      <c r="PMD76" s="108"/>
      <c r="PME76" s="108"/>
      <c r="PMF76" s="108"/>
      <c r="PMG76" s="108"/>
      <c r="PMH76" s="108"/>
      <c r="PMI76" s="108"/>
      <c r="PMJ76" s="108"/>
      <c r="PMK76" s="108"/>
      <c r="PML76" s="108"/>
      <c r="PMM76" s="108"/>
      <c r="PMN76" s="108"/>
      <c r="PMO76" s="108"/>
      <c r="PMP76" s="108"/>
      <c r="PMQ76" s="108"/>
      <c r="PMR76" s="108"/>
      <c r="PMS76" s="108"/>
      <c r="PMT76" s="108"/>
      <c r="PMU76" s="108"/>
      <c r="PMV76" s="108"/>
      <c r="PMW76" s="108"/>
      <c r="PMX76" s="108"/>
      <c r="PMY76" s="108"/>
      <c r="PMZ76" s="108"/>
      <c r="PNA76" s="108"/>
      <c r="PNB76" s="108"/>
      <c r="PNC76" s="108"/>
      <c r="PND76" s="108"/>
      <c r="PNE76" s="108"/>
      <c r="PNF76" s="108"/>
      <c r="PNG76" s="108"/>
      <c r="PNH76" s="108"/>
      <c r="PNI76" s="108"/>
      <c r="PNJ76" s="108"/>
      <c r="PNK76" s="108"/>
      <c r="PNL76" s="108"/>
      <c r="PNM76" s="108"/>
      <c r="PNN76" s="108"/>
      <c r="PNO76" s="108"/>
      <c r="PNP76" s="108"/>
      <c r="PNQ76" s="108"/>
      <c r="PNR76" s="108"/>
      <c r="PNS76" s="108"/>
      <c r="PNT76" s="108"/>
      <c r="PNU76" s="108"/>
      <c r="PNV76" s="108"/>
      <c r="PNW76" s="108"/>
      <c r="PNX76" s="108"/>
      <c r="PNY76" s="108"/>
      <c r="PNZ76" s="108"/>
      <c r="POA76" s="108"/>
      <c r="POB76" s="108"/>
      <c r="POC76" s="108"/>
      <c r="POD76" s="108"/>
      <c r="POE76" s="108"/>
      <c r="POF76" s="108"/>
      <c r="POG76" s="108"/>
      <c r="POH76" s="108"/>
      <c r="POI76" s="108"/>
      <c r="POJ76" s="108"/>
      <c r="POK76" s="108"/>
      <c r="POL76" s="108"/>
      <c r="POM76" s="108"/>
      <c r="PON76" s="108"/>
      <c r="POO76" s="108"/>
      <c r="POP76" s="108"/>
      <c r="POQ76" s="108"/>
      <c r="POR76" s="108"/>
      <c r="POS76" s="108"/>
      <c r="POT76" s="108"/>
      <c r="POU76" s="108"/>
      <c r="POV76" s="108"/>
      <c r="POW76" s="108"/>
      <c r="POX76" s="108"/>
      <c r="POY76" s="108"/>
      <c r="POZ76" s="108"/>
      <c r="PPA76" s="108"/>
      <c r="PPB76" s="108"/>
      <c r="PPC76" s="108"/>
      <c r="PPD76" s="108"/>
      <c r="PPE76" s="108"/>
      <c r="PPF76" s="108"/>
      <c r="PPG76" s="108"/>
      <c r="PPH76" s="108"/>
      <c r="PPI76" s="108"/>
      <c r="PPJ76" s="108"/>
      <c r="PPK76" s="108"/>
      <c r="PPL76" s="108"/>
      <c r="PPM76" s="108"/>
      <c r="PPN76" s="108"/>
      <c r="PPO76" s="108"/>
      <c r="PPP76" s="108"/>
      <c r="PPQ76" s="108"/>
      <c r="PPR76" s="108"/>
      <c r="PPS76" s="108"/>
      <c r="PPT76" s="108"/>
      <c r="PPU76" s="108"/>
      <c r="PPV76" s="108"/>
      <c r="PPW76" s="108"/>
      <c r="PPX76" s="108"/>
      <c r="PPY76" s="108"/>
      <c r="PPZ76" s="108"/>
      <c r="PQA76" s="108"/>
      <c r="PQB76" s="108"/>
      <c r="PQC76" s="108"/>
      <c r="PQD76" s="108"/>
      <c r="PQE76" s="108"/>
      <c r="PQF76" s="108"/>
      <c r="PQG76" s="108"/>
      <c r="PQH76" s="108"/>
      <c r="PQI76" s="108"/>
      <c r="PQJ76" s="108"/>
      <c r="PQK76" s="108"/>
      <c r="PQL76" s="108"/>
      <c r="PQM76" s="108"/>
      <c r="PQN76" s="108"/>
      <c r="PQO76" s="108"/>
      <c r="PQP76" s="108"/>
      <c r="PQQ76" s="108"/>
      <c r="PQR76" s="108"/>
      <c r="PQS76" s="108"/>
      <c r="PQT76" s="108"/>
      <c r="PQU76" s="108"/>
      <c r="PQV76" s="108"/>
      <c r="PQW76" s="108"/>
      <c r="PQX76" s="108"/>
      <c r="PQY76" s="108"/>
      <c r="PQZ76" s="108"/>
      <c r="PRA76" s="108"/>
      <c r="PRB76" s="108"/>
      <c r="PRC76" s="108"/>
      <c r="PRD76" s="108"/>
      <c r="PRE76" s="108"/>
      <c r="PRF76" s="108"/>
      <c r="PRG76" s="108"/>
      <c r="PRH76" s="108"/>
      <c r="PRI76" s="108"/>
      <c r="PRJ76" s="108"/>
      <c r="PRK76" s="108"/>
      <c r="PRL76" s="108"/>
      <c r="PRM76" s="108"/>
      <c r="PRN76" s="108"/>
      <c r="PRO76" s="108"/>
      <c r="PRP76" s="108"/>
      <c r="PRQ76" s="108"/>
      <c r="PRR76" s="108"/>
      <c r="PRS76" s="108"/>
      <c r="PRT76" s="108"/>
      <c r="PRU76" s="108"/>
      <c r="PRV76" s="108"/>
      <c r="PRW76" s="108"/>
      <c r="PRX76" s="108"/>
      <c r="PRY76" s="108"/>
      <c r="PRZ76" s="108"/>
      <c r="PSA76" s="108"/>
      <c r="PSB76" s="108"/>
      <c r="PSC76" s="108"/>
      <c r="PSD76" s="108"/>
      <c r="PSE76" s="108"/>
      <c r="PSF76" s="108"/>
      <c r="PSG76" s="108"/>
      <c r="PSH76" s="108"/>
      <c r="PSI76" s="108"/>
      <c r="PSJ76" s="108"/>
      <c r="PSK76" s="108"/>
      <c r="PSL76" s="108"/>
      <c r="PSM76" s="108"/>
      <c r="PSN76" s="108"/>
      <c r="PSO76" s="108"/>
      <c r="PSP76" s="108"/>
      <c r="PSQ76" s="108"/>
      <c r="PSR76" s="108"/>
      <c r="PSS76" s="108"/>
      <c r="PST76" s="108"/>
      <c r="PSU76" s="108"/>
      <c r="PSV76" s="108"/>
      <c r="PSW76" s="108"/>
      <c r="PSX76" s="108"/>
      <c r="PSY76" s="108"/>
      <c r="PSZ76" s="108"/>
      <c r="PTA76" s="108"/>
      <c r="PTB76" s="108"/>
      <c r="PTC76" s="108"/>
      <c r="PTD76" s="108"/>
      <c r="PTE76" s="108"/>
      <c r="PTF76" s="108"/>
      <c r="PTG76" s="108"/>
      <c r="PTH76" s="108"/>
      <c r="PTI76" s="108"/>
      <c r="PTJ76" s="108"/>
      <c r="PTK76" s="108"/>
      <c r="PTL76" s="108"/>
      <c r="PTM76" s="108"/>
      <c r="PTN76" s="108"/>
      <c r="PTO76" s="108"/>
      <c r="PTP76" s="108"/>
      <c r="PTQ76" s="108"/>
      <c r="PTR76" s="108"/>
      <c r="PTS76" s="108"/>
      <c r="PTT76" s="108"/>
      <c r="PTU76" s="108"/>
      <c r="PTV76" s="108"/>
      <c r="PTW76" s="108"/>
      <c r="PTX76" s="108"/>
      <c r="PTY76" s="108"/>
      <c r="PTZ76" s="108"/>
      <c r="PUA76" s="108"/>
      <c r="PUB76" s="108"/>
      <c r="PUC76" s="108"/>
      <c r="PUD76" s="108"/>
      <c r="PUE76" s="108"/>
      <c r="PUF76" s="108"/>
      <c r="PUG76" s="108"/>
      <c r="PUH76" s="108"/>
      <c r="PUI76" s="108"/>
      <c r="PUJ76" s="108"/>
      <c r="PUK76" s="108"/>
      <c r="PUL76" s="108"/>
      <c r="PUM76" s="108"/>
      <c r="PUN76" s="108"/>
      <c r="PUO76" s="108"/>
      <c r="PUP76" s="108"/>
      <c r="PUQ76" s="108"/>
      <c r="PUR76" s="108"/>
      <c r="PUS76" s="108"/>
      <c r="PUT76" s="108"/>
      <c r="PUU76" s="108"/>
      <c r="PUV76" s="108"/>
      <c r="PUW76" s="108"/>
      <c r="PUX76" s="108"/>
      <c r="PUY76" s="108"/>
      <c r="PUZ76" s="108"/>
      <c r="PVA76" s="108"/>
      <c r="PVB76" s="108"/>
      <c r="PVC76" s="108"/>
      <c r="PVD76" s="108"/>
      <c r="PVE76" s="108"/>
      <c r="PVF76" s="108"/>
      <c r="PVG76" s="108"/>
      <c r="PVH76" s="108"/>
      <c r="PVI76" s="108"/>
      <c r="PVJ76" s="108"/>
      <c r="PVK76" s="108"/>
      <c r="PVL76" s="108"/>
      <c r="PVM76" s="108"/>
      <c r="PVN76" s="108"/>
      <c r="PVO76" s="108"/>
      <c r="PVP76" s="108"/>
      <c r="PVQ76" s="108"/>
      <c r="PVR76" s="108"/>
      <c r="PVS76" s="108"/>
      <c r="PVT76" s="108"/>
      <c r="PVU76" s="108"/>
      <c r="PVV76" s="108"/>
      <c r="PVW76" s="108"/>
      <c r="PVX76" s="108"/>
      <c r="PVY76" s="108"/>
      <c r="PVZ76" s="108"/>
      <c r="PWA76" s="108"/>
      <c r="PWB76" s="108"/>
      <c r="PWC76" s="108"/>
      <c r="PWD76" s="108"/>
      <c r="PWE76" s="108"/>
      <c r="PWF76" s="108"/>
      <c r="PWG76" s="108"/>
      <c r="PWH76" s="108"/>
      <c r="PWI76" s="108"/>
      <c r="PWJ76" s="108"/>
      <c r="PWK76" s="108"/>
      <c r="PWL76" s="108"/>
      <c r="PWM76" s="108"/>
      <c r="PWN76" s="108"/>
      <c r="PWO76" s="108"/>
      <c r="PWP76" s="108"/>
      <c r="PWQ76" s="108"/>
      <c r="PWR76" s="108"/>
      <c r="PWS76" s="108"/>
      <c r="PWT76" s="108"/>
      <c r="PWU76" s="108"/>
      <c r="PWV76" s="108"/>
      <c r="PWW76" s="108"/>
      <c r="PWX76" s="108"/>
      <c r="PWY76" s="108"/>
      <c r="PWZ76" s="108"/>
      <c r="PXA76" s="108"/>
      <c r="PXB76" s="108"/>
      <c r="PXC76" s="108"/>
      <c r="PXD76" s="108"/>
      <c r="PXE76" s="108"/>
      <c r="PXF76" s="108"/>
      <c r="PXG76" s="108"/>
      <c r="PXH76" s="108"/>
      <c r="PXI76" s="108"/>
      <c r="PXJ76" s="108"/>
      <c r="PXK76" s="108"/>
      <c r="PXL76" s="108"/>
      <c r="PXM76" s="108"/>
      <c r="PXN76" s="108"/>
      <c r="PXO76" s="108"/>
      <c r="PXP76" s="108"/>
      <c r="PXQ76" s="108"/>
      <c r="PXR76" s="108"/>
      <c r="PXS76" s="108"/>
      <c r="PXT76" s="108"/>
      <c r="PXU76" s="108"/>
      <c r="PXV76" s="108"/>
      <c r="PXW76" s="108"/>
      <c r="PXX76" s="108"/>
      <c r="PXY76" s="108"/>
      <c r="PXZ76" s="108"/>
      <c r="PYA76" s="108"/>
      <c r="PYB76" s="108"/>
      <c r="PYC76" s="108"/>
      <c r="PYD76" s="108"/>
      <c r="PYE76" s="108"/>
      <c r="PYF76" s="108"/>
      <c r="PYG76" s="108"/>
      <c r="PYH76" s="108"/>
      <c r="PYI76" s="108"/>
      <c r="PYJ76" s="108"/>
      <c r="PYK76" s="108"/>
      <c r="PYL76" s="108"/>
      <c r="PYM76" s="108"/>
      <c r="PYN76" s="108"/>
      <c r="PYO76" s="108"/>
      <c r="PYP76" s="108"/>
      <c r="PYQ76" s="108"/>
      <c r="PYR76" s="108"/>
      <c r="PYS76" s="108"/>
      <c r="PYT76" s="108"/>
      <c r="PYU76" s="108"/>
      <c r="PYV76" s="108"/>
      <c r="PYW76" s="108"/>
      <c r="PYX76" s="108"/>
      <c r="PYY76" s="108"/>
      <c r="PYZ76" s="108"/>
      <c r="PZA76" s="108"/>
      <c r="PZB76" s="108"/>
      <c r="PZC76" s="108"/>
      <c r="PZD76" s="108"/>
      <c r="PZE76" s="108"/>
      <c r="PZF76" s="108"/>
      <c r="PZG76" s="108"/>
      <c r="PZH76" s="108"/>
      <c r="PZI76" s="108"/>
      <c r="PZJ76" s="108"/>
      <c r="PZK76" s="108"/>
      <c r="PZL76" s="108"/>
      <c r="PZM76" s="108"/>
      <c r="PZN76" s="108"/>
      <c r="PZO76" s="108"/>
      <c r="PZP76" s="108"/>
      <c r="PZQ76" s="108"/>
      <c r="PZR76" s="108"/>
      <c r="PZS76" s="108"/>
      <c r="PZT76" s="108"/>
      <c r="PZU76" s="108"/>
      <c r="PZV76" s="108"/>
      <c r="PZW76" s="108"/>
      <c r="PZX76" s="108"/>
      <c r="PZY76" s="108"/>
      <c r="PZZ76" s="108"/>
      <c r="QAA76" s="108"/>
      <c r="QAB76" s="108"/>
      <c r="QAC76" s="108"/>
      <c r="QAD76" s="108"/>
      <c r="QAE76" s="108"/>
      <c r="QAF76" s="108"/>
      <c r="QAG76" s="108"/>
      <c r="QAH76" s="108"/>
      <c r="QAI76" s="108"/>
      <c r="QAJ76" s="108"/>
      <c r="QAK76" s="108"/>
      <c r="QAL76" s="108"/>
      <c r="QAM76" s="108"/>
      <c r="QAN76" s="108"/>
      <c r="QAO76" s="108"/>
      <c r="QAP76" s="108"/>
      <c r="QAQ76" s="108"/>
      <c r="QAR76" s="108"/>
      <c r="QAS76" s="108"/>
      <c r="QAT76" s="108"/>
      <c r="QAU76" s="108"/>
      <c r="QAV76" s="108"/>
      <c r="QAW76" s="108"/>
      <c r="QAX76" s="108"/>
      <c r="QAY76" s="108"/>
      <c r="QAZ76" s="108"/>
      <c r="QBA76" s="108"/>
      <c r="QBB76" s="108"/>
      <c r="QBC76" s="108"/>
      <c r="QBD76" s="108"/>
      <c r="QBE76" s="108"/>
      <c r="QBF76" s="108"/>
      <c r="QBG76" s="108"/>
      <c r="QBH76" s="108"/>
      <c r="QBI76" s="108"/>
      <c r="QBJ76" s="108"/>
      <c r="QBK76" s="108"/>
      <c r="QBL76" s="108"/>
      <c r="QBM76" s="108"/>
      <c r="QBN76" s="108"/>
      <c r="QBO76" s="108"/>
      <c r="QBP76" s="108"/>
      <c r="QBQ76" s="108"/>
      <c r="QBR76" s="108"/>
      <c r="QBS76" s="108"/>
      <c r="QBT76" s="108"/>
      <c r="QBU76" s="108"/>
      <c r="QBV76" s="108"/>
      <c r="QBW76" s="108"/>
      <c r="QBX76" s="108"/>
      <c r="QBY76" s="108"/>
      <c r="QBZ76" s="108"/>
      <c r="QCA76" s="108"/>
      <c r="QCB76" s="108"/>
      <c r="QCC76" s="108"/>
      <c r="QCD76" s="108"/>
      <c r="QCE76" s="108"/>
      <c r="QCF76" s="108"/>
      <c r="QCG76" s="108"/>
      <c r="QCH76" s="108"/>
      <c r="QCI76" s="108"/>
      <c r="QCJ76" s="108"/>
      <c r="QCK76" s="108"/>
      <c r="QCL76" s="108"/>
      <c r="QCM76" s="108"/>
      <c r="QCN76" s="108"/>
      <c r="QCO76" s="108"/>
      <c r="QCP76" s="108"/>
      <c r="QCQ76" s="108"/>
      <c r="QCR76" s="108"/>
      <c r="QCS76" s="108"/>
      <c r="QCT76" s="108"/>
      <c r="QCU76" s="108"/>
      <c r="QCV76" s="108"/>
      <c r="QCW76" s="108"/>
      <c r="QCX76" s="108"/>
      <c r="QCY76" s="108"/>
      <c r="QCZ76" s="108"/>
      <c r="QDA76" s="108"/>
      <c r="QDB76" s="108"/>
      <c r="QDC76" s="108"/>
      <c r="QDD76" s="108"/>
      <c r="QDE76" s="108"/>
      <c r="QDF76" s="108"/>
      <c r="QDG76" s="108"/>
      <c r="QDH76" s="108"/>
      <c r="QDI76" s="108"/>
      <c r="QDJ76" s="108"/>
      <c r="QDK76" s="108"/>
      <c r="QDL76" s="108"/>
      <c r="QDM76" s="108"/>
      <c r="QDN76" s="108"/>
      <c r="QDO76" s="108"/>
      <c r="QDP76" s="108"/>
      <c r="QDQ76" s="108"/>
      <c r="QDR76" s="108"/>
      <c r="QDS76" s="108"/>
      <c r="QDT76" s="108"/>
      <c r="QDU76" s="108"/>
      <c r="QDV76" s="108"/>
      <c r="QDW76" s="108"/>
      <c r="QDX76" s="108"/>
      <c r="QDY76" s="108"/>
      <c r="QDZ76" s="108"/>
      <c r="QEA76" s="108"/>
      <c r="QEB76" s="108"/>
      <c r="QEC76" s="108"/>
      <c r="QED76" s="108"/>
      <c r="QEE76" s="108"/>
      <c r="QEF76" s="108"/>
      <c r="QEG76" s="108"/>
      <c r="QEH76" s="108"/>
      <c r="QEI76" s="108"/>
      <c r="QEJ76" s="108"/>
      <c r="QEK76" s="108"/>
      <c r="QEL76" s="108"/>
      <c r="QEM76" s="108"/>
      <c r="QEN76" s="108"/>
      <c r="QEO76" s="108"/>
      <c r="QEP76" s="108"/>
      <c r="QEQ76" s="108"/>
      <c r="QER76" s="108"/>
      <c r="QES76" s="108"/>
      <c r="QET76" s="108"/>
      <c r="QEU76" s="108"/>
      <c r="QEV76" s="108"/>
      <c r="QEW76" s="108"/>
      <c r="QEX76" s="108"/>
      <c r="QEY76" s="108"/>
      <c r="QEZ76" s="108"/>
      <c r="QFA76" s="108"/>
      <c r="QFB76" s="108"/>
      <c r="QFC76" s="108"/>
      <c r="QFD76" s="108"/>
      <c r="QFE76" s="108"/>
      <c r="QFF76" s="108"/>
      <c r="QFG76" s="108"/>
      <c r="QFH76" s="108"/>
      <c r="QFI76" s="108"/>
      <c r="QFJ76" s="108"/>
      <c r="QFK76" s="108"/>
      <c r="QFL76" s="108"/>
      <c r="QFM76" s="108"/>
      <c r="QFN76" s="108"/>
      <c r="QFO76" s="108"/>
      <c r="QFP76" s="108"/>
      <c r="QFQ76" s="108"/>
      <c r="QFR76" s="108"/>
      <c r="QFS76" s="108"/>
      <c r="QFT76" s="108"/>
      <c r="QFU76" s="108"/>
      <c r="QFV76" s="108"/>
      <c r="QFW76" s="108"/>
      <c r="QFX76" s="108"/>
      <c r="QFY76" s="108"/>
      <c r="QFZ76" s="108"/>
      <c r="QGA76" s="108"/>
      <c r="QGB76" s="108"/>
      <c r="QGC76" s="108"/>
      <c r="QGD76" s="108"/>
      <c r="QGE76" s="108"/>
      <c r="QGF76" s="108"/>
      <c r="QGG76" s="108"/>
      <c r="QGH76" s="108"/>
      <c r="QGI76" s="108"/>
      <c r="QGJ76" s="108"/>
      <c r="QGK76" s="108"/>
      <c r="QGL76" s="108"/>
      <c r="QGM76" s="108"/>
      <c r="QGN76" s="108"/>
      <c r="QGO76" s="108"/>
      <c r="QGP76" s="108"/>
      <c r="QGQ76" s="108"/>
      <c r="QGR76" s="108"/>
      <c r="QGS76" s="108"/>
      <c r="QGT76" s="108"/>
      <c r="QGU76" s="108"/>
      <c r="QGV76" s="108"/>
      <c r="QGW76" s="108"/>
      <c r="QGX76" s="108"/>
      <c r="QGY76" s="108"/>
      <c r="QGZ76" s="108"/>
      <c r="QHA76" s="108"/>
      <c r="QHB76" s="108"/>
      <c r="QHC76" s="108"/>
      <c r="QHD76" s="108"/>
      <c r="QHE76" s="108"/>
      <c r="QHF76" s="108"/>
      <c r="QHG76" s="108"/>
      <c r="QHH76" s="108"/>
      <c r="QHI76" s="108"/>
      <c r="QHJ76" s="108"/>
      <c r="QHK76" s="108"/>
      <c r="QHL76" s="108"/>
      <c r="QHM76" s="108"/>
      <c r="QHN76" s="108"/>
      <c r="QHO76" s="108"/>
      <c r="QHP76" s="108"/>
      <c r="QHQ76" s="108"/>
      <c r="QHR76" s="108"/>
      <c r="QHS76" s="108"/>
      <c r="QHT76" s="108"/>
      <c r="QHU76" s="108"/>
      <c r="QHV76" s="108"/>
      <c r="QHW76" s="108"/>
      <c r="QHX76" s="108"/>
      <c r="QHY76" s="108"/>
      <c r="QHZ76" s="108"/>
      <c r="QIA76" s="108"/>
      <c r="QIB76" s="108"/>
      <c r="QIC76" s="108"/>
      <c r="QID76" s="108"/>
      <c r="QIE76" s="108"/>
      <c r="QIF76" s="108"/>
      <c r="QIG76" s="108"/>
      <c r="QIH76" s="108"/>
      <c r="QII76" s="108"/>
      <c r="QIJ76" s="108"/>
      <c r="QIK76" s="108"/>
      <c r="QIL76" s="108"/>
      <c r="QIM76" s="108"/>
      <c r="QIN76" s="108"/>
      <c r="QIO76" s="108"/>
      <c r="QIP76" s="108"/>
      <c r="QIQ76" s="108"/>
      <c r="QIR76" s="108"/>
      <c r="QIS76" s="108"/>
      <c r="QIT76" s="108"/>
      <c r="QIU76" s="108"/>
      <c r="QIV76" s="108"/>
      <c r="QIW76" s="108"/>
      <c r="QIX76" s="108"/>
      <c r="QIY76" s="108"/>
      <c r="QIZ76" s="108"/>
      <c r="QJA76" s="108"/>
      <c r="QJB76" s="108"/>
      <c r="QJC76" s="108"/>
      <c r="QJD76" s="108"/>
      <c r="QJE76" s="108"/>
      <c r="QJF76" s="108"/>
      <c r="QJG76" s="108"/>
      <c r="QJH76" s="108"/>
      <c r="QJI76" s="108"/>
      <c r="QJJ76" s="108"/>
      <c r="QJK76" s="108"/>
      <c r="QJL76" s="108"/>
      <c r="QJM76" s="108"/>
      <c r="QJN76" s="108"/>
      <c r="QJO76" s="108"/>
      <c r="QJP76" s="108"/>
      <c r="QJQ76" s="108"/>
      <c r="QJR76" s="108"/>
      <c r="QJS76" s="108"/>
      <c r="QJT76" s="108"/>
      <c r="QJU76" s="108"/>
      <c r="QJV76" s="108"/>
      <c r="QJW76" s="108"/>
      <c r="QJX76" s="108"/>
      <c r="QJY76" s="108"/>
      <c r="QJZ76" s="108"/>
      <c r="QKA76" s="108"/>
      <c r="QKB76" s="108"/>
      <c r="QKC76" s="108"/>
      <c r="QKD76" s="108"/>
      <c r="QKE76" s="108"/>
      <c r="QKF76" s="108"/>
      <c r="QKG76" s="108"/>
      <c r="QKH76" s="108"/>
      <c r="QKI76" s="108"/>
      <c r="QKJ76" s="108"/>
      <c r="QKK76" s="108"/>
      <c r="QKL76" s="108"/>
      <c r="QKM76" s="108"/>
      <c r="QKN76" s="108"/>
      <c r="QKO76" s="108"/>
      <c r="QKP76" s="108"/>
      <c r="QKQ76" s="108"/>
      <c r="QKR76" s="108"/>
      <c r="QKS76" s="108"/>
      <c r="QKT76" s="108"/>
      <c r="QKU76" s="108"/>
      <c r="QKV76" s="108"/>
      <c r="QKW76" s="108"/>
      <c r="QKX76" s="108"/>
      <c r="QKY76" s="108"/>
      <c r="QKZ76" s="108"/>
      <c r="QLA76" s="108"/>
      <c r="QLB76" s="108"/>
      <c r="QLC76" s="108"/>
      <c r="QLD76" s="108"/>
      <c r="QLE76" s="108"/>
      <c r="QLF76" s="108"/>
      <c r="QLG76" s="108"/>
      <c r="QLH76" s="108"/>
      <c r="QLI76" s="108"/>
      <c r="QLJ76" s="108"/>
      <c r="QLK76" s="108"/>
      <c r="QLL76" s="108"/>
      <c r="QLM76" s="108"/>
      <c r="QLN76" s="108"/>
      <c r="QLO76" s="108"/>
      <c r="QLP76" s="108"/>
      <c r="QLQ76" s="108"/>
      <c r="QLR76" s="108"/>
      <c r="QLS76" s="108"/>
      <c r="QLT76" s="108"/>
      <c r="QLU76" s="108"/>
      <c r="QLV76" s="108"/>
      <c r="QLW76" s="108"/>
      <c r="QLX76" s="108"/>
      <c r="QLY76" s="108"/>
      <c r="QLZ76" s="108"/>
      <c r="QMA76" s="108"/>
      <c r="QMB76" s="108"/>
      <c r="QMC76" s="108"/>
      <c r="QMD76" s="108"/>
      <c r="QME76" s="108"/>
      <c r="QMF76" s="108"/>
      <c r="QMG76" s="108"/>
      <c r="QMH76" s="108"/>
      <c r="QMI76" s="108"/>
      <c r="QMJ76" s="108"/>
      <c r="QMK76" s="108"/>
      <c r="QML76" s="108"/>
      <c r="QMM76" s="108"/>
      <c r="QMN76" s="108"/>
      <c r="QMO76" s="108"/>
      <c r="QMP76" s="108"/>
      <c r="QMQ76" s="108"/>
      <c r="QMR76" s="108"/>
      <c r="QMS76" s="108"/>
      <c r="QMT76" s="108"/>
      <c r="QMU76" s="108"/>
      <c r="QMV76" s="108"/>
      <c r="QMW76" s="108"/>
      <c r="QMX76" s="108"/>
      <c r="QMY76" s="108"/>
      <c r="QMZ76" s="108"/>
      <c r="QNA76" s="108"/>
      <c r="QNB76" s="108"/>
      <c r="QNC76" s="108"/>
      <c r="QND76" s="108"/>
      <c r="QNE76" s="108"/>
      <c r="QNF76" s="108"/>
      <c r="QNG76" s="108"/>
      <c r="QNH76" s="108"/>
      <c r="QNI76" s="108"/>
      <c r="QNJ76" s="108"/>
      <c r="QNK76" s="108"/>
      <c r="QNL76" s="108"/>
      <c r="QNM76" s="108"/>
      <c r="QNN76" s="108"/>
      <c r="QNO76" s="108"/>
      <c r="QNP76" s="108"/>
      <c r="QNQ76" s="108"/>
      <c r="QNR76" s="108"/>
      <c r="QNS76" s="108"/>
      <c r="QNT76" s="108"/>
      <c r="QNU76" s="108"/>
      <c r="QNV76" s="108"/>
      <c r="QNW76" s="108"/>
      <c r="QNX76" s="108"/>
      <c r="QNY76" s="108"/>
      <c r="QNZ76" s="108"/>
      <c r="QOA76" s="108"/>
      <c r="QOB76" s="108"/>
      <c r="QOC76" s="108"/>
      <c r="QOD76" s="108"/>
      <c r="QOE76" s="108"/>
      <c r="QOF76" s="108"/>
      <c r="QOG76" s="108"/>
      <c r="QOH76" s="108"/>
      <c r="QOI76" s="108"/>
      <c r="QOJ76" s="108"/>
      <c r="QOK76" s="108"/>
      <c r="QOL76" s="108"/>
      <c r="QOM76" s="108"/>
      <c r="QON76" s="108"/>
      <c r="QOO76" s="108"/>
      <c r="QOP76" s="108"/>
      <c r="QOQ76" s="108"/>
      <c r="QOR76" s="108"/>
      <c r="QOS76" s="108"/>
      <c r="QOT76" s="108"/>
      <c r="QOU76" s="108"/>
      <c r="QOV76" s="108"/>
      <c r="QOW76" s="108"/>
      <c r="QOX76" s="108"/>
      <c r="QOY76" s="108"/>
      <c r="QOZ76" s="108"/>
      <c r="QPA76" s="108"/>
      <c r="QPB76" s="108"/>
      <c r="QPC76" s="108"/>
      <c r="QPD76" s="108"/>
      <c r="QPE76" s="108"/>
      <c r="QPF76" s="108"/>
      <c r="QPG76" s="108"/>
      <c r="QPH76" s="108"/>
      <c r="QPI76" s="108"/>
      <c r="QPJ76" s="108"/>
      <c r="QPK76" s="108"/>
      <c r="QPL76" s="108"/>
      <c r="QPM76" s="108"/>
      <c r="QPN76" s="108"/>
      <c r="QPO76" s="108"/>
      <c r="QPP76" s="108"/>
      <c r="QPQ76" s="108"/>
      <c r="QPR76" s="108"/>
      <c r="QPS76" s="108"/>
      <c r="QPT76" s="108"/>
      <c r="QPU76" s="108"/>
      <c r="QPV76" s="108"/>
      <c r="QPW76" s="108"/>
      <c r="QPX76" s="108"/>
      <c r="QPY76" s="108"/>
      <c r="QPZ76" s="108"/>
      <c r="QQA76" s="108"/>
      <c r="QQB76" s="108"/>
      <c r="QQC76" s="108"/>
      <c r="QQD76" s="108"/>
      <c r="QQE76" s="108"/>
      <c r="QQF76" s="108"/>
      <c r="QQG76" s="108"/>
      <c r="QQH76" s="108"/>
      <c r="QQI76" s="108"/>
      <c r="QQJ76" s="108"/>
      <c r="QQK76" s="108"/>
      <c r="QQL76" s="108"/>
      <c r="QQM76" s="108"/>
      <c r="QQN76" s="108"/>
      <c r="QQO76" s="108"/>
      <c r="QQP76" s="108"/>
      <c r="QQQ76" s="108"/>
      <c r="QQR76" s="108"/>
      <c r="QQS76" s="108"/>
      <c r="QQT76" s="108"/>
      <c r="QQU76" s="108"/>
      <c r="QQV76" s="108"/>
      <c r="QQW76" s="108"/>
      <c r="QQX76" s="108"/>
      <c r="QQY76" s="108"/>
      <c r="QQZ76" s="108"/>
      <c r="QRA76" s="108"/>
      <c r="QRB76" s="108"/>
      <c r="QRC76" s="108"/>
      <c r="QRD76" s="108"/>
      <c r="QRE76" s="108"/>
      <c r="QRF76" s="108"/>
      <c r="QRG76" s="108"/>
      <c r="QRH76" s="108"/>
      <c r="QRI76" s="108"/>
      <c r="QRJ76" s="108"/>
      <c r="QRK76" s="108"/>
      <c r="QRL76" s="108"/>
      <c r="QRM76" s="108"/>
      <c r="QRN76" s="108"/>
      <c r="QRO76" s="108"/>
      <c r="QRP76" s="108"/>
      <c r="QRQ76" s="108"/>
      <c r="QRR76" s="108"/>
      <c r="QRS76" s="108"/>
      <c r="QRT76" s="108"/>
      <c r="QRU76" s="108"/>
      <c r="QRV76" s="108"/>
      <c r="QRW76" s="108"/>
      <c r="QRX76" s="108"/>
      <c r="QRY76" s="108"/>
      <c r="QRZ76" s="108"/>
      <c r="QSA76" s="108"/>
      <c r="QSB76" s="108"/>
      <c r="QSC76" s="108"/>
      <c r="QSD76" s="108"/>
      <c r="QSE76" s="108"/>
      <c r="QSF76" s="108"/>
      <c r="QSG76" s="108"/>
      <c r="QSH76" s="108"/>
      <c r="QSI76" s="108"/>
      <c r="QSJ76" s="108"/>
      <c r="QSK76" s="108"/>
      <c r="QSL76" s="108"/>
      <c r="QSM76" s="108"/>
      <c r="QSN76" s="108"/>
      <c r="QSO76" s="108"/>
      <c r="QSP76" s="108"/>
      <c r="QSQ76" s="108"/>
      <c r="QSR76" s="108"/>
      <c r="QSS76" s="108"/>
      <c r="QST76" s="108"/>
      <c r="QSU76" s="108"/>
      <c r="QSV76" s="108"/>
      <c r="QSW76" s="108"/>
      <c r="QSX76" s="108"/>
      <c r="QSY76" s="108"/>
      <c r="QSZ76" s="108"/>
      <c r="QTA76" s="108"/>
      <c r="QTB76" s="108"/>
      <c r="QTC76" s="108"/>
      <c r="QTD76" s="108"/>
      <c r="QTE76" s="108"/>
      <c r="QTF76" s="108"/>
      <c r="QTG76" s="108"/>
      <c r="QTH76" s="108"/>
      <c r="QTI76" s="108"/>
      <c r="QTJ76" s="108"/>
      <c r="QTK76" s="108"/>
      <c r="QTL76" s="108"/>
      <c r="QTM76" s="108"/>
      <c r="QTN76" s="108"/>
      <c r="QTO76" s="108"/>
      <c r="QTP76" s="108"/>
      <c r="QTQ76" s="108"/>
      <c r="QTR76" s="108"/>
      <c r="QTS76" s="108"/>
      <c r="QTT76" s="108"/>
      <c r="QTU76" s="108"/>
      <c r="QTV76" s="108"/>
      <c r="QTW76" s="108"/>
      <c r="QTX76" s="108"/>
      <c r="QTY76" s="108"/>
      <c r="QTZ76" s="108"/>
      <c r="QUA76" s="108"/>
      <c r="QUB76" s="108"/>
      <c r="QUC76" s="108"/>
      <c r="QUD76" s="108"/>
      <c r="QUE76" s="108"/>
      <c r="QUF76" s="108"/>
      <c r="QUG76" s="108"/>
      <c r="QUH76" s="108"/>
      <c r="QUI76" s="108"/>
      <c r="QUJ76" s="108"/>
      <c r="QUK76" s="108"/>
      <c r="QUL76" s="108"/>
      <c r="QUM76" s="108"/>
      <c r="QUN76" s="108"/>
      <c r="QUO76" s="108"/>
      <c r="QUP76" s="108"/>
      <c r="QUQ76" s="108"/>
      <c r="QUR76" s="108"/>
      <c r="QUS76" s="108"/>
      <c r="QUT76" s="108"/>
      <c r="QUU76" s="108"/>
      <c r="QUV76" s="108"/>
      <c r="QUW76" s="108"/>
      <c r="QUX76" s="108"/>
      <c r="QUY76" s="108"/>
      <c r="QUZ76" s="108"/>
      <c r="QVA76" s="108"/>
      <c r="QVB76" s="108"/>
      <c r="QVC76" s="108"/>
      <c r="QVD76" s="108"/>
      <c r="QVE76" s="108"/>
      <c r="QVF76" s="108"/>
      <c r="QVG76" s="108"/>
      <c r="QVH76" s="108"/>
      <c r="QVI76" s="108"/>
      <c r="QVJ76" s="108"/>
      <c r="QVK76" s="108"/>
      <c r="QVL76" s="108"/>
      <c r="QVM76" s="108"/>
      <c r="QVN76" s="108"/>
      <c r="QVO76" s="108"/>
      <c r="QVP76" s="108"/>
      <c r="QVQ76" s="108"/>
      <c r="QVR76" s="108"/>
      <c r="QVS76" s="108"/>
      <c r="QVT76" s="108"/>
      <c r="QVU76" s="108"/>
      <c r="QVV76" s="108"/>
      <c r="QVW76" s="108"/>
      <c r="QVX76" s="108"/>
      <c r="QVY76" s="108"/>
      <c r="QVZ76" s="108"/>
      <c r="QWA76" s="108"/>
      <c r="QWB76" s="108"/>
      <c r="QWC76" s="108"/>
      <c r="QWD76" s="108"/>
      <c r="QWE76" s="108"/>
      <c r="QWF76" s="108"/>
      <c r="QWG76" s="108"/>
      <c r="QWH76" s="108"/>
      <c r="QWI76" s="108"/>
      <c r="QWJ76" s="108"/>
      <c r="QWK76" s="108"/>
      <c r="QWL76" s="108"/>
      <c r="QWM76" s="108"/>
      <c r="QWN76" s="108"/>
      <c r="QWO76" s="108"/>
      <c r="QWP76" s="108"/>
      <c r="QWQ76" s="108"/>
      <c r="QWR76" s="108"/>
      <c r="QWS76" s="108"/>
      <c r="QWT76" s="108"/>
      <c r="QWU76" s="108"/>
      <c r="QWV76" s="108"/>
      <c r="QWW76" s="108"/>
      <c r="QWX76" s="108"/>
      <c r="QWY76" s="108"/>
      <c r="QWZ76" s="108"/>
      <c r="QXA76" s="108"/>
      <c r="QXB76" s="108"/>
      <c r="QXC76" s="108"/>
      <c r="QXD76" s="108"/>
      <c r="QXE76" s="108"/>
      <c r="QXF76" s="108"/>
      <c r="QXG76" s="108"/>
      <c r="QXH76" s="108"/>
      <c r="QXI76" s="108"/>
      <c r="QXJ76" s="108"/>
      <c r="QXK76" s="108"/>
      <c r="QXL76" s="108"/>
      <c r="QXM76" s="108"/>
      <c r="QXN76" s="108"/>
      <c r="QXO76" s="108"/>
      <c r="QXP76" s="108"/>
      <c r="QXQ76" s="108"/>
      <c r="QXR76" s="108"/>
      <c r="QXS76" s="108"/>
      <c r="QXT76" s="108"/>
      <c r="QXU76" s="108"/>
      <c r="QXV76" s="108"/>
      <c r="QXW76" s="108"/>
      <c r="QXX76" s="108"/>
      <c r="QXY76" s="108"/>
      <c r="QXZ76" s="108"/>
      <c r="QYA76" s="108"/>
      <c r="QYB76" s="108"/>
      <c r="QYC76" s="108"/>
      <c r="QYD76" s="108"/>
      <c r="QYE76" s="108"/>
      <c r="QYF76" s="108"/>
      <c r="QYG76" s="108"/>
      <c r="QYH76" s="108"/>
      <c r="QYI76" s="108"/>
      <c r="QYJ76" s="108"/>
      <c r="QYK76" s="108"/>
      <c r="QYL76" s="108"/>
      <c r="QYM76" s="108"/>
      <c r="QYN76" s="108"/>
      <c r="QYO76" s="108"/>
      <c r="QYP76" s="108"/>
      <c r="QYQ76" s="108"/>
      <c r="QYR76" s="108"/>
      <c r="QYS76" s="108"/>
      <c r="QYT76" s="108"/>
      <c r="QYU76" s="108"/>
      <c r="QYV76" s="108"/>
      <c r="QYW76" s="108"/>
      <c r="QYX76" s="108"/>
      <c r="QYY76" s="108"/>
      <c r="QYZ76" s="108"/>
      <c r="QZA76" s="108"/>
      <c r="QZB76" s="108"/>
      <c r="QZC76" s="108"/>
      <c r="QZD76" s="108"/>
      <c r="QZE76" s="108"/>
      <c r="QZF76" s="108"/>
      <c r="QZG76" s="108"/>
      <c r="QZH76" s="108"/>
      <c r="QZI76" s="108"/>
      <c r="QZJ76" s="108"/>
      <c r="QZK76" s="108"/>
      <c r="QZL76" s="108"/>
      <c r="QZM76" s="108"/>
      <c r="QZN76" s="108"/>
      <c r="QZO76" s="108"/>
      <c r="QZP76" s="108"/>
      <c r="QZQ76" s="108"/>
      <c r="QZR76" s="108"/>
      <c r="QZS76" s="108"/>
      <c r="QZT76" s="108"/>
      <c r="QZU76" s="108"/>
      <c r="QZV76" s="108"/>
      <c r="QZW76" s="108"/>
      <c r="QZX76" s="108"/>
      <c r="QZY76" s="108"/>
      <c r="QZZ76" s="108"/>
      <c r="RAA76" s="108"/>
      <c r="RAB76" s="108"/>
      <c r="RAC76" s="108"/>
      <c r="RAD76" s="108"/>
      <c r="RAE76" s="108"/>
      <c r="RAF76" s="108"/>
      <c r="RAG76" s="108"/>
      <c r="RAH76" s="108"/>
      <c r="RAI76" s="108"/>
      <c r="RAJ76" s="108"/>
      <c r="RAK76" s="108"/>
      <c r="RAL76" s="108"/>
      <c r="RAM76" s="108"/>
      <c r="RAN76" s="108"/>
      <c r="RAO76" s="108"/>
      <c r="RAP76" s="108"/>
      <c r="RAQ76" s="108"/>
      <c r="RAR76" s="108"/>
      <c r="RAS76" s="108"/>
      <c r="RAT76" s="108"/>
      <c r="RAU76" s="108"/>
      <c r="RAV76" s="108"/>
      <c r="RAW76" s="108"/>
      <c r="RAX76" s="108"/>
      <c r="RAY76" s="108"/>
      <c r="RAZ76" s="108"/>
      <c r="RBA76" s="108"/>
      <c r="RBB76" s="108"/>
      <c r="RBC76" s="108"/>
      <c r="RBD76" s="108"/>
      <c r="RBE76" s="108"/>
      <c r="RBF76" s="108"/>
      <c r="RBG76" s="108"/>
      <c r="RBH76" s="108"/>
      <c r="RBI76" s="108"/>
      <c r="RBJ76" s="108"/>
      <c r="RBK76" s="108"/>
      <c r="RBL76" s="108"/>
      <c r="RBM76" s="108"/>
      <c r="RBN76" s="108"/>
      <c r="RBO76" s="108"/>
      <c r="RBP76" s="108"/>
      <c r="RBQ76" s="108"/>
      <c r="RBR76" s="108"/>
      <c r="RBS76" s="108"/>
      <c r="RBT76" s="108"/>
      <c r="RBU76" s="108"/>
      <c r="RBV76" s="108"/>
      <c r="RBW76" s="108"/>
      <c r="RBX76" s="108"/>
      <c r="RBY76" s="108"/>
      <c r="RBZ76" s="108"/>
      <c r="RCA76" s="108"/>
      <c r="RCB76" s="108"/>
      <c r="RCC76" s="108"/>
      <c r="RCD76" s="108"/>
      <c r="RCE76" s="108"/>
      <c r="RCF76" s="108"/>
      <c r="RCG76" s="108"/>
      <c r="RCH76" s="108"/>
      <c r="RCI76" s="108"/>
      <c r="RCJ76" s="108"/>
      <c r="RCK76" s="108"/>
      <c r="RCL76" s="108"/>
      <c r="RCM76" s="108"/>
      <c r="RCN76" s="108"/>
      <c r="RCO76" s="108"/>
      <c r="RCP76" s="108"/>
      <c r="RCQ76" s="108"/>
      <c r="RCR76" s="108"/>
      <c r="RCS76" s="108"/>
      <c r="RCT76" s="108"/>
      <c r="RCU76" s="108"/>
      <c r="RCV76" s="108"/>
      <c r="RCW76" s="108"/>
      <c r="RCX76" s="108"/>
      <c r="RCY76" s="108"/>
      <c r="RCZ76" s="108"/>
      <c r="RDA76" s="108"/>
      <c r="RDB76" s="108"/>
      <c r="RDC76" s="108"/>
      <c r="RDD76" s="108"/>
      <c r="RDE76" s="108"/>
      <c r="RDF76" s="108"/>
      <c r="RDG76" s="108"/>
      <c r="RDH76" s="108"/>
      <c r="RDI76" s="108"/>
      <c r="RDJ76" s="108"/>
      <c r="RDK76" s="108"/>
      <c r="RDL76" s="108"/>
      <c r="RDM76" s="108"/>
      <c r="RDN76" s="108"/>
      <c r="RDO76" s="108"/>
      <c r="RDP76" s="108"/>
      <c r="RDQ76" s="108"/>
      <c r="RDR76" s="108"/>
      <c r="RDS76" s="108"/>
      <c r="RDT76" s="108"/>
      <c r="RDU76" s="108"/>
      <c r="RDV76" s="108"/>
      <c r="RDW76" s="108"/>
      <c r="RDX76" s="108"/>
      <c r="RDY76" s="108"/>
      <c r="RDZ76" s="108"/>
      <c r="REA76" s="108"/>
      <c r="REB76" s="108"/>
      <c r="REC76" s="108"/>
      <c r="RED76" s="108"/>
      <c r="REE76" s="108"/>
      <c r="REF76" s="108"/>
      <c r="REG76" s="108"/>
      <c r="REH76" s="108"/>
      <c r="REI76" s="108"/>
      <c r="REJ76" s="108"/>
      <c r="REK76" s="108"/>
      <c r="REL76" s="108"/>
      <c r="REM76" s="108"/>
      <c r="REN76" s="108"/>
      <c r="REO76" s="108"/>
      <c r="REP76" s="108"/>
      <c r="REQ76" s="108"/>
      <c r="RER76" s="108"/>
      <c r="RES76" s="108"/>
      <c r="RET76" s="108"/>
      <c r="REU76" s="108"/>
      <c r="REV76" s="108"/>
      <c r="REW76" s="108"/>
      <c r="REX76" s="108"/>
      <c r="REY76" s="108"/>
      <c r="REZ76" s="108"/>
      <c r="RFA76" s="108"/>
      <c r="RFB76" s="108"/>
      <c r="RFC76" s="108"/>
      <c r="RFD76" s="108"/>
      <c r="RFE76" s="108"/>
      <c r="RFF76" s="108"/>
      <c r="RFG76" s="108"/>
      <c r="RFH76" s="108"/>
      <c r="RFI76" s="108"/>
      <c r="RFJ76" s="108"/>
      <c r="RFK76" s="108"/>
      <c r="RFL76" s="108"/>
      <c r="RFM76" s="108"/>
      <c r="RFN76" s="108"/>
      <c r="RFO76" s="108"/>
      <c r="RFP76" s="108"/>
      <c r="RFQ76" s="108"/>
      <c r="RFR76" s="108"/>
      <c r="RFS76" s="108"/>
      <c r="RFT76" s="108"/>
      <c r="RFU76" s="108"/>
      <c r="RFV76" s="108"/>
      <c r="RFW76" s="108"/>
      <c r="RFX76" s="108"/>
      <c r="RFY76" s="108"/>
      <c r="RFZ76" s="108"/>
      <c r="RGA76" s="108"/>
      <c r="RGB76" s="108"/>
      <c r="RGC76" s="108"/>
      <c r="RGD76" s="108"/>
      <c r="RGE76" s="108"/>
      <c r="RGF76" s="108"/>
      <c r="RGG76" s="108"/>
      <c r="RGH76" s="108"/>
      <c r="RGI76" s="108"/>
      <c r="RGJ76" s="108"/>
      <c r="RGK76" s="108"/>
      <c r="RGL76" s="108"/>
      <c r="RGM76" s="108"/>
      <c r="RGN76" s="108"/>
      <c r="RGO76" s="108"/>
      <c r="RGP76" s="108"/>
      <c r="RGQ76" s="108"/>
      <c r="RGR76" s="108"/>
      <c r="RGS76" s="108"/>
      <c r="RGT76" s="108"/>
      <c r="RGU76" s="108"/>
      <c r="RGV76" s="108"/>
      <c r="RGW76" s="108"/>
      <c r="RGX76" s="108"/>
      <c r="RGY76" s="108"/>
      <c r="RGZ76" s="108"/>
      <c r="RHA76" s="108"/>
      <c r="RHB76" s="108"/>
      <c r="RHC76" s="108"/>
      <c r="RHD76" s="108"/>
      <c r="RHE76" s="108"/>
      <c r="RHF76" s="108"/>
      <c r="RHG76" s="108"/>
      <c r="RHH76" s="108"/>
      <c r="RHI76" s="108"/>
      <c r="RHJ76" s="108"/>
      <c r="RHK76" s="108"/>
      <c r="RHL76" s="108"/>
      <c r="RHM76" s="108"/>
      <c r="RHN76" s="108"/>
      <c r="RHO76" s="108"/>
      <c r="RHP76" s="108"/>
      <c r="RHQ76" s="108"/>
      <c r="RHR76" s="108"/>
      <c r="RHS76" s="108"/>
      <c r="RHT76" s="108"/>
      <c r="RHU76" s="108"/>
      <c r="RHV76" s="108"/>
      <c r="RHW76" s="108"/>
      <c r="RHX76" s="108"/>
      <c r="RHY76" s="108"/>
      <c r="RHZ76" s="108"/>
      <c r="RIA76" s="108"/>
      <c r="RIB76" s="108"/>
      <c r="RIC76" s="108"/>
      <c r="RID76" s="108"/>
      <c r="RIE76" s="108"/>
      <c r="RIF76" s="108"/>
      <c r="RIG76" s="108"/>
      <c r="RIH76" s="108"/>
      <c r="RII76" s="108"/>
      <c r="RIJ76" s="108"/>
      <c r="RIK76" s="108"/>
      <c r="RIL76" s="108"/>
      <c r="RIM76" s="108"/>
      <c r="RIN76" s="108"/>
      <c r="RIO76" s="108"/>
      <c r="RIP76" s="108"/>
      <c r="RIQ76" s="108"/>
      <c r="RIR76" s="108"/>
      <c r="RIS76" s="108"/>
      <c r="RIT76" s="108"/>
      <c r="RIU76" s="108"/>
      <c r="RIV76" s="108"/>
      <c r="RIW76" s="108"/>
      <c r="RIX76" s="108"/>
      <c r="RIY76" s="108"/>
      <c r="RIZ76" s="108"/>
      <c r="RJA76" s="108"/>
      <c r="RJB76" s="108"/>
      <c r="RJC76" s="108"/>
      <c r="RJD76" s="108"/>
      <c r="RJE76" s="108"/>
      <c r="RJF76" s="108"/>
      <c r="RJG76" s="108"/>
      <c r="RJH76" s="108"/>
      <c r="RJI76" s="108"/>
      <c r="RJJ76" s="108"/>
      <c r="RJK76" s="108"/>
      <c r="RJL76" s="108"/>
      <c r="RJM76" s="108"/>
      <c r="RJN76" s="108"/>
      <c r="RJO76" s="108"/>
      <c r="RJP76" s="108"/>
      <c r="RJQ76" s="108"/>
      <c r="RJR76" s="108"/>
      <c r="RJS76" s="108"/>
      <c r="RJT76" s="108"/>
      <c r="RJU76" s="108"/>
      <c r="RJV76" s="108"/>
      <c r="RJW76" s="108"/>
      <c r="RJX76" s="108"/>
      <c r="RJY76" s="108"/>
      <c r="RJZ76" s="108"/>
      <c r="RKA76" s="108"/>
      <c r="RKB76" s="108"/>
      <c r="RKC76" s="108"/>
      <c r="RKD76" s="108"/>
      <c r="RKE76" s="108"/>
      <c r="RKF76" s="108"/>
      <c r="RKG76" s="108"/>
      <c r="RKH76" s="108"/>
      <c r="RKI76" s="108"/>
      <c r="RKJ76" s="108"/>
      <c r="RKK76" s="108"/>
      <c r="RKL76" s="108"/>
      <c r="RKM76" s="108"/>
      <c r="RKN76" s="108"/>
      <c r="RKO76" s="108"/>
      <c r="RKP76" s="108"/>
      <c r="RKQ76" s="108"/>
      <c r="RKR76" s="108"/>
      <c r="RKS76" s="108"/>
      <c r="RKT76" s="108"/>
      <c r="RKU76" s="108"/>
      <c r="RKV76" s="108"/>
      <c r="RKW76" s="108"/>
      <c r="RKX76" s="108"/>
      <c r="RKY76" s="108"/>
      <c r="RKZ76" s="108"/>
      <c r="RLA76" s="108"/>
      <c r="RLB76" s="108"/>
      <c r="RLC76" s="108"/>
      <c r="RLD76" s="108"/>
      <c r="RLE76" s="108"/>
      <c r="RLF76" s="108"/>
      <c r="RLG76" s="108"/>
      <c r="RLH76" s="108"/>
      <c r="RLI76" s="108"/>
      <c r="RLJ76" s="108"/>
      <c r="RLK76" s="108"/>
      <c r="RLL76" s="108"/>
      <c r="RLM76" s="108"/>
      <c r="RLN76" s="108"/>
      <c r="RLO76" s="108"/>
      <c r="RLP76" s="108"/>
      <c r="RLQ76" s="108"/>
      <c r="RLR76" s="108"/>
      <c r="RLS76" s="108"/>
      <c r="RLT76" s="108"/>
      <c r="RLU76" s="108"/>
      <c r="RLV76" s="108"/>
      <c r="RLW76" s="108"/>
      <c r="RLX76" s="108"/>
      <c r="RLY76" s="108"/>
      <c r="RLZ76" s="108"/>
      <c r="RMA76" s="108"/>
      <c r="RMB76" s="108"/>
      <c r="RMC76" s="108"/>
      <c r="RMD76" s="108"/>
      <c r="RME76" s="108"/>
      <c r="RMF76" s="108"/>
      <c r="RMG76" s="108"/>
      <c r="RMH76" s="108"/>
      <c r="RMI76" s="108"/>
      <c r="RMJ76" s="108"/>
      <c r="RMK76" s="108"/>
      <c r="RML76" s="108"/>
      <c r="RMM76" s="108"/>
      <c r="RMN76" s="108"/>
      <c r="RMO76" s="108"/>
      <c r="RMP76" s="108"/>
      <c r="RMQ76" s="108"/>
      <c r="RMR76" s="108"/>
      <c r="RMS76" s="108"/>
      <c r="RMT76" s="108"/>
      <c r="RMU76" s="108"/>
      <c r="RMV76" s="108"/>
      <c r="RMW76" s="108"/>
      <c r="RMX76" s="108"/>
      <c r="RMY76" s="108"/>
      <c r="RMZ76" s="108"/>
      <c r="RNA76" s="108"/>
      <c r="RNB76" s="108"/>
      <c r="RNC76" s="108"/>
      <c r="RND76" s="108"/>
      <c r="RNE76" s="108"/>
      <c r="RNF76" s="108"/>
      <c r="RNG76" s="108"/>
      <c r="RNH76" s="108"/>
      <c r="RNI76" s="108"/>
      <c r="RNJ76" s="108"/>
      <c r="RNK76" s="108"/>
      <c r="RNL76" s="108"/>
      <c r="RNM76" s="108"/>
      <c r="RNN76" s="108"/>
      <c r="RNO76" s="108"/>
      <c r="RNP76" s="108"/>
      <c r="RNQ76" s="108"/>
      <c r="RNR76" s="108"/>
      <c r="RNS76" s="108"/>
      <c r="RNT76" s="108"/>
      <c r="RNU76" s="108"/>
      <c r="RNV76" s="108"/>
      <c r="RNW76" s="108"/>
      <c r="RNX76" s="108"/>
      <c r="RNY76" s="108"/>
      <c r="RNZ76" s="108"/>
      <c r="ROA76" s="108"/>
      <c r="ROB76" s="108"/>
      <c r="ROC76" s="108"/>
      <c r="ROD76" s="108"/>
      <c r="ROE76" s="108"/>
      <c r="ROF76" s="108"/>
      <c r="ROG76" s="108"/>
      <c r="ROH76" s="108"/>
      <c r="ROI76" s="108"/>
      <c r="ROJ76" s="108"/>
      <c r="ROK76" s="108"/>
      <c r="ROL76" s="108"/>
      <c r="ROM76" s="108"/>
      <c r="RON76" s="108"/>
      <c r="ROO76" s="108"/>
      <c r="ROP76" s="108"/>
      <c r="ROQ76" s="108"/>
      <c r="ROR76" s="108"/>
      <c r="ROS76" s="108"/>
      <c r="ROT76" s="108"/>
      <c r="ROU76" s="108"/>
      <c r="ROV76" s="108"/>
      <c r="ROW76" s="108"/>
      <c r="ROX76" s="108"/>
      <c r="ROY76" s="108"/>
      <c r="ROZ76" s="108"/>
      <c r="RPA76" s="108"/>
      <c r="RPB76" s="108"/>
      <c r="RPC76" s="108"/>
      <c r="RPD76" s="108"/>
      <c r="RPE76" s="108"/>
      <c r="RPF76" s="108"/>
      <c r="RPG76" s="108"/>
      <c r="RPH76" s="108"/>
      <c r="RPI76" s="108"/>
      <c r="RPJ76" s="108"/>
      <c r="RPK76" s="108"/>
      <c r="RPL76" s="108"/>
      <c r="RPM76" s="108"/>
      <c r="RPN76" s="108"/>
      <c r="RPO76" s="108"/>
      <c r="RPP76" s="108"/>
      <c r="RPQ76" s="108"/>
      <c r="RPR76" s="108"/>
      <c r="RPS76" s="108"/>
      <c r="RPT76" s="108"/>
      <c r="RPU76" s="108"/>
      <c r="RPV76" s="108"/>
      <c r="RPW76" s="108"/>
      <c r="RPX76" s="108"/>
      <c r="RPY76" s="108"/>
      <c r="RPZ76" s="108"/>
      <c r="RQA76" s="108"/>
      <c r="RQB76" s="108"/>
      <c r="RQC76" s="108"/>
      <c r="RQD76" s="108"/>
      <c r="RQE76" s="108"/>
      <c r="RQF76" s="108"/>
      <c r="RQG76" s="108"/>
      <c r="RQH76" s="108"/>
      <c r="RQI76" s="108"/>
      <c r="RQJ76" s="108"/>
      <c r="RQK76" s="108"/>
      <c r="RQL76" s="108"/>
      <c r="RQM76" s="108"/>
      <c r="RQN76" s="108"/>
      <c r="RQO76" s="108"/>
      <c r="RQP76" s="108"/>
      <c r="RQQ76" s="108"/>
      <c r="RQR76" s="108"/>
      <c r="RQS76" s="108"/>
      <c r="RQT76" s="108"/>
      <c r="RQU76" s="108"/>
      <c r="RQV76" s="108"/>
      <c r="RQW76" s="108"/>
      <c r="RQX76" s="108"/>
      <c r="RQY76" s="108"/>
      <c r="RQZ76" s="108"/>
      <c r="RRA76" s="108"/>
      <c r="RRB76" s="108"/>
      <c r="RRC76" s="108"/>
      <c r="RRD76" s="108"/>
      <c r="RRE76" s="108"/>
      <c r="RRF76" s="108"/>
      <c r="RRG76" s="108"/>
      <c r="RRH76" s="108"/>
      <c r="RRI76" s="108"/>
      <c r="RRJ76" s="108"/>
      <c r="RRK76" s="108"/>
      <c r="RRL76" s="108"/>
      <c r="RRM76" s="108"/>
      <c r="RRN76" s="108"/>
      <c r="RRO76" s="108"/>
      <c r="RRP76" s="108"/>
      <c r="RRQ76" s="108"/>
      <c r="RRR76" s="108"/>
      <c r="RRS76" s="108"/>
      <c r="RRT76" s="108"/>
      <c r="RRU76" s="108"/>
      <c r="RRV76" s="108"/>
      <c r="RRW76" s="108"/>
      <c r="RRX76" s="108"/>
      <c r="RRY76" s="108"/>
      <c r="RRZ76" s="108"/>
      <c r="RSA76" s="108"/>
      <c r="RSB76" s="108"/>
      <c r="RSC76" s="108"/>
      <c r="RSD76" s="108"/>
      <c r="RSE76" s="108"/>
      <c r="RSF76" s="108"/>
      <c r="RSG76" s="108"/>
      <c r="RSH76" s="108"/>
      <c r="RSI76" s="108"/>
      <c r="RSJ76" s="108"/>
      <c r="RSK76" s="108"/>
      <c r="RSL76" s="108"/>
      <c r="RSM76" s="108"/>
      <c r="RSN76" s="108"/>
      <c r="RSO76" s="108"/>
      <c r="RSP76" s="108"/>
      <c r="RSQ76" s="108"/>
      <c r="RSR76" s="108"/>
      <c r="RSS76" s="108"/>
      <c r="RST76" s="108"/>
      <c r="RSU76" s="108"/>
      <c r="RSV76" s="108"/>
      <c r="RSW76" s="108"/>
      <c r="RSX76" s="108"/>
      <c r="RSY76" s="108"/>
      <c r="RSZ76" s="108"/>
      <c r="RTA76" s="108"/>
      <c r="RTB76" s="108"/>
      <c r="RTC76" s="108"/>
      <c r="RTD76" s="108"/>
      <c r="RTE76" s="108"/>
      <c r="RTF76" s="108"/>
      <c r="RTG76" s="108"/>
      <c r="RTH76" s="108"/>
      <c r="RTI76" s="108"/>
      <c r="RTJ76" s="108"/>
      <c r="RTK76" s="108"/>
      <c r="RTL76" s="108"/>
      <c r="RTM76" s="108"/>
      <c r="RTN76" s="108"/>
      <c r="RTO76" s="108"/>
      <c r="RTP76" s="108"/>
      <c r="RTQ76" s="108"/>
      <c r="RTR76" s="108"/>
      <c r="RTS76" s="108"/>
      <c r="RTT76" s="108"/>
      <c r="RTU76" s="108"/>
      <c r="RTV76" s="108"/>
      <c r="RTW76" s="108"/>
      <c r="RTX76" s="108"/>
      <c r="RTY76" s="108"/>
      <c r="RTZ76" s="108"/>
      <c r="RUA76" s="108"/>
      <c r="RUB76" s="108"/>
      <c r="RUC76" s="108"/>
      <c r="RUD76" s="108"/>
      <c r="RUE76" s="108"/>
      <c r="RUF76" s="108"/>
      <c r="RUG76" s="108"/>
      <c r="RUH76" s="108"/>
      <c r="RUI76" s="108"/>
      <c r="RUJ76" s="108"/>
      <c r="RUK76" s="108"/>
      <c r="RUL76" s="108"/>
      <c r="RUM76" s="108"/>
      <c r="RUN76" s="108"/>
      <c r="RUO76" s="108"/>
      <c r="RUP76" s="108"/>
      <c r="RUQ76" s="108"/>
      <c r="RUR76" s="108"/>
      <c r="RUS76" s="108"/>
      <c r="RUT76" s="108"/>
      <c r="RUU76" s="108"/>
      <c r="RUV76" s="108"/>
      <c r="RUW76" s="108"/>
      <c r="RUX76" s="108"/>
      <c r="RUY76" s="108"/>
      <c r="RUZ76" s="108"/>
      <c r="RVA76" s="108"/>
      <c r="RVB76" s="108"/>
      <c r="RVC76" s="108"/>
      <c r="RVD76" s="108"/>
      <c r="RVE76" s="108"/>
      <c r="RVF76" s="108"/>
      <c r="RVG76" s="108"/>
      <c r="RVH76" s="108"/>
      <c r="RVI76" s="108"/>
      <c r="RVJ76" s="108"/>
      <c r="RVK76" s="108"/>
      <c r="RVL76" s="108"/>
      <c r="RVM76" s="108"/>
      <c r="RVN76" s="108"/>
      <c r="RVO76" s="108"/>
      <c r="RVP76" s="108"/>
      <c r="RVQ76" s="108"/>
      <c r="RVR76" s="108"/>
      <c r="RVS76" s="108"/>
      <c r="RVT76" s="108"/>
      <c r="RVU76" s="108"/>
      <c r="RVV76" s="108"/>
      <c r="RVW76" s="108"/>
      <c r="RVX76" s="108"/>
      <c r="RVY76" s="108"/>
      <c r="RVZ76" s="108"/>
      <c r="RWA76" s="108"/>
      <c r="RWB76" s="108"/>
      <c r="RWC76" s="108"/>
      <c r="RWD76" s="108"/>
      <c r="RWE76" s="108"/>
      <c r="RWF76" s="108"/>
      <c r="RWG76" s="108"/>
      <c r="RWH76" s="108"/>
      <c r="RWI76" s="108"/>
      <c r="RWJ76" s="108"/>
      <c r="RWK76" s="108"/>
      <c r="RWL76" s="108"/>
      <c r="RWM76" s="108"/>
      <c r="RWN76" s="108"/>
      <c r="RWO76" s="108"/>
      <c r="RWP76" s="108"/>
      <c r="RWQ76" s="108"/>
      <c r="RWR76" s="108"/>
      <c r="RWS76" s="108"/>
      <c r="RWT76" s="108"/>
      <c r="RWU76" s="108"/>
      <c r="RWV76" s="108"/>
      <c r="RWW76" s="108"/>
      <c r="RWX76" s="108"/>
      <c r="RWY76" s="108"/>
      <c r="RWZ76" s="108"/>
      <c r="RXA76" s="108"/>
      <c r="RXB76" s="108"/>
      <c r="RXC76" s="108"/>
      <c r="RXD76" s="108"/>
      <c r="RXE76" s="108"/>
      <c r="RXF76" s="108"/>
      <c r="RXG76" s="108"/>
      <c r="RXH76" s="108"/>
      <c r="RXI76" s="108"/>
      <c r="RXJ76" s="108"/>
      <c r="RXK76" s="108"/>
      <c r="RXL76" s="108"/>
      <c r="RXM76" s="108"/>
      <c r="RXN76" s="108"/>
      <c r="RXO76" s="108"/>
      <c r="RXP76" s="108"/>
      <c r="RXQ76" s="108"/>
      <c r="RXR76" s="108"/>
      <c r="RXS76" s="108"/>
      <c r="RXT76" s="108"/>
      <c r="RXU76" s="108"/>
      <c r="RXV76" s="108"/>
      <c r="RXW76" s="108"/>
      <c r="RXX76" s="108"/>
      <c r="RXY76" s="108"/>
      <c r="RXZ76" s="108"/>
      <c r="RYA76" s="108"/>
      <c r="RYB76" s="108"/>
      <c r="RYC76" s="108"/>
      <c r="RYD76" s="108"/>
      <c r="RYE76" s="108"/>
      <c r="RYF76" s="108"/>
      <c r="RYG76" s="108"/>
      <c r="RYH76" s="108"/>
      <c r="RYI76" s="108"/>
      <c r="RYJ76" s="108"/>
      <c r="RYK76" s="108"/>
      <c r="RYL76" s="108"/>
      <c r="RYM76" s="108"/>
      <c r="RYN76" s="108"/>
      <c r="RYO76" s="108"/>
      <c r="RYP76" s="108"/>
      <c r="RYQ76" s="108"/>
      <c r="RYR76" s="108"/>
      <c r="RYS76" s="108"/>
      <c r="RYT76" s="108"/>
      <c r="RYU76" s="108"/>
      <c r="RYV76" s="108"/>
      <c r="RYW76" s="108"/>
      <c r="RYX76" s="108"/>
      <c r="RYY76" s="108"/>
      <c r="RYZ76" s="108"/>
      <c r="RZA76" s="108"/>
      <c r="RZB76" s="108"/>
      <c r="RZC76" s="108"/>
      <c r="RZD76" s="108"/>
      <c r="RZE76" s="108"/>
      <c r="RZF76" s="108"/>
      <c r="RZG76" s="108"/>
      <c r="RZH76" s="108"/>
      <c r="RZI76" s="108"/>
      <c r="RZJ76" s="108"/>
      <c r="RZK76" s="108"/>
      <c r="RZL76" s="108"/>
      <c r="RZM76" s="108"/>
      <c r="RZN76" s="108"/>
      <c r="RZO76" s="108"/>
      <c r="RZP76" s="108"/>
      <c r="RZQ76" s="108"/>
      <c r="RZR76" s="108"/>
      <c r="RZS76" s="108"/>
      <c r="RZT76" s="108"/>
      <c r="RZU76" s="108"/>
      <c r="RZV76" s="108"/>
      <c r="RZW76" s="108"/>
      <c r="RZX76" s="108"/>
      <c r="RZY76" s="108"/>
      <c r="RZZ76" s="108"/>
      <c r="SAA76" s="108"/>
      <c r="SAB76" s="108"/>
      <c r="SAC76" s="108"/>
      <c r="SAD76" s="108"/>
      <c r="SAE76" s="108"/>
      <c r="SAF76" s="108"/>
      <c r="SAG76" s="108"/>
      <c r="SAH76" s="108"/>
      <c r="SAI76" s="108"/>
      <c r="SAJ76" s="108"/>
      <c r="SAK76" s="108"/>
      <c r="SAL76" s="108"/>
      <c r="SAM76" s="108"/>
      <c r="SAN76" s="108"/>
      <c r="SAO76" s="108"/>
      <c r="SAP76" s="108"/>
      <c r="SAQ76" s="108"/>
      <c r="SAR76" s="108"/>
      <c r="SAS76" s="108"/>
      <c r="SAT76" s="108"/>
      <c r="SAU76" s="108"/>
      <c r="SAV76" s="108"/>
      <c r="SAW76" s="108"/>
      <c r="SAX76" s="108"/>
      <c r="SAY76" s="108"/>
      <c r="SAZ76" s="108"/>
      <c r="SBA76" s="108"/>
      <c r="SBB76" s="108"/>
      <c r="SBC76" s="108"/>
      <c r="SBD76" s="108"/>
      <c r="SBE76" s="108"/>
      <c r="SBF76" s="108"/>
      <c r="SBG76" s="108"/>
      <c r="SBH76" s="108"/>
      <c r="SBI76" s="108"/>
      <c r="SBJ76" s="108"/>
      <c r="SBK76" s="108"/>
      <c r="SBL76" s="108"/>
      <c r="SBM76" s="108"/>
      <c r="SBN76" s="108"/>
      <c r="SBO76" s="108"/>
      <c r="SBP76" s="108"/>
      <c r="SBQ76" s="108"/>
      <c r="SBR76" s="108"/>
      <c r="SBS76" s="108"/>
      <c r="SBT76" s="108"/>
      <c r="SBU76" s="108"/>
      <c r="SBV76" s="108"/>
      <c r="SBW76" s="108"/>
      <c r="SBX76" s="108"/>
      <c r="SBY76" s="108"/>
      <c r="SBZ76" s="108"/>
      <c r="SCA76" s="108"/>
      <c r="SCB76" s="108"/>
      <c r="SCC76" s="108"/>
      <c r="SCD76" s="108"/>
      <c r="SCE76" s="108"/>
      <c r="SCF76" s="108"/>
      <c r="SCG76" s="108"/>
      <c r="SCH76" s="108"/>
      <c r="SCI76" s="108"/>
      <c r="SCJ76" s="108"/>
      <c r="SCK76" s="108"/>
      <c r="SCL76" s="108"/>
      <c r="SCM76" s="108"/>
      <c r="SCN76" s="108"/>
      <c r="SCO76" s="108"/>
      <c r="SCP76" s="108"/>
      <c r="SCQ76" s="108"/>
      <c r="SCR76" s="108"/>
      <c r="SCS76" s="108"/>
      <c r="SCT76" s="108"/>
      <c r="SCU76" s="108"/>
      <c r="SCV76" s="108"/>
      <c r="SCW76" s="108"/>
      <c r="SCX76" s="108"/>
      <c r="SCY76" s="108"/>
      <c r="SCZ76" s="108"/>
      <c r="SDA76" s="108"/>
      <c r="SDB76" s="108"/>
      <c r="SDC76" s="108"/>
      <c r="SDD76" s="108"/>
      <c r="SDE76" s="108"/>
      <c r="SDF76" s="108"/>
      <c r="SDG76" s="108"/>
      <c r="SDH76" s="108"/>
      <c r="SDI76" s="108"/>
      <c r="SDJ76" s="108"/>
      <c r="SDK76" s="108"/>
      <c r="SDL76" s="108"/>
      <c r="SDM76" s="108"/>
      <c r="SDN76" s="108"/>
      <c r="SDO76" s="108"/>
      <c r="SDP76" s="108"/>
      <c r="SDQ76" s="108"/>
      <c r="SDR76" s="108"/>
      <c r="SDS76" s="108"/>
      <c r="SDT76" s="108"/>
      <c r="SDU76" s="108"/>
      <c r="SDV76" s="108"/>
      <c r="SDW76" s="108"/>
      <c r="SDX76" s="108"/>
      <c r="SDY76" s="108"/>
      <c r="SDZ76" s="108"/>
      <c r="SEA76" s="108"/>
      <c r="SEB76" s="108"/>
      <c r="SEC76" s="108"/>
      <c r="SED76" s="108"/>
      <c r="SEE76" s="108"/>
      <c r="SEF76" s="108"/>
      <c r="SEG76" s="108"/>
      <c r="SEH76" s="108"/>
      <c r="SEI76" s="108"/>
      <c r="SEJ76" s="108"/>
      <c r="SEK76" s="108"/>
      <c r="SEL76" s="108"/>
      <c r="SEM76" s="108"/>
      <c r="SEN76" s="108"/>
      <c r="SEO76" s="108"/>
      <c r="SEP76" s="108"/>
      <c r="SEQ76" s="108"/>
      <c r="SER76" s="108"/>
      <c r="SES76" s="108"/>
      <c r="SET76" s="108"/>
      <c r="SEU76" s="108"/>
      <c r="SEV76" s="108"/>
      <c r="SEW76" s="108"/>
      <c r="SEX76" s="108"/>
      <c r="SEY76" s="108"/>
      <c r="SEZ76" s="108"/>
      <c r="SFA76" s="108"/>
      <c r="SFB76" s="108"/>
      <c r="SFC76" s="108"/>
      <c r="SFD76" s="108"/>
      <c r="SFE76" s="108"/>
      <c r="SFF76" s="108"/>
      <c r="SFG76" s="108"/>
      <c r="SFH76" s="108"/>
      <c r="SFI76" s="108"/>
      <c r="SFJ76" s="108"/>
      <c r="SFK76" s="108"/>
      <c r="SFL76" s="108"/>
      <c r="SFM76" s="108"/>
      <c r="SFN76" s="108"/>
      <c r="SFO76" s="108"/>
      <c r="SFP76" s="108"/>
      <c r="SFQ76" s="108"/>
      <c r="SFR76" s="108"/>
      <c r="SFS76" s="108"/>
      <c r="SFT76" s="108"/>
      <c r="SFU76" s="108"/>
      <c r="SFV76" s="108"/>
      <c r="SFW76" s="108"/>
      <c r="SFX76" s="108"/>
      <c r="SFY76" s="108"/>
      <c r="SFZ76" s="108"/>
      <c r="SGA76" s="108"/>
      <c r="SGB76" s="108"/>
      <c r="SGC76" s="108"/>
      <c r="SGD76" s="108"/>
      <c r="SGE76" s="108"/>
      <c r="SGF76" s="108"/>
      <c r="SGG76" s="108"/>
      <c r="SGH76" s="108"/>
      <c r="SGI76" s="108"/>
      <c r="SGJ76" s="108"/>
      <c r="SGK76" s="108"/>
      <c r="SGL76" s="108"/>
      <c r="SGM76" s="108"/>
      <c r="SGN76" s="108"/>
      <c r="SGO76" s="108"/>
      <c r="SGP76" s="108"/>
      <c r="SGQ76" s="108"/>
      <c r="SGR76" s="108"/>
      <c r="SGS76" s="108"/>
      <c r="SGT76" s="108"/>
      <c r="SGU76" s="108"/>
      <c r="SGV76" s="108"/>
      <c r="SGW76" s="108"/>
      <c r="SGX76" s="108"/>
      <c r="SGY76" s="108"/>
      <c r="SGZ76" s="108"/>
      <c r="SHA76" s="108"/>
      <c r="SHB76" s="108"/>
      <c r="SHC76" s="108"/>
      <c r="SHD76" s="108"/>
      <c r="SHE76" s="108"/>
      <c r="SHF76" s="108"/>
      <c r="SHG76" s="108"/>
      <c r="SHH76" s="108"/>
      <c r="SHI76" s="108"/>
      <c r="SHJ76" s="108"/>
      <c r="SHK76" s="108"/>
      <c r="SHL76" s="108"/>
      <c r="SHM76" s="108"/>
      <c r="SHN76" s="108"/>
      <c r="SHO76" s="108"/>
      <c r="SHP76" s="108"/>
      <c r="SHQ76" s="108"/>
      <c r="SHR76" s="108"/>
      <c r="SHS76" s="108"/>
      <c r="SHT76" s="108"/>
      <c r="SHU76" s="108"/>
      <c r="SHV76" s="108"/>
      <c r="SHW76" s="108"/>
      <c r="SHX76" s="108"/>
      <c r="SHY76" s="108"/>
      <c r="SHZ76" s="108"/>
      <c r="SIA76" s="108"/>
      <c r="SIB76" s="108"/>
      <c r="SIC76" s="108"/>
      <c r="SID76" s="108"/>
      <c r="SIE76" s="108"/>
      <c r="SIF76" s="108"/>
      <c r="SIG76" s="108"/>
      <c r="SIH76" s="108"/>
      <c r="SII76" s="108"/>
      <c r="SIJ76" s="108"/>
      <c r="SIK76" s="108"/>
      <c r="SIL76" s="108"/>
      <c r="SIM76" s="108"/>
      <c r="SIN76" s="108"/>
      <c r="SIO76" s="108"/>
      <c r="SIP76" s="108"/>
      <c r="SIQ76" s="108"/>
      <c r="SIR76" s="108"/>
      <c r="SIS76" s="108"/>
      <c r="SIT76" s="108"/>
      <c r="SIU76" s="108"/>
      <c r="SIV76" s="108"/>
      <c r="SIW76" s="108"/>
      <c r="SIX76" s="108"/>
      <c r="SIY76" s="108"/>
      <c r="SIZ76" s="108"/>
      <c r="SJA76" s="108"/>
      <c r="SJB76" s="108"/>
      <c r="SJC76" s="108"/>
      <c r="SJD76" s="108"/>
      <c r="SJE76" s="108"/>
      <c r="SJF76" s="108"/>
      <c r="SJG76" s="108"/>
      <c r="SJH76" s="108"/>
      <c r="SJI76" s="108"/>
      <c r="SJJ76" s="108"/>
      <c r="SJK76" s="108"/>
      <c r="SJL76" s="108"/>
      <c r="SJM76" s="108"/>
      <c r="SJN76" s="108"/>
      <c r="SJO76" s="108"/>
      <c r="SJP76" s="108"/>
      <c r="SJQ76" s="108"/>
      <c r="SJR76" s="108"/>
      <c r="SJS76" s="108"/>
      <c r="SJT76" s="108"/>
      <c r="SJU76" s="108"/>
      <c r="SJV76" s="108"/>
      <c r="SJW76" s="108"/>
      <c r="SJX76" s="108"/>
      <c r="SJY76" s="108"/>
      <c r="SJZ76" s="108"/>
      <c r="SKA76" s="108"/>
      <c r="SKB76" s="108"/>
      <c r="SKC76" s="108"/>
      <c r="SKD76" s="108"/>
      <c r="SKE76" s="108"/>
      <c r="SKF76" s="108"/>
      <c r="SKG76" s="108"/>
      <c r="SKH76" s="108"/>
      <c r="SKI76" s="108"/>
      <c r="SKJ76" s="108"/>
      <c r="SKK76" s="108"/>
      <c r="SKL76" s="108"/>
      <c r="SKM76" s="108"/>
      <c r="SKN76" s="108"/>
      <c r="SKO76" s="108"/>
      <c r="SKP76" s="108"/>
      <c r="SKQ76" s="108"/>
      <c r="SKR76" s="108"/>
      <c r="SKS76" s="108"/>
      <c r="SKT76" s="108"/>
      <c r="SKU76" s="108"/>
      <c r="SKV76" s="108"/>
      <c r="SKW76" s="108"/>
      <c r="SKX76" s="108"/>
      <c r="SKY76" s="108"/>
      <c r="SKZ76" s="108"/>
      <c r="SLA76" s="108"/>
      <c r="SLB76" s="108"/>
      <c r="SLC76" s="108"/>
      <c r="SLD76" s="108"/>
      <c r="SLE76" s="108"/>
      <c r="SLF76" s="108"/>
      <c r="SLG76" s="108"/>
      <c r="SLH76" s="108"/>
      <c r="SLI76" s="108"/>
      <c r="SLJ76" s="108"/>
      <c r="SLK76" s="108"/>
      <c r="SLL76" s="108"/>
      <c r="SLM76" s="108"/>
      <c r="SLN76" s="108"/>
      <c r="SLO76" s="108"/>
      <c r="SLP76" s="108"/>
      <c r="SLQ76" s="108"/>
      <c r="SLR76" s="108"/>
      <c r="SLS76" s="108"/>
      <c r="SLT76" s="108"/>
      <c r="SLU76" s="108"/>
      <c r="SLV76" s="108"/>
      <c r="SLW76" s="108"/>
      <c r="SLX76" s="108"/>
      <c r="SLY76" s="108"/>
      <c r="SLZ76" s="108"/>
      <c r="SMA76" s="108"/>
      <c r="SMB76" s="108"/>
      <c r="SMC76" s="108"/>
      <c r="SMD76" s="108"/>
      <c r="SME76" s="108"/>
      <c r="SMF76" s="108"/>
      <c r="SMG76" s="108"/>
      <c r="SMH76" s="108"/>
      <c r="SMI76" s="108"/>
      <c r="SMJ76" s="108"/>
      <c r="SMK76" s="108"/>
      <c r="SML76" s="108"/>
      <c r="SMM76" s="108"/>
      <c r="SMN76" s="108"/>
      <c r="SMO76" s="108"/>
      <c r="SMP76" s="108"/>
      <c r="SMQ76" s="108"/>
      <c r="SMR76" s="108"/>
      <c r="SMS76" s="108"/>
      <c r="SMT76" s="108"/>
      <c r="SMU76" s="108"/>
      <c r="SMV76" s="108"/>
      <c r="SMW76" s="108"/>
      <c r="SMX76" s="108"/>
      <c r="SMY76" s="108"/>
      <c r="SMZ76" s="108"/>
      <c r="SNA76" s="108"/>
      <c r="SNB76" s="108"/>
      <c r="SNC76" s="108"/>
      <c r="SND76" s="108"/>
      <c r="SNE76" s="108"/>
      <c r="SNF76" s="108"/>
      <c r="SNG76" s="108"/>
      <c r="SNH76" s="108"/>
      <c r="SNI76" s="108"/>
      <c r="SNJ76" s="108"/>
      <c r="SNK76" s="108"/>
      <c r="SNL76" s="108"/>
      <c r="SNM76" s="108"/>
      <c r="SNN76" s="108"/>
      <c r="SNO76" s="108"/>
      <c r="SNP76" s="108"/>
      <c r="SNQ76" s="108"/>
      <c r="SNR76" s="108"/>
      <c r="SNS76" s="108"/>
      <c r="SNT76" s="108"/>
      <c r="SNU76" s="108"/>
      <c r="SNV76" s="108"/>
      <c r="SNW76" s="108"/>
      <c r="SNX76" s="108"/>
      <c r="SNY76" s="108"/>
      <c r="SNZ76" s="108"/>
      <c r="SOA76" s="108"/>
      <c r="SOB76" s="108"/>
      <c r="SOC76" s="108"/>
      <c r="SOD76" s="108"/>
      <c r="SOE76" s="108"/>
      <c r="SOF76" s="108"/>
      <c r="SOG76" s="108"/>
      <c r="SOH76" s="108"/>
      <c r="SOI76" s="108"/>
      <c r="SOJ76" s="108"/>
      <c r="SOK76" s="108"/>
      <c r="SOL76" s="108"/>
      <c r="SOM76" s="108"/>
      <c r="SON76" s="108"/>
      <c r="SOO76" s="108"/>
      <c r="SOP76" s="108"/>
      <c r="SOQ76" s="108"/>
      <c r="SOR76" s="108"/>
      <c r="SOS76" s="108"/>
      <c r="SOT76" s="108"/>
      <c r="SOU76" s="108"/>
      <c r="SOV76" s="108"/>
      <c r="SOW76" s="108"/>
      <c r="SOX76" s="108"/>
      <c r="SOY76" s="108"/>
      <c r="SOZ76" s="108"/>
      <c r="SPA76" s="108"/>
      <c r="SPB76" s="108"/>
      <c r="SPC76" s="108"/>
      <c r="SPD76" s="108"/>
      <c r="SPE76" s="108"/>
      <c r="SPF76" s="108"/>
      <c r="SPG76" s="108"/>
      <c r="SPH76" s="108"/>
      <c r="SPI76" s="108"/>
      <c r="SPJ76" s="108"/>
      <c r="SPK76" s="108"/>
      <c r="SPL76" s="108"/>
      <c r="SPM76" s="108"/>
      <c r="SPN76" s="108"/>
      <c r="SPO76" s="108"/>
      <c r="SPP76" s="108"/>
      <c r="SPQ76" s="108"/>
      <c r="SPR76" s="108"/>
      <c r="SPS76" s="108"/>
      <c r="SPT76" s="108"/>
      <c r="SPU76" s="108"/>
      <c r="SPV76" s="108"/>
      <c r="SPW76" s="108"/>
      <c r="SPX76" s="108"/>
      <c r="SPY76" s="108"/>
      <c r="SPZ76" s="108"/>
      <c r="SQA76" s="108"/>
      <c r="SQB76" s="108"/>
      <c r="SQC76" s="108"/>
      <c r="SQD76" s="108"/>
      <c r="SQE76" s="108"/>
      <c r="SQF76" s="108"/>
      <c r="SQG76" s="108"/>
      <c r="SQH76" s="108"/>
      <c r="SQI76" s="108"/>
      <c r="SQJ76" s="108"/>
      <c r="SQK76" s="108"/>
      <c r="SQL76" s="108"/>
      <c r="SQM76" s="108"/>
      <c r="SQN76" s="108"/>
      <c r="SQO76" s="108"/>
      <c r="SQP76" s="108"/>
      <c r="SQQ76" s="108"/>
      <c r="SQR76" s="108"/>
      <c r="SQS76" s="108"/>
      <c r="SQT76" s="108"/>
      <c r="SQU76" s="108"/>
      <c r="SQV76" s="108"/>
      <c r="SQW76" s="108"/>
      <c r="SQX76" s="108"/>
      <c r="SQY76" s="108"/>
      <c r="SQZ76" s="108"/>
      <c r="SRA76" s="108"/>
      <c r="SRB76" s="108"/>
      <c r="SRC76" s="108"/>
      <c r="SRD76" s="108"/>
      <c r="SRE76" s="108"/>
      <c r="SRF76" s="108"/>
      <c r="SRG76" s="108"/>
      <c r="SRH76" s="108"/>
      <c r="SRI76" s="108"/>
      <c r="SRJ76" s="108"/>
      <c r="SRK76" s="108"/>
      <c r="SRL76" s="108"/>
      <c r="SRM76" s="108"/>
      <c r="SRN76" s="108"/>
      <c r="SRO76" s="108"/>
      <c r="SRP76" s="108"/>
      <c r="SRQ76" s="108"/>
      <c r="SRR76" s="108"/>
      <c r="SRS76" s="108"/>
      <c r="SRT76" s="108"/>
      <c r="SRU76" s="108"/>
      <c r="SRV76" s="108"/>
      <c r="SRW76" s="108"/>
      <c r="SRX76" s="108"/>
      <c r="SRY76" s="108"/>
      <c r="SRZ76" s="108"/>
      <c r="SSA76" s="108"/>
      <c r="SSB76" s="108"/>
      <c r="SSC76" s="108"/>
      <c r="SSD76" s="108"/>
      <c r="SSE76" s="108"/>
      <c r="SSF76" s="108"/>
      <c r="SSG76" s="108"/>
      <c r="SSH76" s="108"/>
      <c r="SSI76" s="108"/>
      <c r="SSJ76" s="108"/>
      <c r="SSK76" s="108"/>
      <c r="SSL76" s="108"/>
      <c r="SSM76" s="108"/>
      <c r="SSN76" s="108"/>
      <c r="SSO76" s="108"/>
      <c r="SSP76" s="108"/>
      <c r="SSQ76" s="108"/>
      <c r="SSR76" s="108"/>
      <c r="SSS76" s="108"/>
      <c r="SST76" s="108"/>
      <c r="SSU76" s="108"/>
      <c r="SSV76" s="108"/>
      <c r="SSW76" s="108"/>
      <c r="SSX76" s="108"/>
      <c r="SSY76" s="108"/>
      <c r="SSZ76" s="108"/>
      <c r="STA76" s="108"/>
      <c r="STB76" s="108"/>
      <c r="STC76" s="108"/>
      <c r="STD76" s="108"/>
      <c r="STE76" s="108"/>
      <c r="STF76" s="108"/>
      <c r="STG76" s="108"/>
      <c r="STH76" s="108"/>
      <c r="STI76" s="108"/>
      <c r="STJ76" s="108"/>
      <c r="STK76" s="108"/>
      <c r="STL76" s="108"/>
      <c r="STM76" s="108"/>
      <c r="STN76" s="108"/>
      <c r="STO76" s="108"/>
      <c r="STP76" s="108"/>
      <c r="STQ76" s="108"/>
      <c r="STR76" s="108"/>
      <c r="STS76" s="108"/>
      <c r="STT76" s="108"/>
      <c r="STU76" s="108"/>
      <c r="STV76" s="108"/>
      <c r="STW76" s="108"/>
      <c r="STX76" s="108"/>
      <c r="STY76" s="108"/>
      <c r="STZ76" s="108"/>
      <c r="SUA76" s="108"/>
      <c r="SUB76" s="108"/>
      <c r="SUC76" s="108"/>
      <c r="SUD76" s="108"/>
      <c r="SUE76" s="108"/>
      <c r="SUF76" s="108"/>
      <c r="SUG76" s="108"/>
      <c r="SUH76" s="108"/>
      <c r="SUI76" s="108"/>
      <c r="SUJ76" s="108"/>
      <c r="SUK76" s="108"/>
      <c r="SUL76" s="108"/>
      <c r="SUM76" s="108"/>
      <c r="SUN76" s="108"/>
      <c r="SUO76" s="108"/>
      <c r="SUP76" s="108"/>
      <c r="SUQ76" s="108"/>
      <c r="SUR76" s="108"/>
      <c r="SUS76" s="108"/>
      <c r="SUT76" s="108"/>
      <c r="SUU76" s="108"/>
      <c r="SUV76" s="108"/>
      <c r="SUW76" s="108"/>
      <c r="SUX76" s="108"/>
      <c r="SUY76" s="108"/>
      <c r="SUZ76" s="108"/>
      <c r="SVA76" s="108"/>
      <c r="SVB76" s="108"/>
      <c r="SVC76" s="108"/>
      <c r="SVD76" s="108"/>
      <c r="SVE76" s="108"/>
      <c r="SVF76" s="108"/>
      <c r="SVG76" s="108"/>
      <c r="SVH76" s="108"/>
      <c r="SVI76" s="108"/>
      <c r="SVJ76" s="108"/>
      <c r="SVK76" s="108"/>
      <c r="SVL76" s="108"/>
      <c r="SVM76" s="108"/>
      <c r="SVN76" s="108"/>
      <c r="SVO76" s="108"/>
      <c r="SVP76" s="108"/>
      <c r="SVQ76" s="108"/>
      <c r="SVR76" s="108"/>
      <c r="SVS76" s="108"/>
      <c r="SVT76" s="108"/>
      <c r="SVU76" s="108"/>
      <c r="SVV76" s="108"/>
      <c r="SVW76" s="108"/>
      <c r="SVX76" s="108"/>
      <c r="SVY76" s="108"/>
      <c r="SVZ76" s="108"/>
      <c r="SWA76" s="108"/>
      <c r="SWB76" s="108"/>
      <c r="SWC76" s="108"/>
      <c r="SWD76" s="108"/>
      <c r="SWE76" s="108"/>
      <c r="SWF76" s="108"/>
      <c r="SWG76" s="108"/>
      <c r="SWH76" s="108"/>
      <c r="SWI76" s="108"/>
      <c r="SWJ76" s="108"/>
      <c r="SWK76" s="108"/>
      <c r="SWL76" s="108"/>
      <c r="SWM76" s="108"/>
      <c r="SWN76" s="108"/>
      <c r="SWO76" s="108"/>
      <c r="SWP76" s="108"/>
      <c r="SWQ76" s="108"/>
      <c r="SWR76" s="108"/>
      <c r="SWS76" s="108"/>
      <c r="SWT76" s="108"/>
      <c r="SWU76" s="108"/>
      <c r="SWV76" s="108"/>
      <c r="SWW76" s="108"/>
      <c r="SWX76" s="108"/>
      <c r="SWY76" s="108"/>
      <c r="SWZ76" s="108"/>
      <c r="SXA76" s="108"/>
      <c r="SXB76" s="108"/>
      <c r="SXC76" s="108"/>
      <c r="SXD76" s="108"/>
      <c r="SXE76" s="108"/>
      <c r="SXF76" s="108"/>
      <c r="SXG76" s="108"/>
      <c r="SXH76" s="108"/>
      <c r="SXI76" s="108"/>
      <c r="SXJ76" s="108"/>
      <c r="SXK76" s="108"/>
      <c r="SXL76" s="108"/>
      <c r="SXM76" s="108"/>
      <c r="SXN76" s="108"/>
      <c r="SXO76" s="108"/>
      <c r="SXP76" s="108"/>
      <c r="SXQ76" s="108"/>
      <c r="SXR76" s="108"/>
      <c r="SXS76" s="108"/>
      <c r="SXT76" s="108"/>
      <c r="SXU76" s="108"/>
      <c r="SXV76" s="108"/>
      <c r="SXW76" s="108"/>
      <c r="SXX76" s="108"/>
      <c r="SXY76" s="108"/>
      <c r="SXZ76" s="108"/>
      <c r="SYA76" s="108"/>
      <c r="SYB76" s="108"/>
      <c r="SYC76" s="108"/>
      <c r="SYD76" s="108"/>
      <c r="SYE76" s="108"/>
      <c r="SYF76" s="108"/>
      <c r="SYG76" s="108"/>
      <c r="SYH76" s="108"/>
      <c r="SYI76" s="108"/>
      <c r="SYJ76" s="108"/>
      <c r="SYK76" s="108"/>
      <c r="SYL76" s="108"/>
      <c r="SYM76" s="108"/>
      <c r="SYN76" s="108"/>
      <c r="SYO76" s="108"/>
      <c r="SYP76" s="108"/>
      <c r="SYQ76" s="108"/>
      <c r="SYR76" s="108"/>
      <c r="SYS76" s="108"/>
      <c r="SYT76" s="108"/>
      <c r="SYU76" s="108"/>
      <c r="SYV76" s="108"/>
      <c r="SYW76" s="108"/>
      <c r="SYX76" s="108"/>
      <c r="SYY76" s="108"/>
      <c r="SYZ76" s="108"/>
      <c r="SZA76" s="108"/>
      <c r="SZB76" s="108"/>
      <c r="SZC76" s="108"/>
      <c r="SZD76" s="108"/>
      <c r="SZE76" s="108"/>
      <c r="SZF76" s="108"/>
      <c r="SZG76" s="108"/>
      <c r="SZH76" s="108"/>
      <c r="SZI76" s="108"/>
      <c r="SZJ76" s="108"/>
      <c r="SZK76" s="108"/>
      <c r="SZL76" s="108"/>
      <c r="SZM76" s="108"/>
      <c r="SZN76" s="108"/>
      <c r="SZO76" s="108"/>
      <c r="SZP76" s="108"/>
      <c r="SZQ76" s="108"/>
      <c r="SZR76" s="108"/>
      <c r="SZS76" s="108"/>
      <c r="SZT76" s="108"/>
      <c r="SZU76" s="108"/>
      <c r="SZV76" s="108"/>
      <c r="SZW76" s="108"/>
      <c r="SZX76" s="108"/>
      <c r="SZY76" s="108"/>
      <c r="SZZ76" s="108"/>
      <c r="TAA76" s="108"/>
      <c r="TAB76" s="108"/>
      <c r="TAC76" s="108"/>
      <c r="TAD76" s="108"/>
      <c r="TAE76" s="108"/>
      <c r="TAF76" s="108"/>
      <c r="TAG76" s="108"/>
      <c r="TAH76" s="108"/>
      <c r="TAI76" s="108"/>
      <c r="TAJ76" s="108"/>
      <c r="TAK76" s="108"/>
      <c r="TAL76" s="108"/>
      <c r="TAM76" s="108"/>
      <c r="TAN76" s="108"/>
      <c r="TAO76" s="108"/>
      <c r="TAP76" s="108"/>
      <c r="TAQ76" s="108"/>
      <c r="TAR76" s="108"/>
      <c r="TAS76" s="108"/>
      <c r="TAT76" s="108"/>
      <c r="TAU76" s="108"/>
      <c r="TAV76" s="108"/>
      <c r="TAW76" s="108"/>
      <c r="TAX76" s="108"/>
      <c r="TAY76" s="108"/>
      <c r="TAZ76" s="108"/>
      <c r="TBA76" s="108"/>
      <c r="TBB76" s="108"/>
      <c r="TBC76" s="108"/>
      <c r="TBD76" s="108"/>
      <c r="TBE76" s="108"/>
      <c r="TBF76" s="108"/>
      <c r="TBG76" s="108"/>
      <c r="TBH76" s="108"/>
      <c r="TBI76" s="108"/>
      <c r="TBJ76" s="108"/>
      <c r="TBK76" s="108"/>
      <c r="TBL76" s="108"/>
      <c r="TBM76" s="108"/>
      <c r="TBN76" s="108"/>
      <c r="TBO76" s="108"/>
      <c r="TBP76" s="108"/>
      <c r="TBQ76" s="108"/>
      <c r="TBR76" s="108"/>
      <c r="TBS76" s="108"/>
      <c r="TBT76" s="108"/>
      <c r="TBU76" s="108"/>
      <c r="TBV76" s="108"/>
      <c r="TBW76" s="108"/>
      <c r="TBX76" s="108"/>
      <c r="TBY76" s="108"/>
      <c r="TBZ76" s="108"/>
      <c r="TCA76" s="108"/>
      <c r="TCB76" s="108"/>
      <c r="TCC76" s="108"/>
      <c r="TCD76" s="108"/>
      <c r="TCE76" s="108"/>
      <c r="TCF76" s="108"/>
      <c r="TCG76" s="108"/>
      <c r="TCH76" s="108"/>
      <c r="TCI76" s="108"/>
      <c r="TCJ76" s="108"/>
      <c r="TCK76" s="108"/>
      <c r="TCL76" s="108"/>
      <c r="TCM76" s="108"/>
      <c r="TCN76" s="108"/>
      <c r="TCO76" s="108"/>
      <c r="TCP76" s="108"/>
      <c r="TCQ76" s="108"/>
      <c r="TCR76" s="108"/>
      <c r="TCS76" s="108"/>
      <c r="TCT76" s="108"/>
      <c r="TCU76" s="108"/>
      <c r="TCV76" s="108"/>
      <c r="TCW76" s="108"/>
      <c r="TCX76" s="108"/>
      <c r="TCY76" s="108"/>
      <c r="TCZ76" s="108"/>
      <c r="TDA76" s="108"/>
      <c r="TDB76" s="108"/>
      <c r="TDC76" s="108"/>
      <c r="TDD76" s="108"/>
      <c r="TDE76" s="108"/>
      <c r="TDF76" s="108"/>
      <c r="TDG76" s="108"/>
      <c r="TDH76" s="108"/>
      <c r="TDI76" s="108"/>
      <c r="TDJ76" s="108"/>
      <c r="TDK76" s="108"/>
      <c r="TDL76" s="108"/>
      <c r="TDM76" s="108"/>
      <c r="TDN76" s="108"/>
      <c r="TDO76" s="108"/>
      <c r="TDP76" s="108"/>
      <c r="TDQ76" s="108"/>
      <c r="TDR76" s="108"/>
      <c r="TDS76" s="108"/>
      <c r="TDT76" s="108"/>
      <c r="TDU76" s="108"/>
      <c r="TDV76" s="108"/>
      <c r="TDW76" s="108"/>
      <c r="TDX76" s="108"/>
      <c r="TDY76" s="108"/>
      <c r="TDZ76" s="108"/>
      <c r="TEA76" s="108"/>
      <c r="TEB76" s="108"/>
      <c r="TEC76" s="108"/>
      <c r="TED76" s="108"/>
      <c r="TEE76" s="108"/>
      <c r="TEF76" s="108"/>
      <c r="TEG76" s="108"/>
      <c r="TEH76" s="108"/>
      <c r="TEI76" s="108"/>
      <c r="TEJ76" s="108"/>
      <c r="TEK76" s="108"/>
      <c r="TEL76" s="108"/>
      <c r="TEM76" s="108"/>
      <c r="TEN76" s="108"/>
      <c r="TEO76" s="108"/>
      <c r="TEP76" s="108"/>
      <c r="TEQ76" s="108"/>
      <c r="TER76" s="108"/>
      <c r="TES76" s="108"/>
      <c r="TET76" s="108"/>
      <c r="TEU76" s="108"/>
      <c r="TEV76" s="108"/>
      <c r="TEW76" s="108"/>
      <c r="TEX76" s="108"/>
      <c r="TEY76" s="108"/>
      <c r="TEZ76" s="108"/>
      <c r="TFA76" s="108"/>
      <c r="TFB76" s="108"/>
      <c r="TFC76" s="108"/>
      <c r="TFD76" s="108"/>
      <c r="TFE76" s="108"/>
      <c r="TFF76" s="108"/>
      <c r="TFG76" s="108"/>
      <c r="TFH76" s="108"/>
      <c r="TFI76" s="108"/>
      <c r="TFJ76" s="108"/>
      <c r="TFK76" s="108"/>
      <c r="TFL76" s="108"/>
      <c r="TFM76" s="108"/>
      <c r="TFN76" s="108"/>
      <c r="TFO76" s="108"/>
      <c r="TFP76" s="108"/>
      <c r="TFQ76" s="108"/>
      <c r="TFR76" s="108"/>
      <c r="TFS76" s="108"/>
      <c r="TFT76" s="108"/>
      <c r="TFU76" s="108"/>
      <c r="TFV76" s="108"/>
      <c r="TFW76" s="108"/>
      <c r="TFX76" s="108"/>
      <c r="TFY76" s="108"/>
      <c r="TFZ76" s="108"/>
      <c r="TGA76" s="108"/>
      <c r="TGB76" s="108"/>
      <c r="TGC76" s="108"/>
      <c r="TGD76" s="108"/>
      <c r="TGE76" s="108"/>
      <c r="TGF76" s="108"/>
      <c r="TGG76" s="108"/>
      <c r="TGH76" s="108"/>
      <c r="TGI76" s="108"/>
      <c r="TGJ76" s="108"/>
      <c r="TGK76" s="108"/>
      <c r="TGL76" s="108"/>
      <c r="TGM76" s="108"/>
      <c r="TGN76" s="108"/>
      <c r="TGO76" s="108"/>
      <c r="TGP76" s="108"/>
      <c r="TGQ76" s="108"/>
      <c r="TGR76" s="108"/>
      <c r="TGS76" s="108"/>
      <c r="TGT76" s="108"/>
      <c r="TGU76" s="108"/>
      <c r="TGV76" s="108"/>
      <c r="TGW76" s="108"/>
      <c r="TGX76" s="108"/>
      <c r="TGY76" s="108"/>
      <c r="TGZ76" s="108"/>
      <c r="THA76" s="108"/>
      <c r="THB76" s="108"/>
      <c r="THC76" s="108"/>
      <c r="THD76" s="108"/>
      <c r="THE76" s="108"/>
      <c r="THF76" s="108"/>
      <c r="THG76" s="108"/>
      <c r="THH76" s="108"/>
      <c r="THI76" s="108"/>
      <c r="THJ76" s="108"/>
      <c r="THK76" s="108"/>
      <c r="THL76" s="108"/>
      <c r="THM76" s="108"/>
      <c r="THN76" s="108"/>
      <c r="THO76" s="108"/>
      <c r="THP76" s="108"/>
      <c r="THQ76" s="108"/>
      <c r="THR76" s="108"/>
      <c r="THS76" s="108"/>
      <c r="THT76" s="108"/>
      <c r="THU76" s="108"/>
      <c r="THV76" s="108"/>
      <c r="THW76" s="108"/>
      <c r="THX76" s="108"/>
      <c r="THY76" s="108"/>
      <c r="THZ76" s="108"/>
      <c r="TIA76" s="108"/>
      <c r="TIB76" s="108"/>
      <c r="TIC76" s="108"/>
      <c r="TID76" s="108"/>
      <c r="TIE76" s="108"/>
      <c r="TIF76" s="108"/>
      <c r="TIG76" s="108"/>
      <c r="TIH76" s="108"/>
      <c r="TII76" s="108"/>
      <c r="TIJ76" s="108"/>
      <c r="TIK76" s="108"/>
      <c r="TIL76" s="108"/>
      <c r="TIM76" s="108"/>
      <c r="TIN76" s="108"/>
      <c r="TIO76" s="108"/>
      <c r="TIP76" s="108"/>
      <c r="TIQ76" s="108"/>
      <c r="TIR76" s="108"/>
      <c r="TIS76" s="108"/>
      <c r="TIT76" s="108"/>
      <c r="TIU76" s="108"/>
      <c r="TIV76" s="108"/>
      <c r="TIW76" s="108"/>
      <c r="TIX76" s="108"/>
      <c r="TIY76" s="108"/>
      <c r="TIZ76" s="108"/>
      <c r="TJA76" s="108"/>
      <c r="TJB76" s="108"/>
      <c r="TJC76" s="108"/>
      <c r="TJD76" s="108"/>
      <c r="TJE76" s="108"/>
      <c r="TJF76" s="108"/>
      <c r="TJG76" s="108"/>
      <c r="TJH76" s="108"/>
      <c r="TJI76" s="108"/>
      <c r="TJJ76" s="108"/>
      <c r="TJK76" s="108"/>
      <c r="TJL76" s="108"/>
      <c r="TJM76" s="108"/>
      <c r="TJN76" s="108"/>
      <c r="TJO76" s="108"/>
      <c r="TJP76" s="108"/>
      <c r="TJQ76" s="108"/>
      <c r="TJR76" s="108"/>
      <c r="TJS76" s="108"/>
      <c r="TJT76" s="108"/>
      <c r="TJU76" s="108"/>
      <c r="TJV76" s="108"/>
      <c r="TJW76" s="108"/>
      <c r="TJX76" s="108"/>
      <c r="TJY76" s="108"/>
      <c r="TJZ76" s="108"/>
      <c r="TKA76" s="108"/>
      <c r="TKB76" s="108"/>
      <c r="TKC76" s="108"/>
      <c r="TKD76" s="108"/>
      <c r="TKE76" s="108"/>
      <c r="TKF76" s="108"/>
      <c r="TKG76" s="108"/>
      <c r="TKH76" s="108"/>
      <c r="TKI76" s="108"/>
      <c r="TKJ76" s="108"/>
      <c r="TKK76" s="108"/>
      <c r="TKL76" s="108"/>
      <c r="TKM76" s="108"/>
      <c r="TKN76" s="108"/>
      <c r="TKO76" s="108"/>
      <c r="TKP76" s="108"/>
      <c r="TKQ76" s="108"/>
      <c r="TKR76" s="108"/>
      <c r="TKS76" s="108"/>
      <c r="TKT76" s="108"/>
      <c r="TKU76" s="108"/>
      <c r="TKV76" s="108"/>
      <c r="TKW76" s="108"/>
      <c r="TKX76" s="108"/>
      <c r="TKY76" s="108"/>
      <c r="TKZ76" s="108"/>
      <c r="TLA76" s="108"/>
      <c r="TLB76" s="108"/>
      <c r="TLC76" s="108"/>
      <c r="TLD76" s="108"/>
      <c r="TLE76" s="108"/>
      <c r="TLF76" s="108"/>
      <c r="TLG76" s="108"/>
      <c r="TLH76" s="108"/>
      <c r="TLI76" s="108"/>
      <c r="TLJ76" s="108"/>
      <c r="TLK76" s="108"/>
      <c r="TLL76" s="108"/>
      <c r="TLM76" s="108"/>
      <c r="TLN76" s="108"/>
      <c r="TLO76" s="108"/>
      <c r="TLP76" s="108"/>
      <c r="TLQ76" s="108"/>
      <c r="TLR76" s="108"/>
      <c r="TLS76" s="108"/>
      <c r="TLT76" s="108"/>
      <c r="TLU76" s="108"/>
      <c r="TLV76" s="108"/>
      <c r="TLW76" s="108"/>
      <c r="TLX76" s="108"/>
      <c r="TLY76" s="108"/>
      <c r="TLZ76" s="108"/>
      <c r="TMA76" s="108"/>
      <c r="TMB76" s="108"/>
      <c r="TMC76" s="108"/>
      <c r="TMD76" s="108"/>
      <c r="TME76" s="108"/>
      <c r="TMF76" s="108"/>
      <c r="TMG76" s="108"/>
      <c r="TMH76" s="108"/>
      <c r="TMI76" s="108"/>
      <c r="TMJ76" s="108"/>
      <c r="TMK76" s="108"/>
      <c r="TML76" s="108"/>
      <c r="TMM76" s="108"/>
      <c r="TMN76" s="108"/>
      <c r="TMO76" s="108"/>
      <c r="TMP76" s="108"/>
      <c r="TMQ76" s="108"/>
      <c r="TMR76" s="108"/>
      <c r="TMS76" s="108"/>
      <c r="TMT76" s="108"/>
      <c r="TMU76" s="108"/>
      <c r="TMV76" s="108"/>
      <c r="TMW76" s="108"/>
      <c r="TMX76" s="108"/>
      <c r="TMY76" s="108"/>
      <c r="TMZ76" s="108"/>
      <c r="TNA76" s="108"/>
      <c r="TNB76" s="108"/>
      <c r="TNC76" s="108"/>
      <c r="TND76" s="108"/>
      <c r="TNE76" s="108"/>
      <c r="TNF76" s="108"/>
      <c r="TNG76" s="108"/>
      <c r="TNH76" s="108"/>
      <c r="TNI76" s="108"/>
      <c r="TNJ76" s="108"/>
      <c r="TNK76" s="108"/>
      <c r="TNL76" s="108"/>
      <c r="TNM76" s="108"/>
      <c r="TNN76" s="108"/>
      <c r="TNO76" s="108"/>
      <c r="TNP76" s="108"/>
      <c r="TNQ76" s="108"/>
      <c r="TNR76" s="108"/>
      <c r="TNS76" s="108"/>
      <c r="TNT76" s="108"/>
      <c r="TNU76" s="108"/>
      <c r="TNV76" s="108"/>
      <c r="TNW76" s="108"/>
      <c r="TNX76" s="108"/>
      <c r="TNY76" s="108"/>
      <c r="TNZ76" s="108"/>
      <c r="TOA76" s="108"/>
      <c r="TOB76" s="108"/>
      <c r="TOC76" s="108"/>
      <c r="TOD76" s="108"/>
      <c r="TOE76" s="108"/>
      <c r="TOF76" s="108"/>
      <c r="TOG76" s="108"/>
      <c r="TOH76" s="108"/>
      <c r="TOI76" s="108"/>
      <c r="TOJ76" s="108"/>
      <c r="TOK76" s="108"/>
      <c r="TOL76" s="108"/>
      <c r="TOM76" s="108"/>
      <c r="TON76" s="108"/>
      <c r="TOO76" s="108"/>
      <c r="TOP76" s="108"/>
      <c r="TOQ76" s="108"/>
      <c r="TOR76" s="108"/>
      <c r="TOS76" s="108"/>
      <c r="TOT76" s="108"/>
      <c r="TOU76" s="108"/>
      <c r="TOV76" s="108"/>
      <c r="TOW76" s="108"/>
      <c r="TOX76" s="108"/>
      <c r="TOY76" s="108"/>
      <c r="TOZ76" s="108"/>
      <c r="TPA76" s="108"/>
      <c r="TPB76" s="108"/>
      <c r="TPC76" s="108"/>
      <c r="TPD76" s="108"/>
      <c r="TPE76" s="108"/>
      <c r="TPF76" s="108"/>
      <c r="TPG76" s="108"/>
      <c r="TPH76" s="108"/>
      <c r="TPI76" s="108"/>
      <c r="TPJ76" s="108"/>
      <c r="TPK76" s="108"/>
      <c r="TPL76" s="108"/>
      <c r="TPM76" s="108"/>
      <c r="TPN76" s="108"/>
      <c r="TPO76" s="108"/>
      <c r="TPP76" s="108"/>
      <c r="TPQ76" s="108"/>
      <c r="TPR76" s="108"/>
      <c r="TPS76" s="108"/>
      <c r="TPT76" s="108"/>
      <c r="TPU76" s="108"/>
      <c r="TPV76" s="108"/>
      <c r="TPW76" s="108"/>
      <c r="TPX76" s="108"/>
      <c r="TPY76" s="108"/>
      <c r="TPZ76" s="108"/>
      <c r="TQA76" s="108"/>
      <c r="TQB76" s="108"/>
      <c r="TQC76" s="108"/>
      <c r="TQD76" s="108"/>
      <c r="TQE76" s="108"/>
      <c r="TQF76" s="108"/>
      <c r="TQG76" s="108"/>
      <c r="TQH76" s="108"/>
      <c r="TQI76" s="108"/>
      <c r="TQJ76" s="108"/>
      <c r="TQK76" s="108"/>
      <c r="TQL76" s="108"/>
      <c r="TQM76" s="108"/>
      <c r="TQN76" s="108"/>
      <c r="TQO76" s="108"/>
      <c r="TQP76" s="108"/>
      <c r="TQQ76" s="108"/>
      <c r="TQR76" s="108"/>
      <c r="TQS76" s="108"/>
      <c r="TQT76" s="108"/>
      <c r="TQU76" s="108"/>
      <c r="TQV76" s="108"/>
      <c r="TQW76" s="108"/>
      <c r="TQX76" s="108"/>
      <c r="TQY76" s="108"/>
      <c r="TQZ76" s="108"/>
      <c r="TRA76" s="108"/>
      <c r="TRB76" s="108"/>
      <c r="TRC76" s="108"/>
      <c r="TRD76" s="108"/>
      <c r="TRE76" s="108"/>
      <c r="TRF76" s="108"/>
      <c r="TRG76" s="108"/>
      <c r="TRH76" s="108"/>
      <c r="TRI76" s="108"/>
      <c r="TRJ76" s="108"/>
      <c r="TRK76" s="108"/>
      <c r="TRL76" s="108"/>
      <c r="TRM76" s="108"/>
      <c r="TRN76" s="108"/>
      <c r="TRO76" s="108"/>
      <c r="TRP76" s="108"/>
      <c r="TRQ76" s="108"/>
      <c r="TRR76" s="108"/>
      <c r="TRS76" s="108"/>
      <c r="TRT76" s="108"/>
      <c r="TRU76" s="108"/>
      <c r="TRV76" s="108"/>
      <c r="TRW76" s="108"/>
      <c r="TRX76" s="108"/>
      <c r="TRY76" s="108"/>
      <c r="TRZ76" s="108"/>
      <c r="TSA76" s="108"/>
      <c r="TSB76" s="108"/>
      <c r="TSC76" s="108"/>
      <c r="TSD76" s="108"/>
      <c r="TSE76" s="108"/>
      <c r="TSF76" s="108"/>
      <c r="TSG76" s="108"/>
      <c r="TSH76" s="108"/>
      <c r="TSI76" s="108"/>
      <c r="TSJ76" s="108"/>
      <c r="TSK76" s="108"/>
      <c r="TSL76" s="108"/>
      <c r="TSM76" s="108"/>
      <c r="TSN76" s="108"/>
      <c r="TSO76" s="108"/>
      <c r="TSP76" s="108"/>
      <c r="TSQ76" s="108"/>
      <c r="TSR76" s="108"/>
      <c r="TSS76" s="108"/>
      <c r="TST76" s="108"/>
      <c r="TSU76" s="108"/>
      <c r="TSV76" s="108"/>
      <c r="TSW76" s="108"/>
      <c r="TSX76" s="108"/>
      <c r="TSY76" s="108"/>
      <c r="TSZ76" s="108"/>
      <c r="TTA76" s="108"/>
      <c r="TTB76" s="108"/>
      <c r="TTC76" s="108"/>
      <c r="TTD76" s="108"/>
      <c r="TTE76" s="108"/>
      <c r="TTF76" s="108"/>
      <c r="TTG76" s="108"/>
      <c r="TTH76" s="108"/>
      <c r="TTI76" s="108"/>
      <c r="TTJ76" s="108"/>
      <c r="TTK76" s="108"/>
      <c r="TTL76" s="108"/>
      <c r="TTM76" s="108"/>
      <c r="TTN76" s="108"/>
      <c r="TTO76" s="108"/>
      <c r="TTP76" s="108"/>
      <c r="TTQ76" s="108"/>
      <c r="TTR76" s="108"/>
      <c r="TTS76" s="108"/>
      <c r="TTT76" s="108"/>
      <c r="TTU76" s="108"/>
      <c r="TTV76" s="108"/>
      <c r="TTW76" s="108"/>
      <c r="TTX76" s="108"/>
      <c r="TTY76" s="108"/>
      <c r="TTZ76" s="108"/>
      <c r="TUA76" s="108"/>
      <c r="TUB76" s="108"/>
      <c r="TUC76" s="108"/>
      <c r="TUD76" s="108"/>
      <c r="TUE76" s="108"/>
      <c r="TUF76" s="108"/>
      <c r="TUG76" s="108"/>
      <c r="TUH76" s="108"/>
      <c r="TUI76" s="108"/>
      <c r="TUJ76" s="108"/>
      <c r="TUK76" s="108"/>
      <c r="TUL76" s="108"/>
      <c r="TUM76" s="108"/>
      <c r="TUN76" s="108"/>
      <c r="TUO76" s="108"/>
      <c r="TUP76" s="108"/>
      <c r="TUQ76" s="108"/>
      <c r="TUR76" s="108"/>
      <c r="TUS76" s="108"/>
      <c r="TUT76" s="108"/>
      <c r="TUU76" s="108"/>
      <c r="TUV76" s="108"/>
      <c r="TUW76" s="108"/>
      <c r="TUX76" s="108"/>
      <c r="TUY76" s="108"/>
      <c r="TUZ76" s="108"/>
      <c r="TVA76" s="108"/>
      <c r="TVB76" s="108"/>
      <c r="TVC76" s="108"/>
      <c r="TVD76" s="108"/>
      <c r="TVE76" s="108"/>
      <c r="TVF76" s="108"/>
      <c r="TVG76" s="108"/>
      <c r="TVH76" s="108"/>
      <c r="TVI76" s="108"/>
      <c r="TVJ76" s="108"/>
      <c r="TVK76" s="108"/>
      <c r="TVL76" s="108"/>
      <c r="TVM76" s="108"/>
      <c r="TVN76" s="108"/>
      <c r="TVO76" s="108"/>
      <c r="TVP76" s="108"/>
      <c r="TVQ76" s="108"/>
      <c r="TVR76" s="108"/>
      <c r="TVS76" s="108"/>
      <c r="TVT76" s="108"/>
      <c r="TVU76" s="108"/>
      <c r="TVV76" s="108"/>
      <c r="TVW76" s="108"/>
      <c r="TVX76" s="108"/>
      <c r="TVY76" s="108"/>
      <c r="TVZ76" s="108"/>
      <c r="TWA76" s="108"/>
      <c r="TWB76" s="108"/>
      <c r="TWC76" s="108"/>
      <c r="TWD76" s="108"/>
      <c r="TWE76" s="108"/>
      <c r="TWF76" s="108"/>
      <c r="TWG76" s="108"/>
      <c r="TWH76" s="108"/>
      <c r="TWI76" s="108"/>
      <c r="TWJ76" s="108"/>
      <c r="TWK76" s="108"/>
      <c r="TWL76" s="108"/>
      <c r="TWM76" s="108"/>
      <c r="TWN76" s="108"/>
      <c r="TWO76" s="108"/>
      <c r="TWP76" s="108"/>
      <c r="TWQ76" s="108"/>
      <c r="TWR76" s="108"/>
      <c r="TWS76" s="108"/>
      <c r="TWT76" s="108"/>
      <c r="TWU76" s="108"/>
      <c r="TWV76" s="108"/>
      <c r="TWW76" s="108"/>
      <c r="TWX76" s="108"/>
      <c r="TWY76" s="108"/>
      <c r="TWZ76" s="108"/>
      <c r="TXA76" s="108"/>
      <c r="TXB76" s="108"/>
      <c r="TXC76" s="108"/>
      <c r="TXD76" s="108"/>
      <c r="TXE76" s="108"/>
      <c r="TXF76" s="108"/>
      <c r="TXG76" s="108"/>
      <c r="TXH76" s="108"/>
      <c r="TXI76" s="108"/>
      <c r="TXJ76" s="108"/>
      <c r="TXK76" s="108"/>
      <c r="TXL76" s="108"/>
      <c r="TXM76" s="108"/>
      <c r="TXN76" s="108"/>
      <c r="TXO76" s="108"/>
      <c r="TXP76" s="108"/>
      <c r="TXQ76" s="108"/>
      <c r="TXR76" s="108"/>
      <c r="TXS76" s="108"/>
      <c r="TXT76" s="108"/>
      <c r="TXU76" s="108"/>
      <c r="TXV76" s="108"/>
      <c r="TXW76" s="108"/>
      <c r="TXX76" s="108"/>
      <c r="TXY76" s="108"/>
      <c r="TXZ76" s="108"/>
      <c r="TYA76" s="108"/>
      <c r="TYB76" s="108"/>
      <c r="TYC76" s="108"/>
      <c r="TYD76" s="108"/>
      <c r="TYE76" s="108"/>
      <c r="TYF76" s="108"/>
      <c r="TYG76" s="108"/>
      <c r="TYH76" s="108"/>
      <c r="TYI76" s="108"/>
      <c r="TYJ76" s="108"/>
      <c r="TYK76" s="108"/>
      <c r="TYL76" s="108"/>
      <c r="TYM76" s="108"/>
      <c r="TYN76" s="108"/>
      <c r="TYO76" s="108"/>
      <c r="TYP76" s="108"/>
      <c r="TYQ76" s="108"/>
      <c r="TYR76" s="108"/>
      <c r="TYS76" s="108"/>
      <c r="TYT76" s="108"/>
      <c r="TYU76" s="108"/>
      <c r="TYV76" s="108"/>
      <c r="TYW76" s="108"/>
      <c r="TYX76" s="108"/>
      <c r="TYY76" s="108"/>
      <c r="TYZ76" s="108"/>
      <c r="TZA76" s="108"/>
      <c r="TZB76" s="108"/>
      <c r="TZC76" s="108"/>
      <c r="TZD76" s="108"/>
      <c r="TZE76" s="108"/>
      <c r="TZF76" s="108"/>
      <c r="TZG76" s="108"/>
      <c r="TZH76" s="108"/>
      <c r="TZI76" s="108"/>
      <c r="TZJ76" s="108"/>
      <c r="TZK76" s="108"/>
      <c r="TZL76" s="108"/>
      <c r="TZM76" s="108"/>
      <c r="TZN76" s="108"/>
      <c r="TZO76" s="108"/>
      <c r="TZP76" s="108"/>
      <c r="TZQ76" s="108"/>
      <c r="TZR76" s="108"/>
      <c r="TZS76" s="108"/>
      <c r="TZT76" s="108"/>
      <c r="TZU76" s="108"/>
      <c r="TZV76" s="108"/>
      <c r="TZW76" s="108"/>
      <c r="TZX76" s="108"/>
      <c r="TZY76" s="108"/>
      <c r="TZZ76" s="108"/>
      <c r="UAA76" s="108"/>
      <c r="UAB76" s="108"/>
      <c r="UAC76" s="108"/>
      <c r="UAD76" s="108"/>
      <c r="UAE76" s="108"/>
      <c r="UAF76" s="108"/>
      <c r="UAG76" s="108"/>
      <c r="UAH76" s="108"/>
      <c r="UAI76" s="108"/>
      <c r="UAJ76" s="108"/>
      <c r="UAK76" s="108"/>
      <c r="UAL76" s="108"/>
      <c r="UAM76" s="108"/>
      <c r="UAN76" s="108"/>
      <c r="UAO76" s="108"/>
      <c r="UAP76" s="108"/>
      <c r="UAQ76" s="108"/>
      <c r="UAR76" s="108"/>
      <c r="UAS76" s="108"/>
      <c r="UAT76" s="108"/>
      <c r="UAU76" s="108"/>
      <c r="UAV76" s="108"/>
      <c r="UAW76" s="108"/>
      <c r="UAX76" s="108"/>
      <c r="UAY76" s="108"/>
      <c r="UAZ76" s="108"/>
      <c r="UBA76" s="108"/>
      <c r="UBB76" s="108"/>
      <c r="UBC76" s="108"/>
      <c r="UBD76" s="108"/>
      <c r="UBE76" s="108"/>
      <c r="UBF76" s="108"/>
      <c r="UBG76" s="108"/>
      <c r="UBH76" s="108"/>
      <c r="UBI76" s="108"/>
      <c r="UBJ76" s="108"/>
      <c r="UBK76" s="108"/>
      <c r="UBL76" s="108"/>
      <c r="UBM76" s="108"/>
      <c r="UBN76" s="108"/>
      <c r="UBO76" s="108"/>
      <c r="UBP76" s="108"/>
      <c r="UBQ76" s="108"/>
      <c r="UBR76" s="108"/>
      <c r="UBS76" s="108"/>
      <c r="UBT76" s="108"/>
      <c r="UBU76" s="108"/>
      <c r="UBV76" s="108"/>
      <c r="UBW76" s="108"/>
      <c r="UBX76" s="108"/>
      <c r="UBY76" s="108"/>
      <c r="UBZ76" s="108"/>
      <c r="UCA76" s="108"/>
      <c r="UCB76" s="108"/>
      <c r="UCC76" s="108"/>
      <c r="UCD76" s="108"/>
      <c r="UCE76" s="108"/>
      <c r="UCF76" s="108"/>
      <c r="UCG76" s="108"/>
      <c r="UCH76" s="108"/>
      <c r="UCI76" s="108"/>
      <c r="UCJ76" s="108"/>
      <c r="UCK76" s="108"/>
      <c r="UCL76" s="108"/>
      <c r="UCM76" s="108"/>
      <c r="UCN76" s="108"/>
      <c r="UCO76" s="108"/>
      <c r="UCP76" s="108"/>
      <c r="UCQ76" s="108"/>
      <c r="UCR76" s="108"/>
      <c r="UCS76" s="108"/>
      <c r="UCT76" s="108"/>
      <c r="UCU76" s="108"/>
      <c r="UCV76" s="108"/>
      <c r="UCW76" s="108"/>
      <c r="UCX76" s="108"/>
      <c r="UCY76" s="108"/>
      <c r="UCZ76" s="108"/>
      <c r="UDA76" s="108"/>
      <c r="UDB76" s="108"/>
      <c r="UDC76" s="108"/>
      <c r="UDD76" s="108"/>
      <c r="UDE76" s="108"/>
      <c r="UDF76" s="108"/>
      <c r="UDG76" s="108"/>
      <c r="UDH76" s="108"/>
      <c r="UDI76" s="108"/>
      <c r="UDJ76" s="108"/>
      <c r="UDK76" s="108"/>
      <c r="UDL76" s="108"/>
      <c r="UDM76" s="108"/>
      <c r="UDN76" s="108"/>
      <c r="UDO76" s="108"/>
      <c r="UDP76" s="108"/>
      <c r="UDQ76" s="108"/>
      <c r="UDR76" s="108"/>
      <c r="UDS76" s="108"/>
      <c r="UDT76" s="108"/>
      <c r="UDU76" s="108"/>
      <c r="UDV76" s="108"/>
      <c r="UDW76" s="108"/>
      <c r="UDX76" s="108"/>
      <c r="UDY76" s="108"/>
      <c r="UDZ76" s="108"/>
      <c r="UEA76" s="108"/>
      <c r="UEB76" s="108"/>
      <c r="UEC76" s="108"/>
      <c r="UED76" s="108"/>
      <c r="UEE76" s="108"/>
      <c r="UEF76" s="108"/>
      <c r="UEG76" s="108"/>
      <c r="UEH76" s="108"/>
      <c r="UEI76" s="108"/>
      <c r="UEJ76" s="108"/>
      <c r="UEK76" s="108"/>
      <c r="UEL76" s="108"/>
      <c r="UEM76" s="108"/>
      <c r="UEN76" s="108"/>
      <c r="UEO76" s="108"/>
      <c r="UEP76" s="108"/>
      <c r="UEQ76" s="108"/>
      <c r="UER76" s="108"/>
      <c r="UES76" s="108"/>
      <c r="UET76" s="108"/>
      <c r="UEU76" s="108"/>
      <c r="UEV76" s="108"/>
      <c r="UEW76" s="108"/>
      <c r="UEX76" s="108"/>
      <c r="UEY76" s="108"/>
      <c r="UEZ76" s="108"/>
      <c r="UFA76" s="108"/>
      <c r="UFB76" s="108"/>
      <c r="UFC76" s="108"/>
      <c r="UFD76" s="108"/>
      <c r="UFE76" s="108"/>
      <c r="UFF76" s="108"/>
      <c r="UFG76" s="108"/>
      <c r="UFH76" s="108"/>
      <c r="UFI76" s="108"/>
      <c r="UFJ76" s="108"/>
      <c r="UFK76" s="108"/>
      <c r="UFL76" s="108"/>
      <c r="UFM76" s="108"/>
      <c r="UFN76" s="108"/>
      <c r="UFO76" s="108"/>
      <c r="UFP76" s="108"/>
      <c r="UFQ76" s="108"/>
      <c r="UFR76" s="108"/>
      <c r="UFS76" s="108"/>
      <c r="UFT76" s="108"/>
      <c r="UFU76" s="108"/>
      <c r="UFV76" s="108"/>
      <c r="UFW76" s="108"/>
      <c r="UFX76" s="108"/>
      <c r="UFY76" s="108"/>
      <c r="UFZ76" s="108"/>
      <c r="UGA76" s="108"/>
      <c r="UGB76" s="108"/>
      <c r="UGC76" s="108"/>
      <c r="UGD76" s="108"/>
      <c r="UGE76" s="108"/>
      <c r="UGF76" s="108"/>
      <c r="UGG76" s="108"/>
      <c r="UGH76" s="108"/>
      <c r="UGI76" s="108"/>
      <c r="UGJ76" s="108"/>
      <c r="UGK76" s="108"/>
      <c r="UGL76" s="108"/>
      <c r="UGM76" s="108"/>
      <c r="UGN76" s="108"/>
      <c r="UGO76" s="108"/>
      <c r="UGP76" s="108"/>
      <c r="UGQ76" s="108"/>
      <c r="UGR76" s="108"/>
      <c r="UGS76" s="108"/>
      <c r="UGT76" s="108"/>
      <c r="UGU76" s="108"/>
      <c r="UGV76" s="108"/>
      <c r="UGW76" s="108"/>
      <c r="UGX76" s="108"/>
      <c r="UGY76" s="108"/>
      <c r="UGZ76" s="108"/>
      <c r="UHA76" s="108"/>
      <c r="UHB76" s="108"/>
      <c r="UHC76" s="108"/>
      <c r="UHD76" s="108"/>
      <c r="UHE76" s="108"/>
      <c r="UHF76" s="108"/>
      <c r="UHG76" s="108"/>
      <c r="UHH76" s="108"/>
      <c r="UHI76" s="108"/>
      <c r="UHJ76" s="108"/>
      <c r="UHK76" s="108"/>
      <c r="UHL76" s="108"/>
      <c r="UHM76" s="108"/>
      <c r="UHN76" s="108"/>
      <c r="UHO76" s="108"/>
      <c r="UHP76" s="108"/>
      <c r="UHQ76" s="108"/>
      <c r="UHR76" s="108"/>
      <c r="UHS76" s="108"/>
      <c r="UHT76" s="108"/>
      <c r="UHU76" s="108"/>
      <c r="UHV76" s="108"/>
      <c r="UHW76" s="108"/>
      <c r="UHX76" s="108"/>
      <c r="UHY76" s="108"/>
      <c r="UHZ76" s="108"/>
      <c r="UIA76" s="108"/>
      <c r="UIB76" s="108"/>
      <c r="UIC76" s="108"/>
      <c r="UID76" s="108"/>
      <c r="UIE76" s="108"/>
      <c r="UIF76" s="108"/>
      <c r="UIG76" s="108"/>
      <c r="UIH76" s="108"/>
      <c r="UII76" s="108"/>
      <c r="UIJ76" s="108"/>
      <c r="UIK76" s="108"/>
      <c r="UIL76" s="108"/>
      <c r="UIM76" s="108"/>
      <c r="UIN76" s="108"/>
      <c r="UIO76" s="108"/>
      <c r="UIP76" s="108"/>
      <c r="UIQ76" s="108"/>
      <c r="UIR76" s="108"/>
      <c r="UIS76" s="108"/>
      <c r="UIT76" s="108"/>
      <c r="UIU76" s="108"/>
      <c r="UIV76" s="108"/>
      <c r="UIW76" s="108"/>
      <c r="UIX76" s="108"/>
      <c r="UIY76" s="108"/>
      <c r="UIZ76" s="108"/>
      <c r="UJA76" s="108"/>
      <c r="UJB76" s="108"/>
      <c r="UJC76" s="108"/>
      <c r="UJD76" s="108"/>
      <c r="UJE76" s="108"/>
      <c r="UJF76" s="108"/>
      <c r="UJG76" s="108"/>
      <c r="UJH76" s="108"/>
      <c r="UJI76" s="108"/>
      <c r="UJJ76" s="108"/>
      <c r="UJK76" s="108"/>
      <c r="UJL76" s="108"/>
      <c r="UJM76" s="108"/>
      <c r="UJN76" s="108"/>
      <c r="UJO76" s="108"/>
      <c r="UJP76" s="108"/>
      <c r="UJQ76" s="108"/>
      <c r="UJR76" s="108"/>
      <c r="UJS76" s="108"/>
      <c r="UJT76" s="108"/>
      <c r="UJU76" s="108"/>
      <c r="UJV76" s="108"/>
      <c r="UJW76" s="108"/>
      <c r="UJX76" s="108"/>
      <c r="UJY76" s="108"/>
      <c r="UJZ76" s="108"/>
      <c r="UKA76" s="108"/>
      <c r="UKB76" s="108"/>
      <c r="UKC76" s="108"/>
      <c r="UKD76" s="108"/>
      <c r="UKE76" s="108"/>
      <c r="UKF76" s="108"/>
      <c r="UKG76" s="108"/>
      <c r="UKH76" s="108"/>
      <c r="UKI76" s="108"/>
      <c r="UKJ76" s="108"/>
      <c r="UKK76" s="108"/>
      <c r="UKL76" s="108"/>
      <c r="UKM76" s="108"/>
      <c r="UKN76" s="108"/>
      <c r="UKO76" s="108"/>
      <c r="UKP76" s="108"/>
      <c r="UKQ76" s="108"/>
      <c r="UKR76" s="108"/>
      <c r="UKS76" s="108"/>
      <c r="UKT76" s="108"/>
      <c r="UKU76" s="108"/>
      <c r="UKV76" s="108"/>
      <c r="UKW76" s="108"/>
      <c r="UKX76" s="108"/>
      <c r="UKY76" s="108"/>
      <c r="UKZ76" s="108"/>
      <c r="ULA76" s="108"/>
      <c r="ULB76" s="108"/>
      <c r="ULC76" s="108"/>
      <c r="ULD76" s="108"/>
      <c r="ULE76" s="108"/>
      <c r="ULF76" s="108"/>
      <c r="ULG76" s="108"/>
      <c r="ULH76" s="108"/>
      <c r="ULI76" s="108"/>
      <c r="ULJ76" s="108"/>
      <c r="ULK76" s="108"/>
      <c r="ULL76" s="108"/>
      <c r="ULM76" s="108"/>
      <c r="ULN76" s="108"/>
      <c r="ULO76" s="108"/>
      <c r="ULP76" s="108"/>
      <c r="ULQ76" s="108"/>
      <c r="ULR76" s="108"/>
      <c r="ULS76" s="108"/>
      <c r="ULT76" s="108"/>
      <c r="ULU76" s="108"/>
      <c r="ULV76" s="108"/>
      <c r="ULW76" s="108"/>
      <c r="ULX76" s="108"/>
      <c r="ULY76" s="108"/>
      <c r="ULZ76" s="108"/>
      <c r="UMA76" s="108"/>
      <c r="UMB76" s="108"/>
      <c r="UMC76" s="108"/>
      <c r="UMD76" s="108"/>
      <c r="UME76" s="108"/>
      <c r="UMF76" s="108"/>
      <c r="UMG76" s="108"/>
      <c r="UMH76" s="108"/>
      <c r="UMI76" s="108"/>
      <c r="UMJ76" s="108"/>
      <c r="UMK76" s="108"/>
      <c r="UML76" s="108"/>
      <c r="UMM76" s="108"/>
      <c r="UMN76" s="108"/>
      <c r="UMO76" s="108"/>
      <c r="UMP76" s="108"/>
      <c r="UMQ76" s="108"/>
      <c r="UMR76" s="108"/>
      <c r="UMS76" s="108"/>
      <c r="UMT76" s="108"/>
      <c r="UMU76" s="108"/>
      <c r="UMV76" s="108"/>
      <c r="UMW76" s="108"/>
      <c r="UMX76" s="108"/>
      <c r="UMY76" s="108"/>
      <c r="UMZ76" s="108"/>
      <c r="UNA76" s="108"/>
      <c r="UNB76" s="108"/>
      <c r="UNC76" s="108"/>
      <c r="UND76" s="108"/>
      <c r="UNE76" s="108"/>
      <c r="UNF76" s="108"/>
      <c r="UNG76" s="108"/>
      <c r="UNH76" s="108"/>
      <c r="UNI76" s="108"/>
      <c r="UNJ76" s="108"/>
      <c r="UNK76" s="108"/>
      <c r="UNL76" s="108"/>
      <c r="UNM76" s="108"/>
      <c r="UNN76" s="108"/>
      <c r="UNO76" s="108"/>
      <c r="UNP76" s="108"/>
      <c r="UNQ76" s="108"/>
      <c r="UNR76" s="108"/>
      <c r="UNS76" s="108"/>
      <c r="UNT76" s="108"/>
      <c r="UNU76" s="108"/>
      <c r="UNV76" s="108"/>
      <c r="UNW76" s="108"/>
      <c r="UNX76" s="108"/>
      <c r="UNY76" s="108"/>
      <c r="UNZ76" s="108"/>
      <c r="UOA76" s="108"/>
      <c r="UOB76" s="108"/>
      <c r="UOC76" s="108"/>
      <c r="UOD76" s="108"/>
      <c r="UOE76" s="108"/>
      <c r="UOF76" s="108"/>
      <c r="UOG76" s="108"/>
      <c r="UOH76" s="108"/>
      <c r="UOI76" s="108"/>
      <c r="UOJ76" s="108"/>
      <c r="UOK76" s="108"/>
      <c r="UOL76" s="108"/>
      <c r="UOM76" s="108"/>
      <c r="UON76" s="108"/>
      <c r="UOO76" s="108"/>
      <c r="UOP76" s="108"/>
      <c r="UOQ76" s="108"/>
      <c r="UOR76" s="108"/>
      <c r="UOS76" s="108"/>
      <c r="UOT76" s="108"/>
      <c r="UOU76" s="108"/>
      <c r="UOV76" s="108"/>
      <c r="UOW76" s="108"/>
      <c r="UOX76" s="108"/>
      <c r="UOY76" s="108"/>
      <c r="UOZ76" s="108"/>
      <c r="UPA76" s="108"/>
      <c r="UPB76" s="108"/>
      <c r="UPC76" s="108"/>
      <c r="UPD76" s="108"/>
      <c r="UPE76" s="108"/>
      <c r="UPF76" s="108"/>
      <c r="UPG76" s="108"/>
      <c r="UPH76" s="108"/>
      <c r="UPI76" s="108"/>
      <c r="UPJ76" s="108"/>
      <c r="UPK76" s="108"/>
      <c r="UPL76" s="108"/>
      <c r="UPM76" s="108"/>
      <c r="UPN76" s="108"/>
      <c r="UPO76" s="108"/>
      <c r="UPP76" s="108"/>
      <c r="UPQ76" s="108"/>
      <c r="UPR76" s="108"/>
      <c r="UPS76" s="108"/>
      <c r="UPT76" s="108"/>
      <c r="UPU76" s="108"/>
      <c r="UPV76" s="108"/>
      <c r="UPW76" s="108"/>
      <c r="UPX76" s="108"/>
      <c r="UPY76" s="108"/>
      <c r="UPZ76" s="108"/>
      <c r="UQA76" s="108"/>
      <c r="UQB76" s="108"/>
      <c r="UQC76" s="108"/>
      <c r="UQD76" s="108"/>
      <c r="UQE76" s="108"/>
      <c r="UQF76" s="108"/>
      <c r="UQG76" s="108"/>
      <c r="UQH76" s="108"/>
      <c r="UQI76" s="108"/>
      <c r="UQJ76" s="108"/>
      <c r="UQK76" s="108"/>
      <c r="UQL76" s="108"/>
      <c r="UQM76" s="108"/>
      <c r="UQN76" s="108"/>
      <c r="UQO76" s="108"/>
      <c r="UQP76" s="108"/>
      <c r="UQQ76" s="108"/>
      <c r="UQR76" s="108"/>
      <c r="UQS76" s="108"/>
      <c r="UQT76" s="108"/>
      <c r="UQU76" s="108"/>
      <c r="UQV76" s="108"/>
      <c r="UQW76" s="108"/>
      <c r="UQX76" s="108"/>
      <c r="UQY76" s="108"/>
      <c r="UQZ76" s="108"/>
      <c r="URA76" s="108"/>
      <c r="URB76" s="108"/>
      <c r="URC76" s="108"/>
      <c r="URD76" s="108"/>
      <c r="URE76" s="108"/>
      <c r="URF76" s="108"/>
      <c r="URG76" s="108"/>
      <c r="URH76" s="108"/>
      <c r="URI76" s="108"/>
      <c r="URJ76" s="108"/>
      <c r="URK76" s="108"/>
      <c r="URL76" s="108"/>
      <c r="URM76" s="108"/>
      <c r="URN76" s="108"/>
      <c r="URO76" s="108"/>
      <c r="URP76" s="108"/>
      <c r="URQ76" s="108"/>
      <c r="URR76" s="108"/>
      <c r="URS76" s="108"/>
      <c r="URT76" s="108"/>
      <c r="URU76" s="108"/>
      <c r="URV76" s="108"/>
      <c r="URW76" s="108"/>
      <c r="URX76" s="108"/>
      <c r="URY76" s="108"/>
      <c r="URZ76" s="108"/>
      <c r="USA76" s="108"/>
      <c r="USB76" s="108"/>
      <c r="USC76" s="108"/>
      <c r="USD76" s="108"/>
      <c r="USE76" s="108"/>
      <c r="USF76" s="108"/>
      <c r="USG76" s="108"/>
      <c r="USH76" s="108"/>
      <c r="USI76" s="108"/>
      <c r="USJ76" s="108"/>
      <c r="USK76" s="108"/>
      <c r="USL76" s="108"/>
      <c r="USM76" s="108"/>
      <c r="USN76" s="108"/>
      <c r="USO76" s="108"/>
      <c r="USP76" s="108"/>
      <c r="USQ76" s="108"/>
      <c r="USR76" s="108"/>
      <c r="USS76" s="108"/>
      <c r="UST76" s="108"/>
      <c r="USU76" s="108"/>
      <c r="USV76" s="108"/>
      <c r="USW76" s="108"/>
      <c r="USX76" s="108"/>
      <c r="USY76" s="108"/>
      <c r="USZ76" s="108"/>
      <c r="UTA76" s="108"/>
      <c r="UTB76" s="108"/>
      <c r="UTC76" s="108"/>
      <c r="UTD76" s="108"/>
      <c r="UTE76" s="108"/>
      <c r="UTF76" s="108"/>
      <c r="UTG76" s="108"/>
      <c r="UTH76" s="108"/>
      <c r="UTI76" s="108"/>
      <c r="UTJ76" s="108"/>
      <c r="UTK76" s="108"/>
      <c r="UTL76" s="108"/>
      <c r="UTM76" s="108"/>
      <c r="UTN76" s="108"/>
      <c r="UTO76" s="108"/>
      <c r="UTP76" s="108"/>
      <c r="UTQ76" s="108"/>
      <c r="UTR76" s="108"/>
      <c r="UTS76" s="108"/>
      <c r="UTT76" s="108"/>
      <c r="UTU76" s="108"/>
      <c r="UTV76" s="108"/>
      <c r="UTW76" s="108"/>
      <c r="UTX76" s="108"/>
      <c r="UTY76" s="108"/>
      <c r="UTZ76" s="108"/>
      <c r="UUA76" s="108"/>
      <c r="UUB76" s="108"/>
      <c r="UUC76" s="108"/>
      <c r="UUD76" s="108"/>
      <c r="UUE76" s="108"/>
      <c r="UUF76" s="108"/>
      <c r="UUG76" s="108"/>
      <c r="UUH76" s="108"/>
      <c r="UUI76" s="108"/>
      <c r="UUJ76" s="108"/>
      <c r="UUK76" s="108"/>
      <c r="UUL76" s="108"/>
      <c r="UUM76" s="108"/>
      <c r="UUN76" s="108"/>
      <c r="UUO76" s="108"/>
      <c r="UUP76" s="108"/>
      <c r="UUQ76" s="108"/>
      <c r="UUR76" s="108"/>
      <c r="UUS76" s="108"/>
      <c r="UUT76" s="108"/>
      <c r="UUU76" s="108"/>
      <c r="UUV76" s="108"/>
      <c r="UUW76" s="108"/>
      <c r="UUX76" s="108"/>
      <c r="UUY76" s="108"/>
      <c r="UUZ76" s="108"/>
      <c r="UVA76" s="108"/>
      <c r="UVB76" s="108"/>
      <c r="UVC76" s="108"/>
      <c r="UVD76" s="108"/>
      <c r="UVE76" s="108"/>
      <c r="UVF76" s="108"/>
      <c r="UVG76" s="108"/>
      <c r="UVH76" s="108"/>
      <c r="UVI76" s="108"/>
      <c r="UVJ76" s="108"/>
      <c r="UVK76" s="108"/>
      <c r="UVL76" s="108"/>
      <c r="UVM76" s="108"/>
      <c r="UVN76" s="108"/>
      <c r="UVO76" s="108"/>
      <c r="UVP76" s="108"/>
      <c r="UVQ76" s="108"/>
      <c r="UVR76" s="108"/>
      <c r="UVS76" s="108"/>
      <c r="UVT76" s="108"/>
      <c r="UVU76" s="108"/>
      <c r="UVV76" s="108"/>
      <c r="UVW76" s="108"/>
      <c r="UVX76" s="108"/>
      <c r="UVY76" s="108"/>
      <c r="UVZ76" s="108"/>
      <c r="UWA76" s="108"/>
      <c r="UWB76" s="108"/>
      <c r="UWC76" s="108"/>
      <c r="UWD76" s="108"/>
      <c r="UWE76" s="108"/>
      <c r="UWF76" s="108"/>
      <c r="UWG76" s="108"/>
      <c r="UWH76" s="108"/>
      <c r="UWI76" s="108"/>
      <c r="UWJ76" s="108"/>
      <c r="UWK76" s="108"/>
      <c r="UWL76" s="108"/>
      <c r="UWM76" s="108"/>
      <c r="UWN76" s="108"/>
      <c r="UWO76" s="108"/>
      <c r="UWP76" s="108"/>
      <c r="UWQ76" s="108"/>
      <c r="UWR76" s="108"/>
      <c r="UWS76" s="108"/>
      <c r="UWT76" s="108"/>
      <c r="UWU76" s="108"/>
      <c r="UWV76" s="108"/>
      <c r="UWW76" s="108"/>
      <c r="UWX76" s="108"/>
      <c r="UWY76" s="108"/>
      <c r="UWZ76" s="108"/>
      <c r="UXA76" s="108"/>
      <c r="UXB76" s="108"/>
      <c r="UXC76" s="108"/>
      <c r="UXD76" s="108"/>
      <c r="UXE76" s="108"/>
      <c r="UXF76" s="108"/>
      <c r="UXG76" s="108"/>
      <c r="UXH76" s="108"/>
      <c r="UXI76" s="108"/>
      <c r="UXJ76" s="108"/>
      <c r="UXK76" s="108"/>
      <c r="UXL76" s="108"/>
      <c r="UXM76" s="108"/>
      <c r="UXN76" s="108"/>
      <c r="UXO76" s="108"/>
      <c r="UXP76" s="108"/>
      <c r="UXQ76" s="108"/>
      <c r="UXR76" s="108"/>
      <c r="UXS76" s="108"/>
      <c r="UXT76" s="108"/>
      <c r="UXU76" s="108"/>
      <c r="UXV76" s="108"/>
      <c r="UXW76" s="108"/>
      <c r="UXX76" s="108"/>
      <c r="UXY76" s="108"/>
      <c r="UXZ76" s="108"/>
      <c r="UYA76" s="108"/>
      <c r="UYB76" s="108"/>
      <c r="UYC76" s="108"/>
      <c r="UYD76" s="108"/>
      <c r="UYE76" s="108"/>
      <c r="UYF76" s="108"/>
      <c r="UYG76" s="108"/>
      <c r="UYH76" s="108"/>
      <c r="UYI76" s="108"/>
      <c r="UYJ76" s="108"/>
      <c r="UYK76" s="108"/>
      <c r="UYL76" s="108"/>
      <c r="UYM76" s="108"/>
      <c r="UYN76" s="108"/>
      <c r="UYO76" s="108"/>
      <c r="UYP76" s="108"/>
      <c r="UYQ76" s="108"/>
      <c r="UYR76" s="108"/>
      <c r="UYS76" s="108"/>
      <c r="UYT76" s="108"/>
      <c r="UYU76" s="108"/>
      <c r="UYV76" s="108"/>
      <c r="UYW76" s="108"/>
      <c r="UYX76" s="108"/>
      <c r="UYY76" s="108"/>
      <c r="UYZ76" s="108"/>
      <c r="UZA76" s="108"/>
      <c r="UZB76" s="108"/>
      <c r="UZC76" s="108"/>
      <c r="UZD76" s="108"/>
      <c r="UZE76" s="108"/>
      <c r="UZF76" s="108"/>
      <c r="UZG76" s="108"/>
      <c r="UZH76" s="108"/>
      <c r="UZI76" s="108"/>
      <c r="UZJ76" s="108"/>
      <c r="UZK76" s="108"/>
      <c r="UZL76" s="108"/>
      <c r="UZM76" s="108"/>
      <c r="UZN76" s="108"/>
      <c r="UZO76" s="108"/>
      <c r="UZP76" s="108"/>
      <c r="UZQ76" s="108"/>
      <c r="UZR76" s="108"/>
      <c r="UZS76" s="108"/>
      <c r="UZT76" s="108"/>
      <c r="UZU76" s="108"/>
      <c r="UZV76" s="108"/>
      <c r="UZW76" s="108"/>
      <c r="UZX76" s="108"/>
      <c r="UZY76" s="108"/>
      <c r="UZZ76" s="108"/>
      <c r="VAA76" s="108"/>
      <c r="VAB76" s="108"/>
      <c r="VAC76" s="108"/>
      <c r="VAD76" s="108"/>
      <c r="VAE76" s="108"/>
      <c r="VAF76" s="108"/>
      <c r="VAG76" s="108"/>
      <c r="VAH76" s="108"/>
      <c r="VAI76" s="108"/>
      <c r="VAJ76" s="108"/>
      <c r="VAK76" s="108"/>
      <c r="VAL76" s="108"/>
      <c r="VAM76" s="108"/>
      <c r="VAN76" s="108"/>
      <c r="VAO76" s="108"/>
      <c r="VAP76" s="108"/>
      <c r="VAQ76" s="108"/>
      <c r="VAR76" s="108"/>
      <c r="VAS76" s="108"/>
      <c r="VAT76" s="108"/>
      <c r="VAU76" s="108"/>
      <c r="VAV76" s="108"/>
      <c r="VAW76" s="108"/>
      <c r="VAX76" s="108"/>
      <c r="VAY76" s="108"/>
      <c r="VAZ76" s="108"/>
      <c r="VBA76" s="108"/>
      <c r="VBB76" s="108"/>
      <c r="VBC76" s="108"/>
      <c r="VBD76" s="108"/>
      <c r="VBE76" s="108"/>
      <c r="VBF76" s="108"/>
      <c r="VBG76" s="108"/>
      <c r="VBH76" s="108"/>
      <c r="VBI76" s="108"/>
      <c r="VBJ76" s="108"/>
      <c r="VBK76" s="108"/>
      <c r="VBL76" s="108"/>
      <c r="VBM76" s="108"/>
      <c r="VBN76" s="108"/>
      <c r="VBO76" s="108"/>
      <c r="VBP76" s="108"/>
      <c r="VBQ76" s="108"/>
      <c r="VBR76" s="108"/>
      <c r="VBS76" s="108"/>
      <c r="VBT76" s="108"/>
      <c r="VBU76" s="108"/>
      <c r="VBV76" s="108"/>
      <c r="VBW76" s="108"/>
      <c r="VBX76" s="108"/>
      <c r="VBY76" s="108"/>
      <c r="VBZ76" s="108"/>
      <c r="VCA76" s="108"/>
      <c r="VCB76" s="108"/>
      <c r="VCC76" s="108"/>
      <c r="VCD76" s="108"/>
      <c r="VCE76" s="108"/>
      <c r="VCF76" s="108"/>
      <c r="VCG76" s="108"/>
      <c r="VCH76" s="108"/>
      <c r="VCI76" s="108"/>
      <c r="VCJ76" s="108"/>
      <c r="VCK76" s="108"/>
      <c r="VCL76" s="108"/>
      <c r="VCM76" s="108"/>
      <c r="VCN76" s="108"/>
      <c r="VCO76" s="108"/>
      <c r="VCP76" s="108"/>
      <c r="VCQ76" s="108"/>
      <c r="VCR76" s="108"/>
      <c r="VCS76" s="108"/>
      <c r="VCT76" s="108"/>
      <c r="VCU76" s="108"/>
      <c r="VCV76" s="108"/>
      <c r="VCW76" s="108"/>
      <c r="VCX76" s="108"/>
      <c r="VCY76" s="108"/>
      <c r="VCZ76" s="108"/>
      <c r="VDA76" s="108"/>
      <c r="VDB76" s="108"/>
      <c r="VDC76" s="108"/>
      <c r="VDD76" s="108"/>
      <c r="VDE76" s="108"/>
      <c r="VDF76" s="108"/>
      <c r="VDG76" s="108"/>
      <c r="VDH76" s="108"/>
      <c r="VDI76" s="108"/>
      <c r="VDJ76" s="108"/>
      <c r="VDK76" s="108"/>
      <c r="VDL76" s="108"/>
      <c r="VDM76" s="108"/>
      <c r="VDN76" s="108"/>
      <c r="VDO76" s="108"/>
      <c r="VDP76" s="108"/>
      <c r="VDQ76" s="108"/>
      <c r="VDR76" s="108"/>
      <c r="VDS76" s="108"/>
      <c r="VDT76" s="108"/>
      <c r="VDU76" s="108"/>
      <c r="VDV76" s="108"/>
      <c r="VDW76" s="108"/>
      <c r="VDX76" s="108"/>
      <c r="VDY76" s="108"/>
      <c r="VDZ76" s="108"/>
      <c r="VEA76" s="108"/>
      <c r="VEB76" s="108"/>
      <c r="VEC76" s="108"/>
      <c r="VED76" s="108"/>
      <c r="VEE76" s="108"/>
      <c r="VEF76" s="108"/>
      <c r="VEG76" s="108"/>
      <c r="VEH76" s="108"/>
      <c r="VEI76" s="108"/>
      <c r="VEJ76" s="108"/>
      <c r="VEK76" s="108"/>
      <c r="VEL76" s="108"/>
      <c r="VEM76" s="108"/>
      <c r="VEN76" s="108"/>
      <c r="VEO76" s="108"/>
      <c r="VEP76" s="108"/>
      <c r="VEQ76" s="108"/>
      <c r="VER76" s="108"/>
      <c r="VES76" s="108"/>
      <c r="VET76" s="108"/>
      <c r="VEU76" s="108"/>
      <c r="VEV76" s="108"/>
      <c r="VEW76" s="108"/>
      <c r="VEX76" s="108"/>
      <c r="VEY76" s="108"/>
      <c r="VEZ76" s="108"/>
      <c r="VFA76" s="108"/>
      <c r="VFB76" s="108"/>
      <c r="VFC76" s="108"/>
      <c r="VFD76" s="108"/>
      <c r="VFE76" s="108"/>
      <c r="VFF76" s="108"/>
      <c r="VFG76" s="108"/>
      <c r="VFH76" s="108"/>
      <c r="VFI76" s="108"/>
      <c r="VFJ76" s="108"/>
      <c r="VFK76" s="108"/>
      <c r="VFL76" s="108"/>
      <c r="VFM76" s="108"/>
      <c r="VFN76" s="108"/>
      <c r="VFO76" s="108"/>
      <c r="VFP76" s="108"/>
      <c r="VFQ76" s="108"/>
      <c r="VFR76" s="108"/>
      <c r="VFS76" s="108"/>
      <c r="VFT76" s="108"/>
      <c r="VFU76" s="108"/>
      <c r="VFV76" s="108"/>
      <c r="VFW76" s="108"/>
      <c r="VFX76" s="108"/>
      <c r="VFY76" s="108"/>
      <c r="VFZ76" s="108"/>
      <c r="VGA76" s="108"/>
      <c r="VGB76" s="108"/>
      <c r="VGC76" s="108"/>
      <c r="VGD76" s="108"/>
      <c r="VGE76" s="108"/>
      <c r="VGF76" s="108"/>
      <c r="VGG76" s="108"/>
      <c r="VGH76" s="108"/>
      <c r="VGI76" s="108"/>
      <c r="VGJ76" s="108"/>
      <c r="VGK76" s="108"/>
      <c r="VGL76" s="108"/>
      <c r="VGM76" s="108"/>
      <c r="VGN76" s="108"/>
      <c r="VGO76" s="108"/>
      <c r="VGP76" s="108"/>
      <c r="VGQ76" s="108"/>
      <c r="VGR76" s="108"/>
      <c r="VGS76" s="108"/>
      <c r="VGT76" s="108"/>
      <c r="VGU76" s="108"/>
      <c r="VGV76" s="108"/>
      <c r="VGW76" s="108"/>
      <c r="VGX76" s="108"/>
      <c r="VGY76" s="108"/>
      <c r="VGZ76" s="108"/>
      <c r="VHA76" s="108"/>
      <c r="VHB76" s="108"/>
      <c r="VHC76" s="108"/>
      <c r="VHD76" s="108"/>
      <c r="VHE76" s="108"/>
      <c r="VHF76" s="108"/>
      <c r="VHG76" s="108"/>
      <c r="VHH76" s="108"/>
      <c r="VHI76" s="108"/>
      <c r="VHJ76" s="108"/>
      <c r="VHK76" s="108"/>
      <c r="VHL76" s="108"/>
      <c r="VHM76" s="108"/>
      <c r="VHN76" s="108"/>
      <c r="VHO76" s="108"/>
      <c r="VHP76" s="108"/>
      <c r="VHQ76" s="108"/>
      <c r="VHR76" s="108"/>
      <c r="VHS76" s="108"/>
      <c r="VHT76" s="108"/>
      <c r="VHU76" s="108"/>
      <c r="VHV76" s="108"/>
      <c r="VHW76" s="108"/>
      <c r="VHX76" s="108"/>
      <c r="VHY76" s="108"/>
      <c r="VHZ76" s="108"/>
      <c r="VIA76" s="108"/>
      <c r="VIB76" s="108"/>
      <c r="VIC76" s="108"/>
      <c r="VID76" s="108"/>
      <c r="VIE76" s="108"/>
      <c r="VIF76" s="108"/>
      <c r="VIG76" s="108"/>
      <c r="VIH76" s="108"/>
      <c r="VII76" s="108"/>
      <c r="VIJ76" s="108"/>
      <c r="VIK76" s="108"/>
      <c r="VIL76" s="108"/>
      <c r="VIM76" s="108"/>
      <c r="VIN76" s="108"/>
      <c r="VIO76" s="108"/>
      <c r="VIP76" s="108"/>
      <c r="VIQ76" s="108"/>
      <c r="VIR76" s="108"/>
      <c r="VIS76" s="108"/>
      <c r="VIT76" s="108"/>
      <c r="VIU76" s="108"/>
      <c r="VIV76" s="108"/>
      <c r="VIW76" s="108"/>
      <c r="VIX76" s="108"/>
      <c r="VIY76" s="108"/>
      <c r="VIZ76" s="108"/>
      <c r="VJA76" s="108"/>
      <c r="VJB76" s="108"/>
      <c r="VJC76" s="108"/>
      <c r="VJD76" s="108"/>
      <c r="VJE76" s="108"/>
      <c r="VJF76" s="108"/>
      <c r="VJG76" s="108"/>
      <c r="VJH76" s="108"/>
      <c r="VJI76" s="108"/>
      <c r="VJJ76" s="108"/>
      <c r="VJK76" s="108"/>
      <c r="VJL76" s="108"/>
      <c r="VJM76" s="108"/>
      <c r="VJN76" s="108"/>
      <c r="VJO76" s="108"/>
      <c r="VJP76" s="108"/>
      <c r="VJQ76" s="108"/>
      <c r="VJR76" s="108"/>
      <c r="VJS76" s="108"/>
      <c r="VJT76" s="108"/>
      <c r="VJU76" s="108"/>
      <c r="VJV76" s="108"/>
      <c r="VJW76" s="108"/>
      <c r="VJX76" s="108"/>
      <c r="VJY76" s="108"/>
      <c r="VJZ76" s="108"/>
      <c r="VKA76" s="108"/>
      <c r="VKB76" s="108"/>
      <c r="VKC76" s="108"/>
      <c r="VKD76" s="108"/>
      <c r="VKE76" s="108"/>
      <c r="VKF76" s="108"/>
      <c r="VKG76" s="108"/>
      <c r="VKH76" s="108"/>
      <c r="VKI76" s="108"/>
      <c r="VKJ76" s="108"/>
      <c r="VKK76" s="108"/>
      <c r="VKL76" s="108"/>
      <c r="VKM76" s="108"/>
      <c r="VKN76" s="108"/>
      <c r="VKO76" s="108"/>
      <c r="VKP76" s="108"/>
      <c r="VKQ76" s="108"/>
      <c r="VKR76" s="108"/>
      <c r="VKS76" s="108"/>
      <c r="VKT76" s="108"/>
      <c r="VKU76" s="108"/>
      <c r="VKV76" s="108"/>
      <c r="VKW76" s="108"/>
      <c r="VKX76" s="108"/>
      <c r="VKY76" s="108"/>
      <c r="VKZ76" s="108"/>
      <c r="VLA76" s="108"/>
      <c r="VLB76" s="108"/>
      <c r="VLC76" s="108"/>
      <c r="VLD76" s="108"/>
      <c r="VLE76" s="108"/>
      <c r="VLF76" s="108"/>
      <c r="VLG76" s="108"/>
      <c r="VLH76" s="108"/>
      <c r="VLI76" s="108"/>
      <c r="VLJ76" s="108"/>
      <c r="VLK76" s="108"/>
      <c r="VLL76" s="108"/>
      <c r="VLM76" s="108"/>
      <c r="VLN76" s="108"/>
      <c r="VLO76" s="108"/>
      <c r="VLP76" s="108"/>
      <c r="VLQ76" s="108"/>
      <c r="VLR76" s="108"/>
      <c r="VLS76" s="108"/>
      <c r="VLT76" s="108"/>
      <c r="VLU76" s="108"/>
      <c r="VLV76" s="108"/>
      <c r="VLW76" s="108"/>
      <c r="VLX76" s="108"/>
      <c r="VLY76" s="108"/>
      <c r="VLZ76" s="108"/>
      <c r="VMA76" s="108"/>
      <c r="VMB76" s="108"/>
      <c r="VMC76" s="108"/>
      <c r="VMD76" s="108"/>
      <c r="VME76" s="108"/>
      <c r="VMF76" s="108"/>
      <c r="VMG76" s="108"/>
      <c r="VMH76" s="108"/>
      <c r="VMI76" s="108"/>
      <c r="VMJ76" s="108"/>
      <c r="VMK76" s="108"/>
      <c r="VML76" s="108"/>
      <c r="VMM76" s="108"/>
      <c r="VMN76" s="108"/>
      <c r="VMO76" s="108"/>
      <c r="VMP76" s="108"/>
      <c r="VMQ76" s="108"/>
      <c r="VMR76" s="108"/>
      <c r="VMS76" s="108"/>
      <c r="VMT76" s="108"/>
      <c r="VMU76" s="108"/>
      <c r="VMV76" s="108"/>
      <c r="VMW76" s="108"/>
      <c r="VMX76" s="108"/>
      <c r="VMY76" s="108"/>
      <c r="VMZ76" s="108"/>
      <c r="VNA76" s="108"/>
      <c r="VNB76" s="108"/>
      <c r="VNC76" s="108"/>
      <c r="VND76" s="108"/>
      <c r="VNE76" s="108"/>
      <c r="VNF76" s="108"/>
      <c r="VNG76" s="108"/>
      <c r="VNH76" s="108"/>
      <c r="VNI76" s="108"/>
      <c r="VNJ76" s="108"/>
      <c r="VNK76" s="108"/>
      <c r="VNL76" s="108"/>
      <c r="VNM76" s="108"/>
      <c r="VNN76" s="108"/>
      <c r="VNO76" s="108"/>
      <c r="VNP76" s="108"/>
      <c r="VNQ76" s="108"/>
      <c r="VNR76" s="108"/>
      <c r="VNS76" s="108"/>
      <c r="VNT76" s="108"/>
      <c r="VNU76" s="108"/>
      <c r="VNV76" s="108"/>
      <c r="VNW76" s="108"/>
      <c r="VNX76" s="108"/>
      <c r="VNY76" s="108"/>
      <c r="VNZ76" s="108"/>
      <c r="VOA76" s="108"/>
      <c r="VOB76" s="108"/>
      <c r="VOC76" s="108"/>
      <c r="VOD76" s="108"/>
      <c r="VOE76" s="108"/>
      <c r="VOF76" s="108"/>
      <c r="VOG76" s="108"/>
      <c r="VOH76" s="108"/>
      <c r="VOI76" s="108"/>
      <c r="VOJ76" s="108"/>
      <c r="VOK76" s="108"/>
      <c r="VOL76" s="108"/>
      <c r="VOM76" s="108"/>
      <c r="VON76" s="108"/>
      <c r="VOO76" s="108"/>
      <c r="VOP76" s="108"/>
      <c r="VOQ76" s="108"/>
      <c r="VOR76" s="108"/>
      <c r="VOS76" s="108"/>
      <c r="VOT76" s="108"/>
      <c r="VOU76" s="108"/>
      <c r="VOV76" s="108"/>
      <c r="VOW76" s="108"/>
      <c r="VOX76" s="108"/>
      <c r="VOY76" s="108"/>
      <c r="VOZ76" s="108"/>
      <c r="VPA76" s="108"/>
      <c r="VPB76" s="108"/>
      <c r="VPC76" s="108"/>
      <c r="VPD76" s="108"/>
      <c r="VPE76" s="108"/>
      <c r="VPF76" s="108"/>
      <c r="VPG76" s="108"/>
      <c r="VPH76" s="108"/>
      <c r="VPI76" s="108"/>
      <c r="VPJ76" s="108"/>
      <c r="VPK76" s="108"/>
      <c r="VPL76" s="108"/>
      <c r="VPM76" s="108"/>
      <c r="VPN76" s="108"/>
      <c r="VPO76" s="108"/>
      <c r="VPP76" s="108"/>
      <c r="VPQ76" s="108"/>
      <c r="VPR76" s="108"/>
      <c r="VPS76" s="108"/>
      <c r="VPT76" s="108"/>
      <c r="VPU76" s="108"/>
      <c r="VPV76" s="108"/>
      <c r="VPW76" s="108"/>
      <c r="VPX76" s="108"/>
      <c r="VPY76" s="108"/>
      <c r="VPZ76" s="108"/>
      <c r="VQA76" s="108"/>
      <c r="VQB76" s="108"/>
      <c r="VQC76" s="108"/>
      <c r="VQD76" s="108"/>
      <c r="VQE76" s="108"/>
      <c r="VQF76" s="108"/>
      <c r="VQG76" s="108"/>
      <c r="VQH76" s="108"/>
      <c r="VQI76" s="108"/>
      <c r="VQJ76" s="108"/>
      <c r="VQK76" s="108"/>
      <c r="VQL76" s="108"/>
      <c r="VQM76" s="108"/>
      <c r="VQN76" s="108"/>
      <c r="VQO76" s="108"/>
      <c r="VQP76" s="108"/>
      <c r="VQQ76" s="108"/>
      <c r="VQR76" s="108"/>
      <c r="VQS76" s="108"/>
      <c r="VQT76" s="108"/>
      <c r="VQU76" s="108"/>
      <c r="VQV76" s="108"/>
      <c r="VQW76" s="108"/>
      <c r="VQX76" s="108"/>
      <c r="VQY76" s="108"/>
      <c r="VQZ76" s="108"/>
      <c r="VRA76" s="108"/>
      <c r="VRB76" s="108"/>
      <c r="VRC76" s="108"/>
      <c r="VRD76" s="108"/>
      <c r="VRE76" s="108"/>
      <c r="VRF76" s="108"/>
      <c r="VRG76" s="108"/>
      <c r="VRH76" s="108"/>
      <c r="VRI76" s="108"/>
      <c r="VRJ76" s="108"/>
      <c r="VRK76" s="108"/>
      <c r="VRL76" s="108"/>
      <c r="VRM76" s="108"/>
      <c r="VRN76" s="108"/>
      <c r="VRO76" s="108"/>
      <c r="VRP76" s="108"/>
      <c r="VRQ76" s="108"/>
      <c r="VRR76" s="108"/>
      <c r="VRS76" s="108"/>
      <c r="VRT76" s="108"/>
      <c r="VRU76" s="108"/>
      <c r="VRV76" s="108"/>
      <c r="VRW76" s="108"/>
      <c r="VRX76" s="108"/>
      <c r="VRY76" s="108"/>
      <c r="VRZ76" s="108"/>
      <c r="VSA76" s="108"/>
      <c r="VSB76" s="108"/>
      <c r="VSC76" s="108"/>
      <c r="VSD76" s="108"/>
      <c r="VSE76" s="108"/>
      <c r="VSF76" s="108"/>
      <c r="VSG76" s="108"/>
      <c r="VSH76" s="108"/>
      <c r="VSI76" s="108"/>
      <c r="VSJ76" s="108"/>
      <c r="VSK76" s="108"/>
      <c r="VSL76" s="108"/>
      <c r="VSM76" s="108"/>
      <c r="VSN76" s="108"/>
      <c r="VSO76" s="108"/>
      <c r="VSP76" s="108"/>
      <c r="VSQ76" s="108"/>
      <c r="VSR76" s="108"/>
      <c r="VSS76" s="108"/>
      <c r="VST76" s="108"/>
      <c r="VSU76" s="108"/>
      <c r="VSV76" s="108"/>
      <c r="VSW76" s="108"/>
      <c r="VSX76" s="108"/>
      <c r="VSY76" s="108"/>
      <c r="VSZ76" s="108"/>
      <c r="VTA76" s="108"/>
      <c r="VTB76" s="108"/>
      <c r="VTC76" s="108"/>
      <c r="VTD76" s="108"/>
      <c r="VTE76" s="108"/>
      <c r="VTF76" s="108"/>
      <c r="VTG76" s="108"/>
      <c r="VTH76" s="108"/>
      <c r="VTI76" s="108"/>
      <c r="VTJ76" s="108"/>
      <c r="VTK76" s="108"/>
      <c r="VTL76" s="108"/>
      <c r="VTM76" s="108"/>
      <c r="VTN76" s="108"/>
      <c r="VTO76" s="108"/>
      <c r="VTP76" s="108"/>
      <c r="VTQ76" s="108"/>
      <c r="VTR76" s="108"/>
      <c r="VTS76" s="108"/>
      <c r="VTT76" s="108"/>
      <c r="VTU76" s="108"/>
      <c r="VTV76" s="108"/>
      <c r="VTW76" s="108"/>
      <c r="VTX76" s="108"/>
      <c r="VTY76" s="108"/>
      <c r="VTZ76" s="108"/>
      <c r="VUA76" s="108"/>
      <c r="VUB76" s="108"/>
      <c r="VUC76" s="108"/>
      <c r="VUD76" s="108"/>
      <c r="VUE76" s="108"/>
      <c r="VUF76" s="108"/>
      <c r="VUG76" s="108"/>
      <c r="VUH76" s="108"/>
      <c r="VUI76" s="108"/>
      <c r="VUJ76" s="108"/>
      <c r="VUK76" s="108"/>
      <c r="VUL76" s="108"/>
      <c r="VUM76" s="108"/>
      <c r="VUN76" s="108"/>
      <c r="VUO76" s="108"/>
      <c r="VUP76" s="108"/>
      <c r="VUQ76" s="108"/>
      <c r="VUR76" s="108"/>
      <c r="VUS76" s="108"/>
      <c r="VUT76" s="108"/>
      <c r="VUU76" s="108"/>
      <c r="VUV76" s="108"/>
      <c r="VUW76" s="108"/>
      <c r="VUX76" s="108"/>
      <c r="VUY76" s="108"/>
      <c r="VUZ76" s="108"/>
      <c r="VVA76" s="108"/>
      <c r="VVB76" s="108"/>
      <c r="VVC76" s="108"/>
      <c r="VVD76" s="108"/>
      <c r="VVE76" s="108"/>
      <c r="VVF76" s="108"/>
      <c r="VVG76" s="108"/>
      <c r="VVH76" s="108"/>
      <c r="VVI76" s="108"/>
      <c r="VVJ76" s="108"/>
      <c r="VVK76" s="108"/>
      <c r="VVL76" s="108"/>
      <c r="VVM76" s="108"/>
      <c r="VVN76" s="108"/>
      <c r="VVO76" s="108"/>
      <c r="VVP76" s="108"/>
      <c r="VVQ76" s="108"/>
      <c r="VVR76" s="108"/>
      <c r="VVS76" s="108"/>
      <c r="VVT76" s="108"/>
      <c r="VVU76" s="108"/>
      <c r="VVV76" s="108"/>
      <c r="VVW76" s="108"/>
      <c r="VVX76" s="108"/>
      <c r="VVY76" s="108"/>
      <c r="VVZ76" s="108"/>
      <c r="VWA76" s="108"/>
      <c r="VWB76" s="108"/>
      <c r="VWC76" s="108"/>
      <c r="VWD76" s="108"/>
      <c r="VWE76" s="108"/>
      <c r="VWF76" s="108"/>
      <c r="VWG76" s="108"/>
      <c r="VWH76" s="108"/>
      <c r="VWI76" s="108"/>
      <c r="VWJ76" s="108"/>
      <c r="VWK76" s="108"/>
      <c r="VWL76" s="108"/>
      <c r="VWM76" s="108"/>
      <c r="VWN76" s="108"/>
      <c r="VWO76" s="108"/>
      <c r="VWP76" s="108"/>
      <c r="VWQ76" s="108"/>
      <c r="VWR76" s="108"/>
      <c r="VWS76" s="108"/>
      <c r="VWT76" s="108"/>
      <c r="VWU76" s="108"/>
      <c r="VWV76" s="108"/>
      <c r="VWW76" s="108"/>
      <c r="VWX76" s="108"/>
      <c r="VWY76" s="108"/>
      <c r="VWZ76" s="108"/>
      <c r="VXA76" s="108"/>
      <c r="VXB76" s="108"/>
      <c r="VXC76" s="108"/>
      <c r="VXD76" s="108"/>
      <c r="VXE76" s="108"/>
      <c r="VXF76" s="108"/>
      <c r="VXG76" s="108"/>
      <c r="VXH76" s="108"/>
      <c r="VXI76" s="108"/>
      <c r="VXJ76" s="108"/>
      <c r="VXK76" s="108"/>
      <c r="VXL76" s="108"/>
      <c r="VXM76" s="108"/>
      <c r="VXN76" s="108"/>
      <c r="VXO76" s="108"/>
      <c r="VXP76" s="108"/>
      <c r="VXQ76" s="108"/>
      <c r="VXR76" s="108"/>
      <c r="VXS76" s="108"/>
      <c r="VXT76" s="108"/>
      <c r="VXU76" s="108"/>
      <c r="VXV76" s="108"/>
      <c r="VXW76" s="108"/>
      <c r="VXX76" s="108"/>
      <c r="VXY76" s="108"/>
      <c r="VXZ76" s="108"/>
      <c r="VYA76" s="108"/>
      <c r="VYB76" s="108"/>
      <c r="VYC76" s="108"/>
      <c r="VYD76" s="108"/>
      <c r="VYE76" s="108"/>
      <c r="VYF76" s="108"/>
      <c r="VYG76" s="108"/>
      <c r="VYH76" s="108"/>
      <c r="VYI76" s="108"/>
      <c r="VYJ76" s="108"/>
      <c r="VYK76" s="108"/>
      <c r="VYL76" s="108"/>
      <c r="VYM76" s="108"/>
      <c r="VYN76" s="108"/>
      <c r="VYO76" s="108"/>
      <c r="VYP76" s="108"/>
      <c r="VYQ76" s="108"/>
      <c r="VYR76" s="108"/>
      <c r="VYS76" s="108"/>
      <c r="VYT76" s="108"/>
      <c r="VYU76" s="108"/>
      <c r="VYV76" s="108"/>
      <c r="VYW76" s="108"/>
      <c r="VYX76" s="108"/>
      <c r="VYY76" s="108"/>
      <c r="VYZ76" s="108"/>
      <c r="VZA76" s="108"/>
      <c r="VZB76" s="108"/>
      <c r="VZC76" s="108"/>
      <c r="VZD76" s="108"/>
      <c r="VZE76" s="108"/>
      <c r="VZF76" s="108"/>
      <c r="VZG76" s="108"/>
      <c r="VZH76" s="108"/>
      <c r="VZI76" s="108"/>
      <c r="VZJ76" s="108"/>
      <c r="VZK76" s="108"/>
      <c r="VZL76" s="108"/>
      <c r="VZM76" s="108"/>
      <c r="VZN76" s="108"/>
      <c r="VZO76" s="108"/>
      <c r="VZP76" s="108"/>
      <c r="VZQ76" s="108"/>
      <c r="VZR76" s="108"/>
      <c r="VZS76" s="108"/>
      <c r="VZT76" s="108"/>
      <c r="VZU76" s="108"/>
      <c r="VZV76" s="108"/>
      <c r="VZW76" s="108"/>
      <c r="VZX76" s="108"/>
      <c r="VZY76" s="108"/>
      <c r="VZZ76" s="108"/>
      <c r="WAA76" s="108"/>
      <c r="WAB76" s="108"/>
      <c r="WAC76" s="108"/>
      <c r="WAD76" s="108"/>
      <c r="WAE76" s="108"/>
      <c r="WAF76" s="108"/>
      <c r="WAG76" s="108"/>
      <c r="WAH76" s="108"/>
      <c r="WAI76" s="108"/>
      <c r="WAJ76" s="108"/>
      <c r="WAK76" s="108"/>
      <c r="WAL76" s="108"/>
      <c r="WAM76" s="108"/>
      <c r="WAN76" s="108"/>
      <c r="WAO76" s="108"/>
      <c r="WAP76" s="108"/>
      <c r="WAQ76" s="108"/>
      <c r="WAR76" s="108"/>
      <c r="WAS76" s="108"/>
      <c r="WAT76" s="108"/>
      <c r="WAU76" s="108"/>
      <c r="WAV76" s="108"/>
      <c r="WAW76" s="108"/>
      <c r="WAX76" s="108"/>
      <c r="WAY76" s="108"/>
      <c r="WAZ76" s="108"/>
      <c r="WBA76" s="108"/>
      <c r="WBB76" s="108"/>
      <c r="WBC76" s="108"/>
      <c r="WBD76" s="108"/>
      <c r="WBE76" s="108"/>
      <c r="WBF76" s="108"/>
      <c r="WBG76" s="108"/>
      <c r="WBH76" s="108"/>
      <c r="WBI76" s="108"/>
      <c r="WBJ76" s="108"/>
      <c r="WBK76" s="108"/>
      <c r="WBL76" s="108"/>
      <c r="WBM76" s="108"/>
      <c r="WBN76" s="108"/>
      <c r="WBO76" s="108"/>
      <c r="WBP76" s="108"/>
      <c r="WBQ76" s="108"/>
      <c r="WBR76" s="108"/>
      <c r="WBS76" s="108"/>
      <c r="WBT76" s="108"/>
      <c r="WBU76" s="108"/>
      <c r="WBV76" s="108"/>
      <c r="WBW76" s="108"/>
      <c r="WBX76" s="108"/>
      <c r="WBY76" s="108"/>
      <c r="WBZ76" s="108"/>
      <c r="WCA76" s="108"/>
      <c r="WCB76" s="108"/>
      <c r="WCC76" s="108"/>
      <c r="WCD76" s="108"/>
      <c r="WCE76" s="108"/>
      <c r="WCF76" s="108"/>
      <c r="WCG76" s="108"/>
      <c r="WCH76" s="108"/>
      <c r="WCI76" s="108"/>
      <c r="WCJ76" s="108"/>
      <c r="WCK76" s="108"/>
      <c r="WCL76" s="108"/>
      <c r="WCM76" s="108"/>
      <c r="WCN76" s="108"/>
      <c r="WCO76" s="108"/>
      <c r="WCP76" s="108"/>
      <c r="WCQ76" s="108"/>
      <c r="WCR76" s="108"/>
      <c r="WCS76" s="108"/>
      <c r="WCT76" s="108"/>
      <c r="WCU76" s="108"/>
      <c r="WCV76" s="108"/>
      <c r="WCW76" s="108"/>
      <c r="WCX76" s="108"/>
      <c r="WCY76" s="108"/>
      <c r="WCZ76" s="108"/>
      <c r="WDA76" s="108"/>
      <c r="WDB76" s="108"/>
      <c r="WDC76" s="108"/>
      <c r="WDD76" s="108"/>
      <c r="WDE76" s="108"/>
      <c r="WDF76" s="108"/>
      <c r="WDG76" s="108"/>
      <c r="WDH76" s="108"/>
      <c r="WDI76" s="108"/>
      <c r="WDJ76" s="108"/>
      <c r="WDK76" s="108"/>
      <c r="WDL76" s="108"/>
      <c r="WDM76" s="108"/>
      <c r="WDN76" s="108"/>
      <c r="WDO76" s="108"/>
      <c r="WDP76" s="108"/>
      <c r="WDQ76" s="108"/>
      <c r="WDR76" s="108"/>
      <c r="WDS76" s="108"/>
      <c r="WDT76" s="108"/>
      <c r="WDU76" s="108"/>
      <c r="WDV76" s="108"/>
      <c r="WDW76" s="108"/>
      <c r="WDX76" s="108"/>
      <c r="WDY76" s="108"/>
      <c r="WDZ76" s="108"/>
      <c r="WEA76" s="108"/>
      <c r="WEB76" s="108"/>
      <c r="WEC76" s="108"/>
      <c r="WED76" s="108"/>
      <c r="WEE76" s="108"/>
      <c r="WEF76" s="108"/>
      <c r="WEG76" s="108"/>
      <c r="WEH76" s="108"/>
      <c r="WEI76" s="108"/>
      <c r="WEJ76" s="108"/>
      <c r="WEK76" s="108"/>
      <c r="WEL76" s="108"/>
      <c r="WEM76" s="108"/>
      <c r="WEN76" s="108"/>
      <c r="WEO76" s="108"/>
      <c r="WEP76" s="108"/>
      <c r="WEQ76" s="108"/>
      <c r="WER76" s="108"/>
      <c r="WES76" s="108"/>
      <c r="WET76" s="108"/>
      <c r="WEU76" s="108"/>
      <c r="WEV76" s="108"/>
      <c r="WEW76" s="108"/>
      <c r="WEX76" s="108"/>
      <c r="WEY76" s="108"/>
      <c r="WEZ76" s="108"/>
      <c r="WFA76" s="108"/>
      <c r="WFB76" s="108"/>
      <c r="WFC76" s="108"/>
      <c r="WFD76" s="108"/>
      <c r="WFE76" s="108"/>
      <c r="WFF76" s="108"/>
      <c r="WFG76" s="108"/>
      <c r="WFH76" s="108"/>
      <c r="WFI76" s="108"/>
      <c r="WFJ76" s="108"/>
      <c r="WFK76" s="108"/>
      <c r="WFL76" s="108"/>
      <c r="WFM76" s="108"/>
      <c r="WFN76" s="108"/>
      <c r="WFO76" s="108"/>
      <c r="WFP76" s="108"/>
      <c r="WFQ76" s="108"/>
      <c r="WFR76" s="108"/>
      <c r="WFS76" s="108"/>
      <c r="WFT76" s="108"/>
      <c r="WFU76" s="108"/>
      <c r="WFV76" s="108"/>
      <c r="WFW76" s="108"/>
      <c r="WFX76" s="108"/>
      <c r="WFY76" s="108"/>
      <c r="WFZ76" s="108"/>
      <c r="WGA76" s="108"/>
      <c r="WGB76" s="108"/>
      <c r="WGC76" s="108"/>
      <c r="WGD76" s="108"/>
      <c r="WGE76" s="108"/>
      <c r="WGF76" s="108"/>
      <c r="WGG76" s="108"/>
      <c r="WGH76" s="108"/>
      <c r="WGI76" s="108"/>
      <c r="WGJ76" s="108"/>
      <c r="WGK76" s="108"/>
      <c r="WGL76" s="108"/>
      <c r="WGM76" s="108"/>
      <c r="WGN76" s="108"/>
      <c r="WGO76" s="108"/>
      <c r="WGP76" s="108"/>
      <c r="WGQ76" s="108"/>
      <c r="WGR76" s="108"/>
      <c r="WGS76" s="108"/>
      <c r="WGT76" s="108"/>
      <c r="WGU76" s="108"/>
      <c r="WGV76" s="108"/>
      <c r="WGW76" s="108"/>
      <c r="WGX76" s="108"/>
      <c r="WGY76" s="108"/>
      <c r="WGZ76" s="108"/>
      <c r="WHA76" s="108"/>
      <c r="WHB76" s="108"/>
      <c r="WHC76" s="108"/>
      <c r="WHD76" s="108"/>
      <c r="WHE76" s="108"/>
      <c r="WHF76" s="108"/>
      <c r="WHG76" s="108"/>
      <c r="WHH76" s="108"/>
      <c r="WHI76" s="108"/>
      <c r="WHJ76" s="108"/>
      <c r="WHK76" s="108"/>
      <c r="WHL76" s="108"/>
      <c r="WHM76" s="108"/>
      <c r="WHN76" s="108"/>
      <c r="WHO76" s="108"/>
      <c r="WHP76" s="108"/>
      <c r="WHQ76" s="108"/>
      <c r="WHR76" s="108"/>
      <c r="WHS76" s="108"/>
      <c r="WHT76" s="108"/>
      <c r="WHU76" s="108"/>
      <c r="WHV76" s="108"/>
      <c r="WHW76" s="108"/>
      <c r="WHX76" s="108"/>
      <c r="WHY76" s="108"/>
      <c r="WHZ76" s="108"/>
      <c r="WIA76" s="108"/>
      <c r="WIB76" s="108"/>
      <c r="WIC76" s="108"/>
      <c r="WID76" s="108"/>
      <c r="WIE76" s="108"/>
      <c r="WIF76" s="108"/>
      <c r="WIG76" s="108"/>
      <c r="WIH76" s="108"/>
      <c r="WII76" s="108"/>
      <c r="WIJ76" s="108"/>
      <c r="WIK76" s="108"/>
      <c r="WIL76" s="108"/>
      <c r="WIM76" s="108"/>
      <c r="WIN76" s="108"/>
      <c r="WIO76" s="108"/>
      <c r="WIP76" s="108"/>
      <c r="WIQ76" s="108"/>
      <c r="WIR76" s="108"/>
      <c r="WIS76" s="108"/>
      <c r="WIT76" s="108"/>
      <c r="WIU76" s="108"/>
      <c r="WIV76" s="108"/>
      <c r="WIW76" s="108"/>
      <c r="WIX76" s="108"/>
      <c r="WIY76" s="108"/>
      <c r="WIZ76" s="108"/>
      <c r="WJA76" s="108"/>
      <c r="WJB76" s="108"/>
      <c r="WJC76" s="108"/>
      <c r="WJD76" s="108"/>
      <c r="WJE76" s="108"/>
      <c r="WJF76" s="108"/>
      <c r="WJG76" s="108"/>
      <c r="WJH76" s="108"/>
      <c r="WJI76" s="108"/>
      <c r="WJJ76" s="108"/>
      <c r="WJK76" s="108"/>
      <c r="WJL76" s="108"/>
      <c r="WJM76" s="108"/>
      <c r="WJN76" s="108"/>
      <c r="WJO76" s="108"/>
      <c r="WJP76" s="108"/>
      <c r="WJQ76" s="108"/>
      <c r="WJR76" s="108"/>
      <c r="WJS76" s="108"/>
      <c r="WJT76" s="108"/>
      <c r="WJU76" s="108"/>
      <c r="WJV76" s="108"/>
      <c r="WJW76" s="108"/>
      <c r="WJX76" s="108"/>
      <c r="WJY76" s="108"/>
      <c r="WJZ76" s="108"/>
      <c r="WKA76" s="108"/>
      <c r="WKB76" s="108"/>
      <c r="WKC76" s="108"/>
      <c r="WKD76" s="108"/>
      <c r="WKE76" s="108"/>
      <c r="WKF76" s="108"/>
      <c r="WKG76" s="108"/>
      <c r="WKH76" s="108"/>
      <c r="WKI76" s="108"/>
      <c r="WKJ76" s="108"/>
      <c r="WKK76" s="108"/>
      <c r="WKL76" s="108"/>
      <c r="WKM76" s="108"/>
      <c r="WKN76" s="108"/>
      <c r="WKO76" s="108"/>
      <c r="WKP76" s="108"/>
      <c r="WKQ76" s="108"/>
      <c r="WKR76" s="108"/>
      <c r="WKS76" s="108"/>
      <c r="WKT76" s="108"/>
      <c r="WKU76" s="108"/>
      <c r="WKV76" s="108"/>
      <c r="WKW76" s="108"/>
      <c r="WKX76" s="108"/>
      <c r="WKY76" s="108"/>
      <c r="WKZ76" s="108"/>
      <c r="WLA76" s="108"/>
      <c r="WLB76" s="108"/>
      <c r="WLC76" s="108"/>
      <c r="WLD76" s="108"/>
      <c r="WLE76" s="108"/>
      <c r="WLF76" s="108"/>
      <c r="WLG76" s="108"/>
      <c r="WLH76" s="108"/>
      <c r="WLI76" s="108"/>
      <c r="WLJ76" s="108"/>
      <c r="WLK76" s="108"/>
      <c r="WLL76" s="108"/>
      <c r="WLM76" s="108"/>
      <c r="WLN76" s="108"/>
      <c r="WLO76" s="108"/>
      <c r="WLP76" s="108"/>
      <c r="WLQ76" s="108"/>
      <c r="WLR76" s="108"/>
      <c r="WLS76" s="108"/>
      <c r="WLT76" s="108"/>
      <c r="WLU76" s="108"/>
      <c r="WLV76" s="108"/>
      <c r="WLW76" s="108"/>
      <c r="WLX76" s="108"/>
      <c r="WLY76" s="108"/>
      <c r="WLZ76" s="108"/>
      <c r="WMA76" s="108"/>
      <c r="WMB76" s="108"/>
      <c r="WMC76" s="108"/>
      <c r="WMD76" s="108"/>
      <c r="WME76" s="108"/>
      <c r="WMF76" s="108"/>
      <c r="WMG76" s="108"/>
      <c r="WMH76" s="108"/>
      <c r="WMI76" s="108"/>
      <c r="WMJ76" s="108"/>
      <c r="WMK76" s="108"/>
      <c r="WML76" s="108"/>
      <c r="WMM76" s="108"/>
      <c r="WMN76" s="108"/>
      <c r="WMO76" s="108"/>
      <c r="WMP76" s="108"/>
      <c r="WMQ76" s="108"/>
      <c r="WMR76" s="108"/>
      <c r="WMS76" s="108"/>
      <c r="WMT76" s="108"/>
      <c r="WMU76" s="108"/>
      <c r="WMV76" s="108"/>
      <c r="WMW76" s="108"/>
      <c r="WMX76" s="108"/>
      <c r="WMY76" s="108"/>
      <c r="WMZ76" s="108"/>
      <c r="WNA76" s="108"/>
      <c r="WNB76" s="108"/>
      <c r="WNC76" s="108"/>
      <c r="WND76" s="108"/>
      <c r="WNE76" s="108"/>
      <c r="WNF76" s="108"/>
      <c r="WNG76" s="108"/>
      <c r="WNH76" s="108"/>
      <c r="WNI76" s="108"/>
      <c r="WNJ76" s="108"/>
      <c r="WNK76" s="108"/>
      <c r="WNL76" s="108"/>
      <c r="WNM76" s="108"/>
      <c r="WNN76" s="108"/>
      <c r="WNO76" s="108"/>
      <c r="WNP76" s="108"/>
      <c r="WNQ76" s="108"/>
      <c r="WNR76" s="108"/>
      <c r="WNS76" s="108"/>
      <c r="WNT76" s="108"/>
      <c r="WNU76" s="108"/>
      <c r="WNV76" s="108"/>
      <c r="WNW76" s="108"/>
      <c r="WNX76" s="108"/>
      <c r="WNY76" s="108"/>
      <c r="WNZ76" s="108"/>
      <c r="WOA76" s="108"/>
      <c r="WOB76" s="108"/>
      <c r="WOC76" s="108"/>
      <c r="WOD76" s="108"/>
      <c r="WOE76" s="108"/>
      <c r="WOF76" s="108"/>
      <c r="WOG76" s="108"/>
      <c r="WOH76" s="108"/>
      <c r="WOI76" s="108"/>
      <c r="WOJ76" s="108"/>
      <c r="WOK76" s="108"/>
      <c r="WOL76" s="108"/>
      <c r="WOM76" s="108"/>
      <c r="WON76" s="108"/>
      <c r="WOO76" s="108"/>
      <c r="WOP76" s="108"/>
      <c r="WOQ76" s="108"/>
      <c r="WOR76" s="108"/>
      <c r="WOS76" s="108"/>
      <c r="WOT76" s="108"/>
      <c r="WOU76" s="108"/>
      <c r="WOV76" s="108"/>
      <c r="WOW76" s="108"/>
      <c r="WOX76" s="108"/>
      <c r="WOY76" s="108"/>
      <c r="WOZ76" s="108"/>
      <c r="WPA76" s="108"/>
      <c r="WPB76" s="108"/>
      <c r="WPC76" s="108"/>
      <c r="WPD76" s="108"/>
      <c r="WPE76" s="108"/>
      <c r="WPF76" s="108"/>
      <c r="WPG76" s="108"/>
      <c r="WPH76" s="108"/>
      <c r="WPI76" s="108"/>
      <c r="WPJ76" s="108"/>
      <c r="WPK76" s="108"/>
      <c r="WPL76" s="108"/>
      <c r="WPM76" s="108"/>
      <c r="WPN76" s="108"/>
      <c r="WPO76" s="108"/>
      <c r="WPP76" s="108"/>
      <c r="WPQ76" s="108"/>
      <c r="WPR76" s="108"/>
      <c r="WPS76" s="108"/>
      <c r="WPT76" s="108"/>
      <c r="WPU76" s="108"/>
      <c r="WPV76" s="108"/>
      <c r="WPW76" s="108"/>
      <c r="WPX76" s="108"/>
      <c r="WPY76" s="108"/>
      <c r="WPZ76" s="108"/>
      <c r="WQA76" s="108"/>
      <c r="WQB76" s="108"/>
      <c r="WQC76" s="108"/>
      <c r="WQD76" s="108"/>
      <c r="WQE76" s="108"/>
      <c r="WQF76" s="108"/>
      <c r="WQG76" s="108"/>
      <c r="WQH76" s="108"/>
      <c r="WQI76" s="108"/>
      <c r="WQJ76" s="108"/>
      <c r="WQK76" s="108"/>
      <c r="WQL76" s="108"/>
      <c r="WQM76" s="108"/>
      <c r="WQN76" s="108"/>
      <c r="WQO76" s="108"/>
      <c r="WQP76" s="108"/>
      <c r="WQQ76" s="108"/>
      <c r="WQR76" s="108"/>
      <c r="WQS76" s="108"/>
      <c r="WQT76" s="108"/>
      <c r="WQU76" s="108"/>
      <c r="WQV76" s="108"/>
      <c r="WQW76" s="108"/>
      <c r="WQX76" s="108"/>
      <c r="WQY76" s="108"/>
      <c r="WQZ76" s="108"/>
      <c r="WRA76" s="108"/>
      <c r="WRB76" s="108"/>
      <c r="WRC76" s="108"/>
      <c r="WRD76" s="108"/>
      <c r="WRE76" s="108"/>
      <c r="WRF76" s="108"/>
      <c r="WRG76" s="108"/>
      <c r="WRH76" s="108"/>
      <c r="WRI76" s="108"/>
      <c r="WRJ76" s="108"/>
      <c r="WRK76" s="108"/>
      <c r="WRL76" s="108"/>
      <c r="WRM76" s="108"/>
      <c r="WRN76" s="108"/>
      <c r="WRO76" s="108"/>
      <c r="WRP76" s="108"/>
      <c r="WRQ76" s="108"/>
      <c r="WRR76" s="108"/>
      <c r="WRS76" s="108"/>
      <c r="WRT76" s="108"/>
      <c r="WRU76" s="108"/>
      <c r="WRV76" s="108"/>
      <c r="WRW76" s="108"/>
      <c r="WRX76" s="108"/>
      <c r="WRY76" s="108"/>
      <c r="WRZ76" s="108"/>
      <c r="WSA76" s="108"/>
      <c r="WSB76" s="108"/>
      <c r="WSC76" s="108"/>
      <c r="WSD76" s="108"/>
      <c r="WSE76" s="108"/>
      <c r="WSF76" s="108"/>
      <c r="WSG76" s="108"/>
      <c r="WSH76" s="108"/>
      <c r="WSI76" s="108"/>
      <c r="WSJ76" s="108"/>
      <c r="WSK76" s="108"/>
      <c r="WSL76" s="108"/>
      <c r="WSM76" s="108"/>
      <c r="WSN76" s="108"/>
      <c r="WSO76" s="108"/>
      <c r="WSP76" s="108"/>
      <c r="WSQ76" s="108"/>
      <c r="WSR76" s="108"/>
      <c r="WSS76" s="108"/>
      <c r="WST76" s="108"/>
      <c r="WSU76" s="108"/>
      <c r="WSV76" s="108"/>
      <c r="WSW76" s="108"/>
      <c r="WSX76" s="108"/>
      <c r="WSY76" s="108"/>
      <c r="WSZ76" s="108"/>
      <c r="WTA76" s="108"/>
      <c r="WTB76" s="108"/>
      <c r="WTC76" s="108"/>
      <c r="WTD76" s="108"/>
      <c r="WTE76" s="108"/>
      <c r="WTF76" s="108"/>
      <c r="WTG76" s="108"/>
      <c r="WTH76" s="108"/>
      <c r="WTI76" s="108"/>
      <c r="WTJ76" s="108"/>
      <c r="WTK76" s="108"/>
      <c r="WTL76" s="108"/>
      <c r="WTM76" s="108"/>
      <c r="WTN76" s="108"/>
      <c r="WTO76" s="108"/>
      <c r="WTP76" s="108"/>
      <c r="WTQ76" s="108"/>
      <c r="WTR76" s="108"/>
      <c r="WTS76" s="108"/>
      <c r="WTT76" s="108"/>
      <c r="WTU76" s="108"/>
      <c r="WTV76" s="108"/>
      <c r="WTW76" s="108"/>
      <c r="WTX76" s="108"/>
      <c r="WTY76" s="108"/>
      <c r="WTZ76" s="108"/>
      <c r="WUA76" s="108"/>
      <c r="WUB76" s="108"/>
      <c r="WUC76" s="108"/>
      <c r="WUD76" s="108"/>
      <c r="WUE76" s="108"/>
      <c r="WUF76" s="108"/>
      <c r="WUG76" s="108"/>
      <c r="WUH76" s="108"/>
      <c r="WUI76" s="108"/>
      <c r="WUJ76" s="108"/>
      <c r="WUK76" s="108"/>
      <c r="WUL76" s="108"/>
      <c r="WUM76" s="108"/>
      <c r="WUN76" s="108"/>
      <c r="WUO76" s="108"/>
      <c r="WUP76" s="108"/>
      <c r="WUQ76" s="108"/>
      <c r="WUR76" s="108"/>
      <c r="WUS76" s="108"/>
      <c r="WUT76" s="108"/>
      <c r="WUU76" s="108"/>
      <c r="WUV76" s="108"/>
      <c r="WUW76" s="108"/>
      <c r="WUX76" s="108"/>
      <c r="WUY76" s="108"/>
      <c r="WUZ76" s="108"/>
      <c r="WVA76" s="108"/>
      <c r="WVB76" s="108"/>
      <c r="WVC76" s="108"/>
      <c r="WVD76" s="108"/>
      <c r="WVE76" s="108"/>
      <c r="WVF76" s="108"/>
      <c r="WVG76" s="108"/>
      <c r="WVH76" s="108"/>
      <c r="WVI76" s="108"/>
      <c r="WVJ76" s="108"/>
      <c r="WVK76" s="108"/>
      <c r="WVL76" s="108"/>
      <c r="WVM76" s="108"/>
      <c r="WVN76" s="108"/>
      <c r="WVO76" s="108"/>
      <c r="WVP76" s="108"/>
      <c r="WVQ76" s="108"/>
      <c r="WVR76" s="108"/>
      <c r="WVS76" s="108"/>
      <c r="WVT76" s="108"/>
      <c r="WVU76" s="108"/>
      <c r="WVV76" s="108"/>
      <c r="WVW76" s="108"/>
      <c r="WVX76" s="108"/>
      <c r="WVY76" s="108"/>
      <c r="WVZ76" s="108"/>
      <c r="WWA76" s="108"/>
      <c r="WWB76" s="108"/>
      <c r="WWC76" s="108"/>
      <c r="WWD76" s="108"/>
      <c r="WWE76" s="108"/>
      <c r="WWF76" s="108"/>
      <c r="WWG76" s="108"/>
      <c r="WWH76" s="108"/>
      <c r="WWI76" s="108"/>
      <c r="WWJ76" s="108"/>
      <c r="WWK76" s="108"/>
      <c r="WWL76" s="108"/>
      <c r="WWM76" s="108"/>
      <c r="WWN76" s="108"/>
      <c r="WWO76" s="108"/>
      <c r="WWP76" s="108"/>
      <c r="WWQ76" s="108"/>
      <c r="WWR76" s="108"/>
      <c r="WWS76" s="108"/>
      <c r="WWT76" s="108"/>
      <c r="WWU76" s="108"/>
      <c r="WWV76" s="108"/>
      <c r="WWW76" s="108"/>
      <c r="WWX76" s="108"/>
      <c r="WWY76" s="108"/>
      <c r="WWZ76" s="108"/>
      <c r="WXA76" s="108"/>
      <c r="WXB76" s="108"/>
      <c r="WXC76" s="108"/>
      <c r="WXD76" s="108"/>
      <c r="WXE76" s="108"/>
      <c r="WXF76" s="108"/>
      <c r="WXG76" s="108"/>
      <c r="WXH76" s="108"/>
      <c r="WXI76" s="108"/>
      <c r="WXJ76" s="108"/>
      <c r="WXK76" s="108"/>
      <c r="WXL76" s="108"/>
      <c r="WXM76" s="108"/>
      <c r="WXN76" s="108"/>
      <c r="WXO76" s="108"/>
      <c r="WXP76" s="108"/>
      <c r="WXQ76" s="108"/>
      <c r="WXR76" s="108"/>
      <c r="WXS76" s="108"/>
      <c r="WXT76" s="108"/>
      <c r="WXU76" s="108"/>
      <c r="WXV76" s="108"/>
      <c r="WXW76" s="108"/>
      <c r="WXX76" s="108"/>
      <c r="WXY76" s="108"/>
      <c r="WXZ76" s="108"/>
      <c r="WYA76" s="108"/>
      <c r="WYB76" s="108"/>
      <c r="WYC76" s="108"/>
      <c r="WYD76" s="108"/>
      <c r="WYE76" s="108"/>
      <c r="WYF76" s="108"/>
      <c r="WYG76" s="108"/>
      <c r="WYH76" s="108"/>
      <c r="WYI76" s="108"/>
      <c r="WYJ76" s="108"/>
      <c r="WYK76" s="108"/>
      <c r="WYL76" s="108"/>
      <c r="WYM76" s="108"/>
      <c r="WYN76" s="108"/>
      <c r="WYO76" s="108"/>
      <c r="WYP76" s="108"/>
      <c r="WYQ76" s="108"/>
      <c r="WYR76" s="108"/>
      <c r="WYS76" s="108"/>
      <c r="WYT76" s="108"/>
      <c r="WYU76" s="108"/>
      <c r="WYV76" s="108"/>
      <c r="WYW76" s="108"/>
      <c r="WYX76" s="108"/>
      <c r="WYY76" s="108"/>
      <c r="WYZ76" s="108"/>
      <c r="WZA76" s="108"/>
      <c r="WZB76" s="108"/>
      <c r="WZC76" s="108"/>
      <c r="WZD76" s="108"/>
      <c r="WZE76" s="108"/>
      <c r="WZF76" s="108"/>
      <c r="WZG76" s="108"/>
      <c r="WZH76" s="108"/>
      <c r="WZI76" s="108"/>
      <c r="WZJ76" s="108"/>
      <c r="WZK76" s="108"/>
      <c r="WZL76" s="108"/>
      <c r="WZM76" s="108"/>
      <c r="WZN76" s="108"/>
      <c r="WZO76" s="108"/>
      <c r="WZP76" s="108"/>
      <c r="WZQ76" s="108"/>
      <c r="WZR76" s="108"/>
      <c r="WZS76" s="108"/>
      <c r="WZT76" s="108"/>
      <c r="WZU76" s="108"/>
      <c r="WZV76" s="108"/>
      <c r="WZW76" s="108"/>
      <c r="WZX76" s="108"/>
      <c r="WZY76" s="108"/>
      <c r="WZZ76" s="108"/>
      <c r="XAA76" s="108"/>
      <c r="XAB76" s="108"/>
      <c r="XAC76" s="108"/>
      <c r="XAD76" s="108"/>
      <c r="XAE76" s="108"/>
      <c r="XAF76" s="108"/>
      <c r="XAG76" s="108"/>
      <c r="XAH76" s="108"/>
      <c r="XAI76" s="108"/>
      <c r="XAJ76" s="108"/>
      <c r="XAK76" s="108"/>
      <c r="XAL76" s="108"/>
      <c r="XAM76" s="108"/>
      <c r="XAN76" s="108"/>
      <c r="XAO76" s="108"/>
      <c r="XAP76" s="108"/>
      <c r="XAQ76" s="108"/>
      <c r="XAR76" s="108"/>
      <c r="XAS76" s="108"/>
      <c r="XAT76" s="108"/>
      <c r="XAU76" s="108"/>
      <c r="XAV76" s="108"/>
      <c r="XAW76" s="108"/>
      <c r="XAX76" s="108"/>
      <c r="XAY76" s="108"/>
      <c r="XAZ76" s="108"/>
      <c r="XBA76" s="108"/>
      <c r="XBB76" s="108"/>
      <c r="XBC76" s="108"/>
      <c r="XBD76" s="108"/>
      <c r="XBE76" s="108"/>
      <c r="XBF76" s="108"/>
      <c r="XBG76" s="108"/>
      <c r="XBH76" s="108"/>
      <c r="XBI76" s="108"/>
      <c r="XBJ76" s="108"/>
      <c r="XBK76" s="108"/>
      <c r="XBL76" s="108"/>
      <c r="XBM76" s="108"/>
      <c r="XBN76" s="108"/>
      <c r="XBO76" s="108"/>
      <c r="XBP76" s="108"/>
      <c r="XBQ76" s="108"/>
      <c r="XBR76" s="108"/>
      <c r="XBS76" s="108"/>
      <c r="XBT76" s="108"/>
      <c r="XBU76" s="108"/>
      <c r="XBV76" s="108"/>
      <c r="XBW76" s="108"/>
      <c r="XBX76" s="108"/>
      <c r="XBY76" s="108"/>
      <c r="XBZ76" s="108"/>
      <c r="XCA76" s="108"/>
      <c r="XCB76" s="108"/>
      <c r="XCC76" s="108"/>
      <c r="XCD76" s="108"/>
      <c r="XCE76" s="108"/>
      <c r="XCF76" s="108"/>
      <c r="XCG76" s="108"/>
      <c r="XCH76" s="108"/>
      <c r="XCI76" s="108"/>
      <c r="XCJ76" s="108"/>
      <c r="XCK76" s="108"/>
      <c r="XCL76" s="108"/>
      <c r="XCM76" s="108"/>
      <c r="XCN76" s="108"/>
      <c r="XCO76" s="108"/>
      <c r="XCP76" s="108"/>
      <c r="XCQ76" s="108"/>
      <c r="XCR76" s="108"/>
      <c r="XCS76" s="108"/>
      <c r="XCT76" s="108"/>
      <c r="XCU76" s="108"/>
      <c r="XCV76" s="108"/>
      <c r="XCW76" s="108"/>
      <c r="XCX76" s="108"/>
      <c r="XCY76" s="108"/>
      <c r="XCZ76" s="108"/>
      <c r="XDA76" s="108"/>
      <c r="XDB76" s="108"/>
      <c r="XDC76" s="108"/>
      <c r="XDD76" s="108"/>
      <c r="XDE76" s="108"/>
      <c r="XDF76" s="108"/>
      <c r="XDG76" s="108"/>
      <c r="XDH76" s="108"/>
      <c r="XDI76" s="108"/>
      <c r="XDJ76" s="108"/>
      <c r="XDK76" s="108"/>
      <c r="XDL76" s="108"/>
      <c r="XDM76" s="108"/>
      <c r="XDN76" s="108"/>
      <c r="XDO76" s="108"/>
      <c r="XDP76" s="108"/>
      <c r="XDQ76" s="108"/>
      <c r="XDR76" s="108"/>
      <c r="XDS76" s="108"/>
      <c r="XDT76" s="108"/>
      <c r="XDU76" s="108"/>
      <c r="XDV76" s="108"/>
      <c r="XDW76" s="108"/>
      <c r="XDX76" s="108"/>
      <c r="XDY76" s="108"/>
      <c r="XDZ76" s="108"/>
      <c r="XEA76" s="108"/>
      <c r="XEB76" s="108"/>
      <c r="XEC76" s="108"/>
      <c r="XED76" s="108"/>
      <c r="XEE76" s="108"/>
      <c r="XEF76" s="108"/>
      <c r="XEG76" s="108"/>
      <c r="XEH76" s="108"/>
      <c r="XEI76" s="108"/>
      <c r="XEJ76" s="108"/>
      <c r="XEK76" s="108"/>
      <c r="XEL76" s="108"/>
      <c r="XEM76" s="108"/>
      <c r="XEN76" s="108"/>
      <c r="XEO76" s="108"/>
      <c r="XEP76" s="108"/>
    </row>
    <row r="77" spans="1:16370" hidden="1" outlineLevel="1">
      <c r="A77" s="70" t="s">
        <v>123</v>
      </c>
      <c r="B77" s="85" t="s">
        <v>85</v>
      </c>
      <c r="C77" s="72"/>
      <c r="D77" s="77">
        <f>'0'!D18</f>
        <v>1</v>
      </c>
      <c r="E77" s="77">
        <f>'0'!E18</f>
        <v>2</v>
      </c>
      <c r="F77" s="77">
        <f>'0'!F18</f>
        <v>2</v>
      </c>
      <c r="G77" s="77">
        <f>'0'!G18</f>
        <v>2</v>
      </c>
      <c r="H77" s="77">
        <f>'0'!H18</f>
        <v>2</v>
      </c>
      <c r="I77" s="77">
        <f>'0'!I18</f>
        <v>3</v>
      </c>
      <c r="J77" s="77">
        <f>'0'!J18</f>
        <v>3</v>
      </c>
      <c r="K77" s="77">
        <f>'0'!K18</f>
        <v>3</v>
      </c>
      <c r="L77" s="77">
        <f>'0'!L18</f>
        <v>3</v>
      </c>
      <c r="M77" s="77">
        <f>'0'!M18</f>
        <v>3</v>
      </c>
      <c r="N77" s="77">
        <f>'0'!N18</f>
        <v>4</v>
      </c>
      <c r="O77" s="77">
        <f>'0'!O18</f>
        <v>4</v>
      </c>
      <c r="P77" s="77">
        <f>'0'!P18</f>
        <v>4</v>
      </c>
      <c r="Q77" s="77">
        <f>'0'!Q18</f>
        <v>4</v>
      </c>
      <c r="R77" s="77">
        <f>'0'!R18</f>
        <v>4</v>
      </c>
      <c r="S77" s="77">
        <f>'0'!S18</f>
        <v>4</v>
      </c>
      <c r="T77" s="77">
        <f>'0'!T18</f>
        <v>4</v>
      </c>
      <c r="U77" s="77">
        <f>'0'!U18</f>
        <v>4</v>
      </c>
      <c r="V77" s="77">
        <f>'0'!V18</f>
        <v>4</v>
      </c>
      <c r="W77" s="77">
        <f>'0'!W18</f>
        <v>4</v>
      </c>
      <c r="X77" s="77">
        <f>'0'!X18</f>
        <v>4</v>
      </c>
      <c r="Y77" s="77">
        <f>'0'!Y18</f>
        <v>4</v>
      </c>
      <c r="Z77" s="77">
        <f>'0'!Z18</f>
        <v>4</v>
      </c>
      <c r="AA77" s="77">
        <f>'0'!AA18</f>
        <v>4</v>
      </c>
      <c r="AB77" s="77">
        <f>'0'!AB18</f>
        <v>4</v>
      </c>
      <c r="AC77" s="77">
        <f>'0'!AC18</f>
        <v>4</v>
      </c>
      <c r="AD77" s="77">
        <f>'0'!AD18</f>
        <v>4</v>
      </c>
      <c r="AE77" s="77">
        <f>'0'!AE18</f>
        <v>4</v>
      </c>
      <c r="AF77" s="77">
        <f>'0'!AF18</f>
        <v>4</v>
      </c>
      <c r="AG77" s="77">
        <f>'0'!AG18</f>
        <v>4</v>
      </c>
      <c r="AH77" s="77">
        <f>'0'!AH18</f>
        <v>4</v>
      </c>
      <c r="AI77" s="77">
        <f>'0'!AI18</f>
        <v>4</v>
      </c>
      <c r="AJ77" s="77">
        <f>'0'!AJ18</f>
        <v>4</v>
      </c>
      <c r="AK77" s="77">
        <f>'0'!AK18</f>
        <v>4</v>
      </c>
      <c r="AL77" s="77">
        <f>'0'!AL18</f>
        <v>4</v>
      </c>
      <c r="AM77" s="77">
        <f>'0'!AM18</f>
        <v>4</v>
      </c>
      <c r="AN77" s="81"/>
      <c r="AO77" s="75">
        <f>O77</f>
        <v>4</v>
      </c>
      <c r="AP77" s="75">
        <f>AA77</f>
        <v>4</v>
      </c>
      <c r="AQ77" s="75">
        <f>AM77</f>
        <v>4</v>
      </c>
    </row>
    <row r="78" spans="1:16370" hidden="1" outlineLevel="1">
      <c r="A78" s="70" t="s">
        <v>234</v>
      </c>
      <c r="B78" s="85" t="s">
        <v>85</v>
      </c>
      <c r="C78" s="72"/>
      <c r="D78" s="86">
        <v>30</v>
      </c>
      <c r="E78" s="86">
        <v>30</v>
      </c>
      <c r="F78" s="86">
        <v>30</v>
      </c>
      <c r="G78" s="86">
        <v>30</v>
      </c>
      <c r="H78" s="86">
        <v>30</v>
      </c>
      <c r="I78" s="86">
        <v>30</v>
      </c>
      <c r="J78" s="86">
        <v>30</v>
      </c>
      <c r="K78" s="86">
        <v>30</v>
      </c>
      <c r="L78" s="86">
        <v>30</v>
      </c>
      <c r="M78" s="86">
        <v>30</v>
      </c>
      <c r="N78" s="86">
        <v>30</v>
      </c>
      <c r="O78" s="86">
        <v>30</v>
      </c>
      <c r="P78" s="86">
        <v>30</v>
      </c>
      <c r="Q78" s="86">
        <v>30</v>
      </c>
      <c r="R78" s="86">
        <v>30</v>
      </c>
      <c r="S78" s="86">
        <v>30</v>
      </c>
      <c r="T78" s="86">
        <v>30</v>
      </c>
      <c r="U78" s="86">
        <v>30</v>
      </c>
      <c r="V78" s="86">
        <v>30</v>
      </c>
      <c r="W78" s="86">
        <v>30</v>
      </c>
      <c r="X78" s="86">
        <v>30</v>
      </c>
      <c r="Y78" s="86">
        <v>30</v>
      </c>
      <c r="Z78" s="86">
        <v>30</v>
      </c>
      <c r="AA78" s="86">
        <v>30</v>
      </c>
      <c r="AB78" s="86">
        <v>30</v>
      </c>
      <c r="AC78" s="86">
        <v>30</v>
      </c>
      <c r="AD78" s="86">
        <v>30</v>
      </c>
      <c r="AE78" s="86">
        <v>30</v>
      </c>
      <c r="AF78" s="86">
        <v>30</v>
      </c>
      <c r="AG78" s="86">
        <v>30</v>
      </c>
      <c r="AH78" s="86">
        <v>30</v>
      </c>
      <c r="AI78" s="86">
        <v>30</v>
      </c>
      <c r="AJ78" s="86">
        <v>30</v>
      </c>
      <c r="AK78" s="86">
        <v>30</v>
      </c>
      <c r="AL78" s="86">
        <v>30</v>
      </c>
      <c r="AM78" s="86">
        <v>30</v>
      </c>
      <c r="AN78" s="81"/>
      <c r="AO78" s="75">
        <f>AVERAGE(D78:O78)</f>
        <v>30</v>
      </c>
      <c r="AP78" s="75">
        <f>AVERAGE(P78:AA78)</f>
        <v>30</v>
      </c>
      <c r="AQ78" s="75">
        <f>AVERAGE(AB78:AM78)</f>
        <v>30</v>
      </c>
    </row>
    <row r="79" spans="1:16370" hidden="1" outlineLevel="1">
      <c r="A79" s="70" t="s">
        <v>235</v>
      </c>
      <c r="B79" s="85" t="s">
        <v>85</v>
      </c>
      <c r="C79" s="72"/>
      <c r="D79" s="77">
        <f>D77*D78</f>
        <v>30</v>
      </c>
      <c r="E79" s="77">
        <f t="shared" ref="E79:AM79" si="98">E77*E78</f>
        <v>60</v>
      </c>
      <c r="F79" s="77">
        <f t="shared" si="98"/>
        <v>60</v>
      </c>
      <c r="G79" s="77">
        <f t="shared" si="98"/>
        <v>60</v>
      </c>
      <c r="H79" s="77">
        <f t="shared" si="98"/>
        <v>60</v>
      </c>
      <c r="I79" s="77">
        <f t="shared" si="98"/>
        <v>90</v>
      </c>
      <c r="J79" s="77">
        <f t="shared" si="98"/>
        <v>90</v>
      </c>
      <c r="K79" s="77">
        <f t="shared" si="98"/>
        <v>90</v>
      </c>
      <c r="L79" s="77">
        <f t="shared" si="98"/>
        <v>90</v>
      </c>
      <c r="M79" s="77">
        <f t="shared" si="98"/>
        <v>90</v>
      </c>
      <c r="N79" s="77">
        <f t="shared" si="98"/>
        <v>120</v>
      </c>
      <c r="O79" s="77">
        <f t="shared" si="98"/>
        <v>120</v>
      </c>
      <c r="P79" s="77">
        <f t="shared" si="98"/>
        <v>120</v>
      </c>
      <c r="Q79" s="77">
        <f t="shared" si="98"/>
        <v>120</v>
      </c>
      <c r="R79" s="77">
        <f t="shared" si="98"/>
        <v>120</v>
      </c>
      <c r="S79" s="77">
        <f t="shared" si="98"/>
        <v>120</v>
      </c>
      <c r="T79" s="77">
        <f t="shared" si="98"/>
        <v>120</v>
      </c>
      <c r="U79" s="77">
        <f t="shared" si="98"/>
        <v>120</v>
      </c>
      <c r="V79" s="77">
        <f t="shared" si="98"/>
        <v>120</v>
      </c>
      <c r="W79" s="77">
        <f t="shared" si="98"/>
        <v>120</v>
      </c>
      <c r="X79" s="77">
        <f t="shared" si="98"/>
        <v>120</v>
      </c>
      <c r="Y79" s="77">
        <f t="shared" si="98"/>
        <v>120</v>
      </c>
      <c r="Z79" s="77">
        <f t="shared" si="98"/>
        <v>120</v>
      </c>
      <c r="AA79" s="77">
        <f t="shared" si="98"/>
        <v>120</v>
      </c>
      <c r="AB79" s="77">
        <f t="shared" si="98"/>
        <v>120</v>
      </c>
      <c r="AC79" s="77">
        <f t="shared" si="98"/>
        <v>120</v>
      </c>
      <c r="AD79" s="77">
        <f t="shared" si="98"/>
        <v>120</v>
      </c>
      <c r="AE79" s="77">
        <f t="shared" si="98"/>
        <v>120</v>
      </c>
      <c r="AF79" s="77">
        <f t="shared" si="98"/>
        <v>120</v>
      </c>
      <c r="AG79" s="77">
        <f t="shared" si="98"/>
        <v>120</v>
      </c>
      <c r="AH79" s="77">
        <f t="shared" si="98"/>
        <v>120</v>
      </c>
      <c r="AI79" s="77">
        <f t="shared" si="98"/>
        <v>120</v>
      </c>
      <c r="AJ79" s="77">
        <f t="shared" si="98"/>
        <v>120</v>
      </c>
      <c r="AK79" s="77">
        <f t="shared" si="98"/>
        <v>120</v>
      </c>
      <c r="AL79" s="77">
        <f t="shared" si="98"/>
        <v>120</v>
      </c>
      <c r="AM79" s="77">
        <f t="shared" si="98"/>
        <v>120</v>
      </c>
      <c r="AN79" s="81"/>
      <c r="AO79" s="75">
        <f>SUM(D79:O79)</f>
        <v>960</v>
      </c>
      <c r="AP79" s="75">
        <f>SUM(P79:AA79)</f>
        <v>1440</v>
      </c>
      <c r="AQ79" s="75">
        <f>SUM(AB79:AM79)</f>
        <v>1440</v>
      </c>
    </row>
    <row r="80" spans="1:16370" hidden="1" outlineLevel="1">
      <c r="A80" s="70" t="s">
        <v>236</v>
      </c>
      <c r="B80" s="71" t="s">
        <v>208</v>
      </c>
      <c r="C80" s="72"/>
      <c r="D80" s="104">
        <v>5</v>
      </c>
      <c r="E80" s="104">
        <v>5</v>
      </c>
      <c r="F80" s="104">
        <v>5</v>
      </c>
      <c r="G80" s="104">
        <v>5</v>
      </c>
      <c r="H80" s="104">
        <v>5</v>
      </c>
      <c r="I80" s="104">
        <v>5</v>
      </c>
      <c r="J80" s="104">
        <v>5</v>
      </c>
      <c r="K80" s="104">
        <v>5</v>
      </c>
      <c r="L80" s="104">
        <v>5</v>
      </c>
      <c r="M80" s="104">
        <v>5</v>
      </c>
      <c r="N80" s="104">
        <v>5</v>
      </c>
      <c r="O80" s="104">
        <v>5</v>
      </c>
      <c r="P80" s="104">
        <v>5</v>
      </c>
      <c r="Q80" s="104">
        <v>5</v>
      </c>
      <c r="R80" s="104">
        <v>5</v>
      </c>
      <c r="S80" s="104">
        <v>5</v>
      </c>
      <c r="T80" s="104">
        <v>5</v>
      </c>
      <c r="U80" s="104">
        <v>5</v>
      </c>
      <c r="V80" s="104">
        <v>5</v>
      </c>
      <c r="W80" s="104">
        <v>5</v>
      </c>
      <c r="X80" s="104">
        <v>5</v>
      </c>
      <c r="Y80" s="104">
        <v>5</v>
      </c>
      <c r="Z80" s="104">
        <v>5</v>
      </c>
      <c r="AA80" s="104">
        <v>5</v>
      </c>
      <c r="AB80" s="104">
        <v>5</v>
      </c>
      <c r="AC80" s="104">
        <v>5</v>
      </c>
      <c r="AD80" s="104">
        <v>5</v>
      </c>
      <c r="AE80" s="104">
        <v>5</v>
      </c>
      <c r="AF80" s="104">
        <v>5</v>
      </c>
      <c r="AG80" s="104">
        <v>5</v>
      </c>
      <c r="AH80" s="104">
        <v>5</v>
      </c>
      <c r="AI80" s="104">
        <v>5</v>
      </c>
      <c r="AJ80" s="104">
        <v>5</v>
      </c>
      <c r="AK80" s="104">
        <v>5</v>
      </c>
      <c r="AL80" s="104">
        <v>5</v>
      </c>
      <c r="AM80" s="104">
        <v>5</v>
      </c>
      <c r="AN80" s="81"/>
      <c r="AO80" s="75">
        <f>AVERAGE(D80:O80)</f>
        <v>5</v>
      </c>
      <c r="AP80" s="75">
        <f>AVERAGE(P80:AA80)</f>
        <v>5</v>
      </c>
      <c r="AQ80" s="75">
        <f>AVERAGE(AB80:AM80)</f>
        <v>5</v>
      </c>
    </row>
    <row r="81" spans="1:16370" s="69" customFormat="1" hidden="1" outlineLevel="1">
      <c r="A81" s="70" t="s">
        <v>152</v>
      </c>
      <c r="B81" s="71" t="s">
        <v>208</v>
      </c>
      <c r="C81" s="72"/>
      <c r="D81" s="73">
        <f>D79*D80</f>
        <v>150</v>
      </c>
      <c r="E81" s="73">
        <f t="shared" ref="E81:AM81" si="99">E79*E80</f>
        <v>300</v>
      </c>
      <c r="F81" s="73">
        <f t="shared" si="99"/>
        <v>300</v>
      </c>
      <c r="G81" s="73">
        <f t="shared" si="99"/>
        <v>300</v>
      </c>
      <c r="H81" s="73">
        <f t="shared" si="99"/>
        <v>300</v>
      </c>
      <c r="I81" s="73">
        <f t="shared" si="99"/>
        <v>450</v>
      </c>
      <c r="J81" s="73">
        <f t="shared" si="99"/>
        <v>450</v>
      </c>
      <c r="K81" s="73">
        <f t="shared" si="99"/>
        <v>450</v>
      </c>
      <c r="L81" s="73">
        <f t="shared" si="99"/>
        <v>450</v>
      </c>
      <c r="M81" s="73">
        <f t="shared" si="99"/>
        <v>450</v>
      </c>
      <c r="N81" s="73">
        <f t="shared" si="99"/>
        <v>600</v>
      </c>
      <c r="O81" s="73">
        <f t="shared" si="99"/>
        <v>600</v>
      </c>
      <c r="P81" s="73">
        <f t="shared" si="99"/>
        <v>600</v>
      </c>
      <c r="Q81" s="73">
        <f t="shared" si="99"/>
        <v>600</v>
      </c>
      <c r="R81" s="73">
        <f t="shared" si="99"/>
        <v>600</v>
      </c>
      <c r="S81" s="73">
        <f t="shared" si="99"/>
        <v>600</v>
      </c>
      <c r="T81" s="73">
        <f t="shared" si="99"/>
        <v>600</v>
      </c>
      <c r="U81" s="73">
        <f t="shared" si="99"/>
        <v>600</v>
      </c>
      <c r="V81" s="73">
        <f t="shared" si="99"/>
        <v>600</v>
      </c>
      <c r="W81" s="73">
        <f t="shared" si="99"/>
        <v>600</v>
      </c>
      <c r="X81" s="73">
        <f t="shared" si="99"/>
        <v>600</v>
      </c>
      <c r="Y81" s="73">
        <f t="shared" si="99"/>
        <v>600</v>
      </c>
      <c r="Z81" s="73">
        <f t="shared" si="99"/>
        <v>600</v>
      </c>
      <c r="AA81" s="73">
        <f t="shared" si="99"/>
        <v>600</v>
      </c>
      <c r="AB81" s="73">
        <f t="shared" si="99"/>
        <v>600</v>
      </c>
      <c r="AC81" s="73">
        <f t="shared" si="99"/>
        <v>600</v>
      </c>
      <c r="AD81" s="73">
        <f t="shared" si="99"/>
        <v>600</v>
      </c>
      <c r="AE81" s="73">
        <f t="shared" si="99"/>
        <v>600</v>
      </c>
      <c r="AF81" s="73">
        <f t="shared" si="99"/>
        <v>600</v>
      </c>
      <c r="AG81" s="73">
        <f t="shared" si="99"/>
        <v>600</v>
      </c>
      <c r="AH81" s="73">
        <f t="shared" si="99"/>
        <v>600</v>
      </c>
      <c r="AI81" s="73">
        <f t="shared" si="99"/>
        <v>600</v>
      </c>
      <c r="AJ81" s="73">
        <f t="shared" si="99"/>
        <v>600</v>
      </c>
      <c r="AK81" s="73">
        <f t="shared" si="99"/>
        <v>600</v>
      </c>
      <c r="AL81" s="73">
        <f t="shared" si="99"/>
        <v>600</v>
      </c>
      <c r="AM81" s="73">
        <f t="shared" si="99"/>
        <v>600</v>
      </c>
      <c r="AN81" s="74"/>
      <c r="AO81" s="75">
        <f>O81</f>
        <v>600</v>
      </c>
      <c r="AP81" s="75">
        <f>AA81</f>
        <v>600</v>
      </c>
      <c r="AQ81" s="75">
        <f>AM81</f>
        <v>600</v>
      </c>
    </row>
    <row r="82" spans="1:16370" hidden="1" outlineLevel="1">
      <c r="A82" s="70" t="s">
        <v>249</v>
      </c>
      <c r="B82" s="71" t="s">
        <v>208</v>
      </c>
      <c r="C82" s="72"/>
      <c r="D82" s="104">
        <v>10</v>
      </c>
      <c r="E82" s="104">
        <v>10</v>
      </c>
      <c r="F82" s="104">
        <v>10</v>
      </c>
      <c r="G82" s="104">
        <v>10</v>
      </c>
      <c r="H82" s="104">
        <v>10</v>
      </c>
      <c r="I82" s="104">
        <v>10</v>
      </c>
      <c r="J82" s="104">
        <v>10</v>
      </c>
      <c r="K82" s="104">
        <v>10</v>
      </c>
      <c r="L82" s="104">
        <v>10</v>
      </c>
      <c r="M82" s="104">
        <v>10</v>
      </c>
      <c r="N82" s="104">
        <v>10</v>
      </c>
      <c r="O82" s="104">
        <v>10</v>
      </c>
      <c r="P82" s="104">
        <v>10</v>
      </c>
      <c r="Q82" s="104">
        <v>10</v>
      </c>
      <c r="R82" s="104">
        <v>10</v>
      </c>
      <c r="S82" s="104">
        <v>10</v>
      </c>
      <c r="T82" s="104">
        <v>10</v>
      </c>
      <c r="U82" s="104">
        <v>10</v>
      </c>
      <c r="V82" s="104">
        <v>10</v>
      </c>
      <c r="W82" s="104">
        <v>10</v>
      </c>
      <c r="X82" s="104">
        <v>10</v>
      </c>
      <c r="Y82" s="104">
        <v>10</v>
      </c>
      <c r="Z82" s="104">
        <v>10</v>
      </c>
      <c r="AA82" s="104">
        <v>10</v>
      </c>
      <c r="AB82" s="104">
        <v>10</v>
      </c>
      <c r="AC82" s="104">
        <v>10</v>
      </c>
      <c r="AD82" s="104">
        <v>10</v>
      </c>
      <c r="AE82" s="104">
        <v>10</v>
      </c>
      <c r="AF82" s="104">
        <v>10</v>
      </c>
      <c r="AG82" s="104">
        <v>10</v>
      </c>
      <c r="AH82" s="104">
        <v>10</v>
      </c>
      <c r="AI82" s="104">
        <v>10</v>
      </c>
      <c r="AJ82" s="104">
        <v>10</v>
      </c>
      <c r="AK82" s="104">
        <v>10</v>
      </c>
      <c r="AL82" s="104">
        <v>10</v>
      </c>
      <c r="AM82" s="104">
        <v>10</v>
      </c>
      <c r="AN82" s="81"/>
      <c r="AO82" s="75">
        <f>AVERAGE(D82:O82)</f>
        <v>10</v>
      </c>
      <c r="AP82" s="75">
        <f>AVERAGE(P82:AA82)</f>
        <v>10</v>
      </c>
      <c r="AQ82" s="75">
        <f>AVERAGE(AB82:AM82)</f>
        <v>10</v>
      </c>
    </row>
    <row r="83" spans="1:16370" s="69" customFormat="1" hidden="1" outlineLevel="1">
      <c r="A83" s="70" t="s">
        <v>247</v>
      </c>
      <c r="B83" s="71" t="s">
        <v>79</v>
      </c>
      <c r="C83" s="72"/>
      <c r="D83" s="92">
        <v>0.02</v>
      </c>
      <c r="E83" s="92">
        <v>0.02</v>
      </c>
      <c r="F83" s="92">
        <v>0.02</v>
      </c>
      <c r="G83" s="92">
        <v>0.02</v>
      </c>
      <c r="H83" s="92">
        <v>0.02</v>
      </c>
      <c r="I83" s="92">
        <v>0.02</v>
      </c>
      <c r="J83" s="92">
        <v>0.02</v>
      </c>
      <c r="K83" s="92">
        <v>0.02</v>
      </c>
      <c r="L83" s="92">
        <v>0.02</v>
      </c>
      <c r="M83" s="92">
        <v>0.02</v>
      </c>
      <c r="N83" s="92">
        <v>0.02</v>
      </c>
      <c r="O83" s="92">
        <v>0.02</v>
      </c>
      <c r="P83" s="92">
        <v>0.02</v>
      </c>
      <c r="Q83" s="92">
        <v>0.02</v>
      </c>
      <c r="R83" s="92">
        <v>0.02</v>
      </c>
      <c r="S83" s="92">
        <v>0.02</v>
      </c>
      <c r="T83" s="92">
        <v>0.02</v>
      </c>
      <c r="U83" s="92">
        <v>0.02</v>
      </c>
      <c r="V83" s="92">
        <v>0.02</v>
      </c>
      <c r="W83" s="92">
        <v>0.02</v>
      </c>
      <c r="X83" s="92">
        <v>0.02</v>
      </c>
      <c r="Y83" s="92">
        <v>0.02</v>
      </c>
      <c r="Z83" s="92">
        <v>0.02</v>
      </c>
      <c r="AA83" s="92">
        <v>0.02</v>
      </c>
      <c r="AB83" s="92">
        <v>0.02</v>
      </c>
      <c r="AC83" s="92">
        <v>0.02</v>
      </c>
      <c r="AD83" s="92">
        <v>0.02</v>
      </c>
      <c r="AE83" s="92">
        <v>0.02</v>
      </c>
      <c r="AF83" s="92">
        <v>0.02</v>
      </c>
      <c r="AG83" s="92">
        <v>0.02</v>
      </c>
      <c r="AH83" s="92">
        <v>0.02</v>
      </c>
      <c r="AI83" s="92">
        <v>0.02</v>
      </c>
      <c r="AJ83" s="92">
        <v>0.02</v>
      </c>
      <c r="AK83" s="92">
        <v>0.02</v>
      </c>
      <c r="AL83" s="92">
        <v>0.02</v>
      </c>
      <c r="AM83" s="92">
        <v>0.02</v>
      </c>
      <c r="AN83" s="74"/>
      <c r="AO83" s="75"/>
      <c r="AP83" s="75"/>
      <c r="AQ83" s="75"/>
    </row>
    <row r="84" spans="1:16370" hidden="1" outlineLevel="1">
      <c r="A84" s="70" t="s">
        <v>80</v>
      </c>
      <c r="B84" s="71" t="s">
        <v>79</v>
      </c>
      <c r="C84" s="72"/>
      <c r="D84" s="92">
        <v>0.04</v>
      </c>
      <c r="E84" s="92">
        <v>0.04</v>
      </c>
      <c r="F84" s="92">
        <v>0.04</v>
      </c>
      <c r="G84" s="92">
        <v>0.04</v>
      </c>
      <c r="H84" s="92">
        <v>0.04</v>
      </c>
      <c r="I84" s="92">
        <v>0.04</v>
      </c>
      <c r="J84" s="92">
        <v>0.04</v>
      </c>
      <c r="K84" s="92">
        <v>0.04</v>
      </c>
      <c r="L84" s="92">
        <v>0.04</v>
      </c>
      <c r="M84" s="92">
        <v>0.04</v>
      </c>
      <c r="N84" s="92">
        <v>0.04</v>
      </c>
      <c r="O84" s="92">
        <v>0.04</v>
      </c>
      <c r="P84" s="92">
        <v>0.04</v>
      </c>
      <c r="Q84" s="92">
        <v>0.04</v>
      </c>
      <c r="R84" s="92">
        <v>0.04</v>
      </c>
      <c r="S84" s="92">
        <v>0.04</v>
      </c>
      <c r="T84" s="92">
        <v>0.04</v>
      </c>
      <c r="U84" s="92">
        <v>0.04</v>
      </c>
      <c r="V84" s="92">
        <v>0.04</v>
      </c>
      <c r="W84" s="92">
        <v>0.04</v>
      </c>
      <c r="X84" s="92">
        <v>0.04</v>
      </c>
      <c r="Y84" s="92">
        <v>0.04</v>
      </c>
      <c r="Z84" s="92">
        <v>0.04</v>
      </c>
      <c r="AA84" s="92">
        <v>0.04</v>
      </c>
      <c r="AB84" s="92">
        <v>0.04</v>
      </c>
      <c r="AC84" s="92">
        <v>0.04</v>
      </c>
      <c r="AD84" s="92">
        <v>0.04</v>
      </c>
      <c r="AE84" s="92">
        <v>0.04</v>
      </c>
      <c r="AF84" s="92">
        <v>0.04</v>
      </c>
      <c r="AG84" s="92">
        <v>0.04</v>
      </c>
      <c r="AH84" s="92">
        <v>0.04</v>
      </c>
      <c r="AI84" s="92">
        <v>0.04</v>
      </c>
      <c r="AJ84" s="92">
        <v>0.04</v>
      </c>
      <c r="AK84" s="92">
        <v>0.04</v>
      </c>
      <c r="AL84" s="92">
        <v>0.04</v>
      </c>
      <c r="AM84" s="92">
        <v>0.04</v>
      </c>
      <c r="AN84" s="81"/>
      <c r="AO84" s="93">
        <f>AVERAGE(D84:O84)</f>
        <v>3.9999999999999994E-2</v>
      </c>
      <c r="AP84" s="93">
        <f>AVERAGE(P84:AA84)</f>
        <v>3.9999999999999994E-2</v>
      </c>
      <c r="AQ84" s="93">
        <f>AVERAGE(AB84:AM84)</f>
        <v>3.9999999999999994E-2</v>
      </c>
    </row>
    <row r="85" spans="1:16370" hidden="1" outlineLevel="1">
      <c r="A85" s="70" t="s">
        <v>146</v>
      </c>
      <c r="B85" s="71" t="s">
        <v>208</v>
      </c>
      <c r="C85" s="72"/>
      <c r="D85" s="73">
        <f t="shared" ref="D85:AM85" si="100">(C81+D81)/2*D84/12</f>
        <v>0.25</v>
      </c>
      <c r="E85" s="73">
        <f t="shared" si="100"/>
        <v>0.75</v>
      </c>
      <c r="F85" s="73">
        <f t="shared" si="100"/>
        <v>1</v>
      </c>
      <c r="G85" s="73">
        <f t="shared" si="100"/>
        <v>1</v>
      </c>
      <c r="H85" s="73">
        <f t="shared" si="100"/>
        <v>1</v>
      </c>
      <c r="I85" s="73">
        <f t="shared" si="100"/>
        <v>1.25</v>
      </c>
      <c r="J85" s="73">
        <f t="shared" si="100"/>
        <v>1.5</v>
      </c>
      <c r="K85" s="73">
        <f t="shared" si="100"/>
        <v>1.5</v>
      </c>
      <c r="L85" s="73">
        <f t="shared" si="100"/>
        <v>1.5</v>
      </c>
      <c r="M85" s="73">
        <f t="shared" si="100"/>
        <v>1.5</v>
      </c>
      <c r="N85" s="73">
        <f t="shared" si="100"/>
        <v>1.75</v>
      </c>
      <c r="O85" s="73">
        <f t="shared" si="100"/>
        <v>2</v>
      </c>
      <c r="P85" s="73">
        <f t="shared" si="100"/>
        <v>2</v>
      </c>
      <c r="Q85" s="73">
        <f t="shared" si="100"/>
        <v>2</v>
      </c>
      <c r="R85" s="73">
        <f t="shared" si="100"/>
        <v>2</v>
      </c>
      <c r="S85" s="73">
        <f t="shared" si="100"/>
        <v>2</v>
      </c>
      <c r="T85" s="73">
        <f t="shared" si="100"/>
        <v>2</v>
      </c>
      <c r="U85" s="73">
        <f t="shared" si="100"/>
        <v>2</v>
      </c>
      <c r="V85" s="73">
        <f t="shared" si="100"/>
        <v>2</v>
      </c>
      <c r="W85" s="73">
        <f t="shared" si="100"/>
        <v>2</v>
      </c>
      <c r="X85" s="73">
        <f t="shared" si="100"/>
        <v>2</v>
      </c>
      <c r="Y85" s="73">
        <f t="shared" si="100"/>
        <v>2</v>
      </c>
      <c r="Z85" s="73">
        <f t="shared" si="100"/>
        <v>2</v>
      </c>
      <c r="AA85" s="73">
        <f t="shared" si="100"/>
        <v>2</v>
      </c>
      <c r="AB85" s="73">
        <f t="shared" si="100"/>
        <v>2</v>
      </c>
      <c r="AC85" s="73">
        <f t="shared" si="100"/>
        <v>2</v>
      </c>
      <c r="AD85" s="73">
        <f t="shared" si="100"/>
        <v>2</v>
      </c>
      <c r="AE85" s="73">
        <f t="shared" si="100"/>
        <v>2</v>
      </c>
      <c r="AF85" s="73">
        <f t="shared" si="100"/>
        <v>2</v>
      </c>
      <c r="AG85" s="73">
        <f t="shared" si="100"/>
        <v>2</v>
      </c>
      <c r="AH85" s="73">
        <f t="shared" si="100"/>
        <v>2</v>
      </c>
      <c r="AI85" s="73">
        <f t="shared" si="100"/>
        <v>2</v>
      </c>
      <c r="AJ85" s="73">
        <f t="shared" si="100"/>
        <v>2</v>
      </c>
      <c r="AK85" s="73">
        <f t="shared" si="100"/>
        <v>2</v>
      </c>
      <c r="AL85" s="73">
        <f t="shared" si="100"/>
        <v>2</v>
      </c>
      <c r="AM85" s="73">
        <f t="shared" si="100"/>
        <v>2</v>
      </c>
      <c r="AN85" s="81"/>
      <c r="AO85" s="75">
        <f>SUM(D85:O85)</f>
        <v>15</v>
      </c>
      <c r="AP85" s="75">
        <f>SUM(P85:AA85)</f>
        <v>24</v>
      </c>
      <c r="AQ85" s="75">
        <f>SUM(AB85:AM85)</f>
        <v>24</v>
      </c>
    </row>
    <row r="86" spans="1:16370" hidden="1" outlineLevel="1">
      <c r="A86" s="70" t="s">
        <v>237</v>
      </c>
      <c r="B86" s="71" t="s">
        <v>208</v>
      </c>
      <c r="C86" s="72"/>
      <c r="D86" s="104">
        <f>480/20000</f>
        <v>2.4E-2</v>
      </c>
      <c r="E86" s="104">
        <f t="shared" ref="E86:AM86" si="101">480/20000</f>
        <v>2.4E-2</v>
      </c>
      <c r="F86" s="104">
        <f t="shared" si="101"/>
        <v>2.4E-2</v>
      </c>
      <c r="G86" s="104">
        <f t="shared" si="101"/>
        <v>2.4E-2</v>
      </c>
      <c r="H86" s="104">
        <f t="shared" si="101"/>
        <v>2.4E-2</v>
      </c>
      <c r="I86" s="104">
        <f t="shared" si="101"/>
        <v>2.4E-2</v>
      </c>
      <c r="J86" s="104">
        <f t="shared" si="101"/>
        <v>2.4E-2</v>
      </c>
      <c r="K86" s="104">
        <f t="shared" si="101"/>
        <v>2.4E-2</v>
      </c>
      <c r="L86" s="104">
        <f t="shared" si="101"/>
        <v>2.4E-2</v>
      </c>
      <c r="M86" s="104">
        <f t="shared" si="101"/>
        <v>2.4E-2</v>
      </c>
      <c r="N86" s="104">
        <f t="shared" si="101"/>
        <v>2.4E-2</v>
      </c>
      <c r="O86" s="104">
        <f t="shared" si="101"/>
        <v>2.4E-2</v>
      </c>
      <c r="P86" s="104">
        <f t="shared" si="101"/>
        <v>2.4E-2</v>
      </c>
      <c r="Q86" s="104">
        <f t="shared" si="101"/>
        <v>2.4E-2</v>
      </c>
      <c r="R86" s="104">
        <f t="shared" si="101"/>
        <v>2.4E-2</v>
      </c>
      <c r="S86" s="104">
        <f t="shared" si="101"/>
        <v>2.4E-2</v>
      </c>
      <c r="T86" s="104">
        <f t="shared" si="101"/>
        <v>2.4E-2</v>
      </c>
      <c r="U86" s="104">
        <f t="shared" si="101"/>
        <v>2.4E-2</v>
      </c>
      <c r="V86" s="104">
        <f t="shared" si="101"/>
        <v>2.4E-2</v>
      </c>
      <c r="W86" s="104">
        <f t="shared" si="101"/>
        <v>2.4E-2</v>
      </c>
      <c r="X86" s="104">
        <f t="shared" si="101"/>
        <v>2.4E-2</v>
      </c>
      <c r="Y86" s="104">
        <f t="shared" si="101"/>
        <v>2.4E-2</v>
      </c>
      <c r="Z86" s="104">
        <f t="shared" si="101"/>
        <v>2.4E-2</v>
      </c>
      <c r="AA86" s="104">
        <f t="shared" si="101"/>
        <v>2.4E-2</v>
      </c>
      <c r="AB86" s="104">
        <f t="shared" si="101"/>
        <v>2.4E-2</v>
      </c>
      <c r="AC86" s="104">
        <f t="shared" si="101"/>
        <v>2.4E-2</v>
      </c>
      <c r="AD86" s="104">
        <f t="shared" si="101"/>
        <v>2.4E-2</v>
      </c>
      <c r="AE86" s="104">
        <f t="shared" si="101"/>
        <v>2.4E-2</v>
      </c>
      <c r="AF86" s="104">
        <f t="shared" si="101"/>
        <v>2.4E-2</v>
      </c>
      <c r="AG86" s="104">
        <f t="shared" si="101"/>
        <v>2.4E-2</v>
      </c>
      <c r="AH86" s="104">
        <f t="shared" si="101"/>
        <v>2.4E-2</v>
      </c>
      <c r="AI86" s="104">
        <f t="shared" si="101"/>
        <v>2.4E-2</v>
      </c>
      <c r="AJ86" s="104">
        <f t="shared" si="101"/>
        <v>2.4E-2</v>
      </c>
      <c r="AK86" s="104">
        <f t="shared" si="101"/>
        <v>2.4E-2</v>
      </c>
      <c r="AL86" s="104">
        <f t="shared" si="101"/>
        <v>2.4E-2</v>
      </c>
      <c r="AM86" s="104">
        <f t="shared" si="101"/>
        <v>2.4E-2</v>
      </c>
      <c r="AN86" s="81"/>
      <c r="AO86" s="75"/>
      <c r="AP86" s="75"/>
      <c r="AQ86" s="75"/>
    </row>
    <row r="87" spans="1:16370" hidden="1" outlineLevel="1">
      <c r="A87" s="70" t="s">
        <v>97</v>
      </c>
      <c r="B87" s="85" t="s">
        <v>78</v>
      </c>
      <c r="C87" s="72"/>
      <c r="D87" s="77">
        <f t="shared" ref="D87:AM87" si="102">D86*D79*(1-2/102)</f>
        <v>0.70588235294117641</v>
      </c>
      <c r="E87" s="77">
        <f t="shared" si="102"/>
        <v>1.4117647058823528</v>
      </c>
      <c r="F87" s="77">
        <f t="shared" si="102"/>
        <v>1.4117647058823528</v>
      </c>
      <c r="G87" s="77">
        <f t="shared" si="102"/>
        <v>1.4117647058823528</v>
      </c>
      <c r="H87" s="77">
        <f t="shared" si="102"/>
        <v>1.4117647058823528</v>
      </c>
      <c r="I87" s="77">
        <f t="shared" si="102"/>
        <v>2.1176470588235294</v>
      </c>
      <c r="J87" s="77">
        <f t="shared" si="102"/>
        <v>2.1176470588235294</v>
      </c>
      <c r="K87" s="77">
        <f t="shared" si="102"/>
        <v>2.1176470588235294</v>
      </c>
      <c r="L87" s="77">
        <f t="shared" si="102"/>
        <v>2.1176470588235294</v>
      </c>
      <c r="M87" s="77">
        <f t="shared" si="102"/>
        <v>2.1176470588235294</v>
      </c>
      <c r="N87" s="77">
        <f t="shared" si="102"/>
        <v>2.8235294117647056</v>
      </c>
      <c r="O87" s="77">
        <f t="shared" si="102"/>
        <v>2.8235294117647056</v>
      </c>
      <c r="P87" s="77">
        <f t="shared" si="102"/>
        <v>2.8235294117647056</v>
      </c>
      <c r="Q87" s="77">
        <f t="shared" si="102"/>
        <v>2.8235294117647056</v>
      </c>
      <c r="R87" s="77">
        <f t="shared" si="102"/>
        <v>2.8235294117647056</v>
      </c>
      <c r="S87" s="77">
        <f t="shared" si="102"/>
        <v>2.8235294117647056</v>
      </c>
      <c r="T87" s="77">
        <f t="shared" si="102"/>
        <v>2.8235294117647056</v>
      </c>
      <c r="U87" s="77">
        <f t="shared" si="102"/>
        <v>2.8235294117647056</v>
      </c>
      <c r="V87" s="77">
        <f t="shared" si="102"/>
        <v>2.8235294117647056</v>
      </c>
      <c r="W87" s="77">
        <f t="shared" si="102"/>
        <v>2.8235294117647056</v>
      </c>
      <c r="X87" s="77">
        <f t="shared" si="102"/>
        <v>2.8235294117647056</v>
      </c>
      <c r="Y87" s="77">
        <f t="shared" si="102"/>
        <v>2.8235294117647056</v>
      </c>
      <c r="Z87" s="77">
        <f t="shared" si="102"/>
        <v>2.8235294117647056</v>
      </c>
      <c r="AA87" s="77">
        <f t="shared" si="102"/>
        <v>2.8235294117647056</v>
      </c>
      <c r="AB87" s="77">
        <f t="shared" si="102"/>
        <v>2.8235294117647056</v>
      </c>
      <c r="AC87" s="77">
        <f t="shared" si="102"/>
        <v>2.8235294117647056</v>
      </c>
      <c r="AD87" s="77">
        <f t="shared" si="102"/>
        <v>2.8235294117647056</v>
      </c>
      <c r="AE87" s="77">
        <f t="shared" si="102"/>
        <v>2.8235294117647056</v>
      </c>
      <c r="AF87" s="77">
        <f t="shared" si="102"/>
        <v>2.8235294117647056</v>
      </c>
      <c r="AG87" s="77">
        <f t="shared" si="102"/>
        <v>2.8235294117647056</v>
      </c>
      <c r="AH87" s="77">
        <f t="shared" si="102"/>
        <v>2.8235294117647056</v>
      </c>
      <c r="AI87" s="77">
        <f t="shared" si="102"/>
        <v>2.8235294117647056</v>
      </c>
      <c r="AJ87" s="77">
        <f t="shared" si="102"/>
        <v>2.8235294117647056</v>
      </c>
      <c r="AK87" s="77">
        <f t="shared" si="102"/>
        <v>2.8235294117647056</v>
      </c>
      <c r="AL87" s="77">
        <f t="shared" si="102"/>
        <v>2.8235294117647056</v>
      </c>
      <c r="AM87" s="77">
        <f t="shared" si="102"/>
        <v>2.8235294117647056</v>
      </c>
      <c r="AN87" s="81"/>
      <c r="AO87" s="75">
        <f>SUM(D87:O87)</f>
        <v>22.588235294117645</v>
      </c>
      <c r="AP87" s="75">
        <f>SUM(P87:AA87)</f>
        <v>33.882352941176471</v>
      </c>
      <c r="AQ87" s="75">
        <f>SUM(AB87:AM87)</f>
        <v>33.882352941176471</v>
      </c>
    </row>
    <row r="88" spans="1:16370" hidden="1" outlineLevel="1">
      <c r="A88" s="70" t="s">
        <v>248</v>
      </c>
      <c r="B88" s="85" t="s">
        <v>78</v>
      </c>
      <c r="C88" s="72"/>
      <c r="D88" s="77">
        <f>-D82*D79*D83</f>
        <v>-6</v>
      </c>
      <c r="E88" s="77">
        <f t="shared" ref="E88:AM88" si="103">-(E82*E79+D79*D82)/2*E83</f>
        <v>-9</v>
      </c>
      <c r="F88" s="77">
        <f t="shared" si="103"/>
        <v>-12</v>
      </c>
      <c r="G88" s="77">
        <f t="shared" si="103"/>
        <v>-12</v>
      </c>
      <c r="H88" s="77">
        <f t="shared" si="103"/>
        <v>-12</v>
      </c>
      <c r="I88" s="77">
        <f t="shared" si="103"/>
        <v>-15</v>
      </c>
      <c r="J88" s="77">
        <f t="shared" si="103"/>
        <v>-18</v>
      </c>
      <c r="K88" s="77">
        <f t="shared" si="103"/>
        <v>-18</v>
      </c>
      <c r="L88" s="77">
        <f t="shared" si="103"/>
        <v>-18</v>
      </c>
      <c r="M88" s="77">
        <f t="shared" si="103"/>
        <v>-18</v>
      </c>
      <c r="N88" s="77">
        <f t="shared" si="103"/>
        <v>-21</v>
      </c>
      <c r="O88" s="77">
        <f t="shared" si="103"/>
        <v>-24</v>
      </c>
      <c r="P88" s="77">
        <f t="shared" si="103"/>
        <v>-24</v>
      </c>
      <c r="Q88" s="77">
        <f t="shared" si="103"/>
        <v>-24</v>
      </c>
      <c r="R88" s="77">
        <f t="shared" si="103"/>
        <v>-24</v>
      </c>
      <c r="S88" s="77">
        <f t="shared" si="103"/>
        <v>-24</v>
      </c>
      <c r="T88" s="77">
        <f t="shared" si="103"/>
        <v>-24</v>
      </c>
      <c r="U88" s="77">
        <f t="shared" si="103"/>
        <v>-24</v>
      </c>
      <c r="V88" s="77">
        <f t="shared" si="103"/>
        <v>-24</v>
      </c>
      <c r="W88" s="77">
        <f t="shared" si="103"/>
        <v>-24</v>
      </c>
      <c r="X88" s="77">
        <f t="shared" si="103"/>
        <v>-24</v>
      </c>
      <c r="Y88" s="77">
        <f t="shared" si="103"/>
        <v>-24</v>
      </c>
      <c r="Z88" s="77">
        <f t="shared" si="103"/>
        <v>-24</v>
      </c>
      <c r="AA88" s="77">
        <f t="shared" si="103"/>
        <v>-24</v>
      </c>
      <c r="AB88" s="77">
        <f t="shared" si="103"/>
        <v>-24</v>
      </c>
      <c r="AC88" s="77">
        <f t="shared" si="103"/>
        <v>-24</v>
      </c>
      <c r="AD88" s="77">
        <f t="shared" si="103"/>
        <v>-24</v>
      </c>
      <c r="AE88" s="77">
        <f t="shared" si="103"/>
        <v>-24</v>
      </c>
      <c r="AF88" s="77">
        <f t="shared" si="103"/>
        <v>-24</v>
      </c>
      <c r="AG88" s="77">
        <f t="shared" si="103"/>
        <v>-24</v>
      </c>
      <c r="AH88" s="77">
        <f t="shared" si="103"/>
        <v>-24</v>
      </c>
      <c r="AI88" s="77">
        <f t="shared" si="103"/>
        <v>-24</v>
      </c>
      <c r="AJ88" s="77">
        <f t="shared" si="103"/>
        <v>-24</v>
      </c>
      <c r="AK88" s="77">
        <f t="shared" si="103"/>
        <v>-24</v>
      </c>
      <c r="AL88" s="77">
        <f t="shared" si="103"/>
        <v>-24</v>
      </c>
      <c r="AM88" s="77">
        <f t="shared" si="103"/>
        <v>-24</v>
      </c>
      <c r="AN88" s="81"/>
      <c r="AO88" s="75">
        <f>SUM(D88:O88)</f>
        <v>-183</v>
      </c>
      <c r="AP88" s="75">
        <f>SUM(P88:AA88)</f>
        <v>-288</v>
      </c>
      <c r="AQ88" s="75">
        <f>SUM(AB88:AM88)</f>
        <v>-288</v>
      </c>
    </row>
    <row r="89" spans="1:16370" hidden="1" outlineLevel="1">
      <c r="A89" s="70" t="s">
        <v>238</v>
      </c>
      <c r="B89" s="71" t="s">
        <v>208</v>
      </c>
      <c r="C89" s="72"/>
      <c r="D89" s="104">
        <f>-0.02</f>
        <v>-0.02</v>
      </c>
      <c r="E89" s="104">
        <f t="shared" ref="E89:AM89" si="104">-0.02</f>
        <v>-0.02</v>
      </c>
      <c r="F89" s="104">
        <f t="shared" si="104"/>
        <v>-0.02</v>
      </c>
      <c r="G89" s="104">
        <f t="shared" si="104"/>
        <v>-0.02</v>
      </c>
      <c r="H89" s="104">
        <f t="shared" si="104"/>
        <v>-0.02</v>
      </c>
      <c r="I89" s="104">
        <f t="shared" si="104"/>
        <v>-0.02</v>
      </c>
      <c r="J89" s="104">
        <f t="shared" si="104"/>
        <v>-0.02</v>
      </c>
      <c r="K89" s="104">
        <f t="shared" si="104"/>
        <v>-0.02</v>
      </c>
      <c r="L89" s="104">
        <f t="shared" si="104"/>
        <v>-0.02</v>
      </c>
      <c r="M89" s="104">
        <f t="shared" si="104"/>
        <v>-0.02</v>
      </c>
      <c r="N89" s="104">
        <f t="shared" si="104"/>
        <v>-0.02</v>
      </c>
      <c r="O89" s="104">
        <f t="shared" si="104"/>
        <v>-0.02</v>
      </c>
      <c r="P89" s="104">
        <f t="shared" si="104"/>
        <v>-0.02</v>
      </c>
      <c r="Q89" s="104">
        <f t="shared" si="104"/>
        <v>-0.02</v>
      </c>
      <c r="R89" s="104">
        <f t="shared" si="104"/>
        <v>-0.02</v>
      </c>
      <c r="S89" s="104">
        <f t="shared" si="104"/>
        <v>-0.02</v>
      </c>
      <c r="T89" s="104">
        <f t="shared" si="104"/>
        <v>-0.02</v>
      </c>
      <c r="U89" s="104">
        <f t="shared" si="104"/>
        <v>-0.02</v>
      </c>
      <c r="V89" s="104">
        <f t="shared" si="104"/>
        <v>-0.02</v>
      </c>
      <c r="W89" s="104">
        <f t="shared" si="104"/>
        <v>-0.02</v>
      </c>
      <c r="X89" s="104">
        <f t="shared" si="104"/>
        <v>-0.02</v>
      </c>
      <c r="Y89" s="104">
        <f t="shared" si="104"/>
        <v>-0.02</v>
      </c>
      <c r="Z89" s="104">
        <f t="shared" si="104"/>
        <v>-0.02</v>
      </c>
      <c r="AA89" s="104">
        <f t="shared" si="104"/>
        <v>-0.02</v>
      </c>
      <c r="AB89" s="104">
        <f t="shared" si="104"/>
        <v>-0.02</v>
      </c>
      <c r="AC89" s="104">
        <f t="shared" si="104"/>
        <v>-0.02</v>
      </c>
      <c r="AD89" s="104">
        <f t="shared" si="104"/>
        <v>-0.02</v>
      </c>
      <c r="AE89" s="104">
        <f t="shared" si="104"/>
        <v>-0.02</v>
      </c>
      <c r="AF89" s="104">
        <f t="shared" si="104"/>
        <v>-0.02</v>
      </c>
      <c r="AG89" s="104">
        <f t="shared" si="104"/>
        <v>-0.02</v>
      </c>
      <c r="AH89" s="104">
        <f t="shared" si="104"/>
        <v>-0.02</v>
      </c>
      <c r="AI89" s="104">
        <f t="shared" si="104"/>
        <v>-0.02</v>
      </c>
      <c r="AJ89" s="104">
        <f t="shared" si="104"/>
        <v>-0.02</v>
      </c>
      <c r="AK89" s="104">
        <f t="shared" si="104"/>
        <v>-0.02</v>
      </c>
      <c r="AL89" s="104">
        <f t="shared" si="104"/>
        <v>-0.02</v>
      </c>
      <c r="AM89" s="104">
        <f t="shared" si="104"/>
        <v>-0.02</v>
      </c>
      <c r="AN89" s="81"/>
      <c r="AO89" s="75"/>
      <c r="AP89" s="75"/>
      <c r="AQ89" s="75"/>
    </row>
    <row r="90" spans="1:16370" hidden="1" outlineLevel="1">
      <c r="A90" s="70" t="s">
        <v>206</v>
      </c>
      <c r="B90" s="85" t="s">
        <v>78</v>
      </c>
      <c r="C90" s="72"/>
      <c r="D90" s="73">
        <f t="shared" ref="D90:AM90" si="105">D89*D79</f>
        <v>-0.6</v>
      </c>
      <c r="E90" s="73">
        <f t="shared" si="105"/>
        <v>-1.2</v>
      </c>
      <c r="F90" s="73">
        <f t="shared" si="105"/>
        <v>-1.2</v>
      </c>
      <c r="G90" s="73">
        <f t="shared" si="105"/>
        <v>-1.2</v>
      </c>
      <c r="H90" s="73">
        <f t="shared" si="105"/>
        <v>-1.2</v>
      </c>
      <c r="I90" s="73">
        <f t="shared" si="105"/>
        <v>-1.8</v>
      </c>
      <c r="J90" s="73">
        <f t="shared" si="105"/>
        <v>-1.8</v>
      </c>
      <c r="K90" s="73">
        <f t="shared" si="105"/>
        <v>-1.8</v>
      </c>
      <c r="L90" s="73">
        <f t="shared" si="105"/>
        <v>-1.8</v>
      </c>
      <c r="M90" s="73">
        <f t="shared" si="105"/>
        <v>-1.8</v>
      </c>
      <c r="N90" s="73">
        <f t="shared" si="105"/>
        <v>-2.4</v>
      </c>
      <c r="O90" s="73">
        <f t="shared" si="105"/>
        <v>-2.4</v>
      </c>
      <c r="P90" s="73">
        <f t="shared" si="105"/>
        <v>-2.4</v>
      </c>
      <c r="Q90" s="73">
        <f t="shared" si="105"/>
        <v>-2.4</v>
      </c>
      <c r="R90" s="73">
        <f t="shared" si="105"/>
        <v>-2.4</v>
      </c>
      <c r="S90" s="73">
        <f t="shared" si="105"/>
        <v>-2.4</v>
      </c>
      <c r="T90" s="73">
        <f t="shared" si="105"/>
        <v>-2.4</v>
      </c>
      <c r="U90" s="73">
        <f t="shared" si="105"/>
        <v>-2.4</v>
      </c>
      <c r="V90" s="73">
        <f t="shared" si="105"/>
        <v>-2.4</v>
      </c>
      <c r="W90" s="73">
        <f t="shared" si="105"/>
        <v>-2.4</v>
      </c>
      <c r="X90" s="73">
        <f t="shared" si="105"/>
        <v>-2.4</v>
      </c>
      <c r="Y90" s="73">
        <f t="shared" si="105"/>
        <v>-2.4</v>
      </c>
      <c r="Z90" s="73">
        <f t="shared" si="105"/>
        <v>-2.4</v>
      </c>
      <c r="AA90" s="73">
        <f t="shared" si="105"/>
        <v>-2.4</v>
      </c>
      <c r="AB90" s="73">
        <f t="shared" si="105"/>
        <v>-2.4</v>
      </c>
      <c r="AC90" s="73">
        <f t="shared" si="105"/>
        <v>-2.4</v>
      </c>
      <c r="AD90" s="73">
        <f t="shared" si="105"/>
        <v>-2.4</v>
      </c>
      <c r="AE90" s="73">
        <f t="shared" si="105"/>
        <v>-2.4</v>
      </c>
      <c r="AF90" s="73">
        <f t="shared" si="105"/>
        <v>-2.4</v>
      </c>
      <c r="AG90" s="73">
        <f t="shared" si="105"/>
        <v>-2.4</v>
      </c>
      <c r="AH90" s="73">
        <f t="shared" si="105"/>
        <v>-2.4</v>
      </c>
      <c r="AI90" s="73">
        <f t="shared" si="105"/>
        <v>-2.4</v>
      </c>
      <c r="AJ90" s="73">
        <f t="shared" si="105"/>
        <v>-2.4</v>
      </c>
      <c r="AK90" s="73">
        <f t="shared" si="105"/>
        <v>-2.4</v>
      </c>
      <c r="AL90" s="73">
        <f t="shared" si="105"/>
        <v>-2.4</v>
      </c>
      <c r="AM90" s="73">
        <f t="shared" si="105"/>
        <v>-2.4</v>
      </c>
      <c r="AN90" s="81"/>
      <c r="AO90" s="75">
        <f>SUM(D90:O90)</f>
        <v>-19.2</v>
      </c>
      <c r="AP90" s="75">
        <f>SUM(P90:AA90)</f>
        <v>-28.799999999999994</v>
      </c>
      <c r="AQ90" s="75">
        <f>SUM(AB90:AM90)</f>
        <v>-28.799999999999994</v>
      </c>
    </row>
    <row r="91" spans="1:16370" s="144" customFormat="1" hidden="1" outlineLevel="1">
      <c r="A91" s="70" t="s">
        <v>320</v>
      </c>
      <c r="B91" s="139" t="s">
        <v>78</v>
      </c>
      <c r="C91" s="140"/>
      <c r="D91" s="141"/>
      <c r="E91" s="141">
        <f>-0.2%*D81/12</f>
        <v>-2.4999999999999998E-2</v>
      </c>
      <c r="F91" s="141">
        <f>-0.2%*(D81+E81)/2/12</f>
        <v>-3.7499999999999999E-2</v>
      </c>
      <c r="G91" s="141">
        <f t="shared" ref="G91:AM91" si="106">-0.2%*(E81+F81)/2/12</f>
        <v>-4.9999999999999996E-2</v>
      </c>
      <c r="H91" s="141">
        <f t="shared" si="106"/>
        <v>-4.9999999999999996E-2</v>
      </c>
      <c r="I91" s="141">
        <f t="shared" si="106"/>
        <v>-4.9999999999999996E-2</v>
      </c>
      <c r="J91" s="141">
        <f t="shared" si="106"/>
        <v>-6.25E-2</v>
      </c>
      <c r="K91" s="141">
        <f t="shared" si="106"/>
        <v>-7.4999999999999997E-2</v>
      </c>
      <c r="L91" s="141">
        <f t="shared" si="106"/>
        <v>-7.4999999999999997E-2</v>
      </c>
      <c r="M91" s="141">
        <f t="shared" si="106"/>
        <v>-7.4999999999999997E-2</v>
      </c>
      <c r="N91" s="141">
        <f t="shared" si="106"/>
        <v>-7.4999999999999997E-2</v>
      </c>
      <c r="O91" s="141">
        <f t="shared" si="106"/>
        <v>-8.7500000000000008E-2</v>
      </c>
      <c r="P91" s="141">
        <f t="shared" si="106"/>
        <v>-9.9999999999999992E-2</v>
      </c>
      <c r="Q91" s="141">
        <f t="shared" si="106"/>
        <v>-9.9999999999999992E-2</v>
      </c>
      <c r="R91" s="141">
        <f t="shared" si="106"/>
        <v>-9.9999999999999992E-2</v>
      </c>
      <c r="S91" s="141">
        <f t="shared" si="106"/>
        <v>-9.9999999999999992E-2</v>
      </c>
      <c r="T91" s="141">
        <f t="shared" si="106"/>
        <v>-9.9999999999999992E-2</v>
      </c>
      <c r="U91" s="141">
        <f t="shared" si="106"/>
        <v>-9.9999999999999992E-2</v>
      </c>
      <c r="V91" s="141">
        <f t="shared" si="106"/>
        <v>-9.9999999999999992E-2</v>
      </c>
      <c r="W91" s="141">
        <f t="shared" si="106"/>
        <v>-9.9999999999999992E-2</v>
      </c>
      <c r="X91" s="141">
        <f t="shared" si="106"/>
        <v>-9.9999999999999992E-2</v>
      </c>
      <c r="Y91" s="141">
        <f t="shared" si="106"/>
        <v>-9.9999999999999992E-2</v>
      </c>
      <c r="Z91" s="141">
        <f t="shared" si="106"/>
        <v>-9.9999999999999992E-2</v>
      </c>
      <c r="AA91" s="141">
        <f t="shared" si="106"/>
        <v>-9.9999999999999992E-2</v>
      </c>
      <c r="AB91" s="141">
        <f t="shared" si="106"/>
        <v>-9.9999999999999992E-2</v>
      </c>
      <c r="AC91" s="141">
        <f t="shared" si="106"/>
        <v>-9.9999999999999992E-2</v>
      </c>
      <c r="AD91" s="141">
        <f t="shared" si="106"/>
        <v>-9.9999999999999992E-2</v>
      </c>
      <c r="AE91" s="141">
        <f t="shared" si="106"/>
        <v>-9.9999999999999992E-2</v>
      </c>
      <c r="AF91" s="141">
        <f t="shared" si="106"/>
        <v>-9.9999999999999992E-2</v>
      </c>
      <c r="AG91" s="141">
        <f t="shared" si="106"/>
        <v>-9.9999999999999992E-2</v>
      </c>
      <c r="AH91" s="141">
        <f t="shared" si="106"/>
        <v>-9.9999999999999992E-2</v>
      </c>
      <c r="AI91" s="141">
        <f t="shared" si="106"/>
        <v>-9.9999999999999992E-2</v>
      </c>
      <c r="AJ91" s="141">
        <f t="shared" si="106"/>
        <v>-9.9999999999999992E-2</v>
      </c>
      <c r="AK91" s="141">
        <f t="shared" si="106"/>
        <v>-9.9999999999999992E-2</v>
      </c>
      <c r="AL91" s="141">
        <f t="shared" si="106"/>
        <v>-9.9999999999999992E-2</v>
      </c>
      <c r="AM91" s="141">
        <f t="shared" si="106"/>
        <v>-9.9999999999999992E-2</v>
      </c>
      <c r="AN91" s="142"/>
      <c r="AO91" s="143">
        <f t="shared" ref="AO91" si="107">SUM(D91:O91)</f>
        <v>-0.66249999999999998</v>
      </c>
      <c r="AP91" s="143">
        <f t="shared" ref="AP91" si="108">SUM(P91:AA91)</f>
        <v>-1.2</v>
      </c>
      <c r="AQ91" s="143">
        <f t="shared" ref="AQ91" si="109">SUM(AB91:AM91)</f>
        <v>-1.2</v>
      </c>
    </row>
    <row r="92" spans="1:16370" hidden="1" outlineLevel="1">
      <c r="A92" s="70" t="s">
        <v>205</v>
      </c>
      <c r="B92" s="85" t="s">
        <v>78</v>
      </c>
      <c r="C92" s="72"/>
      <c r="D92" s="77">
        <f>-'OPEX+CAPEX'!E87</f>
        <v>-107.21119047619047</v>
      </c>
      <c r="E92" s="77">
        <f>-'OPEX+CAPEX'!F87</f>
        <v>-107.27952380952382</v>
      </c>
      <c r="F92" s="77">
        <f>-'OPEX+CAPEX'!G87</f>
        <v>-107.27952380952382</v>
      </c>
      <c r="G92" s="77">
        <f>-'OPEX+CAPEX'!H87</f>
        <v>-107.27952380952382</v>
      </c>
      <c r="H92" s="77">
        <f>-'OPEX+CAPEX'!I87</f>
        <v>-107.27952380952382</v>
      </c>
      <c r="I92" s="77">
        <f>-'OPEX+CAPEX'!J87</f>
        <v>-107.34785714285715</v>
      </c>
      <c r="J92" s="77">
        <f>-'OPEX+CAPEX'!K87</f>
        <v>-107.34785714285715</v>
      </c>
      <c r="K92" s="77">
        <f>-'OPEX+CAPEX'!L87</f>
        <v>-107.34785714285715</v>
      </c>
      <c r="L92" s="77">
        <f>-'OPEX+CAPEX'!M87</f>
        <v>-107.34785714285715</v>
      </c>
      <c r="M92" s="77">
        <f>-'OPEX+CAPEX'!N87</f>
        <v>-107.34785714285715</v>
      </c>
      <c r="N92" s="77">
        <f>-'OPEX+CAPEX'!O87</f>
        <v>-107.41619047619048</v>
      </c>
      <c r="O92" s="77">
        <f>-'OPEX+CAPEX'!P87</f>
        <v>-107.41619047619048</v>
      </c>
      <c r="P92" s="77">
        <f>-'OPEX+CAPEX'!Q87</f>
        <v>-107.41619047619048</v>
      </c>
      <c r="Q92" s="77">
        <f>-'OPEX+CAPEX'!R87</f>
        <v>-107.41619047619048</v>
      </c>
      <c r="R92" s="77">
        <f>-'OPEX+CAPEX'!S87</f>
        <v>-107.41619047619048</v>
      </c>
      <c r="S92" s="77">
        <f>-'OPEX+CAPEX'!T87</f>
        <v>-107.41619047619048</v>
      </c>
      <c r="T92" s="77">
        <f>-'OPEX+CAPEX'!U87</f>
        <v>-107.41619047619048</v>
      </c>
      <c r="U92" s="77">
        <f>-'OPEX+CAPEX'!V87</f>
        <v>-107.41619047619048</v>
      </c>
      <c r="V92" s="77">
        <f>-'OPEX+CAPEX'!W87</f>
        <v>-107.41619047619048</v>
      </c>
      <c r="W92" s="77">
        <f>-'OPEX+CAPEX'!X87</f>
        <v>-107.41619047619048</v>
      </c>
      <c r="X92" s="77">
        <f>-'OPEX+CAPEX'!Y87</f>
        <v>-107.41619047619048</v>
      </c>
      <c r="Y92" s="77">
        <f>-'OPEX+CAPEX'!Z87</f>
        <v>-107.41619047619048</v>
      </c>
      <c r="Z92" s="77">
        <f>-'OPEX+CAPEX'!AA87</f>
        <v>-107.41619047619048</v>
      </c>
      <c r="AA92" s="77">
        <f>-'OPEX+CAPEX'!AB87</f>
        <v>-107.41619047619048</v>
      </c>
      <c r="AB92" s="77">
        <f>-'OPEX+CAPEX'!AC87</f>
        <v>-107.41619047619048</v>
      </c>
      <c r="AC92" s="77">
        <f>-'OPEX+CAPEX'!AD87</f>
        <v>-107.41619047619048</v>
      </c>
      <c r="AD92" s="77">
        <f>-'OPEX+CAPEX'!AE87</f>
        <v>-107.41619047619048</v>
      </c>
      <c r="AE92" s="77">
        <f>-'OPEX+CAPEX'!AF87</f>
        <v>-107.41619047619048</v>
      </c>
      <c r="AF92" s="77">
        <f>-'OPEX+CAPEX'!AG87</f>
        <v>-107.41619047619048</v>
      </c>
      <c r="AG92" s="77">
        <f>-'OPEX+CAPEX'!AH87</f>
        <v>-107.41619047619048</v>
      </c>
      <c r="AH92" s="77">
        <f>-'OPEX+CAPEX'!AI87</f>
        <v>-107.41619047619048</v>
      </c>
      <c r="AI92" s="77">
        <f>-'OPEX+CAPEX'!AJ87</f>
        <v>-107.41619047619048</v>
      </c>
      <c r="AJ92" s="77">
        <f>-'OPEX+CAPEX'!AK87</f>
        <v>-107.41619047619048</v>
      </c>
      <c r="AK92" s="77">
        <f>-'OPEX+CAPEX'!AL87</f>
        <v>-107.41619047619048</v>
      </c>
      <c r="AL92" s="77">
        <f>-'OPEX+CAPEX'!AM87</f>
        <v>-107.41619047619048</v>
      </c>
      <c r="AM92" s="77">
        <f>-'OPEX+CAPEX'!AN87</f>
        <v>-107.41619047619048</v>
      </c>
      <c r="AN92" s="81"/>
      <c r="AO92" s="75">
        <f>SUM(D92:O92)</f>
        <v>-1287.9009523809523</v>
      </c>
      <c r="AP92" s="75">
        <f>SUM(P92:AA92)</f>
        <v>-1288.9942857142853</v>
      </c>
      <c r="AQ92" s="75">
        <f>SUM(AB92:AM92)</f>
        <v>-1288.9942857142853</v>
      </c>
    </row>
    <row r="93" spans="1:16370" hidden="1" outlineLevel="1">
      <c r="A93" s="70" t="s">
        <v>177</v>
      </c>
      <c r="B93" s="71" t="s">
        <v>78</v>
      </c>
      <c r="C93" s="72"/>
      <c r="D93" s="73">
        <f>D85+D87+D88+D90+D92+D91</f>
        <v>-112.85530812324929</v>
      </c>
      <c r="E93" s="73">
        <f t="shared" ref="E93:AM93" si="110">E85+E87+E88+E90+E92+E91</f>
        <v>-115.34275910364147</v>
      </c>
      <c r="F93" s="73">
        <f t="shared" si="110"/>
        <v>-118.10525910364146</v>
      </c>
      <c r="G93" s="73">
        <f t="shared" si="110"/>
        <v>-118.11775910364146</v>
      </c>
      <c r="H93" s="73">
        <f t="shared" si="110"/>
        <v>-118.11775910364146</v>
      </c>
      <c r="I93" s="73">
        <f t="shared" si="110"/>
        <v>-120.83021008403362</v>
      </c>
      <c r="J93" s="73">
        <f t="shared" si="110"/>
        <v>-123.59271008403363</v>
      </c>
      <c r="K93" s="73">
        <f t="shared" si="110"/>
        <v>-123.60521008403363</v>
      </c>
      <c r="L93" s="73">
        <f t="shared" si="110"/>
        <v>-123.60521008403363</v>
      </c>
      <c r="M93" s="73">
        <f t="shared" si="110"/>
        <v>-123.60521008403363</v>
      </c>
      <c r="N93" s="73">
        <f t="shared" si="110"/>
        <v>-126.31766106442578</v>
      </c>
      <c r="O93" s="73">
        <f t="shared" si="110"/>
        <v>-129.08016106442577</v>
      </c>
      <c r="P93" s="73">
        <f t="shared" si="110"/>
        <v>-129.09266106442576</v>
      </c>
      <c r="Q93" s="73">
        <f t="shared" si="110"/>
        <v>-129.09266106442576</v>
      </c>
      <c r="R93" s="73">
        <f t="shared" si="110"/>
        <v>-129.09266106442576</v>
      </c>
      <c r="S93" s="73">
        <f t="shared" si="110"/>
        <v>-129.09266106442576</v>
      </c>
      <c r="T93" s="73">
        <f t="shared" si="110"/>
        <v>-129.09266106442576</v>
      </c>
      <c r="U93" s="73">
        <f t="shared" si="110"/>
        <v>-129.09266106442576</v>
      </c>
      <c r="V93" s="73">
        <f t="shared" si="110"/>
        <v>-129.09266106442576</v>
      </c>
      <c r="W93" s="73">
        <f t="shared" si="110"/>
        <v>-129.09266106442576</v>
      </c>
      <c r="X93" s="73">
        <f t="shared" si="110"/>
        <v>-129.09266106442576</v>
      </c>
      <c r="Y93" s="73">
        <f t="shared" si="110"/>
        <v>-129.09266106442576</v>
      </c>
      <c r="Z93" s="73">
        <f t="shared" si="110"/>
        <v>-129.09266106442576</v>
      </c>
      <c r="AA93" s="73">
        <f t="shared" si="110"/>
        <v>-129.09266106442576</v>
      </c>
      <c r="AB93" s="73">
        <f t="shared" si="110"/>
        <v>-129.09266106442576</v>
      </c>
      <c r="AC93" s="73">
        <f t="shared" si="110"/>
        <v>-129.09266106442576</v>
      </c>
      <c r="AD93" s="73">
        <f t="shared" si="110"/>
        <v>-129.09266106442576</v>
      </c>
      <c r="AE93" s="73">
        <f t="shared" si="110"/>
        <v>-129.09266106442576</v>
      </c>
      <c r="AF93" s="73">
        <f t="shared" si="110"/>
        <v>-129.09266106442576</v>
      </c>
      <c r="AG93" s="73">
        <f t="shared" si="110"/>
        <v>-129.09266106442576</v>
      </c>
      <c r="AH93" s="73">
        <f t="shared" si="110"/>
        <v>-129.09266106442576</v>
      </c>
      <c r="AI93" s="73">
        <f t="shared" si="110"/>
        <v>-129.09266106442576</v>
      </c>
      <c r="AJ93" s="73">
        <f t="shared" si="110"/>
        <v>-129.09266106442576</v>
      </c>
      <c r="AK93" s="73">
        <f t="shared" si="110"/>
        <v>-129.09266106442576</v>
      </c>
      <c r="AL93" s="73">
        <f t="shared" si="110"/>
        <v>-129.09266106442576</v>
      </c>
      <c r="AM93" s="73">
        <f t="shared" si="110"/>
        <v>-129.09266106442576</v>
      </c>
      <c r="AN93" s="81"/>
      <c r="AO93" s="75">
        <f>SUM(D93:O93)</f>
        <v>-1453.1752170868347</v>
      </c>
      <c r="AP93" s="75">
        <f>SUM(P93:AA93)</f>
        <v>-1549.1119327731092</v>
      </c>
      <c r="AQ93" s="75">
        <f>SUM(AB93:AM93)</f>
        <v>-1549.1119327731092</v>
      </c>
    </row>
    <row r="94" spans="1:16370" collapsed="1"/>
    <row r="95" spans="1:16370" s="90" customFormat="1">
      <c r="A95" s="83" t="s">
        <v>136</v>
      </c>
      <c r="B95" s="66"/>
      <c r="C95" s="101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8"/>
      <c r="AO95" s="102"/>
      <c r="AP95" s="107"/>
      <c r="AQ95" s="107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  <c r="BW95" s="108"/>
      <c r="BX95" s="108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8"/>
      <c r="CW95" s="108"/>
      <c r="CX95" s="108"/>
      <c r="CY95" s="108"/>
      <c r="CZ95" s="108"/>
      <c r="DA95" s="108"/>
      <c r="DB95" s="108"/>
      <c r="DC95" s="108"/>
      <c r="DD95" s="108"/>
      <c r="DE95" s="108"/>
      <c r="DF95" s="108"/>
      <c r="DG95" s="108"/>
      <c r="DH95" s="108"/>
      <c r="DI95" s="108"/>
      <c r="DJ95" s="108"/>
      <c r="DK95" s="108"/>
      <c r="DL95" s="108"/>
      <c r="DM95" s="108"/>
      <c r="DN95" s="108"/>
      <c r="DO95" s="108"/>
      <c r="DP95" s="108"/>
      <c r="DQ95" s="108"/>
      <c r="DR95" s="108"/>
      <c r="DS95" s="108"/>
      <c r="DT95" s="108"/>
      <c r="DU95" s="108"/>
      <c r="DV95" s="108"/>
      <c r="DW95" s="108"/>
      <c r="DX95" s="108"/>
      <c r="DY95" s="108"/>
      <c r="DZ95" s="108"/>
      <c r="EA95" s="108"/>
      <c r="EB95" s="108"/>
      <c r="EC95" s="108"/>
      <c r="ED95" s="108"/>
      <c r="EE95" s="108"/>
      <c r="EF95" s="108"/>
      <c r="EG95" s="108"/>
      <c r="EH95" s="108"/>
      <c r="EI95" s="108"/>
      <c r="EJ95" s="108"/>
      <c r="EK95" s="108"/>
      <c r="EL95" s="108"/>
      <c r="EM95" s="108"/>
      <c r="EN95" s="108"/>
      <c r="EO95" s="108"/>
      <c r="EP95" s="108"/>
      <c r="EQ95" s="108"/>
      <c r="ER95" s="108"/>
      <c r="ES95" s="108"/>
      <c r="ET95" s="108"/>
      <c r="EU95" s="108"/>
      <c r="EV95" s="108"/>
      <c r="EW95" s="108"/>
      <c r="EX95" s="108"/>
      <c r="EY95" s="108"/>
      <c r="EZ95" s="108"/>
      <c r="FA95" s="108"/>
      <c r="FB95" s="108"/>
      <c r="FC95" s="108"/>
      <c r="FD95" s="108"/>
      <c r="FE95" s="108"/>
      <c r="FF95" s="108"/>
      <c r="FG95" s="108"/>
      <c r="FH95" s="108"/>
      <c r="FI95" s="108"/>
      <c r="FJ95" s="108"/>
      <c r="FK95" s="108"/>
      <c r="FL95" s="108"/>
      <c r="FM95" s="108"/>
      <c r="FN95" s="108"/>
      <c r="FO95" s="108"/>
      <c r="FP95" s="108"/>
      <c r="FQ95" s="108"/>
      <c r="FR95" s="108"/>
      <c r="FS95" s="108"/>
      <c r="FT95" s="108"/>
      <c r="FU95" s="108"/>
      <c r="FV95" s="108"/>
      <c r="FW95" s="108"/>
      <c r="FX95" s="108"/>
      <c r="FY95" s="108"/>
      <c r="FZ95" s="108"/>
      <c r="GA95" s="108"/>
      <c r="GB95" s="108"/>
      <c r="GC95" s="108"/>
      <c r="GD95" s="108"/>
      <c r="GE95" s="108"/>
      <c r="GF95" s="108"/>
      <c r="GG95" s="108"/>
      <c r="GH95" s="108"/>
      <c r="GI95" s="108"/>
      <c r="GJ95" s="108"/>
      <c r="GK95" s="108"/>
      <c r="GL95" s="108"/>
      <c r="GM95" s="108"/>
      <c r="GN95" s="108"/>
      <c r="GO95" s="108"/>
      <c r="GP95" s="108"/>
      <c r="GQ95" s="108"/>
      <c r="GR95" s="108"/>
      <c r="GS95" s="108"/>
      <c r="GT95" s="108"/>
      <c r="GU95" s="108"/>
      <c r="GV95" s="108"/>
      <c r="GW95" s="108"/>
      <c r="GX95" s="108"/>
      <c r="GY95" s="108"/>
      <c r="GZ95" s="108"/>
      <c r="HA95" s="108"/>
      <c r="HB95" s="108"/>
      <c r="HC95" s="108"/>
      <c r="HD95" s="108"/>
      <c r="HE95" s="108"/>
      <c r="HF95" s="108"/>
      <c r="HG95" s="108"/>
      <c r="HH95" s="108"/>
      <c r="HI95" s="108"/>
      <c r="HJ95" s="108"/>
      <c r="HK95" s="108"/>
      <c r="HL95" s="108"/>
      <c r="HM95" s="108"/>
      <c r="HN95" s="108"/>
      <c r="HO95" s="108"/>
      <c r="HP95" s="108"/>
      <c r="HQ95" s="108"/>
      <c r="HR95" s="108"/>
      <c r="HS95" s="108"/>
      <c r="HT95" s="108"/>
      <c r="HU95" s="108"/>
      <c r="HV95" s="108"/>
      <c r="HW95" s="108"/>
      <c r="HX95" s="108"/>
      <c r="HY95" s="108"/>
      <c r="HZ95" s="108"/>
      <c r="IA95" s="108"/>
      <c r="IB95" s="108"/>
      <c r="IC95" s="108"/>
      <c r="ID95" s="108"/>
      <c r="IE95" s="108"/>
      <c r="IF95" s="108"/>
      <c r="IG95" s="108"/>
      <c r="IH95" s="108"/>
      <c r="II95" s="108"/>
      <c r="IJ95" s="108"/>
      <c r="IK95" s="108"/>
      <c r="IL95" s="108"/>
      <c r="IM95" s="108"/>
      <c r="IN95" s="108"/>
      <c r="IO95" s="108"/>
      <c r="IP95" s="108"/>
      <c r="IQ95" s="108"/>
      <c r="IR95" s="108"/>
      <c r="IS95" s="108"/>
      <c r="IT95" s="108"/>
      <c r="IU95" s="108"/>
      <c r="IV95" s="108"/>
      <c r="IW95" s="108"/>
      <c r="IX95" s="108"/>
      <c r="IY95" s="108"/>
      <c r="IZ95" s="108"/>
      <c r="JA95" s="108"/>
      <c r="JB95" s="108"/>
      <c r="JC95" s="108"/>
      <c r="JD95" s="108"/>
      <c r="JE95" s="108"/>
      <c r="JF95" s="108"/>
      <c r="JG95" s="108"/>
      <c r="JH95" s="108"/>
      <c r="JI95" s="108"/>
      <c r="JJ95" s="108"/>
      <c r="JK95" s="108"/>
      <c r="JL95" s="108"/>
      <c r="JM95" s="108"/>
      <c r="JN95" s="108"/>
      <c r="JO95" s="108"/>
      <c r="JP95" s="108"/>
      <c r="JQ95" s="108"/>
      <c r="JR95" s="108"/>
      <c r="JS95" s="108"/>
      <c r="JT95" s="108"/>
      <c r="JU95" s="108"/>
      <c r="JV95" s="108"/>
      <c r="JW95" s="108"/>
      <c r="JX95" s="108"/>
      <c r="JY95" s="108"/>
      <c r="JZ95" s="108"/>
      <c r="KA95" s="108"/>
      <c r="KB95" s="108"/>
      <c r="KC95" s="108"/>
      <c r="KD95" s="108"/>
      <c r="KE95" s="108"/>
      <c r="KF95" s="108"/>
      <c r="KG95" s="108"/>
      <c r="KH95" s="108"/>
      <c r="KI95" s="108"/>
      <c r="KJ95" s="108"/>
      <c r="KK95" s="108"/>
      <c r="KL95" s="108"/>
      <c r="KM95" s="108"/>
      <c r="KN95" s="108"/>
      <c r="KO95" s="108"/>
      <c r="KP95" s="108"/>
      <c r="KQ95" s="108"/>
      <c r="KR95" s="108"/>
      <c r="KS95" s="108"/>
      <c r="KT95" s="108"/>
      <c r="KU95" s="108"/>
      <c r="KV95" s="108"/>
      <c r="KW95" s="108"/>
      <c r="KX95" s="108"/>
      <c r="KY95" s="108"/>
      <c r="KZ95" s="108"/>
      <c r="LA95" s="108"/>
      <c r="LB95" s="108"/>
      <c r="LC95" s="108"/>
      <c r="LD95" s="108"/>
      <c r="LE95" s="108"/>
      <c r="LF95" s="108"/>
      <c r="LG95" s="108"/>
      <c r="LH95" s="108"/>
      <c r="LI95" s="108"/>
      <c r="LJ95" s="108"/>
      <c r="LK95" s="108"/>
      <c r="LL95" s="108"/>
      <c r="LM95" s="108"/>
      <c r="LN95" s="108"/>
      <c r="LO95" s="108"/>
      <c r="LP95" s="108"/>
      <c r="LQ95" s="108"/>
      <c r="LR95" s="108"/>
      <c r="LS95" s="108"/>
      <c r="LT95" s="108"/>
      <c r="LU95" s="108"/>
      <c r="LV95" s="108"/>
      <c r="LW95" s="108"/>
      <c r="LX95" s="108"/>
      <c r="LY95" s="108"/>
      <c r="LZ95" s="108"/>
      <c r="MA95" s="108"/>
      <c r="MB95" s="108"/>
      <c r="MC95" s="108"/>
      <c r="MD95" s="108"/>
      <c r="ME95" s="108"/>
      <c r="MF95" s="108"/>
      <c r="MG95" s="108"/>
      <c r="MH95" s="108"/>
      <c r="MI95" s="108"/>
      <c r="MJ95" s="108"/>
      <c r="MK95" s="108"/>
      <c r="ML95" s="108"/>
      <c r="MM95" s="108"/>
      <c r="MN95" s="108"/>
      <c r="MO95" s="108"/>
      <c r="MP95" s="108"/>
      <c r="MQ95" s="108"/>
      <c r="MR95" s="108"/>
      <c r="MS95" s="108"/>
      <c r="MT95" s="108"/>
      <c r="MU95" s="108"/>
      <c r="MV95" s="108"/>
      <c r="MW95" s="108"/>
      <c r="MX95" s="108"/>
      <c r="MY95" s="108"/>
      <c r="MZ95" s="108"/>
      <c r="NA95" s="108"/>
      <c r="NB95" s="108"/>
      <c r="NC95" s="108"/>
      <c r="ND95" s="108"/>
      <c r="NE95" s="108"/>
      <c r="NF95" s="108"/>
      <c r="NG95" s="108"/>
      <c r="NH95" s="108"/>
      <c r="NI95" s="108"/>
      <c r="NJ95" s="108"/>
      <c r="NK95" s="108"/>
      <c r="NL95" s="108"/>
      <c r="NM95" s="108"/>
      <c r="NN95" s="108"/>
      <c r="NO95" s="108"/>
      <c r="NP95" s="108"/>
      <c r="NQ95" s="108"/>
      <c r="NR95" s="108"/>
      <c r="NS95" s="108"/>
      <c r="NT95" s="108"/>
      <c r="NU95" s="108"/>
      <c r="NV95" s="108"/>
      <c r="NW95" s="108"/>
      <c r="NX95" s="108"/>
      <c r="NY95" s="108"/>
      <c r="NZ95" s="108"/>
      <c r="OA95" s="108"/>
      <c r="OB95" s="108"/>
      <c r="OC95" s="108"/>
      <c r="OD95" s="108"/>
      <c r="OE95" s="108"/>
      <c r="OF95" s="108"/>
      <c r="OG95" s="108"/>
      <c r="OH95" s="108"/>
      <c r="OI95" s="108"/>
      <c r="OJ95" s="108"/>
      <c r="OK95" s="108"/>
      <c r="OL95" s="108"/>
      <c r="OM95" s="108"/>
      <c r="ON95" s="108"/>
      <c r="OO95" s="108"/>
      <c r="OP95" s="108"/>
      <c r="OQ95" s="108"/>
      <c r="OR95" s="108"/>
      <c r="OS95" s="108"/>
      <c r="OT95" s="108"/>
      <c r="OU95" s="108"/>
      <c r="OV95" s="108"/>
      <c r="OW95" s="108"/>
      <c r="OX95" s="108"/>
      <c r="OY95" s="108"/>
      <c r="OZ95" s="108"/>
      <c r="PA95" s="108"/>
      <c r="PB95" s="108"/>
      <c r="PC95" s="108"/>
      <c r="PD95" s="108"/>
      <c r="PE95" s="108"/>
      <c r="PF95" s="108"/>
      <c r="PG95" s="108"/>
      <c r="PH95" s="108"/>
      <c r="PI95" s="108"/>
      <c r="PJ95" s="108"/>
      <c r="PK95" s="108"/>
      <c r="PL95" s="108"/>
      <c r="PM95" s="108"/>
      <c r="PN95" s="108"/>
      <c r="PO95" s="108"/>
      <c r="PP95" s="108"/>
      <c r="PQ95" s="108"/>
      <c r="PR95" s="108"/>
      <c r="PS95" s="108"/>
      <c r="PT95" s="108"/>
      <c r="PU95" s="108"/>
      <c r="PV95" s="108"/>
      <c r="PW95" s="108"/>
      <c r="PX95" s="108"/>
      <c r="PY95" s="108"/>
      <c r="PZ95" s="108"/>
      <c r="QA95" s="108"/>
      <c r="QB95" s="108"/>
      <c r="QC95" s="108"/>
      <c r="QD95" s="108"/>
      <c r="QE95" s="108"/>
      <c r="QF95" s="108"/>
      <c r="QG95" s="108"/>
      <c r="QH95" s="108"/>
      <c r="QI95" s="108"/>
      <c r="QJ95" s="108"/>
      <c r="QK95" s="108"/>
      <c r="QL95" s="108"/>
      <c r="QM95" s="108"/>
      <c r="QN95" s="108"/>
      <c r="QO95" s="108"/>
      <c r="QP95" s="108"/>
      <c r="QQ95" s="108"/>
      <c r="QR95" s="108"/>
      <c r="QS95" s="108"/>
      <c r="QT95" s="108"/>
      <c r="QU95" s="108"/>
      <c r="QV95" s="108"/>
      <c r="QW95" s="108"/>
      <c r="QX95" s="108"/>
      <c r="QY95" s="108"/>
      <c r="QZ95" s="108"/>
      <c r="RA95" s="108"/>
      <c r="RB95" s="108"/>
      <c r="RC95" s="108"/>
      <c r="RD95" s="108"/>
      <c r="RE95" s="108"/>
      <c r="RF95" s="108"/>
      <c r="RG95" s="108"/>
      <c r="RH95" s="108"/>
      <c r="RI95" s="108"/>
      <c r="RJ95" s="108"/>
      <c r="RK95" s="108"/>
      <c r="RL95" s="108"/>
      <c r="RM95" s="108"/>
      <c r="RN95" s="108"/>
      <c r="RO95" s="108"/>
      <c r="RP95" s="108"/>
      <c r="RQ95" s="108"/>
      <c r="RR95" s="108"/>
      <c r="RS95" s="108"/>
      <c r="RT95" s="108"/>
      <c r="RU95" s="108"/>
      <c r="RV95" s="108"/>
      <c r="RW95" s="108"/>
      <c r="RX95" s="108"/>
      <c r="RY95" s="108"/>
      <c r="RZ95" s="108"/>
      <c r="SA95" s="108"/>
      <c r="SB95" s="108"/>
      <c r="SC95" s="108"/>
      <c r="SD95" s="108"/>
      <c r="SE95" s="108"/>
      <c r="SF95" s="108"/>
      <c r="SG95" s="108"/>
      <c r="SH95" s="108"/>
      <c r="SI95" s="108"/>
      <c r="SJ95" s="108"/>
      <c r="SK95" s="108"/>
      <c r="SL95" s="108"/>
      <c r="SM95" s="108"/>
      <c r="SN95" s="108"/>
      <c r="SO95" s="108"/>
      <c r="SP95" s="108"/>
      <c r="SQ95" s="108"/>
      <c r="SR95" s="108"/>
      <c r="SS95" s="108"/>
      <c r="ST95" s="108"/>
      <c r="SU95" s="108"/>
      <c r="SV95" s="108"/>
      <c r="SW95" s="108"/>
      <c r="SX95" s="108"/>
      <c r="SY95" s="108"/>
      <c r="SZ95" s="108"/>
      <c r="TA95" s="108"/>
      <c r="TB95" s="108"/>
      <c r="TC95" s="108"/>
      <c r="TD95" s="108"/>
      <c r="TE95" s="108"/>
      <c r="TF95" s="108"/>
      <c r="TG95" s="108"/>
      <c r="TH95" s="108"/>
      <c r="TI95" s="108"/>
      <c r="TJ95" s="108"/>
      <c r="TK95" s="108"/>
      <c r="TL95" s="108"/>
      <c r="TM95" s="108"/>
      <c r="TN95" s="108"/>
      <c r="TO95" s="108"/>
      <c r="TP95" s="108"/>
      <c r="TQ95" s="108"/>
      <c r="TR95" s="108"/>
      <c r="TS95" s="108"/>
      <c r="TT95" s="108"/>
      <c r="TU95" s="108"/>
      <c r="TV95" s="108"/>
      <c r="TW95" s="108"/>
      <c r="TX95" s="108"/>
      <c r="TY95" s="108"/>
      <c r="TZ95" s="108"/>
      <c r="UA95" s="108"/>
      <c r="UB95" s="108"/>
      <c r="UC95" s="108"/>
      <c r="UD95" s="108"/>
      <c r="UE95" s="108"/>
      <c r="UF95" s="108"/>
      <c r="UG95" s="108"/>
      <c r="UH95" s="108"/>
      <c r="UI95" s="108"/>
      <c r="UJ95" s="108"/>
      <c r="UK95" s="108"/>
      <c r="UL95" s="108"/>
      <c r="UM95" s="108"/>
      <c r="UN95" s="108"/>
      <c r="UO95" s="108"/>
      <c r="UP95" s="108"/>
      <c r="UQ95" s="108"/>
      <c r="UR95" s="108"/>
      <c r="US95" s="108"/>
      <c r="UT95" s="108"/>
      <c r="UU95" s="108"/>
      <c r="UV95" s="108"/>
      <c r="UW95" s="108"/>
      <c r="UX95" s="108"/>
      <c r="UY95" s="108"/>
      <c r="UZ95" s="108"/>
      <c r="VA95" s="108"/>
      <c r="VB95" s="108"/>
      <c r="VC95" s="108"/>
      <c r="VD95" s="108"/>
      <c r="VE95" s="108"/>
      <c r="VF95" s="108"/>
      <c r="VG95" s="108"/>
      <c r="VH95" s="108"/>
      <c r="VI95" s="108"/>
      <c r="VJ95" s="108"/>
      <c r="VK95" s="108"/>
      <c r="VL95" s="108"/>
      <c r="VM95" s="108"/>
      <c r="VN95" s="108"/>
      <c r="VO95" s="108"/>
      <c r="VP95" s="108"/>
      <c r="VQ95" s="108"/>
      <c r="VR95" s="108"/>
      <c r="VS95" s="108"/>
      <c r="VT95" s="108"/>
      <c r="VU95" s="108"/>
      <c r="VV95" s="108"/>
      <c r="VW95" s="108"/>
      <c r="VX95" s="108"/>
      <c r="VY95" s="108"/>
      <c r="VZ95" s="108"/>
      <c r="WA95" s="108"/>
      <c r="WB95" s="108"/>
      <c r="WC95" s="108"/>
      <c r="WD95" s="108"/>
      <c r="WE95" s="108"/>
      <c r="WF95" s="108"/>
      <c r="WG95" s="108"/>
      <c r="WH95" s="108"/>
      <c r="WI95" s="108"/>
      <c r="WJ95" s="108"/>
      <c r="WK95" s="108"/>
      <c r="WL95" s="108"/>
      <c r="WM95" s="108"/>
      <c r="WN95" s="108"/>
      <c r="WO95" s="108"/>
      <c r="WP95" s="108"/>
      <c r="WQ95" s="108"/>
      <c r="WR95" s="108"/>
      <c r="WS95" s="108"/>
      <c r="WT95" s="108"/>
      <c r="WU95" s="108"/>
      <c r="WV95" s="108"/>
      <c r="WW95" s="108"/>
      <c r="WX95" s="108"/>
      <c r="WY95" s="108"/>
      <c r="WZ95" s="108"/>
      <c r="XA95" s="108"/>
      <c r="XB95" s="108"/>
      <c r="XC95" s="108"/>
      <c r="XD95" s="108"/>
      <c r="XE95" s="108"/>
      <c r="XF95" s="108"/>
      <c r="XG95" s="108"/>
      <c r="XH95" s="108"/>
      <c r="XI95" s="108"/>
      <c r="XJ95" s="108"/>
      <c r="XK95" s="108"/>
      <c r="XL95" s="108"/>
      <c r="XM95" s="108"/>
      <c r="XN95" s="108"/>
      <c r="XO95" s="108"/>
      <c r="XP95" s="108"/>
      <c r="XQ95" s="108"/>
      <c r="XR95" s="108"/>
      <c r="XS95" s="108"/>
      <c r="XT95" s="108"/>
      <c r="XU95" s="108"/>
      <c r="XV95" s="108"/>
      <c r="XW95" s="108"/>
      <c r="XX95" s="108"/>
      <c r="XY95" s="108"/>
      <c r="XZ95" s="108"/>
      <c r="YA95" s="108"/>
      <c r="YB95" s="108"/>
      <c r="YC95" s="108"/>
      <c r="YD95" s="108"/>
      <c r="YE95" s="108"/>
      <c r="YF95" s="108"/>
      <c r="YG95" s="108"/>
      <c r="YH95" s="108"/>
      <c r="YI95" s="108"/>
      <c r="YJ95" s="108"/>
      <c r="YK95" s="108"/>
      <c r="YL95" s="108"/>
      <c r="YM95" s="108"/>
      <c r="YN95" s="108"/>
      <c r="YO95" s="108"/>
      <c r="YP95" s="108"/>
      <c r="YQ95" s="108"/>
      <c r="YR95" s="108"/>
      <c r="YS95" s="108"/>
      <c r="YT95" s="108"/>
      <c r="YU95" s="108"/>
      <c r="YV95" s="108"/>
      <c r="YW95" s="108"/>
      <c r="YX95" s="108"/>
      <c r="YY95" s="108"/>
      <c r="YZ95" s="108"/>
      <c r="ZA95" s="108"/>
      <c r="ZB95" s="108"/>
      <c r="ZC95" s="108"/>
      <c r="ZD95" s="108"/>
      <c r="ZE95" s="108"/>
      <c r="ZF95" s="108"/>
      <c r="ZG95" s="108"/>
      <c r="ZH95" s="108"/>
      <c r="ZI95" s="108"/>
      <c r="ZJ95" s="108"/>
      <c r="ZK95" s="108"/>
      <c r="ZL95" s="108"/>
      <c r="ZM95" s="108"/>
      <c r="ZN95" s="108"/>
      <c r="ZO95" s="108"/>
      <c r="ZP95" s="108"/>
      <c r="ZQ95" s="108"/>
      <c r="ZR95" s="108"/>
      <c r="ZS95" s="108"/>
      <c r="ZT95" s="108"/>
      <c r="ZU95" s="108"/>
      <c r="ZV95" s="108"/>
      <c r="ZW95" s="108"/>
      <c r="ZX95" s="108"/>
      <c r="ZY95" s="108"/>
      <c r="ZZ95" s="108"/>
      <c r="AAA95" s="108"/>
      <c r="AAB95" s="108"/>
      <c r="AAC95" s="108"/>
      <c r="AAD95" s="108"/>
      <c r="AAE95" s="108"/>
      <c r="AAF95" s="108"/>
      <c r="AAG95" s="108"/>
      <c r="AAH95" s="108"/>
      <c r="AAI95" s="108"/>
      <c r="AAJ95" s="108"/>
      <c r="AAK95" s="108"/>
      <c r="AAL95" s="108"/>
      <c r="AAM95" s="108"/>
      <c r="AAN95" s="108"/>
      <c r="AAO95" s="108"/>
      <c r="AAP95" s="108"/>
      <c r="AAQ95" s="108"/>
      <c r="AAR95" s="108"/>
      <c r="AAS95" s="108"/>
      <c r="AAT95" s="108"/>
      <c r="AAU95" s="108"/>
      <c r="AAV95" s="108"/>
      <c r="AAW95" s="108"/>
      <c r="AAX95" s="108"/>
      <c r="AAY95" s="108"/>
      <c r="AAZ95" s="108"/>
      <c r="ABA95" s="108"/>
      <c r="ABB95" s="108"/>
      <c r="ABC95" s="108"/>
      <c r="ABD95" s="108"/>
      <c r="ABE95" s="108"/>
      <c r="ABF95" s="108"/>
      <c r="ABG95" s="108"/>
      <c r="ABH95" s="108"/>
      <c r="ABI95" s="108"/>
      <c r="ABJ95" s="108"/>
      <c r="ABK95" s="108"/>
      <c r="ABL95" s="108"/>
      <c r="ABM95" s="108"/>
      <c r="ABN95" s="108"/>
      <c r="ABO95" s="108"/>
      <c r="ABP95" s="108"/>
      <c r="ABQ95" s="108"/>
      <c r="ABR95" s="108"/>
      <c r="ABS95" s="108"/>
      <c r="ABT95" s="108"/>
      <c r="ABU95" s="108"/>
      <c r="ABV95" s="108"/>
      <c r="ABW95" s="108"/>
      <c r="ABX95" s="108"/>
      <c r="ABY95" s="108"/>
      <c r="ABZ95" s="108"/>
      <c r="ACA95" s="108"/>
      <c r="ACB95" s="108"/>
      <c r="ACC95" s="108"/>
      <c r="ACD95" s="108"/>
      <c r="ACE95" s="108"/>
      <c r="ACF95" s="108"/>
      <c r="ACG95" s="108"/>
      <c r="ACH95" s="108"/>
      <c r="ACI95" s="108"/>
      <c r="ACJ95" s="108"/>
      <c r="ACK95" s="108"/>
      <c r="ACL95" s="108"/>
      <c r="ACM95" s="108"/>
      <c r="ACN95" s="108"/>
      <c r="ACO95" s="108"/>
      <c r="ACP95" s="108"/>
      <c r="ACQ95" s="108"/>
      <c r="ACR95" s="108"/>
      <c r="ACS95" s="108"/>
      <c r="ACT95" s="108"/>
      <c r="ACU95" s="108"/>
      <c r="ACV95" s="108"/>
      <c r="ACW95" s="108"/>
      <c r="ACX95" s="108"/>
      <c r="ACY95" s="108"/>
      <c r="ACZ95" s="108"/>
      <c r="ADA95" s="108"/>
      <c r="ADB95" s="108"/>
      <c r="ADC95" s="108"/>
      <c r="ADD95" s="108"/>
      <c r="ADE95" s="108"/>
      <c r="ADF95" s="108"/>
      <c r="ADG95" s="108"/>
      <c r="ADH95" s="108"/>
      <c r="ADI95" s="108"/>
      <c r="ADJ95" s="108"/>
      <c r="ADK95" s="108"/>
      <c r="ADL95" s="108"/>
      <c r="ADM95" s="108"/>
      <c r="ADN95" s="108"/>
      <c r="ADO95" s="108"/>
      <c r="ADP95" s="108"/>
      <c r="ADQ95" s="108"/>
      <c r="ADR95" s="108"/>
      <c r="ADS95" s="108"/>
      <c r="ADT95" s="108"/>
      <c r="ADU95" s="108"/>
      <c r="ADV95" s="108"/>
      <c r="ADW95" s="108"/>
      <c r="ADX95" s="108"/>
      <c r="ADY95" s="108"/>
      <c r="ADZ95" s="108"/>
      <c r="AEA95" s="108"/>
      <c r="AEB95" s="108"/>
      <c r="AEC95" s="108"/>
      <c r="AED95" s="108"/>
      <c r="AEE95" s="108"/>
      <c r="AEF95" s="108"/>
      <c r="AEG95" s="108"/>
      <c r="AEH95" s="108"/>
      <c r="AEI95" s="108"/>
      <c r="AEJ95" s="108"/>
      <c r="AEK95" s="108"/>
      <c r="AEL95" s="108"/>
      <c r="AEM95" s="108"/>
      <c r="AEN95" s="108"/>
      <c r="AEO95" s="108"/>
      <c r="AEP95" s="108"/>
      <c r="AEQ95" s="108"/>
      <c r="AER95" s="108"/>
      <c r="AES95" s="108"/>
      <c r="AET95" s="108"/>
      <c r="AEU95" s="108"/>
      <c r="AEV95" s="108"/>
      <c r="AEW95" s="108"/>
      <c r="AEX95" s="108"/>
      <c r="AEY95" s="108"/>
      <c r="AEZ95" s="108"/>
      <c r="AFA95" s="108"/>
      <c r="AFB95" s="108"/>
      <c r="AFC95" s="108"/>
      <c r="AFD95" s="108"/>
      <c r="AFE95" s="108"/>
      <c r="AFF95" s="108"/>
      <c r="AFG95" s="108"/>
      <c r="AFH95" s="108"/>
      <c r="AFI95" s="108"/>
      <c r="AFJ95" s="108"/>
      <c r="AFK95" s="108"/>
      <c r="AFL95" s="108"/>
      <c r="AFM95" s="108"/>
      <c r="AFN95" s="108"/>
      <c r="AFO95" s="108"/>
      <c r="AFP95" s="108"/>
      <c r="AFQ95" s="108"/>
      <c r="AFR95" s="108"/>
      <c r="AFS95" s="108"/>
      <c r="AFT95" s="108"/>
      <c r="AFU95" s="108"/>
      <c r="AFV95" s="108"/>
      <c r="AFW95" s="108"/>
      <c r="AFX95" s="108"/>
      <c r="AFY95" s="108"/>
      <c r="AFZ95" s="108"/>
      <c r="AGA95" s="108"/>
      <c r="AGB95" s="108"/>
      <c r="AGC95" s="108"/>
      <c r="AGD95" s="108"/>
      <c r="AGE95" s="108"/>
      <c r="AGF95" s="108"/>
      <c r="AGG95" s="108"/>
      <c r="AGH95" s="108"/>
      <c r="AGI95" s="108"/>
      <c r="AGJ95" s="108"/>
      <c r="AGK95" s="108"/>
      <c r="AGL95" s="108"/>
      <c r="AGM95" s="108"/>
      <c r="AGN95" s="108"/>
      <c r="AGO95" s="108"/>
      <c r="AGP95" s="108"/>
      <c r="AGQ95" s="108"/>
      <c r="AGR95" s="108"/>
      <c r="AGS95" s="108"/>
      <c r="AGT95" s="108"/>
      <c r="AGU95" s="108"/>
      <c r="AGV95" s="108"/>
      <c r="AGW95" s="108"/>
      <c r="AGX95" s="108"/>
      <c r="AGY95" s="108"/>
      <c r="AGZ95" s="108"/>
      <c r="AHA95" s="108"/>
      <c r="AHB95" s="108"/>
      <c r="AHC95" s="108"/>
      <c r="AHD95" s="108"/>
      <c r="AHE95" s="108"/>
      <c r="AHF95" s="108"/>
      <c r="AHG95" s="108"/>
      <c r="AHH95" s="108"/>
      <c r="AHI95" s="108"/>
      <c r="AHJ95" s="108"/>
      <c r="AHK95" s="108"/>
      <c r="AHL95" s="108"/>
      <c r="AHM95" s="108"/>
      <c r="AHN95" s="108"/>
      <c r="AHO95" s="108"/>
      <c r="AHP95" s="108"/>
      <c r="AHQ95" s="108"/>
      <c r="AHR95" s="108"/>
      <c r="AHS95" s="108"/>
      <c r="AHT95" s="108"/>
      <c r="AHU95" s="108"/>
      <c r="AHV95" s="108"/>
      <c r="AHW95" s="108"/>
      <c r="AHX95" s="108"/>
      <c r="AHY95" s="108"/>
      <c r="AHZ95" s="108"/>
      <c r="AIA95" s="108"/>
      <c r="AIB95" s="108"/>
      <c r="AIC95" s="108"/>
      <c r="AID95" s="108"/>
      <c r="AIE95" s="108"/>
      <c r="AIF95" s="108"/>
      <c r="AIG95" s="108"/>
      <c r="AIH95" s="108"/>
      <c r="AII95" s="108"/>
      <c r="AIJ95" s="108"/>
      <c r="AIK95" s="108"/>
      <c r="AIL95" s="108"/>
      <c r="AIM95" s="108"/>
      <c r="AIN95" s="108"/>
      <c r="AIO95" s="108"/>
      <c r="AIP95" s="108"/>
      <c r="AIQ95" s="108"/>
      <c r="AIR95" s="108"/>
      <c r="AIS95" s="108"/>
      <c r="AIT95" s="108"/>
      <c r="AIU95" s="108"/>
      <c r="AIV95" s="108"/>
      <c r="AIW95" s="108"/>
      <c r="AIX95" s="108"/>
      <c r="AIY95" s="108"/>
      <c r="AIZ95" s="108"/>
      <c r="AJA95" s="108"/>
      <c r="AJB95" s="108"/>
      <c r="AJC95" s="108"/>
      <c r="AJD95" s="108"/>
      <c r="AJE95" s="108"/>
      <c r="AJF95" s="108"/>
      <c r="AJG95" s="108"/>
      <c r="AJH95" s="108"/>
      <c r="AJI95" s="108"/>
      <c r="AJJ95" s="108"/>
      <c r="AJK95" s="108"/>
      <c r="AJL95" s="108"/>
      <c r="AJM95" s="108"/>
      <c r="AJN95" s="108"/>
      <c r="AJO95" s="108"/>
      <c r="AJP95" s="108"/>
      <c r="AJQ95" s="108"/>
      <c r="AJR95" s="108"/>
      <c r="AJS95" s="108"/>
      <c r="AJT95" s="108"/>
      <c r="AJU95" s="108"/>
      <c r="AJV95" s="108"/>
      <c r="AJW95" s="108"/>
      <c r="AJX95" s="108"/>
      <c r="AJY95" s="108"/>
      <c r="AJZ95" s="108"/>
      <c r="AKA95" s="108"/>
      <c r="AKB95" s="108"/>
      <c r="AKC95" s="108"/>
      <c r="AKD95" s="108"/>
      <c r="AKE95" s="108"/>
      <c r="AKF95" s="108"/>
      <c r="AKG95" s="108"/>
      <c r="AKH95" s="108"/>
      <c r="AKI95" s="108"/>
      <c r="AKJ95" s="108"/>
      <c r="AKK95" s="108"/>
      <c r="AKL95" s="108"/>
      <c r="AKM95" s="108"/>
      <c r="AKN95" s="108"/>
      <c r="AKO95" s="108"/>
      <c r="AKP95" s="108"/>
      <c r="AKQ95" s="108"/>
      <c r="AKR95" s="108"/>
      <c r="AKS95" s="108"/>
      <c r="AKT95" s="108"/>
      <c r="AKU95" s="108"/>
      <c r="AKV95" s="108"/>
      <c r="AKW95" s="108"/>
      <c r="AKX95" s="108"/>
      <c r="AKY95" s="108"/>
      <c r="AKZ95" s="108"/>
      <c r="ALA95" s="108"/>
      <c r="ALB95" s="108"/>
      <c r="ALC95" s="108"/>
      <c r="ALD95" s="108"/>
      <c r="ALE95" s="108"/>
      <c r="ALF95" s="108"/>
      <c r="ALG95" s="108"/>
      <c r="ALH95" s="108"/>
      <c r="ALI95" s="108"/>
      <c r="ALJ95" s="108"/>
      <c r="ALK95" s="108"/>
      <c r="ALL95" s="108"/>
      <c r="ALM95" s="108"/>
      <c r="ALN95" s="108"/>
      <c r="ALO95" s="108"/>
      <c r="ALP95" s="108"/>
      <c r="ALQ95" s="108"/>
      <c r="ALR95" s="108"/>
      <c r="ALS95" s="108"/>
      <c r="ALT95" s="108"/>
      <c r="ALU95" s="108"/>
      <c r="ALV95" s="108"/>
      <c r="ALW95" s="108"/>
      <c r="ALX95" s="108"/>
      <c r="ALY95" s="108"/>
      <c r="ALZ95" s="108"/>
      <c r="AMA95" s="108"/>
      <c r="AMB95" s="108"/>
      <c r="AMC95" s="108"/>
      <c r="AMD95" s="108"/>
      <c r="AME95" s="108"/>
      <c r="AMF95" s="108"/>
      <c r="AMG95" s="108"/>
      <c r="AMH95" s="108"/>
      <c r="AMI95" s="108"/>
      <c r="AMJ95" s="108"/>
      <c r="AMK95" s="108"/>
      <c r="AML95" s="108"/>
      <c r="AMM95" s="108"/>
      <c r="AMN95" s="108"/>
      <c r="AMO95" s="108"/>
      <c r="AMP95" s="108"/>
      <c r="AMQ95" s="108"/>
      <c r="AMR95" s="108"/>
      <c r="AMS95" s="108"/>
      <c r="AMT95" s="108"/>
      <c r="AMU95" s="108"/>
      <c r="AMV95" s="108"/>
      <c r="AMW95" s="108"/>
      <c r="AMX95" s="108"/>
      <c r="AMY95" s="108"/>
      <c r="AMZ95" s="108"/>
      <c r="ANA95" s="108"/>
      <c r="ANB95" s="108"/>
      <c r="ANC95" s="108"/>
      <c r="AND95" s="108"/>
      <c r="ANE95" s="108"/>
      <c r="ANF95" s="108"/>
      <c r="ANG95" s="108"/>
      <c r="ANH95" s="108"/>
      <c r="ANI95" s="108"/>
      <c r="ANJ95" s="108"/>
      <c r="ANK95" s="108"/>
      <c r="ANL95" s="108"/>
      <c r="ANM95" s="108"/>
      <c r="ANN95" s="108"/>
      <c r="ANO95" s="108"/>
      <c r="ANP95" s="108"/>
      <c r="ANQ95" s="108"/>
      <c r="ANR95" s="108"/>
      <c r="ANS95" s="108"/>
      <c r="ANT95" s="108"/>
      <c r="ANU95" s="108"/>
      <c r="ANV95" s="108"/>
      <c r="ANW95" s="108"/>
      <c r="ANX95" s="108"/>
      <c r="ANY95" s="108"/>
      <c r="ANZ95" s="108"/>
      <c r="AOA95" s="108"/>
      <c r="AOB95" s="108"/>
      <c r="AOC95" s="108"/>
      <c r="AOD95" s="108"/>
      <c r="AOE95" s="108"/>
      <c r="AOF95" s="108"/>
      <c r="AOG95" s="108"/>
      <c r="AOH95" s="108"/>
      <c r="AOI95" s="108"/>
      <c r="AOJ95" s="108"/>
      <c r="AOK95" s="108"/>
      <c r="AOL95" s="108"/>
      <c r="AOM95" s="108"/>
      <c r="AON95" s="108"/>
      <c r="AOO95" s="108"/>
      <c r="AOP95" s="108"/>
      <c r="AOQ95" s="108"/>
      <c r="AOR95" s="108"/>
      <c r="AOS95" s="108"/>
      <c r="AOT95" s="108"/>
      <c r="AOU95" s="108"/>
      <c r="AOV95" s="108"/>
      <c r="AOW95" s="108"/>
      <c r="AOX95" s="108"/>
      <c r="AOY95" s="108"/>
      <c r="AOZ95" s="108"/>
      <c r="APA95" s="108"/>
      <c r="APB95" s="108"/>
      <c r="APC95" s="108"/>
      <c r="APD95" s="108"/>
      <c r="APE95" s="108"/>
      <c r="APF95" s="108"/>
      <c r="APG95" s="108"/>
      <c r="APH95" s="108"/>
      <c r="API95" s="108"/>
      <c r="APJ95" s="108"/>
      <c r="APK95" s="108"/>
      <c r="APL95" s="108"/>
      <c r="APM95" s="108"/>
      <c r="APN95" s="108"/>
      <c r="APO95" s="108"/>
      <c r="APP95" s="108"/>
      <c r="APQ95" s="108"/>
      <c r="APR95" s="108"/>
      <c r="APS95" s="108"/>
      <c r="APT95" s="108"/>
      <c r="APU95" s="108"/>
      <c r="APV95" s="108"/>
      <c r="APW95" s="108"/>
      <c r="APX95" s="108"/>
      <c r="APY95" s="108"/>
      <c r="APZ95" s="108"/>
      <c r="AQA95" s="108"/>
      <c r="AQB95" s="108"/>
      <c r="AQC95" s="108"/>
      <c r="AQD95" s="108"/>
      <c r="AQE95" s="108"/>
      <c r="AQF95" s="108"/>
      <c r="AQG95" s="108"/>
      <c r="AQH95" s="108"/>
      <c r="AQI95" s="108"/>
      <c r="AQJ95" s="108"/>
      <c r="AQK95" s="108"/>
      <c r="AQL95" s="108"/>
      <c r="AQM95" s="108"/>
      <c r="AQN95" s="108"/>
      <c r="AQO95" s="108"/>
      <c r="AQP95" s="108"/>
      <c r="AQQ95" s="108"/>
      <c r="AQR95" s="108"/>
      <c r="AQS95" s="108"/>
      <c r="AQT95" s="108"/>
      <c r="AQU95" s="108"/>
      <c r="AQV95" s="108"/>
      <c r="AQW95" s="108"/>
      <c r="AQX95" s="108"/>
      <c r="AQY95" s="108"/>
      <c r="AQZ95" s="108"/>
      <c r="ARA95" s="108"/>
      <c r="ARB95" s="108"/>
      <c r="ARC95" s="108"/>
      <c r="ARD95" s="108"/>
      <c r="ARE95" s="108"/>
      <c r="ARF95" s="108"/>
      <c r="ARG95" s="108"/>
      <c r="ARH95" s="108"/>
      <c r="ARI95" s="108"/>
      <c r="ARJ95" s="108"/>
      <c r="ARK95" s="108"/>
      <c r="ARL95" s="108"/>
      <c r="ARM95" s="108"/>
      <c r="ARN95" s="108"/>
      <c r="ARO95" s="108"/>
      <c r="ARP95" s="108"/>
      <c r="ARQ95" s="108"/>
      <c r="ARR95" s="108"/>
      <c r="ARS95" s="108"/>
      <c r="ART95" s="108"/>
      <c r="ARU95" s="108"/>
      <c r="ARV95" s="108"/>
      <c r="ARW95" s="108"/>
      <c r="ARX95" s="108"/>
      <c r="ARY95" s="108"/>
      <c r="ARZ95" s="108"/>
      <c r="ASA95" s="108"/>
      <c r="ASB95" s="108"/>
      <c r="ASC95" s="108"/>
      <c r="ASD95" s="108"/>
      <c r="ASE95" s="108"/>
      <c r="ASF95" s="108"/>
      <c r="ASG95" s="108"/>
      <c r="ASH95" s="108"/>
      <c r="ASI95" s="108"/>
      <c r="ASJ95" s="108"/>
      <c r="ASK95" s="108"/>
      <c r="ASL95" s="108"/>
      <c r="ASM95" s="108"/>
      <c r="ASN95" s="108"/>
      <c r="ASO95" s="108"/>
      <c r="ASP95" s="108"/>
      <c r="ASQ95" s="108"/>
      <c r="ASR95" s="108"/>
      <c r="ASS95" s="108"/>
      <c r="AST95" s="108"/>
      <c r="ASU95" s="108"/>
      <c r="ASV95" s="108"/>
      <c r="ASW95" s="108"/>
      <c r="ASX95" s="108"/>
      <c r="ASY95" s="108"/>
      <c r="ASZ95" s="108"/>
      <c r="ATA95" s="108"/>
      <c r="ATB95" s="108"/>
      <c r="ATC95" s="108"/>
      <c r="ATD95" s="108"/>
      <c r="ATE95" s="108"/>
      <c r="ATF95" s="108"/>
      <c r="ATG95" s="108"/>
      <c r="ATH95" s="108"/>
      <c r="ATI95" s="108"/>
      <c r="ATJ95" s="108"/>
      <c r="ATK95" s="108"/>
      <c r="ATL95" s="108"/>
      <c r="ATM95" s="108"/>
      <c r="ATN95" s="108"/>
      <c r="ATO95" s="108"/>
      <c r="ATP95" s="108"/>
      <c r="ATQ95" s="108"/>
      <c r="ATR95" s="108"/>
      <c r="ATS95" s="108"/>
      <c r="ATT95" s="108"/>
      <c r="ATU95" s="108"/>
      <c r="ATV95" s="108"/>
      <c r="ATW95" s="108"/>
      <c r="ATX95" s="108"/>
      <c r="ATY95" s="108"/>
      <c r="ATZ95" s="108"/>
      <c r="AUA95" s="108"/>
      <c r="AUB95" s="108"/>
      <c r="AUC95" s="108"/>
      <c r="AUD95" s="108"/>
      <c r="AUE95" s="108"/>
      <c r="AUF95" s="108"/>
      <c r="AUG95" s="108"/>
      <c r="AUH95" s="108"/>
      <c r="AUI95" s="108"/>
      <c r="AUJ95" s="108"/>
      <c r="AUK95" s="108"/>
      <c r="AUL95" s="108"/>
      <c r="AUM95" s="108"/>
      <c r="AUN95" s="108"/>
      <c r="AUO95" s="108"/>
      <c r="AUP95" s="108"/>
      <c r="AUQ95" s="108"/>
      <c r="AUR95" s="108"/>
      <c r="AUS95" s="108"/>
      <c r="AUT95" s="108"/>
      <c r="AUU95" s="108"/>
      <c r="AUV95" s="108"/>
      <c r="AUW95" s="108"/>
      <c r="AUX95" s="108"/>
      <c r="AUY95" s="108"/>
      <c r="AUZ95" s="108"/>
      <c r="AVA95" s="108"/>
      <c r="AVB95" s="108"/>
      <c r="AVC95" s="108"/>
      <c r="AVD95" s="108"/>
      <c r="AVE95" s="108"/>
      <c r="AVF95" s="108"/>
      <c r="AVG95" s="108"/>
      <c r="AVH95" s="108"/>
      <c r="AVI95" s="108"/>
      <c r="AVJ95" s="108"/>
      <c r="AVK95" s="108"/>
      <c r="AVL95" s="108"/>
      <c r="AVM95" s="108"/>
      <c r="AVN95" s="108"/>
      <c r="AVO95" s="108"/>
      <c r="AVP95" s="108"/>
      <c r="AVQ95" s="108"/>
      <c r="AVR95" s="108"/>
      <c r="AVS95" s="108"/>
      <c r="AVT95" s="108"/>
      <c r="AVU95" s="108"/>
      <c r="AVV95" s="108"/>
      <c r="AVW95" s="108"/>
      <c r="AVX95" s="108"/>
      <c r="AVY95" s="108"/>
      <c r="AVZ95" s="108"/>
      <c r="AWA95" s="108"/>
      <c r="AWB95" s="108"/>
      <c r="AWC95" s="108"/>
      <c r="AWD95" s="108"/>
      <c r="AWE95" s="108"/>
      <c r="AWF95" s="108"/>
      <c r="AWG95" s="108"/>
      <c r="AWH95" s="108"/>
      <c r="AWI95" s="108"/>
      <c r="AWJ95" s="108"/>
      <c r="AWK95" s="108"/>
      <c r="AWL95" s="108"/>
      <c r="AWM95" s="108"/>
      <c r="AWN95" s="108"/>
      <c r="AWO95" s="108"/>
      <c r="AWP95" s="108"/>
      <c r="AWQ95" s="108"/>
      <c r="AWR95" s="108"/>
      <c r="AWS95" s="108"/>
      <c r="AWT95" s="108"/>
      <c r="AWU95" s="108"/>
      <c r="AWV95" s="108"/>
      <c r="AWW95" s="108"/>
      <c r="AWX95" s="108"/>
      <c r="AWY95" s="108"/>
      <c r="AWZ95" s="108"/>
      <c r="AXA95" s="108"/>
      <c r="AXB95" s="108"/>
      <c r="AXC95" s="108"/>
      <c r="AXD95" s="108"/>
      <c r="AXE95" s="108"/>
      <c r="AXF95" s="108"/>
      <c r="AXG95" s="108"/>
      <c r="AXH95" s="108"/>
      <c r="AXI95" s="108"/>
      <c r="AXJ95" s="108"/>
      <c r="AXK95" s="108"/>
      <c r="AXL95" s="108"/>
      <c r="AXM95" s="108"/>
      <c r="AXN95" s="108"/>
      <c r="AXO95" s="108"/>
      <c r="AXP95" s="108"/>
      <c r="AXQ95" s="108"/>
      <c r="AXR95" s="108"/>
      <c r="AXS95" s="108"/>
      <c r="AXT95" s="108"/>
      <c r="AXU95" s="108"/>
      <c r="AXV95" s="108"/>
      <c r="AXW95" s="108"/>
      <c r="AXX95" s="108"/>
      <c r="AXY95" s="108"/>
      <c r="AXZ95" s="108"/>
      <c r="AYA95" s="108"/>
      <c r="AYB95" s="108"/>
      <c r="AYC95" s="108"/>
      <c r="AYD95" s="108"/>
      <c r="AYE95" s="108"/>
      <c r="AYF95" s="108"/>
      <c r="AYG95" s="108"/>
      <c r="AYH95" s="108"/>
      <c r="AYI95" s="108"/>
      <c r="AYJ95" s="108"/>
      <c r="AYK95" s="108"/>
      <c r="AYL95" s="108"/>
      <c r="AYM95" s="108"/>
      <c r="AYN95" s="108"/>
      <c r="AYO95" s="108"/>
      <c r="AYP95" s="108"/>
      <c r="AYQ95" s="108"/>
      <c r="AYR95" s="108"/>
      <c r="AYS95" s="108"/>
      <c r="AYT95" s="108"/>
      <c r="AYU95" s="108"/>
      <c r="AYV95" s="108"/>
      <c r="AYW95" s="108"/>
      <c r="AYX95" s="108"/>
      <c r="AYY95" s="108"/>
      <c r="AYZ95" s="108"/>
      <c r="AZA95" s="108"/>
      <c r="AZB95" s="108"/>
      <c r="AZC95" s="108"/>
      <c r="AZD95" s="108"/>
      <c r="AZE95" s="108"/>
      <c r="AZF95" s="108"/>
      <c r="AZG95" s="108"/>
      <c r="AZH95" s="108"/>
      <c r="AZI95" s="108"/>
      <c r="AZJ95" s="108"/>
      <c r="AZK95" s="108"/>
      <c r="AZL95" s="108"/>
      <c r="AZM95" s="108"/>
      <c r="AZN95" s="108"/>
      <c r="AZO95" s="108"/>
      <c r="AZP95" s="108"/>
      <c r="AZQ95" s="108"/>
      <c r="AZR95" s="108"/>
      <c r="AZS95" s="108"/>
      <c r="AZT95" s="108"/>
      <c r="AZU95" s="108"/>
      <c r="AZV95" s="108"/>
      <c r="AZW95" s="108"/>
      <c r="AZX95" s="108"/>
      <c r="AZY95" s="108"/>
      <c r="AZZ95" s="108"/>
      <c r="BAA95" s="108"/>
      <c r="BAB95" s="108"/>
      <c r="BAC95" s="108"/>
      <c r="BAD95" s="108"/>
      <c r="BAE95" s="108"/>
      <c r="BAF95" s="108"/>
      <c r="BAG95" s="108"/>
      <c r="BAH95" s="108"/>
      <c r="BAI95" s="108"/>
      <c r="BAJ95" s="108"/>
      <c r="BAK95" s="108"/>
      <c r="BAL95" s="108"/>
      <c r="BAM95" s="108"/>
      <c r="BAN95" s="108"/>
      <c r="BAO95" s="108"/>
      <c r="BAP95" s="108"/>
      <c r="BAQ95" s="108"/>
      <c r="BAR95" s="108"/>
      <c r="BAS95" s="108"/>
      <c r="BAT95" s="108"/>
      <c r="BAU95" s="108"/>
      <c r="BAV95" s="108"/>
      <c r="BAW95" s="108"/>
      <c r="BAX95" s="108"/>
      <c r="BAY95" s="108"/>
      <c r="BAZ95" s="108"/>
      <c r="BBA95" s="108"/>
      <c r="BBB95" s="108"/>
      <c r="BBC95" s="108"/>
      <c r="BBD95" s="108"/>
      <c r="BBE95" s="108"/>
      <c r="BBF95" s="108"/>
      <c r="BBG95" s="108"/>
      <c r="BBH95" s="108"/>
      <c r="BBI95" s="108"/>
      <c r="BBJ95" s="108"/>
      <c r="BBK95" s="108"/>
      <c r="BBL95" s="108"/>
      <c r="BBM95" s="108"/>
      <c r="BBN95" s="108"/>
      <c r="BBO95" s="108"/>
      <c r="BBP95" s="108"/>
      <c r="BBQ95" s="108"/>
      <c r="BBR95" s="108"/>
      <c r="BBS95" s="108"/>
      <c r="BBT95" s="108"/>
      <c r="BBU95" s="108"/>
      <c r="BBV95" s="108"/>
      <c r="BBW95" s="108"/>
      <c r="BBX95" s="108"/>
      <c r="BBY95" s="108"/>
      <c r="BBZ95" s="108"/>
      <c r="BCA95" s="108"/>
      <c r="BCB95" s="108"/>
      <c r="BCC95" s="108"/>
      <c r="BCD95" s="108"/>
      <c r="BCE95" s="108"/>
      <c r="BCF95" s="108"/>
      <c r="BCG95" s="108"/>
      <c r="BCH95" s="108"/>
      <c r="BCI95" s="108"/>
      <c r="BCJ95" s="108"/>
      <c r="BCK95" s="108"/>
      <c r="BCL95" s="108"/>
      <c r="BCM95" s="108"/>
      <c r="BCN95" s="108"/>
      <c r="BCO95" s="108"/>
      <c r="BCP95" s="108"/>
      <c r="BCQ95" s="108"/>
      <c r="BCR95" s="108"/>
      <c r="BCS95" s="108"/>
      <c r="BCT95" s="108"/>
      <c r="BCU95" s="108"/>
      <c r="BCV95" s="108"/>
      <c r="BCW95" s="108"/>
      <c r="BCX95" s="108"/>
      <c r="BCY95" s="108"/>
      <c r="BCZ95" s="108"/>
      <c r="BDA95" s="108"/>
      <c r="BDB95" s="108"/>
      <c r="BDC95" s="108"/>
      <c r="BDD95" s="108"/>
      <c r="BDE95" s="108"/>
      <c r="BDF95" s="108"/>
      <c r="BDG95" s="108"/>
      <c r="BDH95" s="108"/>
      <c r="BDI95" s="108"/>
      <c r="BDJ95" s="108"/>
      <c r="BDK95" s="108"/>
      <c r="BDL95" s="108"/>
      <c r="BDM95" s="108"/>
      <c r="BDN95" s="108"/>
      <c r="BDO95" s="108"/>
      <c r="BDP95" s="108"/>
      <c r="BDQ95" s="108"/>
      <c r="BDR95" s="108"/>
      <c r="BDS95" s="108"/>
      <c r="BDT95" s="108"/>
      <c r="BDU95" s="108"/>
      <c r="BDV95" s="108"/>
      <c r="BDW95" s="108"/>
      <c r="BDX95" s="108"/>
      <c r="BDY95" s="108"/>
      <c r="BDZ95" s="108"/>
      <c r="BEA95" s="108"/>
      <c r="BEB95" s="108"/>
      <c r="BEC95" s="108"/>
      <c r="BED95" s="108"/>
      <c r="BEE95" s="108"/>
      <c r="BEF95" s="108"/>
      <c r="BEG95" s="108"/>
      <c r="BEH95" s="108"/>
      <c r="BEI95" s="108"/>
      <c r="BEJ95" s="108"/>
      <c r="BEK95" s="108"/>
      <c r="BEL95" s="108"/>
      <c r="BEM95" s="108"/>
      <c r="BEN95" s="108"/>
      <c r="BEO95" s="108"/>
      <c r="BEP95" s="108"/>
      <c r="BEQ95" s="108"/>
      <c r="BER95" s="108"/>
      <c r="BES95" s="108"/>
      <c r="BET95" s="108"/>
      <c r="BEU95" s="108"/>
      <c r="BEV95" s="108"/>
      <c r="BEW95" s="108"/>
      <c r="BEX95" s="108"/>
      <c r="BEY95" s="108"/>
      <c r="BEZ95" s="108"/>
      <c r="BFA95" s="108"/>
      <c r="BFB95" s="108"/>
      <c r="BFC95" s="108"/>
      <c r="BFD95" s="108"/>
      <c r="BFE95" s="108"/>
      <c r="BFF95" s="108"/>
      <c r="BFG95" s="108"/>
      <c r="BFH95" s="108"/>
      <c r="BFI95" s="108"/>
      <c r="BFJ95" s="108"/>
      <c r="BFK95" s="108"/>
      <c r="BFL95" s="108"/>
      <c r="BFM95" s="108"/>
      <c r="BFN95" s="108"/>
      <c r="BFO95" s="108"/>
      <c r="BFP95" s="108"/>
      <c r="BFQ95" s="108"/>
      <c r="BFR95" s="108"/>
      <c r="BFS95" s="108"/>
      <c r="BFT95" s="108"/>
      <c r="BFU95" s="108"/>
      <c r="BFV95" s="108"/>
      <c r="BFW95" s="108"/>
      <c r="BFX95" s="108"/>
      <c r="BFY95" s="108"/>
      <c r="BFZ95" s="108"/>
      <c r="BGA95" s="108"/>
      <c r="BGB95" s="108"/>
      <c r="BGC95" s="108"/>
      <c r="BGD95" s="108"/>
      <c r="BGE95" s="108"/>
      <c r="BGF95" s="108"/>
      <c r="BGG95" s="108"/>
      <c r="BGH95" s="108"/>
      <c r="BGI95" s="108"/>
      <c r="BGJ95" s="108"/>
      <c r="BGK95" s="108"/>
      <c r="BGL95" s="108"/>
      <c r="BGM95" s="108"/>
      <c r="BGN95" s="108"/>
      <c r="BGO95" s="108"/>
      <c r="BGP95" s="108"/>
      <c r="BGQ95" s="108"/>
      <c r="BGR95" s="108"/>
      <c r="BGS95" s="108"/>
      <c r="BGT95" s="108"/>
      <c r="BGU95" s="108"/>
      <c r="BGV95" s="108"/>
      <c r="BGW95" s="108"/>
      <c r="BGX95" s="108"/>
      <c r="BGY95" s="108"/>
      <c r="BGZ95" s="108"/>
      <c r="BHA95" s="108"/>
      <c r="BHB95" s="108"/>
      <c r="BHC95" s="108"/>
      <c r="BHD95" s="108"/>
      <c r="BHE95" s="108"/>
      <c r="BHF95" s="108"/>
      <c r="BHG95" s="108"/>
      <c r="BHH95" s="108"/>
      <c r="BHI95" s="108"/>
      <c r="BHJ95" s="108"/>
      <c r="BHK95" s="108"/>
      <c r="BHL95" s="108"/>
      <c r="BHM95" s="108"/>
      <c r="BHN95" s="108"/>
      <c r="BHO95" s="108"/>
      <c r="BHP95" s="108"/>
      <c r="BHQ95" s="108"/>
      <c r="BHR95" s="108"/>
      <c r="BHS95" s="108"/>
      <c r="BHT95" s="108"/>
      <c r="BHU95" s="108"/>
      <c r="BHV95" s="108"/>
      <c r="BHW95" s="108"/>
      <c r="BHX95" s="108"/>
      <c r="BHY95" s="108"/>
      <c r="BHZ95" s="108"/>
      <c r="BIA95" s="108"/>
      <c r="BIB95" s="108"/>
      <c r="BIC95" s="108"/>
      <c r="BID95" s="108"/>
      <c r="BIE95" s="108"/>
      <c r="BIF95" s="108"/>
      <c r="BIG95" s="108"/>
      <c r="BIH95" s="108"/>
      <c r="BII95" s="108"/>
      <c r="BIJ95" s="108"/>
      <c r="BIK95" s="108"/>
      <c r="BIL95" s="108"/>
      <c r="BIM95" s="108"/>
      <c r="BIN95" s="108"/>
      <c r="BIO95" s="108"/>
      <c r="BIP95" s="108"/>
      <c r="BIQ95" s="108"/>
      <c r="BIR95" s="108"/>
      <c r="BIS95" s="108"/>
      <c r="BIT95" s="108"/>
      <c r="BIU95" s="108"/>
      <c r="BIV95" s="108"/>
      <c r="BIW95" s="108"/>
      <c r="BIX95" s="108"/>
      <c r="BIY95" s="108"/>
      <c r="BIZ95" s="108"/>
      <c r="BJA95" s="108"/>
      <c r="BJB95" s="108"/>
      <c r="BJC95" s="108"/>
      <c r="BJD95" s="108"/>
      <c r="BJE95" s="108"/>
      <c r="BJF95" s="108"/>
      <c r="BJG95" s="108"/>
      <c r="BJH95" s="108"/>
      <c r="BJI95" s="108"/>
      <c r="BJJ95" s="108"/>
      <c r="BJK95" s="108"/>
      <c r="BJL95" s="108"/>
      <c r="BJM95" s="108"/>
      <c r="BJN95" s="108"/>
      <c r="BJO95" s="108"/>
      <c r="BJP95" s="108"/>
      <c r="BJQ95" s="108"/>
      <c r="BJR95" s="108"/>
      <c r="BJS95" s="108"/>
      <c r="BJT95" s="108"/>
      <c r="BJU95" s="108"/>
      <c r="BJV95" s="108"/>
      <c r="BJW95" s="108"/>
      <c r="BJX95" s="108"/>
      <c r="BJY95" s="108"/>
      <c r="BJZ95" s="108"/>
      <c r="BKA95" s="108"/>
      <c r="BKB95" s="108"/>
      <c r="BKC95" s="108"/>
      <c r="BKD95" s="108"/>
      <c r="BKE95" s="108"/>
      <c r="BKF95" s="108"/>
      <c r="BKG95" s="108"/>
      <c r="BKH95" s="108"/>
      <c r="BKI95" s="108"/>
      <c r="BKJ95" s="108"/>
      <c r="BKK95" s="108"/>
      <c r="BKL95" s="108"/>
      <c r="BKM95" s="108"/>
      <c r="BKN95" s="108"/>
      <c r="BKO95" s="108"/>
      <c r="BKP95" s="108"/>
      <c r="BKQ95" s="108"/>
      <c r="BKR95" s="108"/>
      <c r="BKS95" s="108"/>
      <c r="BKT95" s="108"/>
      <c r="BKU95" s="108"/>
      <c r="BKV95" s="108"/>
      <c r="BKW95" s="108"/>
      <c r="BKX95" s="108"/>
      <c r="BKY95" s="108"/>
      <c r="BKZ95" s="108"/>
      <c r="BLA95" s="108"/>
      <c r="BLB95" s="108"/>
      <c r="BLC95" s="108"/>
      <c r="BLD95" s="108"/>
      <c r="BLE95" s="108"/>
      <c r="BLF95" s="108"/>
      <c r="BLG95" s="108"/>
      <c r="BLH95" s="108"/>
      <c r="BLI95" s="108"/>
      <c r="BLJ95" s="108"/>
      <c r="BLK95" s="108"/>
      <c r="BLL95" s="108"/>
      <c r="BLM95" s="108"/>
      <c r="BLN95" s="108"/>
      <c r="BLO95" s="108"/>
      <c r="BLP95" s="108"/>
      <c r="BLQ95" s="108"/>
      <c r="BLR95" s="108"/>
      <c r="BLS95" s="108"/>
      <c r="BLT95" s="108"/>
      <c r="BLU95" s="108"/>
      <c r="BLV95" s="108"/>
      <c r="BLW95" s="108"/>
      <c r="BLX95" s="108"/>
      <c r="BLY95" s="108"/>
      <c r="BLZ95" s="108"/>
      <c r="BMA95" s="108"/>
      <c r="BMB95" s="108"/>
      <c r="BMC95" s="108"/>
      <c r="BMD95" s="108"/>
      <c r="BME95" s="108"/>
      <c r="BMF95" s="108"/>
      <c r="BMG95" s="108"/>
      <c r="BMH95" s="108"/>
      <c r="BMI95" s="108"/>
      <c r="BMJ95" s="108"/>
      <c r="BMK95" s="108"/>
      <c r="BML95" s="108"/>
      <c r="BMM95" s="108"/>
      <c r="BMN95" s="108"/>
      <c r="BMO95" s="108"/>
      <c r="BMP95" s="108"/>
      <c r="BMQ95" s="108"/>
      <c r="BMR95" s="108"/>
      <c r="BMS95" s="108"/>
      <c r="BMT95" s="108"/>
      <c r="BMU95" s="108"/>
      <c r="BMV95" s="108"/>
      <c r="BMW95" s="108"/>
      <c r="BMX95" s="108"/>
      <c r="BMY95" s="108"/>
      <c r="BMZ95" s="108"/>
      <c r="BNA95" s="108"/>
      <c r="BNB95" s="108"/>
      <c r="BNC95" s="108"/>
      <c r="BND95" s="108"/>
      <c r="BNE95" s="108"/>
      <c r="BNF95" s="108"/>
      <c r="BNG95" s="108"/>
      <c r="BNH95" s="108"/>
      <c r="BNI95" s="108"/>
      <c r="BNJ95" s="108"/>
      <c r="BNK95" s="108"/>
      <c r="BNL95" s="108"/>
      <c r="BNM95" s="108"/>
      <c r="BNN95" s="108"/>
      <c r="BNO95" s="108"/>
      <c r="BNP95" s="108"/>
      <c r="BNQ95" s="108"/>
      <c r="BNR95" s="108"/>
      <c r="BNS95" s="108"/>
      <c r="BNT95" s="108"/>
      <c r="BNU95" s="108"/>
      <c r="BNV95" s="108"/>
      <c r="BNW95" s="108"/>
      <c r="BNX95" s="108"/>
      <c r="BNY95" s="108"/>
      <c r="BNZ95" s="108"/>
      <c r="BOA95" s="108"/>
      <c r="BOB95" s="108"/>
      <c r="BOC95" s="108"/>
      <c r="BOD95" s="108"/>
      <c r="BOE95" s="108"/>
      <c r="BOF95" s="108"/>
      <c r="BOG95" s="108"/>
      <c r="BOH95" s="108"/>
      <c r="BOI95" s="108"/>
      <c r="BOJ95" s="108"/>
      <c r="BOK95" s="108"/>
      <c r="BOL95" s="108"/>
      <c r="BOM95" s="108"/>
      <c r="BON95" s="108"/>
      <c r="BOO95" s="108"/>
      <c r="BOP95" s="108"/>
      <c r="BOQ95" s="108"/>
      <c r="BOR95" s="108"/>
      <c r="BOS95" s="108"/>
      <c r="BOT95" s="108"/>
      <c r="BOU95" s="108"/>
      <c r="BOV95" s="108"/>
      <c r="BOW95" s="108"/>
      <c r="BOX95" s="108"/>
      <c r="BOY95" s="108"/>
      <c r="BOZ95" s="108"/>
      <c r="BPA95" s="108"/>
      <c r="BPB95" s="108"/>
      <c r="BPC95" s="108"/>
      <c r="BPD95" s="108"/>
      <c r="BPE95" s="108"/>
      <c r="BPF95" s="108"/>
      <c r="BPG95" s="108"/>
      <c r="BPH95" s="108"/>
      <c r="BPI95" s="108"/>
      <c r="BPJ95" s="108"/>
      <c r="BPK95" s="108"/>
      <c r="BPL95" s="108"/>
      <c r="BPM95" s="108"/>
      <c r="BPN95" s="108"/>
      <c r="BPO95" s="108"/>
      <c r="BPP95" s="108"/>
      <c r="BPQ95" s="108"/>
      <c r="BPR95" s="108"/>
      <c r="BPS95" s="108"/>
      <c r="BPT95" s="108"/>
      <c r="BPU95" s="108"/>
      <c r="BPV95" s="108"/>
      <c r="BPW95" s="108"/>
      <c r="BPX95" s="108"/>
      <c r="BPY95" s="108"/>
      <c r="BPZ95" s="108"/>
      <c r="BQA95" s="108"/>
      <c r="BQB95" s="108"/>
      <c r="BQC95" s="108"/>
      <c r="BQD95" s="108"/>
      <c r="BQE95" s="108"/>
      <c r="BQF95" s="108"/>
      <c r="BQG95" s="108"/>
      <c r="BQH95" s="108"/>
      <c r="BQI95" s="108"/>
      <c r="BQJ95" s="108"/>
      <c r="BQK95" s="108"/>
      <c r="BQL95" s="108"/>
      <c r="BQM95" s="108"/>
      <c r="BQN95" s="108"/>
      <c r="BQO95" s="108"/>
      <c r="BQP95" s="108"/>
      <c r="BQQ95" s="108"/>
      <c r="BQR95" s="108"/>
      <c r="BQS95" s="108"/>
      <c r="BQT95" s="108"/>
      <c r="BQU95" s="108"/>
      <c r="BQV95" s="108"/>
      <c r="BQW95" s="108"/>
      <c r="BQX95" s="108"/>
      <c r="BQY95" s="108"/>
      <c r="BQZ95" s="108"/>
      <c r="BRA95" s="108"/>
      <c r="BRB95" s="108"/>
      <c r="BRC95" s="108"/>
      <c r="BRD95" s="108"/>
      <c r="BRE95" s="108"/>
      <c r="BRF95" s="108"/>
      <c r="BRG95" s="108"/>
      <c r="BRH95" s="108"/>
      <c r="BRI95" s="108"/>
      <c r="BRJ95" s="108"/>
      <c r="BRK95" s="108"/>
      <c r="BRL95" s="108"/>
      <c r="BRM95" s="108"/>
      <c r="BRN95" s="108"/>
      <c r="BRO95" s="108"/>
      <c r="BRP95" s="108"/>
      <c r="BRQ95" s="108"/>
      <c r="BRR95" s="108"/>
      <c r="BRS95" s="108"/>
      <c r="BRT95" s="108"/>
      <c r="BRU95" s="108"/>
      <c r="BRV95" s="108"/>
      <c r="BRW95" s="108"/>
      <c r="BRX95" s="108"/>
      <c r="BRY95" s="108"/>
      <c r="BRZ95" s="108"/>
      <c r="BSA95" s="108"/>
      <c r="BSB95" s="108"/>
      <c r="BSC95" s="108"/>
      <c r="BSD95" s="108"/>
      <c r="BSE95" s="108"/>
      <c r="BSF95" s="108"/>
      <c r="BSG95" s="108"/>
      <c r="BSH95" s="108"/>
      <c r="BSI95" s="108"/>
      <c r="BSJ95" s="108"/>
      <c r="BSK95" s="108"/>
      <c r="BSL95" s="108"/>
      <c r="BSM95" s="108"/>
      <c r="BSN95" s="108"/>
      <c r="BSO95" s="108"/>
      <c r="BSP95" s="108"/>
      <c r="BSQ95" s="108"/>
      <c r="BSR95" s="108"/>
      <c r="BSS95" s="108"/>
      <c r="BST95" s="108"/>
      <c r="BSU95" s="108"/>
      <c r="BSV95" s="108"/>
      <c r="BSW95" s="108"/>
      <c r="BSX95" s="108"/>
      <c r="BSY95" s="108"/>
      <c r="BSZ95" s="108"/>
      <c r="BTA95" s="108"/>
      <c r="BTB95" s="108"/>
      <c r="BTC95" s="108"/>
      <c r="BTD95" s="108"/>
      <c r="BTE95" s="108"/>
      <c r="BTF95" s="108"/>
      <c r="BTG95" s="108"/>
      <c r="BTH95" s="108"/>
      <c r="BTI95" s="108"/>
      <c r="BTJ95" s="108"/>
      <c r="BTK95" s="108"/>
      <c r="BTL95" s="108"/>
      <c r="BTM95" s="108"/>
      <c r="BTN95" s="108"/>
      <c r="BTO95" s="108"/>
      <c r="BTP95" s="108"/>
      <c r="BTQ95" s="108"/>
      <c r="BTR95" s="108"/>
      <c r="BTS95" s="108"/>
      <c r="BTT95" s="108"/>
      <c r="BTU95" s="108"/>
      <c r="BTV95" s="108"/>
      <c r="BTW95" s="108"/>
      <c r="BTX95" s="108"/>
      <c r="BTY95" s="108"/>
      <c r="BTZ95" s="108"/>
      <c r="BUA95" s="108"/>
      <c r="BUB95" s="108"/>
      <c r="BUC95" s="108"/>
      <c r="BUD95" s="108"/>
      <c r="BUE95" s="108"/>
      <c r="BUF95" s="108"/>
      <c r="BUG95" s="108"/>
      <c r="BUH95" s="108"/>
      <c r="BUI95" s="108"/>
      <c r="BUJ95" s="108"/>
      <c r="BUK95" s="108"/>
      <c r="BUL95" s="108"/>
      <c r="BUM95" s="108"/>
      <c r="BUN95" s="108"/>
      <c r="BUO95" s="108"/>
      <c r="BUP95" s="108"/>
      <c r="BUQ95" s="108"/>
      <c r="BUR95" s="108"/>
      <c r="BUS95" s="108"/>
      <c r="BUT95" s="108"/>
      <c r="BUU95" s="108"/>
      <c r="BUV95" s="108"/>
      <c r="BUW95" s="108"/>
      <c r="BUX95" s="108"/>
      <c r="BUY95" s="108"/>
      <c r="BUZ95" s="108"/>
      <c r="BVA95" s="108"/>
      <c r="BVB95" s="108"/>
      <c r="BVC95" s="108"/>
      <c r="BVD95" s="108"/>
      <c r="BVE95" s="108"/>
      <c r="BVF95" s="108"/>
      <c r="BVG95" s="108"/>
      <c r="BVH95" s="108"/>
      <c r="BVI95" s="108"/>
      <c r="BVJ95" s="108"/>
      <c r="BVK95" s="108"/>
      <c r="BVL95" s="108"/>
      <c r="BVM95" s="108"/>
      <c r="BVN95" s="108"/>
      <c r="BVO95" s="108"/>
      <c r="BVP95" s="108"/>
      <c r="BVQ95" s="108"/>
      <c r="BVR95" s="108"/>
      <c r="BVS95" s="108"/>
      <c r="BVT95" s="108"/>
      <c r="BVU95" s="108"/>
      <c r="BVV95" s="108"/>
      <c r="BVW95" s="108"/>
      <c r="BVX95" s="108"/>
      <c r="BVY95" s="108"/>
      <c r="BVZ95" s="108"/>
      <c r="BWA95" s="108"/>
      <c r="BWB95" s="108"/>
      <c r="BWC95" s="108"/>
      <c r="BWD95" s="108"/>
      <c r="BWE95" s="108"/>
      <c r="BWF95" s="108"/>
      <c r="BWG95" s="108"/>
      <c r="BWH95" s="108"/>
      <c r="BWI95" s="108"/>
      <c r="BWJ95" s="108"/>
      <c r="BWK95" s="108"/>
      <c r="BWL95" s="108"/>
      <c r="BWM95" s="108"/>
      <c r="BWN95" s="108"/>
      <c r="BWO95" s="108"/>
      <c r="BWP95" s="108"/>
      <c r="BWQ95" s="108"/>
      <c r="BWR95" s="108"/>
      <c r="BWS95" s="108"/>
      <c r="BWT95" s="108"/>
      <c r="BWU95" s="108"/>
      <c r="BWV95" s="108"/>
      <c r="BWW95" s="108"/>
      <c r="BWX95" s="108"/>
      <c r="BWY95" s="108"/>
      <c r="BWZ95" s="108"/>
      <c r="BXA95" s="108"/>
      <c r="BXB95" s="108"/>
      <c r="BXC95" s="108"/>
      <c r="BXD95" s="108"/>
      <c r="BXE95" s="108"/>
      <c r="BXF95" s="108"/>
      <c r="BXG95" s="108"/>
      <c r="BXH95" s="108"/>
      <c r="BXI95" s="108"/>
      <c r="BXJ95" s="108"/>
      <c r="BXK95" s="108"/>
      <c r="BXL95" s="108"/>
      <c r="BXM95" s="108"/>
      <c r="BXN95" s="108"/>
      <c r="BXO95" s="108"/>
      <c r="BXP95" s="108"/>
      <c r="BXQ95" s="108"/>
      <c r="BXR95" s="108"/>
      <c r="BXS95" s="108"/>
      <c r="BXT95" s="108"/>
      <c r="BXU95" s="108"/>
      <c r="BXV95" s="108"/>
      <c r="BXW95" s="108"/>
      <c r="BXX95" s="108"/>
      <c r="BXY95" s="108"/>
      <c r="BXZ95" s="108"/>
      <c r="BYA95" s="108"/>
      <c r="BYB95" s="108"/>
      <c r="BYC95" s="108"/>
      <c r="BYD95" s="108"/>
      <c r="BYE95" s="108"/>
      <c r="BYF95" s="108"/>
      <c r="BYG95" s="108"/>
      <c r="BYH95" s="108"/>
      <c r="BYI95" s="108"/>
      <c r="BYJ95" s="108"/>
      <c r="BYK95" s="108"/>
      <c r="BYL95" s="108"/>
      <c r="BYM95" s="108"/>
      <c r="BYN95" s="108"/>
      <c r="BYO95" s="108"/>
      <c r="BYP95" s="108"/>
      <c r="BYQ95" s="108"/>
      <c r="BYR95" s="108"/>
      <c r="BYS95" s="108"/>
      <c r="BYT95" s="108"/>
      <c r="BYU95" s="108"/>
      <c r="BYV95" s="108"/>
      <c r="BYW95" s="108"/>
      <c r="BYX95" s="108"/>
      <c r="BYY95" s="108"/>
      <c r="BYZ95" s="108"/>
      <c r="BZA95" s="108"/>
      <c r="BZB95" s="108"/>
      <c r="BZC95" s="108"/>
      <c r="BZD95" s="108"/>
      <c r="BZE95" s="108"/>
      <c r="BZF95" s="108"/>
      <c r="BZG95" s="108"/>
      <c r="BZH95" s="108"/>
      <c r="BZI95" s="108"/>
      <c r="BZJ95" s="108"/>
      <c r="BZK95" s="108"/>
      <c r="BZL95" s="108"/>
      <c r="BZM95" s="108"/>
      <c r="BZN95" s="108"/>
      <c r="BZO95" s="108"/>
      <c r="BZP95" s="108"/>
      <c r="BZQ95" s="108"/>
      <c r="BZR95" s="108"/>
      <c r="BZS95" s="108"/>
      <c r="BZT95" s="108"/>
      <c r="BZU95" s="108"/>
      <c r="BZV95" s="108"/>
      <c r="BZW95" s="108"/>
      <c r="BZX95" s="108"/>
      <c r="BZY95" s="108"/>
      <c r="BZZ95" s="108"/>
      <c r="CAA95" s="108"/>
      <c r="CAB95" s="108"/>
      <c r="CAC95" s="108"/>
      <c r="CAD95" s="108"/>
      <c r="CAE95" s="108"/>
      <c r="CAF95" s="108"/>
      <c r="CAG95" s="108"/>
      <c r="CAH95" s="108"/>
      <c r="CAI95" s="108"/>
      <c r="CAJ95" s="108"/>
      <c r="CAK95" s="108"/>
      <c r="CAL95" s="108"/>
      <c r="CAM95" s="108"/>
      <c r="CAN95" s="108"/>
      <c r="CAO95" s="108"/>
      <c r="CAP95" s="108"/>
      <c r="CAQ95" s="108"/>
      <c r="CAR95" s="108"/>
      <c r="CAS95" s="108"/>
      <c r="CAT95" s="108"/>
      <c r="CAU95" s="108"/>
      <c r="CAV95" s="108"/>
      <c r="CAW95" s="108"/>
      <c r="CAX95" s="108"/>
      <c r="CAY95" s="108"/>
      <c r="CAZ95" s="108"/>
      <c r="CBA95" s="108"/>
      <c r="CBB95" s="108"/>
      <c r="CBC95" s="108"/>
      <c r="CBD95" s="108"/>
      <c r="CBE95" s="108"/>
      <c r="CBF95" s="108"/>
      <c r="CBG95" s="108"/>
      <c r="CBH95" s="108"/>
      <c r="CBI95" s="108"/>
      <c r="CBJ95" s="108"/>
      <c r="CBK95" s="108"/>
      <c r="CBL95" s="108"/>
      <c r="CBM95" s="108"/>
      <c r="CBN95" s="108"/>
      <c r="CBO95" s="108"/>
      <c r="CBP95" s="108"/>
      <c r="CBQ95" s="108"/>
      <c r="CBR95" s="108"/>
      <c r="CBS95" s="108"/>
      <c r="CBT95" s="108"/>
      <c r="CBU95" s="108"/>
      <c r="CBV95" s="108"/>
      <c r="CBW95" s="108"/>
      <c r="CBX95" s="108"/>
      <c r="CBY95" s="108"/>
      <c r="CBZ95" s="108"/>
      <c r="CCA95" s="108"/>
      <c r="CCB95" s="108"/>
      <c r="CCC95" s="108"/>
      <c r="CCD95" s="108"/>
      <c r="CCE95" s="108"/>
      <c r="CCF95" s="108"/>
      <c r="CCG95" s="108"/>
      <c r="CCH95" s="108"/>
      <c r="CCI95" s="108"/>
      <c r="CCJ95" s="108"/>
      <c r="CCK95" s="108"/>
      <c r="CCL95" s="108"/>
      <c r="CCM95" s="108"/>
      <c r="CCN95" s="108"/>
      <c r="CCO95" s="108"/>
      <c r="CCP95" s="108"/>
      <c r="CCQ95" s="108"/>
      <c r="CCR95" s="108"/>
      <c r="CCS95" s="108"/>
      <c r="CCT95" s="108"/>
      <c r="CCU95" s="108"/>
      <c r="CCV95" s="108"/>
      <c r="CCW95" s="108"/>
      <c r="CCX95" s="108"/>
      <c r="CCY95" s="108"/>
      <c r="CCZ95" s="108"/>
      <c r="CDA95" s="108"/>
      <c r="CDB95" s="108"/>
      <c r="CDC95" s="108"/>
      <c r="CDD95" s="108"/>
      <c r="CDE95" s="108"/>
      <c r="CDF95" s="108"/>
      <c r="CDG95" s="108"/>
      <c r="CDH95" s="108"/>
      <c r="CDI95" s="108"/>
      <c r="CDJ95" s="108"/>
      <c r="CDK95" s="108"/>
      <c r="CDL95" s="108"/>
      <c r="CDM95" s="108"/>
      <c r="CDN95" s="108"/>
      <c r="CDO95" s="108"/>
      <c r="CDP95" s="108"/>
      <c r="CDQ95" s="108"/>
      <c r="CDR95" s="108"/>
      <c r="CDS95" s="108"/>
      <c r="CDT95" s="108"/>
      <c r="CDU95" s="108"/>
      <c r="CDV95" s="108"/>
      <c r="CDW95" s="108"/>
      <c r="CDX95" s="108"/>
      <c r="CDY95" s="108"/>
      <c r="CDZ95" s="108"/>
      <c r="CEA95" s="108"/>
      <c r="CEB95" s="108"/>
      <c r="CEC95" s="108"/>
      <c r="CED95" s="108"/>
      <c r="CEE95" s="108"/>
      <c r="CEF95" s="108"/>
      <c r="CEG95" s="108"/>
      <c r="CEH95" s="108"/>
      <c r="CEI95" s="108"/>
      <c r="CEJ95" s="108"/>
      <c r="CEK95" s="108"/>
      <c r="CEL95" s="108"/>
      <c r="CEM95" s="108"/>
      <c r="CEN95" s="108"/>
      <c r="CEO95" s="108"/>
      <c r="CEP95" s="108"/>
      <c r="CEQ95" s="108"/>
      <c r="CER95" s="108"/>
      <c r="CES95" s="108"/>
      <c r="CET95" s="108"/>
      <c r="CEU95" s="108"/>
      <c r="CEV95" s="108"/>
      <c r="CEW95" s="108"/>
      <c r="CEX95" s="108"/>
      <c r="CEY95" s="108"/>
      <c r="CEZ95" s="108"/>
      <c r="CFA95" s="108"/>
      <c r="CFB95" s="108"/>
      <c r="CFC95" s="108"/>
      <c r="CFD95" s="108"/>
      <c r="CFE95" s="108"/>
      <c r="CFF95" s="108"/>
      <c r="CFG95" s="108"/>
      <c r="CFH95" s="108"/>
      <c r="CFI95" s="108"/>
      <c r="CFJ95" s="108"/>
      <c r="CFK95" s="108"/>
      <c r="CFL95" s="108"/>
      <c r="CFM95" s="108"/>
      <c r="CFN95" s="108"/>
      <c r="CFO95" s="108"/>
      <c r="CFP95" s="108"/>
      <c r="CFQ95" s="108"/>
      <c r="CFR95" s="108"/>
      <c r="CFS95" s="108"/>
      <c r="CFT95" s="108"/>
      <c r="CFU95" s="108"/>
      <c r="CFV95" s="108"/>
      <c r="CFW95" s="108"/>
      <c r="CFX95" s="108"/>
      <c r="CFY95" s="108"/>
      <c r="CFZ95" s="108"/>
      <c r="CGA95" s="108"/>
      <c r="CGB95" s="108"/>
      <c r="CGC95" s="108"/>
      <c r="CGD95" s="108"/>
      <c r="CGE95" s="108"/>
      <c r="CGF95" s="108"/>
      <c r="CGG95" s="108"/>
      <c r="CGH95" s="108"/>
      <c r="CGI95" s="108"/>
      <c r="CGJ95" s="108"/>
      <c r="CGK95" s="108"/>
      <c r="CGL95" s="108"/>
      <c r="CGM95" s="108"/>
      <c r="CGN95" s="108"/>
      <c r="CGO95" s="108"/>
      <c r="CGP95" s="108"/>
      <c r="CGQ95" s="108"/>
      <c r="CGR95" s="108"/>
      <c r="CGS95" s="108"/>
      <c r="CGT95" s="108"/>
      <c r="CGU95" s="108"/>
      <c r="CGV95" s="108"/>
      <c r="CGW95" s="108"/>
      <c r="CGX95" s="108"/>
      <c r="CGY95" s="108"/>
      <c r="CGZ95" s="108"/>
      <c r="CHA95" s="108"/>
      <c r="CHB95" s="108"/>
      <c r="CHC95" s="108"/>
      <c r="CHD95" s="108"/>
      <c r="CHE95" s="108"/>
      <c r="CHF95" s="108"/>
      <c r="CHG95" s="108"/>
      <c r="CHH95" s="108"/>
      <c r="CHI95" s="108"/>
      <c r="CHJ95" s="108"/>
      <c r="CHK95" s="108"/>
      <c r="CHL95" s="108"/>
      <c r="CHM95" s="108"/>
      <c r="CHN95" s="108"/>
      <c r="CHO95" s="108"/>
      <c r="CHP95" s="108"/>
      <c r="CHQ95" s="108"/>
      <c r="CHR95" s="108"/>
      <c r="CHS95" s="108"/>
      <c r="CHT95" s="108"/>
      <c r="CHU95" s="108"/>
      <c r="CHV95" s="108"/>
      <c r="CHW95" s="108"/>
      <c r="CHX95" s="108"/>
      <c r="CHY95" s="108"/>
      <c r="CHZ95" s="108"/>
      <c r="CIA95" s="108"/>
      <c r="CIB95" s="108"/>
      <c r="CIC95" s="108"/>
      <c r="CID95" s="108"/>
      <c r="CIE95" s="108"/>
      <c r="CIF95" s="108"/>
      <c r="CIG95" s="108"/>
      <c r="CIH95" s="108"/>
      <c r="CII95" s="108"/>
      <c r="CIJ95" s="108"/>
      <c r="CIK95" s="108"/>
      <c r="CIL95" s="108"/>
      <c r="CIM95" s="108"/>
      <c r="CIN95" s="108"/>
      <c r="CIO95" s="108"/>
      <c r="CIP95" s="108"/>
      <c r="CIQ95" s="108"/>
      <c r="CIR95" s="108"/>
      <c r="CIS95" s="108"/>
      <c r="CIT95" s="108"/>
      <c r="CIU95" s="108"/>
      <c r="CIV95" s="108"/>
      <c r="CIW95" s="108"/>
      <c r="CIX95" s="108"/>
      <c r="CIY95" s="108"/>
      <c r="CIZ95" s="108"/>
      <c r="CJA95" s="108"/>
      <c r="CJB95" s="108"/>
      <c r="CJC95" s="108"/>
      <c r="CJD95" s="108"/>
      <c r="CJE95" s="108"/>
      <c r="CJF95" s="108"/>
      <c r="CJG95" s="108"/>
      <c r="CJH95" s="108"/>
      <c r="CJI95" s="108"/>
      <c r="CJJ95" s="108"/>
      <c r="CJK95" s="108"/>
      <c r="CJL95" s="108"/>
      <c r="CJM95" s="108"/>
      <c r="CJN95" s="108"/>
      <c r="CJO95" s="108"/>
      <c r="CJP95" s="108"/>
      <c r="CJQ95" s="108"/>
      <c r="CJR95" s="108"/>
      <c r="CJS95" s="108"/>
      <c r="CJT95" s="108"/>
      <c r="CJU95" s="108"/>
      <c r="CJV95" s="108"/>
      <c r="CJW95" s="108"/>
      <c r="CJX95" s="108"/>
      <c r="CJY95" s="108"/>
      <c r="CJZ95" s="108"/>
      <c r="CKA95" s="108"/>
      <c r="CKB95" s="108"/>
      <c r="CKC95" s="108"/>
      <c r="CKD95" s="108"/>
      <c r="CKE95" s="108"/>
      <c r="CKF95" s="108"/>
      <c r="CKG95" s="108"/>
      <c r="CKH95" s="108"/>
      <c r="CKI95" s="108"/>
      <c r="CKJ95" s="108"/>
      <c r="CKK95" s="108"/>
      <c r="CKL95" s="108"/>
      <c r="CKM95" s="108"/>
      <c r="CKN95" s="108"/>
      <c r="CKO95" s="108"/>
      <c r="CKP95" s="108"/>
      <c r="CKQ95" s="108"/>
      <c r="CKR95" s="108"/>
      <c r="CKS95" s="108"/>
      <c r="CKT95" s="108"/>
      <c r="CKU95" s="108"/>
      <c r="CKV95" s="108"/>
      <c r="CKW95" s="108"/>
      <c r="CKX95" s="108"/>
      <c r="CKY95" s="108"/>
      <c r="CKZ95" s="108"/>
      <c r="CLA95" s="108"/>
      <c r="CLB95" s="108"/>
      <c r="CLC95" s="108"/>
      <c r="CLD95" s="108"/>
      <c r="CLE95" s="108"/>
      <c r="CLF95" s="108"/>
      <c r="CLG95" s="108"/>
      <c r="CLH95" s="108"/>
      <c r="CLI95" s="108"/>
      <c r="CLJ95" s="108"/>
      <c r="CLK95" s="108"/>
      <c r="CLL95" s="108"/>
      <c r="CLM95" s="108"/>
      <c r="CLN95" s="108"/>
      <c r="CLO95" s="108"/>
      <c r="CLP95" s="108"/>
      <c r="CLQ95" s="108"/>
      <c r="CLR95" s="108"/>
      <c r="CLS95" s="108"/>
      <c r="CLT95" s="108"/>
      <c r="CLU95" s="108"/>
      <c r="CLV95" s="108"/>
      <c r="CLW95" s="108"/>
      <c r="CLX95" s="108"/>
      <c r="CLY95" s="108"/>
      <c r="CLZ95" s="108"/>
      <c r="CMA95" s="108"/>
      <c r="CMB95" s="108"/>
      <c r="CMC95" s="108"/>
      <c r="CMD95" s="108"/>
      <c r="CME95" s="108"/>
      <c r="CMF95" s="108"/>
      <c r="CMG95" s="108"/>
      <c r="CMH95" s="108"/>
      <c r="CMI95" s="108"/>
      <c r="CMJ95" s="108"/>
      <c r="CMK95" s="108"/>
      <c r="CML95" s="108"/>
      <c r="CMM95" s="108"/>
      <c r="CMN95" s="108"/>
      <c r="CMO95" s="108"/>
      <c r="CMP95" s="108"/>
      <c r="CMQ95" s="108"/>
      <c r="CMR95" s="108"/>
      <c r="CMS95" s="108"/>
      <c r="CMT95" s="108"/>
      <c r="CMU95" s="108"/>
      <c r="CMV95" s="108"/>
      <c r="CMW95" s="108"/>
      <c r="CMX95" s="108"/>
      <c r="CMY95" s="108"/>
      <c r="CMZ95" s="108"/>
      <c r="CNA95" s="108"/>
      <c r="CNB95" s="108"/>
      <c r="CNC95" s="108"/>
      <c r="CND95" s="108"/>
      <c r="CNE95" s="108"/>
      <c r="CNF95" s="108"/>
      <c r="CNG95" s="108"/>
      <c r="CNH95" s="108"/>
      <c r="CNI95" s="108"/>
      <c r="CNJ95" s="108"/>
      <c r="CNK95" s="108"/>
      <c r="CNL95" s="108"/>
      <c r="CNM95" s="108"/>
      <c r="CNN95" s="108"/>
      <c r="CNO95" s="108"/>
      <c r="CNP95" s="108"/>
      <c r="CNQ95" s="108"/>
      <c r="CNR95" s="108"/>
      <c r="CNS95" s="108"/>
      <c r="CNT95" s="108"/>
      <c r="CNU95" s="108"/>
      <c r="CNV95" s="108"/>
      <c r="CNW95" s="108"/>
      <c r="CNX95" s="108"/>
      <c r="CNY95" s="108"/>
      <c r="CNZ95" s="108"/>
      <c r="COA95" s="108"/>
      <c r="COB95" s="108"/>
      <c r="COC95" s="108"/>
      <c r="COD95" s="108"/>
      <c r="COE95" s="108"/>
      <c r="COF95" s="108"/>
      <c r="COG95" s="108"/>
      <c r="COH95" s="108"/>
      <c r="COI95" s="108"/>
      <c r="COJ95" s="108"/>
      <c r="COK95" s="108"/>
      <c r="COL95" s="108"/>
      <c r="COM95" s="108"/>
      <c r="CON95" s="108"/>
      <c r="COO95" s="108"/>
      <c r="COP95" s="108"/>
      <c r="COQ95" s="108"/>
      <c r="COR95" s="108"/>
      <c r="COS95" s="108"/>
      <c r="COT95" s="108"/>
      <c r="COU95" s="108"/>
      <c r="COV95" s="108"/>
      <c r="COW95" s="108"/>
      <c r="COX95" s="108"/>
      <c r="COY95" s="108"/>
      <c r="COZ95" s="108"/>
      <c r="CPA95" s="108"/>
      <c r="CPB95" s="108"/>
      <c r="CPC95" s="108"/>
      <c r="CPD95" s="108"/>
      <c r="CPE95" s="108"/>
      <c r="CPF95" s="108"/>
      <c r="CPG95" s="108"/>
      <c r="CPH95" s="108"/>
      <c r="CPI95" s="108"/>
      <c r="CPJ95" s="108"/>
      <c r="CPK95" s="108"/>
      <c r="CPL95" s="108"/>
      <c r="CPM95" s="108"/>
      <c r="CPN95" s="108"/>
      <c r="CPO95" s="108"/>
      <c r="CPP95" s="108"/>
      <c r="CPQ95" s="108"/>
      <c r="CPR95" s="108"/>
      <c r="CPS95" s="108"/>
      <c r="CPT95" s="108"/>
      <c r="CPU95" s="108"/>
      <c r="CPV95" s="108"/>
      <c r="CPW95" s="108"/>
      <c r="CPX95" s="108"/>
      <c r="CPY95" s="108"/>
      <c r="CPZ95" s="108"/>
      <c r="CQA95" s="108"/>
      <c r="CQB95" s="108"/>
      <c r="CQC95" s="108"/>
      <c r="CQD95" s="108"/>
      <c r="CQE95" s="108"/>
      <c r="CQF95" s="108"/>
      <c r="CQG95" s="108"/>
      <c r="CQH95" s="108"/>
      <c r="CQI95" s="108"/>
      <c r="CQJ95" s="108"/>
      <c r="CQK95" s="108"/>
      <c r="CQL95" s="108"/>
      <c r="CQM95" s="108"/>
      <c r="CQN95" s="108"/>
      <c r="CQO95" s="108"/>
      <c r="CQP95" s="108"/>
      <c r="CQQ95" s="108"/>
      <c r="CQR95" s="108"/>
      <c r="CQS95" s="108"/>
      <c r="CQT95" s="108"/>
      <c r="CQU95" s="108"/>
      <c r="CQV95" s="108"/>
      <c r="CQW95" s="108"/>
      <c r="CQX95" s="108"/>
      <c r="CQY95" s="108"/>
      <c r="CQZ95" s="108"/>
      <c r="CRA95" s="108"/>
      <c r="CRB95" s="108"/>
      <c r="CRC95" s="108"/>
      <c r="CRD95" s="108"/>
      <c r="CRE95" s="108"/>
      <c r="CRF95" s="108"/>
      <c r="CRG95" s="108"/>
      <c r="CRH95" s="108"/>
      <c r="CRI95" s="108"/>
      <c r="CRJ95" s="108"/>
      <c r="CRK95" s="108"/>
      <c r="CRL95" s="108"/>
      <c r="CRM95" s="108"/>
      <c r="CRN95" s="108"/>
      <c r="CRO95" s="108"/>
      <c r="CRP95" s="108"/>
      <c r="CRQ95" s="108"/>
      <c r="CRR95" s="108"/>
      <c r="CRS95" s="108"/>
      <c r="CRT95" s="108"/>
      <c r="CRU95" s="108"/>
      <c r="CRV95" s="108"/>
      <c r="CRW95" s="108"/>
      <c r="CRX95" s="108"/>
      <c r="CRY95" s="108"/>
      <c r="CRZ95" s="108"/>
      <c r="CSA95" s="108"/>
      <c r="CSB95" s="108"/>
      <c r="CSC95" s="108"/>
      <c r="CSD95" s="108"/>
      <c r="CSE95" s="108"/>
      <c r="CSF95" s="108"/>
      <c r="CSG95" s="108"/>
      <c r="CSH95" s="108"/>
      <c r="CSI95" s="108"/>
      <c r="CSJ95" s="108"/>
      <c r="CSK95" s="108"/>
      <c r="CSL95" s="108"/>
      <c r="CSM95" s="108"/>
      <c r="CSN95" s="108"/>
      <c r="CSO95" s="108"/>
      <c r="CSP95" s="108"/>
      <c r="CSQ95" s="108"/>
      <c r="CSR95" s="108"/>
      <c r="CSS95" s="108"/>
      <c r="CST95" s="108"/>
      <c r="CSU95" s="108"/>
      <c r="CSV95" s="108"/>
      <c r="CSW95" s="108"/>
      <c r="CSX95" s="108"/>
      <c r="CSY95" s="108"/>
      <c r="CSZ95" s="108"/>
      <c r="CTA95" s="108"/>
      <c r="CTB95" s="108"/>
      <c r="CTC95" s="108"/>
      <c r="CTD95" s="108"/>
      <c r="CTE95" s="108"/>
      <c r="CTF95" s="108"/>
      <c r="CTG95" s="108"/>
      <c r="CTH95" s="108"/>
      <c r="CTI95" s="108"/>
      <c r="CTJ95" s="108"/>
      <c r="CTK95" s="108"/>
      <c r="CTL95" s="108"/>
      <c r="CTM95" s="108"/>
      <c r="CTN95" s="108"/>
      <c r="CTO95" s="108"/>
      <c r="CTP95" s="108"/>
      <c r="CTQ95" s="108"/>
      <c r="CTR95" s="108"/>
      <c r="CTS95" s="108"/>
      <c r="CTT95" s="108"/>
      <c r="CTU95" s="108"/>
      <c r="CTV95" s="108"/>
      <c r="CTW95" s="108"/>
      <c r="CTX95" s="108"/>
      <c r="CTY95" s="108"/>
      <c r="CTZ95" s="108"/>
      <c r="CUA95" s="108"/>
      <c r="CUB95" s="108"/>
      <c r="CUC95" s="108"/>
      <c r="CUD95" s="108"/>
      <c r="CUE95" s="108"/>
      <c r="CUF95" s="108"/>
      <c r="CUG95" s="108"/>
      <c r="CUH95" s="108"/>
      <c r="CUI95" s="108"/>
      <c r="CUJ95" s="108"/>
      <c r="CUK95" s="108"/>
      <c r="CUL95" s="108"/>
      <c r="CUM95" s="108"/>
      <c r="CUN95" s="108"/>
      <c r="CUO95" s="108"/>
      <c r="CUP95" s="108"/>
      <c r="CUQ95" s="108"/>
      <c r="CUR95" s="108"/>
      <c r="CUS95" s="108"/>
      <c r="CUT95" s="108"/>
      <c r="CUU95" s="108"/>
      <c r="CUV95" s="108"/>
      <c r="CUW95" s="108"/>
      <c r="CUX95" s="108"/>
      <c r="CUY95" s="108"/>
      <c r="CUZ95" s="108"/>
      <c r="CVA95" s="108"/>
      <c r="CVB95" s="108"/>
      <c r="CVC95" s="108"/>
      <c r="CVD95" s="108"/>
      <c r="CVE95" s="108"/>
      <c r="CVF95" s="108"/>
      <c r="CVG95" s="108"/>
      <c r="CVH95" s="108"/>
      <c r="CVI95" s="108"/>
      <c r="CVJ95" s="108"/>
      <c r="CVK95" s="108"/>
      <c r="CVL95" s="108"/>
      <c r="CVM95" s="108"/>
      <c r="CVN95" s="108"/>
      <c r="CVO95" s="108"/>
      <c r="CVP95" s="108"/>
      <c r="CVQ95" s="108"/>
      <c r="CVR95" s="108"/>
      <c r="CVS95" s="108"/>
      <c r="CVT95" s="108"/>
      <c r="CVU95" s="108"/>
      <c r="CVV95" s="108"/>
      <c r="CVW95" s="108"/>
      <c r="CVX95" s="108"/>
      <c r="CVY95" s="108"/>
      <c r="CVZ95" s="108"/>
      <c r="CWA95" s="108"/>
      <c r="CWB95" s="108"/>
      <c r="CWC95" s="108"/>
      <c r="CWD95" s="108"/>
      <c r="CWE95" s="108"/>
      <c r="CWF95" s="108"/>
      <c r="CWG95" s="108"/>
      <c r="CWH95" s="108"/>
      <c r="CWI95" s="108"/>
      <c r="CWJ95" s="108"/>
      <c r="CWK95" s="108"/>
      <c r="CWL95" s="108"/>
      <c r="CWM95" s="108"/>
      <c r="CWN95" s="108"/>
      <c r="CWO95" s="108"/>
      <c r="CWP95" s="108"/>
      <c r="CWQ95" s="108"/>
      <c r="CWR95" s="108"/>
      <c r="CWS95" s="108"/>
      <c r="CWT95" s="108"/>
      <c r="CWU95" s="108"/>
      <c r="CWV95" s="108"/>
      <c r="CWW95" s="108"/>
      <c r="CWX95" s="108"/>
      <c r="CWY95" s="108"/>
      <c r="CWZ95" s="108"/>
      <c r="CXA95" s="108"/>
      <c r="CXB95" s="108"/>
      <c r="CXC95" s="108"/>
      <c r="CXD95" s="108"/>
      <c r="CXE95" s="108"/>
      <c r="CXF95" s="108"/>
      <c r="CXG95" s="108"/>
      <c r="CXH95" s="108"/>
      <c r="CXI95" s="108"/>
      <c r="CXJ95" s="108"/>
      <c r="CXK95" s="108"/>
      <c r="CXL95" s="108"/>
      <c r="CXM95" s="108"/>
      <c r="CXN95" s="108"/>
      <c r="CXO95" s="108"/>
      <c r="CXP95" s="108"/>
      <c r="CXQ95" s="108"/>
      <c r="CXR95" s="108"/>
      <c r="CXS95" s="108"/>
      <c r="CXT95" s="108"/>
      <c r="CXU95" s="108"/>
      <c r="CXV95" s="108"/>
      <c r="CXW95" s="108"/>
      <c r="CXX95" s="108"/>
      <c r="CXY95" s="108"/>
      <c r="CXZ95" s="108"/>
      <c r="CYA95" s="108"/>
      <c r="CYB95" s="108"/>
      <c r="CYC95" s="108"/>
      <c r="CYD95" s="108"/>
      <c r="CYE95" s="108"/>
      <c r="CYF95" s="108"/>
      <c r="CYG95" s="108"/>
      <c r="CYH95" s="108"/>
      <c r="CYI95" s="108"/>
      <c r="CYJ95" s="108"/>
      <c r="CYK95" s="108"/>
      <c r="CYL95" s="108"/>
      <c r="CYM95" s="108"/>
      <c r="CYN95" s="108"/>
      <c r="CYO95" s="108"/>
      <c r="CYP95" s="108"/>
      <c r="CYQ95" s="108"/>
      <c r="CYR95" s="108"/>
      <c r="CYS95" s="108"/>
      <c r="CYT95" s="108"/>
      <c r="CYU95" s="108"/>
      <c r="CYV95" s="108"/>
      <c r="CYW95" s="108"/>
      <c r="CYX95" s="108"/>
      <c r="CYY95" s="108"/>
      <c r="CYZ95" s="108"/>
      <c r="CZA95" s="108"/>
      <c r="CZB95" s="108"/>
      <c r="CZC95" s="108"/>
      <c r="CZD95" s="108"/>
      <c r="CZE95" s="108"/>
      <c r="CZF95" s="108"/>
      <c r="CZG95" s="108"/>
      <c r="CZH95" s="108"/>
      <c r="CZI95" s="108"/>
      <c r="CZJ95" s="108"/>
      <c r="CZK95" s="108"/>
      <c r="CZL95" s="108"/>
      <c r="CZM95" s="108"/>
      <c r="CZN95" s="108"/>
      <c r="CZO95" s="108"/>
      <c r="CZP95" s="108"/>
      <c r="CZQ95" s="108"/>
      <c r="CZR95" s="108"/>
      <c r="CZS95" s="108"/>
      <c r="CZT95" s="108"/>
      <c r="CZU95" s="108"/>
      <c r="CZV95" s="108"/>
      <c r="CZW95" s="108"/>
      <c r="CZX95" s="108"/>
      <c r="CZY95" s="108"/>
      <c r="CZZ95" s="108"/>
      <c r="DAA95" s="108"/>
      <c r="DAB95" s="108"/>
      <c r="DAC95" s="108"/>
      <c r="DAD95" s="108"/>
      <c r="DAE95" s="108"/>
      <c r="DAF95" s="108"/>
      <c r="DAG95" s="108"/>
      <c r="DAH95" s="108"/>
      <c r="DAI95" s="108"/>
      <c r="DAJ95" s="108"/>
      <c r="DAK95" s="108"/>
      <c r="DAL95" s="108"/>
      <c r="DAM95" s="108"/>
      <c r="DAN95" s="108"/>
      <c r="DAO95" s="108"/>
      <c r="DAP95" s="108"/>
      <c r="DAQ95" s="108"/>
      <c r="DAR95" s="108"/>
      <c r="DAS95" s="108"/>
      <c r="DAT95" s="108"/>
      <c r="DAU95" s="108"/>
      <c r="DAV95" s="108"/>
      <c r="DAW95" s="108"/>
      <c r="DAX95" s="108"/>
      <c r="DAY95" s="108"/>
      <c r="DAZ95" s="108"/>
      <c r="DBA95" s="108"/>
      <c r="DBB95" s="108"/>
      <c r="DBC95" s="108"/>
      <c r="DBD95" s="108"/>
      <c r="DBE95" s="108"/>
      <c r="DBF95" s="108"/>
      <c r="DBG95" s="108"/>
      <c r="DBH95" s="108"/>
      <c r="DBI95" s="108"/>
      <c r="DBJ95" s="108"/>
      <c r="DBK95" s="108"/>
      <c r="DBL95" s="108"/>
      <c r="DBM95" s="108"/>
      <c r="DBN95" s="108"/>
      <c r="DBO95" s="108"/>
      <c r="DBP95" s="108"/>
      <c r="DBQ95" s="108"/>
      <c r="DBR95" s="108"/>
      <c r="DBS95" s="108"/>
      <c r="DBT95" s="108"/>
      <c r="DBU95" s="108"/>
      <c r="DBV95" s="108"/>
      <c r="DBW95" s="108"/>
      <c r="DBX95" s="108"/>
      <c r="DBY95" s="108"/>
      <c r="DBZ95" s="108"/>
      <c r="DCA95" s="108"/>
      <c r="DCB95" s="108"/>
      <c r="DCC95" s="108"/>
      <c r="DCD95" s="108"/>
      <c r="DCE95" s="108"/>
      <c r="DCF95" s="108"/>
      <c r="DCG95" s="108"/>
      <c r="DCH95" s="108"/>
      <c r="DCI95" s="108"/>
      <c r="DCJ95" s="108"/>
      <c r="DCK95" s="108"/>
      <c r="DCL95" s="108"/>
      <c r="DCM95" s="108"/>
      <c r="DCN95" s="108"/>
      <c r="DCO95" s="108"/>
      <c r="DCP95" s="108"/>
      <c r="DCQ95" s="108"/>
      <c r="DCR95" s="108"/>
      <c r="DCS95" s="108"/>
      <c r="DCT95" s="108"/>
      <c r="DCU95" s="108"/>
      <c r="DCV95" s="108"/>
      <c r="DCW95" s="108"/>
      <c r="DCX95" s="108"/>
      <c r="DCY95" s="108"/>
      <c r="DCZ95" s="108"/>
      <c r="DDA95" s="108"/>
      <c r="DDB95" s="108"/>
      <c r="DDC95" s="108"/>
      <c r="DDD95" s="108"/>
      <c r="DDE95" s="108"/>
      <c r="DDF95" s="108"/>
      <c r="DDG95" s="108"/>
      <c r="DDH95" s="108"/>
      <c r="DDI95" s="108"/>
      <c r="DDJ95" s="108"/>
      <c r="DDK95" s="108"/>
      <c r="DDL95" s="108"/>
      <c r="DDM95" s="108"/>
      <c r="DDN95" s="108"/>
      <c r="DDO95" s="108"/>
      <c r="DDP95" s="108"/>
      <c r="DDQ95" s="108"/>
      <c r="DDR95" s="108"/>
      <c r="DDS95" s="108"/>
      <c r="DDT95" s="108"/>
      <c r="DDU95" s="108"/>
      <c r="DDV95" s="108"/>
      <c r="DDW95" s="108"/>
      <c r="DDX95" s="108"/>
      <c r="DDY95" s="108"/>
      <c r="DDZ95" s="108"/>
      <c r="DEA95" s="108"/>
      <c r="DEB95" s="108"/>
      <c r="DEC95" s="108"/>
      <c r="DED95" s="108"/>
      <c r="DEE95" s="108"/>
      <c r="DEF95" s="108"/>
      <c r="DEG95" s="108"/>
      <c r="DEH95" s="108"/>
      <c r="DEI95" s="108"/>
      <c r="DEJ95" s="108"/>
      <c r="DEK95" s="108"/>
      <c r="DEL95" s="108"/>
      <c r="DEM95" s="108"/>
      <c r="DEN95" s="108"/>
      <c r="DEO95" s="108"/>
      <c r="DEP95" s="108"/>
      <c r="DEQ95" s="108"/>
      <c r="DER95" s="108"/>
      <c r="DES95" s="108"/>
      <c r="DET95" s="108"/>
      <c r="DEU95" s="108"/>
      <c r="DEV95" s="108"/>
      <c r="DEW95" s="108"/>
      <c r="DEX95" s="108"/>
      <c r="DEY95" s="108"/>
      <c r="DEZ95" s="108"/>
      <c r="DFA95" s="108"/>
      <c r="DFB95" s="108"/>
      <c r="DFC95" s="108"/>
      <c r="DFD95" s="108"/>
      <c r="DFE95" s="108"/>
      <c r="DFF95" s="108"/>
      <c r="DFG95" s="108"/>
      <c r="DFH95" s="108"/>
      <c r="DFI95" s="108"/>
      <c r="DFJ95" s="108"/>
      <c r="DFK95" s="108"/>
      <c r="DFL95" s="108"/>
      <c r="DFM95" s="108"/>
      <c r="DFN95" s="108"/>
      <c r="DFO95" s="108"/>
      <c r="DFP95" s="108"/>
      <c r="DFQ95" s="108"/>
      <c r="DFR95" s="108"/>
      <c r="DFS95" s="108"/>
      <c r="DFT95" s="108"/>
      <c r="DFU95" s="108"/>
      <c r="DFV95" s="108"/>
      <c r="DFW95" s="108"/>
      <c r="DFX95" s="108"/>
      <c r="DFY95" s="108"/>
      <c r="DFZ95" s="108"/>
      <c r="DGA95" s="108"/>
      <c r="DGB95" s="108"/>
      <c r="DGC95" s="108"/>
      <c r="DGD95" s="108"/>
      <c r="DGE95" s="108"/>
      <c r="DGF95" s="108"/>
      <c r="DGG95" s="108"/>
      <c r="DGH95" s="108"/>
      <c r="DGI95" s="108"/>
      <c r="DGJ95" s="108"/>
      <c r="DGK95" s="108"/>
      <c r="DGL95" s="108"/>
      <c r="DGM95" s="108"/>
      <c r="DGN95" s="108"/>
      <c r="DGO95" s="108"/>
      <c r="DGP95" s="108"/>
      <c r="DGQ95" s="108"/>
      <c r="DGR95" s="108"/>
      <c r="DGS95" s="108"/>
      <c r="DGT95" s="108"/>
      <c r="DGU95" s="108"/>
      <c r="DGV95" s="108"/>
      <c r="DGW95" s="108"/>
      <c r="DGX95" s="108"/>
      <c r="DGY95" s="108"/>
      <c r="DGZ95" s="108"/>
      <c r="DHA95" s="108"/>
      <c r="DHB95" s="108"/>
      <c r="DHC95" s="108"/>
      <c r="DHD95" s="108"/>
      <c r="DHE95" s="108"/>
      <c r="DHF95" s="108"/>
      <c r="DHG95" s="108"/>
      <c r="DHH95" s="108"/>
      <c r="DHI95" s="108"/>
      <c r="DHJ95" s="108"/>
      <c r="DHK95" s="108"/>
      <c r="DHL95" s="108"/>
      <c r="DHM95" s="108"/>
      <c r="DHN95" s="108"/>
      <c r="DHO95" s="108"/>
      <c r="DHP95" s="108"/>
      <c r="DHQ95" s="108"/>
      <c r="DHR95" s="108"/>
      <c r="DHS95" s="108"/>
      <c r="DHT95" s="108"/>
      <c r="DHU95" s="108"/>
      <c r="DHV95" s="108"/>
      <c r="DHW95" s="108"/>
      <c r="DHX95" s="108"/>
      <c r="DHY95" s="108"/>
      <c r="DHZ95" s="108"/>
      <c r="DIA95" s="108"/>
      <c r="DIB95" s="108"/>
      <c r="DIC95" s="108"/>
      <c r="DID95" s="108"/>
      <c r="DIE95" s="108"/>
      <c r="DIF95" s="108"/>
      <c r="DIG95" s="108"/>
      <c r="DIH95" s="108"/>
      <c r="DII95" s="108"/>
      <c r="DIJ95" s="108"/>
      <c r="DIK95" s="108"/>
      <c r="DIL95" s="108"/>
      <c r="DIM95" s="108"/>
      <c r="DIN95" s="108"/>
      <c r="DIO95" s="108"/>
      <c r="DIP95" s="108"/>
      <c r="DIQ95" s="108"/>
      <c r="DIR95" s="108"/>
      <c r="DIS95" s="108"/>
      <c r="DIT95" s="108"/>
      <c r="DIU95" s="108"/>
      <c r="DIV95" s="108"/>
      <c r="DIW95" s="108"/>
      <c r="DIX95" s="108"/>
      <c r="DIY95" s="108"/>
      <c r="DIZ95" s="108"/>
      <c r="DJA95" s="108"/>
      <c r="DJB95" s="108"/>
      <c r="DJC95" s="108"/>
      <c r="DJD95" s="108"/>
      <c r="DJE95" s="108"/>
      <c r="DJF95" s="108"/>
      <c r="DJG95" s="108"/>
      <c r="DJH95" s="108"/>
      <c r="DJI95" s="108"/>
      <c r="DJJ95" s="108"/>
      <c r="DJK95" s="108"/>
      <c r="DJL95" s="108"/>
      <c r="DJM95" s="108"/>
      <c r="DJN95" s="108"/>
      <c r="DJO95" s="108"/>
      <c r="DJP95" s="108"/>
      <c r="DJQ95" s="108"/>
      <c r="DJR95" s="108"/>
      <c r="DJS95" s="108"/>
      <c r="DJT95" s="108"/>
      <c r="DJU95" s="108"/>
      <c r="DJV95" s="108"/>
      <c r="DJW95" s="108"/>
      <c r="DJX95" s="108"/>
      <c r="DJY95" s="108"/>
      <c r="DJZ95" s="108"/>
      <c r="DKA95" s="108"/>
      <c r="DKB95" s="108"/>
      <c r="DKC95" s="108"/>
      <c r="DKD95" s="108"/>
      <c r="DKE95" s="108"/>
      <c r="DKF95" s="108"/>
      <c r="DKG95" s="108"/>
      <c r="DKH95" s="108"/>
      <c r="DKI95" s="108"/>
      <c r="DKJ95" s="108"/>
      <c r="DKK95" s="108"/>
      <c r="DKL95" s="108"/>
      <c r="DKM95" s="108"/>
      <c r="DKN95" s="108"/>
      <c r="DKO95" s="108"/>
      <c r="DKP95" s="108"/>
      <c r="DKQ95" s="108"/>
      <c r="DKR95" s="108"/>
      <c r="DKS95" s="108"/>
      <c r="DKT95" s="108"/>
      <c r="DKU95" s="108"/>
      <c r="DKV95" s="108"/>
      <c r="DKW95" s="108"/>
      <c r="DKX95" s="108"/>
      <c r="DKY95" s="108"/>
      <c r="DKZ95" s="108"/>
      <c r="DLA95" s="108"/>
      <c r="DLB95" s="108"/>
      <c r="DLC95" s="108"/>
      <c r="DLD95" s="108"/>
      <c r="DLE95" s="108"/>
      <c r="DLF95" s="108"/>
      <c r="DLG95" s="108"/>
      <c r="DLH95" s="108"/>
      <c r="DLI95" s="108"/>
      <c r="DLJ95" s="108"/>
      <c r="DLK95" s="108"/>
      <c r="DLL95" s="108"/>
      <c r="DLM95" s="108"/>
      <c r="DLN95" s="108"/>
      <c r="DLO95" s="108"/>
      <c r="DLP95" s="108"/>
      <c r="DLQ95" s="108"/>
      <c r="DLR95" s="108"/>
      <c r="DLS95" s="108"/>
      <c r="DLT95" s="108"/>
      <c r="DLU95" s="108"/>
      <c r="DLV95" s="108"/>
      <c r="DLW95" s="108"/>
      <c r="DLX95" s="108"/>
      <c r="DLY95" s="108"/>
      <c r="DLZ95" s="108"/>
      <c r="DMA95" s="108"/>
      <c r="DMB95" s="108"/>
      <c r="DMC95" s="108"/>
      <c r="DMD95" s="108"/>
      <c r="DME95" s="108"/>
      <c r="DMF95" s="108"/>
      <c r="DMG95" s="108"/>
      <c r="DMH95" s="108"/>
      <c r="DMI95" s="108"/>
      <c r="DMJ95" s="108"/>
      <c r="DMK95" s="108"/>
      <c r="DML95" s="108"/>
      <c r="DMM95" s="108"/>
      <c r="DMN95" s="108"/>
      <c r="DMO95" s="108"/>
      <c r="DMP95" s="108"/>
      <c r="DMQ95" s="108"/>
      <c r="DMR95" s="108"/>
      <c r="DMS95" s="108"/>
      <c r="DMT95" s="108"/>
      <c r="DMU95" s="108"/>
      <c r="DMV95" s="108"/>
      <c r="DMW95" s="108"/>
      <c r="DMX95" s="108"/>
      <c r="DMY95" s="108"/>
      <c r="DMZ95" s="108"/>
      <c r="DNA95" s="108"/>
      <c r="DNB95" s="108"/>
      <c r="DNC95" s="108"/>
      <c r="DND95" s="108"/>
      <c r="DNE95" s="108"/>
      <c r="DNF95" s="108"/>
      <c r="DNG95" s="108"/>
      <c r="DNH95" s="108"/>
      <c r="DNI95" s="108"/>
      <c r="DNJ95" s="108"/>
      <c r="DNK95" s="108"/>
      <c r="DNL95" s="108"/>
      <c r="DNM95" s="108"/>
      <c r="DNN95" s="108"/>
      <c r="DNO95" s="108"/>
      <c r="DNP95" s="108"/>
      <c r="DNQ95" s="108"/>
      <c r="DNR95" s="108"/>
      <c r="DNS95" s="108"/>
      <c r="DNT95" s="108"/>
      <c r="DNU95" s="108"/>
      <c r="DNV95" s="108"/>
      <c r="DNW95" s="108"/>
      <c r="DNX95" s="108"/>
      <c r="DNY95" s="108"/>
      <c r="DNZ95" s="108"/>
      <c r="DOA95" s="108"/>
      <c r="DOB95" s="108"/>
      <c r="DOC95" s="108"/>
      <c r="DOD95" s="108"/>
      <c r="DOE95" s="108"/>
      <c r="DOF95" s="108"/>
      <c r="DOG95" s="108"/>
      <c r="DOH95" s="108"/>
      <c r="DOI95" s="108"/>
      <c r="DOJ95" s="108"/>
      <c r="DOK95" s="108"/>
      <c r="DOL95" s="108"/>
      <c r="DOM95" s="108"/>
      <c r="DON95" s="108"/>
      <c r="DOO95" s="108"/>
      <c r="DOP95" s="108"/>
      <c r="DOQ95" s="108"/>
      <c r="DOR95" s="108"/>
      <c r="DOS95" s="108"/>
      <c r="DOT95" s="108"/>
      <c r="DOU95" s="108"/>
      <c r="DOV95" s="108"/>
      <c r="DOW95" s="108"/>
      <c r="DOX95" s="108"/>
      <c r="DOY95" s="108"/>
      <c r="DOZ95" s="108"/>
      <c r="DPA95" s="108"/>
      <c r="DPB95" s="108"/>
      <c r="DPC95" s="108"/>
      <c r="DPD95" s="108"/>
      <c r="DPE95" s="108"/>
      <c r="DPF95" s="108"/>
      <c r="DPG95" s="108"/>
      <c r="DPH95" s="108"/>
      <c r="DPI95" s="108"/>
      <c r="DPJ95" s="108"/>
      <c r="DPK95" s="108"/>
      <c r="DPL95" s="108"/>
      <c r="DPM95" s="108"/>
      <c r="DPN95" s="108"/>
      <c r="DPO95" s="108"/>
      <c r="DPP95" s="108"/>
      <c r="DPQ95" s="108"/>
      <c r="DPR95" s="108"/>
      <c r="DPS95" s="108"/>
      <c r="DPT95" s="108"/>
      <c r="DPU95" s="108"/>
      <c r="DPV95" s="108"/>
      <c r="DPW95" s="108"/>
      <c r="DPX95" s="108"/>
      <c r="DPY95" s="108"/>
      <c r="DPZ95" s="108"/>
      <c r="DQA95" s="108"/>
      <c r="DQB95" s="108"/>
      <c r="DQC95" s="108"/>
      <c r="DQD95" s="108"/>
      <c r="DQE95" s="108"/>
      <c r="DQF95" s="108"/>
      <c r="DQG95" s="108"/>
      <c r="DQH95" s="108"/>
      <c r="DQI95" s="108"/>
      <c r="DQJ95" s="108"/>
      <c r="DQK95" s="108"/>
      <c r="DQL95" s="108"/>
      <c r="DQM95" s="108"/>
      <c r="DQN95" s="108"/>
      <c r="DQO95" s="108"/>
      <c r="DQP95" s="108"/>
      <c r="DQQ95" s="108"/>
      <c r="DQR95" s="108"/>
      <c r="DQS95" s="108"/>
      <c r="DQT95" s="108"/>
      <c r="DQU95" s="108"/>
      <c r="DQV95" s="108"/>
      <c r="DQW95" s="108"/>
      <c r="DQX95" s="108"/>
      <c r="DQY95" s="108"/>
      <c r="DQZ95" s="108"/>
      <c r="DRA95" s="108"/>
      <c r="DRB95" s="108"/>
      <c r="DRC95" s="108"/>
      <c r="DRD95" s="108"/>
      <c r="DRE95" s="108"/>
      <c r="DRF95" s="108"/>
      <c r="DRG95" s="108"/>
      <c r="DRH95" s="108"/>
      <c r="DRI95" s="108"/>
      <c r="DRJ95" s="108"/>
      <c r="DRK95" s="108"/>
      <c r="DRL95" s="108"/>
      <c r="DRM95" s="108"/>
      <c r="DRN95" s="108"/>
      <c r="DRO95" s="108"/>
      <c r="DRP95" s="108"/>
      <c r="DRQ95" s="108"/>
      <c r="DRR95" s="108"/>
      <c r="DRS95" s="108"/>
      <c r="DRT95" s="108"/>
      <c r="DRU95" s="108"/>
      <c r="DRV95" s="108"/>
      <c r="DRW95" s="108"/>
      <c r="DRX95" s="108"/>
      <c r="DRY95" s="108"/>
      <c r="DRZ95" s="108"/>
      <c r="DSA95" s="108"/>
      <c r="DSB95" s="108"/>
      <c r="DSC95" s="108"/>
      <c r="DSD95" s="108"/>
      <c r="DSE95" s="108"/>
      <c r="DSF95" s="108"/>
      <c r="DSG95" s="108"/>
      <c r="DSH95" s="108"/>
      <c r="DSI95" s="108"/>
      <c r="DSJ95" s="108"/>
      <c r="DSK95" s="108"/>
      <c r="DSL95" s="108"/>
      <c r="DSM95" s="108"/>
      <c r="DSN95" s="108"/>
      <c r="DSO95" s="108"/>
      <c r="DSP95" s="108"/>
      <c r="DSQ95" s="108"/>
      <c r="DSR95" s="108"/>
      <c r="DSS95" s="108"/>
      <c r="DST95" s="108"/>
      <c r="DSU95" s="108"/>
      <c r="DSV95" s="108"/>
      <c r="DSW95" s="108"/>
      <c r="DSX95" s="108"/>
      <c r="DSY95" s="108"/>
      <c r="DSZ95" s="108"/>
      <c r="DTA95" s="108"/>
      <c r="DTB95" s="108"/>
      <c r="DTC95" s="108"/>
      <c r="DTD95" s="108"/>
      <c r="DTE95" s="108"/>
      <c r="DTF95" s="108"/>
      <c r="DTG95" s="108"/>
      <c r="DTH95" s="108"/>
      <c r="DTI95" s="108"/>
      <c r="DTJ95" s="108"/>
      <c r="DTK95" s="108"/>
      <c r="DTL95" s="108"/>
      <c r="DTM95" s="108"/>
      <c r="DTN95" s="108"/>
      <c r="DTO95" s="108"/>
      <c r="DTP95" s="108"/>
      <c r="DTQ95" s="108"/>
      <c r="DTR95" s="108"/>
      <c r="DTS95" s="108"/>
      <c r="DTT95" s="108"/>
      <c r="DTU95" s="108"/>
      <c r="DTV95" s="108"/>
      <c r="DTW95" s="108"/>
      <c r="DTX95" s="108"/>
      <c r="DTY95" s="108"/>
      <c r="DTZ95" s="108"/>
      <c r="DUA95" s="108"/>
      <c r="DUB95" s="108"/>
      <c r="DUC95" s="108"/>
      <c r="DUD95" s="108"/>
      <c r="DUE95" s="108"/>
      <c r="DUF95" s="108"/>
      <c r="DUG95" s="108"/>
      <c r="DUH95" s="108"/>
      <c r="DUI95" s="108"/>
      <c r="DUJ95" s="108"/>
      <c r="DUK95" s="108"/>
      <c r="DUL95" s="108"/>
      <c r="DUM95" s="108"/>
      <c r="DUN95" s="108"/>
      <c r="DUO95" s="108"/>
      <c r="DUP95" s="108"/>
      <c r="DUQ95" s="108"/>
      <c r="DUR95" s="108"/>
      <c r="DUS95" s="108"/>
      <c r="DUT95" s="108"/>
      <c r="DUU95" s="108"/>
      <c r="DUV95" s="108"/>
      <c r="DUW95" s="108"/>
      <c r="DUX95" s="108"/>
      <c r="DUY95" s="108"/>
      <c r="DUZ95" s="108"/>
      <c r="DVA95" s="108"/>
      <c r="DVB95" s="108"/>
      <c r="DVC95" s="108"/>
      <c r="DVD95" s="108"/>
      <c r="DVE95" s="108"/>
      <c r="DVF95" s="108"/>
      <c r="DVG95" s="108"/>
      <c r="DVH95" s="108"/>
      <c r="DVI95" s="108"/>
      <c r="DVJ95" s="108"/>
      <c r="DVK95" s="108"/>
      <c r="DVL95" s="108"/>
      <c r="DVM95" s="108"/>
      <c r="DVN95" s="108"/>
      <c r="DVO95" s="108"/>
      <c r="DVP95" s="108"/>
      <c r="DVQ95" s="108"/>
      <c r="DVR95" s="108"/>
      <c r="DVS95" s="108"/>
      <c r="DVT95" s="108"/>
      <c r="DVU95" s="108"/>
      <c r="DVV95" s="108"/>
      <c r="DVW95" s="108"/>
      <c r="DVX95" s="108"/>
      <c r="DVY95" s="108"/>
      <c r="DVZ95" s="108"/>
      <c r="DWA95" s="108"/>
      <c r="DWB95" s="108"/>
      <c r="DWC95" s="108"/>
      <c r="DWD95" s="108"/>
      <c r="DWE95" s="108"/>
      <c r="DWF95" s="108"/>
      <c r="DWG95" s="108"/>
      <c r="DWH95" s="108"/>
      <c r="DWI95" s="108"/>
      <c r="DWJ95" s="108"/>
      <c r="DWK95" s="108"/>
      <c r="DWL95" s="108"/>
      <c r="DWM95" s="108"/>
      <c r="DWN95" s="108"/>
      <c r="DWO95" s="108"/>
      <c r="DWP95" s="108"/>
      <c r="DWQ95" s="108"/>
      <c r="DWR95" s="108"/>
      <c r="DWS95" s="108"/>
      <c r="DWT95" s="108"/>
      <c r="DWU95" s="108"/>
      <c r="DWV95" s="108"/>
      <c r="DWW95" s="108"/>
      <c r="DWX95" s="108"/>
      <c r="DWY95" s="108"/>
      <c r="DWZ95" s="108"/>
      <c r="DXA95" s="108"/>
      <c r="DXB95" s="108"/>
      <c r="DXC95" s="108"/>
      <c r="DXD95" s="108"/>
      <c r="DXE95" s="108"/>
      <c r="DXF95" s="108"/>
      <c r="DXG95" s="108"/>
      <c r="DXH95" s="108"/>
      <c r="DXI95" s="108"/>
      <c r="DXJ95" s="108"/>
      <c r="DXK95" s="108"/>
      <c r="DXL95" s="108"/>
      <c r="DXM95" s="108"/>
      <c r="DXN95" s="108"/>
      <c r="DXO95" s="108"/>
      <c r="DXP95" s="108"/>
      <c r="DXQ95" s="108"/>
      <c r="DXR95" s="108"/>
      <c r="DXS95" s="108"/>
      <c r="DXT95" s="108"/>
      <c r="DXU95" s="108"/>
      <c r="DXV95" s="108"/>
      <c r="DXW95" s="108"/>
      <c r="DXX95" s="108"/>
      <c r="DXY95" s="108"/>
      <c r="DXZ95" s="108"/>
      <c r="DYA95" s="108"/>
      <c r="DYB95" s="108"/>
      <c r="DYC95" s="108"/>
      <c r="DYD95" s="108"/>
      <c r="DYE95" s="108"/>
      <c r="DYF95" s="108"/>
      <c r="DYG95" s="108"/>
      <c r="DYH95" s="108"/>
      <c r="DYI95" s="108"/>
      <c r="DYJ95" s="108"/>
      <c r="DYK95" s="108"/>
      <c r="DYL95" s="108"/>
      <c r="DYM95" s="108"/>
      <c r="DYN95" s="108"/>
      <c r="DYO95" s="108"/>
      <c r="DYP95" s="108"/>
      <c r="DYQ95" s="108"/>
      <c r="DYR95" s="108"/>
      <c r="DYS95" s="108"/>
      <c r="DYT95" s="108"/>
      <c r="DYU95" s="108"/>
      <c r="DYV95" s="108"/>
      <c r="DYW95" s="108"/>
      <c r="DYX95" s="108"/>
      <c r="DYY95" s="108"/>
      <c r="DYZ95" s="108"/>
      <c r="DZA95" s="108"/>
      <c r="DZB95" s="108"/>
      <c r="DZC95" s="108"/>
      <c r="DZD95" s="108"/>
      <c r="DZE95" s="108"/>
      <c r="DZF95" s="108"/>
      <c r="DZG95" s="108"/>
      <c r="DZH95" s="108"/>
      <c r="DZI95" s="108"/>
      <c r="DZJ95" s="108"/>
      <c r="DZK95" s="108"/>
      <c r="DZL95" s="108"/>
      <c r="DZM95" s="108"/>
      <c r="DZN95" s="108"/>
      <c r="DZO95" s="108"/>
      <c r="DZP95" s="108"/>
      <c r="DZQ95" s="108"/>
      <c r="DZR95" s="108"/>
      <c r="DZS95" s="108"/>
      <c r="DZT95" s="108"/>
      <c r="DZU95" s="108"/>
      <c r="DZV95" s="108"/>
      <c r="DZW95" s="108"/>
      <c r="DZX95" s="108"/>
      <c r="DZY95" s="108"/>
      <c r="DZZ95" s="108"/>
      <c r="EAA95" s="108"/>
      <c r="EAB95" s="108"/>
      <c r="EAC95" s="108"/>
      <c r="EAD95" s="108"/>
      <c r="EAE95" s="108"/>
      <c r="EAF95" s="108"/>
      <c r="EAG95" s="108"/>
      <c r="EAH95" s="108"/>
      <c r="EAI95" s="108"/>
      <c r="EAJ95" s="108"/>
      <c r="EAK95" s="108"/>
      <c r="EAL95" s="108"/>
      <c r="EAM95" s="108"/>
      <c r="EAN95" s="108"/>
      <c r="EAO95" s="108"/>
      <c r="EAP95" s="108"/>
      <c r="EAQ95" s="108"/>
      <c r="EAR95" s="108"/>
      <c r="EAS95" s="108"/>
      <c r="EAT95" s="108"/>
      <c r="EAU95" s="108"/>
      <c r="EAV95" s="108"/>
      <c r="EAW95" s="108"/>
      <c r="EAX95" s="108"/>
      <c r="EAY95" s="108"/>
      <c r="EAZ95" s="108"/>
      <c r="EBA95" s="108"/>
      <c r="EBB95" s="108"/>
      <c r="EBC95" s="108"/>
      <c r="EBD95" s="108"/>
      <c r="EBE95" s="108"/>
      <c r="EBF95" s="108"/>
      <c r="EBG95" s="108"/>
      <c r="EBH95" s="108"/>
      <c r="EBI95" s="108"/>
      <c r="EBJ95" s="108"/>
      <c r="EBK95" s="108"/>
      <c r="EBL95" s="108"/>
      <c r="EBM95" s="108"/>
      <c r="EBN95" s="108"/>
      <c r="EBO95" s="108"/>
      <c r="EBP95" s="108"/>
      <c r="EBQ95" s="108"/>
      <c r="EBR95" s="108"/>
      <c r="EBS95" s="108"/>
      <c r="EBT95" s="108"/>
      <c r="EBU95" s="108"/>
      <c r="EBV95" s="108"/>
      <c r="EBW95" s="108"/>
      <c r="EBX95" s="108"/>
      <c r="EBY95" s="108"/>
      <c r="EBZ95" s="108"/>
      <c r="ECA95" s="108"/>
      <c r="ECB95" s="108"/>
      <c r="ECC95" s="108"/>
      <c r="ECD95" s="108"/>
      <c r="ECE95" s="108"/>
      <c r="ECF95" s="108"/>
      <c r="ECG95" s="108"/>
      <c r="ECH95" s="108"/>
      <c r="ECI95" s="108"/>
      <c r="ECJ95" s="108"/>
      <c r="ECK95" s="108"/>
      <c r="ECL95" s="108"/>
      <c r="ECM95" s="108"/>
      <c r="ECN95" s="108"/>
      <c r="ECO95" s="108"/>
      <c r="ECP95" s="108"/>
      <c r="ECQ95" s="108"/>
      <c r="ECR95" s="108"/>
      <c r="ECS95" s="108"/>
      <c r="ECT95" s="108"/>
      <c r="ECU95" s="108"/>
      <c r="ECV95" s="108"/>
      <c r="ECW95" s="108"/>
      <c r="ECX95" s="108"/>
      <c r="ECY95" s="108"/>
      <c r="ECZ95" s="108"/>
      <c r="EDA95" s="108"/>
      <c r="EDB95" s="108"/>
      <c r="EDC95" s="108"/>
      <c r="EDD95" s="108"/>
      <c r="EDE95" s="108"/>
      <c r="EDF95" s="108"/>
      <c r="EDG95" s="108"/>
      <c r="EDH95" s="108"/>
      <c r="EDI95" s="108"/>
      <c r="EDJ95" s="108"/>
      <c r="EDK95" s="108"/>
      <c r="EDL95" s="108"/>
      <c r="EDM95" s="108"/>
      <c r="EDN95" s="108"/>
      <c r="EDO95" s="108"/>
      <c r="EDP95" s="108"/>
      <c r="EDQ95" s="108"/>
      <c r="EDR95" s="108"/>
      <c r="EDS95" s="108"/>
      <c r="EDT95" s="108"/>
      <c r="EDU95" s="108"/>
      <c r="EDV95" s="108"/>
      <c r="EDW95" s="108"/>
      <c r="EDX95" s="108"/>
      <c r="EDY95" s="108"/>
      <c r="EDZ95" s="108"/>
      <c r="EEA95" s="108"/>
      <c r="EEB95" s="108"/>
      <c r="EEC95" s="108"/>
      <c r="EED95" s="108"/>
      <c r="EEE95" s="108"/>
      <c r="EEF95" s="108"/>
      <c r="EEG95" s="108"/>
      <c r="EEH95" s="108"/>
      <c r="EEI95" s="108"/>
      <c r="EEJ95" s="108"/>
      <c r="EEK95" s="108"/>
      <c r="EEL95" s="108"/>
      <c r="EEM95" s="108"/>
      <c r="EEN95" s="108"/>
      <c r="EEO95" s="108"/>
      <c r="EEP95" s="108"/>
      <c r="EEQ95" s="108"/>
      <c r="EER95" s="108"/>
      <c r="EES95" s="108"/>
      <c r="EET95" s="108"/>
      <c r="EEU95" s="108"/>
      <c r="EEV95" s="108"/>
      <c r="EEW95" s="108"/>
      <c r="EEX95" s="108"/>
      <c r="EEY95" s="108"/>
      <c r="EEZ95" s="108"/>
      <c r="EFA95" s="108"/>
      <c r="EFB95" s="108"/>
      <c r="EFC95" s="108"/>
      <c r="EFD95" s="108"/>
      <c r="EFE95" s="108"/>
      <c r="EFF95" s="108"/>
      <c r="EFG95" s="108"/>
      <c r="EFH95" s="108"/>
      <c r="EFI95" s="108"/>
      <c r="EFJ95" s="108"/>
      <c r="EFK95" s="108"/>
      <c r="EFL95" s="108"/>
      <c r="EFM95" s="108"/>
      <c r="EFN95" s="108"/>
      <c r="EFO95" s="108"/>
      <c r="EFP95" s="108"/>
      <c r="EFQ95" s="108"/>
      <c r="EFR95" s="108"/>
      <c r="EFS95" s="108"/>
      <c r="EFT95" s="108"/>
      <c r="EFU95" s="108"/>
      <c r="EFV95" s="108"/>
      <c r="EFW95" s="108"/>
      <c r="EFX95" s="108"/>
      <c r="EFY95" s="108"/>
      <c r="EFZ95" s="108"/>
      <c r="EGA95" s="108"/>
      <c r="EGB95" s="108"/>
      <c r="EGC95" s="108"/>
      <c r="EGD95" s="108"/>
      <c r="EGE95" s="108"/>
      <c r="EGF95" s="108"/>
      <c r="EGG95" s="108"/>
      <c r="EGH95" s="108"/>
      <c r="EGI95" s="108"/>
      <c r="EGJ95" s="108"/>
      <c r="EGK95" s="108"/>
      <c r="EGL95" s="108"/>
      <c r="EGM95" s="108"/>
      <c r="EGN95" s="108"/>
      <c r="EGO95" s="108"/>
      <c r="EGP95" s="108"/>
      <c r="EGQ95" s="108"/>
      <c r="EGR95" s="108"/>
      <c r="EGS95" s="108"/>
      <c r="EGT95" s="108"/>
      <c r="EGU95" s="108"/>
      <c r="EGV95" s="108"/>
      <c r="EGW95" s="108"/>
      <c r="EGX95" s="108"/>
      <c r="EGY95" s="108"/>
      <c r="EGZ95" s="108"/>
      <c r="EHA95" s="108"/>
      <c r="EHB95" s="108"/>
      <c r="EHC95" s="108"/>
      <c r="EHD95" s="108"/>
      <c r="EHE95" s="108"/>
      <c r="EHF95" s="108"/>
      <c r="EHG95" s="108"/>
      <c r="EHH95" s="108"/>
      <c r="EHI95" s="108"/>
      <c r="EHJ95" s="108"/>
      <c r="EHK95" s="108"/>
      <c r="EHL95" s="108"/>
      <c r="EHM95" s="108"/>
      <c r="EHN95" s="108"/>
      <c r="EHO95" s="108"/>
      <c r="EHP95" s="108"/>
      <c r="EHQ95" s="108"/>
      <c r="EHR95" s="108"/>
      <c r="EHS95" s="108"/>
      <c r="EHT95" s="108"/>
      <c r="EHU95" s="108"/>
      <c r="EHV95" s="108"/>
      <c r="EHW95" s="108"/>
      <c r="EHX95" s="108"/>
      <c r="EHY95" s="108"/>
      <c r="EHZ95" s="108"/>
      <c r="EIA95" s="108"/>
      <c r="EIB95" s="108"/>
      <c r="EIC95" s="108"/>
      <c r="EID95" s="108"/>
      <c r="EIE95" s="108"/>
      <c r="EIF95" s="108"/>
      <c r="EIG95" s="108"/>
      <c r="EIH95" s="108"/>
      <c r="EII95" s="108"/>
      <c r="EIJ95" s="108"/>
      <c r="EIK95" s="108"/>
      <c r="EIL95" s="108"/>
      <c r="EIM95" s="108"/>
      <c r="EIN95" s="108"/>
      <c r="EIO95" s="108"/>
      <c r="EIP95" s="108"/>
      <c r="EIQ95" s="108"/>
      <c r="EIR95" s="108"/>
      <c r="EIS95" s="108"/>
      <c r="EIT95" s="108"/>
      <c r="EIU95" s="108"/>
      <c r="EIV95" s="108"/>
      <c r="EIW95" s="108"/>
      <c r="EIX95" s="108"/>
      <c r="EIY95" s="108"/>
      <c r="EIZ95" s="108"/>
      <c r="EJA95" s="108"/>
      <c r="EJB95" s="108"/>
      <c r="EJC95" s="108"/>
      <c r="EJD95" s="108"/>
      <c r="EJE95" s="108"/>
      <c r="EJF95" s="108"/>
      <c r="EJG95" s="108"/>
      <c r="EJH95" s="108"/>
      <c r="EJI95" s="108"/>
      <c r="EJJ95" s="108"/>
      <c r="EJK95" s="108"/>
      <c r="EJL95" s="108"/>
      <c r="EJM95" s="108"/>
      <c r="EJN95" s="108"/>
      <c r="EJO95" s="108"/>
      <c r="EJP95" s="108"/>
      <c r="EJQ95" s="108"/>
      <c r="EJR95" s="108"/>
      <c r="EJS95" s="108"/>
      <c r="EJT95" s="108"/>
      <c r="EJU95" s="108"/>
      <c r="EJV95" s="108"/>
      <c r="EJW95" s="108"/>
      <c r="EJX95" s="108"/>
      <c r="EJY95" s="108"/>
      <c r="EJZ95" s="108"/>
      <c r="EKA95" s="108"/>
      <c r="EKB95" s="108"/>
      <c r="EKC95" s="108"/>
      <c r="EKD95" s="108"/>
      <c r="EKE95" s="108"/>
      <c r="EKF95" s="108"/>
      <c r="EKG95" s="108"/>
      <c r="EKH95" s="108"/>
      <c r="EKI95" s="108"/>
      <c r="EKJ95" s="108"/>
      <c r="EKK95" s="108"/>
      <c r="EKL95" s="108"/>
      <c r="EKM95" s="108"/>
      <c r="EKN95" s="108"/>
      <c r="EKO95" s="108"/>
      <c r="EKP95" s="108"/>
      <c r="EKQ95" s="108"/>
      <c r="EKR95" s="108"/>
      <c r="EKS95" s="108"/>
      <c r="EKT95" s="108"/>
      <c r="EKU95" s="108"/>
      <c r="EKV95" s="108"/>
      <c r="EKW95" s="108"/>
      <c r="EKX95" s="108"/>
      <c r="EKY95" s="108"/>
      <c r="EKZ95" s="108"/>
      <c r="ELA95" s="108"/>
      <c r="ELB95" s="108"/>
      <c r="ELC95" s="108"/>
      <c r="ELD95" s="108"/>
      <c r="ELE95" s="108"/>
      <c r="ELF95" s="108"/>
      <c r="ELG95" s="108"/>
      <c r="ELH95" s="108"/>
      <c r="ELI95" s="108"/>
      <c r="ELJ95" s="108"/>
      <c r="ELK95" s="108"/>
      <c r="ELL95" s="108"/>
      <c r="ELM95" s="108"/>
      <c r="ELN95" s="108"/>
      <c r="ELO95" s="108"/>
      <c r="ELP95" s="108"/>
      <c r="ELQ95" s="108"/>
      <c r="ELR95" s="108"/>
      <c r="ELS95" s="108"/>
      <c r="ELT95" s="108"/>
      <c r="ELU95" s="108"/>
      <c r="ELV95" s="108"/>
      <c r="ELW95" s="108"/>
      <c r="ELX95" s="108"/>
      <c r="ELY95" s="108"/>
      <c r="ELZ95" s="108"/>
      <c r="EMA95" s="108"/>
      <c r="EMB95" s="108"/>
      <c r="EMC95" s="108"/>
      <c r="EMD95" s="108"/>
      <c r="EME95" s="108"/>
      <c r="EMF95" s="108"/>
      <c r="EMG95" s="108"/>
      <c r="EMH95" s="108"/>
      <c r="EMI95" s="108"/>
      <c r="EMJ95" s="108"/>
      <c r="EMK95" s="108"/>
      <c r="EML95" s="108"/>
      <c r="EMM95" s="108"/>
      <c r="EMN95" s="108"/>
      <c r="EMO95" s="108"/>
      <c r="EMP95" s="108"/>
      <c r="EMQ95" s="108"/>
      <c r="EMR95" s="108"/>
      <c r="EMS95" s="108"/>
      <c r="EMT95" s="108"/>
      <c r="EMU95" s="108"/>
      <c r="EMV95" s="108"/>
      <c r="EMW95" s="108"/>
      <c r="EMX95" s="108"/>
      <c r="EMY95" s="108"/>
      <c r="EMZ95" s="108"/>
      <c r="ENA95" s="108"/>
      <c r="ENB95" s="108"/>
      <c r="ENC95" s="108"/>
      <c r="END95" s="108"/>
      <c r="ENE95" s="108"/>
      <c r="ENF95" s="108"/>
      <c r="ENG95" s="108"/>
      <c r="ENH95" s="108"/>
      <c r="ENI95" s="108"/>
      <c r="ENJ95" s="108"/>
      <c r="ENK95" s="108"/>
      <c r="ENL95" s="108"/>
      <c r="ENM95" s="108"/>
      <c r="ENN95" s="108"/>
      <c r="ENO95" s="108"/>
      <c r="ENP95" s="108"/>
      <c r="ENQ95" s="108"/>
      <c r="ENR95" s="108"/>
      <c r="ENS95" s="108"/>
      <c r="ENT95" s="108"/>
      <c r="ENU95" s="108"/>
      <c r="ENV95" s="108"/>
      <c r="ENW95" s="108"/>
      <c r="ENX95" s="108"/>
      <c r="ENY95" s="108"/>
      <c r="ENZ95" s="108"/>
      <c r="EOA95" s="108"/>
      <c r="EOB95" s="108"/>
      <c r="EOC95" s="108"/>
      <c r="EOD95" s="108"/>
      <c r="EOE95" s="108"/>
      <c r="EOF95" s="108"/>
      <c r="EOG95" s="108"/>
      <c r="EOH95" s="108"/>
      <c r="EOI95" s="108"/>
      <c r="EOJ95" s="108"/>
      <c r="EOK95" s="108"/>
      <c r="EOL95" s="108"/>
      <c r="EOM95" s="108"/>
      <c r="EON95" s="108"/>
      <c r="EOO95" s="108"/>
      <c r="EOP95" s="108"/>
      <c r="EOQ95" s="108"/>
      <c r="EOR95" s="108"/>
      <c r="EOS95" s="108"/>
      <c r="EOT95" s="108"/>
      <c r="EOU95" s="108"/>
      <c r="EOV95" s="108"/>
      <c r="EOW95" s="108"/>
      <c r="EOX95" s="108"/>
      <c r="EOY95" s="108"/>
      <c r="EOZ95" s="108"/>
      <c r="EPA95" s="108"/>
      <c r="EPB95" s="108"/>
      <c r="EPC95" s="108"/>
      <c r="EPD95" s="108"/>
      <c r="EPE95" s="108"/>
      <c r="EPF95" s="108"/>
      <c r="EPG95" s="108"/>
      <c r="EPH95" s="108"/>
      <c r="EPI95" s="108"/>
      <c r="EPJ95" s="108"/>
      <c r="EPK95" s="108"/>
      <c r="EPL95" s="108"/>
      <c r="EPM95" s="108"/>
      <c r="EPN95" s="108"/>
      <c r="EPO95" s="108"/>
      <c r="EPP95" s="108"/>
      <c r="EPQ95" s="108"/>
      <c r="EPR95" s="108"/>
      <c r="EPS95" s="108"/>
      <c r="EPT95" s="108"/>
      <c r="EPU95" s="108"/>
      <c r="EPV95" s="108"/>
      <c r="EPW95" s="108"/>
      <c r="EPX95" s="108"/>
      <c r="EPY95" s="108"/>
      <c r="EPZ95" s="108"/>
      <c r="EQA95" s="108"/>
      <c r="EQB95" s="108"/>
      <c r="EQC95" s="108"/>
      <c r="EQD95" s="108"/>
      <c r="EQE95" s="108"/>
      <c r="EQF95" s="108"/>
      <c r="EQG95" s="108"/>
      <c r="EQH95" s="108"/>
      <c r="EQI95" s="108"/>
      <c r="EQJ95" s="108"/>
      <c r="EQK95" s="108"/>
      <c r="EQL95" s="108"/>
      <c r="EQM95" s="108"/>
      <c r="EQN95" s="108"/>
      <c r="EQO95" s="108"/>
      <c r="EQP95" s="108"/>
      <c r="EQQ95" s="108"/>
      <c r="EQR95" s="108"/>
      <c r="EQS95" s="108"/>
      <c r="EQT95" s="108"/>
      <c r="EQU95" s="108"/>
      <c r="EQV95" s="108"/>
      <c r="EQW95" s="108"/>
      <c r="EQX95" s="108"/>
      <c r="EQY95" s="108"/>
      <c r="EQZ95" s="108"/>
      <c r="ERA95" s="108"/>
      <c r="ERB95" s="108"/>
      <c r="ERC95" s="108"/>
      <c r="ERD95" s="108"/>
      <c r="ERE95" s="108"/>
      <c r="ERF95" s="108"/>
      <c r="ERG95" s="108"/>
      <c r="ERH95" s="108"/>
      <c r="ERI95" s="108"/>
      <c r="ERJ95" s="108"/>
      <c r="ERK95" s="108"/>
      <c r="ERL95" s="108"/>
      <c r="ERM95" s="108"/>
      <c r="ERN95" s="108"/>
      <c r="ERO95" s="108"/>
      <c r="ERP95" s="108"/>
      <c r="ERQ95" s="108"/>
      <c r="ERR95" s="108"/>
      <c r="ERS95" s="108"/>
      <c r="ERT95" s="108"/>
      <c r="ERU95" s="108"/>
      <c r="ERV95" s="108"/>
      <c r="ERW95" s="108"/>
      <c r="ERX95" s="108"/>
      <c r="ERY95" s="108"/>
      <c r="ERZ95" s="108"/>
      <c r="ESA95" s="108"/>
      <c r="ESB95" s="108"/>
      <c r="ESC95" s="108"/>
      <c r="ESD95" s="108"/>
      <c r="ESE95" s="108"/>
      <c r="ESF95" s="108"/>
      <c r="ESG95" s="108"/>
      <c r="ESH95" s="108"/>
      <c r="ESI95" s="108"/>
      <c r="ESJ95" s="108"/>
      <c r="ESK95" s="108"/>
      <c r="ESL95" s="108"/>
      <c r="ESM95" s="108"/>
      <c r="ESN95" s="108"/>
      <c r="ESO95" s="108"/>
      <c r="ESP95" s="108"/>
      <c r="ESQ95" s="108"/>
      <c r="ESR95" s="108"/>
      <c r="ESS95" s="108"/>
      <c r="EST95" s="108"/>
      <c r="ESU95" s="108"/>
      <c r="ESV95" s="108"/>
      <c r="ESW95" s="108"/>
      <c r="ESX95" s="108"/>
      <c r="ESY95" s="108"/>
      <c r="ESZ95" s="108"/>
      <c r="ETA95" s="108"/>
      <c r="ETB95" s="108"/>
      <c r="ETC95" s="108"/>
      <c r="ETD95" s="108"/>
      <c r="ETE95" s="108"/>
      <c r="ETF95" s="108"/>
      <c r="ETG95" s="108"/>
      <c r="ETH95" s="108"/>
      <c r="ETI95" s="108"/>
      <c r="ETJ95" s="108"/>
      <c r="ETK95" s="108"/>
      <c r="ETL95" s="108"/>
      <c r="ETM95" s="108"/>
      <c r="ETN95" s="108"/>
      <c r="ETO95" s="108"/>
      <c r="ETP95" s="108"/>
      <c r="ETQ95" s="108"/>
      <c r="ETR95" s="108"/>
      <c r="ETS95" s="108"/>
      <c r="ETT95" s="108"/>
      <c r="ETU95" s="108"/>
      <c r="ETV95" s="108"/>
      <c r="ETW95" s="108"/>
      <c r="ETX95" s="108"/>
      <c r="ETY95" s="108"/>
      <c r="ETZ95" s="108"/>
      <c r="EUA95" s="108"/>
      <c r="EUB95" s="108"/>
      <c r="EUC95" s="108"/>
      <c r="EUD95" s="108"/>
      <c r="EUE95" s="108"/>
      <c r="EUF95" s="108"/>
      <c r="EUG95" s="108"/>
      <c r="EUH95" s="108"/>
      <c r="EUI95" s="108"/>
      <c r="EUJ95" s="108"/>
      <c r="EUK95" s="108"/>
      <c r="EUL95" s="108"/>
      <c r="EUM95" s="108"/>
      <c r="EUN95" s="108"/>
      <c r="EUO95" s="108"/>
      <c r="EUP95" s="108"/>
      <c r="EUQ95" s="108"/>
      <c r="EUR95" s="108"/>
      <c r="EUS95" s="108"/>
      <c r="EUT95" s="108"/>
      <c r="EUU95" s="108"/>
      <c r="EUV95" s="108"/>
      <c r="EUW95" s="108"/>
      <c r="EUX95" s="108"/>
      <c r="EUY95" s="108"/>
      <c r="EUZ95" s="108"/>
      <c r="EVA95" s="108"/>
      <c r="EVB95" s="108"/>
      <c r="EVC95" s="108"/>
      <c r="EVD95" s="108"/>
      <c r="EVE95" s="108"/>
      <c r="EVF95" s="108"/>
      <c r="EVG95" s="108"/>
      <c r="EVH95" s="108"/>
      <c r="EVI95" s="108"/>
      <c r="EVJ95" s="108"/>
      <c r="EVK95" s="108"/>
      <c r="EVL95" s="108"/>
      <c r="EVM95" s="108"/>
      <c r="EVN95" s="108"/>
      <c r="EVO95" s="108"/>
      <c r="EVP95" s="108"/>
      <c r="EVQ95" s="108"/>
      <c r="EVR95" s="108"/>
      <c r="EVS95" s="108"/>
      <c r="EVT95" s="108"/>
      <c r="EVU95" s="108"/>
      <c r="EVV95" s="108"/>
      <c r="EVW95" s="108"/>
      <c r="EVX95" s="108"/>
      <c r="EVY95" s="108"/>
      <c r="EVZ95" s="108"/>
      <c r="EWA95" s="108"/>
      <c r="EWB95" s="108"/>
      <c r="EWC95" s="108"/>
      <c r="EWD95" s="108"/>
      <c r="EWE95" s="108"/>
      <c r="EWF95" s="108"/>
      <c r="EWG95" s="108"/>
      <c r="EWH95" s="108"/>
      <c r="EWI95" s="108"/>
      <c r="EWJ95" s="108"/>
      <c r="EWK95" s="108"/>
      <c r="EWL95" s="108"/>
      <c r="EWM95" s="108"/>
      <c r="EWN95" s="108"/>
      <c r="EWO95" s="108"/>
      <c r="EWP95" s="108"/>
      <c r="EWQ95" s="108"/>
      <c r="EWR95" s="108"/>
      <c r="EWS95" s="108"/>
      <c r="EWT95" s="108"/>
      <c r="EWU95" s="108"/>
      <c r="EWV95" s="108"/>
      <c r="EWW95" s="108"/>
      <c r="EWX95" s="108"/>
      <c r="EWY95" s="108"/>
      <c r="EWZ95" s="108"/>
      <c r="EXA95" s="108"/>
      <c r="EXB95" s="108"/>
      <c r="EXC95" s="108"/>
      <c r="EXD95" s="108"/>
      <c r="EXE95" s="108"/>
      <c r="EXF95" s="108"/>
      <c r="EXG95" s="108"/>
      <c r="EXH95" s="108"/>
      <c r="EXI95" s="108"/>
      <c r="EXJ95" s="108"/>
      <c r="EXK95" s="108"/>
      <c r="EXL95" s="108"/>
      <c r="EXM95" s="108"/>
      <c r="EXN95" s="108"/>
      <c r="EXO95" s="108"/>
      <c r="EXP95" s="108"/>
      <c r="EXQ95" s="108"/>
      <c r="EXR95" s="108"/>
      <c r="EXS95" s="108"/>
      <c r="EXT95" s="108"/>
      <c r="EXU95" s="108"/>
      <c r="EXV95" s="108"/>
      <c r="EXW95" s="108"/>
      <c r="EXX95" s="108"/>
      <c r="EXY95" s="108"/>
      <c r="EXZ95" s="108"/>
      <c r="EYA95" s="108"/>
      <c r="EYB95" s="108"/>
      <c r="EYC95" s="108"/>
      <c r="EYD95" s="108"/>
      <c r="EYE95" s="108"/>
      <c r="EYF95" s="108"/>
      <c r="EYG95" s="108"/>
      <c r="EYH95" s="108"/>
      <c r="EYI95" s="108"/>
      <c r="EYJ95" s="108"/>
      <c r="EYK95" s="108"/>
      <c r="EYL95" s="108"/>
      <c r="EYM95" s="108"/>
      <c r="EYN95" s="108"/>
      <c r="EYO95" s="108"/>
      <c r="EYP95" s="108"/>
      <c r="EYQ95" s="108"/>
      <c r="EYR95" s="108"/>
      <c r="EYS95" s="108"/>
      <c r="EYT95" s="108"/>
      <c r="EYU95" s="108"/>
      <c r="EYV95" s="108"/>
      <c r="EYW95" s="108"/>
      <c r="EYX95" s="108"/>
      <c r="EYY95" s="108"/>
      <c r="EYZ95" s="108"/>
      <c r="EZA95" s="108"/>
      <c r="EZB95" s="108"/>
      <c r="EZC95" s="108"/>
      <c r="EZD95" s="108"/>
      <c r="EZE95" s="108"/>
      <c r="EZF95" s="108"/>
      <c r="EZG95" s="108"/>
      <c r="EZH95" s="108"/>
      <c r="EZI95" s="108"/>
      <c r="EZJ95" s="108"/>
      <c r="EZK95" s="108"/>
      <c r="EZL95" s="108"/>
      <c r="EZM95" s="108"/>
      <c r="EZN95" s="108"/>
      <c r="EZO95" s="108"/>
      <c r="EZP95" s="108"/>
      <c r="EZQ95" s="108"/>
      <c r="EZR95" s="108"/>
      <c r="EZS95" s="108"/>
      <c r="EZT95" s="108"/>
      <c r="EZU95" s="108"/>
      <c r="EZV95" s="108"/>
      <c r="EZW95" s="108"/>
      <c r="EZX95" s="108"/>
      <c r="EZY95" s="108"/>
      <c r="EZZ95" s="108"/>
      <c r="FAA95" s="108"/>
      <c r="FAB95" s="108"/>
      <c r="FAC95" s="108"/>
      <c r="FAD95" s="108"/>
      <c r="FAE95" s="108"/>
      <c r="FAF95" s="108"/>
      <c r="FAG95" s="108"/>
      <c r="FAH95" s="108"/>
      <c r="FAI95" s="108"/>
      <c r="FAJ95" s="108"/>
      <c r="FAK95" s="108"/>
      <c r="FAL95" s="108"/>
      <c r="FAM95" s="108"/>
      <c r="FAN95" s="108"/>
      <c r="FAO95" s="108"/>
      <c r="FAP95" s="108"/>
      <c r="FAQ95" s="108"/>
      <c r="FAR95" s="108"/>
      <c r="FAS95" s="108"/>
      <c r="FAT95" s="108"/>
      <c r="FAU95" s="108"/>
      <c r="FAV95" s="108"/>
      <c r="FAW95" s="108"/>
      <c r="FAX95" s="108"/>
      <c r="FAY95" s="108"/>
      <c r="FAZ95" s="108"/>
      <c r="FBA95" s="108"/>
      <c r="FBB95" s="108"/>
      <c r="FBC95" s="108"/>
      <c r="FBD95" s="108"/>
      <c r="FBE95" s="108"/>
      <c r="FBF95" s="108"/>
      <c r="FBG95" s="108"/>
      <c r="FBH95" s="108"/>
      <c r="FBI95" s="108"/>
      <c r="FBJ95" s="108"/>
      <c r="FBK95" s="108"/>
      <c r="FBL95" s="108"/>
      <c r="FBM95" s="108"/>
      <c r="FBN95" s="108"/>
      <c r="FBO95" s="108"/>
      <c r="FBP95" s="108"/>
      <c r="FBQ95" s="108"/>
      <c r="FBR95" s="108"/>
      <c r="FBS95" s="108"/>
      <c r="FBT95" s="108"/>
      <c r="FBU95" s="108"/>
      <c r="FBV95" s="108"/>
      <c r="FBW95" s="108"/>
      <c r="FBX95" s="108"/>
      <c r="FBY95" s="108"/>
      <c r="FBZ95" s="108"/>
      <c r="FCA95" s="108"/>
      <c r="FCB95" s="108"/>
      <c r="FCC95" s="108"/>
      <c r="FCD95" s="108"/>
      <c r="FCE95" s="108"/>
      <c r="FCF95" s="108"/>
      <c r="FCG95" s="108"/>
      <c r="FCH95" s="108"/>
      <c r="FCI95" s="108"/>
      <c r="FCJ95" s="108"/>
      <c r="FCK95" s="108"/>
      <c r="FCL95" s="108"/>
      <c r="FCM95" s="108"/>
      <c r="FCN95" s="108"/>
      <c r="FCO95" s="108"/>
      <c r="FCP95" s="108"/>
      <c r="FCQ95" s="108"/>
      <c r="FCR95" s="108"/>
      <c r="FCS95" s="108"/>
      <c r="FCT95" s="108"/>
      <c r="FCU95" s="108"/>
      <c r="FCV95" s="108"/>
      <c r="FCW95" s="108"/>
      <c r="FCX95" s="108"/>
      <c r="FCY95" s="108"/>
      <c r="FCZ95" s="108"/>
      <c r="FDA95" s="108"/>
      <c r="FDB95" s="108"/>
      <c r="FDC95" s="108"/>
      <c r="FDD95" s="108"/>
      <c r="FDE95" s="108"/>
      <c r="FDF95" s="108"/>
      <c r="FDG95" s="108"/>
      <c r="FDH95" s="108"/>
      <c r="FDI95" s="108"/>
      <c r="FDJ95" s="108"/>
      <c r="FDK95" s="108"/>
      <c r="FDL95" s="108"/>
      <c r="FDM95" s="108"/>
      <c r="FDN95" s="108"/>
      <c r="FDO95" s="108"/>
      <c r="FDP95" s="108"/>
      <c r="FDQ95" s="108"/>
      <c r="FDR95" s="108"/>
      <c r="FDS95" s="108"/>
      <c r="FDT95" s="108"/>
      <c r="FDU95" s="108"/>
      <c r="FDV95" s="108"/>
      <c r="FDW95" s="108"/>
      <c r="FDX95" s="108"/>
      <c r="FDY95" s="108"/>
      <c r="FDZ95" s="108"/>
      <c r="FEA95" s="108"/>
      <c r="FEB95" s="108"/>
      <c r="FEC95" s="108"/>
      <c r="FED95" s="108"/>
      <c r="FEE95" s="108"/>
      <c r="FEF95" s="108"/>
      <c r="FEG95" s="108"/>
      <c r="FEH95" s="108"/>
      <c r="FEI95" s="108"/>
      <c r="FEJ95" s="108"/>
      <c r="FEK95" s="108"/>
      <c r="FEL95" s="108"/>
      <c r="FEM95" s="108"/>
      <c r="FEN95" s="108"/>
      <c r="FEO95" s="108"/>
      <c r="FEP95" s="108"/>
      <c r="FEQ95" s="108"/>
      <c r="FER95" s="108"/>
      <c r="FES95" s="108"/>
      <c r="FET95" s="108"/>
      <c r="FEU95" s="108"/>
      <c r="FEV95" s="108"/>
      <c r="FEW95" s="108"/>
      <c r="FEX95" s="108"/>
      <c r="FEY95" s="108"/>
      <c r="FEZ95" s="108"/>
      <c r="FFA95" s="108"/>
      <c r="FFB95" s="108"/>
      <c r="FFC95" s="108"/>
      <c r="FFD95" s="108"/>
      <c r="FFE95" s="108"/>
      <c r="FFF95" s="108"/>
      <c r="FFG95" s="108"/>
      <c r="FFH95" s="108"/>
      <c r="FFI95" s="108"/>
      <c r="FFJ95" s="108"/>
      <c r="FFK95" s="108"/>
      <c r="FFL95" s="108"/>
      <c r="FFM95" s="108"/>
      <c r="FFN95" s="108"/>
      <c r="FFO95" s="108"/>
      <c r="FFP95" s="108"/>
      <c r="FFQ95" s="108"/>
      <c r="FFR95" s="108"/>
      <c r="FFS95" s="108"/>
      <c r="FFT95" s="108"/>
      <c r="FFU95" s="108"/>
      <c r="FFV95" s="108"/>
      <c r="FFW95" s="108"/>
      <c r="FFX95" s="108"/>
      <c r="FFY95" s="108"/>
      <c r="FFZ95" s="108"/>
      <c r="FGA95" s="108"/>
      <c r="FGB95" s="108"/>
      <c r="FGC95" s="108"/>
      <c r="FGD95" s="108"/>
      <c r="FGE95" s="108"/>
      <c r="FGF95" s="108"/>
      <c r="FGG95" s="108"/>
      <c r="FGH95" s="108"/>
      <c r="FGI95" s="108"/>
      <c r="FGJ95" s="108"/>
      <c r="FGK95" s="108"/>
      <c r="FGL95" s="108"/>
      <c r="FGM95" s="108"/>
      <c r="FGN95" s="108"/>
      <c r="FGO95" s="108"/>
      <c r="FGP95" s="108"/>
      <c r="FGQ95" s="108"/>
      <c r="FGR95" s="108"/>
      <c r="FGS95" s="108"/>
      <c r="FGT95" s="108"/>
      <c r="FGU95" s="108"/>
      <c r="FGV95" s="108"/>
      <c r="FGW95" s="108"/>
      <c r="FGX95" s="108"/>
      <c r="FGY95" s="108"/>
      <c r="FGZ95" s="108"/>
      <c r="FHA95" s="108"/>
      <c r="FHB95" s="108"/>
      <c r="FHC95" s="108"/>
      <c r="FHD95" s="108"/>
      <c r="FHE95" s="108"/>
      <c r="FHF95" s="108"/>
      <c r="FHG95" s="108"/>
      <c r="FHH95" s="108"/>
      <c r="FHI95" s="108"/>
      <c r="FHJ95" s="108"/>
      <c r="FHK95" s="108"/>
      <c r="FHL95" s="108"/>
      <c r="FHM95" s="108"/>
      <c r="FHN95" s="108"/>
      <c r="FHO95" s="108"/>
      <c r="FHP95" s="108"/>
      <c r="FHQ95" s="108"/>
      <c r="FHR95" s="108"/>
      <c r="FHS95" s="108"/>
      <c r="FHT95" s="108"/>
      <c r="FHU95" s="108"/>
      <c r="FHV95" s="108"/>
      <c r="FHW95" s="108"/>
      <c r="FHX95" s="108"/>
      <c r="FHY95" s="108"/>
      <c r="FHZ95" s="108"/>
      <c r="FIA95" s="108"/>
      <c r="FIB95" s="108"/>
      <c r="FIC95" s="108"/>
      <c r="FID95" s="108"/>
      <c r="FIE95" s="108"/>
      <c r="FIF95" s="108"/>
      <c r="FIG95" s="108"/>
      <c r="FIH95" s="108"/>
      <c r="FII95" s="108"/>
      <c r="FIJ95" s="108"/>
      <c r="FIK95" s="108"/>
      <c r="FIL95" s="108"/>
      <c r="FIM95" s="108"/>
      <c r="FIN95" s="108"/>
      <c r="FIO95" s="108"/>
      <c r="FIP95" s="108"/>
      <c r="FIQ95" s="108"/>
      <c r="FIR95" s="108"/>
      <c r="FIS95" s="108"/>
      <c r="FIT95" s="108"/>
      <c r="FIU95" s="108"/>
      <c r="FIV95" s="108"/>
      <c r="FIW95" s="108"/>
      <c r="FIX95" s="108"/>
      <c r="FIY95" s="108"/>
      <c r="FIZ95" s="108"/>
      <c r="FJA95" s="108"/>
      <c r="FJB95" s="108"/>
      <c r="FJC95" s="108"/>
      <c r="FJD95" s="108"/>
      <c r="FJE95" s="108"/>
      <c r="FJF95" s="108"/>
      <c r="FJG95" s="108"/>
      <c r="FJH95" s="108"/>
      <c r="FJI95" s="108"/>
      <c r="FJJ95" s="108"/>
      <c r="FJK95" s="108"/>
      <c r="FJL95" s="108"/>
      <c r="FJM95" s="108"/>
      <c r="FJN95" s="108"/>
      <c r="FJO95" s="108"/>
      <c r="FJP95" s="108"/>
      <c r="FJQ95" s="108"/>
      <c r="FJR95" s="108"/>
      <c r="FJS95" s="108"/>
      <c r="FJT95" s="108"/>
      <c r="FJU95" s="108"/>
      <c r="FJV95" s="108"/>
      <c r="FJW95" s="108"/>
      <c r="FJX95" s="108"/>
      <c r="FJY95" s="108"/>
      <c r="FJZ95" s="108"/>
      <c r="FKA95" s="108"/>
      <c r="FKB95" s="108"/>
      <c r="FKC95" s="108"/>
      <c r="FKD95" s="108"/>
      <c r="FKE95" s="108"/>
      <c r="FKF95" s="108"/>
      <c r="FKG95" s="108"/>
      <c r="FKH95" s="108"/>
      <c r="FKI95" s="108"/>
      <c r="FKJ95" s="108"/>
      <c r="FKK95" s="108"/>
      <c r="FKL95" s="108"/>
      <c r="FKM95" s="108"/>
      <c r="FKN95" s="108"/>
      <c r="FKO95" s="108"/>
      <c r="FKP95" s="108"/>
      <c r="FKQ95" s="108"/>
      <c r="FKR95" s="108"/>
      <c r="FKS95" s="108"/>
      <c r="FKT95" s="108"/>
      <c r="FKU95" s="108"/>
      <c r="FKV95" s="108"/>
      <c r="FKW95" s="108"/>
      <c r="FKX95" s="108"/>
      <c r="FKY95" s="108"/>
      <c r="FKZ95" s="108"/>
      <c r="FLA95" s="108"/>
      <c r="FLB95" s="108"/>
      <c r="FLC95" s="108"/>
      <c r="FLD95" s="108"/>
      <c r="FLE95" s="108"/>
      <c r="FLF95" s="108"/>
      <c r="FLG95" s="108"/>
      <c r="FLH95" s="108"/>
      <c r="FLI95" s="108"/>
      <c r="FLJ95" s="108"/>
      <c r="FLK95" s="108"/>
      <c r="FLL95" s="108"/>
      <c r="FLM95" s="108"/>
      <c r="FLN95" s="108"/>
      <c r="FLO95" s="108"/>
      <c r="FLP95" s="108"/>
      <c r="FLQ95" s="108"/>
      <c r="FLR95" s="108"/>
      <c r="FLS95" s="108"/>
      <c r="FLT95" s="108"/>
      <c r="FLU95" s="108"/>
      <c r="FLV95" s="108"/>
      <c r="FLW95" s="108"/>
      <c r="FLX95" s="108"/>
      <c r="FLY95" s="108"/>
      <c r="FLZ95" s="108"/>
      <c r="FMA95" s="108"/>
      <c r="FMB95" s="108"/>
      <c r="FMC95" s="108"/>
      <c r="FMD95" s="108"/>
      <c r="FME95" s="108"/>
      <c r="FMF95" s="108"/>
      <c r="FMG95" s="108"/>
      <c r="FMH95" s="108"/>
      <c r="FMI95" s="108"/>
      <c r="FMJ95" s="108"/>
      <c r="FMK95" s="108"/>
      <c r="FML95" s="108"/>
      <c r="FMM95" s="108"/>
      <c r="FMN95" s="108"/>
      <c r="FMO95" s="108"/>
      <c r="FMP95" s="108"/>
      <c r="FMQ95" s="108"/>
      <c r="FMR95" s="108"/>
      <c r="FMS95" s="108"/>
      <c r="FMT95" s="108"/>
      <c r="FMU95" s="108"/>
      <c r="FMV95" s="108"/>
      <c r="FMW95" s="108"/>
      <c r="FMX95" s="108"/>
      <c r="FMY95" s="108"/>
      <c r="FMZ95" s="108"/>
      <c r="FNA95" s="108"/>
      <c r="FNB95" s="108"/>
      <c r="FNC95" s="108"/>
      <c r="FND95" s="108"/>
      <c r="FNE95" s="108"/>
      <c r="FNF95" s="108"/>
      <c r="FNG95" s="108"/>
      <c r="FNH95" s="108"/>
      <c r="FNI95" s="108"/>
      <c r="FNJ95" s="108"/>
      <c r="FNK95" s="108"/>
      <c r="FNL95" s="108"/>
      <c r="FNM95" s="108"/>
      <c r="FNN95" s="108"/>
      <c r="FNO95" s="108"/>
      <c r="FNP95" s="108"/>
      <c r="FNQ95" s="108"/>
      <c r="FNR95" s="108"/>
      <c r="FNS95" s="108"/>
      <c r="FNT95" s="108"/>
      <c r="FNU95" s="108"/>
      <c r="FNV95" s="108"/>
      <c r="FNW95" s="108"/>
      <c r="FNX95" s="108"/>
      <c r="FNY95" s="108"/>
      <c r="FNZ95" s="108"/>
      <c r="FOA95" s="108"/>
      <c r="FOB95" s="108"/>
      <c r="FOC95" s="108"/>
      <c r="FOD95" s="108"/>
      <c r="FOE95" s="108"/>
      <c r="FOF95" s="108"/>
      <c r="FOG95" s="108"/>
      <c r="FOH95" s="108"/>
      <c r="FOI95" s="108"/>
      <c r="FOJ95" s="108"/>
      <c r="FOK95" s="108"/>
      <c r="FOL95" s="108"/>
      <c r="FOM95" s="108"/>
      <c r="FON95" s="108"/>
      <c r="FOO95" s="108"/>
      <c r="FOP95" s="108"/>
      <c r="FOQ95" s="108"/>
      <c r="FOR95" s="108"/>
      <c r="FOS95" s="108"/>
      <c r="FOT95" s="108"/>
      <c r="FOU95" s="108"/>
      <c r="FOV95" s="108"/>
      <c r="FOW95" s="108"/>
      <c r="FOX95" s="108"/>
      <c r="FOY95" s="108"/>
      <c r="FOZ95" s="108"/>
      <c r="FPA95" s="108"/>
      <c r="FPB95" s="108"/>
      <c r="FPC95" s="108"/>
      <c r="FPD95" s="108"/>
      <c r="FPE95" s="108"/>
      <c r="FPF95" s="108"/>
      <c r="FPG95" s="108"/>
      <c r="FPH95" s="108"/>
      <c r="FPI95" s="108"/>
      <c r="FPJ95" s="108"/>
      <c r="FPK95" s="108"/>
      <c r="FPL95" s="108"/>
      <c r="FPM95" s="108"/>
      <c r="FPN95" s="108"/>
      <c r="FPO95" s="108"/>
      <c r="FPP95" s="108"/>
      <c r="FPQ95" s="108"/>
      <c r="FPR95" s="108"/>
      <c r="FPS95" s="108"/>
      <c r="FPT95" s="108"/>
      <c r="FPU95" s="108"/>
      <c r="FPV95" s="108"/>
      <c r="FPW95" s="108"/>
      <c r="FPX95" s="108"/>
      <c r="FPY95" s="108"/>
      <c r="FPZ95" s="108"/>
      <c r="FQA95" s="108"/>
      <c r="FQB95" s="108"/>
      <c r="FQC95" s="108"/>
      <c r="FQD95" s="108"/>
      <c r="FQE95" s="108"/>
      <c r="FQF95" s="108"/>
      <c r="FQG95" s="108"/>
      <c r="FQH95" s="108"/>
      <c r="FQI95" s="108"/>
      <c r="FQJ95" s="108"/>
      <c r="FQK95" s="108"/>
      <c r="FQL95" s="108"/>
      <c r="FQM95" s="108"/>
      <c r="FQN95" s="108"/>
      <c r="FQO95" s="108"/>
      <c r="FQP95" s="108"/>
      <c r="FQQ95" s="108"/>
      <c r="FQR95" s="108"/>
      <c r="FQS95" s="108"/>
      <c r="FQT95" s="108"/>
      <c r="FQU95" s="108"/>
      <c r="FQV95" s="108"/>
      <c r="FQW95" s="108"/>
      <c r="FQX95" s="108"/>
      <c r="FQY95" s="108"/>
      <c r="FQZ95" s="108"/>
      <c r="FRA95" s="108"/>
      <c r="FRB95" s="108"/>
      <c r="FRC95" s="108"/>
      <c r="FRD95" s="108"/>
      <c r="FRE95" s="108"/>
      <c r="FRF95" s="108"/>
      <c r="FRG95" s="108"/>
      <c r="FRH95" s="108"/>
      <c r="FRI95" s="108"/>
      <c r="FRJ95" s="108"/>
      <c r="FRK95" s="108"/>
      <c r="FRL95" s="108"/>
      <c r="FRM95" s="108"/>
      <c r="FRN95" s="108"/>
      <c r="FRO95" s="108"/>
      <c r="FRP95" s="108"/>
      <c r="FRQ95" s="108"/>
      <c r="FRR95" s="108"/>
      <c r="FRS95" s="108"/>
      <c r="FRT95" s="108"/>
      <c r="FRU95" s="108"/>
      <c r="FRV95" s="108"/>
      <c r="FRW95" s="108"/>
      <c r="FRX95" s="108"/>
      <c r="FRY95" s="108"/>
      <c r="FRZ95" s="108"/>
      <c r="FSA95" s="108"/>
      <c r="FSB95" s="108"/>
      <c r="FSC95" s="108"/>
      <c r="FSD95" s="108"/>
      <c r="FSE95" s="108"/>
      <c r="FSF95" s="108"/>
      <c r="FSG95" s="108"/>
      <c r="FSH95" s="108"/>
      <c r="FSI95" s="108"/>
      <c r="FSJ95" s="108"/>
      <c r="FSK95" s="108"/>
      <c r="FSL95" s="108"/>
      <c r="FSM95" s="108"/>
      <c r="FSN95" s="108"/>
      <c r="FSO95" s="108"/>
      <c r="FSP95" s="108"/>
      <c r="FSQ95" s="108"/>
      <c r="FSR95" s="108"/>
      <c r="FSS95" s="108"/>
      <c r="FST95" s="108"/>
      <c r="FSU95" s="108"/>
      <c r="FSV95" s="108"/>
      <c r="FSW95" s="108"/>
      <c r="FSX95" s="108"/>
      <c r="FSY95" s="108"/>
      <c r="FSZ95" s="108"/>
      <c r="FTA95" s="108"/>
      <c r="FTB95" s="108"/>
      <c r="FTC95" s="108"/>
      <c r="FTD95" s="108"/>
      <c r="FTE95" s="108"/>
      <c r="FTF95" s="108"/>
      <c r="FTG95" s="108"/>
      <c r="FTH95" s="108"/>
      <c r="FTI95" s="108"/>
      <c r="FTJ95" s="108"/>
      <c r="FTK95" s="108"/>
      <c r="FTL95" s="108"/>
      <c r="FTM95" s="108"/>
      <c r="FTN95" s="108"/>
      <c r="FTO95" s="108"/>
      <c r="FTP95" s="108"/>
      <c r="FTQ95" s="108"/>
      <c r="FTR95" s="108"/>
      <c r="FTS95" s="108"/>
      <c r="FTT95" s="108"/>
      <c r="FTU95" s="108"/>
      <c r="FTV95" s="108"/>
      <c r="FTW95" s="108"/>
      <c r="FTX95" s="108"/>
      <c r="FTY95" s="108"/>
      <c r="FTZ95" s="108"/>
      <c r="FUA95" s="108"/>
      <c r="FUB95" s="108"/>
      <c r="FUC95" s="108"/>
      <c r="FUD95" s="108"/>
      <c r="FUE95" s="108"/>
      <c r="FUF95" s="108"/>
      <c r="FUG95" s="108"/>
      <c r="FUH95" s="108"/>
      <c r="FUI95" s="108"/>
      <c r="FUJ95" s="108"/>
      <c r="FUK95" s="108"/>
      <c r="FUL95" s="108"/>
      <c r="FUM95" s="108"/>
      <c r="FUN95" s="108"/>
      <c r="FUO95" s="108"/>
      <c r="FUP95" s="108"/>
      <c r="FUQ95" s="108"/>
      <c r="FUR95" s="108"/>
      <c r="FUS95" s="108"/>
      <c r="FUT95" s="108"/>
      <c r="FUU95" s="108"/>
      <c r="FUV95" s="108"/>
      <c r="FUW95" s="108"/>
      <c r="FUX95" s="108"/>
      <c r="FUY95" s="108"/>
      <c r="FUZ95" s="108"/>
      <c r="FVA95" s="108"/>
      <c r="FVB95" s="108"/>
      <c r="FVC95" s="108"/>
      <c r="FVD95" s="108"/>
      <c r="FVE95" s="108"/>
      <c r="FVF95" s="108"/>
      <c r="FVG95" s="108"/>
      <c r="FVH95" s="108"/>
      <c r="FVI95" s="108"/>
      <c r="FVJ95" s="108"/>
      <c r="FVK95" s="108"/>
      <c r="FVL95" s="108"/>
      <c r="FVM95" s="108"/>
      <c r="FVN95" s="108"/>
      <c r="FVO95" s="108"/>
      <c r="FVP95" s="108"/>
      <c r="FVQ95" s="108"/>
      <c r="FVR95" s="108"/>
      <c r="FVS95" s="108"/>
      <c r="FVT95" s="108"/>
      <c r="FVU95" s="108"/>
      <c r="FVV95" s="108"/>
      <c r="FVW95" s="108"/>
      <c r="FVX95" s="108"/>
      <c r="FVY95" s="108"/>
      <c r="FVZ95" s="108"/>
      <c r="FWA95" s="108"/>
      <c r="FWB95" s="108"/>
      <c r="FWC95" s="108"/>
      <c r="FWD95" s="108"/>
      <c r="FWE95" s="108"/>
      <c r="FWF95" s="108"/>
      <c r="FWG95" s="108"/>
      <c r="FWH95" s="108"/>
      <c r="FWI95" s="108"/>
      <c r="FWJ95" s="108"/>
      <c r="FWK95" s="108"/>
      <c r="FWL95" s="108"/>
      <c r="FWM95" s="108"/>
      <c r="FWN95" s="108"/>
      <c r="FWO95" s="108"/>
      <c r="FWP95" s="108"/>
      <c r="FWQ95" s="108"/>
      <c r="FWR95" s="108"/>
      <c r="FWS95" s="108"/>
      <c r="FWT95" s="108"/>
      <c r="FWU95" s="108"/>
      <c r="FWV95" s="108"/>
      <c r="FWW95" s="108"/>
      <c r="FWX95" s="108"/>
      <c r="FWY95" s="108"/>
      <c r="FWZ95" s="108"/>
      <c r="FXA95" s="108"/>
      <c r="FXB95" s="108"/>
      <c r="FXC95" s="108"/>
      <c r="FXD95" s="108"/>
      <c r="FXE95" s="108"/>
      <c r="FXF95" s="108"/>
      <c r="FXG95" s="108"/>
      <c r="FXH95" s="108"/>
      <c r="FXI95" s="108"/>
      <c r="FXJ95" s="108"/>
      <c r="FXK95" s="108"/>
      <c r="FXL95" s="108"/>
      <c r="FXM95" s="108"/>
      <c r="FXN95" s="108"/>
      <c r="FXO95" s="108"/>
      <c r="FXP95" s="108"/>
      <c r="FXQ95" s="108"/>
      <c r="FXR95" s="108"/>
      <c r="FXS95" s="108"/>
      <c r="FXT95" s="108"/>
      <c r="FXU95" s="108"/>
      <c r="FXV95" s="108"/>
      <c r="FXW95" s="108"/>
      <c r="FXX95" s="108"/>
      <c r="FXY95" s="108"/>
      <c r="FXZ95" s="108"/>
      <c r="FYA95" s="108"/>
      <c r="FYB95" s="108"/>
      <c r="FYC95" s="108"/>
      <c r="FYD95" s="108"/>
      <c r="FYE95" s="108"/>
      <c r="FYF95" s="108"/>
      <c r="FYG95" s="108"/>
      <c r="FYH95" s="108"/>
      <c r="FYI95" s="108"/>
      <c r="FYJ95" s="108"/>
      <c r="FYK95" s="108"/>
      <c r="FYL95" s="108"/>
      <c r="FYM95" s="108"/>
      <c r="FYN95" s="108"/>
      <c r="FYO95" s="108"/>
      <c r="FYP95" s="108"/>
      <c r="FYQ95" s="108"/>
      <c r="FYR95" s="108"/>
      <c r="FYS95" s="108"/>
      <c r="FYT95" s="108"/>
      <c r="FYU95" s="108"/>
      <c r="FYV95" s="108"/>
      <c r="FYW95" s="108"/>
      <c r="FYX95" s="108"/>
      <c r="FYY95" s="108"/>
      <c r="FYZ95" s="108"/>
      <c r="FZA95" s="108"/>
      <c r="FZB95" s="108"/>
      <c r="FZC95" s="108"/>
      <c r="FZD95" s="108"/>
      <c r="FZE95" s="108"/>
      <c r="FZF95" s="108"/>
      <c r="FZG95" s="108"/>
      <c r="FZH95" s="108"/>
      <c r="FZI95" s="108"/>
      <c r="FZJ95" s="108"/>
      <c r="FZK95" s="108"/>
      <c r="FZL95" s="108"/>
      <c r="FZM95" s="108"/>
      <c r="FZN95" s="108"/>
      <c r="FZO95" s="108"/>
      <c r="FZP95" s="108"/>
      <c r="FZQ95" s="108"/>
      <c r="FZR95" s="108"/>
      <c r="FZS95" s="108"/>
      <c r="FZT95" s="108"/>
      <c r="FZU95" s="108"/>
      <c r="FZV95" s="108"/>
      <c r="FZW95" s="108"/>
      <c r="FZX95" s="108"/>
      <c r="FZY95" s="108"/>
      <c r="FZZ95" s="108"/>
      <c r="GAA95" s="108"/>
      <c r="GAB95" s="108"/>
      <c r="GAC95" s="108"/>
      <c r="GAD95" s="108"/>
      <c r="GAE95" s="108"/>
      <c r="GAF95" s="108"/>
      <c r="GAG95" s="108"/>
      <c r="GAH95" s="108"/>
      <c r="GAI95" s="108"/>
      <c r="GAJ95" s="108"/>
      <c r="GAK95" s="108"/>
      <c r="GAL95" s="108"/>
      <c r="GAM95" s="108"/>
      <c r="GAN95" s="108"/>
      <c r="GAO95" s="108"/>
      <c r="GAP95" s="108"/>
      <c r="GAQ95" s="108"/>
      <c r="GAR95" s="108"/>
      <c r="GAS95" s="108"/>
      <c r="GAT95" s="108"/>
      <c r="GAU95" s="108"/>
      <c r="GAV95" s="108"/>
      <c r="GAW95" s="108"/>
      <c r="GAX95" s="108"/>
      <c r="GAY95" s="108"/>
      <c r="GAZ95" s="108"/>
      <c r="GBA95" s="108"/>
      <c r="GBB95" s="108"/>
      <c r="GBC95" s="108"/>
      <c r="GBD95" s="108"/>
      <c r="GBE95" s="108"/>
      <c r="GBF95" s="108"/>
      <c r="GBG95" s="108"/>
      <c r="GBH95" s="108"/>
      <c r="GBI95" s="108"/>
      <c r="GBJ95" s="108"/>
      <c r="GBK95" s="108"/>
      <c r="GBL95" s="108"/>
      <c r="GBM95" s="108"/>
      <c r="GBN95" s="108"/>
      <c r="GBO95" s="108"/>
      <c r="GBP95" s="108"/>
      <c r="GBQ95" s="108"/>
      <c r="GBR95" s="108"/>
      <c r="GBS95" s="108"/>
      <c r="GBT95" s="108"/>
      <c r="GBU95" s="108"/>
      <c r="GBV95" s="108"/>
      <c r="GBW95" s="108"/>
      <c r="GBX95" s="108"/>
      <c r="GBY95" s="108"/>
      <c r="GBZ95" s="108"/>
      <c r="GCA95" s="108"/>
      <c r="GCB95" s="108"/>
      <c r="GCC95" s="108"/>
      <c r="GCD95" s="108"/>
      <c r="GCE95" s="108"/>
      <c r="GCF95" s="108"/>
      <c r="GCG95" s="108"/>
      <c r="GCH95" s="108"/>
      <c r="GCI95" s="108"/>
      <c r="GCJ95" s="108"/>
      <c r="GCK95" s="108"/>
      <c r="GCL95" s="108"/>
      <c r="GCM95" s="108"/>
      <c r="GCN95" s="108"/>
      <c r="GCO95" s="108"/>
      <c r="GCP95" s="108"/>
      <c r="GCQ95" s="108"/>
      <c r="GCR95" s="108"/>
      <c r="GCS95" s="108"/>
      <c r="GCT95" s="108"/>
      <c r="GCU95" s="108"/>
      <c r="GCV95" s="108"/>
      <c r="GCW95" s="108"/>
      <c r="GCX95" s="108"/>
      <c r="GCY95" s="108"/>
      <c r="GCZ95" s="108"/>
      <c r="GDA95" s="108"/>
      <c r="GDB95" s="108"/>
      <c r="GDC95" s="108"/>
      <c r="GDD95" s="108"/>
      <c r="GDE95" s="108"/>
      <c r="GDF95" s="108"/>
      <c r="GDG95" s="108"/>
      <c r="GDH95" s="108"/>
      <c r="GDI95" s="108"/>
      <c r="GDJ95" s="108"/>
      <c r="GDK95" s="108"/>
      <c r="GDL95" s="108"/>
      <c r="GDM95" s="108"/>
      <c r="GDN95" s="108"/>
      <c r="GDO95" s="108"/>
      <c r="GDP95" s="108"/>
      <c r="GDQ95" s="108"/>
      <c r="GDR95" s="108"/>
      <c r="GDS95" s="108"/>
      <c r="GDT95" s="108"/>
      <c r="GDU95" s="108"/>
      <c r="GDV95" s="108"/>
      <c r="GDW95" s="108"/>
      <c r="GDX95" s="108"/>
      <c r="GDY95" s="108"/>
      <c r="GDZ95" s="108"/>
      <c r="GEA95" s="108"/>
      <c r="GEB95" s="108"/>
      <c r="GEC95" s="108"/>
      <c r="GED95" s="108"/>
      <c r="GEE95" s="108"/>
      <c r="GEF95" s="108"/>
      <c r="GEG95" s="108"/>
      <c r="GEH95" s="108"/>
      <c r="GEI95" s="108"/>
      <c r="GEJ95" s="108"/>
      <c r="GEK95" s="108"/>
      <c r="GEL95" s="108"/>
      <c r="GEM95" s="108"/>
      <c r="GEN95" s="108"/>
      <c r="GEO95" s="108"/>
      <c r="GEP95" s="108"/>
      <c r="GEQ95" s="108"/>
      <c r="GER95" s="108"/>
      <c r="GES95" s="108"/>
      <c r="GET95" s="108"/>
      <c r="GEU95" s="108"/>
      <c r="GEV95" s="108"/>
      <c r="GEW95" s="108"/>
      <c r="GEX95" s="108"/>
      <c r="GEY95" s="108"/>
      <c r="GEZ95" s="108"/>
      <c r="GFA95" s="108"/>
      <c r="GFB95" s="108"/>
      <c r="GFC95" s="108"/>
      <c r="GFD95" s="108"/>
      <c r="GFE95" s="108"/>
      <c r="GFF95" s="108"/>
      <c r="GFG95" s="108"/>
      <c r="GFH95" s="108"/>
      <c r="GFI95" s="108"/>
      <c r="GFJ95" s="108"/>
      <c r="GFK95" s="108"/>
      <c r="GFL95" s="108"/>
      <c r="GFM95" s="108"/>
      <c r="GFN95" s="108"/>
      <c r="GFO95" s="108"/>
      <c r="GFP95" s="108"/>
      <c r="GFQ95" s="108"/>
      <c r="GFR95" s="108"/>
      <c r="GFS95" s="108"/>
      <c r="GFT95" s="108"/>
      <c r="GFU95" s="108"/>
      <c r="GFV95" s="108"/>
      <c r="GFW95" s="108"/>
      <c r="GFX95" s="108"/>
      <c r="GFY95" s="108"/>
      <c r="GFZ95" s="108"/>
      <c r="GGA95" s="108"/>
      <c r="GGB95" s="108"/>
      <c r="GGC95" s="108"/>
      <c r="GGD95" s="108"/>
      <c r="GGE95" s="108"/>
      <c r="GGF95" s="108"/>
      <c r="GGG95" s="108"/>
      <c r="GGH95" s="108"/>
      <c r="GGI95" s="108"/>
      <c r="GGJ95" s="108"/>
      <c r="GGK95" s="108"/>
      <c r="GGL95" s="108"/>
      <c r="GGM95" s="108"/>
      <c r="GGN95" s="108"/>
      <c r="GGO95" s="108"/>
      <c r="GGP95" s="108"/>
      <c r="GGQ95" s="108"/>
      <c r="GGR95" s="108"/>
      <c r="GGS95" s="108"/>
      <c r="GGT95" s="108"/>
      <c r="GGU95" s="108"/>
      <c r="GGV95" s="108"/>
      <c r="GGW95" s="108"/>
      <c r="GGX95" s="108"/>
      <c r="GGY95" s="108"/>
      <c r="GGZ95" s="108"/>
      <c r="GHA95" s="108"/>
      <c r="GHB95" s="108"/>
      <c r="GHC95" s="108"/>
      <c r="GHD95" s="108"/>
      <c r="GHE95" s="108"/>
      <c r="GHF95" s="108"/>
      <c r="GHG95" s="108"/>
      <c r="GHH95" s="108"/>
      <c r="GHI95" s="108"/>
      <c r="GHJ95" s="108"/>
      <c r="GHK95" s="108"/>
      <c r="GHL95" s="108"/>
      <c r="GHM95" s="108"/>
      <c r="GHN95" s="108"/>
      <c r="GHO95" s="108"/>
      <c r="GHP95" s="108"/>
      <c r="GHQ95" s="108"/>
      <c r="GHR95" s="108"/>
      <c r="GHS95" s="108"/>
      <c r="GHT95" s="108"/>
      <c r="GHU95" s="108"/>
      <c r="GHV95" s="108"/>
      <c r="GHW95" s="108"/>
      <c r="GHX95" s="108"/>
      <c r="GHY95" s="108"/>
      <c r="GHZ95" s="108"/>
      <c r="GIA95" s="108"/>
      <c r="GIB95" s="108"/>
      <c r="GIC95" s="108"/>
      <c r="GID95" s="108"/>
      <c r="GIE95" s="108"/>
      <c r="GIF95" s="108"/>
      <c r="GIG95" s="108"/>
      <c r="GIH95" s="108"/>
      <c r="GII95" s="108"/>
      <c r="GIJ95" s="108"/>
      <c r="GIK95" s="108"/>
      <c r="GIL95" s="108"/>
      <c r="GIM95" s="108"/>
      <c r="GIN95" s="108"/>
      <c r="GIO95" s="108"/>
      <c r="GIP95" s="108"/>
      <c r="GIQ95" s="108"/>
      <c r="GIR95" s="108"/>
      <c r="GIS95" s="108"/>
      <c r="GIT95" s="108"/>
      <c r="GIU95" s="108"/>
      <c r="GIV95" s="108"/>
      <c r="GIW95" s="108"/>
      <c r="GIX95" s="108"/>
      <c r="GIY95" s="108"/>
      <c r="GIZ95" s="108"/>
      <c r="GJA95" s="108"/>
      <c r="GJB95" s="108"/>
      <c r="GJC95" s="108"/>
      <c r="GJD95" s="108"/>
      <c r="GJE95" s="108"/>
      <c r="GJF95" s="108"/>
      <c r="GJG95" s="108"/>
      <c r="GJH95" s="108"/>
      <c r="GJI95" s="108"/>
      <c r="GJJ95" s="108"/>
      <c r="GJK95" s="108"/>
      <c r="GJL95" s="108"/>
      <c r="GJM95" s="108"/>
      <c r="GJN95" s="108"/>
      <c r="GJO95" s="108"/>
      <c r="GJP95" s="108"/>
      <c r="GJQ95" s="108"/>
      <c r="GJR95" s="108"/>
      <c r="GJS95" s="108"/>
      <c r="GJT95" s="108"/>
      <c r="GJU95" s="108"/>
      <c r="GJV95" s="108"/>
      <c r="GJW95" s="108"/>
      <c r="GJX95" s="108"/>
      <c r="GJY95" s="108"/>
      <c r="GJZ95" s="108"/>
      <c r="GKA95" s="108"/>
      <c r="GKB95" s="108"/>
      <c r="GKC95" s="108"/>
      <c r="GKD95" s="108"/>
      <c r="GKE95" s="108"/>
      <c r="GKF95" s="108"/>
      <c r="GKG95" s="108"/>
      <c r="GKH95" s="108"/>
      <c r="GKI95" s="108"/>
      <c r="GKJ95" s="108"/>
      <c r="GKK95" s="108"/>
      <c r="GKL95" s="108"/>
      <c r="GKM95" s="108"/>
      <c r="GKN95" s="108"/>
      <c r="GKO95" s="108"/>
      <c r="GKP95" s="108"/>
      <c r="GKQ95" s="108"/>
      <c r="GKR95" s="108"/>
      <c r="GKS95" s="108"/>
      <c r="GKT95" s="108"/>
      <c r="GKU95" s="108"/>
      <c r="GKV95" s="108"/>
      <c r="GKW95" s="108"/>
      <c r="GKX95" s="108"/>
      <c r="GKY95" s="108"/>
      <c r="GKZ95" s="108"/>
      <c r="GLA95" s="108"/>
      <c r="GLB95" s="108"/>
      <c r="GLC95" s="108"/>
      <c r="GLD95" s="108"/>
      <c r="GLE95" s="108"/>
      <c r="GLF95" s="108"/>
      <c r="GLG95" s="108"/>
      <c r="GLH95" s="108"/>
      <c r="GLI95" s="108"/>
      <c r="GLJ95" s="108"/>
      <c r="GLK95" s="108"/>
      <c r="GLL95" s="108"/>
      <c r="GLM95" s="108"/>
      <c r="GLN95" s="108"/>
      <c r="GLO95" s="108"/>
      <c r="GLP95" s="108"/>
      <c r="GLQ95" s="108"/>
      <c r="GLR95" s="108"/>
      <c r="GLS95" s="108"/>
      <c r="GLT95" s="108"/>
      <c r="GLU95" s="108"/>
      <c r="GLV95" s="108"/>
      <c r="GLW95" s="108"/>
      <c r="GLX95" s="108"/>
      <c r="GLY95" s="108"/>
      <c r="GLZ95" s="108"/>
      <c r="GMA95" s="108"/>
      <c r="GMB95" s="108"/>
      <c r="GMC95" s="108"/>
      <c r="GMD95" s="108"/>
      <c r="GME95" s="108"/>
      <c r="GMF95" s="108"/>
      <c r="GMG95" s="108"/>
      <c r="GMH95" s="108"/>
      <c r="GMI95" s="108"/>
      <c r="GMJ95" s="108"/>
      <c r="GMK95" s="108"/>
      <c r="GML95" s="108"/>
      <c r="GMM95" s="108"/>
      <c r="GMN95" s="108"/>
      <c r="GMO95" s="108"/>
      <c r="GMP95" s="108"/>
      <c r="GMQ95" s="108"/>
      <c r="GMR95" s="108"/>
      <c r="GMS95" s="108"/>
      <c r="GMT95" s="108"/>
      <c r="GMU95" s="108"/>
      <c r="GMV95" s="108"/>
      <c r="GMW95" s="108"/>
      <c r="GMX95" s="108"/>
      <c r="GMY95" s="108"/>
      <c r="GMZ95" s="108"/>
      <c r="GNA95" s="108"/>
      <c r="GNB95" s="108"/>
      <c r="GNC95" s="108"/>
      <c r="GND95" s="108"/>
      <c r="GNE95" s="108"/>
      <c r="GNF95" s="108"/>
      <c r="GNG95" s="108"/>
      <c r="GNH95" s="108"/>
      <c r="GNI95" s="108"/>
      <c r="GNJ95" s="108"/>
      <c r="GNK95" s="108"/>
      <c r="GNL95" s="108"/>
      <c r="GNM95" s="108"/>
      <c r="GNN95" s="108"/>
      <c r="GNO95" s="108"/>
      <c r="GNP95" s="108"/>
      <c r="GNQ95" s="108"/>
      <c r="GNR95" s="108"/>
      <c r="GNS95" s="108"/>
      <c r="GNT95" s="108"/>
      <c r="GNU95" s="108"/>
      <c r="GNV95" s="108"/>
      <c r="GNW95" s="108"/>
      <c r="GNX95" s="108"/>
      <c r="GNY95" s="108"/>
      <c r="GNZ95" s="108"/>
      <c r="GOA95" s="108"/>
      <c r="GOB95" s="108"/>
      <c r="GOC95" s="108"/>
      <c r="GOD95" s="108"/>
      <c r="GOE95" s="108"/>
      <c r="GOF95" s="108"/>
      <c r="GOG95" s="108"/>
      <c r="GOH95" s="108"/>
      <c r="GOI95" s="108"/>
      <c r="GOJ95" s="108"/>
      <c r="GOK95" s="108"/>
      <c r="GOL95" s="108"/>
      <c r="GOM95" s="108"/>
      <c r="GON95" s="108"/>
      <c r="GOO95" s="108"/>
      <c r="GOP95" s="108"/>
      <c r="GOQ95" s="108"/>
      <c r="GOR95" s="108"/>
      <c r="GOS95" s="108"/>
      <c r="GOT95" s="108"/>
      <c r="GOU95" s="108"/>
      <c r="GOV95" s="108"/>
      <c r="GOW95" s="108"/>
      <c r="GOX95" s="108"/>
      <c r="GOY95" s="108"/>
      <c r="GOZ95" s="108"/>
      <c r="GPA95" s="108"/>
      <c r="GPB95" s="108"/>
      <c r="GPC95" s="108"/>
      <c r="GPD95" s="108"/>
      <c r="GPE95" s="108"/>
      <c r="GPF95" s="108"/>
      <c r="GPG95" s="108"/>
      <c r="GPH95" s="108"/>
      <c r="GPI95" s="108"/>
      <c r="GPJ95" s="108"/>
      <c r="GPK95" s="108"/>
      <c r="GPL95" s="108"/>
      <c r="GPM95" s="108"/>
      <c r="GPN95" s="108"/>
      <c r="GPO95" s="108"/>
      <c r="GPP95" s="108"/>
      <c r="GPQ95" s="108"/>
      <c r="GPR95" s="108"/>
      <c r="GPS95" s="108"/>
      <c r="GPT95" s="108"/>
      <c r="GPU95" s="108"/>
      <c r="GPV95" s="108"/>
      <c r="GPW95" s="108"/>
      <c r="GPX95" s="108"/>
      <c r="GPY95" s="108"/>
      <c r="GPZ95" s="108"/>
      <c r="GQA95" s="108"/>
      <c r="GQB95" s="108"/>
      <c r="GQC95" s="108"/>
      <c r="GQD95" s="108"/>
      <c r="GQE95" s="108"/>
      <c r="GQF95" s="108"/>
      <c r="GQG95" s="108"/>
      <c r="GQH95" s="108"/>
      <c r="GQI95" s="108"/>
      <c r="GQJ95" s="108"/>
      <c r="GQK95" s="108"/>
      <c r="GQL95" s="108"/>
      <c r="GQM95" s="108"/>
      <c r="GQN95" s="108"/>
      <c r="GQO95" s="108"/>
      <c r="GQP95" s="108"/>
      <c r="GQQ95" s="108"/>
      <c r="GQR95" s="108"/>
      <c r="GQS95" s="108"/>
      <c r="GQT95" s="108"/>
      <c r="GQU95" s="108"/>
      <c r="GQV95" s="108"/>
      <c r="GQW95" s="108"/>
      <c r="GQX95" s="108"/>
      <c r="GQY95" s="108"/>
      <c r="GQZ95" s="108"/>
      <c r="GRA95" s="108"/>
      <c r="GRB95" s="108"/>
      <c r="GRC95" s="108"/>
      <c r="GRD95" s="108"/>
      <c r="GRE95" s="108"/>
      <c r="GRF95" s="108"/>
      <c r="GRG95" s="108"/>
      <c r="GRH95" s="108"/>
      <c r="GRI95" s="108"/>
      <c r="GRJ95" s="108"/>
      <c r="GRK95" s="108"/>
      <c r="GRL95" s="108"/>
      <c r="GRM95" s="108"/>
      <c r="GRN95" s="108"/>
      <c r="GRO95" s="108"/>
      <c r="GRP95" s="108"/>
      <c r="GRQ95" s="108"/>
      <c r="GRR95" s="108"/>
      <c r="GRS95" s="108"/>
      <c r="GRT95" s="108"/>
      <c r="GRU95" s="108"/>
      <c r="GRV95" s="108"/>
      <c r="GRW95" s="108"/>
      <c r="GRX95" s="108"/>
      <c r="GRY95" s="108"/>
      <c r="GRZ95" s="108"/>
      <c r="GSA95" s="108"/>
      <c r="GSB95" s="108"/>
      <c r="GSC95" s="108"/>
      <c r="GSD95" s="108"/>
      <c r="GSE95" s="108"/>
      <c r="GSF95" s="108"/>
      <c r="GSG95" s="108"/>
      <c r="GSH95" s="108"/>
      <c r="GSI95" s="108"/>
      <c r="GSJ95" s="108"/>
      <c r="GSK95" s="108"/>
      <c r="GSL95" s="108"/>
      <c r="GSM95" s="108"/>
      <c r="GSN95" s="108"/>
      <c r="GSO95" s="108"/>
      <c r="GSP95" s="108"/>
      <c r="GSQ95" s="108"/>
      <c r="GSR95" s="108"/>
      <c r="GSS95" s="108"/>
      <c r="GST95" s="108"/>
      <c r="GSU95" s="108"/>
      <c r="GSV95" s="108"/>
      <c r="GSW95" s="108"/>
      <c r="GSX95" s="108"/>
      <c r="GSY95" s="108"/>
      <c r="GSZ95" s="108"/>
      <c r="GTA95" s="108"/>
      <c r="GTB95" s="108"/>
      <c r="GTC95" s="108"/>
      <c r="GTD95" s="108"/>
      <c r="GTE95" s="108"/>
      <c r="GTF95" s="108"/>
      <c r="GTG95" s="108"/>
      <c r="GTH95" s="108"/>
      <c r="GTI95" s="108"/>
      <c r="GTJ95" s="108"/>
      <c r="GTK95" s="108"/>
      <c r="GTL95" s="108"/>
      <c r="GTM95" s="108"/>
      <c r="GTN95" s="108"/>
      <c r="GTO95" s="108"/>
      <c r="GTP95" s="108"/>
      <c r="GTQ95" s="108"/>
      <c r="GTR95" s="108"/>
      <c r="GTS95" s="108"/>
      <c r="GTT95" s="108"/>
      <c r="GTU95" s="108"/>
      <c r="GTV95" s="108"/>
      <c r="GTW95" s="108"/>
      <c r="GTX95" s="108"/>
      <c r="GTY95" s="108"/>
      <c r="GTZ95" s="108"/>
      <c r="GUA95" s="108"/>
      <c r="GUB95" s="108"/>
      <c r="GUC95" s="108"/>
      <c r="GUD95" s="108"/>
      <c r="GUE95" s="108"/>
      <c r="GUF95" s="108"/>
      <c r="GUG95" s="108"/>
      <c r="GUH95" s="108"/>
      <c r="GUI95" s="108"/>
      <c r="GUJ95" s="108"/>
      <c r="GUK95" s="108"/>
      <c r="GUL95" s="108"/>
      <c r="GUM95" s="108"/>
      <c r="GUN95" s="108"/>
      <c r="GUO95" s="108"/>
      <c r="GUP95" s="108"/>
      <c r="GUQ95" s="108"/>
      <c r="GUR95" s="108"/>
      <c r="GUS95" s="108"/>
      <c r="GUT95" s="108"/>
      <c r="GUU95" s="108"/>
      <c r="GUV95" s="108"/>
      <c r="GUW95" s="108"/>
      <c r="GUX95" s="108"/>
      <c r="GUY95" s="108"/>
      <c r="GUZ95" s="108"/>
      <c r="GVA95" s="108"/>
      <c r="GVB95" s="108"/>
      <c r="GVC95" s="108"/>
      <c r="GVD95" s="108"/>
      <c r="GVE95" s="108"/>
      <c r="GVF95" s="108"/>
      <c r="GVG95" s="108"/>
      <c r="GVH95" s="108"/>
      <c r="GVI95" s="108"/>
      <c r="GVJ95" s="108"/>
      <c r="GVK95" s="108"/>
      <c r="GVL95" s="108"/>
      <c r="GVM95" s="108"/>
      <c r="GVN95" s="108"/>
      <c r="GVO95" s="108"/>
      <c r="GVP95" s="108"/>
      <c r="GVQ95" s="108"/>
      <c r="GVR95" s="108"/>
      <c r="GVS95" s="108"/>
      <c r="GVT95" s="108"/>
      <c r="GVU95" s="108"/>
      <c r="GVV95" s="108"/>
      <c r="GVW95" s="108"/>
      <c r="GVX95" s="108"/>
      <c r="GVY95" s="108"/>
      <c r="GVZ95" s="108"/>
      <c r="GWA95" s="108"/>
      <c r="GWB95" s="108"/>
      <c r="GWC95" s="108"/>
      <c r="GWD95" s="108"/>
      <c r="GWE95" s="108"/>
      <c r="GWF95" s="108"/>
      <c r="GWG95" s="108"/>
      <c r="GWH95" s="108"/>
      <c r="GWI95" s="108"/>
      <c r="GWJ95" s="108"/>
      <c r="GWK95" s="108"/>
      <c r="GWL95" s="108"/>
      <c r="GWM95" s="108"/>
      <c r="GWN95" s="108"/>
      <c r="GWO95" s="108"/>
      <c r="GWP95" s="108"/>
      <c r="GWQ95" s="108"/>
      <c r="GWR95" s="108"/>
      <c r="GWS95" s="108"/>
      <c r="GWT95" s="108"/>
      <c r="GWU95" s="108"/>
      <c r="GWV95" s="108"/>
      <c r="GWW95" s="108"/>
      <c r="GWX95" s="108"/>
      <c r="GWY95" s="108"/>
      <c r="GWZ95" s="108"/>
      <c r="GXA95" s="108"/>
      <c r="GXB95" s="108"/>
      <c r="GXC95" s="108"/>
      <c r="GXD95" s="108"/>
      <c r="GXE95" s="108"/>
      <c r="GXF95" s="108"/>
      <c r="GXG95" s="108"/>
      <c r="GXH95" s="108"/>
      <c r="GXI95" s="108"/>
      <c r="GXJ95" s="108"/>
      <c r="GXK95" s="108"/>
      <c r="GXL95" s="108"/>
      <c r="GXM95" s="108"/>
      <c r="GXN95" s="108"/>
      <c r="GXO95" s="108"/>
      <c r="GXP95" s="108"/>
      <c r="GXQ95" s="108"/>
      <c r="GXR95" s="108"/>
      <c r="GXS95" s="108"/>
      <c r="GXT95" s="108"/>
      <c r="GXU95" s="108"/>
      <c r="GXV95" s="108"/>
      <c r="GXW95" s="108"/>
      <c r="GXX95" s="108"/>
      <c r="GXY95" s="108"/>
      <c r="GXZ95" s="108"/>
      <c r="GYA95" s="108"/>
      <c r="GYB95" s="108"/>
      <c r="GYC95" s="108"/>
      <c r="GYD95" s="108"/>
      <c r="GYE95" s="108"/>
      <c r="GYF95" s="108"/>
      <c r="GYG95" s="108"/>
      <c r="GYH95" s="108"/>
      <c r="GYI95" s="108"/>
      <c r="GYJ95" s="108"/>
      <c r="GYK95" s="108"/>
      <c r="GYL95" s="108"/>
      <c r="GYM95" s="108"/>
      <c r="GYN95" s="108"/>
      <c r="GYO95" s="108"/>
      <c r="GYP95" s="108"/>
      <c r="GYQ95" s="108"/>
      <c r="GYR95" s="108"/>
      <c r="GYS95" s="108"/>
      <c r="GYT95" s="108"/>
      <c r="GYU95" s="108"/>
      <c r="GYV95" s="108"/>
      <c r="GYW95" s="108"/>
      <c r="GYX95" s="108"/>
      <c r="GYY95" s="108"/>
      <c r="GYZ95" s="108"/>
      <c r="GZA95" s="108"/>
      <c r="GZB95" s="108"/>
      <c r="GZC95" s="108"/>
      <c r="GZD95" s="108"/>
      <c r="GZE95" s="108"/>
      <c r="GZF95" s="108"/>
      <c r="GZG95" s="108"/>
      <c r="GZH95" s="108"/>
      <c r="GZI95" s="108"/>
      <c r="GZJ95" s="108"/>
      <c r="GZK95" s="108"/>
      <c r="GZL95" s="108"/>
      <c r="GZM95" s="108"/>
      <c r="GZN95" s="108"/>
      <c r="GZO95" s="108"/>
      <c r="GZP95" s="108"/>
      <c r="GZQ95" s="108"/>
      <c r="GZR95" s="108"/>
      <c r="GZS95" s="108"/>
      <c r="GZT95" s="108"/>
      <c r="GZU95" s="108"/>
      <c r="GZV95" s="108"/>
      <c r="GZW95" s="108"/>
      <c r="GZX95" s="108"/>
      <c r="GZY95" s="108"/>
      <c r="GZZ95" s="108"/>
      <c r="HAA95" s="108"/>
      <c r="HAB95" s="108"/>
      <c r="HAC95" s="108"/>
      <c r="HAD95" s="108"/>
      <c r="HAE95" s="108"/>
      <c r="HAF95" s="108"/>
      <c r="HAG95" s="108"/>
      <c r="HAH95" s="108"/>
      <c r="HAI95" s="108"/>
      <c r="HAJ95" s="108"/>
      <c r="HAK95" s="108"/>
      <c r="HAL95" s="108"/>
      <c r="HAM95" s="108"/>
      <c r="HAN95" s="108"/>
      <c r="HAO95" s="108"/>
      <c r="HAP95" s="108"/>
      <c r="HAQ95" s="108"/>
      <c r="HAR95" s="108"/>
      <c r="HAS95" s="108"/>
      <c r="HAT95" s="108"/>
      <c r="HAU95" s="108"/>
      <c r="HAV95" s="108"/>
      <c r="HAW95" s="108"/>
      <c r="HAX95" s="108"/>
      <c r="HAY95" s="108"/>
      <c r="HAZ95" s="108"/>
      <c r="HBA95" s="108"/>
      <c r="HBB95" s="108"/>
      <c r="HBC95" s="108"/>
      <c r="HBD95" s="108"/>
      <c r="HBE95" s="108"/>
      <c r="HBF95" s="108"/>
      <c r="HBG95" s="108"/>
      <c r="HBH95" s="108"/>
      <c r="HBI95" s="108"/>
      <c r="HBJ95" s="108"/>
      <c r="HBK95" s="108"/>
      <c r="HBL95" s="108"/>
      <c r="HBM95" s="108"/>
      <c r="HBN95" s="108"/>
      <c r="HBO95" s="108"/>
      <c r="HBP95" s="108"/>
      <c r="HBQ95" s="108"/>
      <c r="HBR95" s="108"/>
      <c r="HBS95" s="108"/>
      <c r="HBT95" s="108"/>
      <c r="HBU95" s="108"/>
      <c r="HBV95" s="108"/>
      <c r="HBW95" s="108"/>
      <c r="HBX95" s="108"/>
      <c r="HBY95" s="108"/>
      <c r="HBZ95" s="108"/>
      <c r="HCA95" s="108"/>
      <c r="HCB95" s="108"/>
      <c r="HCC95" s="108"/>
      <c r="HCD95" s="108"/>
      <c r="HCE95" s="108"/>
      <c r="HCF95" s="108"/>
      <c r="HCG95" s="108"/>
      <c r="HCH95" s="108"/>
      <c r="HCI95" s="108"/>
      <c r="HCJ95" s="108"/>
      <c r="HCK95" s="108"/>
      <c r="HCL95" s="108"/>
      <c r="HCM95" s="108"/>
      <c r="HCN95" s="108"/>
      <c r="HCO95" s="108"/>
      <c r="HCP95" s="108"/>
      <c r="HCQ95" s="108"/>
      <c r="HCR95" s="108"/>
      <c r="HCS95" s="108"/>
      <c r="HCT95" s="108"/>
      <c r="HCU95" s="108"/>
      <c r="HCV95" s="108"/>
      <c r="HCW95" s="108"/>
      <c r="HCX95" s="108"/>
      <c r="HCY95" s="108"/>
      <c r="HCZ95" s="108"/>
      <c r="HDA95" s="108"/>
      <c r="HDB95" s="108"/>
      <c r="HDC95" s="108"/>
      <c r="HDD95" s="108"/>
      <c r="HDE95" s="108"/>
      <c r="HDF95" s="108"/>
      <c r="HDG95" s="108"/>
      <c r="HDH95" s="108"/>
      <c r="HDI95" s="108"/>
      <c r="HDJ95" s="108"/>
      <c r="HDK95" s="108"/>
      <c r="HDL95" s="108"/>
      <c r="HDM95" s="108"/>
      <c r="HDN95" s="108"/>
      <c r="HDO95" s="108"/>
      <c r="HDP95" s="108"/>
      <c r="HDQ95" s="108"/>
      <c r="HDR95" s="108"/>
      <c r="HDS95" s="108"/>
      <c r="HDT95" s="108"/>
      <c r="HDU95" s="108"/>
      <c r="HDV95" s="108"/>
      <c r="HDW95" s="108"/>
      <c r="HDX95" s="108"/>
      <c r="HDY95" s="108"/>
      <c r="HDZ95" s="108"/>
      <c r="HEA95" s="108"/>
      <c r="HEB95" s="108"/>
      <c r="HEC95" s="108"/>
      <c r="HED95" s="108"/>
      <c r="HEE95" s="108"/>
      <c r="HEF95" s="108"/>
      <c r="HEG95" s="108"/>
      <c r="HEH95" s="108"/>
      <c r="HEI95" s="108"/>
      <c r="HEJ95" s="108"/>
      <c r="HEK95" s="108"/>
      <c r="HEL95" s="108"/>
      <c r="HEM95" s="108"/>
      <c r="HEN95" s="108"/>
      <c r="HEO95" s="108"/>
      <c r="HEP95" s="108"/>
      <c r="HEQ95" s="108"/>
      <c r="HER95" s="108"/>
      <c r="HES95" s="108"/>
      <c r="HET95" s="108"/>
      <c r="HEU95" s="108"/>
      <c r="HEV95" s="108"/>
      <c r="HEW95" s="108"/>
      <c r="HEX95" s="108"/>
      <c r="HEY95" s="108"/>
      <c r="HEZ95" s="108"/>
      <c r="HFA95" s="108"/>
      <c r="HFB95" s="108"/>
      <c r="HFC95" s="108"/>
      <c r="HFD95" s="108"/>
      <c r="HFE95" s="108"/>
      <c r="HFF95" s="108"/>
      <c r="HFG95" s="108"/>
      <c r="HFH95" s="108"/>
      <c r="HFI95" s="108"/>
      <c r="HFJ95" s="108"/>
      <c r="HFK95" s="108"/>
      <c r="HFL95" s="108"/>
      <c r="HFM95" s="108"/>
      <c r="HFN95" s="108"/>
      <c r="HFO95" s="108"/>
      <c r="HFP95" s="108"/>
      <c r="HFQ95" s="108"/>
      <c r="HFR95" s="108"/>
      <c r="HFS95" s="108"/>
      <c r="HFT95" s="108"/>
      <c r="HFU95" s="108"/>
      <c r="HFV95" s="108"/>
      <c r="HFW95" s="108"/>
      <c r="HFX95" s="108"/>
      <c r="HFY95" s="108"/>
      <c r="HFZ95" s="108"/>
      <c r="HGA95" s="108"/>
      <c r="HGB95" s="108"/>
      <c r="HGC95" s="108"/>
      <c r="HGD95" s="108"/>
      <c r="HGE95" s="108"/>
      <c r="HGF95" s="108"/>
      <c r="HGG95" s="108"/>
      <c r="HGH95" s="108"/>
      <c r="HGI95" s="108"/>
      <c r="HGJ95" s="108"/>
      <c r="HGK95" s="108"/>
      <c r="HGL95" s="108"/>
      <c r="HGM95" s="108"/>
      <c r="HGN95" s="108"/>
      <c r="HGO95" s="108"/>
      <c r="HGP95" s="108"/>
      <c r="HGQ95" s="108"/>
      <c r="HGR95" s="108"/>
      <c r="HGS95" s="108"/>
      <c r="HGT95" s="108"/>
      <c r="HGU95" s="108"/>
      <c r="HGV95" s="108"/>
      <c r="HGW95" s="108"/>
      <c r="HGX95" s="108"/>
      <c r="HGY95" s="108"/>
      <c r="HGZ95" s="108"/>
      <c r="HHA95" s="108"/>
      <c r="HHB95" s="108"/>
      <c r="HHC95" s="108"/>
      <c r="HHD95" s="108"/>
      <c r="HHE95" s="108"/>
      <c r="HHF95" s="108"/>
      <c r="HHG95" s="108"/>
      <c r="HHH95" s="108"/>
      <c r="HHI95" s="108"/>
      <c r="HHJ95" s="108"/>
      <c r="HHK95" s="108"/>
      <c r="HHL95" s="108"/>
      <c r="HHM95" s="108"/>
      <c r="HHN95" s="108"/>
      <c r="HHO95" s="108"/>
      <c r="HHP95" s="108"/>
      <c r="HHQ95" s="108"/>
      <c r="HHR95" s="108"/>
      <c r="HHS95" s="108"/>
      <c r="HHT95" s="108"/>
      <c r="HHU95" s="108"/>
      <c r="HHV95" s="108"/>
      <c r="HHW95" s="108"/>
      <c r="HHX95" s="108"/>
      <c r="HHY95" s="108"/>
      <c r="HHZ95" s="108"/>
      <c r="HIA95" s="108"/>
      <c r="HIB95" s="108"/>
      <c r="HIC95" s="108"/>
      <c r="HID95" s="108"/>
      <c r="HIE95" s="108"/>
      <c r="HIF95" s="108"/>
      <c r="HIG95" s="108"/>
      <c r="HIH95" s="108"/>
      <c r="HII95" s="108"/>
      <c r="HIJ95" s="108"/>
      <c r="HIK95" s="108"/>
      <c r="HIL95" s="108"/>
      <c r="HIM95" s="108"/>
      <c r="HIN95" s="108"/>
      <c r="HIO95" s="108"/>
      <c r="HIP95" s="108"/>
      <c r="HIQ95" s="108"/>
      <c r="HIR95" s="108"/>
      <c r="HIS95" s="108"/>
      <c r="HIT95" s="108"/>
      <c r="HIU95" s="108"/>
      <c r="HIV95" s="108"/>
      <c r="HIW95" s="108"/>
      <c r="HIX95" s="108"/>
      <c r="HIY95" s="108"/>
      <c r="HIZ95" s="108"/>
      <c r="HJA95" s="108"/>
      <c r="HJB95" s="108"/>
      <c r="HJC95" s="108"/>
      <c r="HJD95" s="108"/>
      <c r="HJE95" s="108"/>
      <c r="HJF95" s="108"/>
      <c r="HJG95" s="108"/>
      <c r="HJH95" s="108"/>
      <c r="HJI95" s="108"/>
      <c r="HJJ95" s="108"/>
      <c r="HJK95" s="108"/>
      <c r="HJL95" s="108"/>
      <c r="HJM95" s="108"/>
      <c r="HJN95" s="108"/>
      <c r="HJO95" s="108"/>
      <c r="HJP95" s="108"/>
      <c r="HJQ95" s="108"/>
      <c r="HJR95" s="108"/>
      <c r="HJS95" s="108"/>
      <c r="HJT95" s="108"/>
      <c r="HJU95" s="108"/>
      <c r="HJV95" s="108"/>
      <c r="HJW95" s="108"/>
      <c r="HJX95" s="108"/>
      <c r="HJY95" s="108"/>
      <c r="HJZ95" s="108"/>
      <c r="HKA95" s="108"/>
      <c r="HKB95" s="108"/>
      <c r="HKC95" s="108"/>
      <c r="HKD95" s="108"/>
      <c r="HKE95" s="108"/>
      <c r="HKF95" s="108"/>
      <c r="HKG95" s="108"/>
      <c r="HKH95" s="108"/>
      <c r="HKI95" s="108"/>
      <c r="HKJ95" s="108"/>
      <c r="HKK95" s="108"/>
      <c r="HKL95" s="108"/>
      <c r="HKM95" s="108"/>
      <c r="HKN95" s="108"/>
      <c r="HKO95" s="108"/>
      <c r="HKP95" s="108"/>
      <c r="HKQ95" s="108"/>
      <c r="HKR95" s="108"/>
      <c r="HKS95" s="108"/>
      <c r="HKT95" s="108"/>
      <c r="HKU95" s="108"/>
      <c r="HKV95" s="108"/>
      <c r="HKW95" s="108"/>
      <c r="HKX95" s="108"/>
      <c r="HKY95" s="108"/>
      <c r="HKZ95" s="108"/>
      <c r="HLA95" s="108"/>
      <c r="HLB95" s="108"/>
      <c r="HLC95" s="108"/>
      <c r="HLD95" s="108"/>
      <c r="HLE95" s="108"/>
      <c r="HLF95" s="108"/>
      <c r="HLG95" s="108"/>
      <c r="HLH95" s="108"/>
      <c r="HLI95" s="108"/>
      <c r="HLJ95" s="108"/>
      <c r="HLK95" s="108"/>
      <c r="HLL95" s="108"/>
      <c r="HLM95" s="108"/>
      <c r="HLN95" s="108"/>
      <c r="HLO95" s="108"/>
      <c r="HLP95" s="108"/>
      <c r="HLQ95" s="108"/>
      <c r="HLR95" s="108"/>
      <c r="HLS95" s="108"/>
      <c r="HLT95" s="108"/>
      <c r="HLU95" s="108"/>
      <c r="HLV95" s="108"/>
      <c r="HLW95" s="108"/>
      <c r="HLX95" s="108"/>
      <c r="HLY95" s="108"/>
      <c r="HLZ95" s="108"/>
      <c r="HMA95" s="108"/>
      <c r="HMB95" s="108"/>
      <c r="HMC95" s="108"/>
      <c r="HMD95" s="108"/>
      <c r="HME95" s="108"/>
      <c r="HMF95" s="108"/>
      <c r="HMG95" s="108"/>
      <c r="HMH95" s="108"/>
      <c r="HMI95" s="108"/>
      <c r="HMJ95" s="108"/>
      <c r="HMK95" s="108"/>
      <c r="HML95" s="108"/>
      <c r="HMM95" s="108"/>
      <c r="HMN95" s="108"/>
      <c r="HMO95" s="108"/>
      <c r="HMP95" s="108"/>
      <c r="HMQ95" s="108"/>
      <c r="HMR95" s="108"/>
      <c r="HMS95" s="108"/>
      <c r="HMT95" s="108"/>
      <c r="HMU95" s="108"/>
      <c r="HMV95" s="108"/>
      <c r="HMW95" s="108"/>
      <c r="HMX95" s="108"/>
      <c r="HMY95" s="108"/>
      <c r="HMZ95" s="108"/>
      <c r="HNA95" s="108"/>
      <c r="HNB95" s="108"/>
      <c r="HNC95" s="108"/>
      <c r="HND95" s="108"/>
      <c r="HNE95" s="108"/>
      <c r="HNF95" s="108"/>
      <c r="HNG95" s="108"/>
      <c r="HNH95" s="108"/>
      <c r="HNI95" s="108"/>
      <c r="HNJ95" s="108"/>
      <c r="HNK95" s="108"/>
      <c r="HNL95" s="108"/>
      <c r="HNM95" s="108"/>
      <c r="HNN95" s="108"/>
      <c r="HNO95" s="108"/>
      <c r="HNP95" s="108"/>
      <c r="HNQ95" s="108"/>
      <c r="HNR95" s="108"/>
      <c r="HNS95" s="108"/>
      <c r="HNT95" s="108"/>
      <c r="HNU95" s="108"/>
      <c r="HNV95" s="108"/>
      <c r="HNW95" s="108"/>
      <c r="HNX95" s="108"/>
      <c r="HNY95" s="108"/>
      <c r="HNZ95" s="108"/>
      <c r="HOA95" s="108"/>
      <c r="HOB95" s="108"/>
      <c r="HOC95" s="108"/>
      <c r="HOD95" s="108"/>
      <c r="HOE95" s="108"/>
      <c r="HOF95" s="108"/>
      <c r="HOG95" s="108"/>
      <c r="HOH95" s="108"/>
      <c r="HOI95" s="108"/>
      <c r="HOJ95" s="108"/>
      <c r="HOK95" s="108"/>
      <c r="HOL95" s="108"/>
      <c r="HOM95" s="108"/>
      <c r="HON95" s="108"/>
      <c r="HOO95" s="108"/>
      <c r="HOP95" s="108"/>
      <c r="HOQ95" s="108"/>
      <c r="HOR95" s="108"/>
      <c r="HOS95" s="108"/>
      <c r="HOT95" s="108"/>
      <c r="HOU95" s="108"/>
      <c r="HOV95" s="108"/>
      <c r="HOW95" s="108"/>
      <c r="HOX95" s="108"/>
      <c r="HOY95" s="108"/>
      <c r="HOZ95" s="108"/>
      <c r="HPA95" s="108"/>
      <c r="HPB95" s="108"/>
      <c r="HPC95" s="108"/>
      <c r="HPD95" s="108"/>
      <c r="HPE95" s="108"/>
      <c r="HPF95" s="108"/>
      <c r="HPG95" s="108"/>
      <c r="HPH95" s="108"/>
      <c r="HPI95" s="108"/>
      <c r="HPJ95" s="108"/>
      <c r="HPK95" s="108"/>
      <c r="HPL95" s="108"/>
      <c r="HPM95" s="108"/>
      <c r="HPN95" s="108"/>
      <c r="HPO95" s="108"/>
      <c r="HPP95" s="108"/>
      <c r="HPQ95" s="108"/>
      <c r="HPR95" s="108"/>
      <c r="HPS95" s="108"/>
      <c r="HPT95" s="108"/>
      <c r="HPU95" s="108"/>
      <c r="HPV95" s="108"/>
      <c r="HPW95" s="108"/>
      <c r="HPX95" s="108"/>
      <c r="HPY95" s="108"/>
      <c r="HPZ95" s="108"/>
      <c r="HQA95" s="108"/>
      <c r="HQB95" s="108"/>
      <c r="HQC95" s="108"/>
      <c r="HQD95" s="108"/>
      <c r="HQE95" s="108"/>
      <c r="HQF95" s="108"/>
      <c r="HQG95" s="108"/>
      <c r="HQH95" s="108"/>
      <c r="HQI95" s="108"/>
      <c r="HQJ95" s="108"/>
      <c r="HQK95" s="108"/>
      <c r="HQL95" s="108"/>
      <c r="HQM95" s="108"/>
      <c r="HQN95" s="108"/>
      <c r="HQO95" s="108"/>
      <c r="HQP95" s="108"/>
      <c r="HQQ95" s="108"/>
      <c r="HQR95" s="108"/>
      <c r="HQS95" s="108"/>
      <c r="HQT95" s="108"/>
      <c r="HQU95" s="108"/>
      <c r="HQV95" s="108"/>
      <c r="HQW95" s="108"/>
      <c r="HQX95" s="108"/>
      <c r="HQY95" s="108"/>
      <c r="HQZ95" s="108"/>
      <c r="HRA95" s="108"/>
      <c r="HRB95" s="108"/>
      <c r="HRC95" s="108"/>
      <c r="HRD95" s="108"/>
      <c r="HRE95" s="108"/>
      <c r="HRF95" s="108"/>
      <c r="HRG95" s="108"/>
      <c r="HRH95" s="108"/>
      <c r="HRI95" s="108"/>
      <c r="HRJ95" s="108"/>
      <c r="HRK95" s="108"/>
      <c r="HRL95" s="108"/>
      <c r="HRM95" s="108"/>
      <c r="HRN95" s="108"/>
      <c r="HRO95" s="108"/>
      <c r="HRP95" s="108"/>
      <c r="HRQ95" s="108"/>
      <c r="HRR95" s="108"/>
      <c r="HRS95" s="108"/>
      <c r="HRT95" s="108"/>
      <c r="HRU95" s="108"/>
      <c r="HRV95" s="108"/>
      <c r="HRW95" s="108"/>
      <c r="HRX95" s="108"/>
      <c r="HRY95" s="108"/>
      <c r="HRZ95" s="108"/>
      <c r="HSA95" s="108"/>
      <c r="HSB95" s="108"/>
      <c r="HSC95" s="108"/>
      <c r="HSD95" s="108"/>
      <c r="HSE95" s="108"/>
      <c r="HSF95" s="108"/>
      <c r="HSG95" s="108"/>
      <c r="HSH95" s="108"/>
      <c r="HSI95" s="108"/>
      <c r="HSJ95" s="108"/>
      <c r="HSK95" s="108"/>
      <c r="HSL95" s="108"/>
      <c r="HSM95" s="108"/>
      <c r="HSN95" s="108"/>
      <c r="HSO95" s="108"/>
      <c r="HSP95" s="108"/>
      <c r="HSQ95" s="108"/>
      <c r="HSR95" s="108"/>
      <c r="HSS95" s="108"/>
      <c r="HST95" s="108"/>
      <c r="HSU95" s="108"/>
      <c r="HSV95" s="108"/>
      <c r="HSW95" s="108"/>
      <c r="HSX95" s="108"/>
      <c r="HSY95" s="108"/>
      <c r="HSZ95" s="108"/>
      <c r="HTA95" s="108"/>
      <c r="HTB95" s="108"/>
      <c r="HTC95" s="108"/>
      <c r="HTD95" s="108"/>
      <c r="HTE95" s="108"/>
      <c r="HTF95" s="108"/>
      <c r="HTG95" s="108"/>
      <c r="HTH95" s="108"/>
      <c r="HTI95" s="108"/>
      <c r="HTJ95" s="108"/>
      <c r="HTK95" s="108"/>
      <c r="HTL95" s="108"/>
      <c r="HTM95" s="108"/>
      <c r="HTN95" s="108"/>
      <c r="HTO95" s="108"/>
      <c r="HTP95" s="108"/>
      <c r="HTQ95" s="108"/>
      <c r="HTR95" s="108"/>
      <c r="HTS95" s="108"/>
      <c r="HTT95" s="108"/>
      <c r="HTU95" s="108"/>
      <c r="HTV95" s="108"/>
      <c r="HTW95" s="108"/>
      <c r="HTX95" s="108"/>
      <c r="HTY95" s="108"/>
      <c r="HTZ95" s="108"/>
      <c r="HUA95" s="108"/>
      <c r="HUB95" s="108"/>
      <c r="HUC95" s="108"/>
      <c r="HUD95" s="108"/>
      <c r="HUE95" s="108"/>
      <c r="HUF95" s="108"/>
      <c r="HUG95" s="108"/>
      <c r="HUH95" s="108"/>
      <c r="HUI95" s="108"/>
      <c r="HUJ95" s="108"/>
      <c r="HUK95" s="108"/>
      <c r="HUL95" s="108"/>
      <c r="HUM95" s="108"/>
      <c r="HUN95" s="108"/>
      <c r="HUO95" s="108"/>
      <c r="HUP95" s="108"/>
      <c r="HUQ95" s="108"/>
      <c r="HUR95" s="108"/>
      <c r="HUS95" s="108"/>
      <c r="HUT95" s="108"/>
      <c r="HUU95" s="108"/>
      <c r="HUV95" s="108"/>
      <c r="HUW95" s="108"/>
      <c r="HUX95" s="108"/>
      <c r="HUY95" s="108"/>
      <c r="HUZ95" s="108"/>
      <c r="HVA95" s="108"/>
      <c r="HVB95" s="108"/>
      <c r="HVC95" s="108"/>
      <c r="HVD95" s="108"/>
      <c r="HVE95" s="108"/>
      <c r="HVF95" s="108"/>
      <c r="HVG95" s="108"/>
      <c r="HVH95" s="108"/>
      <c r="HVI95" s="108"/>
      <c r="HVJ95" s="108"/>
      <c r="HVK95" s="108"/>
      <c r="HVL95" s="108"/>
      <c r="HVM95" s="108"/>
      <c r="HVN95" s="108"/>
      <c r="HVO95" s="108"/>
      <c r="HVP95" s="108"/>
      <c r="HVQ95" s="108"/>
      <c r="HVR95" s="108"/>
      <c r="HVS95" s="108"/>
      <c r="HVT95" s="108"/>
      <c r="HVU95" s="108"/>
      <c r="HVV95" s="108"/>
      <c r="HVW95" s="108"/>
      <c r="HVX95" s="108"/>
      <c r="HVY95" s="108"/>
      <c r="HVZ95" s="108"/>
      <c r="HWA95" s="108"/>
      <c r="HWB95" s="108"/>
      <c r="HWC95" s="108"/>
      <c r="HWD95" s="108"/>
      <c r="HWE95" s="108"/>
      <c r="HWF95" s="108"/>
      <c r="HWG95" s="108"/>
      <c r="HWH95" s="108"/>
      <c r="HWI95" s="108"/>
      <c r="HWJ95" s="108"/>
      <c r="HWK95" s="108"/>
      <c r="HWL95" s="108"/>
      <c r="HWM95" s="108"/>
      <c r="HWN95" s="108"/>
      <c r="HWO95" s="108"/>
      <c r="HWP95" s="108"/>
      <c r="HWQ95" s="108"/>
      <c r="HWR95" s="108"/>
      <c r="HWS95" s="108"/>
      <c r="HWT95" s="108"/>
      <c r="HWU95" s="108"/>
      <c r="HWV95" s="108"/>
      <c r="HWW95" s="108"/>
      <c r="HWX95" s="108"/>
      <c r="HWY95" s="108"/>
      <c r="HWZ95" s="108"/>
      <c r="HXA95" s="108"/>
      <c r="HXB95" s="108"/>
      <c r="HXC95" s="108"/>
      <c r="HXD95" s="108"/>
      <c r="HXE95" s="108"/>
      <c r="HXF95" s="108"/>
      <c r="HXG95" s="108"/>
      <c r="HXH95" s="108"/>
      <c r="HXI95" s="108"/>
      <c r="HXJ95" s="108"/>
      <c r="HXK95" s="108"/>
      <c r="HXL95" s="108"/>
      <c r="HXM95" s="108"/>
      <c r="HXN95" s="108"/>
      <c r="HXO95" s="108"/>
      <c r="HXP95" s="108"/>
      <c r="HXQ95" s="108"/>
      <c r="HXR95" s="108"/>
      <c r="HXS95" s="108"/>
      <c r="HXT95" s="108"/>
      <c r="HXU95" s="108"/>
      <c r="HXV95" s="108"/>
      <c r="HXW95" s="108"/>
      <c r="HXX95" s="108"/>
      <c r="HXY95" s="108"/>
      <c r="HXZ95" s="108"/>
      <c r="HYA95" s="108"/>
      <c r="HYB95" s="108"/>
      <c r="HYC95" s="108"/>
      <c r="HYD95" s="108"/>
      <c r="HYE95" s="108"/>
      <c r="HYF95" s="108"/>
      <c r="HYG95" s="108"/>
      <c r="HYH95" s="108"/>
      <c r="HYI95" s="108"/>
      <c r="HYJ95" s="108"/>
      <c r="HYK95" s="108"/>
      <c r="HYL95" s="108"/>
      <c r="HYM95" s="108"/>
      <c r="HYN95" s="108"/>
      <c r="HYO95" s="108"/>
      <c r="HYP95" s="108"/>
      <c r="HYQ95" s="108"/>
      <c r="HYR95" s="108"/>
      <c r="HYS95" s="108"/>
      <c r="HYT95" s="108"/>
      <c r="HYU95" s="108"/>
      <c r="HYV95" s="108"/>
      <c r="HYW95" s="108"/>
      <c r="HYX95" s="108"/>
      <c r="HYY95" s="108"/>
      <c r="HYZ95" s="108"/>
      <c r="HZA95" s="108"/>
      <c r="HZB95" s="108"/>
      <c r="HZC95" s="108"/>
      <c r="HZD95" s="108"/>
      <c r="HZE95" s="108"/>
      <c r="HZF95" s="108"/>
      <c r="HZG95" s="108"/>
      <c r="HZH95" s="108"/>
      <c r="HZI95" s="108"/>
      <c r="HZJ95" s="108"/>
      <c r="HZK95" s="108"/>
      <c r="HZL95" s="108"/>
      <c r="HZM95" s="108"/>
      <c r="HZN95" s="108"/>
      <c r="HZO95" s="108"/>
      <c r="HZP95" s="108"/>
      <c r="HZQ95" s="108"/>
      <c r="HZR95" s="108"/>
      <c r="HZS95" s="108"/>
      <c r="HZT95" s="108"/>
      <c r="HZU95" s="108"/>
      <c r="HZV95" s="108"/>
      <c r="HZW95" s="108"/>
      <c r="HZX95" s="108"/>
      <c r="HZY95" s="108"/>
      <c r="HZZ95" s="108"/>
      <c r="IAA95" s="108"/>
      <c r="IAB95" s="108"/>
      <c r="IAC95" s="108"/>
      <c r="IAD95" s="108"/>
      <c r="IAE95" s="108"/>
      <c r="IAF95" s="108"/>
      <c r="IAG95" s="108"/>
      <c r="IAH95" s="108"/>
      <c r="IAI95" s="108"/>
      <c r="IAJ95" s="108"/>
      <c r="IAK95" s="108"/>
      <c r="IAL95" s="108"/>
      <c r="IAM95" s="108"/>
      <c r="IAN95" s="108"/>
      <c r="IAO95" s="108"/>
      <c r="IAP95" s="108"/>
      <c r="IAQ95" s="108"/>
      <c r="IAR95" s="108"/>
      <c r="IAS95" s="108"/>
      <c r="IAT95" s="108"/>
      <c r="IAU95" s="108"/>
      <c r="IAV95" s="108"/>
      <c r="IAW95" s="108"/>
      <c r="IAX95" s="108"/>
      <c r="IAY95" s="108"/>
      <c r="IAZ95" s="108"/>
      <c r="IBA95" s="108"/>
      <c r="IBB95" s="108"/>
      <c r="IBC95" s="108"/>
      <c r="IBD95" s="108"/>
      <c r="IBE95" s="108"/>
      <c r="IBF95" s="108"/>
      <c r="IBG95" s="108"/>
      <c r="IBH95" s="108"/>
      <c r="IBI95" s="108"/>
      <c r="IBJ95" s="108"/>
      <c r="IBK95" s="108"/>
      <c r="IBL95" s="108"/>
      <c r="IBM95" s="108"/>
      <c r="IBN95" s="108"/>
      <c r="IBO95" s="108"/>
      <c r="IBP95" s="108"/>
      <c r="IBQ95" s="108"/>
      <c r="IBR95" s="108"/>
      <c r="IBS95" s="108"/>
      <c r="IBT95" s="108"/>
      <c r="IBU95" s="108"/>
      <c r="IBV95" s="108"/>
      <c r="IBW95" s="108"/>
      <c r="IBX95" s="108"/>
      <c r="IBY95" s="108"/>
      <c r="IBZ95" s="108"/>
      <c r="ICA95" s="108"/>
      <c r="ICB95" s="108"/>
      <c r="ICC95" s="108"/>
      <c r="ICD95" s="108"/>
      <c r="ICE95" s="108"/>
      <c r="ICF95" s="108"/>
      <c r="ICG95" s="108"/>
      <c r="ICH95" s="108"/>
      <c r="ICI95" s="108"/>
      <c r="ICJ95" s="108"/>
      <c r="ICK95" s="108"/>
      <c r="ICL95" s="108"/>
      <c r="ICM95" s="108"/>
      <c r="ICN95" s="108"/>
      <c r="ICO95" s="108"/>
      <c r="ICP95" s="108"/>
      <c r="ICQ95" s="108"/>
      <c r="ICR95" s="108"/>
      <c r="ICS95" s="108"/>
      <c r="ICT95" s="108"/>
      <c r="ICU95" s="108"/>
      <c r="ICV95" s="108"/>
      <c r="ICW95" s="108"/>
      <c r="ICX95" s="108"/>
      <c r="ICY95" s="108"/>
      <c r="ICZ95" s="108"/>
      <c r="IDA95" s="108"/>
      <c r="IDB95" s="108"/>
      <c r="IDC95" s="108"/>
      <c r="IDD95" s="108"/>
      <c r="IDE95" s="108"/>
      <c r="IDF95" s="108"/>
      <c r="IDG95" s="108"/>
      <c r="IDH95" s="108"/>
      <c r="IDI95" s="108"/>
      <c r="IDJ95" s="108"/>
      <c r="IDK95" s="108"/>
      <c r="IDL95" s="108"/>
      <c r="IDM95" s="108"/>
      <c r="IDN95" s="108"/>
      <c r="IDO95" s="108"/>
      <c r="IDP95" s="108"/>
      <c r="IDQ95" s="108"/>
      <c r="IDR95" s="108"/>
      <c r="IDS95" s="108"/>
      <c r="IDT95" s="108"/>
      <c r="IDU95" s="108"/>
      <c r="IDV95" s="108"/>
      <c r="IDW95" s="108"/>
      <c r="IDX95" s="108"/>
      <c r="IDY95" s="108"/>
      <c r="IDZ95" s="108"/>
      <c r="IEA95" s="108"/>
      <c r="IEB95" s="108"/>
      <c r="IEC95" s="108"/>
      <c r="IED95" s="108"/>
      <c r="IEE95" s="108"/>
      <c r="IEF95" s="108"/>
      <c r="IEG95" s="108"/>
      <c r="IEH95" s="108"/>
      <c r="IEI95" s="108"/>
      <c r="IEJ95" s="108"/>
      <c r="IEK95" s="108"/>
      <c r="IEL95" s="108"/>
      <c r="IEM95" s="108"/>
      <c r="IEN95" s="108"/>
      <c r="IEO95" s="108"/>
      <c r="IEP95" s="108"/>
      <c r="IEQ95" s="108"/>
      <c r="IER95" s="108"/>
      <c r="IES95" s="108"/>
      <c r="IET95" s="108"/>
      <c r="IEU95" s="108"/>
      <c r="IEV95" s="108"/>
      <c r="IEW95" s="108"/>
      <c r="IEX95" s="108"/>
      <c r="IEY95" s="108"/>
      <c r="IEZ95" s="108"/>
      <c r="IFA95" s="108"/>
      <c r="IFB95" s="108"/>
      <c r="IFC95" s="108"/>
      <c r="IFD95" s="108"/>
      <c r="IFE95" s="108"/>
      <c r="IFF95" s="108"/>
      <c r="IFG95" s="108"/>
      <c r="IFH95" s="108"/>
      <c r="IFI95" s="108"/>
      <c r="IFJ95" s="108"/>
      <c r="IFK95" s="108"/>
      <c r="IFL95" s="108"/>
      <c r="IFM95" s="108"/>
      <c r="IFN95" s="108"/>
      <c r="IFO95" s="108"/>
      <c r="IFP95" s="108"/>
      <c r="IFQ95" s="108"/>
      <c r="IFR95" s="108"/>
      <c r="IFS95" s="108"/>
      <c r="IFT95" s="108"/>
      <c r="IFU95" s="108"/>
      <c r="IFV95" s="108"/>
      <c r="IFW95" s="108"/>
      <c r="IFX95" s="108"/>
      <c r="IFY95" s="108"/>
      <c r="IFZ95" s="108"/>
      <c r="IGA95" s="108"/>
      <c r="IGB95" s="108"/>
      <c r="IGC95" s="108"/>
      <c r="IGD95" s="108"/>
      <c r="IGE95" s="108"/>
      <c r="IGF95" s="108"/>
      <c r="IGG95" s="108"/>
      <c r="IGH95" s="108"/>
      <c r="IGI95" s="108"/>
      <c r="IGJ95" s="108"/>
      <c r="IGK95" s="108"/>
      <c r="IGL95" s="108"/>
      <c r="IGM95" s="108"/>
      <c r="IGN95" s="108"/>
      <c r="IGO95" s="108"/>
      <c r="IGP95" s="108"/>
      <c r="IGQ95" s="108"/>
      <c r="IGR95" s="108"/>
      <c r="IGS95" s="108"/>
      <c r="IGT95" s="108"/>
      <c r="IGU95" s="108"/>
      <c r="IGV95" s="108"/>
      <c r="IGW95" s="108"/>
      <c r="IGX95" s="108"/>
      <c r="IGY95" s="108"/>
      <c r="IGZ95" s="108"/>
      <c r="IHA95" s="108"/>
      <c r="IHB95" s="108"/>
      <c r="IHC95" s="108"/>
      <c r="IHD95" s="108"/>
      <c r="IHE95" s="108"/>
      <c r="IHF95" s="108"/>
      <c r="IHG95" s="108"/>
      <c r="IHH95" s="108"/>
      <c r="IHI95" s="108"/>
      <c r="IHJ95" s="108"/>
      <c r="IHK95" s="108"/>
      <c r="IHL95" s="108"/>
      <c r="IHM95" s="108"/>
      <c r="IHN95" s="108"/>
      <c r="IHO95" s="108"/>
      <c r="IHP95" s="108"/>
      <c r="IHQ95" s="108"/>
      <c r="IHR95" s="108"/>
      <c r="IHS95" s="108"/>
      <c r="IHT95" s="108"/>
      <c r="IHU95" s="108"/>
      <c r="IHV95" s="108"/>
      <c r="IHW95" s="108"/>
      <c r="IHX95" s="108"/>
      <c r="IHY95" s="108"/>
      <c r="IHZ95" s="108"/>
      <c r="IIA95" s="108"/>
      <c r="IIB95" s="108"/>
      <c r="IIC95" s="108"/>
      <c r="IID95" s="108"/>
      <c r="IIE95" s="108"/>
      <c r="IIF95" s="108"/>
      <c r="IIG95" s="108"/>
      <c r="IIH95" s="108"/>
      <c r="III95" s="108"/>
      <c r="IIJ95" s="108"/>
      <c r="IIK95" s="108"/>
      <c r="IIL95" s="108"/>
      <c r="IIM95" s="108"/>
      <c r="IIN95" s="108"/>
      <c r="IIO95" s="108"/>
      <c r="IIP95" s="108"/>
      <c r="IIQ95" s="108"/>
      <c r="IIR95" s="108"/>
      <c r="IIS95" s="108"/>
      <c r="IIT95" s="108"/>
      <c r="IIU95" s="108"/>
      <c r="IIV95" s="108"/>
      <c r="IIW95" s="108"/>
      <c r="IIX95" s="108"/>
      <c r="IIY95" s="108"/>
      <c r="IIZ95" s="108"/>
      <c r="IJA95" s="108"/>
      <c r="IJB95" s="108"/>
      <c r="IJC95" s="108"/>
      <c r="IJD95" s="108"/>
      <c r="IJE95" s="108"/>
      <c r="IJF95" s="108"/>
      <c r="IJG95" s="108"/>
      <c r="IJH95" s="108"/>
      <c r="IJI95" s="108"/>
      <c r="IJJ95" s="108"/>
      <c r="IJK95" s="108"/>
      <c r="IJL95" s="108"/>
      <c r="IJM95" s="108"/>
      <c r="IJN95" s="108"/>
      <c r="IJO95" s="108"/>
      <c r="IJP95" s="108"/>
      <c r="IJQ95" s="108"/>
      <c r="IJR95" s="108"/>
      <c r="IJS95" s="108"/>
      <c r="IJT95" s="108"/>
      <c r="IJU95" s="108"/>
      <c r="IJV95" s="108"/>
      <c r="IJW95" s="108"/>
      <c r="IJX95" s="108"/>
      <c r="IJY95" s="108"/>
      <c r="IJZ95" s="108"/>
      <c r="IKA95" s="108"/>
      <c r="IKB95" s="108"/>
      <c r="IKC95" s="108"/>
      <c r="IKD95" s="108"/>
      <c r="IKE95" s="108"/>
      <c r="IKF95" s="108"/>
      <c r="IKG95" s="108"/>
      <c r="IKH95" s="108"/>
      <c r="IKI95" s="108"/>
      <c r="IKJ95" s="108"/>
      <c r="IKK95" s="108"/>
      <c r="IKL95" s="108"/>
      <c r="IKM95" s="108"/>
      <c r="IKN95" s="108"/>
      <c r="IKO95" s="108"/>
      <c r="IKP95" s="108"/>
      <c r="IKQ95" s="108"/>
      <c r="IKR95" s="108"/>
      <c r="IKS95" s="108"/>
      <c r="IKT95" s="108"/>
      <c r="IKU95" s="108"/>
      <c r="IKV95" s="108"/>
      <c r="IKW95" s="108"/>
      <c r="IKX95" s="108"/>
      <c r="IKY95" s="108"/>
      <c r="IKZ95" s="108"/>
      <c r="ILA95" s="108"/>
      <c r="ILB95" s="108"/>
      <c r="ILC95" s="108"/>
      <c r="ILD95" s="108"/>
      <c r="ILE95" s="108"/>
      <c r="ILF95" s="108"/>
      <c r="ILG95" s="108"/>
      <c r="ILH95" s="108"/>
      <c r="ILI95" s="108"/>
      <c r="ILJ95" s="108"/>
      <c r="ILK95" s="108"/>
      <c r="ILL95" s="108"/>
      <c r="ILM95" s="108"/>
      <c r="ILN95" s="108"/>
      <c r="ILO95" s="108"/>
      <c r="ILP95" s="108"/>
      <c r="ILQ95" s="108"/>
      <c r="ILR95" s="108"/>
      <c r="ILS95" s="108"/>
      <c r="ILT95" s="108"/>
      <c r="ILU95" s="108"/>
      <c r="ILV95" s="108"/>
      <c r="ILW95" s="108"/>
      <c r="ILX95" s="108"/>
      <c r="ILY95" s="108"/>
      <c r="ILZ95" s="108"/>
      <c r="IMA95" s="108"/>
      <c r="IMB95" s="108"/>
      <c r="IMC95" s="108"/>
      <c r="IMD95" s="108"/>
      <c r="IME95" s="108"/>
      <c r="IMF95" s="108"/>
      <c r="IMG95" s="108"/>
      <c r="IMH95" s="108"/>
      <c r="IMI95" s="108"/>
      <c r="IMJ95" s="108"/>
      <c r="IMK95" s="108"/>
      <c r="IML95" s="108"/>
      <c r="IMM95" s="108"/>
      <c r="IMN95" s="108"/>
      <c r="IMO95" s="108"/>
      <c r="IMP95" s="108"/>
      <c r="IMQ95" s="108"/>
      <c r="IMR95" s="108"/>
      <c r="IMS95" s="108"/>
      <c r="IMT95" s="108"/>
      <c r="IMU95" s="108"/>
      <c r="IMV95" s="108"/>
      <c r="IMW95" s="108"/>
      <c r="IMX95" s="108"/>
      <c r="IMY95" s="108"/>
      <c r="IMZ95" s="108"/>
      <c r="INA95" s="108"/>
      <c r="INB95" s="108"/>
      <c r="INC95" s="108"/>
      <c r="IND95" s="108"/>
      <c r="INE95" s="108"/>
      <c r="INF95" s="108"/>
      <c r="ING95" s="108"/>
      <c r="INH95" s="108"/>
      <c r="INI95" s="108"/>
      <c r="INJ95" s="108"/>
      <c r="INK95" s="108"/>
      <c r="INL95" s="108"/>
      <c r="INM95" s="108"/>
      <c r="INN95" s="108"/>
      <c r="INO95" s="108"/>
      <c r="INP95" s="108"/>
      <c r="INQ95" s="108"/>
      <c r="INR95" s="108"/>
      <c r="INS95" s="108"/>
      <c r="INT95" s="108"/>
      <c r="INU95" s="108"/>
      <c r="INV95" s="108"/>
      <c r="INW95" s="108"/>
      <c r="INX95" s="108"/>
      <c r="INY95" s="108"/>
      <c r="INZ95" s="108"/>
      <c r="IOA95" s="108"/>
      <c r="IOB95" s="108"/>
      <c r="IOC95" s="108"/>
      <c r="IOD95" s="108"/>
      <c r="IOE95" s="108"/>
      <c r="IOF95" s="108"/>
      <c r="IOG95" s="108"/>
      <c r="IOH95" s="108"/>
      <c r="IOI95" s="108"/>
      <c r="IOJ95" s="108"/>
      <c r="IOK95" s="108"/>
      <c r="IOL95" s="108"/>
      <c r="IOM95" s="108"/>
      <c r="ION95" s="108"/>
      <c r="IOO95" s="108"/>
      <c r="IOP95" s="108"/>
      <c r="IOQ95" s="108"/>
      <c r="IOR95" s="108"/>
      <c r="IOS95" s="108"/>
      <c r="IOT95" s="108"/>
      <c r="IOU95" s="108"/>
      <c r="IOV95" s="108"/>
      <c r="IOW95" s="108"/>
      <c r="IOX95" s="108"/>
      <c r="IOY95" s="108"/>
      <c r="IOZ95" s="108"/>
      <c r="IPA95" s="108"/>
      <c r="IPB95" s="108"/>
      <c r="IPC95" s="108"/>
      <c r="IPD95" s="108"/>
      <c r="IPE95" s="108"/>
      <c r="IPF95" s="108"/>
      <c r="IPG95" s="108"/>
      <c r="IPH95" s="108"/>
      <c r="IPI95" s="108"/>
      <c r="IPJ95" s="108"/>
      <c r="IPK95" s="108"/>
      <c r="IPL95" s="108"/>
      <c r="IPM95" s="108"/>
      <c r="IPN95" s="108"/>
      <c r="IPO95" s="108"/>
      <c r="IPP95" s="108"/>
      <c r="IPQ95" s="108"/>
      <c r="IPR95" s="108"/>
      <c r="IPS95" s="108"/>
      <c r="IPT95" s="108"/>
      <c r="IPU95" s="108"/>
      <c r="IPV95" s="108"/>
      <c r="IPW95" s="108"/>
      <c r="IPX95" s="108"/>
      <c r="IPY95" s="108"/>
      <c r="IPZ95" s="108"/>
      <c r="IQA95" s="108"/>
      <c r="IQB95" s="108"/>
      <c r="IQC95" s="108"/>
      <c r="IQD95" s="108"/>
      <c r="IQE95" s="108"/>
      <c r="IQF95" s="108"/>
      <c r="IQG95" s="108"/>
      <c r="IQH95" s="108"/>
      <c r="IQI95" s="108"/>
      <c r="IQJ95" s="108"/>
      <c r="IQK95" s="108"/>
      <c r="IQL95" s="108"/>
      <c r="IQM95" s="108"/>
      <c r="IQN95" s="108"/>
      <c r="IQO95" s="108"/>
      <c r="IQP95" s="108"/>
      <c r="IQQ95" s="108"/>
      <c r="IQR95" s="108"/>
      <c r="IQS95" s="108"/>
      <c r="IQT95" s="108"/>
      <c r="IQU95" s="108"/>
      <c r="IQV95" s="108"/>
      <c r="IQW95" s="108"/>
      <c r="IQX95" s="108"/>
      <c r="IQY95" s="108"/>
      <c r="IQZ95" s="108"/>
      <c r="IRA95" s="108"/>
      <c r="IRB95" s="108"/>
      <c r="IRC95" s="108"/>
      <c r="IRD95" s="108"/>
      <c r="IRE95" s="108"/>
      <c r="IRF95" s="108"/>
      <c r="IRG95" s="108"/>
      <c r="IRH95" s="108"/>
      <c r="IRI95" s="108"/>
      <c r="IRJ95" s="108"/>
      <c r="IRK95" s="108"/>
      <c r="IRL95" s="108"/>
      <c r="IRM95" s="108"/>
      <c r="IRN95" s="108"/>
      <c r="IRO95" s="108"/>
      <c r="IRP95" s="108"/>
      <c r="IRQ95" s="108"/>
      <c r="IRR95" s="108"/>
      <c r="IRS95" s="108"/>
      <c r="IRT95" s="108"/>
      <c r="IRU95" s="108"/>
      <c r="IRV95" s="108"/>
      <c r="IRW95" s="108"/>
      <c r="IRX95" s="108"/>
      <c r="IRY95" s="108"/>
      <c r="IRZ95" s="108"/>
      <c r="ISA95" s="108"/>
      <c r="ISB95" s="108"/>
      <c r="ISC95" s="108"/>
      <c r="ISD95" s="108"/>
      <c r="ISE95" s="108"/>
      <c r="ISF95" s="108"/>
      <c r="ISG95" s="108"/>
      <c r="ISH95" s="108"/>
      <c r="ISI95" s="108"/>
      <c r="ISJ95" s="108"/>
      <c r="ISK95" s="108"/>
      <c r="ISL95" s="108"/>
      <c r="ISM95" s="108"/>
      <c r="ISN95" s="108"/>
      <c r="ISO95" s="108"/>
      <c r="ISP95" s="108"/>
      <c r="ISQ95" s="108"/>
      <c r="ISR95" s="108"/>
      <c r="ISS95" s="108"/>
      <c r="IST95" s="108"/>
      <c r="ISU95" s="108"/>
      <c r="ISV95" s="108"/>
      <c r="ISW95" s="108"/>
      <c r="ISX95" s="108"/>
      <c r="ISY95" s="108"/>
      <c r="ISZ95" s="108"/>
      <c r="ITA95" s="108"/>
      <c r="ITB95" s="108"/>
      <c r="ITC95" s="108"/>
      <c r="ITD95" s="108"/>
      <c r="ITE95" s="108"/>
      <c r="ITF95" s="108"/>
      <c r="ITG95" s="108"/>
      <c r="ITH95" s="108"/>
      <c r="ITI95" s="108"/>
      <c r="ITJ95" s="108"/>
      <c r="ITK95" s="108"/>
      <c r="ITL95" s="108"/>
      <c r="ITM95" s="108"/>
      <c r="ITN95" s="108"/>
      <c r="ITO95" s="108"/>
      <c r="ITP95" s="108"/>
      <c r="ITQ95" s="108"/>
      <c r="ITR95" s="108"/>
      <c r="ITS95" s="108"/>
      <c r="ITT95" s="108"/>
      <c r="ITU95" s="108"/>
      <c r="ITV95" s="108"/>
      <c r="ITW95" s="108"/>
      <c r="ITX95" s="108"/>
      <c r="ITY95" s="108"/>
      <c r="ITZ95" s="108"/>
      <c r="IUA95" s="108"/>
      <c r="IUB95" s="108"/>
      <c r="IUC95" s="108"/>
      <c r="IUD95" s="108"/>
      <c r="IUE95" s="108"/>
      <c r="IUF95" s="108"/>
      <c r="IUG95" s="108"/>
      <c r="IUH95" s="108"/>
      <c r="IUI95" s="108"/>
      <c r="IUJ95" s="108"/>
      <c r="IUK95" s="108"/>
      <c r="IUL95" s="108"/>
      <c r="IUM95" s="108"/>
      <c r="IUN95" s="108"/>
      <c r="IUO95" s="108"/>
      <c r="IUP95" s="108"/>
      <c r="IUQ95" s="108"/>
      <c r="IUR95" s="108"/>
      <c r="IUS95" s="108"/>
      <c r="IUT95" s="108"/>
      <c r="IUU95" s="108"/>
      <c r="IUV95" s="108"/>
      <c r="IUW95" s="108"/>
      <c r="IUX95" s="108"/>
      <c r="IUY95" s="108"/>
      <c r="IUZ95" s="108"/>
      <c r="IVA95" s="108"/>
      <c r="IVB95" s="108"/>
      <c r="IVC95" s="108"/>
      <c r="IVD95" s="108"/>
      <c r="IVE95" s="108"/>
      <c r="IVF95" s="108"/>
      <c r="IVG95" s="108"/>
      <c r="IVH95" s="108"/>
      <c r="IVI95" s="108"/>
      <c r="IVJ95" s="108"/>
      <c r="IVK95" s="108"/>
      <c r="IVL95" s="108"/>
      <c r="IVM95" s="108"/>
      <c r="IVN95" s="108"/>
      <c r="IVO95" s="108"/>
      <c r="IVP95" s="108"/>
      <c r="IVQ95" s="108"/>
      <c r="IVR95" s="108"/>
      <c r="IVS95" s="108"/>
      <c r="IVT95" s="108"/>
      <c r="IVU95" s="108"/>
      <c r="IVV95" s="108"/>
      <c r="IVW95" s="108"/>
      <c r="IVX95" s="108"/>
      <c r="IVY95" s="108"/>
      <c r="IVZ95" s="108"/>
      <c r="IWA95" s="108"/>
      <c r="IWB95" s="108"/>
      <c r="IWC95" s="108"/>
      <c r="IWD95" s="108"/>
      <c r="IWE95" s="108"/>
      <c r="IWF95" s="108"/>
      <c r="IWG95" s="108"/>
      <c r="IWH95" s="108"/>
      <c r="IWI95" s="108"/>
      <c r="IWJ95" s="108"/>
      <c r="IWK95" s="108"/>
      <c r="IWL95" s="108"/>
      <c r="IWM95" s="108"/>
      <c r="IWN95" s="108"/>
      <c r="IWO95" s="108"/>
      <c r="IWP95" s="108"/>
      <c r="IWQ95" s="108"/>
      <c r="IWR95" s="108"/>
      <c r="IWS95" s="108"/>
      <c r="IWT95" s="108"/>
      <c r="IWU95" s="108"/>
      <c r="IWV95" s="108"/>
      <c r="IWW95" s="108"/>
      <c r="IWX95" s="108"/>
      <c r="IWY95" s="108"/>
      <c r="IWZ95" s="108"/>
      <c r="IXA95" s="108"/>
      <c r="IXB95" s="108"/>
      <c r="IXC95" s="108"/>
      <c r="IXD95" s="108"/>
      <c r="IXE95" s="108"/>
      <c r="IXF95" s="108"/>
      <c r="IXG95" s="108"/>
      <c r="IXH95" s="108"/>
      <c r="IXI95" s="108"/>
      <c r="IXJ95" s="108"/>
      <c r="IXK95" s="108"/>
      <c r="IXL95" s="108"/>
      <c r="IXM95" s="108"/>
      <c r="IXN95" s="108"/>
      <c r="IXO95" s="108"/>
      <c r="IXP95" s="108"/>
      <c r="IXQ95" s="108"/>
      <c r="IXR95" s="108"/>
      <c r="IXS95" s="108"/>
      <c r="IXT95" s="108"/>
      <c r="IXU95" s="108"/>
      <c r="IXV95" s="108"/>
      <c r="IXW95" s="108"/>
      <c r="IXX95" s="108"/>
      <c r="IXY95" s="108"/>
      <c r="IXZ95" s="108"/>
      <c r="IYA95" s="108"/>
      <c r="IYB95" s="108"/>
      <c r="IYC95" s="108"/>
      <c r="IYD95" s="108"/>
      <c r="IYE95" s="108"/>
      <c r="IYF95" s="108"/>
      <c r="IYG95" s="108"/>
      <c r="IYH95" s="108"/>
      <c r="IYI95" s="108"/>
      <c r="IYJ95" s="108"/>
      <c r="IYK95" s="108"/>
      <c r="IYL95" s="108"/>
      <c r="IYM95" s="108"/>
      <c r="IYN95" s="108"/>
      <c r="IYO95" s="108"/>
      <c r="IYP95" s="108"/>
      <c r="IYQ95" s="108"/>
      <c r="IYR95" s="108"/>
      <c r="IYS95" s="108"/>
      <c r="IYT95" s="108"/>
      <c r="IYU95" s="108"/>
      <c r="IYV95" s="108"/>
      <c r="IYW95" s="108"/>
      <c r="IYX95" s="108"/>
      <c r="IYY95" s="108"/>
      <c r="IYZ95" s="108"/>
      <c r="IZA95" s="108"/>
      <c r="IZB95" s="108"/>
      <c r="IZC95" s="108"/>
      <c r="IZD95" s="108"/>
      <c r="IZE95" s="108"/>
      <c r="IZF95" s="108"/>
      <c r="IZG95" s="108"/>
      <c r="IZH95" s="108"/>
      <c r="IZI95" s="108"/>
      <c r="IZJ95" s="108"/>
      <c r="IZK95" s="108"/>
      <c r="IZL95" s="108"/>
      <c r="IZM95" s="108"/>
      <c r="IZN95" s="108"/>
      <c r="IZO95" s="108"/>
      <c r="IZP95" s="108"/>
      <c r="IZQ95" s="108"/>
      <c r="IZR95" s="108"/>
      <c r="IZS95" s="108"/>
      <c r="IZT95" s="108"/>
      <c r="IZU95" s="108"/>
      <c r="IZV95" s="108"/>
      <c r="IZW95" s="108"/>
      <c r="IZX95" s="108"/>
      <c r="IZY95" s="108"/>
      <c r="IZZ95" s="108"/>
      <c r="JAA95" s="108"/>
      <c r="JAB95" s="108"/>
      <c r="JAC95" s="108"/>
      <c r="JAD95" s="108"/>
      <c r="JAE95" s="108"/>
      <c r="JAF95" s="108"/>
      <c r="JAG95" s="108"/>
      <c r="JAH95" s="108"/>
      <c r="JAI95" s="108"/>
      <c r="JAJ95" s="108"/>
      <c r="JAK95" s="108"/>
      <c r="JAL95" s="108"/>
      <c r="JAM95" s="108"/>
      <c r="JAN95" s="108"/>
      <c r="JAO95" s="108"/>
      <c r="JAP95" s="108"/>
      <c r="JAQ95" s="108"/>
      <c r="JAR95" s="108"/>
      <c r="JAS95" s="108"/>
      <c r="JAT95" s="108"/>
      <c r="JAU95" s="108"/>
      <c r="JAV95" s="108"/>
      <c r="JAW95" s="108"/>
      <c r="JAX95" s="108"/>
      <c r="JAY95" s="108"/>
      <c r="JAZ95" s="108"/>
      <c r="JBA95" s="108"/>
      <c r="JBB95" s="108"/>
      <c r="JBC95" s="108"/>
      <c r="JBD95" s="108"/>
      <c r="JBE95" s="108"/>
      <c r="JBF95" s="108"/>
      <c r="JBG95" s="108"/>
      <c r="JBH95" s="108"/>
      <c r="JBI95" s="108"/>
      <c r="JBJ95" s="108"/>
      <c r="JBK95" s="108"/>
      <c r="JBL95" s="108"/>
      <c r="JBM95" s="108"/>
      <c r="JBN95" s="108"/>
      <c r="JBO95" s="108"/>
      <c r="JBP95" s="108"/>
      <c r="JBQ95" s="108"/>
      <c r="JBR95" s="108"/>
      <c r="JBS95" s="108"/>
      <c r="JBT95" s="108"/>
      <c r="JBU95" s="108"/>
      <c r="JBV95" s="108"/>
      <c r="JBW95" s="108"/>
      <c r="JBX95" s="108"/>
      <c r="JBY95" s="108"/>
      <c r="JBZ95" s="108"/>
      <c r="JCA95" s="108"/>
      <c r="JCB95" s="108"/>
      <c r="JCC95" s="108"/>
      <c r="JCD95" s="108"/>
      <c r="JCE95" s="108"/>
      <c r="JCF95" s="108"/>
      <c r="JCG95" s="108"/>
      <c r="JCH95" s="108"/>
      <c r="JCI95" s="108"/>
      <c r="JCJ95" s="108"/>
      <c r="JCK95" s="108"/>
      <c r="JCL95" s="108"/>
      <c r="JCM95" s="108"/>
      <c r="JCN95" s="108"/>
      <c r="JCO95" s="108"/>
      <c r="JCP95" s="108"/>
      <c r="JCQ95" s="108"/>
      <c r="JCR95" s="108"/>
      <c r="JCS95" s="108"/>
      <c r="JCT95" s="108"/>
      <c r="JCU95" s="108"/>
      <c r="JCV95" s="108"/>
      <c r="JCW95" s="108"/>
      <c r="JCX95" s="108"/>
      <c r="JCY95" s="108"/>
      <c r="JCZ95" s="108"/>
      <c r="JDA95" s="108"/>
      <c r="JDB95" s="108"/>
      <c r="JDC95" s="108"/>
      <c r="JDD95" s="108"/>
      <c r="JDE95" s="108"/>
      <c r="JDF95" s="108"/>
      <c r="JDG95" s="108"/>
      <c r="JDH95" s="108"/>
      <c r="JDI95" s="108"/>
      <c r="JDJ95" s="108"/>
      <c r="JDK95" s="108"/>
      <c r="JDL95" s="108"/>
      <c r="JDM95" s="108"/>
      <c r="JDN95" s="108"/>
      <c r="JDO95" s="108"/>
      <c r="JDP95" s="108"/>
      <c r="JDQ95" s="108"/>
      <c r="JDR95" s="108"/>
      <c r="JDS95" s="108"/>
      <c r="JDT95" s="108"/>
      <c r="JDU95" s="108"/>
      <c r="JDV95" s="108"/>
      <c r="JDW95" s="108"/>
      <c r="JDX95" s="108"/>
      <c r="JDY95" s="108"/>
      <c r="JDZ95" s="108"/>
      <c r="JEA95" s="108"/>
      <c r="JEB95" s="108"/>
      <c r="JEC95" s="108"/>
      <c r="JED95" s="108"/>
      <c r="JEE95" s="108"/>
      <c r="JEF95" s="108"/>
      <c r="JEG95" s="108"/>
      <c r="JEH95" s="108"/>
      <c r="JEI95" s="108"/>
      <c r="JEJ95" s="108"/>
      <c r="JEK95" s="108"/>
      <c r="JEL95" s="108"/>
      <c r="JEM95" s="108"/>
      <c r="JEN95" s="108"/>
      <c r="JEO95" s="108"/>
      <c r="JEP95" s="108"/>
      <c r="JEQ95" s="108"/>
      <c r="JER95" s="108"/>
      <c r="JES95" s="108"/>
      <c r="JET95" s="108"/>
      <c r="JEU95" s="108"/>
      <c r="JEV95" s="108"/>
      <c r="JEW95" s="108"/>
      <c r="JEX95" s="108"/>
      <c r="JEY95" s="108"/>
      <c r="JEZ95" s="108"/>
      <c r="JFA95" s="108"/>
      <c r="JFB95" s="108"/>
      <c r="JFC95" s="108"/>
      <c r="JFD95" s="108"/>
      <c r="JFE95" s="108"/>
      <c r="JFF95" s="108"/>
      <c r="JFG95" s="108"/>
      <c r="JFH95" s="108"/>
      <c r="JFI95" s="108"/>
      <c r="JFJ95" s="108"/>
      <c r="JFK95" s="108"/>
      <c r="JFL95" s="108"/>
      <c r="JFM95" s="108"/>
      <c r="JFN95" s="108"/>
      <c r="JFO95" s="108"/>
      <c r="JFP95" s="108"/>
      <c r="JFQ95" s="108"/>
      <c r="JFR95" s="108"/>
      <c r="JFS95" s="108"/>
      <c r="JFT95" s="108"/>
      <c r="JFU95" s="108"/>
      <c r="JFV95" s="108"/>
      <c r="JFW95" s="108"/>
      <c r="JFX95" s="108"/>
      <c r="JFY95" s="108"/>
      <c r="JFZ95" s="108"/>
      <c r="JGA95" s="108"/>
      <c r="JGB95" s="108"/>
      <c r="JGC95" s="108"/>
      <c r="JGD95" s="108"/>
      <c r="JGE95" s="108"/>
      <c r="JGF95" s="108"/>
      <c r="JGG95" s="108"/>
      <c r="JGH95" s="108"/>
      <c r="JGI95" s="108"/>
      <c r="JGJ95" s="108"/>
      <c r="JGK95" s="108"/>
      <c r="JGL95" s="108"/>
      <c r="JGM95" s="108"/>
      <c r="JGN95" s="108"/>
      <c r="JGO95" s="108"/>
      <c r="JGP95" s="108"/>
      <c r="JGQ95" s="108"/>
      <c r="JGR95" s="108"/>
      <c r="JGS95" s="108"/>
      <c r="JGT95" s="108"/>
      <c r="JGU95" s="108"/>
      <c r="JGV95" s="108"/>
      <c r="JGW95" s="108"/>
      <c r="JGX95" s="108"/>
      <c r="JGY95" s="108"/>
      <c r="JGZ95" s="108"/>
      <c r="JHA95" s="108"/>
      <c r="JHB95" s="108"/>
      <c r="JHC95" s="108"/>
      <c r="JHD95" s="108"/>
      <c r="JHE95" s="108"/>
      <c r="JHF95" s="108"/>
      <c r="JHG95" s="108"/>
      <c r="JHH95" s="108"/>
      <c r="JHI95" s="108"/>
      <c r="JHJ95" s="108"/>
      <c r="JHK95" s="108"/>
      <c r="JHL95" s="108"/>
      <c r="JHM95" s="108"/>
      <c r="JHN95" s="108"/>
      <c r="JHO95" s="108"/>
      <c r="JHP95" s="108"/>
      <c r="JHQ95" s="108"/>
      <c r="JHR95" s="108"/>
      <c r="JHS95" s="108"/>
      <c r="JHT95" s="108"/>
      <c r="JHU95" s="108"/>
      <c r="JHV95" s="108"/>
      <c r="JHW95" s="108"/>
      <c r="JHX95" s="108"/>
      <c r="JHY95" s="108"/>
      <c r="JHZ95" s="108"/>
      <c r="JIA95" s="108"/>
      <c r="JIB95" s="108"/>
      <c r="JIC95" s="108"/>
      <c r="JID95" s="108"/>
      <c r="JIE95" s="108"/>
      <c r="JIF95" s="108"/>
      <c r="JIG95" s="108"/>
      <c r="JIH95" s="108"/>
      <c r="JII95" s="108"/>
      <c r="JIJ95" s="108"/>
      <c r="JIK95" s="108"/>
      <c r="JIL95" s="108"/>
      <c r="JIM95" s="108"/>
      <c r="JIN95" s="108"/>
      <c r="JIO95" s="108"/>
      <c r="JIP95" s="108"/>
      <c r="JIQ95" s="108"/>
      <c r="JIR95" s="108"/>
      <c r="JIS95" s="108"/>
      <c r="JIT95" s="108"/>
      <c r="JIU95" s="108"/>
      <c r="JIV95" s="108"/>
      <c r="JIW95" s="108"/>
      <c r="JIX95" s="108"/>
      <c r="JIY95" s="108"/>
      <c r="JIZ95" s="108"/>
      <c r="JJA95" s="108"/>
      <c r="JJB95" s="108"/>
      <c r="JJC95" s="108"/>
      <c r="JJD95" s="108"/>
      <c r="JJE95" s="108"/>
      <c r="JJF95" s="108"/>
      <c r="JJG95" s="108"/>
      <c r="JJH95" s="108"/>
      <c r="JJI95" s="108"/>
      <c r="JJJ95" s="108"/>
      <c r="JJK95" s="108"/>
      <c r="JJL95" s="108"/>
      <c r="JJM95" s="108"/>
      <c r="JJN95" s="108"/>
      <c r="JJO95" s="108"/>
      <c r="JJP95" s="108"/>
      <c r="JJQ95" s="108"/>
      <c r="JJR95" s="108"/>
      <c r="JJS95" s="108"/>
      <c r="JJT95" s="108"/>
      <c r="JJU95" s="108"/>
      <c r="JJV95" s="108"/>
      <c r="JJW95" s="108"/>
      <c r="JJX95" s="108"/>
      <c r="JJY95" s="108"/>
      <c r="JJZ95" s="108"/>
      <c r="JKA95" s="108"/>
      <c r="JKB95" s="108"/>
      <c r="JKC95" s="108"/>
      <c r="JKD95" s="108"/>
      <c r="JKE95" s="108"/>
      <c r="JKF95" s="108"/>
      <c r="JKG95" s="108"/>
      <c r="JKH95" s="108"/>
      <c r="JKI95" s="108"/>
      <c r="JKJ95" s="108"/>
      <c r="JKK95" s="108"/>
      <c r="JKL95" s="108"/>
      <c r="JKM95" s="108"/>
      <c r="JKN95" s="108"/>
      <c r="JKO95" s="108"/>
      <c r="JKP95" s="108"/>
      <c r="JKQ95" s="108"/>
      <c r="JKR95" s="108"/>
      <c r="JKS95" s="108"/>
      <c r="JKT95" s="108"/>
      <c r="JKU95" s="108"/>
      <c r="JKV95" s="108"/>
      <c r="JKW95" s="108"/>
      <c r="JKX95" s="108"/>
      <c r="JKY95" s="108"/>
      <c r="JKZ95" s="108"/>
      <c r="JLA95" s="108"/>
      <c r="JLB95" s="108"/>
      <c r="JLC95" s="108"/>
      <c r="JLD95" s="108"/>
      <c r="JLE95" s="108"/>
      <c r="JLF95" s="108"/>
      <c r="JLG95" s="108"/>
      <c r="JLH95" s="108"/>
      <c r="JLI95" s="108"/>
      <c r="JLJ95" s="108"/>
      <c r="JLK95" s="108"/>
      <c r="JLL95" s="108"/>
      <c r="JLM95" s="108"/>
      <c r="JLN95" s="108"/>
      <c r="JLO95" s="108"/>
      <c r="JLP95" s="108"/>
      <c r="JLQ95" s="108"/>
      <c r="JLR95" s="108"/>
      <c r="JLS95" s="108"/>
      <c r="JLT95" s="108"/>
      <c r="JLU95" s="108"/>
      <c r="JLV95" s="108"/>
      <c r="JLW95" s="108"/>
      <c r="JLX95" s="108"/>
      <c r="JLY95" s="108"/>
      <c r="JLZ95" s="108"/>
      <c r="JMA95" s="108"/>
      <c r="JMB95" s="108"/>
      <c r="JMC95" s="108"/>
      <c r="JMD95" s="108"/>
      <c r="JME95" s="108"/>
      <c r="JMF95" s="108"/>
      <c r="JMG95" s="108"/>
      <c r="JMH95" s="108"/>
      <c r="JMI95" s="108"/>
      <c r="JMJ95" s="108"/>
      <c r="JMK95" s="108"/>
      <c r="JML95" s="108"/>
      <c r="JMM95" s="108"/>
      <c r="JMN95" s="108"/>
      <c r="JMO95" s="108"/>
      <c r="JMP95" s="108"/>
      <c r="JMQ95" s="108"/>
      <c r="JMR95" s="108"/>
      <c r="JMS95" s="108"/>
      <c r="JMT95" s="108"/>
      <c r="JMU95" s="108"/>
      <c r="JMV95" s="108"/>
      <c r="JMW95" s="108"/>
      <c r="JMX95" s="108"/>
      <c r="JMY95" s="108"/>
      <c r="JMZ95" s="108"/>
      <c r="JNA95" s="108"/>
      <c r="JNB95" s="108"/>
      <c r="JNC95" s="108"/>
      <c r="JND95" s="108"/>
      <c r="JNE95" s="108"/>
      <c r="JNF95" s="108"/>
      <c r="JNG95" s="108"/>
      <c r="JNH95" s="108"/>
      <c r="JNI95" s="108"/>
      <c r="JNJ95" s="108"/>
      <c r="JNK95" s="108"/>
      <c r="JNL95" s="108"/>
      <c r="JNM95" s="108"/>
      <c r="JNN95" s="108"/>
      <c r="JNO95" s="108"/>
      <c r="JNP95" s="108"/>
      <c r="JNQ95" s="108"/>
      <c r="JNR95" s="108"/>
      <c r="JNS95" s="108"/>
      <c r="JNT95" s="108"/>
      <c r="JNU95" s="108"/>
      <c r="JNV95" s="108"/>
      <c r="JNW95" s="108"/>
      <c r="JNX95" s="108"/>
      <c r="JNY95" s="108"/>
      <c r="JNZ95" s="108"/>
      <c r="JOA95" s="108"/>
      <c r="JOB95" s="108"/>
      <c r="JOC95" s="108"/>
      <c r="JOD95" s="108"/>
      <c r="JOE95" s="108"/>
      <c r="JOF95" s="108"/>
      <c r="JOG95" s="108"/>
      <c r="JOH95" s="108"/>
      <c r="JOI95" s="108"/>
      <c r="JOJ95" s="108"/>
      <c r="JOK95" s="108"/>
      <c r="JOL95" s="108"/>
      <c r="JOM95" s="108"/>
      <c r="JON95" s="108"/>
      <c r="JOO95" s="108"/>
      <c r="JOP95" s="108"/>
      <c r="JOQ95" s="108"/>
      <c r="JOR95" s="108"/>
      <c r="JOS95" s="108"/>
      <c r="JOT95" s="108"/>
      <c r="JOU95" s="108"/>
      <c r="JOV95" s="108"/>
      <c r="JOW95" s="108"/>
      <c r="JOX95" s="108"/>
      <c r="JOY95" s="108"/>
      <c r="JOZ95" s="108"/>
      <c r="JPA95" s="108"/>
      <c r="JPB95" s="108"/>
      <c r="JPC95" s="108"/>
      <c r="JPD95" s="108"/>
      <c r="JPE95" s="108"/>
      <c r="JPF95" s="108"/>
      <c r="JPG95" s="108"/>
      <c r="JPH95" s="108"/>
      <c r="JPI95" s="108"/>
      <c r="JPJ95" s="108"/>
      <c r="JPK95" s="108"/>
      <c r="JPL95" s="108"/>
      <c r="JPM95" s="108"/>
      <c r="JPN95" s="108"/>
      <c r="JPO95" s="108"/>
      <c r="JPP95" s="108"/>
      <c r="JPQ95" s="108"/>
      <c r="JPR95" s="108"/>
      <c r="JPS95" s="108"/>
      <c r="JPT95" s="108"/>
      <c r="JPU95" s="108"/>
      <c r="JPV95" s="108"/>
      <c r="JPW95" s="108"/>
      <c r="JPX95" s="108"/>
      <c r="JPY95" s="108"/>
      <c r="JPZ95" s="108"/>
      <c r="JQA95" s="108"/>
      <c r="JQB95" s="108"/>
      <c r="JQC95" s="108"/>
      <c r="JQD95" s="108"/>
      <c r="JQE95" s="108"/>
      <c r="JQF95" s="108"/>
      <c r="JQG95" s="108"/>
      <c r="JQH95" s="108"/>
      <c r="JQI95" s="108"/>
      <c r="JQJ95" s="108"/>
      <c r="JQK95" s="108"/>
      <c r="JQL95" s="108"/>
      <c r="JQM95" s="108"/>
      <c r="JQN95" s="108"/>
      <c r="JQO95" s="108"/>
      <c r="JQP95" s="108"/>
      <c r="JQQ95" s="108"/>
      <c r="JQR95" s="108"/>
      <c r="JQS95" s="108"/>
      <c r="JQT95" s="108"/>
      <c r="JQU95" s="108"/>
      <c r="JQV95" s="108"/>
      <c r="JQW95" s="108"/>
      <c r="JQX95" s="108"/>
      <c r="JQY95" s="108"/>
      <c r="JQZ95" s="108"/>
      <c r="JRA95" s="108"/>
      <c r="JRB95" s="108"/>
      <c r="JRC95" s="108"/>
      <c r="JRD95" s="108"/>
      <c r="JRE95" s="108"/>
      <c r="JRF95" s="108"/>
      <c r="JRG95" s="108"/>
      <c r="JRH95" s="108"/>
      <c r="JRI95" s="108"/>
      <c r="JRJ95" s="108"/>
      <c r="JRK95" s="108"/>
      <c r="JRL95" s="108"/>
      <c r="JRM95" s="108"/>
      <c r="JRN95" s="108"/>
      <c r="JRO95" s="108"/>
      <c r="JRP95" s="108"/>
      <c r="JRQ95" s="108"/>
      <c r="JRR95" s="108"/>
      <c r="JRS95" s="108"/>
      <c r="JRT95" s="108"/>
      <c r="JRU95" s="108"/>
      <c r="JRV95" s="108"/>
      <c r="JRW95" s="108"/>
      <c r="JRX95" s="108"/>
      <c r="JRY95" s="108"/>
      <c r="JRZ95" s="108"/>
      <c r="JSA95" s="108"/>
      <c r="JSB95" s="108"/>
      <c r="JSC95" s="108"/>
      <c r="JSD95" s="108"/>
      <c r="JSE95" s="108"/>
      <c r="JSF95" s="108"/>
      <c r="JSG95" s="108"/>
      <c r="JSH95" s="108"/>
      <c r="JSI95" s="108"/>
      <c r="JSJ95" s="108"/>
      <c r="JSK95" s="108"/>
      <c r="JSL95" s="108"/>
      <c r="JSM95" s="108"/>
      <c r="JSN95" s="108"/>
      <c r="JSO95" s="108"/>
      <c r="JSP95" s="108"/>
      <c r="JSQ95" s="108"/>
      <c r="JSR95" s="108"/>
      <c r="JSS95" s="108"/>
      <c r="JST95" s="108"/>
      <c r="JSU95" s="108"/>
      <c r="JSV95" s="108"/>
      <c r="JSW95" s="108"/>
      <c r="JSX95" s="108"/>
      <c r="JSY95" s="108"/>
      <c r="JSZ95" s="108"/>
      <c r="JTA95" s="108"/>
      <c r="JTB95" s="108"/>
      <c r="JTC95" s="108"/>
      <c r="JTD95" s="108"/>
      <c r="JTE95" s="108"/>
      <c r="JTF95" s="108"/>
      <c r="JTG95" s="108"/>
      <c r="JTH95" s="108"/>
      <c r="JTI95" s="108"/>
      <c r="JTJ95" s="108"/>
      <c r="JTK95" s="108"/>
      <c r="JTL95" s="108"/>
      <c r="JTM95" s="108"/>
      <c r="JTN95" s="108"/>
      <c r="JTO95" s="108"/>
      <c r="JTP95" s="108"/>
      <c r="JTQ95" s="108"/>
      <c r="JTR95" s="108"/>
      <c r="JTS95" s="108"/>
      <c r="JTT95" s="108"/>
      <c r="JTU95" s="108"/>
      <c r="JTV95" s="108"/>
      <c r="JTW95" s="108"/>
      <c r="JTX95" s="108"/>
      <c r="JTY95" s="108"/>
      <c r="JTZ95" s="108"/>
      <c r="JUA95" s="108"/>
      <c r="JUB95" s="108"/>
      <c r="JUC95" s="108"/>
      <c r="JUD95" s="108"/>
      <c r="JUE95" s="108"/>
      <c r="JUF95" s="108"/>
      <c r="JUG95" s="108"/>
      <c r="JUH95" s="108"/>
      <c r="JUI95" s="108"/>
      <c r="JUJ95" s="108"/>
      <c r="JUK95" s="108"/>
      <c r="JUL95" s="108"/>
      <c r="JUM95" s="108"/>
      <c r="JUN95" s="108"/>
      <c r="JUO95" s="108"/>
      <c r="JUP95" s="108"/>
      <c r="JUQ95" s="108"/>
      <c r="JUR95" s="108"/>
      <c r="JUS95" s="108"/>
      <c r="JUT95" s="108"/>
      <c r="JUU95" s="108"/>
      <c r="JUV95" s="108"/>
      <c r="JUW95" s="108"/>
      <c r="JUX95" s="108"/>
      <c r="JUY95" s="108"/>
      <c r="JUZ95" s="108"/>
      <c r="JVA95" s="108"/>
      <c r="JVB95" s="108"/>
      <c r="JVC95" s="108"/>
      <c r="JVD95" s="108"/>
      <c r="JVE95" s="108"/>
      <c r="JVF95" s="108"/>
      <c r="JVG95" s="108"/>
      <c r="JVH95" s="108"/>
      <c r="JVI95" s="108"/>
      <c r="JVJ95" s="108"/>
      <c r="JVK95" s="108"/>
      <c r="JVL95" s="108"/>
      <c r="JVM95" s="108"/>
      <c r="JVN95" s="108"/>
      <c r="JVO95" s="108"/>
      <c r="JVP95" s="108"/>
      <c r="JVQ95" s="108"/>
      <c r="JVR95" s="108"/>
      <c r="JVS95" s="108"/>
      <c r="JVT95" s="108"/>
      <c r="JVU95" s="108"/>
      <c r="JVV95" s="108"/>
      <c r="JVW95" s="108"/>
      <c r="JVX95" s="108"/>
      <c r="JVY95" s="108"/>
      <c r="JVZ95" s="108"/>
      <c r="JWA95" s="108"/>
      <c r="JWB95" s="108"/>
      <c r="JWC95" s="108"/>
      <c r="JWD95" s="108"/>
      <c r="JWE95" s="108"/>
      <c r="JWF95" s="108"/>
      <c r="JWG95" s="108"/>
      <c r="JWH95" s="108"/>
      <c r="JWI95" s="108"/>
      <c r="JWJ95" s="108"/>
      <c r="JWK95" s="108"/>
      <c r="JWL95" s="108"/>
      <c r="JWM95" s="108"/>
      <c r="JWN95" s="108"/>
      <c r="JWO95" s="108"/>
      <c r="JWP95" s="108"/>
      <c r="JWQ95" s="108"/>
      <c r="JWR95" s="108"/>
      <c r="JWS95" s="108"/>
      <c r="JWT95" s="108"/>
      <c r="JWU95" s="108"/>
      <c r="JWV95" s="108"/>
      <c r="JWW95" s="108"/>
      <c r="JWX95" s="108"/>
      <c r="JWY95" s="108"/>
      <c r="JWZ95" s="108"/>
      <c r="JXA95" s="108"/>
      <c r="JXB95" s="108"/>
      <c r="JXC95" s="108"/>
      <c r="JXD95" s="108"/>
      <c r="JXE95" s="108"/>
      <c r="JXF95" s="108"/>
      <c r="JXG95" s="108"/>
      <c r="JXH95" s="108"/>
      <c r="JXI95" s="108"/>
      <c r="JXJ95" s="108"/>
      <c r="JXK95" s="108"/>
      <c r="JXL95" s="108"/>
      <c r="JXM95" s="108"/>
      <c r="JXN95" s="108"/>
      <c r="JXO95" s="108"/>
      <c r="JXP95" s="108"/>
      <c r="JXQ95" s="108"/>
      <c r="JXR95" s="108"/>
      <c r="JXS95" s="108"/>
      <c r="JXT95" s="108"/>
      <c r="JXU95" s="108"/>
      <c r="JXV95" s="108"/>
      <c r="JXW95" s="108"/>
      <c r="JXX95" s="108"/>
      <c r="JXY95" s="108"/>
      <c r="JXZ95" s="108"/>
      <c r="JYA95" s="108"/>
      <c r="JYB95" s="108"/>
      <c r="JYC95" s="108"/>
      <c r="JYD95" s="108"/>
      <c r="JYE95" s="108"/>
      <c r="JYF95" s="108"/>
      <c r="JYG95" s="108"/>
      <c r="JYH95" s="108"/>
      <c r="JYI95" s="108"/>
      <c r="JYJ95" s="108"/>
      <c r="JYK95" s="108"/>
      <c r="JYL95" s="108"/>
      <c r="JYM95" s="108"/>
      <c r="JYN95" s="108"/>
      <c r="JYO95" s="108"/>
      <c r="JYP95" s="108"/>
      <c r="JYQ95" s="108"/>
      <c r="JYR95" s="108"/>
      <c r="JYS95" s="108"/>
      <c r="JYT95" s="108"/>
      <c r="JYU95" s="108"/>
      <c r="JYV95" s="108"/>
      <c r="JYW95" s="108"/>
      <c r="JYX95" s="108"/>
      <c r="JYY95" s="108"/>
      <c r="JYZ95" s="108"/>
      <c r="JZA95" s="108"/>
      <c r="JZB95" s="108"/>
      <c r="JZC95" s="108"/>
      <c r="JZD95" s="108"/>
      <c r="JZE95" s="108"/>
      <c r="JZF95" s="108"/>
      <c r="JZG95" s="108"/>
      <c r="JZH95" s="108"/>
      <c r="JZI95" s="108"/>
      <c r="JZJ95" s="108"/>
      <c r="JZK95" s="108"/>
      <c r="JZL95" s="108"/>
      <c r="JZM95" s="108"/>
      <c r="JZN95" s="108"/>
      <c r="JZO95" s="108"/>
      <c r="JZP95" s="108"/>
      <c r="JZQ95" s="108"/>
      <c r="JZR95" s="108"/>
      <c r="JZS95" s="108"/>
      <c r="JZT95" s="108"/>
      <c r="JZU95" s="108"/>
      <c r="JZV95" s="108"/>
      <c r="JZW95" s="108"/>
      <c r="JZX95" s="108"/>
      <c r="JZY95" s="108"/>
      <c r="JZZ95" s="108"/>
      <c r="KAA95" s="108"/>
      <c r="KAB95" s="108"/>
      <c r="KAC95" s="108"/>
      <c r="KAD95" s="108"/>
      <c r="KAE95" s="108"/>
      <c r="KAF95" s="108"/>
      <c r="KAG95" s="108"/>
      <c r="KAH95" s="108"/>
      <c r="KAI95" s="108"/>
      <c r="KAJ95" s="108"/>
      <c r="KAK95" s="108"/>
      <c r="KAL95" s="108"/>
      <c r="KAM95" s="108"/>
      <c r="KAN95" s="108"/>
      <c r="KAO95" s="108"/>
      <c r="KAP95" s="108"/>
      <c r="KAQ95" s="108"/>
      <c r="KAR95" s="108"/>
      <c r="KAS95" s="108"/>
      <c r="KAT95" s="108"/>
      <c r="KAU95" s="108"/>
      <c r="KAV95" s="108"/>
      <c r="KAW95" s="108"/>
      <c r="KAX95" s="108"/>
      <c r="KAY95" s="108"/>
      <c r="KAZ95" s="108"/>
      <c r="KBA95" s="108"/>
      <c r="KBB95" s="108"/>
      <c r="KBC95" s="108"/>
      <c r="KBD95" s="108"/>
      <c r="KBE95" s="108"/>
      <c r="KBF95" s="108"/>
      <c r="KBG95" s="108"/>
      <c r="KBH95" s="108"/>
      <c r="KBI95" s="108"/>
      <c r="KBJ95" s="108"/>
      <c r="KBK95" s="108"/>
      <c r="KBL95" s="108"/>
      <c r="KBM95" s="108"/>
      <c r="KBN95" s="108"/>
      <c r="KBO95" s="108"/>
      <c r="KBP95" s="108"/>
      <c r="KBQ95" s="108"/>
      <c r="KBR95" s="108"/>
      <c r="KBS95" s="108"/>
      <c r="KBT95" s="108"/>
      <c r="KBU95" s="108"/>
      <c r="KBV95" s="108"/>
      <c r="KBW95" s="108"/>
      <c r="KBX95" s="108"/>
      <c r="KBY95" s="108"/>
      <c r="KBZ95" s="108"/>
      <c r="KCA95" s="108"/>
      <c r="KCB95" s="108"/>
      <c r="KCC95" s="108"/>
      <c r="KCD95" s="108"/>
      <c r="KCE95" s="108"/>
      <c r="KCF95" s="108"/>
      <c r="KCG95" s="108"/>
      <c r="KCH95" s="108"/>
      <c r="KCI95" s="108"/>
      <c r="KCJ95" s="108"/>
      <c r="KCK95" s="108"/>
      <c r="KCL95" s="108"/>
      <c r="KCM95" s="108"/>
      <c r="KCN95" s="108"/>
      <c r="KCO95" s="108"/>
      <c r="KCP95" s="108"/>
      <c r="KCQ95" s="108"/>
      <c r="KCR95" s="108"/>
      <c r="KCS95" s="108"/>
      <c r="KCT95" s="108"/>
      <c r="KCU95" s="108"/>
      <c r="KCV95" s="108"/>
      <c r="KCW95" s="108"/>
      <c r="KCX95" s="108"/>
      <c r="KCY95" s="108"/>
      <c r="KCZ95" s="108"/>
      <c r="KDA95" s="108"/>
      <c r="KDB95" s="108"/>
      <c r="KDC95" s="108"/>
      <c r="KDD95" s="108"/>
      <c r="KDE95" s="108"/>
      <c r="KDF95" s="108"/>
      <c r="KDG95" s="108"/>
      <c r="KDH95" s="108"/>
      <c r="KDI95" s="108"/>
      <c r="KDJ95" s="108"/>
      <c r="KDK95" s="108"/>
      <c r="KDL95" s="108"/>
      <c r="KDM95" s="108"/>
      <c r="KDN95" s="108"/>
      <c r="KDO95" s="108"/>
      <c r="KDP95" s="108"/>
      <c r="KDQ95" s="108"/>
      <c r="KDR95" s="108"/>
      <c r="KDS95" s="108"/>
      <c r="KDT95" s="108"/>
      <c r="KDU95" s="108"/>
      <c r="KDV95" s="108"/>
      <c r="KDW95" s="108"/>
      <c r="KDX95" s="108"/>
      <c r="KDY95" s="108"/>
      <c r="KDZ95" s="108"/>
      <c r="KEA95" s="108"/>
      <c r="KEB95" s="108"/>
      <c r="KEC95" s="108"/>
      <c r="KED95" s="108"/>
      <c r="KEE95" s="108"/>
      <c r="KEF95" s="108"/>
      <c r="KEG95" s="108"/>
      <c r="KEH95" s="108"/>
      <c r="KEI95" s="108"/>
      <c r="KEJ95" s="108"/>
      <c r="KEK95" s="108"/>
      <c r="KEL95" s="108"/>
      <c r="KEM95" s="108"/>
      <c r="KEN95" s="108"/>
      <c r="KEO95" s="108"/>
      <c r="KEP95" s="108"/>
      <c r="KEQ95" s="108"/>
      <c r="KER95" s="108"/>
      <c r="KES95" s="108"/>
      <c r="KET95" s="108"/>
      <c r="KEU95" s="108"/>
      <c r="KEV95" s="108"/>
      <c r="KEW95" s="108"/>
      <c r="KEX95" s="108"/>
      <c r="KEY95" s="108"/>
      <c r="KEZ95" s="108"/>
      <c r="KFA95" s="108"/>
      <c r="KFB95" s="108"/>
      <c r="KFC95" s="108"/>
      <c r="KFD95" s="108"/>
      <c r="KFE95" s="108"/>
      <c r="KFF95" s="108"/>
      <c r="KFG95" s="108"/>
      <c r="KFH95" s="108"/>
      <c r="KFI95" s="108"/>
      <c r="KFJ95" s="108"/>
      <c r="KFK95" s="108"/>
      <c r="KFL95" s="108"/>
      <c r="KFM95" s="108"/>
      <c r="KFN95" s="108"/>
      <c r="KFO95" s="108"/>
      <c r="KFP95" s="108"/>
      <c r="KFQ95" s="108"/>
      <c r="KFR95" s="108"/>
      <c r="KFS95" s="108"/>
      <c r="KFT95" s="108"/>
      <c r="KFU95" s="108"/>
      <c r="KFV95" s="108"/>
      <c r="KFW95" s="108"/>
      <c r="KFX95" s="108"/>
      <c r="KFY95" s="108"/>
      <c r="KFZ95" s="108"/>
      <c r="KGA95" s="108"/>
      <c r="KGB95" s="108"/>
      <c r="KGC95" s="108"/>
      <c r="KGD95" s="108"/>
      <c r="KGE95" s="108"/>
      <c r="KGF95" s="108"/>
      <c r="KGG95" s="108"/>
      <c r="KGH95" s="108"/>
      <c r="KGI95" s="108"/>
      <c r="KGJ95" s="108"/>
      <c r="KGK95" s="108"/>
      <c r="KGL95" s="108"/>
      <c r="KGM95" s="108"/>
      <c r="KGN95" s="108"/>
      <c r="KGO95" s="108"/>
      <c r="KGP95" s="108"/>
      <c r="KGQ95" s="108"/>
      <c r="KGR95" s="108"/>
      <c r="KGS95" s="108"/>
      <c r="KGT95" s="108"/>
      <c r="KGU95" s="108"/>
      <c r="KGV95" s="108"/>
      <c r="KGW95" s="108"/>
      <c r="KGX95" s="108"/>
      <c r="KGY95" s="108"/>
      <c r="KGZ95" s="108"/>
      <c r="KHA95" s="108"/>
      <c r="KHB95" s="108"/>
      <c r="KHC95" s="108"/>
      <c r="KHD95" s="108"/>
      <c r="KHE95" s="108"/>
      <c r="KHF95" s="108"/>
      <c r="KHG95" s="108"/>
      <c r="KHH95" s="108"/>
      <c r="KHI95" s="108"/>
      <c r="KHJ95" s="108"/>
      <c r="KHK95" s="108"/>
      <c r="KHL95" s="108"/>
      <c r="KHM95" s="108"/>
      <c r="KHN95" s="108"/>
      <c r="KHO95" s="108"/>
      <c r="KHP95" s="108"/>
      <c r="KHQ95" s="108"/>
      <c r="KHR95" s="108"/>
      <c r="KHS95" s="108"/>
      <c r="KHT95" s="108"/>
      <c r="KHU95" s="108"/>
      <c r="KHV95" s="108"/>
      <c r="KHW95" s="108"/>
      <c r="KHX95" s="108"/>
      <c r="KHY95" s="108"/>
      <c r="KHZ95" s="108"/>
      <c r="KIA95" s="108"/>
      <c r="KIB95" s="108"/>
      <c r="KIC95" s="108"/>
      <c r="KID95" s="108"/>
      <c r="KIE95" s="108"/>
      <c r="KIF95" s="108"/>
      <c r="KIG95" s="108"/>
      <c r="KIH95" s="108"/>
      <c r="KII95" s="108"/>
      <c r="KIJ95" s="108"/>
      <c r="KIK95" s="108"/>
      <c r="KIL95" s="108"/>
      <c r="KIM95" s="108"/>
      <c r="KIN95" s="108"/>
      <c r="KIO95" s="108"/>
      <c r="KIP95" s="108"/>
      <c r="KIQ95" s="108"/>
      <c r="KIR95" s="108"/>
      <c r="KIS95" s="108"/>
      <c r="KIT95" s="108"/>
      <c r="KIU95" s="108"/>
      <c r="KIV95" s="108"/>
      <c r="KIW95" s="108"/>
      <c r="KIX95" s="108"/>
      <c r="KIY95" s="108"/>
      <c r="KIZ95" s="108"/>
      <c r="KJA95" s="108"/>
      <c r="KJB95" s="108"/>
      <c r="KJC95" s="108"/>
      <c r="KJD95" s="108"/>
      <c r="KJE95" s="108"/>
      <c r="KJF95" s="108"/>
      <c r="KJG95" s="108"/>
      <c r="KJH95" s="108"/>
      <c r="KJI95" s="108"/>
      <c r="KJJ95" s="108"/>
      <c r="KJK95" s="108"/>
      <c r="KJL95" s="108"/>
      <c r="KJM95" s="108"/>
      <c r="KJN95" s="108"/>
      <c r="KJO95" s="108"/>
      <c r="KJP95" s="108"/>
      <c r="KJQ95" s="108"/>
      <c r="KJR95" s="108"/>
      <c r="KJS95" s="108"/>
      <c r="KJT95" s="108"/>
      <c r="KJU95" s="108"/>
      <c r="KJV95" s="108"/>
      <c r="KJW95" s="108"/>
      <c r="KJX95" s="108"/>
      <c r="KJY95" s="108"/>
      <c r="KJZ95" s="108"/>
      <c r="KKA95" s="108"/>
      <c r="KKB95" s="108"/>
      <c r="KKC95" s="108"/>
      <c r="KKD95" s="108"/>
      <c r="KKE95" s="108"/>
      <c r="KKF95" s="108"/>
      <c r="KKG95" s="108"/>
      <c r="KKH95" s="108"/>
      <c r="KKI95" s="108"/>
      <c r="KKJ95" s="108"/>
      <c r="KKK95" s="108"/>
      <c r="KKL95" s="108"/>
      <c r="KKM95" s="108"/>
      <c r="KKN95" s="108"/>
      <c r="KKO95" s="108"/>
      <c r="KKP95" s="108"/>
      <c r="KKQ95" s="108"/>
      <c r="KKR95" s="108"/>
      <c r="KKS95" s="108"/>
      <c r="KKT95" s="108"/>
      <c r="KKU95" s="108"/>
      <c r="KKV95" s="108"/>
      <c r="KKW95" s="108"/>
      <c r="KKX95" s="108"/>
      <c r="KKY95" s="108"/>
      <c r="KKZ95" s="108"/>
      <c r="KLA95" s="108"/>
      <c r="KLB95" s="108"/>
      <c r="KLC95" s="108"/>
      <c r="KLD95" s="108"/>
      <c r="KLE95" s="108"/>
      <c r="KLF95" s="108"/>
      <c r="KLG95" s="108"/>
      <c r="KLH95" s="108"/>
      <c r="KLI95" s="108"/>
      <c r="KLJ95" s="108"/>
      <c r="KLK95" s="108"/>
      <c r="KLL95" s="108"/>
      <c r="KLM95" s="108"/>
      <c r="KLN95" s="108"/>
      <c r="KLO95" s="108"/>
      <c r="KLP95" s="108"/>
      <c r="KLQ95" s="108"/>
      <c r="KLR95" s="108"/>
      <c r="KLS95" s="108"/>
      <c r="KLT95" s="108"/>
      <c r="KLU95" s="108"/>
      <c r="KLV95" s="108"/>
      <c r="KLW95" s="108"/>
      <c r="KLX95" s="108"/>
      <c r="KLY95" s="108"/>
      <c r="KLZ95" s="108"/>
      <c r="KMA95" s="108"/>
      <c r="KMB95" s="108"/>
      <c r="KMC95" s="108"/>
      <c r="KMD95" s="108"/>
      <c r="KME95" s="108"/>
      <c r="KMF95" s="108"/>
      <c r="KMG95" s="108"/>
      <c r="KMH95" s="108"/>
      <c r="KMI95" s="108"/>
      <c r="KMJ95" s="108"/>
      <c r="KMK95" s="108"/>
      <c r="KML95" s="108"/>
      <c r="KMM95" s="108"/>
      <c r="KMN95" s="108"/>
      <c r="KMO95" s="108"/>
      <c r="KMP95" s="108"/>
      <c r="KMQ95" s="108"/>
      <c r="KMR95" s="108"/>
      <c r="KMS95" s="108"/>
      <c r="KMT95" s="108"/>
      <c r="KMU95" s="108"/>
      <c r="KMV95" s="108"/>
      <c r="KMW95" s="108"/>
      <c r="KMX95" s="108"/>
      <c r="KMY95" s="108"/>
      <c r="KMZ95" s="108"/>
      <c r="KNA95" s="108"/>
      <c r="KNB95" s="108"/>
      <c r="KNC95" s="108"/>
      <c r="KND95" s="108"/>
      <c r="KNE95" s="108"/>
      <c r="KNF95" s="108"/>
      <c r="KNG95" s="108"/>
      <c r="KNH95" s="108"/>
      <c r="KNI95" s="108"/>
      <c r="KNJ95" s="108"/>
      <c r="KNK95" s="108"/>
      <c r="KNL95" s="108"/>
      <c r="KNM95" s="108"/>
      <c r="KNN95" s="108"/>
      <c r="KNO95" s="108"/>
      <c r="KNP95" s="108"/>
      <c r="KNQ95" s="108"/>
      <c r="KNR95" s="108"/>
      <c r="KNS95" s="108"/>
      <c r="KNT95" s="108"/>
      <c r="KNU95" s="108"/>
      <c r="KNV95" s="108"/>
      <c r="KNW95" s="108"/>
      <c r="KNX95" s="108"/>
      <c r="KNY95" s="108"/>
      <c r="KNZ95" s="108"/>
      <c r="KOA95" s="108"/>
      <c r="KOB95" s="108"/>
      <c r="KOC95" s="108"/>
      <c r="KOD95" s="108"/>
      <c r="KOE95" s="108"/>
      <c r="KOF95" s="108"/>
      <c r="KOG95" s="108"/>
      <c r="KOH95" s="108"/>
      <c r="KOI95" s="108"/>
      <c r="KOJ95" s="108"/>
      <c r="KOK95" s="108"/>
      <c r="KOL95" s="108"/>
      <c r="KOM95" s="108"/>
      <c r="KON95" s="108"/>
      <c r="KOO95" s="108"/>
      <c r="KOP95" s="108"/>
      <c r="KOQ95" s="108"/>
      <c r="KOR95" s="108"/>
      <c r="KOS95" s="108"/>
      <c r="KOT95" s="108"/>
      <c r="KOU95" s="108"/>
      <c r="KOV95" s="108"/>
      <c r="KOW95" s="108"/>
      <c r="KOX95" s="108"/>
      <c r="KOY95" s="108"/>
      <c r="KOZ95" s="108"/>
      <c r="KPA95" s="108"/>
      <c r="KPB95" s="108"/>
      <c r="KPC95" s="108"/>
      <c r="KPD95" s="108"/>
      <c r="KPE95" s="108"/>
      <c r="KPF95" s="108"/>
      <c r="KPG95" s="108"/>
      <c r="KPH95" s="108"/>
      <c r="KPI95" s="108"/>
      <c r="KPJ95" s="108"/>
      <c r="KPK95" s="108"/>
      <c r="KPL95" s="108"/>
      <c r="KPM95" s="108"/>
      <c r="KPN95" s="108"/>
      <c r="KPO95" s="108"/>
      <c r="KPP95" s="108"/>
      <c r="KPQ95" s="108"/>
      <c r="KPR95" s="108"/>
      <c r="KPS95" s="108"/>
      <c r="KPT95" s="108"/>
      <c r="KPU95" s="108"/>
      <c r="KPV95" s="108"/>
      <c r="KPW95" s="108"/>
      <c r="KPX95" s="108"/>
      <c r="KPY95" s="108"/>
      <c r="KPZ95" s="108"/>
      <c r="KQA95" s="108"/>
      <c r="KQB95" s="108"/>
      <c r="KQC95" s="108"/>
      <c r="KQD95" s="108"/>
      <c r="KQE95" s="108"/>
      <c r="KQF95" s="108"/>
      <c r="KQG95" s="108"/>
      <c r="KQH95" s="108"/>
      <c r="KQI95" s="108"/>
      <c r="KQJ95" s="108"/>
      <c r="KQK95" s="108"/>
      <c r="KQL95" s="108"/>
      <c r="KQM95" s="108"/>
      <c r="KQN95" s="108"/>
      <c r="KQO95" s="108"/>
      <c r="KQP95" s="108"/>
      <c r="KQQ95" s="108"/>
      <c r="KQR95" s="108"/>
      <c r="KQS95" s="108"/>
      <c r="KQT95" s="108"/>
      <c r="KQU95" s="108"/>
      <c r="KQV95" s="108"/>
      <c r="KQW95" s="108"/>
      <c r="KQX95" s="108"/>
      <c r="KQY95" s="108"/>
      <c r="KQZ95" s="108"/>
      <c r="KRA95" s="108"/>
      <c r="KRB95" s="108"/>
      <c r="KRC95" s="108"/>
      <c r="KRD95" s="108"/>
      <c r="KRE95" s="108"/>
      <c r="KRF95" s="108"/>
      <c r="KRG95" s="108"/>
      <c r="KRH95" s="108"/>
      <c r="KRI95" s="108"/>
      <c r="KRJ95" s="108"/>
      <c r="KRK95" s="108"/>
      <c r="KRL95" s="108"/>
      <c r="KRM95" s="108"/>
      <c r="KRN95" s="108"/>
      <c r="KRO95" s="108"/>
      <c r="KRP95" s="108"/>
      <c r="KRQ95" s="108"/>
      <c r="KRR95" s="108"/>
      <c r="KRS95" s="108"/>
      <c r="KRT95" s="108"/>
      <c r="KRU95" s="108"/>
      <c r="KRV95" s="108"/>
      <c r="KRW95" s="108"/>
      <c r="KRX95" s="108"/>
      <c r="KRY95" s="108"/>
      <c r="KRZ95" s="108"/>
      <c r="KSA95" s="108"/>
      <c r="KSB95" s="108"/>
      <c r="KSC95" s="108"/>
      <c r="KSD95" s="108"/>
      <c r="KSE95" s="108"/>
      <c r="KSF95" s="108"/>
      <c r="KSG95" s="108"/>
      <c r="KSH95" s="108"/>
      <c r="KSI95" s="108"/>
      <c r="KSJ95" s="108"/>
      <c r="KSK95" s="108"/>
      <c r="KSL95" s="108"/>
      <c r="KSM95" s="108"/>
      <c r="KSN95" s="108"/>
      <c r="KSO95" s="108"/>
      <c r="KSP95" s="108"/>
      <c r="KSQ95" s="108"/>
      <c r="KSR95" s="108"/>
      <c r="KSS95" s="108"/>
      <c r="KST95" s="108"/>
      <c r="KSU95" s="108"/>
      <c r="KSV95" s="108"/>
      <c r="KSW95" s="108"/>
      <c r="KSX95" s="108"/>
      <c r="KSY95" s="108"/>
      <c r="KSZ95" s="108"/>
      <c r="KTA95" s="108"/>
      <c r="KTB95" s="108"/>
      <c r="KTC95" s="108"/>
      <c r="KTD95" s="108"/>
      <c r="KTE95" s="108"/>
      <c r="KTF95" s="108"/>
      <c r="KTG95" s="108"/>
      <c r="KTH95" s="108"/>
      <c r="KTI95" s="108"/>
      <c r="KTJ95" s="108"/>
      <c r="KTK95" s="108"/>
      <c r="KTL95" s="108"/>
      <c r="KTM95" s="108"/>
      <c r="KTN95" s="108"/>
      <c r="KTO95" s="108"/>
      <c r="KTP95" s="108"/>
      <c r="KTQ95" s="108"/>
      <c r="KTR95" s="108"/>
      <c r="KTS95" s="108"/>
      <c r="KTT95" s="108"/>
      <c r="KTU95" s="108"/>
      <c r="KTV95" s="108"/>
      <c r="KTW95" s="108"/>
      <c r="KTX95" s="108"/>
      <c r="KTY95" s="108"/>
      <c r="KTZ95" s="108"/>
      <c r="KUA95" s="108"/>
      <c r="KUB95" s="108"/>
      <c r="KUC95" s="108"/>
      <c r="KUD95" s="108"/>
      <c r="KUE95" s="108"/>
      <c r="KUF95" s="108"/>
      <c r="KUG95" s="108"/>
      <c r="KUH95" s="108"/>
      <c r="KUI95" s="108"/>
      <c r="KUJ95" s="108"/>
      <c r="KUK95" s="108"/>
      <c r="KUL95" s="108"/>
      <c r="KUM95" s="108"/>
      <c r="KUN95" s="108"/>
      <c r="KUO95" s="108"/>
      <c r="KUP95" s="108"/>
      <c r="KUQ95" s="108"/>
      <c r="KUR95" s="108"/>
      <c r="KUS95" s="108"/>
      <c r="KUT95" s="108"/>
      <c r="KUU95" s="108"/>
      <c r="KUV95" s="108"/>
      <c r="KUW95" s="108"/>
      <c r="KUX95" s="108"/>
      <c r="KUY95" s="108"/>
      <c r="KUZ95" s="108"/>
      <c r="KVA95" s="108"/>
      <c r="KVB95" s="108"/>
      <c r="KVC95" s="108"/>
      <c r="KVD95" s="108"/>
      <c r="KVE95" s="108"/>
      <c r="KVF95" s="108"/>
      <c r="KVG95" s="108"/>
      <c r="KVH95" s="108"/>
      <c r="KVI95" s="108"/>
      <c r="KVJ95" s="108"/>
      <c r="KVK95" s="108"/>
      <c r="KVL95" s="108"/>
      <c r="KVM95" s="108"/>
      <c r="KVN95" s="108"/>
      <c r="KVO95" s="108"/>
      <c r="KVP95" s="108"/>
      <c r="KVQ95" s="108"/>
      <c r="KVR95" s="108"/>
      <c r="KVS95" s="108"/>
      <c r="KVT95" s="108"/>
      <c r="KVU95" s="108"/>
      <c r="KVV95" s="108"/>
      <c r="KVW95" s="108"/>
      <c r="KVX95" s="108"/>
      <c r="KVY95" s="108"/>
      <c r="KVZ95" s="108"/>
      <c r="KWA95" s="108"/>
      <c r="KWB95" s="108"/>
      <c r="KWC95" s="108"/>
      <c r="KWD95" s="108"/>
      <c r="KWE95" s="108"/>
      <c r="KWF95" s="108"/>
      <c r="KWG95" s="108"/>
      <c r="KWH95" s="108"/>
      <c r="KWI95" s="108"/>
      <c r="KWJ95" s="108"/>
      <c r="KWK95" s="108"/>
      <c r="KWL95" s="108"/>
      <c r="KWM95" s="108"/>
      <c r="KWN95" s="108"/>
      <c r="KWO95" s="108"/>
      <c r="KWP95" s="108"/>
      <c r="KWQ95" s="108"/>
      <c r="KWR95" s="108"/>
      <c r="KWS95" s="108"/>
      <c r="KWT95" s="108"/>
      <c r="KWU95" s="108"/>
      <c r="KWV95" s="108"/>
      <c r="KWW95" s="108"/>
      <c r="KWX95" s="108"/>
      <c r="KWY95" s="108"/>
      <c r="KWZ95" s="108"/>
      <c r="KXA95" s="108"/>
      <c r="KXB95" s="108"/>
      <c r="KXC95" s="108"/>
      <c r="KXD95" s="108"/>
      <c r="KXE95" s="108"/>
      <c r="KXF95" s="108"/>
      <c r="KXG95" s="108"/>
      <c r="KXH95" s="108"/>
      <c r="KXI95" s="108"/>
      <c r="KXJ95" s="108"/>
      <c r="KXK95" s="108"/>
      <c r="KXL95" s="108"/>
      <c r="KXM95" s="108"/>
      <c r="KXN95" s="108"/>
      <c r="KXO95" s="108"/>
      <c r="KXP95" s="108"/>
      <c r="KXQ95" s="108"/>
      <c r="KXR95" s="108"/>
      <c r="KXS95" s="108"/>
      <c r="KXT95" s="108"/>
      <c r="KXU95" s="108"/>
      <c r="KXV95" s="108"/>
      <c r="KXW95" s="108"/>
      <c r="KXX95" s="108"/>
      <c r="KXY95" s="108"/>
      <c r="KXZ95" s="108"/>
      <c r="KYA95" s="108"/>
      <c r="KYB95" s="108"/>
      <c r="KYC95" s="108"/>
      <c r="KYD95" s="108"/>
      <c r="KYE95" s="108"/>
      <c r="KYF95" s="108"/>
      <c r="KYG95" s="108"/>
      <c r="KYH95" s="108"/>
      <c r="KYI95" s="108"/>
      <c r="KYJ95" s="108"/>
      <c r="KYK95" s="108"/>
      <c r="KYL95" s="108"/>
      <c r="KYM95" s="108"/>
      <c r="KYN95" s="108"/>
      <c r="KYO95" s="108"/>
      <c r="KYP95" s="108"/>
      <c r="KYQ95" s="108"/>
      <c r="KYR95" s="108"/>
      <c r="KYS95" s="108"/>
      <c r="KYT95" s="108"/>
      <c r="KYU95" s="108"/>
      <c r="KYV95" s="108"/>
      <c r="KYW95" s="108"/>
      <c r="KYX95" s="108"/>
      <c r="KYY95" s="108"/>
      <c r="KYZ95" s="108"/>
      <c r="KZA95" s="108"/>
      <c r="KZB95" s="108"/>
      <c r="KZC95" s="108"/>
      <c r="KZD95" s="108"/>
      <c r="KZE95" s="108"/>
      <c r="KZF95" s="108"/>
      <c r="KZG95" s="108"/>
      <c r="KZH95" s="108"/>
      <c r="KZI95" s="108"/>
      <c r="KZJ95" s="108"/>
      <c r="KZK95" s="108"/>
      <c r="KZL95" s="108"/>
      <c r="KZM95" s="108"/>
      <c r="KZN95" s="108"/>
      <c r="KZO95" s="108"/>
      <c r="KZP95" s="108"/>
      <c r="KZQ95" s="108"/>
      <c r="KZR95" s="108"/>
      <c r="KZS95" s="108"/>
      <c r="KZT95" s="108"/>
      <c r="KZU95" s="108"/>
      <c r="KZV95" s="108"/>
      <c r="KZW95" s="108"/>
      <c r="KZX95" s="108"/>
      <c r="KZY95" s="108"/>
      <c r="KZZ95" s="108"/>
      <c r="LAA95" s="108"/>
      <c r="LAB95" s="108"/>
      <c r="LAC95" s="108"/>
      <c r="LAD95" s="108"/>
      <c r="LAE95" s="108"/>
      <c r="LAF95" s="108"/>
      <c r="LAG95" s="108"/>
      <c r="LAH95" s="108"/>
      <c r="LAI95" s="108"/>
      <c r="LAJ95" s="108"/>
      <c r="LAK95" s="108"/>
      <c r="LAL95" s="108"/>
      <c r="LAM95" s="108"/>
      <c r="LAN95" s="108"/>
      <c r="LAO95" s="108"/>
      <c r="LAP95" s="108"/>
      <c r="LAQ95" s="108"/>
      <c r="LAR95" s="108"/>
      <c r="LAS95" s="108"/>
      <c r="LAT95" s="108"/>
      <c r="LAU95" s="108"/>
      <c r="LAV95" s="108"/>
      <c r="LAW95" s="108"/>
      <c r="LAX95" s="108"/>
      <c r="LAY95" s="108"/>
      <c r="LAZ95" s="108"/>
      <c r="LBA95" s="108"/>
      <c r="LBB95" s="108"/>
      <c r="LBC95" s="108"/>
      <c r="LBD95" s="108"/>
      <c r="LBE95" s="108"/>
      <c r="LBF95" s="108"/>
      <c r="LBG95" s="108"/>
      <c r="LBH95" s="108"/>
      <c r="LBI95" s="108"/>
      <c r="LBJ95" s="108"/>
      <c r="LBK95" s="108"/>
      <c r="LBL95" s="108"/>
      <c r="LBM95" s="108"/>
      <c r="LBN95" s="108"/>
      <c r="LBO95" s="108"/>
      <c r="LBP95" s="108"/>
      <c r="LBQ95" s="108"/>
      <c r="LBR95" s="108"/>
      <c r="LBS95" s="108"/>
      <c r="LBT95" s="108"/>
      <c r="LBU95" s="108"/>
      <c r="LBV95" s="108"/>
      <c r="LBW95" s="108"/>
      <c r="LBX95" s="108"/>
      <c r="LBY95" s="108"/>
      <c r="LBZ95" s="108"/>
      <c r="LCA95" s="108"/>
      <c r="LCB95" s="108"/>
      <c r="LCC95" s="108"/>
      <c r="LCD95" s="108"/>
      <c r="LCE95" s="108"/>
      <c r="LCF95" s="108"/>
      <c r="LCG95" s="108"/>
      <c r="LCH95" s="108"/>
      <c r="LCI95" s="108"/>
      <c r="LCJ95" s="108"/>
      <c r="LCK95" s="108"/>
      <c r="LCL95" s="108"/>
      <c r="LCM95" s="108"/>
      <c r="LCN95" s="108"/>
      <c r="LCO95" s="108"/>
      <c r="LCP95" s="108"/>
      <c r="LCQ95" s="108"/>
      <c r="LCR95" s="108"/>
      <c r="LCS95" s="108"/>
      <c r="LCT95" s="108"/>
      <c r="LCU95" s="108"/>
      <c r="LCV95" s="108"/>
      <c r="LCW95" s="108"/>
      <c r="LCX95" s="108"/>
      <c r="LCY95" s="108"/>
      <c r="LCZ95" s="108"/>
      <c r="LDA95" s="108"/>
      <c r="LDB95" s="108"/>
      <c r="LDC95" s="108"/>
      <c r="LDD95" s="108"/>
      <c r="LDE95" s="108"/>
      <c r="LDF95" s="108"/>
      <c r="LDG95" s="108"/>
      <c r="LDH95" s="108"/>
      <c r="LDI95" s="108"/>
      <c r="LDJ95" s="108"/>
      <c r="LDK95" s="108"/>
      <c r="LDL95" s="108"/>
      <c r="LDM95" s="108"/>
      <c r="LDN95" s="108"/>
      <c r="LDO95" s="108"/>
      <c r="LDP95" s="108"/>
      <c r="LDQ95" s="108"/>
      <c r="LDR95" s="108"/>
      <c r="LDS95" s="108"/>
      <c r="LDT95" s="108"/>
      <c r="LDU95" s="108"/>
      <c r="LDV95" s="108"/>
      <c r="LDW95" s="108"/>
      <c r="LDX95" s="108"/>
      <c r="LDY95" s="108"/>
      <c r="LDZ95" s="108"/>
      <c r="LEA95" s="108"/>
      <c r="LEB95" s="108"/>
      <c r="LEC95" s="108"/>
      <c r="LED95" s="108"/>
      <c r="LEE95" s="108"/>
      <c r="LEF95" s="108"/>
      <c r="LEG95" s="108"/>
      <c r="LEH95" s="108"/>
      <c r="LEI95" s="108"/>
      <c r="LEJ95" s="108"/>
      <c r="LEK95" s="108"/>
      <c r="LEL95" s="108"/>
      <c r="LEM95" s="108"/>
      <c r="LEN95" s="108"/>
      <c r="LEO95" s="108"/>
      <c r="LEP95" s="108"/>
      <c r="LEQ95" s="108"/>
      <c r="LER95" s="108"/>
      <c r="LES95" s="108"/>
      <c r="LET95" s="108"/>
      <c r="LEU95" s="108"/>
      <c r="LEV95" s="108"/>
      <c r="LEW95" s="108"/>
      <c r="LEX95" s="108"/>
      <c r="LEY95" s="108"/>
      <c r="LEZ95" s="108"/>
      <c r="LFA95" s="108"/>
      <c r="LFB95" s="108"/>
      <c r="LFC95" s="108"/>
      <c r="LFD95" s="108"/>
      <c r="LFE95" s="108"/>
      <c r="LFF95" s="108"/>
      <c r="LFG95" s="108"/>
      <c r="LFH95" s="108"/>
      <c r="LFI95" s="108"/>
      <c r="LFJ95" s="108"/>
      <c r="LFK95" s="108"/>
      <c r="LFL95" s="108"/>
      <c r="LFM95" s="108"/>
      <c r="LFN95" s="108"/>
      <c r="LFO95" s="108"/>
      <c r="LFP95" s="108"/>
      <c r="LFQ95" s="108"/>
      <c r="LFR95" s="108"/>
      <c r="LFS95" s="108"/>
      <c r="LFT95" s="108"/>
      <c r="LFU95" s="108"/>
      <c r="LFV95" s="108"/>
      <c r="LFW95" s="108"/>
      <c r="LFX95" s="108"/>
      <c r="LFY95" s="108"/>
      <c r="LFZ95" s="108"/>
      <c r="LGA95" s="108"/>
      <c r="LGB95" s="108"/>
      <c r="LGC95" s="108"/>
      <c r="LGD95" s="108"/>
      <c r="LGE95" s="108"/>
      <c r="LGF95" s="108"/>
      <c r="LGG95" s="108"/>
      <c r="LGH95" s="108"/>
      <c r="LGI95" s="108"/>
      <c r="LGJ95" s="108"/>
      <c r="LGK95" s="108"/>
      <c r="LGL95" s="108"/>
      <c r="LGM95" s="108"/>
      <c r="LGN95" s="108"/>
      <c r="LGO95" s="108"/>
      <c r="LGP95" s="108"/>
      <c r="LGQ95" s="108"/>
      <c r="LGR95" s="108"/>
      <c r="LGS95" s="108"/>
      <c r="LGT95" s="108"/>
      <c r="LGU95" s="108"/>
      <c r="LGV95" s="108"/>
      <c r="LGW95" s="108"/>
      <c r="LGX95" s="108"/>
      <c r="LGY95" s="108"/>
      <c r="LGZ95" s="108"/>
      <c r="LHA95" s="108"/>
      <c r="LHB95" s="108"/>
      <c r="LHC95" s="108"/>
      <c r="LHD95" s="108"/>
      <c r="LHE95" s="108"/>
      <c r="LHF95" s="108"/>
      <c r="LHG95" s="108"/>
      <c r="LHH95" s="108"/>
      <c r="LHI95" s="108"/>
      <c r="LHJ95" s="108"/>
      <c r="LHK95" s="108"/>
      <c r="LHL95" s="108"/>
      <c r="LHM95" s="108"/>
      <c r="LHN95" s="108"/>
      <c r="LHO95" s="108"/>
      <c r="LHP95" s="108"/>
      <c r="LHQ95" s="108"/>
      <c r="LHR95" s="108"/>
      <c r="LHS95" s="108"/>
      <c r="LHT95" s="108"/>
      <c r="LHU95" s="108"/>
      <c r="LHV95" s="108"/>
      <c r="LHW95" s="108"/>
      <c r="LHX95" s="108"/>
      <c r="LHY95" s="108"/>
      <c r="LHZ95" s="108"/>
      <c r="LIA95" s="108"/>
      <c r="LIB95" s="108"/>
      <c r="LIC95" s="108"/>
      <c r="LID95" s="108"/>
      <c r="LIE95" s="108"/>
      <c r="LIF95" s="108"/>
      <c r="LIG95" s="108"/>
      <c r="LIH95" s="108"/>
      <c r="LII95" s="108"/>
      <c r="LIJ95" s="108"/>
      <c r="LIK95" s="108"/>
      <c r="LIL95" s="108"/>
      <c r="LIM95" s="108"/>
      <c r="LIN95" s="108"/>
      <c r="LIO95" s="108"/>
      <c r="LIP95" s="108"/>
      <c r="LIQ95" s="108"/>
      <c r="LIR95" s="108"/>
      <c r="LIS95" s="108"/>
      <c r="LIT95" s="108"/>
      <c r="LIU95" s="108"/>
      <c r="LIV95" s="108"/>
      <c r="LIW95" s="108"/>
      <c r="LIX95" s="108"/>
      <c r="LIY95" s="108"/>
      <c r="LIZ95" s="108"/>
      <c r="LJA95" s="108"/>
      <c r="LJB95" s="108"/>
      <c r="LJC95" s="108"/>
      <c r="LJD95" s="108"/>
      <c r="LJE95" s="108"/>
      <c r="LJF95" s="108"/>
      <c r="LJG95" s="108"/>
      <c r="LJH95" s="108"/>
      <c r="LJI95" s="108"/>
      <c r="LJJ95" s="108"/>
      <c r="LJK95" s="108"/>
      <c r="LJL95" s="108"/>
      <c r="LJM95" s="108"/>
      <c r="LJN95" s="108"/>
      <c r="LJO95" s="108"/>
      <c r="LJP95" s="108"/>
      <c r="LJQ95" s="108"/>
      <c r="LJR95" s="108"/>
      <c r="LJS95" s="108"/>
      <c r="LJT95" s="108"/>
      <c r="LJU95" s="108"/>
      <c r="LJV95" s="108"/>
      <c r="LJW95" s="108"/>
      <c r="LJX95" s="108"/>
      <c r="LJY95" s="108"/>
      <c r="LJZ95" s="108"/>
      <c r="LKA95" s="108"/>
      <c r="LKB95" s="108"/>
      <c r="LKC95" s="108"/>
      <c r="LKD95" s="108"/>
      <c r="LKE95" s="108"/>
      <c r="LKF95" s="108"/>
      <c r="LKG95" s="108"/>
      <c r="LKH95" s="108"/>
      <c r="LKI95" s="108"/>
      <c r="LKJ95" s="108"/>
      <c r="LKK95" s="108"/>
      <c r="LKL95" s="108"/>
      <c r="LKM95" s="108"/>
      <c r="LKN95" s="108"/>
      <c r="LKO95" s="108"/>
      <c r="LKP95" s="108"/>
      <c r="LKQ95" s="108"/>
      <c r="LKR95" s="108"/>
      <c r="LKS95" s="108"/>
      <c r="LKT95" s="108"/>
      <c r="LKU95" s="108"/>
      <c r="LKV95" s="108"/>
      <c r="LKW95" s="108"/>
      <c r="LKX95" s="108"/>
      <c r="LKY95" s="108"/>
      <c r="LKZ95" s="108"/>
      <c r="LLA95" s="108"/>
      <c r="LLB95" s="108"/>
      <c r="LLC95" s="108"/>
      <c r="LLD95" s="108"/>
      <c r="LLE95" s="108"/>
      <c r="LLF95" s="108"/>
      <c r="LLG95" s="108"/>
      <c r="LLH95" s="108"/>
      <c r="LLI95" s="108"/>
      <c r="LLJ95" s="108"/>
      <c r="LLK95" s="108"/>
      <c r="LLL95" s="108"/>
      <c r="LLM95" s="108"/>
      <c r="LLN95" s="108"/>
      <c r="LLO95" s="108"/>
      <c r="LLP95" s="108"/>
      <c r="LLQ95" s="108"/>
      <c r="LLR95" s="108"/>
      <c r="LLS95" s="108"/>
      <c r="LLT95" s="108"/>
      <c r="LLU95" s="108"/>
      <c r="LLV95" s="108"/>
      <c r="LLW95" s="108"/>
      <c r="LLX95" s="108"/>
      <c r="LLY95" s="108"/>
      <c r="LLZ95" s="108"/>
      <c r="LMA95" s="108"/>
      <c r="LMB95" s="108"/>
      <c r="LMC95" s="108"/>
      <c r="LMD95" s="108"/>
      <c r="LME95" s="108"/>
      <c r="LMF95" s="108"/>
      <c r="LMG95" s="108"/>
      <c r="LMH95" s="108"/>
      <c r="LMI95" s="108"/>
      <c r="LMJ95" s="108"/>
      <c r="LMK95" s="108"/>
      <c r="LML95" s="108"/>
      <c r="LMM95" s="108"/>
      <c r="LMN95" s="108"/>
      <c r="LMO95" s="108"/>
      <c r="LMP95" s="108"/>
      <c r="LMQ95" s="108"/>
      <c r="LMR95" s="108"/>
      <c r="LMS95" s="108"/>
      <c r="LMT95" s="108"/>
      <c r="LMU95" s="108"/>
      <c r="LMV95" s="108"/>
      <c r="LMW95" s="108"/>
      <c r="LMX95" s="108"/>
      <c r="LMY95" s="108"/>
      <c r="LMZ95" s="108"/>
      <c r="LNA95" s="108"/>
      <c r="LNB95" s="108"/>
      <c r="LNC95" s="108"/>
      <c r="LND95" s="108"/>
      <c r="LNE95" s="108"/>
      <c r="LNF95" s="108"/>
      <c r="LNG95" s="108"/>
      <c r="LNH95" s="108"/>
      <c r="LNI95" s="108"/>
      <c r="LNJ95" s="108"/>
      <c r="LNK95" s="108"/>
      <c r="LNL95" s="108"/>
      <c r="LNM95" s="108"/>
      <c r="LNN95" s="108"/>
      <c r="LNO95" s="108"/>
      <c r="LNP95" s="108"/>
      <c r="LNQ95" s="108"/>
      <c r="LNR95" s="108"/>
      <c r="LNS95" s="108"/>
      <c r="LNT95" s="108"/>
      <c r="LNU95" s="108"/>
      <c r="LNV95" s="108"/>
      <c r="LNW95" s="108"/>
      <c r="LNX95" s="108"/>
      <c r="LNY95" s="108"/>
      <c r="LNZ95" s="108"/>
      <c r="LOA95" s="108"/>
      <c r="LOB95" s="108"/>
      <c r="LOC95" s="108"/>
      <c r="LOD95" s="108"/>
      <c r="LOE95" s="108"/>
      <c r="LOF95" s="108"/>
      <c r="LOG95" s="108"/>
      <c r="LOH95" s="108"/>
      <c r="LOI95" s="108"/>
      <c r="LOJ95" s="108"/>
      <c r="LOK95" s="108"/>
      <c r="LOL95" s="108"/>
      <c r="LOM95" s="108"/>
      <c r="LON95" s="108"/>
      <c r="LOO95" s="108"/>
      <c r="LOP95" s="108"/>
      <c r="LOQ95" s="108"/>
      <c r="LOR95" s="108"/>
      <c r="LOS95" s="108"/>
      <c r="LOT95" s="108"/>
      <c r="LOU95" s="108"/>
      <c r="LOV95" s="108"/>
      <c r="LOW95" s="108"/>
      <c r="LOX95" s="108"/>
      <c r="LOY95" s="108"/>
      <c r="LOZ95" s="108"/>
      <c r="LPA95" s="108"/>
      <c r="LPB95" s="108"/>
      <c r="LPC95" s="108"/>
      <c r="LPD95" s="108"/>
      <c r="LPE95" s="108"/>
      <c r="LPF95" s="108"/>
      <c r="LPG95" s="108"/>
      <c r="LPH95" s="108"/>
      <c r="LPI95" s="108"/>
      <c r="LPJ95" s="108"/>
      <c r="LPK95" s="108"/>
      <c r="LPL95" s="108"/>
      <c r="LPM95" s="108"/>
      <c r="LPN95" s="108"/>
      <c r="LPO95" s="108"/>
      <c r="LPP95" s="108"/>
      <c r="LPQ95" s="108"/>
      <c r="LPR95" s="108"/>
      <c r="LPS95" s="108"/>
      <c r="LPT95" s="108"/>
      <c r="LPU95" s="108"/>
      <c r="LPV95" s="108"/>
      <c r="LPW95" s="108"/>
      <c r="LPX95" s="108"/>
      <c r="LPY95" s="108"/>
      <c r="LPZ95" s="108"/>
      <c r="LQA95" s="108"/>
      <c r="LQB95" s="108"/>
      <c r="LQC95" s="108"/>
      <c r="LQD95" s="108"/>
      <c r="LQE95" s="108"/>
      <c r="LQF95" s="108"/>
      <c r="LQG95" s="108"/>
      <c r="LQH95" s="108"/>
      <c r="LQI95" s="108"/>
      <c r="LQJ95" s="108"/>
      <c r="LQK95" s="108"/>
      <c r="LQL95" s="108"/>
      <c r="LQM95" s="108"/>
      <c r="LQN95" s="108"/>
      <c r="LQO95" s="108"/>
      <c r="LQP95" s="108"/>
      <c r="LQQ95" s="108"/>
      <c r="LQR95" s="108"/>
      <c r="LQS95" s="108"/>
      <c r="LQT95" s="108"/>
      <c r="LQU95" s="108"/>
      <c r="LQV95" s="108"/>
      <c r="LQW95" s="108"/>
      <c r="LQX95" s="108"/>
      <c r="LQY95" s="108"/>
      <c r="LQZ95" s="108"/>
      <c r="LRA95" s="108"/>
      <c r="LRB95" s="108"/>
      <c r="LRC95" s="108"/>
      <c r="LRD95" s="108"/>
      <c r="LRE95" s="108"/>
      <c r="LRF95" s="108"/>
      <c r="LRG95" s="108"/>
      <c r="LRH95" s="108"/>
      <c r="LRI95" s="108"/>
      <c r="LRJ95" s="108"/>
      <c r="LRK95" s="108"/>
      <c r="LRL95" s="108"/>
      <c r="LRM95" s="108"/>
      <c r="LRN95" s="108"/>
      <c r="LRO95" s="108"/>
      <c r="LRP95" s="108"/>
      <c r="LRQ95" s="108"/>
      <c r="LRR95" s="108"/>
      <c r="LRS95" s="108"/>
      <c r="LRT95" s="108"/>
      <c r="LRU95" s="108"/>
      <c r="LRV95" s="108"/>
      <c r="LRW95" s="108"/>
      <c r="LRX95" s="108"/>
      <c r="LRY95" s="108"/>
      <c r="LRZ95" s="108"/>
      <c r="LSA95" s="108"/>
      <c r="LSB95" s="108"/>
      <c r="LSC95" s="108"/>
      <c r="LSD95" s="108"/>
      <c r="LSE95" s="108"/>
      <c r="LSF95" s="108"/>
      <c r="LSG95" s="108"/>
      <c r="LSH95" s="108"/>
      <c r="LSI95" s="108"/>
      <c r="LSJ95" s="108"/>
      <c r="LSK95" s="108"/>
      <c r="LSL95" s="108"/>
      <c r="LSM95" s="108"/>
      <c r="LSN95" s="108"/>
      <c r="LSO95" s="108"/>
      <c r="LSP95" s="108"/>
      <c r="LSQ95" s="108"/>
      <c r="LSR95" s="108"/>
      <c r="LSS95" s="108"/>
      <c r="LST95" s="108"/>
      <c r="LSU95" s="108"/>
      <c r="LSV95" s="108"/>
      <c r="LSW95" s="108"/>
      <c r="LSX95" s="108"/>
      <c r="LSY95" s="108"/>
      <c r="LSZ95" s="108"/>
      <c r="LTA95" s="108"/>
      <c r="LTB95" s="108"/>
      <c r="LTC95" s="108"/>
      <c r="LTD95" s="108"/>
      <c r="LTE95" s="108"/>
      <c r="LTF95" s="108"/>
      <c r="LTG95" s="108"/>
      <c r="LTH95" s="108"/>
      <c r="LTI95" s="108"/>
      <c r="LTJ95" s="108"/>
      <c r="LTK95" s="108"/>
      <c r="LTL95" s="108"/>
      <c r="LTM95" s="108"/>
      <c r="LTN95" s="108"/>
      <c r="LTO95" s="108"/>
      <c r="LTP95" s="108"/>
      <c r="LTQ95" s="108"/>
      <c r="LTR95" s="108"/>
      <c r="LTS95" s="108"/>
      <c r="LTT95" s="108"/>
      <c r="LTU95" s="108"/>
      <c r="LTV95" s="108"/>
      <c r="LTW95" s="108"/>
      <c r="LTX95" s="108"/>
      <c r="LTY95" s="108"/>
      <c r="LTZ95" s="108"/>
      <c r="LUA95" s="108"/>
      <c r="LUB95" s="108"/>
      <c r="LUC95" s="108"/>
      <c r="LUD95" s="108"/>
      <c r="LUE95" s="108"/>
      <c r="LUF95" s="108"/>
      <c r="LUG95" s="108"/>
      <c r="LUH95" s="108"/>
      <c r="LUI95" s="108"/>
      <c r="LUJ95" s="108"/>
      <c r="LUK95" s="108"/>
      <c r="LUL95" s="108"/>
      <c r="LUM95" s="108"/>
      <c r="LUN95" s="108"/>
      <c r="LUO95" s="108"/>
      <c r="LUP95" s="108"/>
      <c r="LUQ95" s="108"/>
      <c r="LUR95" s="108"/>
      <c r="LUS95" s="108"/>
      <c r="LUT95" s="108"/>
      <c r="LUU95" s="108"/>
      <c r="LUV95" s="108"/>
      <c r="LUW95" s="108"/>
      <c r="LUX95" s="108"/>
      <c r="LUY95" s="108"/>
      <c r="LUZ95" s="108"/>
      <c r="LVA95" s="108"/>
      <c r="LVB95" s="108"/>
      <c r="LVC95" s="108"/>
      <c r="LVD95" s="108"/>
      <c r="LVE95" s="108"/>
      <c r="LVF95" s="108"/>
      <c r="LVG95" s="108"/>
      <c r="LVH95" s="108"/>
      <c r="LVI95" s="108"/>
      <c r="LVJ95" s="108"/>
      <c r="LVK95" s="108"/>
      <c r="LVL95" s="108"/>
      <c r="LVM95" s="108"/>
      <c r="LVN95" s="108"/>
      <c r="LVO95" s="108"/>
      <c r="LVP95" s="108"/>
      <c r="LVQ95" s="108"/>
      <c r="LVR95" s="108"/>
      <c r="LVS95" s="108"/>
      <c r="LVT95" s="108"/>
      <c r="LVU95" s="108"/>
      <c r="LVV95" s="108"/>
      <c r="LVW95" s="108"/>
      <c r="LVX95" s="108"/>
      <c r="LVY95" s="108"/>
      <c r="LVZ95" s="108"/>
      <c r="LWA95" s="108"/>
      <c r="LWB95" s="108"/>
      <c r="LWC95" s="108"/>
      <c r="LWD95" s="108"/>
      <c r="LWE95" s="108"/>
      <c r="LWF95" s="108"/>
      <c r="LWG95" s="108"/>
      <c r="LWH95" s="108"/>
      <c r="LWI95" s="108"/>
      <c r="LWJ95" s="108"/>
      <c r="LWK95" s="108"/>
      <c r="LWL95" s="108"/>
      <c r="LWM95" s="108"/>
      <c r="LWN95" s="108"/>
      <c r="LWO95" s="108"/>
      <c r="LWP95" s="108"/>
      <c r="LWQ95" s="108"/>
      <c r="LWR95" s="108"/>
      <c r="LWS95" s="108"/>
      <c r="LWT95" s="108"/>
      <c r="LWU95" s="108"/>
      <c r="LWV95" s="108"/>
      <c r="LWW95" s="108"/>
      <c r="LWX95" s="108"/>
      <c r="LWY95" s="108"/>
      <c r="LWZ95" s="108"/>
      <c r="LXA95" s="108"/>
      <c r="LXB95" s="108"/>
      <c r="LXC95" s="108"/>
      <c r="LXD95" s="108"/>
      <c r="LXE95" s="108"/>
      <c r="LXF95" s="108"/>
      <c r="LXG95" s="108"/>
      <c r="LXH95" s="108"/>
      <c r="LXI95" s="108"/>
      <c r="LXJ95" s="108"/>
      <c r="LXK95" s="108"/>
      <c r="LXL95" s="108"/>
      <c r="LXM95" s="108"/>
      <c r="LXN95" s="108"/>
      <c r="LXO95" s="108"/>
      <c r="LXP95" s="108"/>
      <c r="LXQ95" s="108"/>
      <c r="LXR95" s="108"/>
      <c r="LXS95" s="108"/>
      <c r="LXT95" s="108"/>
      <c r="LXU95" s="108"/>
      <c r="LXV95" s="108"/>
      <c r="LXW95" s="108"/>
      <c r="LXX95" s="108"/>
      <c r="LXY95" s="108"/>
      <c r="LXZ95" s="108"/>
      <c r="LYA95" s="108"/>
      <c r="LYB95" s="108"/>
      <c r="LYC95" s="108"/>
      <c r="LYD95" s="108"/>
      <c r="LYE95" s="108"/>
      <c r="LYF95" s="108"/>
      <c r="LYG95" s="108"/>
      <c r="LYH95" s="108"/>
      <c r="LYI95" s="108"/>
      <c r="LYJ95" s="108"/>
      <c r="LYK95" s="108"/>
      <c r="LYL95" s="108"/>
      <c r="LYM95" s="108"/>
      <c r="LYN95" s="108"/>
      <c r="LYO95" s="108"/>
      <c r="LYP95" s="108"/>
      <c r="LYQ95" s="108"/>
      <c r="LYR95" s="108"/>
      <c r="LYS95" s="108"/>
      <c r="LYT95" s="108"/>
      <c r="LYU95" s="108"/>
      <c r="LYV95" s="108"/>
      <c r="LYW95" s="108"/>
      <c r="LYX95" s="108"/>
      <c r="LYY95" s="108"/>
      <c r="LYZ95" s="108"/>
      <c r="LZA95" s="108"/>
      <c r="LZB95" s="108"/>
      <c r="LZC95" s="108"/>
      <c r="LZD95" s="108"/>
      <c r="LZE95" s="108"/>
      <c r="LZF95" s="108"/>
      <c r="LZG95" s="108"/>
      <c r="LZH95" s="108"/>
      <c r="LZI95" s="108"/>
      <c r="LZJ95" s="108"/>
      <c r="LZK95" s="108"/>
      <c r="LZL95" s="108"/>
      <c r="LZM95" s="108"/>
      <c r="LZN95" s="108"/>
      <c r="LZO95" s="108"/>
      <c r="LZP95" s="108"/>
      <c r="LZQ95" s="108"/>
      <c r="LZR95" s="108"/>
      <c r="LZS95" s="108"/>
      <c r="LZT95" s="108"/>
      <c r="LZU95" s="108"/>
      <c r="LZV95" s="108"/>
      <c r="LZW95" s="108"/>
      <c r="LZX95" s="108"/>
      <c r="LZY95" s="108"/>
      <c r="LZZ95" s="108"/>
      <c r="MAA95" s="108"/>
      <c r="MAB95" s="108"/>
      <c r="MAC95" s="108"/>
      <c r="MAD95" s="108"/>
      <c r="MAE95" s="108"/>
      <c r="MAF95" s="108"/>
      <c r="MAG95" s="108"/>
      <c r="MAH95" s="108"/>
      <c r="MAI95" s="108"/>
      <c r="MAJ95" s="108"/>
      <c r="MAK95" s="108"/>
      <c r="MAL95" s="108"/>
      <c r="MAM95" s="108"/>
      <c r="MAN95" s="108"/>
      <c r="MAO95" s="108"/>
      <c r="MAP95" s="108"/>
      <c r="MAQ95" s="108"/>
      <c r="MAR95" s="108"/>
      <c r="MAS95" s="108"/>
      <c r="MAT95" s="108"/>
      <c r="MAU95" s="108"/>
      <c r="MAV95" s="108"/>
      <c r="MAW95" s="108"/>
      <c r="MAX95" s="108"/>
      <c r="MAY95" s="108"/>
      <c r="MAZ95" s="108"/>
      <c r="MBA95" s="108"/>
      <c r="MBB95" s="108"/>
      <c r="MBC95" s="108"/>
      <c r="MBD95" s="108"/>
      <c r="MBE95" s="108"/>
      <c r="MBF95" s="108"/>
      <c r="MBG95" s="108"/>
      <c r="MBH95" s="108"/>
      <c r="MBI95" s="108"/>
      <c r="MBJ95" s="108"/>
      <c r="MBK95" s="108"/>
      <c r="MBL95" s="108"/>
      <c r="MBM95" s="108"/>
      <c r="MBN95" s="108"/>
      <c r="MBO95" s="108"/>
      <c r="MBP95" s="108"/>
      <c r="MBQ95" s="108"/>
      <c r="MBR95" s="108"/>
      <c r="MBS95" s="108"/>
      <c r="MBT95" s="108"/>
      <c r="MBU95" s="108"/>
      <c r="MBV95" s="108"/>
      <c r="MBW95" s="108"/>
      <c r="MBX95" s="108"/>
      <c r="MBY95" s="108"/>
      <c r="MBZ95" s="108"/>
      <c r="MCA95" s="108"/>
      <c r="MCB95" s="108"/>
      <c r="MCC95" s="108"/>
      <c r="MCD95" s="108"/>
      <c r="MCE95" s="108"/>
      <c r="MCF95" s="108"/>
      <c r="MCG95" s="108"/>
      <c r="MCH95" s="108"/>
      <c r="MCI95" s="108"/>
      <c r="MCJ95" s="108"/>
      <c r="MCK95" s="108"/>
      <c r="MCL95" s="108"/>
      <c r="MCM95" s="108"/>
      <c r="MCN95" s="108"/>
      <c r="MCO95" s="108"/>
      <c r="MCP95" s="108"/>
      <c r="MCQ95" s="108"/>
      <c r="MCR95" s="108"/>
      <c r="MCS95" s="108"/>
      <c r="MCT95" s="108"/>
      <c r="MCU95" s="108"/>
      <c r="MCV95" s="108"/>
      <c r="MCW95" s="108"/>
      <c r="MCX95" s="108"/>
      <c r="MCY95" s="108"/>
      <c r="MCZ95" s="108"/>
      <c r="MDA95" s="108"/>
      <c r="MDB95" s="108"/>
      <c r="MDC95" s="108"/>
      <c r="MDD95" s="108"/>
      <c r="MDE95" s="108"/>
      <c r="MDF95" s="108"/>
      <c r="MDG95" s="108"/>
      <c r="MDH95" s="108"/>
      <c r="MDI95" s="108"/>
      <c r="MDJ95" s="108"/>
      <c r="MDK95" s="108"/>
      <c r="MDL95" s="108"/>
      <c r="MDM95" s="108"/>
      <c r="MDN95" s="108"/>
      <c r="MDO95" s="108"/>
      <c r="MDP95" s="108"/>
      <c r="MDQ95" s="108"/>
      <c r="MDR95" s="108"/>
      <c r="MDS95" s="108"/>
      <c r="MDT95" s="108"/>
      <c r="MDU95" s="108"/>
      <c r="MDV95" s="108"/>
      <c r="MDW95" s="108"/>
      <c r="MDX95" s="108"/>
      <c r="MDY95" s="108"/>
      <c r="MDZ95" s="108"/>
      <c r="MEA95" s="108"/>
      <c r="MEB95" s="108"/>
      <c r="MEC95" s="108"/>
      <c r="MED95" s="108"/>
      <c r="MEE95" s="108"/>
      <c r="MEF95" s="108"/>
      <c r="MEG95" s="108"/>
      <c r="MEH95" s="108"/>
      <c r="MEI95" s="108"/>
      <c r="MEJ95" s="108"/>
      <c r="MEK95" s="108"/>
      <c r="MEL95" s="108"/>
      <c r="MEM95" s="108"/>
      <c r="MEN95" s="108"/>
      <c r="MEO95" s="108"/>
      <c r="MEP95" s="108"/>
      <c r="MEQ95" s="108"/>
      <c r="MER95" s="108"/>
      <c r="MES95" s="108"/>
      <c r="MET95" s="108"/>
      <c r="MEU95" s="108"/>
      <c r="MEV95" s="108"/>
      <c r="MEW95" s="108"/>
      <c r="MEX95" s="108"/>
      <c r="MEY95" s="108"/>
      <c r="MEZ95" s="108"/>
      <c r="MFA95" s="108"/>
      <c r="MFB95" s="108"/>
      <c r="MFC95" s="108"/>
      <c r="MFD95" s="108"/>
      <c r="MFE95" s="108"/>
      <c r="MFF95" s="108"/>
      <c r="MFG95" s="108"/>
      <c r="MFH95" s="108"/>
      <c r="MFI95" s="108"/>
      <c r="MFJ95" s="108"/>
      <c r="MFK95" s="108"/>
      <c r="MFL95" s="108"/>
      <c r="MFM95" s="108"/>
      <c r="MFN95" s="108"/>
      <c r="MFO95" s="108"/>
      <c r="MFP95" s="108"/>
      <c r="MFQ95" s="108"/>
      <c r="MFR95" s="108"/>
      <c r="MFS95" s="108"/>
      <c r="MFT95" s="108"/>
      <c r="MFU95" s="108"/>
      <c r="MFV95" s="108"/>
      <c r="MFW95" s="108"/>
      <c r="MFX95" s="108"/>
      <c r="MFY95" s="108"/>
      <c r="MFZ95" s="108"/>
      <c r="MGA95" s="108"/>
      <c r="MGB95" s="108"/>
      <c r="MGC95" s="108"/>
      <c r="MGD95" s="108"/>
      <c r="MGE95" s="108"/>
      <c r="MGF95" s="108"/>
      <c r="MGG95" s="108"/>
      <c r="MGH95" s="108"/>
      <c r="MGI95" s="108"/>
      <c r="MGJ95" s="108"/>
      <c r="MGK95" s="108"/>
      <c r="MGL95" s="108"/>
      <c r="MGM95" s="108"/>
      <c r="MGN95" s="108"/>
      <c r="MGO95" s="108"/>
      <c r="MGP95" s="108"/>
      <c r="MGQ95" s="108"/>
      <c r="MGR95" s="108"/>
      <c r="MGS95" s="108"/>
      <c r="MGT95" s="108"/>
      <c r="MGU95" s="108"/>
      <c r="MGV95" s="108"/>
      <c r="MGW95" s="108"/>
      <c r="MGX95" s="108"/>
      <c r="MGY95" s="108"/>
      <c r="MGZ95" s="108"/>
      <c r="MHA95" s="108"/>
      <c r="MHB95" s="108"/>
      <c r="MHC95" s="108"/>
      <c r="MHD95" s="108"/>
      <c r="MHE95" s="108"/>
      <c r="MHF95" s="108"/>
      <c r="MHG95" s="108"/>
      <c r="MHH95" s="108"/>
      <c r="MHI95" s="108"/>
      <c r="MHJ95" s="108"/>
      <c r="MHK95" s="108"/>
      <c r="MHL95" s="108"/>
      <c r="MHM95" s="108"/>
      <c r="MHN95" s="108"/>
      <c r="MHO95" s="108"/>
      <c r="MHP95" s="108"/>
      <c r="MHQ95" s="108"/>
      <c r="MHR95" s="108"/>
      <c r="MHS95" s="108"/>
      <c r="MHT95" s="108"/>
      <c r="MHU95" s="108"/>
      <c r="MHV95" s="108"/>
      <c r="MHW95" s="108"/>
      <c r="MHX95" s="108"/>
      <c r="MHY95" s="108"/>
      <c r="MHZ95" s="108"/>
      <c r="MIA95" s="108"/>
      <c r="MIB95" s="108"/>
      <c r="MIC95" s="108"/>
      <c r="MID95" s="108"/>
      <c r="MIE95" s="108"/>
      <c r="MIF95" s="108"/>
      <c r="MIG95" s="108"/>
      <c r="MIH95" s="108"/>
      <c r="MII95" s="108"/>
      <c r="MIJ95" s="108"/>
      <c r="MIK95" s="108"/>
      <c r="MIL95" s="108"/>
      <c r="MIM95" s="108"/>
      <c r="MIN95" s="108"/>
      <c r="MIO95" s="108"/>
      <c r="MIP95" s="108"/>
      <c r="MIQ95" s="108"/>
      <c r="MIR95" s="108"/>
      <c r="MIS95" s="108"/>
      <c r="MIT95" s="108"/>
      <c r="MIU95" s="108"/>
      <c r="MIV95" s="108"/>
      <c r="MIW95" s="108"/>
      <c r="MIX95" s="108"/>
      <c r="MIY95" s="108"/>
      <c r="MIZ95" s="108"/>
      <c r="MJA95" s="108"/>
      <c r="MJB95" s="108"/>
      <c r="MJC95" s="108"/>
      <c r="MJD95" s="108"/>
      <c r="MJE95" s="108"/>
      <c r="MJF95" s="108"/>
      <c r="MJG95" s="108"/>
      <c r="MJH95" s="108"/>
      <c r="MJI95" s="108"/>
      <c r="MJJ95" s="108"/>
      <c r="MJK95" s="108"/>
      <c r="MJL95" s="108"/>
      <c r="MJM95" s="108"/>
      <c r="MJN95" s="108"/>
      <c r="MJO95" s="108"/>
      <c r="MJP95" s="108"/>
      <c r="MJQ95" s="108"/>
      <c r="MJR95" s="108"/>
      <c r="MJS95" s="108"/>
      <c r="MJT95" s="108"/>
      <c r="MJU95" s="108"/>
      <c r="MJV95" s="108"/>
      <c r="MJW95" s="108"/>
      <c r="MJX95" s="108"/>
      <c r="MJY95" s="108"/>
      <c r="MJZ95" s="108"/>
      <c r="MKA95" s="108"/>
      <c r="MKB95" s="108"/>
      <c r="MKC95" s="108"/>
      <c r="MKD95" s="108"/>
      <c r="MKE95" s="108"/>
      <c r="MKF95" s="108"/>
      <c r="MKG95" s="108"/>
      <c r="MKH95" s="108"/>
      <c r="MKI95" s="108"/>
      <c r="MKJ95" s="108"/>
      <c r="MKK95" s="108"/>
      <c r="MKL95" s="108"/>
      <c r="MKM95" s="108"/>
      <c r="MKN95" s="108"/>
      <c r="MKO95" s="108"/>
      <c r="MKP95" s="108"/>
      <c r="MKQ95" s="108"/>
      <c r="MKR95" s="108"/>
      <c r="MKS95" s="108"/>
      <c r="MKT95" s="108"/>
      <c r="MKU95" s="108"/>
      <c r="MKV95" s="108"/>
      <c r="MKW95" s="108"/>
      <c r="MKX95" s="108"/>
      <c r="MKY95" s="108"/>
      <c r="MKZ95" s="108"/>
      <c r="MLA95" s="108"/>
      <c r="MLB95" s="108"/>
      <c r="MLC95" s="108"/>
      <c r="MLD95" s="108"/>
      <c r="MLE95" s="108"/>
      <c r="MLF95" s="108"/>
      <c r="MLG95" s="108"/>
      <c r="MLH95" s="108"/>
      <c r="MLI95" s="108"/>
      <c r="MLJ95" s="108"/>
      <c r="MLK95" s="108"/>
      <c r="MLL95" s="108"/>
      <c r="MLM95" s="108"/>
      <c r="MLN95" s="108"/>
      <c r="MLO95" s="108"/>
      <c r="MLP95" s="108"/>
      <c r="MLQ95" s="108"/>
      <c r="MLR95" s="108"/>
      <c r="MLS95" s="108"/>
      <c r="MLT95" s="108"/>
      <c r="MLU95" s="108"/>
      <c r="MLV95" s="108"/>
      <c r="MLW95" s="108"/>
      <c r="MLX95" s="108"/>
      <c r="MLY95" s="108"/>
      <c r="MLZ95" s="108"/>
      <c r="MMA95" s="108"/>
      <c r="MMB95" s="108"/>
      <c r="MMC95" s="108"/>
      <c r="MMD95" s="108"/>
      <c r="MME95" s="108"/>
      <c r="MMF95" s="108"/>
      <c r="MMG95" s="108"/>
      <c r="MMH95" s="108"/>
      <c r="MMI95" s="108"/>
      <c r="MMJ95" s="108"/>
      <c r="MMK95" s="108"/>
      <c r="MML95" s="108"/>
      <c r="MMM95" s="108"/>
      <c r="MMN95" s="108"/>
      <c r="MMO95" s="108"/>
      <c r="MMP95" s="108"/>
      <c r="MMQ95" s="108"/>
      <c r="MMR95" s="108"/>
      <c r="MMS95" s="108"/>
      <c r="MMT95" s="108"/>
      <c r="MMU95" s="108"/>
      <c r="MMV95" s="108"/>
      <c r="MMW95" s="108"/>
      <c r="MMX95" s="108"/>
      <c r="MMY95" s="108"/>
      <c r="MMZ95" s="108"/>
      <c r="MNA95" s="108"/>
      <c r="MNB95" s="108"/>
      <c r="MNC95" s="108"/>
      <c r="MND95" s="108"/>
      <c r="MNE95" s="108"/>
      <c r="MNF95" s="108"/>
      <c r="MNG95" s="108"/>
      <c r="MNH95" s="108"/>
      <c r="MNI95" s="108"/>
      <c r="MNJ95" s="108"/>
      <c r="MNK95" s="108"/>
      <c r="MNL95" s="108"/>
      <c r="MNM95" s="108"/>
      <c r="MNN95" s="108"/>
      <c r="MNO95" s="108"/>
      <c r="MNP95" s="108"/>
      <c r="MNQ95" s="108"/>
      <c r="MNR95" s="108"/>
      <c r="MNS95" s="108"/>
      <c r="MNT95" s="108"/>
      <c r="MNU95" s="108"/>
      <c r="MNV95" s="108"/>
      <c r="MNW95" s="108"/>
      <c r="MNX95" s="108"/>
      <c r="MNY95" s="108"/>
      <c r="MNZ95" s="108"/>
      <c r="MOA95" s="108"/>
      <c r="MOB95" s="108"/>
      <c r="MOC95" s="108"/>
      <c r="MOD95" s="108"/>
      <c r="MOE95" s="108"/>
      <c r="MOF95" s="108"/>
      <c r="MOG95" s="108"/>
      <c r="MOH95" s="108"/>
      <c r="MOI95" s="108"/>
      <c r="MOJ95" s="108"/>
      <c r="MOK95" s="108"/>
      <c r="MOL95" s="108"/>
      <c r="MOM95" s="108"/>
      <c r="MON95" s="108"/>
      <c r="MOO95" s="108"/>
      <c r="MOP95" s="108"/>
      <c r="MOQ95" s="108"/>
      <c r="MOR95" s="108"/>
      <c r="MOS95" s="108"/>
      <c r="MOT95" s="108"/>
      <c r="MOU95" s="108"/>
      <c r="MOV95" s="108"/>
      <c r="MOW95" s="108"/>
      <c r="MOX95" s="108"/>
      <c r="MOY95" s="108"/>
      <c r="MOZ95" s="108"/>
      <c r="MPA95" s="108"/>
      <c r="MPB95" s="108"/>
      <c r="MPC95" s="108"/>
      <c r="MPD95" s="108"/>
      <c r="MPE95" s="108"/>
      <c r="MPF95" s="108"/>
      <c r="MPG95" s="108"/>
      <c r="MPH95" s="108"/>
      <c r="MPI95" s="108"/>
      <c r="MPJ95" s="108"/>
      <c r="MPK95" s="108"/>
      <c r="MPL95" s="108"/>
      <c r="MPM95" s="108"/>
      <c r="MPN95" s="108"/>
      <c r="MPO95" s="108"/>
      <c r="MPP95" s="108"/>
      <c r="MPQ95" s="108"/>
      <c r="MPR95" s="108"/>
      <c r="MPS95" s="108"/>
      <c r="MPT95" s="108"/>
      <c r="MPU95" s="108"/>
      <c r="MPV95" s="108"/>
      <c r="MPW95" s="108"/>
      <c r="MPX95" s="108"/>
      <c r="MPY95" s="108"/>
      <c r="MPZ95" s="108"/>
      <c r="MQA95" s="108"/>
      <c r="MQB95" s="108"/>
      <c r="MQC95" s="108"/>
      <c r="MQD95" s="108"/>
      <c r="MQE95" s="108"/>
      <c r="MQF95" s="108"/>
      <c r="MQG95" s="108"/>
      <c r="MQH95" s="108"/>
      <c r="MQI95" s="108"/>
      <c r="MQJ95" s="108"/>
      <c r="MQK95" s="108"/>
      <c r="MQL95" s="108"/>
      <c r="MQM95" s="108"/>
      <c r="MQN95" s="108"/>
      <c r="MQO95" s="108"/>
      <c r="MQP95" s="108"/>
      <c r="MQQ95" s="108"/>
      <c r="MQR95" s="108"/>
      <c r="MQS95" s="108"/>
      <c r="MQT95" s="108"/>
      <c r="MQU95" s="108"/>
      <c r="MQV95" s="108"/>
      <c r="MQW95" s="108"/>
      <c r="MQX95" s="108"/>
      <c r="MQY95" s="108"/>
      <c r="MQZ95" s="108"/>
      <c r="MRA95" s="108"/>
      <c r="MRB95" s="108"/>
      <c r="MRC95" s="108"/>
      <c r="MRD95" s="108"/>
      <c r="MRE95" s="108"/>
      <c r="MRF95" s="108"/>
      <c r="MRG95" s="108"/>
      <c r="MRH95" s="108"/>
      <c r="MRI95" s="108"/>
      <c r="MRJ95" s="108"/>
      <c r="MRK95" s="108"/>
      <c r="MRL95" s="108"/>
      <c r="MRM95" s="108"/>
      <c r="MRN95" s="108"/>
      <c r="MRO95" s="108"/>
      <c r="MRP95" s="108"/>
      <c r="MRQ95" s="108"/>
      <c r="MRR95" s="108"/>
      <c r="MRS95" s="108"/>
      <c r="MRT95" s="108"/>
      <c r="MRU95" s="108"/>
      <c r="MRV95" s="108"/>
      <c r="MRW95" s="108"/>
      <c r="MRX95" s="108"/>
      <c r="MRY95" s="108"/>
      <c r="MRZ95" s="108"/>
      <c r="MSA95" s="108"/>
      <c r="MSB95" s="108"/>
      <c r="MSC95" s="108"/>
      <c r="MSD95" s="108"/>
      <c r="MSE95" s="108"/>
      <c r="MSF95" s="108"/>
      <c r="MSG95" s="108"/>
      <c r="MSH95" s="108"/>
      <c r="MSI95" s="108"/>
      <c r="MSJ95" s="108"/>
      <c r="MSK95" s="108"/>
      <c r="MSL95" s="108"/>
      <c r="MSM95" s="108"/>
      <c r="MSN95" s="108"/>
      <c r="MSO95" s="108"/>
      <c r="MSP95" s="108"/>
      <c r="MSQ95" s="108"/>
      <c r="MSR95" s="108"/>
      <c r="MSS95" s="108"/>
      <c r="MST95" s="108"/>
      <c r="MSU95" s="108"/>
      <c r="MSV95" s="108"/>
      <c r="MSW95" s="108"/>
      <c r="MSX95" s="108"/>
      <c r="MSY95" s="108"/>
      <c r="MSZ95" s="108"/>
      <c r="MTA95" s="108"/>
      <c r="MTB95" s="108"/>
      <c r="MTC95" s="108"/>
      <c r="MTD95" s="108"/>
      <c r="MTE95" s="108"/>
      <c r="MTF95" s="108"/>
      <c r="MTG95" s="108"/>
      <c r="MTH95" s="108"/>
      <c r="MTI95" s="108"/>
      <c r="MTJ95" s="108"/>
      <c r="MTK95" s="108"/>
      <c r="MTL95" s="108"/>
      <c r="MTM95" s="108"/>
      <c r="MTN95" s="108"/>
      <c r="MTO95" s="108"/>
      <c r="MTP95" s="108"/>
      <c r="MTQ95" s="108"/>
      <c r="MTR95" s="108"/>
      <c r="MTS95" s="108"/>
      <c r="MTT95" s="108"/>
      <c r="MTU95" s="108"/>
      <c r="MTV95" s="108"/>
      <c r="MTW95" s="108"/>
      <c r="MTX95" s="108"/>
      <c r="MTY95" s="108"/>
      <c r="MTZ95" s="108"/>
      <c r="MUA95" s="108"/>
      <c r="MUB95" s="108"/>
      <c r="MUC95" s="108"/>
      <c r="MUD95" s="108"/>
      <c r="MUE95" s="108"/>
      <c r="MUF95" s="108"/>
      <c r="MUG95" s="108"/>
      <c r="MUH95" s="108"/>
      <c r="MUI95" s="108"/>
      <c r="MUJ95" s="108"/>
      <c r="MUK95" s="108"/>
      <c r="MUL95" s="108"/>
      <c r="MUM95" s="108"/>
      <c r="MUN95" s="108"/>
      <c r="MUO95" s="108"/>
      <c r="MUP95" s="108"/>
      <c r="MUQ95" s="108"/>
      <c r="MUR95" s="108"/>
      <c r="MUS95" s="108"/>
      <c r="MUT95" s="108"/>
      <c r="MUU95" s="108"/>
      <c r="MUV95" s="108"/>
      <c r="MUW95" s="108"/>
      <c r="MUX95" s="108"/>
      <c r="MUY95" s="108"/>
      <c r="MUZ95" s="108"/>
      <c r="MVA95" s="108"/>
      <c r="MVB95" s="108"/>
      <c r="MVC95" s="108"/>
      <c r="MVD95" s="108"/>
      <c r="MVE95" s="108"/>
      <c r="MVF95" s="108"/>
      <c r="MVG95" s="108"/>
      <c r="MVH95" s="108"/>
      <c r="MVI95" s="108"/>
      <c r="MVJ95" s="108"/>
      <c r="MVK95" s="108"/>
      <c r="MVL95" s="108"/>
      <c r="MVM95" s="108"/>
      <c r="MVN95" s="108"/>
      <c r="MVO95" s="108"/>
      <c r="MVP95" s="108"/>
      <c r="MVQ95" s="108"/>
      <c r="MVR95" s="108"/>
      <c r="MVS95" s="108"/>
      <c r="MVT95" s="108"/>
      <c r="MVU95" s="108"/>
      <c r="MVV95" s="108"/>
      <c r="MVW95" s="108"/>
      <c r="MVX95" s="108"/>
      <c r="MVY95" s="108"/>
      <c r="MVZ95" s="108"/>
      <c r="MWA95" s="108"/>
      <c r="MWB95" s="108"/>
      <c r="MWC95" s="108"/>
      <c r="MWD95" s="108"/>
      <c r="MWE95" s="108"/>
      <c r="MWF95" s="108"/>
      <c r="MWG95" s="108"/>
      <c r="MWH95" s="108"/>
      <c r="MWI95" s="108"/>
      <c r="MWJ95" s="108"/>
      <c r="MWK95" s="108"/>
      <c r="MWL95" s="108"/>
      <c r="MWM95" s="108"/>
      <c r="MWN95" s="108"/>
      <c r="MWO95" s="108"/>
      <c r="MWP95" s="108"/>
      <c r="MWQ95" s="108"/>
      <c r="MWR95" s="108"/>
      <c r="MWS95" s="108"/>
      <c r="MWT95" s="108"/>
      <c r="MWU95" s="108"/>
      <c r="MWV95" s="108"/>
      <c r="MWW95" s="108"/>
      <c r="MWX95" s="108"/>
      <c r="MWY95" s="108"/>
      <c r="MWZ95" s="108"/>
      <c r="MXA95" s="108"/>
      <c r="MXB95" s="108"/>
      <c r="MXC95" s="108"/>
      <c r="MXD95" s="108"/>
      <c r="MXE95" s="108"/>
      <c r="MXF95" s="108"/>
      <c r="MXG95" s="108"/>
      <c r="MXH95" s="108"/>
      <c r="MXI95" s="108"/>
      <c r="MXJ95" s="108"/>
      <c r="MXK95" s="108"/>
      <c r="MXL95" s="108"/>
      <c r="MXM95" s="108"/>
      <c r="MXN95" s="108"/>
      <c r="MXO95" s="108"/>
      <c r="MXP95" s="108"/>
      <c r="MXQ95" s="108"/>
      <c r="MXR95" s="108"/>
      <c r="MXS95" s="108"/>
      <c r="MXT95" s="108"/>
      <c r="MXU95" s="108"/>
      <c r="MXV95" s="108"/>
      <c r="MXW95" s="108"/>
      <c r="MXX95" s="108"/>
      <c r="MXY95" s="108"/>
      <c r="MXZ95" s="108"/>
      <c r="MYA95" s="108"/>
      <c r="MYB95" s="108"/>
      <c r="MYC95" s="108"/>
      <c r="MYD95" s="108"/>
      <c r="MYE95" s="108"/>
      <c r="MYF95" s="108"/>
      <c r="MYG95" s="108"/>
      <c r="MYH95" s="108"/>
      <c r="MYI95" s="108"/>
      <c r="MYJ95" s="108"/>
      <c r="MYK95" s="108"/>
      <c r="MYL95" s="108"/>
      <c r="MYM95" s="108"/>
      <c r="MYN95" s="108"/>
      <c r="MYO95" s="108"/>
      <c r="MYP95" s="108"/>
      <c r="MYQ95" s="108"/>
      <c r="MYR95" s="108"/>
      <c r="MYS95" s="108"/>
      <c r="MYT95" s="108"/>
      <c r="MYU95" s="108"/>
      <c r="MYV95" s="108"/>
      <c r="MYW95" s="108"/>
      <c r="MYX95" s="108"/>
      <c r="MYY95" s="108"/>
      <c r="MYZ95" s="108"/>
      <c r="MZA95" s="108"/>
      <c r="MZB95" s="108"/>
      <c r="MZC95" s="108"/>
      <c r="MZD95" s="108"/>
      <c r="MZE95" s="108"/>
      <c r="MZF95" s="108"/>
      <c r="MZG95" s="108"/>
      <c r="MZH95" s="108"/>
      <c r="MZI95" s="108"/>
      <c r="MZJ95" s="108"/>
      <c r="MZK95" s="108"/>
      <c r="MZL95" s="108"/>
      <c r="MZM95" s="108"/>
      <c r="MZN95" s="108"/>
      <c r="MZO95" s="108"/>
      <c r="MZP95" s="108"/>
      <c r="MZQ95" s="108"/>
      <c r="MZR95" s="108"/>
      <c r="MZS95" s="108"/>
      <c r="MZT95" s="108"/>
      <c r="MZU95" s="108"/>
      <c r="MZV95" s="108"/>
      <c r="MZW95" s="108"/>
      <c r="MZX95" s="108"/>
      <c r="MZY95" s="108"/>
      <c r="MZZ95" s="108"/>
      <c r="NAA95" s="108"/>
      <c r="NAB95" s="108"/>
      <c r="NAC95" s="108"/>
      <c r="NAD95" s="108"/>
      <c r="NAE95" s="108"/>
      <c r="NAF95" s="108"/>
      <c r="NAG95" s="108"/>
      <c r="NAH95" s="108"/>
      <c r="NAI95" s="108"/>
      <c r="NAJ95" s="108"/>
      <c r="NAK95" s="108"/>
      <c r="NAL95" s="108"/>
      <c r="NAM95" s="108"/>
      <c r="NAN95" s="108"/>
      <c r="NAO95" s="108"/>
      <c r="NAP95" s="108"/>
      <c r="NAQ95" s="108"/>
      <c r="NAR95" s="108"/>
      <c r="NAS95" s="108"/>
      <c r="NAT95" s="108"/>
      <c r="NAU95" s="108"/>
      <c r="NAV95" s="108"/>
      <c r="NAW95" s="108"/>
      <c r="NAX95" s="108"/>
      <c r="NAY95" s="108"/>
      <c r="NAZ95" s="108"/>
      <c r="NBA95" s="108"/>
      <c r="NBB95" s="108"/>
      <c r="NBC95" s="108"/>
      <c r="NBD95" s="108"/>
      <c r="NBE95" s="108"/>
      <c r="NBF95" s="108"/>
      <c r="NBG95" s="108"/>
      <c r="NBH95" s="108"/>
      <c r="NBI95" s="108"/>
      <c r="NBJ95" s="108"/>
      <c r="NBK95" s="108"/>
      <c r="NBL95" s="108"/>
      <c r="NBM95" s="108"/>
      <c r="NBN95" s="108"/>
      <c r="NBO95" s="108"/>
      <c r="NBP95" s="108"/>
      <c r="NBQ95" s="108"/>
      <c r="NBR95" s="108"/>
      <c r="NBS95" s="108"/>
      <c r="NBT95" s="108"/>
      <c r="NBU95" s="108"/>
      <c r="NBV95" s="108"/>
      <c r="NBW95" s="108"/>
      <c r="NBX95" s="108"/>
      <c r="NBY95" s="108"/>
      <c r="NBZ95" s="108"/>
      <c r="NCA95" s="108"/>
      <c r="NCB95" s="108"/>
      <c r="NCC95" s="108"/>
      <c r="NCD95" s="108"/>
      <c r="NCE95" s="108"/>
      <c r="NCF95" s="108"/>
      <c r="NCG95" s="108"/>
      <c r="NCH95" s="108"/>
      <c r="NCI95" s="108"/>
      <c r="NCJ95" s="108"/>
      <c r="NCK95" s="108"/>
      <c r="NCL95" s="108"/>
      <c r="NCM95" s="108"/>
      <c r="NCN95" s="108"/>
      <c r="NCO95" s="108"/>
      <c r="NCP95" s="108"/>
      <c r="NCQ95" s="108"/>
      <c r="NCR95" s="108"/>
      <c r="NCS95" s="108"/>
      <c r="NCT95" s="108"/>
      <c r="NCU95" s="108"/>
      <c r="NCV95" s="108"/>
      <c r="NCW95" s="108"/>
      <c r="NCX95" s="108"/>
      <c r="NCY95" s="108"/>
      <c r="NCZ95" s="108"/>
      <c r="NDA95" s="108"/>
      <c r="NDB95" s="108"/>
      <c r="NDC95" s="108"/>
      <c r="NDD95" s="108"/>
      <c r="NDE95" s="108"/>
      <c r="NDF95" s="108"/>
      <c r="NDG95" s="108"/>
      <c r="NDH95" s="108"/>
      <c r="NDI95" s="108"/>
      <c r="NDJ95" s="108"/>
      <c r="NDK95" s="108"/>
      <c r="NDL95" s="108"/>
      <c r="NDM95" s="108"/>
      <c r="NDN95" s="108"/>
      <c r="NDO95" s="108"/>
      <c r="NDP95" s="108"/>
      <c r="NDQ95" s="108"/>
      <c r="NDR95" s="108"/>
      <c r="NDS95" s="108"/>
      <c r="NDT95" s="108"/>
      <c r="NDU95" s="108"/>
      <c r="NDV95" s="108"/>
      <c r="NDW95" s="108"/>
      <c r="NDX95" s="108"/>
      <c r="NDY95" s="108"/>
      <c r="NDZ95" s="108"/>
      <c r="NEA95" s="108"/>
      <c r="NEB95" s="108"/>
      <c r="NEC95" s="108"/>
      <c r="NED95" s="108"/>
      <c r="NEE95" s="108"/>
      <c r="NEF95" s="108"/>
      <c r="NEG95" s="108"/>
      <c r="NEH95" s="108"/>
      <c r="NEI95" s="108"/>
      <c r="NEJ95" s="108"/>
      <c r="NEK95" s="108"/>
      <c r="NEL95" s="108"/>
      <c r="NEM95" s="108"/>
      <c r="NEN95" s="108"/>
      <c r="NEO95" s="108"/>
      <c r="NEP95" s="108"/>
      <c r="NEQ95" s="108"/>
      <c r="NER95" s="108"/>
      <c r="NES95" s="108"/>
      <c r="NET95" s="108"/>
      <c r="NEU95" s="108"/>
      <c r="NEV95" s="108"/>
      <c r="NEW95" s="108"/>
      <c r="NEX95" s="108"/>
      <c r="NEY95" s="108"/>
      <c r="NEZ95" s="108"/>
      <c r="NFA95" s="108"/>
      <c r="NFB95" s="108"/>
      <c r="NFC95" s="108"/>
      <c r="NFD95" s="108"/>
      <c r="NFE95" s="108"/>
      <c r="NFF95" s="108"/>
      <c r="NFG95" s="108"/>
      <c r="NFH95" s="108"/>
      <c r="NFI95" s="108"/>
      <c r="NFJ95" s="108"/>
      <c r="NFK95" s="108"/>
      <c r="NFL95" s="108"/>
      <c r="NFM95" s="108"/>
      <c r="NFN95" s="108"/>
      <c r="NFO95" s="108"/>
      <c r="NFP95" s="108"/>
      <c r="NFQ95" s="108"/>
      <c r="NFR95" s="108"/>
      <c r="NFS95" s="108"/>
      <c r="NFT95" s="108"/>
      <c r="NFU95" s="108"/>
      <c r="NFV95" s="108"/>
      <c r="NFW95" s="108"/>
      <c r="NFX95" s="108"/>
      <c r="NFY95" s="108"/>
      <c r="NFZ95" s="108"/>
      <c r="NGA95" s="108"/>
      <c r="NGB95" s="108"/>
      <c r="NGC95" s="108"/>
      <c r="NGD95" s="108"/>
      <c r="NGE95" s="108"/>
      <c r="NGF95" s="108"/>
      <c r="NGG95" s="108"/>
      <c r="NGH95" s="108"/>
      <c r="NGI95" s="108"/>
      <c r="NGJ95" s="108"/>
      <c r="NGK95" s="108"/>
      <c r="NGL95" s="108"/>
      <c r="NGM95" s="108"/>
      <c r="NGN95" s="108"/>
      <c r="NGO95" s="108"/>
      <c r="NGP95" s="108"/>
      <c r="NGQ95" s="108"/>
      <c r="NGR95" s="108"/>
      <c r="NGS95" s="108"/>
      <c r="NGT95" s="108"/>
      <c r="NGU95" s="108"/>
      <c r="NGV95" s="108"/>
      <c r="NGW95" s="108"/>
      <c r="NGX95" s="108"/>
      <c r="NGY95" s="108"/>
      <c r="NGZ95" s="108"/>
      <c r="NHA95" s="108"/>
      <c r="NHB95" s="108"/>
      <c r="NHC95" s="108"/>
      <c r="NHD95" s="108"/>
      <c r="NHE95" s="108"/>
      <c r="NHF95" s="108"/>
      <c r="NHG95" s="108"/>
      <c r="NHH95" s="108"/>
      <c r="NHI95" s="108"/>
      <c r="NHJ95" s="108"/>
      <c r="NHK95" s="108"/>
      <c r="NHL95" s="108"/>
      <c r="NHM95" s="108"/>
      <c r="NHN95" s="108"/>
      <c r="NHO95" s="108"/>
      <c r="NHP95" s="108"/>
      <c r="NHQ95" s="108"/>
      <c r="NHR95" s="108"/>
      <c r="NHS95" s="108"/>
      <c r="NHT95" s="108"/>
      <c r="NHU95" s="108"/>
      <c r="NHV95" s="108"/>
      <c r="NHW95" s="108"/>
      <c r="NHX95" s="108"/>
      <c r="NHY95" s="108"/>
      <c r="NHZ95" s="108"/>
      <c r="NIA95" s="108"/>
      <c r="NIB95" s="108"/>
      <c r="NIC95" s="108"/>
      <c r="NID95" s="108"/>
      <c r="NIE95" s="108"/>
      <c r="NIF95" s="108"/>
      <c r="NIG95" s="108"/>
      <c r="NIH95" s="108"/>
      <c r="NII95" s="108"/>
      <c r="NIJ95" s="108"/>
      <c r="NIK95" s="108"/>
      <c r="NIL95" s="108"/>
      <c r="NIM95" s="108"/>
      <c r="NIN95" s="108"/>
      <c r="NIO95" s="108"/>
      <c r="NIP95" s="108"/>
      <c r="NIQ95" s="108"/>
      <c r="NIR95" s="108"/>
      <c r="NIS95" s="108"/>
      <c r="NIT95" s="108"/>
      <c r="NIU95" s="108"/>
      <c r="NIV95" s="108"/>
      <c r="NIW95" s="108"/>
      <c r="NIX95" s="108"/>
      <c r="NIY95" s="108"/>
      <c r="NIZ95" s="108"/>
      <c r="NJA95" s="108"/>
      <c r="NJB95" s="108"/>
      <c r="NJC95" s="108"/>
      <c r="NJD95" s="108"/>
      <c r="NJE95" s="108"/>
      <c r="NJF95" s="108"/>
      <c r="NJG95" s="108"/>
      <c r="NJH95" s="108"/>
      <c r="NJI95" s="108"/>
      <c r="NJJ95" s="108"/>
      <c r="NJK95" s="108"/>
      <c r="NJL95" s="108"/>
      <c r="NJM95" s="108"/>
      <c r="NJN95" s="108"/>
      <c r="NJO95" s="108"/>
      <c r="NJP95" s="108"/>
      <c r="NJQ95" s="108"/>
      <c r="NJR95" s="108"/>
      <c r="NJS95" s="108"/>
      <c r="NJT95" s="108"/>
      <c r="NJU95" s="108"/>
      <c r="NJV95" s="108"/>
      <c r="NJW95" s="108"/>
      <c r="NJX95" s="108"/>
      <c r="NJY95" s="108"/>
      <c r="NJZ95" s="108"/>
      <c r="NKA95" s="108"/>
      <c r="NKB95" s="108"/>
      <c r="NKC95" s="108"/>
      <c r="NKD95" s="108"/>
      <c r="NKE95" s="108"/>
      <c r="NKF95" s="108"/>
      <c r="NKG95" s="108"/>
      <c r="NKH95" s="108"/>
      <c r="NKI95" s="108"/>
      <c r="NKJ95" s="108"/>
      <c r="NKK95" s="108"/>
      <c r="NKL95" s="108"/>
      <c r="NKM95" s="108"/>
      <c r="NKN95" s="108"/>
      <c r="NKO95" s="108"/>
      <c r="NKP95" s="108"/>
      <c r="NKQ95" s="108"/>
      <c r="NKR95" s="108"/>
      <c r="NKS95" s="108"/>
      <c r="NKT95" s="108"/>
      <c r="NKU95" s="108"/>
      <c r="NKV95" s="108"/>
      <c r="NKW95" s="108"/>
      <c r="NKX95" s="108"/>
      <c r="NKY95" s="108"/>
      <c r="NKZ95" s="108"/>
      <c r="NLA95" s="108"/>
      <c r="NLB95" s="108"/>
      <c r="NLC95" s="108"/>
      <c r="NLD95" s="108"/>
      <c r="NLE95" s="108"/>
      <c r="NLF95" s="108"/>
      <c r="NLG95" s="108"/>
      <c r="NLH95" s="108"/>
      <c r="NLI95" s="108"/>
      <c r="NLJ95" s="108"/>
      <c r="NLK95" s="108"/>
      <c r="NLL95" s="108"/>
      <c r="NLM95" s="108"/>
      <c r="NLN95" s="108"/>
      <c r="NLO95" s="108"/>
      <c r="NLP95" s="108"/>
      <c r="NLQ95" s="108"/>
      <c r="NLR95" s="108"/>
      <c r="NLS95" s="108"/>
      <c r="NLT95" s="108"/>
      <c r="NLU95" s="108"/>
      <c r="NLV95" s="108"/>
      <c r="NLW95" s="108"/>
      <c r="NLX95" s="108"/>
      <c r="NLY95" s="108"/>
      <c r="NLZ95" s="108"/>
      <c r="NMA95" s="108"/>
      <c r="NMB95" s="108"/>
      <c r="NMC95" s="108"/>
      <c r="NMD95" s="108"/>
      <c r="NME95" s="108"/>
      <c r="NMF95" s="108"/>
      <c r="NMG95" s="108"/>
      <c r="NMH95" s="108"/>
      <c r="NMI95" s="108"/>
      <c r="NMJ95" s="108"/>
      <c r="NMK95" s="108"/>
      <c r="NML95" s="108"/>
      <c r="NMM95" s="108"/>
      <c r="NMN95" s="108"/>
      <c r="NMO95" s="108"/>
      <c r="NMP95" s="108"/>
      <c r="NMQ95" s="108"/>
      <c r="NMR95" s="108"/>
      <c r="NMS95" s="108"/>
      <c r="NMT95" s="108"/>
      <c r="NMU95" s="108"/>
      <c r="NMV95" s="108"/>
      <c r="NMW95" s="108"/>
      <c r="NMX95" s="108"/>
      <c r="NMY95" s="108"/>
      <c r="NMZ95" s="108"/>
      <c r="NNA95" s="108"/>
      <c r="NNB95" s="108"/>
      <c r="NNC95" s="108"/>
      <c r="NND95" s="108"/>
      <c r="NNE95" s="108"/>
      <c r="NNF95" s="108"/>
      <c r="NNG95" s="108"/>
      <c r="NNH95" s="108"/>
      <c r="NNI95" s="108"/>
      <c r="NNJ95" s="108"/>
      <c r="NNK95" s="108"/>
      <c r="NNL95" s="108"/>
      <c r="NNM95" s="108"/>
      <c r="NNN95" s="108"/>
      <c r="NNO95" s="108"/>
      <c r="NNP95" s="108"/>
      <c r="NNQ95" s="108"/>
      <c r="NNR95" s="108"/>
      <c r="NNS95" s="108"/>
      <c r="NNT95" s="108"/>
      <c r="NNU95" s="108"/>
      <c r="NNV95" s="108"/>
      <c r="NNW95" s="108"/>
      <c r="NNX95" s="108"/>
      <c r="NNY95" s="108"/>
      <c r="NNZ95" s="108"/>
      <c r="NOA95" s="108"/>
      <c r="NOB95" s="108"/>
      <c r="NOC95" s="108"/>
      <c r="NOD95" s="108"/>
      <c r="NOE95" s="108"/>
      <c r="NOF95" s="108"/>
      <c r="NOG95" s="108"/>
      <c r="NOH95" s="108"/>
      <c r="NOI95" s="108"/>
      <c r="NOJ95" s="108"/>
      <c r="NOK95" s="108"/>
      <c r="NOL95" s="108"/>
      <c r="NOM95" s="108"/>
      <c r="NON95" s="108"/>
      <c r="NOO95" s="108"/>
      <c r="NOP95" s="108"/>
      <c r="NOQ95" s="108"/>
      <c r="NOR95" s="108"/>
      <c r="NOS95" s="108"/>
      <c r="NOT95" s="108"/>
      <c r="NOU95" s="108"/>
      <c r="NOV95" s="108"/>
      <c r="NOW95" s="108"/>
      <c r="NOX95" s="108"/>
      <c r="NOY95" s="108"/>
      <c r="NOZ95" s="108"/>
      <c r="NPA95" s="108"/>
      <c r="NPB95" s="108"/>
      <c r="NPC95" s="108"/>
      <c r="NPD95" s="108"/>
      <c r="NPE95" s="108"/>
      <c r="NPF95" s="108"/>
      <c r="NPG95" s="108"/>
      <c r="NPH95" s="108"/>
      <c r="NPI95" s="108"/>
      <c r="NPJ95" s="108"/>
      <c r="NPK95" s="108"/>
      <c r="NPL95" s="108"/>
      <c r="NPM95" s="108"/>
      <c r="NPN95" s="108"/>
      <c r="NPO95" s="108"/>
      <c r="NPP95" s="108"/>
      <c r="NPQ95" s="108"/>
      <c r="NPR95" s="108"/>
      <c r="NPS95" s="108"/>
      <c r="NPT95" s="108"/>
      <c r="NPU95" s="108"/>
      <c r="NPV95" s="108"/>
      <c r="NPW95" s="108"/>
      <c r="NPX95" s="108"/>
      <c r="NPY95" s="108"/>
      <c r="NPZ95" s="108"/>
      <c r="NQA95" s="108"/>
      <c r="NQB95" s="108"/>
      <c r="NQC95" s="108"/>
      <c r="NQD95" s="108"/>
      <c r="NQE95" s="108"/>
      <c r="NQF95" s="108"/>
      <c r="NQG95" s="108"/>
      <c r="NQH95" s="108"/>
      <c r="NQI95" s="108"/>
      <c r="NQJ95" s="108"/>
      <c r="NQK95" s="108"/>
      <c r="NQL95" s="108"/>
      <c r="NQM95" s="108"/>
      <c r="NQN95" s="108"/>
      <c r="NQO95" s="108"/>
      <c r="NQP95" s="108"/>
      <c r="NQQ95" s="108"/>
      <c r="NQR95" s="108"/>
      <c r="NQS95" s="108"/>
      <c r="NQT95" s="108"/>
      <c r="NQU95" s="108"/>
      <c r="NQV95" s="108"/>
      <c r="NQW95" s="108"/>
      <c r="NQX95" s="108"/>
      <c r="NQY95" s="108"/>
      <c r="NQZ95" s="108"/>
      <c r="NRA95" s="108"/>
      <c r="NRB95" s="108"/>
      <c r="NRC95" s="108"/>
      <c r="NRD95" s="108"/>
      <c r="NRE95" s="108"/>
      <c r="NRF95" s="108"/>
      <c r="NRG95" s="108"/>
      <c r="NRH95" s="108"/>
      <c r="NRI95" s="108"/>
      <c r="NRJ95" s="108"/>
      <c r="NRK95" s="108"/>
      <c r="NRL95" s="108"/>
      <c r="NRM95" s="108"/>
      <c r="NRN95" s="108"/>
      <c r="NRO95" s="108"/>
      <c r="NRP95" s="108"/>
      <c r="NRQ95" s="108"/>
      <c r="NRR95" s="108"/>
      <c r="NRS95" s="108"/>
      <c r="NRT95" s="108"/>
      <c r="NRU95" s="108"/>
      <c r="NRV95" s="108"/>
      <c r="NRW95" s="108"/>
      <c r="NRX95" s="108"/>
      <c r="NRY95" s="108"/>
      <c r="NRZ95" s="108"/>
      <c r="NSA95" s="108"/>
      <c r="NSB95" s="108"/>
      <c r="NSC95" s="108"/>
      <c r="NSD95" s="108"/>
      <c r="NSE95" s="108"/>
      <c r="NSF95" s="108"/>
      <c r="NSG95" s="108"/>
      <c r="NSH95" s="108"/>
      <c r="NSI95" s="108"/>
      <c r="NSJ95" s="108"/>
      <c r="NSK95" s="108"/>
      <c r="NSL95" s="108"/>
      <c r="NSM95" s="108"/>
      <c r="NSN95" s="108"/>
      <c r="NSO95" s="108"/>
      <c r="NSP95" s="108"/>
      <c r="NSQ95" s="108"/>
      <c r="NSR95" s="108"/>
      <c r="NSS95" s="108"/>
      <c r="NST95" s="108"/>
      <c r="NSU95" s="108"/>
      <c r="NSV95" s="108"/>
      <c r="NSW95" s="108"/>
      <c r="NSX95" s="108"/>
      <c r="NSY95" s="108"/>
      <c r="NSZ95" s="108"/>
      <c r="NTA95" s="108"/>
      <c r="NTB95" s="108"/>
      <c r="NTC95" s="108"/>
      <c r="NTD95" s="108"/>
      <c r="NTE95" s="108"/>
      <c r="NTF95" s="108"/>
      <c r="NTG95" s="108"/>
      <c r="NTH95" s="108"/>
      <c r="NTI95" s="108"/>
      <c r="NTJ95" s="108"/>
      <c r="NTK95" s="108"/>
      <c r="NTL95" s="108"/>
      <c r="NTM95" s="108"/>
      <c r="NTN95" s="108"/>
      <c r="NTO95" s="108"/>
      <c r="NTP95" s="108"/>
      <c r="NTQ95" s="108"/>
      <c r="NTR95" s="108"/>
      <c r="NTS95" s="108"/>
      <c r="NTT95" s="108"/>
      <c r="NTU95" s="108"/>
      <c r="NTV95" s="108"/>
      <c r="NTW95" s="108"/>
      <c r="NTX95" s="108"/>
      <c r="NTY95" s="108"/>
      <c r="NTZ95" s="108"/>
      <c r="NUA95" s="108"/>
      <c r="NUB95" s="108"/>
      <c r="NUC95" s="108"/>
      <c r="NUD95" s="108"/>
      <c r="NUE95" s="108"/>
      <c r="NUF95" s="108"/>
      <c r="NUG95" s="108"/>
      <c r="NUH95" s="108"/>
      <c r="NUI95" s="108"/>
      <c r="NUJ95" s="108"/>
      <c r="NUK95" s="108"/>
      <c r="NUL95" s="108"/>
      <c r="NUM95" s="108"/>
      <c r="NUN95" s="108"/>
      <c r="NUO95" s="108"/>
      <c r="NUP95" s="108"/>
      <c r="NUQ95" s="108"/>
      <c r="NUR95" s="108"/>
      <c r="NUS95" s="108"/>
      <c r="NUT95" s="108"/>
      <c r="NUU95" s="108"/>
      <c r="NUV95" s="108"/>
      <c r="NUW95" s="108"/>
      <c r="NUX95" s="108"/>
      <c r="NUY95" s="108"/>
      <c r="NUZ95" s="108"/>
      <c r="NVA95" s="108"/>
      <c r="NVB95" s="108"/>
      <c r="NVC95" s="108"/>
      <c r="NVD95" s="108"/>
      <c r="NVE95" s="108"/>
      <c r="NVF95" s="108"/>
      <c r="NVG95" s="108"/>
      <c r="NVH95" s="108"/>
      <c r="NVI95" s="108"/>
      <c r="NVJ95" s="108"/>
      <c r="NVK95" s="108"/>
      <c r="NVL95" s="108"/>
      <c r="NVM95" s="108"/>
      <c r="NVN95" s="108"/>
      <c r="NVO95" s="108"/>
      <c r="NVP95" s="108"/>
      <c r="NVQ95" s="108"/>
      <c r="NVR95" s="108"/>
      <c r="NVS95" s="108"/>
      <c r="NVT95" s="108"/>
      <c r="NVU95" s="108"/>
      <c r="NVV95" s="108"/>
      <c r="NVW95" s="108"/>
      <c r="NVX95" s="108"/>
      <c r="NVY95" s="108"/>
      <c r="NVZ95" s="108"/>
      <c r="NWA95" s="108"/>
      <c r="NWB95" s="108"/>
      <c r="NWC95" s="108"/>
      <c r="NWD95" s="108"/>
      <c r="NWE95" s="108"/>
      <c r="NWF95" s="108"/>
      <c r="NWG95" s="108"/>
      <c r="NWH95" s="108"/>
      <c r="NWI95" s="108"/>
      <c r="NWJ95" s="108"/>
      <c r="NWK95" s="108"/>
      <c r="NWL95" s="108"/>
      <c r="NWM95" s="108"/>
      <c r="NWN95" s="108"/>
      <c r="NWO95" s="108"/>
      <c r="NWP95" s="108"/>
      <c r="NWQ95" s="108"/>
      <c r="NWR95" s="108"/>
      <c r="NWS95" s="108"/>
      <c r="NWT95" s="108"/>
      <c r="NWU95" s="108"/>
      <c r="NWV95" s="108"/>
      <c r="NWW95" s="108"/>
      <c r="NWX95" s="108"/>
      <c r="NWY95" s="108"/>
      <c r="NWZ95" s="108"/>
      <c r="NXA95" s="108"/>
      <c r="NXB95" s="108"/>
      <c r="NXC95" s="108"/>
      <c r="NXD95" s="108"/>
      <c r="NXE95" s="108"/>
      <c r="NXF95" s="108"/>
      <c r="NXG95" s="108"/>
      <c r="NXH95" s="108"/>
      <c r="NXI95" s="108"/>
      <c r="NXJ95" s="108"/>
      <c r="NXK95" s="108"/>
      <c r="NXL95" s="108"/>
      <c r="NXM95" s="108"/>
      <c r="NXN95" s="108"/>
      <c r="NXO95" s="108"/>
      <c r="NXP95" s="108"/>
      <c r="NXQ95" s="108"/>
      <c r="NXR95" s="108"/>
      <c r="NXS95" s="108"/>
      <c r="NXT95" s="108"/>
      <c r="NXU95" s="108"/>
      <c r="NXV95" s="108"/>
      <c r="NXW95" s="108"/>
      <c r="NXX95" s="108"/>
      <c r="NXY95" s="108"/>
      <c r="NXZ95" s="108"/>
      <c r="NYA95" s="108"/>
      <c r="NYB95" s="108"/>
      <c r="NYC95" s="108"/>
      <c r="NYD95" s="108"/>
      <c r="NYE95" s="108"/>
      <c r="NYF95" s="108"/>
      <c r="NYG95" s="108"/>
      <c r="NYH95" s="108"/>
      <c r="NYI95" s="108"/>
      <c r="NYJ95" s="108"/>
      <c r="NYK95" s="108"/>
      <c r="NYL95" s="108"/>
      <c r="NYM95" s="108"/>
      <c r="NYN95" s="108"/>
      <c r="NYO95" s="108"/>
      <c r="NYP95" s="108"/>
      <c r="NYQ95" s="108"/>
      <c r="NYR95" s="108"/>
      <c r="NYS95" s="108"/>
      <c r="NYT95" s="108"/>
      <c r="NYU95" s="108"/>
      <c r="NYV95" s="108"/>
      <c r="NYW95" s="108"/>
      <c r="NYX95" s="108"/>
      <c r="NYY95" s="108"/>
      <c r="NYZ95" s="108"/>
      <c r="NZA95" s="108"/>
      <c r="NZB95" s="108"/>
      <c r="NZC95" s="108"/>
      <c r="NZD95" s="108"/>
      <c r="NZE95" s="108"/>
      <c r="NZF95" s="108"/>
      <c r="NZG95" s="108"/>
      <c r="NZH95" s="108"/>
      <c r="NZI95" s="108"/>
      <c r="NZJ95" s="108"/>
      <c r="NZK95" s="108"/>
      <c r="NZL95" s="108"/>
      <c r="NZM95" s="108"/>
      <c r="NZN95" s="108"/>
      <c r="NZO95" s="108"/>
      <c r="NZP95" s="108"/>
      <c r="NZQ95" s="108"/>
      <c r="NZR95" s="108"/>
      <c r="NZS95" s="108"/>
      <c r="NZT95" s="108"/>
      <c r="NZU95" s="108"/>
      <c r="NZV95" s="108"/>
      <c r="NZW95" s="108"/>
      <c r="NZX95" s="108"/>
      <c r="NZY95" s="108"/>
      <c r="NZZ95" s="108"/>
      <c r="OAA95" s="108"/>
      <c r="OAB95" s="108"/>
      <c r="OAC95" s="108"/>
      <c r="OAD95" s="108"/>
      <c r="OAE95" s="108"/>
      <c r="OAF95" s="108"/>
      <c r="OAG95" s="108"/>
      <c r="OAH95" s="108"/>
      <c r="OAI95" s="108"/>
      <c r="OAJ95" s="108"/>
      <c r="OAK95" s="108"/>
      <c r="OAL95" s="108"/>
      <c r="OAM95" s="108"/>
      <c r="OAN95" s="108"/>
      <c r="OAO95" s="108"/>
      <c r="OAP95" s="108"/>
      <c r="OAQ95" s="108"/>
      <c r="OAR95" s="108"/>
      <c r="OAS95" s="108"/>
      <c r="OAT95" s="108"/>
      <c r="OAU95" s="108"/>
      <c r="OAV95" s="108"/>
      <c r="OAW95" s="108"/>
      <c r="OAX95" s="108"/>
      <c r="OAY95" s="108"/>
      <c r="OAZ95" s="108"/>
      <c r="OBA95" s="108"/>
      <c r="OBB95" s="108"/>
      <c r="OBC95" s="108"/>
      <c r="OBD95" s="108"/>
      <c r="OBE95" s="108"/>
      <c r="OBF95" s="108"/>
      <c r="OBG95" s="108"/>
      <c r="OBH95" s="108"/>
      <c r="OBI95" s="108"/>
      <c r="OBJ95" s="108"/>
      <c r="OBK95" s="108"/>
      <c r="OBL95" s="108"/>
      <c r="OBM95" s="108"/>
      <c r="OBN95" s="108"/>
      <c r="OBO95" s="108"/>
      <c r="OBP95" s="108"/>
      <c r="OBQ95" s="108"/>
      <c r="OBR95" s="108"/>
      <c r="OBS95" s="108"/>
      <c r="OBT95" s="108"/>
      <c r="OBU95" s="108"/>
      <c r="OBV95" s="108"/>
      <c r="OBW95" s="108"/>
      <c r="OBX95" s="108"/>
      <c r="OBY95" s="108"/>
      <c r="OBZ95" s="108"/>
      <c r="OCA95" s="108"/>
      <c r="OCB95" s="108"/>
      <c r="OCC95" s="108"/>
      <c r="OCD95" s="108"/>
      <c r="OCE95" s="108"/>
      <c r="OCF95" s="108"/>
      <c r="OCG95" s="108"/>
      <c r="OCH95" s="108"/>
      <c r="OCI95" s="108"/>
      <c r="OCJ95" s="108"/>
      <c r="OCK95" s="108"/>
      <c r="OCL95" s="108"/>
      <c r="OCM95" s="108"/>
      <c r="OCN95" s="108"/>
      <c r="OCO95" s="108"/>
      <c r="OCP95" s="108"/>
      <c r="OCQ95" s="108"/>
      <c r="OCR95" s="108"/>
      <c r="OCS95" s="108"/>
      <c r="OCT95" s="108"/>
      <c r="OCU95" s="108"/>
      <c r="OCV95" s="108"/>
      <c r="OCW95" s="108"/>
      <c r="OCX95" s="108"/>
      <c r="OCY95" s="108"/>
      <c r="OCZ95" s="108"/>
      <c r="ODA95" s="108"/>
      <c r="ODB95" s="108"/>
      <c r="ODC95" s="108"/>
      <c r="ODD95" s="108"/>
      <c r="ODE95" s="108"/>
      <c r="ODF95" s="108"/>
      <c r="ODG95" s="108"/>
      <c r="ODH95" s="108"/>
      <c r="ODI95" s="108"/>
      <c r="ODJ95" s="108"/>
      <c r="ODK95" s="108"/>
      <c r="ODL95" s="108"/>
      <c r="ODM95" s="108"/>
      <c r="ODN95" s="108"/>
      <c r="ODO95" s="108"/>
      <c r="ODP95" s="108"/>
      <c r="ODQ95" s="108"/>
      <c r="ODR95" s="108"/>
      <c r="ODS95" s="108"/>
      <c r="ODT95" s="108"/>
      <c r="ODU95" s="108"/>
      <c r="ODV95" s="108"/>
      <c r="ODW95" s="108"/>
      <c r="ODX95" s="108"/>
      <c r="ODY95" s="108"/>
      <c r="ODZ95" s="108"/>
      <c r="OEA95" s="108"/>
      <c r="OEB95" s="108"/>
      <c r="OEC95" s="108"/>
      <c r="OED95" s="108"/>
      <c r="OEE95" s="108"/>
      <c r="OEF95" s="108"/>
      <c r="OEG95" s="108"/>
      <c r="OEH95" s="108"/>
      <c r="OEI95" s="108"/>
      <c r="OEJ95" s="108"/>
      <c r="OEK95" s="108"/>
      <c r="OEL95" s="108"/>
      <c r="OEM95" s="108"/>
      <c r="OEN95" s="108"/>
      <c r="OEO95" s="108"/>
      <c r="OEP95" s="108"/>
      <c r="OEQ95" s="108"/>
      <c r="OER95" s="108"/>
      <c r="OES95" s="108"/>
      <c r="OET95" s="108"/>
      <c r="OEU95" s="108"/>
      <c r="OEV95" s="108"/>
      <c r="OEW95" s="108"/>
      <c r="OEX95" s="108"/>
      <c r="OEY95" s="108"/>
      <c r="OEZ95" s="108"/>
      <c r="OFA95" s="108"/>
      <c r="OFB95" s="108"/>
      <c r="OFC95" s="108"/>
      <c r="OFD95" s="108"/>
      <c r="OFE95" s="108"/>
      <c r="OFF95" s="108"/>
      <c r="OFG95" s="108"/>
      <c r="OFH95" s="108"/>
      <c r="OFI95" s="108"/>
      <c r="OFJ95" s="108"/>
      <c r="OFK95" s="108"/>
      <c r="OFL95" s="108"/>
      <c r="OFM95" s="108"/>
      <c r="OFN95" s="108"/>
      <c r="OFO95" s="108"/>
      <c r="OFP95" s="108"/>
      <c r="OFQ95" s="108"/>
      <c r="OFR95" s="108"/>
      <c r="OFS95" s="108"/>
      <c r="OFT95" s="108"/>
      <c r="OFU95" s="108"/>
      <c r="OFV95" s="108"/>
      <c r="OFW95" s="108"/>
      <c r="OFX95" s="108"/>
      <c r="OFY95" s="108"/>
      <c r="OFZ95" s="108"/>
      <c r="OGA95" s="108"/>
      <c r="OGB95" s="108"/>
      <c r="OGC95" s="108"/>
      <c r="OGD95" s="108"/>
      <c r="OGE95" s="108"/>
      <c r="OGF95" s="108"/>
      <c r="OGG95" s="108"/>
      <c r="OGH95" s="108"/>
      <c r="OGI95" s="108"/>
      <c r="OGJ95" s="108"/>
      <c r="OGK95" s="108"/>
      <c r="OGL95" s="108"/>
      <c r="OGM95" s="108"/>
      <c r="OGN95" s="108"/>
      <c r="OGO95" s="108"/>
      <c r="OGP95" s="108"/>
      <c r="OGQ95" s="108"/>
      <c r="OGR95" s="108"/>
      <c r="OGS95" s="108"/>
      <c r="OGT95" s="108"/>
      <c r="OGU95" s="108"/>
      <c r="OGV95" s="108"/>
      <c r="OGW95" s="108"/>
      <c r="OGX95" s="108"/>
      <c r="OGY95" s="108"/>
      <c r="OGZ95" s="108"/>
      <c r="OHA95" s="108"/>
      <c r="OHB95" s="108"/>
      <c r="OHC95" s="108"/>
      <c r="OHD95" s="108"/>
      <c r="OHE95" s="108"/>
      <c r="OHF95" s="108"/>
      <c r="OHG95" s="108"/>
      <c r="OHH95" s="108"/>
      <c r="OHI95" s="108"/>
      <c r="OHJ95" s="108"/>
      <c r="OHK95" s="108"/>
      <c r="OHL95" s="108"/>
      <c r="OHM95" s="108"/>
      <c r="OHN95" s="108"/>
      <c r="OHO95" s="108"/>
      <c r="OHP95" s="108"/>
      <c r="OHQ95" s="108"/>
      <c r="OHR95" s="108"/>
      <c r="OHS95" s="108"/>
      <c r="OHT95" s="108"/>
      <c r="OHU95" s="108"/>
      <c r="OHV95" s="108"/>
      <c r="OHW95" s="108"/>
      <c r="OHX95" s="108"/>
      <c r="OHY95" s="108"/>
      <c r="OHZ95" s="108"/>
      <c r="OIA95" s="108"/>
      <c r="OIB95" s="108"/>
      <c r="OIC95" s="108"/>
      <c r="OID95" s="108"/>
      <c r="OIE95" s="108"/>
      <c r="OIF95" s="108"/>
      <c r="OIG95" s="108"/>
      <c r="OIH95" s="108"/>
      <c r="OII95" s="108"/>
      <c r="OIJ95" s="108"/>
      <c r="OIK95" s="108"/>
      <c r="OIL95" s="108"/>
      <c r="OIM95" s="108"/>
      <c r="OIN95" s="108"/>
      <c r="OIO95" s="108"/>
      <c r="OIP95" s="108"/>
      <c r="OIQ95" s="108"/>
      <c r="OIR95" s="108"/>
      <c r="OIS95" s="108"/>
      <c r="OIT95" s="108"/>
      <c r="OIU95" s="108"/>
      <c r="OIV95" s="108"/>
      <c r="OIW95" s="108"/>
      <c r="OIX95" s="108"/>
      <c r="OIY95" s="108"/>
      <c r="OIZ95" s="108"/>
      <c r="OJA95" s="108"/>
      <c r="OJB95" s="108"/>
      <c r="OJC95" s="108"/>
      <c r="OJD95" s="108"/>
      <c r="OJE95" s="108"/>
      <c r="OJF95" s="108"/>
      <c r="OJG95" s="108"/>
      <c r="OJH95" s="108"/>
      <c r="OJI95" s="108"/>
      <c r="OJJ95" s="108"/>
      <c r="OJK95" s="108"/>
      <c r="OJL95" s="108"/>
      <c r="OJM95" s="108"/>
      <c r="OJN95" s="108"/>
      <c r="OJO95" s="108"/>
      <c r="OJP95" s="108"/>
      <c r="OJQ95" s="108"/>
      <c r="OJR95" s="108"/>
      <c r="OJS95" s="108"/>
      <c r="OJT95" s="108"/>
      <c r="OJU95" s="108"/>
      <c r="OJV95" s="108"/>
      <c r="OJW95" s="108"/>
      <c r="OJX95" s="108"/>
      <c r="OJY95" s="108"/>
      <c r="OJZ95" s="108"/>
      <c r="OKA95" s="108"/>
      <c r="OKB95" s="108"/>
      <c r="OKC95" s="108"/>
      <c r="OKD95" s="108"/>
      <c r="OKE95" s="108"/>
      <c r="OKF95" s="108"/>
      <c r="OKG95" s="108"/>
      <c r="OKH95" s="108"/>
      <c r="OKI95" s="108"/>
      <c r="OKJ95" s="108"/>
      <c r="OKK95" s="108"/>
      <c r="OKL95" s="108"/>
      <c r="OKM95" s="108"/>
      <c r="OKN95" s="108"/>
      <c r="OKO95" s="108"/>
      <c r="OKP95" s="108"/>
      <c r="OKQ95" s="108"/>
      <c r="OKR95" s="108"/>
      <c r="OKS95" s="108"/>
      <c r="OKT95" s="108"/>
      <c r="OKU95" s="108"/>
      <c r="OKV95" s="108"/>
      <c r="OKW95" s="108"/>
      <c r="OKX95" s="108"/>
      <c r="OKY95" s="108"/>
      <c r="OKZ95" s="108"/>
      <c r="OLA95" s="108"/>
      <c r="OLB95" s="108"/>
      <c r="OLC95" s="108"/>
      <c r="OLD95" s="108"/>
      <c r="OLE95" s="108"/>
      <c r="OLF95" s="108"/>
      <c r="OLG95" s="108"/>
      <c r="OLH95" s="108"/>
      <c r="OLI95" s="108"/>
      <c r="OLJ95" s="108"/>
      <c r="OLK95" s="108"/>
      <c r="OLL95" s="108"/>
      <c r="OLM95" s="108"/>
      <c r="OLN95" s="108"/>
      <c r="OLO95" s="108"/>
      <c r="OLP95" s="108"/>
      <c r="OLQ95" s="108"/>
      <c r="OLR95" s="108"/>
      <c r="OLS95" s="108"/>
      <c r="OLT95" s="108"/>
      <c r="OLU95" s="108"/>
      <c r="OLV95" s="108"/>
      <c r="OLW95" s="108"/>
      <c r="OLX95" s="108"/>
      <c r="OLY95" s="108"/>
      <c r="OLZ95" s="108"/>
      <c r="OMA95" s="108"/>
      <c r="OMB95" s="108"/>
      <c r="OMC95" s="108"/>
      <c r="OMD95" s="108"/>
      <c r="OME95" s="108"/>
      <c r="OMF95" s="108"/>
      <c r="OMG95" s="108"/>
      <c r="OMH95" s="108"/>
      <c r="OMI95" s="108"/>
      <c r="OMJ95" s="108"/>
      <c r="OMK95" s="108"/>
      <c r="OML95" s="108"/>
      <c r="OMM95" s="108"/>
      <c r="OMN95" s="108"/>
      <c r="OMO95" s="108"/>
      <c r="OMP95" s="108"/>
      <c r="OMQ95" s="108"/>
      <c r="OMR95" s="108"/>
      <c r="OMS95" s="108"/>
      <c r="OMT95" s="108"/>
      <c r="OMU95" s="108"/>
      <c r="OMV95" s="108"/>
      <c r="OMW95" s="108"/>
      <c r="OMX95" s="108"/>
      <c r="OMY95" s="108"/>
      <c r="OMZ95" s="108"/>
      <c r="ONA95" s="108"/>
      <c r="ONB95" s="108"/>
      <c r="ONC95" s="108"/>
      <c r="OND95" s="108"/>
      <c r="ONE95" s="108"/>
      <c r="ONF95" s="108"/>
      <c r="ONG95" s="108"/>
      <c r="ONH95" s="108"/>
      <c r="ONI95" s="108"/>
      <c r="ONJ95" s="108"/>
      <c r="ONK95" s="108"/>
      <c r="ONL95" s="108"/>
      <c r="ONM95" s="108"/>
      <c r="ONN95" s="108"/>
      <c r="ONO95" s="108"/>
      <c r="ONP95" s="108"/>
      <c r="ONQ95" s="108"/>
      <c r="ONR95" s="108"/>
      <c r="ONS95" s="108"/>
      <c r="ONT95" s="108"/>
      <c r="ONU95" s="108"/>
      <c r="ONV95" s="108"/>
      <c r="ONW95" s="108"/>
      <c r="ONX95" s="108"/>
      <c r="ONY95" s="108"/>
      <c r="ONZ95" s="108"/>
      <c r="OOA95" s="108"/>
      <c r="OOB95" s="108"/>
      <c r="OOC95" s="108"/>
      <c r="OOD95" s="108"/>
      <c r="OOE95" s="108"/>
      <c r="OOF95" s="108"/>
      <c r="OOG95" s="108"/>
      <c r="OOH95" s="108"/>
      <c r="OOI95" s="108"/>
      <c r="OOJ95" s="108"/>
      <c r="OOK95" s="108"/>
      <c r="OOL95" s="108"/>
      <c r="OOM95" s="108"/>
      <c r="OON95" s="108"/>
      <c r="OOO95" s="108"/>
      <c r="OOP95" s="108"/>
      <c r="OOQ95" s="108"/>
      <c r="OOR95" s="108"/>
      <c r="OOS95" s="108"/>
      <c r="OOT95" s="108"/>
      <c r="OOU95" s="108"/>
      <c r="OOV95" s="108"/>
      <c r="OOW95" s="108"/>
      <c r="OOX95" s="108"/>
      <c r="OOY95" s="108"/>
      <c r="OOZ95" s="108"/>
      <c r="OPA95" s="108"/>
      <c r="OPB95" s="108"/>
      <c r="OPC95" s="108"/>
      <c r="OPD95" s="108"/>
      <c r="OPE95" s="108"/>
      <c r="OPF95" s="108"/>
      <c r="OPG95" s="108"/>
      <c r="OPH95" s="108"/>
      <c r="OPI95" s="108"/>
      <c r="OPJ95" s="108"/>
      <c r="OPK95" s="108"/>
      <c r="OPL95" s="108"/>
      <c r="OPM95" s="108"/>
      <c r="OPN95" s="108"/>
      <c r="OPO95" s="108"/>
      <c r="OPP95" s="108"/>
      <c r="OPQ95" s="108"/>
      <c r="OPR95" s="108"/>
      <c r="OPS95" s="108"/>
      <c r="OPT95" s="108"/>
      <c r="OPU95" s="108"/>
      <c r="OPV95" s="108"/>
      <c r="OPW95" s="108"/>
      <c r="OPX95" s="108"/>
      <c r="OPY95" s="108"/>
      <c r="OPZ95" s="108"/>
      <c r="OQA95" s="108"/>
      <c r="OQB95" s="108"/>
      <c r="OQC95" s="108"/>
      <c r="OQD95" s="108"/>
      <c r="OQE95" s="108"/>
      <c r="OQF95" s="108"/>
      <c r="OQG95" s="108"/>
      <c r="OQH95" s="108"/>
      <c r="OQI95" s="108"/>
      <c r="OQJ95" s="108"/>
      <c r="OQK95" s="108"/>
      <c r="OQL95" s="108"/>
      <c r="OQM95" s="108"/>
      <c r="OQN95" s="108"/>
      <c r="OQO95" s="108"/>
      <c r="OQP95" s="108"/>
      <c r="OQQ95" s="108"/>
      <c r="OQR95" s="108"/>
      <c r="OQS95" s="108"/>
      <c r="OQT95" s="108"/>
      <c r="OQU95" s="108"/>
      <c r="OQV95" s="108"/>
      <c r="OQW95" s="108"/>
      <c r="OQX95" s="108"/>
      <c r="OQY95" s="108"/>
      <c r="OQZ95" s="108"/>
      <c r="ORA95" s="108"/>
      <c r="ORB95" s="108"/>
      <c r="ORC95" s="108"/>
      <c r="ORD95" s="108"/>
      <c r="ORE95" s="108"/>
      <c r="ORF95" s="108"/>
      <c r="ORG95" s="108"/>
      <c r="ORH95" s="108"/>
      <c r="ORI95" s="108"/>
      <c r="ORJ95" s="108"/>
      <c r="ORK95" s="108"/>
      <c r="ORL95" s="108"/>
      <c r="ORM95" s="108"/>
      <c r="ORN95" s="108"/>
      <c r="ORO95" s="108"/>
      <c r="ORP95" s="108"/>
      <c r="ORQ95" s="108"/>
      <c r="ORR95" s="108"/>
      <c r="ORS95" s="108"/>
      <c r="ORT95" s="108"/>
      <c r="ORU95" s="108"/>
      <c r="ORV95" s="108"/>
      <c r="ORW95" s="108"/>
      <c r="ORX95" s="108"/>
      <c r="ORY95" s="108"/>
      <c r="ORZ95" s="108"/>
      <c r="OSA95" s="108"/>
      <c r="OSB95" s="108"/>
      <c r="OSC95" s="108"/>
      <c r="OSD95" s="108"/>
      <c r="OSE95" s="108"/>
      <c r="OSF95" s="108"/>
      <c r="OSG95" s="108"/>
      <c r="OSH95" s="108"/>
      <c r="OSI95" s="108"/>
      <c r="OSJ95" s="108"/>
      <c r="OSK95" s="108"/>
      <c r="OSL95" s="108"/>
      <c r="OSM95" s="108"/>
      <c r="OSN95" s="108"/>
      <c r="OSO95" s="108"/>
      <c r="OSP95" s="108"/>
      <c r="OSQ95" s="108"/>
      <c r="OSR95" s="108"/>
      <c r="OSS95" s="108"/>
      <c r="OST95" s="108"/>
      <c r="OSU95" s="108"/>
      <c r="OSV95" s="108"/>
      <c r="OSW95" s="108"/>
      <c r="OSX95" s="108"/>
      <c r="OSY95" s="108"/>
      <c r="OSZ95" s="108"/>
      <c r="OTA95" s="108"/>
      <c r="OTB95" s="108"/>
      <c r="OTC95" s="108"/>
      <c r="OTD95" s="108"/>
      <c r="OTE95" s="108"/>
      <c r="OTF95" s="108"/>
      <c r="OTG95" s="108"/>
      <c r="OTH95" s="108"/>
      <c r="OTI95" s="108"/>
      <c r="OTJ95" s="108"/>
      <c r="OTK95" s="108"/>
      <c r="OTL95" s="108"/>
      <c r="OTM95" s="108"/>
      <c r="OTN95" s="108"/>
      <c r="OTO95" s="108"/>
      <c r="OTP95" s="108"/>
      <c r="OTQ95" s="108"/>
      <c r="OTR95" s="108"/>
      <c r="OTS95" s="108"/>
      <c r="OTT95" s="108"/>
      <c r="OTU95" s="108"/>
      <c r="OTV95" s="108"/>
      <c r="OTW95" s="108"/>
      <c r="OTX95" s="108"/>
      <c r="OTY95" s="108"/>
      <c r="OTZ95" s="108"/>
      <c r="OUA95" s="108"/>
      <c r="OUB95" s="108"/>
      <c r="OUC95" s="108"/>
      <c r="OUD95" s="108"/>
      <c r="OUE95" s="108"/>
      <c r="OUF95" s="108"/>
      <c r="OUG95" s="108"/>
      <c r="OUH95" s="108"/>
      <c r="OUI95" s="108"/>
      <c r="OUJ95" s="108"/>
      <c r="OUK95" s="108"/>
      <c r="OUL95" s="108"/>
      <c r="OUM95" s="108"/>
      <c r="OUN95" s="108"/>
      <c r="OUO95" s="108"/>
      <c r="OUP95" s="108"/>
      <c r="OUQ95" s="108"/>
      <c r="OUR95" s="108"/>
      <c r="OUS95" s="108"/>
      <c r="OUT95" s="108"/>
      <c r="OUU95" s="108"/>
      <c r="OUV95" s="108"/>
      <c r="OUW95" s="108"/>
      <c r="OUX95" s="108"/>
      <c r="OUY95" s="108"/>
      <c r="OUZ95" s="108"/>
      <c r="OVA95" s="108"/>
      <c r="OVB95" s="108"/>
      <c r="OVC95" s="108"/>
      <c r="OVD95" s="108"/>
      <c r="OVE95" s="108"/>
      <c r="OVF95" s="108"/>
      <c r="OVG95" s="108"/>
      <c r="OVH95" s="108"/>
      <c r="OVI95" s="108"/>
      <c r="OVJ95" s="108"/>
      <c r="OVK95" s="108"/>
      <c r="OVL95" s="108"/>
      <c r="OVM95" s="108"/>
      <c r="OVN95" s="108"/>
      <c r="OVO95" s="108"/>
      <c r="OVP95" s="108"/>
      <c r="OVQ95" s="108"/>
      <c r="OVR95" s="108"/>
      <c r="OVS95" s="108"/>
      <c r="OVT95" s="108"/>
      <c r="OVU95" s="108"/>
      <c r="OVV95" s="108"/>
      <c r="OVW95" s="108"/>
      <c r="OVX95" s="108"/>
      <c r="OVY95" s="108"/>
      <c r="OVZ95" s="108"/>
      <c r="OWA95" s="108"/>
      <c r="OWB95" s="108"/>
      <c r="OWC95" s="108"/>
      <c r="OWD95" s="108"/>
      <c r="OWE95" s="108"/>
      <c r="OWF95" s="108"/>
      <c r="OWG95" s="108"/>
      <c r="OWH95" s="108"/>
      <c r="OWI95" s="108"/>
      <c r="OWJ95" s="108"/>
      <c r="OWK95" s="108"/>
      <c r="OWL95" s="108"/>
      <c r="OWM95" s="108"/>
      <c r="OWN95" s="108"/>
      <c r="OWO95" s="108"/>
      <c r="OWP95" s="108"/>
      <c r="OWQ95" s="108"/>
      <c r="OWR95" s="108"/>
      <c r="OWS95" s="108"/>
      <c r="OWT95" s="108"/>
      <c r="OWU95" s="108"/>
      <c r="OWV95" s="108"/>
      <c r="OWW95" s="108"/>
      <c r="OWX95" s="108"/>
      <c r="OWY95" s="108"/>
      <c r="OWZ95" s="108"/>
      <c r="OXA95" s="108"/>
      <c r="OXB95" s="108"/>
      <c r="OXC95" s="108"/>
      <c r="OXD95" s="108"/>
      <c r="OXE95" s="108"/>
      <c r="OXF95" s="108"/>
      <c r="OXG95" s="108"/>
      <c r="OXH95" s="108"/>
      <c r="OXI95" s="108"/>
      <c r="OXJ95" s="108"/>
      <c r="OXK95" s="108"/>
      <c r="OXL95" s="108"/>
      <c r="OXM95" s="108"/>
      <c r="OXN95" s="108"/>
      <c r="OXO95" s="108"/>
      <c r="OXP95" s="108"/>
      <c r="OXQ95" s="108"/>
      <c r="OXR95" s="108"/>
      <c r="OXS95" s="108"/>
      <c r="OXT95" s="108"/>
      <c r="OXU95" s="108"/>
      <c r="OXV95" s="108"/>
      <c r="OXW95" s="108"/>
      <c r="OXX95" s="108"/>
      <c r="OXY95" s="108"/>
      <c r="OXZ95" s="108"/>
      <c r="OYA95" s="108"/>
      <c r="OYB95" s="108"/>
      <c r="OYC95" s="108"/>
      <c r="OYD95" s="108"/>
      <c r="OYE95" s="108"/>
      <c r="OYF95" s="108"/>
      <c r="OYG95" s="108"/>
      <c r="OYH95" s="108"/>
      <c r="OYI95" s="108"/>
      <c r="OYJ95" s="108"/>
      <c r="OYK95" s="108"/>
      <c r="OYL95" s="108"/>
      <c r="OYM95" s="108"/>
      <c r="OYN95" s="108"/>
      <c r="OYO95" s="108"/>
      <c r="OYP95" s="108"/>
      <c r="OYQ95" s="108"/>
      <c r="OYR95" s="108"/>
      <c r="OYS95" s="108"/>
      <c r="OYT95" s="108"/>
      <c r="OYU95" s="108"/>
      <c r="OYV95" s="108"/>
      <c r="OYW95" s="108"/>
      <c r="OYX95" s="108"/>
      <c r="OYY95" s="108"/>
      <c r="OYZ95" s="108"/>
      <c r="OZA95" s="108"/>
      <c r="OZB95" s="108"/>
      <c r="OZC95" s="108"/>
      <c r="OZD95" s="108"/>
      <c r="OZE95" s="108"/>
      <c r="OZF95" s="108"/>
      <c r="OZG95" s="108"/>
      <c r="OZH95" s="108"/>
      <c r="OZI95" s="108"/>
      <c r="OZJ95" s="108"/>
      <c r="OZK95" s="108"/>
      <c r="OZL95" s="108"/>
      <c r="OZM95" s="108"/>
      <c r="OZN95" s="108"/>
      <c r="OZO95" s="108"/>
      <c r="OZP95" s="108"/>
      <c r="OZQ95" s="108"/>
      <c r="OZR95" s="108"/>
      <c r="OZS95" s="108"/>
      <c r="OZT95" s="108"/>
      <c r="OZU95" s="108"/>
      <c r="OZV95" s="108"/>
      <c r="OZW95" s="108"/>
      <c r="OZX95" s="108"/>
      <c r="OZY95" s="108"/>
      <c r="OZZ95" s="108"/>
      <c r="PAA95" s="108"/>
      <c r="PAB95" s="108"/>
      <c r="PAC95" s="108"/>
      <c r="PAD95" s="108"/>
      <c r="PAE95" s="108"/>
      <c r="PAF95" s="108"/>
      <c r="PAG95" s="108"/>
      <c r="PAH95" s="108"/>
      <c r="PAI95" s="108"/>
      <c r="PAJ95" s="108"/>
      <c r="PAK95" s="108"/>
      <c r="PAL95" s="108"/>
      <c r="PAM95" s="108"/>
      <c r="PAN95" s="108"/>
      <c r="PAO95" s="108"/>
      <c r="PAP95" s="108"/>
      <c r="PAQ95" s="108"/>
      <c r="PAR95" s="108"/>
      <c r="PAS95" s="108"/>
      <c r="PAT95" s="108"/>
      <c r="PAU95" s="108"/>
      <c r="PAV95" s="108"/>
      <c r="PAW95" s="108"/>
      <c r="PAX95" s="108"/>
      <c r="PAY95" s="108"/>
      <c r="PAZ95" s="108"/>
      <c r="PBA95" s="108"/>
      <c r="PBB95" s="108"/>
      <c r="PBC95" s="108"/>
      <c r="PBD95" s="108"/>
      <c r="PBE95" s="108"/>
      <c r="PBF95" s="108"/>
      <c r="PBG95" s="108"/>
      <c r="PBH95" s="108"/>
      <c r="PBI95" s="108"/>
      <c r="PBJ95" s="108"/>
      <c r="PBK95" s="108"/>
      <c r="PBL95" s="108"/>
      <c r="PBM95" s="108"/>
      <c r="PBN95" s="108"/>
      <c r="PBO95" s="108"/>
      <c r="PBP95" s="108"/>
      <c r="PBQ95" s="108"/>
      <c r="PBR95" s="108"/>
      <c r="PBS95" s="108"/>
      <c r="PBT95" s="108"/>
      <c r="PBU95" s="108"/>
      <c r="PBV95" s="108"/>
      <c r="PBW95" s="108"/>
      <c r="PBX95" s="108"/>
      <c r="PBY95" s="108"/>
      <c r="PBZ95" s="108"/>
      <c r="PCA95" s="108"/>
      <c r="PCB95" s="108"/>
      <c r="PCC95" s="108"/>
      <c r="PCD95" s="108"/>
      <c r="PCE95" s="108"/>
      <c r="PCF95" s="108"/>
      <c r="PCG95" s="108"/>
      <c r="PCH95" s="108"/>
      <c r="PCI95" s="108"/>
      <c r="PCJ95" s="108"/>
      <c r="PCK95" s="108"/>
      <c r="PCL95" s="108"/>
      <c r="PCM95" s="108"/>
      <c r="PCN95" s="108"/>
      <c r="PCO95" s="108"/>
      <c r="PCP95" s="108"/>
      <c r="PCQ95" s="108"/>
      <c r="PCR95" s="108"/>
      <c r="PCS95" s="108"/>
      <c r="PCT95" s="108"/>
      <c r="PCU95" s="108"/>
      <c r="PCV95" s="108"/>
      <c r="PCW95" s="108"/>
      <c r="PCX95" s="108"/>
      <c r="PCY95" s="108"/>
      <c r="PCZ95" s="108"/>
      <c r="PDA95" s="108"/>
      <c r="PDB95" s="108"/>
      <c r="PDC95" s="108"/>
      <c r="PDD95" s="108"/>
      <c r="PDE95" s="108"/>
      <c r="PDF95" s="108"/>
      <c r="PDG95" s="108"/>
      <c r="PDH95" s="108"/>
      <c r="PDI95" s="108"/>
      <c r="PDJ95" s="108"/>
      <c r="PDK95" s="108"/>
      <c r="PDL95" s="108"/>
      <c r="PDM95" s="108"/>
      <c r="PDN95" s="108"/>
      <c r="PDO95" s="108"/>
      <c r="PDP95" s="108"/>
      <c r="PDQ95" s="108"/>
      <c r="PDR95" s="108"/>
      <c r="PDS95" s="108"/>
      <c r="PDT95" s="108"/>
      <c r="PDU95" s="108"/>
      <c r="PDV95" s="108"/>
      <c r="PDW95" s="108"/>
      <c r="PDX95" s="108"/>
      <c r="PDY95" s="108"/>
      <c r="PDZ95" s="108"/>
      <c r="PEA95" s="108"/>
      <c r="PEB95" s="108"/>
      <c r="PEC95" s="108"/>
      <c r="PED95" s="108"/>
      <c r="PEE95" s="108"/>
      <c r="PEF95" s="108"/>
      <c r="PEG95" s="108"/>
      <c r="PEH95" s="108"/>
      <c r="PEI95" s="108"/>
      <c r="PEJ95" s="108"/>
      <c r="PEK95" s="108"/>
      <c r="PEL95" s="108"/>
      <c r="PEM95" s="108"/>
      <c r="PEN95" s="108"/>
      <c r="PEO95" s="108"/>
      <c r="PEP95" s="108"/>
      <c r="PEQ95" s="108"/>
      <c r="PER95" s="108"/>
      <c r="PES95" s="108"/>
      <c r="PET95" s="108"/>
      <c r="PEU95" s="108"/>
      <c r="PEV95" s="108"/>
      <c r="PEW95" s="108"/>
      <c r="PEX95" s="108"/>
      <c r="PEY95" s="108"/>
      <c r="PEZ95" s="108"/>
      <c r="PFA95" s="108"/>
      <c r="PFB95" s="108"/>
      <c r="PFC95" s="108"/>
      <c r="PFD95" s="108"/>
      <c r="PFE95" s="108"/>
      <c r="PFF95" s="108"/>
      <c r="PFG95" s="108"/>
      <c r="PFH95" s="108"/>
      <c r="PFI95" s="108"/>
      <c r="PFJ95" s="108"/>
      <c r="PFK95" s="108"/>
      <c r="PFL95" s="108"/>
      <c r="PFM95" s="108"/>
      <c r="PFN95" s="108"/>
      <c r="PFO95" s="108"/>
      <c r="PFP95" s="108"/>
      <c r="PFQ95" s="108"/>
      <c r="PFR95" s="108"/>
      <c r="PFS95" s="108"/>
      <c r="PFT95" s="108"/>
      <c r="PFU95" s="108"/>
      <c r="PFV95" s="108"/>
      <c r="PFW95" s="108"/>
      <c r="PFX95" s="108"/>
      <c r="PFY95" s="108"/>
      <c r="PFZ95" s="108"/>
      <c r="PGA95" s="108"/>
      <c r="PGB95" s="108"/>
      <c r="PGC95" s="108"/>
      <c r="PGD95" s="108"/>
      <c r="PGE95" s="108"/>
      <c r="PGF95" s="108"/>
      <c r="PGG95" s="108"/>
      <c r="PGH95" s="108"/>
      <c r="PGI95" s="108"/>
      <c r="PGJ95" s="108"/>
      <c r="PGK95" s="108"/>
      <c r="PGL95" s="108"/>
      <c r="PGM95" s="108"/>
      <c r="PGN95" s="108"/>
      <c r="PGO95" s="108"/>
      <c r="PGP95" s="108"/>
      <c r="PGQ95" s="108"/>
      <c r="PGR95" s="108"/>
      <c r="PGS95" s="108"/>
      <c r="PGT95" s="108"/>
      <c r="PGU95" s="108"/>
      <c r="PGV95" s="108"/>
      <c r="PGW95" s="108"/>
      <c r="PGX95" s="108"/>
      <c r="PGY95" s="108"/>
      <c r="PGZ95" s="108"/>
      <c r="PHA95" s="108"/>
      <c r="PHB95" s="108"/>
      <c r="PHC95" s="108"/>
      <c r="PHD95" s="108"/>
      <c r="PHE95" s="108"/>
      <c r="PHF95" s="108"/>
      <c r="PHG95" s="108"/>
      <c r="PHH95" s="108"/>
      <c r="PHI95" s="108"/>
      <c r="PHJ95" s="108"/>
      <c r="PHK95" s="108"/>
      <c r="PHL95" s="108"/>
      <c r="PHM95" s="108"/>
      <c r="PHN95" s="108"/>
      <c r="PHO95" s="108"/>
      <c r="PHP95" s="108"/>
      <c r="PHQ95" s="108"/>
      <c r="PHR95" s="108"/>
      <c r="PHS95" s="108"/>
      <c r="PHT95" s="108"/>
      <c r="PHU95" s="108"/>
      <c r="PHV95" s="108"/>
      <c r="PHW95" s="108"/>
      <c r="PHX95" s="108"/>
      <c r="PHY95" s="108"/>
      <c r="PHZ95" s="108"/>
      <c r="PIA95" s="108"/>
      <c r="PIB95" s="108"/>
      <c r="PIC95" s="108"/>
      <c r="PID95" s="108"/>
      <c r="PIE95" s="108"/>
      <c r="PIF95" s="108"/>
      <c r="PIG95" s="108"/>
      <c r="PIH95" s="108"/>
      <c r="PII95" s="108"/>
      <c r="PIJ95" s="108"/>
      <c r="PIK95" s="108"/>
      <c r="PIL95" s="108"/>
      <c r="PIM95" s="108"/>
      <c r="PIN95" s="108"/>
      <c r="PIO95" s="108"/>
      <c r="PIP95" s="108"/>
      <c r="PIQ95" s="108"/>
      <c r="PIR95" s="108"/>
      <c r="PIS95" s="108"/>
      <c r="PIT95" s="108"/>
      <c r="PIU95" s="108"/>
      <c r="PIV95" s="108"/>
      <c r="PIW95" s="108"/>
      <c r="PIX95" s="108"/>
      <c r="PIY95" s="108"/>
      <c r="PIZ95" s="108"/>
      <c r="PJA95" s="108"/>
      <c r="PJB95" s="108"/>
      <c r="PJC95" s="108"/>
      <c r="PJD95" s="108"/>
      <c r="PJE95" s="108"/>
      <c r="PJF95" s="108"/>
      <c r="PJG95" s="108"/>
      <c r="PJH95" s="108"/>
      <c r="PJI95" s="108"/>
      <c r="PJJ95" s="108"/>
      <c r="PJK95" s="108"/>
      <c r="PJL95" s="108"/>
      <c r="PJM95" s="108"/>
      <c r="PJN95" s="108"/>
      <c r="PJO95" s="108"/>
      <c r="PJP95" s="108"/>
      <c r="PJQ95" s="108"/>
      <c r="PJR95" s="108"/>
      <c r="PJS95" s="108"/>
      <c r="PJT95" s="108"/>
      <c r="PJU95" s="108"/>
      <c r="PJV95" s="108"/>
      <c r="PJW95" s="108"/>
      <c r="PJX95" s="108"/>
      <c r="PJY95" s="108"/>
      <c r="PJZ95" s="108"/>
      <c r="PKA95" s="108"/>
      <c r="PKB95" s="108"/>
      <c r="PKC95" s="108"/>
      <c r="PKD95" s="108"/>
      <c r="PKE95" s="108"/>
      <c r="PKF95" s="108"/>
      <c r="PKG95" s="108"/>
      <c r="PKH95" s="108"/>
      <c r="PKI95" s="108"/>
      <c r="PKJ95" s="108"/>
      <c r="PKK95" s="108"/>
      <c r="PKL95" s="108"/>
      <c r="PKM95" s="108"/>
      <c r="PKN95" s="108"/>
      <c r="PKO95" s="108"/>
      <c r="PKP95" s="108"/>
      <c r="PKQ95" s="108"/>
      <c r="PKR95" s="108"/>
      <c r="PKS95" s="108"/>
      <c r="PKT95" s="108"/>
      <c r="PKU95" s="108"/>
      <c r="PKV95" s="108"/>
      <c r="PKW95" s="108"/>
      <c r="PKX95" s="108"/>
      <c r="PKY95" s="108"/>
      <c r="PKZ95" s="108"/>
      <c r="PLA95" s="108"/>
      <c r="PLB95" s="108"/>
      <c r="PLC95" s="108"/>
      <c r="PLD95" s="108"/>
      <c r="PLE95" s="108"/>
      <c r="PLF95" s="108"/>
      <c r="PLG95" s="108"/>
      <c r="PLH95" s="108"/>
      <c r="PLI95" s="108"/>
      <c r="PLJ95" s="108"/>
      <c r="PLK95" s="108"/>
      <c r="PLL95" s="108"/>
      <c r="PLM95" s="108"/>
      <c r="PLN95" s="108"/>
      <c r="PLO95" s="108"/>
      <c r="PLP95" s="108"/>
      <c r="PLQ95" s="108"/>
      <c r="PLR95" s="108"/>
      <c r="PLS95" s="108"/>
      <c r="PLT95" s="108"/>
      <c r="PLU95" s="108"/>
      <c r="PLV95" s="108"/>
      <c r="PLW95" s="108"/>
      <c r="PLX95" s="108"/>
      <c r="PLY95" s="108"/>
      <c r="PLZ95" s="108"/>
      <c r="PMA95" s="108"/>
      <c r="PMB95" s="108"/>
      <c r="PMC95" s="108"/>
      <c r="PMD95" s="108"/>
      <c r="PME95" s="108"/>
      <c r="PMF95" s="108"/>
      <c r="PMG95" s="108"/>
      <c r="PMH95" s="108"/>
      <c r="PMI95" s="108"/>
      <c r="PMJ95" s="108"/>
      <c r="PMK95" s="108"/>
      <c r="PML95" s="108"/>
      <c r="PMM95" s="108"/>
      <c r="PMN95" s="108"/>
      <c r="PMO95" s="108"/>
      <c r="PMP95" s="108"/>
      <c r="PMQ95" s="108"/>
      <c r="PMR95" s="108"/>
      <c r="PMS95" s="108"/>
      <c r="PMT95" s="108"/>
      <c r="PMU95" s="108"/>
      <c r="PMV95" s="108"/>
      <c r="PMW95" s="108"/>
      <c r="PMX95" s="108"/>
      <c r="PMY95" s="108"/>
      <c r="PMZ95" s="108"/>
      <c r="PNA95" s="108"/>
      <c r="PNB95" s="108"/>
      <c r="PNC95" s="108"/>
      <c r="PND95" s="108"/>
      <c r="PNE95" s="108"/>
      <c r="PNF95" s="108"/>
      <c r="PNG95" s="108"/>
      <c r="PNH95" s="108"/>
      <c r="PNI95" s="108"/>
      <c r="PNJ95" s="108"/>
      <c r="PNK95" s="108"/>
      <c r="PNL95" s="108"/>
      <c r="PNM95" s="108"/>
      <c r="PNN95" s="108"/>
      <c r="PNO95" s="108"/>
      <c r="PNP95" s="108"/>
      <c r="PNQ95" s="108"/>
      <c r="PNR95" s="108"/>
      <c r="PNS95" s="108"/>
      <c r="PNT95" s="108"/>
      <c r="PNU95" s="108"/>
      <c r="PNV95" s="108"/>
      <c r="PNW95" s="108"/>
      <c r="PNX95" s="108"/>
      <c r="PNY95" s="108"/>
      <c r="PNZ95" s="108"/>
      <c r="POA95" s="108"/>
      <c r="POB95" s="108"/>
      <c r="POC95" s="108"/>
      <c r="POD95" s="108"/>
      <c r="POE95" s="108"/>
      <c r="POF95" s="108"/>
      <c r="POG95" s="108"/>
      <c r="POH95" s="108"/>
      <c r="POI95" s="108"/>
      <c r="POJ95" s="108"/>
      <c r="POK95" s="108"/>
      <c r="POL95" s="108"/>
      <c r="POM95" s="108"/>
      <c r="PON95" s="108"/>
      <c r="POO95" s="108"/>
      <c r="POP95" s="108"/>
      <c r="POQ95" s="108"/>
      <c r="POR95" s="108"/>
      <c r="POS95" s="108"/>
      <c r="POT95" s="108"/>
      <c r="POU95" s="108"/>
      <c r="POV95" s="108"/>
      <c r="POW95" s="108"/>
      <c r="POX95" s="108"/>
      <c r="POY95" s="108"/>
      <c r="POZ95" s="108"/>
      <c r="PPA95" s="108"/>
      <c r="PPB95" s="108"/>
      <c r="PPC95" s="108"/>
      <c r="PPD95" s="108"/>
      <c r="PPE95" s="108"/>
      <c r="PPF95" s="108"/>
      <c r="PPG95" s="108"/>
      <c r="PPH95" s="108"/>
      <c r="PPI95" s="108"/>
      <c r="PPJ95" s="108"/>
      <c r="PPK95" s="108"/>
      <c r="PPL95" s="108"/>
      <c r="PPM95" s="108"/>
      <c r="PPN95" s="108"/>
      <c r="PPO95" s="108"/>
      <c r="PPP95" s="108"/>
      <c r="PPQ95" s="108"/>
      <c r="PPR95" s="108"/>
      <c r="PPS95" s="108"/>
      <c r="PPT95" s="108"/>
      <c r="PPU95" s="108"/>
      <c r="PPV95" s="108"/>
      <c r="PPW95" s="108"/>
      <c r="PPX95" s="108"/>
      <c r="PPY95" s="108"/>
      <c r="PPZ95" s="108"/>
      <c r="PQA95" s="108"/>
      <c r="PQB95" s="108"/>
      <c r="PQC95" s="108"/>
      <c r="PQD95" s="108"/>
      <c r="PQE95" s="108"/>
      <c r="PQF95" s="108"/>
      <c r="PQG95" s="108"/>
      <c r="PQH95" s="108"/>
      <c r="PQI95" s="108"/>
      <c r="PQJ95" s="108"/>
      <c r="PQK95" s="108"/>
      <c r="PQL95" s="108"/>
      <c r="PQM95" s="108"/>
      <c r="PQN95" s="108"/>
      <c r="PQO95" s="108"/>
      <c r="PQP95" s="108"/>
      <c r="PQQ95" s="108"/>
      <c r="PQR95" s="108"/>
      <c r="PQS95" s="108"/>
      <c r="PQT95" s="108"/>
      <c r="PQU95" s="108"/>
      <c r="PQV95" s="108"/>
      <c r="PQW95" s="108"/>
      <c r="PQX95" s="108"/>
      <c r="PQY95" s="108"/>
      <c r="PQZ95" s="108"/>
      <c r="PRA95" s="108"/>
      <c r="PRB95" s="108"/>
      <c r="PRC95" s="108"/>
      <c r="PRD95" s="108"/>
      <c r="PRE95" s="108"/>
      <c r="PRF95" s="108"/>
      <c r="PRG95" s="108"/>
      <c r="PRH95" s="108"/>
      <c r="PRI95" s="108"/>
      <c r="PRJ95" s="108"/>
      <c r="PRK95" s="108"/>
      <c r="PRL95" s="108"/>
      <c r="PRM95" s="108"/>
      <c r="PRN95" s="108"/>
      <c r="PRO95" s="108"/>
      <c r="PRP95" s="108"/>
      <c r="PRQ95" s="108"/>
      <c r="PRR95" s="108"/>
      <c r="PRS95" s="108"/>
      <c r="PRT95" s="108"/>
      <c r="PRU95" s="108"/>
      <c r="PRV95" s="108"/>
      <c r="PRW95" s="108"/>
      <c r="PRX95" s="108"/>
      <c r="PRY95" s="108"/>
      <c r="PRZ95" s="108"/>
      <c r="PSA95" s="108"/>
      <c r="PSB95" s="108"/>
      <c r="PSC95" s="108"/>
      <c r="PSD95" s="108"/>
      <c r="PSE95" s="108"/>
      <c r="PSF95" s="108"/>
      <c r="PSG95" s="108"/>
      <c r="PSH95" s="108"/>
      <c r="PSI95" s="108"/>
      <c r="PSJ95" s="108"/>
      <c r="PSK95" s="108"/>
      <c r="PSL95" s="108"/>
      <c r="PSM95" s="108"/>
      <c r="PSN95" s="108"/>
      <c r="PSO95" s="108"/>
      <c r="PSP95" s="108"/>
      <c r="PSQ95" s="108"/>
      <c r="PSR95" s="108"/>
      <c r="PSS95" s="108"/>
      <c r="PST95" s="108"/>
      <c r="PSU95" s="108"/>
      <c r="PSV95" s="108"/>
      <c r="PSW95" s="108"/>
      <c r="PSX95" s="108"/>
      <c r="PSY95" s="108"/>
      <c r="PSZ95" s="108"/>
      <c r="PTA95" s="108"/>
      <c r="PTB95" s="108"/>
      <c r="PTC95" s="108"/>
      <c r="PTD95" s="108"/>
      <c r="PTE95" s="108"/>
      <c r="PTF95" s="108"/>
      <c r="PTG95" s="108"/>
      <c r="PTH95" s="108"/>
      <c r="PTI95" s="108"/>
      <c r="PTJ95" s="108"/>
      <c r="PTK95" s="108"/>
      <c r="PTL95" s="108"/>
      <c r="PTM95" s="108"/>
      <c r="PTN95" s="108"/>
      <c r="PTO95" s="108"/>
      <c r="PTP95" s="108"/>
      <c r="PTQ95" s="108"/>
      <c r="PTR95" s="108"/>
      <c r="PTS95" s="108"/>
      <c r="PTT95" s="108"/>
      <c r="PTU95" s="108"/>
      <c r="PTV95" s="108"/>
      <c r="PTW95" s="108"/>
      <c r="PTX95" s="108"/>
      <c r="PTY95" s="108"/>
      <c r="PTZ95" s="108"/>
      <c r="PUA95" s="108"/>
      <c r="PUB95" s="108"/>
      <c r="PUC95" s="108"/>
      <c r="PUD95" s="108"/>
      <c r="PUE95" s="108"/>
      <c r="PUF95" s="108"/>
      <c r="PUG95" s="108"/>
      <c r="PUH95" s="108"/>
      <c r="PUI95" s="108"/>
      <c r="PUJ95" s="108"/>
      <c r="PUK95" s="108"/>
      <c r="PUL95" s="108"/>
      <c r="PUM95" s="108"/>
      <c r="PUN95" s="108"/>
      <c r="PUO95" s="108"/>
      <c r="PUP95" s="108"/>
      <c r="PUQ95" s="108"/>
      <c r="PUR95" s="108"/>
      <c r="PUS95" s="108"/>
      <c r="PUT95" s="108"/>
      <c r="PUU95" s="108"/>
      <c r="PUV95" s="108"/>
      <c r="PUW95" s="108"/>
      <c r="PUX95" s="108"/>
      <c r="PUY95" s="108"/>
      <c r="PUZ95" s="108"/>
      <c r="PVA95" s="108"/>
      <c r="PVB95" s="108"/>
      <c r="PVC95" s="108"/>
      <c r="PVD95" s="108"/>
      <c r="PVE95" s="108"/>
      <c r="PVF95" s="108"/>
      <c r="PVG95" s="108"/>
      <c r="PVH95" s="108"/>
      <c r="PVI95" s="108"/>
      <c r="PVJ95" s="108"/>
      <c r="PVK95" s="108"/>
      <c r="PVL95" s="108"/>
      <c r="PVM95" s="108"/>
      <c r="PVN95" s="108"/>
      <c r="PVO95" s="108"/>
      <c r="PVP95" s="108"/>
      <c r="PVQ95" s="108"/>
      <c r="PVR95" s="108"/>
      <c r="PVS95" s="108"/>
      <c r="PVT95" s="108"/>
      <c r="PVU95" s="108"/>
      <c r="PVV95" s="108"/>
      <c r="PVW95" s="108"/>
      <c r="PVX95" s="108"/>
      <c r="PVY95" s="108"/>
      <c r="PVZ95" s="108"/>
      <c r="PWA95" s="108"/>
      <c r="PWB95" s="108"/>
      <c r="PWC95" s="108"/>
      <c r="PWD95" s="108"/>
      <c r="PWE95" s="108"/>
      <c r="PWF95" s="108"/>
      <c r="PWG95" s="108"/>
      <c r="PWH95" s="108"/>
      <c r="PWI95" s="108"/>
      <c r="PWJ95" s="108"/>
      <c r="PWK95" s="108"/>
      <c r="PWL95" s="108"/>
      <c r="PWM95" s="108"/>
      <c r="PWN95" s="108"/>
      <c r="PWO95" s="108"/>
      <c r="PWP95" s="108"/>
      <c r="PWQ95" s="108"/>
      <c r="PWR95" s="108"/>
      <c r="PWS95" s="108"/>
      <c r="PWT95" s="108"/>
      <c r="PWU95" s="108"/>
      <c r="PWV95" s="108"/>
      <c r="PWW95" s="108"/>
      <c r="PWX95" s="108"/>
      <c r="PWY95" s="108"/>
      <c r="PWZ95" s="108"/>
      <c r="PXA95" s="108"/>
      <c r="PXB95" s="108"/>
      <c r="PXC95" s="108"/>
      <c r="PXD95" s="108"/>
      <c r="PXE95" s="108"/>
      <c r="PXF95" s="108"/>
      <c r="PXG95" s="108"/>
      <c r="PXH95" s="108"/>
      <c r="PXI95" s="108"/>
      <c r="PXJ95" s="108"/>
      <c r="PXK95" s="108"/>
      <c r="PXL95" s="108"/>
      <c r="PXM95" s="108"/>
      <c r="PXN95" s="108"/>
      <c r="PXO95" s="108"/>
      <c r="PXP95" s="108"/>
      <c r="PXQ95" s="108"/>
      <c r="PXR95" s="108"/>
      <c r="PXS95" s="108"/>
      <c r="PXT95" s="108"/>
      <c r="PXU95" s="108"/>
      <c r="PXV95" s="108"/>
      <c r="PXW95" s="108"/>
      <c r="PXX95" s="108"/>
      <c r="PXY95" s="108"/>
      <c r="PXZ95" s="108"/>
      <c r="PYA95" s="108"/>
      <c r="PYB95" s="108"/>
      <c r="PYC95" s="108"/>
      <c r="PYD95" s="108"/>
      <c r="PYE95" s="108"/>
      <c r="PYF95" s="108"/>
      <c r="PYG95" s="108"/>
      <c r="PYH95" s="108"/>
      <c r="PYI95" s="108"/>
      <c r="PYJ95" s="108"/>
      <c r="PYK95" s="108"/>
      <c r="PYL95" s="108"/>
      <c r="PYM95" s="108"/>
      <c r="PYN95" s="108"/>
      <c r="PYO95" s="108"/>
      <c r="PYP95" s="108"/>
      <c r="PYQ95" s="108"/>
      <c r="PYR95" s="108"/>
      <c r="PYS95" s="108"/>
      <c r="PYT95" s="108"/>
      <c r="PYU95" s="108"/>
      <c r="PYV95" s="108"/>
      <c r="PYW95" s="108"/>
      <c r="PYX95" s="108"/>
      <c r="PYY95" s="108"/>
      <c r="PYZ95" s="108"/>
      <c r="PZA95" s="108"/>
      <c r="PZB95" s="108"/>
      <c r="PZC95" s="108"/>
      <c r="PZD95" s="108"/>
      <c r="PZE95" s="108"/>
      <c r="PZF95" s="108"/>
      <c r="PZG95" s="108"/>
      <c r="PZH95" s="108"/>
      <c r="PZI95" s="108"/>
      <c r="PZJ95" s="108"/>
      <c r="PZK95" s="108"/>
      <c r="PZL95" s="108"/>
      <c r="PZM95" s="108"/>
      <c r="PZN95" s="108"/>
      <c r="PZO95" s="108"/>
      <c r="PZP95" s="108"/>
      <c r="PZQ95" s="108"/>
      <c r="PZR95" s="108"/>
      <c r="PZS95" s="108"/>
      <c r="PZT95" s="108"/>
      <c r="PZU95" s="108"/>
      <c r="PZV95" s="108"/>
      <c r="PZW95" s="108"/>
      <c r="PZX95" s="108"/>
      <c r="PZY95" s="108"/>
      <c r="PZZ95" s="108"/>
      <c r="QAA95" s="108"/>
      <c r="QAB95" s="108"/>
      <c r="QAC95" s="108"/>
      <c r="QAD95" s="108"/>
      <c r="QAE95" s="108"/>
      <c r="QAF95" s="108"/>
      <c r="QAG95" s="108"/>
      <c r="QAH95" s="108"/>
      <c r="QAI95" s="108"/>
      <c r="QAJ95" s="108"/>
      <c r="QAK95" s="108"/>
      <c r="QAL95" s="108"/>
      <c r="QAM95" s="108"/>
      <c r="QAN95" s="108"/>
      <c r="QAO95" s="108"/>
      <c r="QAP95" s="108"/>
      <c r="QAQ95" s="108"/>
      <c r="QAR95" s="108"/>
      <c r="QAS95" s="108"/>
      <c r="QAT95" s="108"/>
      <c r="QAU95" s="108"/>
      <c r="QAV95" s="108"/>
      <c r="QAW95" s="108"/>
      <c r="QAX95" s="108"/>
      <c r="QAY95" s="108"/>
      <c r="QAZ95" s="108"/>
      <c r="QBA95" s="108"/>
      <c r="QBB95" s="108"/>
      <c r="QBC95" s="108"/>
      <c r="QBD95" s="108"/>
      <c r="QBE95" s="108"/>
      <c r="QBF95" s="108"/>
      <c r="QBG95" s="108"/>
      <c r="QBH95" s="108"/>
      <c r="QBI95" s="108"/>
      <c r="QBJ95" s="108"/>
      <c r="QBK95" s="108"/>
      <c r="QBL95" s="108"/>
      <c r="QBM95" s="108"/>
      <c r="QBN95" s="108"/>
      <c r="QBO95" s="108"/>
      <c r="QBP95" s="108"/>
      <c r="QBQ95" s="108"/>
      <c r="QBR95" s="108"/>
      <c r="QBS95" s="108"/>
      <c r="QBT95" s="108"/>
      <c r="QBU95" s="108"/>
      <c r="QBV95" s="108"/>
      <c r="QBW95" s="108"/>
      <c r="QBX95" s="108"/>
      <c r="QBY95" s="108"/>
      <c r="QBZ95" s="108"/>
      <c r="QCA95" s="108"/>
      <c r="QCB95" s="108"/>
      <c r="QCC95" s="108"/>
      <c r="QCD95" s="108"/>
      <c r="QCE95" s="108"/>
      <c r="QCF95" s="108"/>
      <c r="QCG95" s="108"/>
      <c r="QCH95" s="108"/>
      <c r="QCI95" s="108"/>
      <c r="QCJ95" s="108"/>
      <c r="QCK95" s="108"/>
      <c r="QCL95" s="108"/>
      <c r="QCM95" s="108"/>
      <c r="QCN95" s="108"/>
      <c r="QCO95" s="108"/>
      <c r="QCP95" s="108"/>
      <c r="QCQ95" s="108"/>
      <c r="QCR95" s="108"/>
      <c r="QCS95" s="108"/>
      <c r="QCT95" s="108"/>
      <c r="QCU95" s="108"/>
      <c r="QCV95" s="108"/>
      <c r="QCW95" s="108"/>
      <c r="QCX95" s="108"/>
      <c r="QCY95" s="108"/>
      <c r="QCZ95" s="108"/>
      <c r="QDA95" s="108"/>
      <c r="QDB95" s="108"/>
      <c r="QDC95" s="108"/>
      <c r="QDD95" s="108"/>
      <c r="QDE95" s="108"/>
      <c r="QDF95" s="108"/>
      <c r="QDG95" s="108"/>
      <c r="QDH95" s="108"/>
      <c r="QDI95" s="108"/>
      <c r="QDJ95" s="108"/>
      <c r="QDK95" s="108"/>
      <c r="QDL95" s="108"/>
      <c r="QDM95" s="108"/>
      <c r="QDN95" s="108"/>
      <c r="QDO95" s="108"/>
      <c r="QDP95" s="108"/>
      <c r="QDQ95" s="108"/>
      <c r="QDR95" s="108"/>
      <c r="QDS95" s="108"/>
      <c r="QDT95" s="108"/>
      <c r="QDU95" s="108"/>
      <c r="QDV95" s="108"/>
      <c r="QDW95" s="108"/>
      <c r="QDX95" s="108"/>
      <c r="QDY95" s="108"/>
      <c r="QDZ95" s="108"/>
      <c r="QEA95" s="108"/>
      <c r="QEB95" s="108"/>
      <c r="QEC95" s="108"/>
      <c r="QED95" s="108"/>
      <c r="QEE95" s="108"/>
      <c r="QEF95" s="108"/>
      <c r="QEG95" s="108"/>
      <c r="QEH95" s="108"/>
      <c r="QEI95" s="108"/>
      <c r="QEJ95" s="108"/>
      <c r="QEK95" s="108"/>
      <c r="QEL95" s="108"/>
      <c r="QEM95" s="108"/>
      <c r="QEN95" s="108"/>
      <c r="QEO95" s="108"/>
      <c r="QEP95" s="108"/>
      <c r="QEQ95" s="108"/>
      <c r="QER95" s="108"/>
      <c r="QES95" s="108"/>
      <c r="QET95" s="108"/>
      <c r="QEU95" s="108"/>
      <c r="QEV95" s="108"/>
      <c r="QEW95" s="108"/>
      <c r="QEX95" s="108"/>
      <c r="QEY95" s="108"/>
      <c r="QEZ95" s="108"/>
      <c r="QFA95" s="108"/>
      <c r="QFB95" s="108"/>
      <c r="QFC95" s="108"/>
      <c r="QFD95" s="108"/>
      <c r="QFE95" s="108"/>
      <c r="QFF95" s="108"/>
      <c r="QFG95" s="108"/>
      <c r="QFH95" s="108"/>
      <c r="QFI95" s="108"/>
      <c r="QFJ95" s="108"/>
      <c r="QFK95" s="108"/>
      <c r="QFL95" s="108"/>
      <c r="QFM95" s="108"/>
      <c r="QFN95" s="108"/>
      <c r="QFO95" s="108"/>
      <c r="QFP95" s="108"/>
      <c r="QFQ95" s="108"/>
      <c r="QFR95" s="108"/>
      <c r="QFS95" s="108"/>
      <c r="QFT95" s="108"/>
      <c r="QFU95" s="108"/>
      <c r="QFV95" s="108"/>
      <c r="QFW95" s="108"/>
      <c r="QFX95" s="108"/>
      <c r="QFY95" s="108"/>
      <c r="QFZ95" s="108"/>
      <c r="QGA95" s="108"/>
      <c r="QGB95" s="108"/>
      <c r="QGC95" s="108"/>
      <c r="QGD95" s="108"/>
      <c r="QGE95" s="108"/>
      <c r="QGF95" s="108"/>
      <c r="QGG95" s="108"/>
      <c r="QGH95" s="108"/>
      <c r="QGI95" s="108"/>
      <c r="QGJ95" s="108"/>
      <c r="QGK95" s="108"/>
      <c r="QGL95" s="108"/>
      <c r="QGM95" s="108"/>
      <c r="QGN95" s="108"/>
      <c r="QGO95" s="108"/>
      <c r="QGP95" s="108"/>
      <c r="QGQ95" s="108"/>
      <c r="QGR95" s="108"/>
      <c r="QGS95" s="108"/>
      <c r="QGT95" s="108"/>
      <c r="QGU95" s="108"/>
      <c r="QGV95" s="108"/>
      <c r="QGW95" s="108"/>
      <c r="QGX95" s="108"/>
      <c r="QGY95" s="108"/>
      <c r="QGZ95" s="108"/>
      <c r="QHA95" s="108"/>
      <c r="QHB95" s="108"/>
      <c r="QHC95" s="108"/>
      <c r="QHD95" s="108"/>
      <c r="QHE95" s="108"/>
      <c r="QHF95" s="108"/>
      <c r="QHG95" s="108"/>
      <c r="QHH95" s="108"/>
      <c r="QHI95" s="108"/>
      <c r="QHJ95" s="108"/>
      <c r="QHK95" s="108"/>
      <c r="QHL95" s="108"/>
      <c r="QHM95" s="108"/>
      <c r="QHN95" s="108"/>
      <c r="QHO95" s="108"/>
      <c r="QHP95" s="108"/>
      <c r="QHQ95" s="108"/>
      <c r="QHR95" s="108"/>
      <c r="QHS95" s="108"/>
      <c r="QHT95" s="108"/>
      <c r="QHU95" s="108"/>
      <c r="QHV95" s="108"/>
      <c r="QHW95" s="108"/>
      <c r="QHX95" s="108"/>
      <c r="QHY95" s="108"/>
      <c r="QHZ95" s="108"/>
      <c r="QIA95" s="108"/>
      <c r="QIB95" s="108"/>
      <c r="QIC95" s="108"/>
      <c r="QID95" s="108"/>
      <c r="QIE95" s="108"/>
      <c r="QIF95" s="108"/>
      <c r="QIG95" s="108"/>
      <c r="QIH95" s="108"/>
      <c r="QII95" s="108"/>
      <c r="QIJ95" s="108"/>
      <c r="QIK95" s="108"/>
      <c r="QIL95" s="108"/>
      <c r="QIM95" s="108"/>
      <c r="QIN95" s="108"/>
      <c r="QIO95" s="108"/>
      <c r="QIP95" s="108"/>
      <c r="QIQ95" s="108"/>
      <c r="QIR95" s="108"/>
      <c r="QIS95" s="108"/>
      <c r="QIT95" s="108"/>
      <c r="QIU95" s="108"/>
      <c r="QIV95" s="108"/>
      <c r="QIW95" s="108"/>
      <c r="QIX95" s="108"/>
      <c r="QIY95" s="108"/>
      <c r="QIZ95" s="108"/>
      <c r="QJA95" s="108"/>
      <c r="QJB95" s="108"/>
      <c r="QJC95" s="108"/>
      <c r="QJD95" s="108"/>
      <c r="QJE95" s="108"/>
      <c r="QJF95" s="108"/>
      <c r="QJG95" s="108"/>
      <c r="QJH95" s="108"/>
      <c r="QJI95" s="108"/>
      <c r="QJJ95" s="108"/>
      <c r="QJK95" s="108"/>
      <c r="QJL95" s="108"/>
      <c r="QJM95" s="108"/>
      <c r="QJN95" s="108"/>
      <c r="QJO95" s="108"/>
      <c r="QJP95" s="108"/>
      <c r="QJQ95" s="108"/>
      <c r="QJR95" s="108"/>
      <c r="QJS95" s="108"/>
      <c r="QJT95" s="108"/>
      <c r="QJU95" s="108"/>
      <c r="QJV95" s="108"/>
      <c r="QJW95" s="108"/>
      <c r="QJX95" s="108"/>
      <c r="QJY95" s="108"/>
      <c r="QJZ95" s="108"/>
      <c r="QKA95" s="108"/>
      <c r="QKB95" s="108"/>
      <c r="QKC95" s="108"/>
      <c r="QKD95" s="108"/>
      <c r="QKE95" s="108"/>
      <c r="QKF95" s="108"/>
      <c r="QKG95" s="108"/>
      <c r="QKH95" s="108"/>
      <c r="QKI95" s="108"/>
      <c r="QKJ95" s="108"/>
      <c r="QKK95" s="108"/>
      <c r="QKL95" s="108"/>
      <c r="QKM95" s="108"/>
      <c r="QKN95" s="108"/>
      <c r="QKO95" s="108"/>
      <c r="QKP95" s="108"/>
      <c r="QKQ95" s="108"/>
      <c r="QKR95" s="108"/>
      <c r="QKS95" s="108"/>
      <c r="QKT95" s="108"/>
      <c r="QKU95" s="108"/>
      <c r="QKV95" s="108"/>
      <c r="QKW95" s="108"/>
      <c r="QKX95" s="108"/>
      <c r="QKY95" s="108"/>
      <c r="QKZ95" s="108"/>
      <c r="QLA95" s="108"/>
      <c r="QLB95" s="108"/>
      <c r="QLC95" s="108"/>
      <c r="QLD95" s="108"/>
      <c r="QLE95" s="108"/>
      <c r="QLF95" s="108"/>
      <c r="QLG95" s="108"/>
      <c r="QLH95" s="108"/>
      <c r="QLI95" s="108"/>
      <c r="QLJ95" s="108"/>
      <c r="QLK95" s="108"/>
      <c r="QLL95" s="108"/>
      <c r="QLM95" s="108"/>
      <c r="QLN95" s="108"/>
      <c r="QLO95" s="108"/>
      <c r="QLP95" s="108"/>
      <c r="QLQ95" s="108"/>
      <c r="QLR95" s="108"/>
      <c r="QLS95" s="108"/>
      <c r="QLT95" s="108"/>
      <c r="QLU95" s="108"/>
      <c r="QLV95" s="108"/>
      <c r="QLW95" s="108"/>
      <c r="QLX95" s="108"/>
      <c r="QLY95" s="108"/>
      <c r="QLZ95" s="108"/>
      <c r="QMA95" s="108"/>
      <c r="QMB95" s="108"/>
      <c r="QMC95" s="108"/>
      <c r="QMD95" s="108"/>
      <c r="QME95" s="108"/>
      <c r="QMF95" s="108"/>
      <c r="QMG95" s="108"/>
      <c r="QMH95" s="108"/>
      <c r="QMI95" s="108"/>
      <c r="QMJ95" s="108"/>
      <c r="QMK95" s="108"/>
      <c r="QML95" s="108"/>
      <c r="QMM95" s="108"/>
      <c r="QMN95" s="108"/>
      <c r="QMO95" s="108"/>
      <c r="QMP95" s="108"/>
      <c r="QMQ95" s="108"/>
      <c r="QMR95" s="108"/>
      <c r="QMS95" s="108"/>
      <c r="QMT95" s="108"/>
      <c r="QMU95" s="108"/>
      <c r="QMV95" s="108"/>
      <c r="QMW95" s="108"/>
      <c r="QMX95" s="108"/>
      <c r="QMY95" s="108"/>
      <c r="QMZ95" s="108"/>
      <c r="QNA95" s="108"/>
      <c r="QNB95" s="108"/>
      <c r="QNC95" s="108"/>
      <c r="QND95" s="108"/>
      <c r="QNE95" s="108"/>
      <c r="QNF95" s="108"/>
      <c r="QNG95" s="108"/>
      <c r="QNH95" s="108"/>
      <c r="QNI95" s="108"/>
      <c r="QNJ95" s="108"/>
      <c r="QNK95" s="108"/>
      <c r="QNL95" s="108"/>
      <c r="QNM95" s="108"/>
      <c r="QNN95" s="108"/>
      <c r="QNO95" s="108"/>
      <c r="QNP95" s="108"/>
      <c r="QNQ95" s="108"/>
      <c r="QNR95" s="108"/>
      <c r="QNS95" s="108"/>
      <c r="QNT95" s="108"/>
      <c r="QNU95" s="108"/>
      <c r="QNV95" s="108"/>
      <c r="QNW95" s="108"/>
      <c r="QNX95" s="108"/>
      <c r="QNY95" s="108"/>
      <c r="QNZ95" s="108"/>
      <c r="QOA95" s="108"/>
      <c r="QOB95" s="108"/>
      <c r="QOC95" s="108"/>
      <c r="QOD95" s="108"/>
      <c r="QOE95" s="108"/>
      <c r="QOF95" s="108"/>
      <c r="QOG95" s="108"/>
      <c r="QOH95" s="108"/>
      <c r="QOI95" s="108"/>
      <c r="QOJ95" s="108"/>
      <c r="QOK95" s="108"/>
      <c r="QOL95" s="108"/>
      <c r="QOM95" s="108"/>
      <c r="QON95" s="108"/>
      <c r="QOO95" s="108"/>
      <c r="QOP95" s="108"/>
      <c r="QOQ95" s="108"/>
      <c r="QOR95" s="108"/>
      <c r="QOS95" s="108"/>
      <c r="QOT95" s="108"/>
      <c r="QOU95" s="108"/>
      <c r="QOV95" s="108"/>
      <c r="QOW95" s="108"/>
      <c r="QOX95" s="108"/>
      <c r="QOY95" s="108"/>
      <c r="QOZ95" s="108"/>
      <c r="QPA95" s="108"/>
      <c r="QPB95" s="108"/>
      <c r="QPC95" s="108"/>
      <c r="QPD95" s="108"/>
      <c r="QPE95" s="108"/>
      <c r="QPF95" s="108"/>
      <c r="QPG95" s="108"/>
      <c r="QPH95" s="108"/>
      <c r="QPI95" s="108"/>
      <c r="QPJ95" s="108"/>
      <c r="QPK95" s="108"/>
      <c r="QPL95" s="108"/>
      <c r="QPM95" s="108"/>
      <c r="QPN95" s="108"/>
      <c r="QPO95" s="108"/>
      <c r="QPP95" s="108"/>
      <c r="QPQ95" s="108"/>
      <c r="QPR95" s="108"/>
      <c r="QPS95" s="108"/>
      <c r="QPT95" s="108"/>
      <c r="QPU95" s="108"/>
      <c r="QPV95" s="108"/>
      <c r="QPW95" s="108"/>
      <c r="QPX95" s="108"/>
      <c r="QPY95" s="108"/>
      <c r="QPZ95" s="108"/>
      <c r="QQA95" s="108"/>
      <c r="QQB95" s="108"/>
      <c r="QQC95" s="108"/>
      <c r="QQD95" s="108"/>
      <c r="QQE95" s="108"/>
      <c r="QQF95" s="108"/>
      <c r="QQG95" s="108"/>
      <c r="QQH95" s="108"/>
      <c r="QQI95" s="108"/>
      <c r="QQJ95" s="108"/>
      <c r="QQK95" s="108"/>
      <c r="QQL95" s="108"/>
      <c r="QQM95" s="108"/>
      <c r="QQN95" s="108"/>
      <c r="QQO95" s="108"/>
      <c r="QQP95" s="108"/>
      <c r="QQQ95" s="108"/>
      <c r="QQR95" s="108"/>
      <c r="QQS95" s="108"/>
      <c r="QQT95" s="108"/>
      <c r="QQU95" s="108"/>
      <c r="QQV95" s="108"/>
      <c r="QQW95" s="108"/>
      <c r="QQX95" s="108"/>
      <c r="QQY95" s="108"/>
      <c r="QQZ95" s="108"/>
      <c r="QRA95" s="108"/>
      <c r="QRB95" s="108"/>
      <c r="QRC95" s="108"/>
      <c r="QRD95" s="108"/>
      <c r="QRE95" s="108"/>
      <c r="QRF95" s="108"/>
      <c r="QRG95" s="108"/>
      <c r="QRH95" s="108"/>
      <c r="QRI95" s="108"/>
      <c r="QRJ95" s="108"/>
      <c r="QRK95" s="108"/>
      <c r="QRL95" s="108"/>
      <c r="QRM95" s="108"/>
      <c r="QRN95" s="108"/>
      <c r="QRO95" s="108"/>
      <c r="QRP95" s="108"/>
      <c r="QRQ95" s="108"/>
      <c r="QRR95" s="108"/>
      <c r="QRS95" s="108"/>
      <c r="QRT95" s="108"/>
      <c r="QRU95" s="108"/>
      <c r="QRV95" s="108"/>
      <c r="QRW95" s="108"/>
      <c r="QRX95" s="108"/>
      <c r="QRY95" s="108"/>
      <c r="QRZ95" s="108"/>
      <c r="QSA95" s="108"/>
      <c r="QSB95" s="108"/>
      <c r="QSC95" s="108"/>
      <c r="QSD95" s="108"/>
      <c r="QSE95" s="108"/>
      <c r="QSF95" s="108"/>
      <c r="QSG95" s="108"/>
      <c r="QSH95" s="108"/>
      <c r="QSI95" s="108"/>
      <c r="QSJ95" s="108"/>
      <c r="QSK95" s="108"/>
      <c r="QSL95" s="108"/>
      <c r="QSM95" s="108"/>
      <c r="QSN95" s="108"/>
      <c r="QSO95" s="108"/>
      <c r="QSP95" s="108"/>
      <c r="QSQ95" s="108"/>
      <c r="QSR95" s="108"/>
      <c r="QSS95" s="108"/>
      <c r="QST95" s="108"/>
      <c r="QSU95" s="108"/>
      <c r="QSV95" s="108"/>
      <c r="QSW95" s="108"/>
      <c r="QSX95" s="108"/>
      <c r="QSY95" s="108"/>
      <c r="QSZ95" s="108"/>
      <c r="QTA95" s="108"/>
      <c r="QTB95" s="108"/>
      <c r="QTC95" s="108"/>
      <c r="QTD95" s="108"/>
      <c r="QTE95" s="108"/>
      <c r="QTF95" s="108"/>
      <c r="QTG95" s="108"/>
      <c r="QTH95" s="108"/>
      <c r="QTI95" s="108"/>
      <c r="QTJ95" s="108"/>
      <c r="QTK95" s="108"/>
      <c r="QTL95" s="108"/>
      <c r="QTM95" s="108"/>
      <c r="QTN95" s="108"/>
      <c r="QTO95" s="108"/>
      <c r="QTP95" s="108"/>
      <c r="QTQ95" s="108"/>
      <c r="QTR95" s="108"/>
      <c r="QTS95" s="108"/>
      <c r="QTT95" s="108"/>
      <c r="QTU95" s="108"/>
      <c r="QTV95" s="108"/>
      <c r="QTW95" s="108"/>
      <c r="QTX95" s="108"/>
      <c r="QTY95" s="108"/>
      <c r="QTZ95" s="108"/>
      <c r="QUA95" s="108"/>
      <c r="QUB95" s="108"/>
      <c r="QUC95" s="108"/>
      <c r="QUD95" s="108"/>
      <c r="QUE95" s="108"/>
      <c r="QUF95" s="108"/>
      <c r="QUG95" s="108"/>
      <c r="QUH95" s="108"/>
      <c r="QUI95" s="108"/>
      <c r="QUJ95" s="108"/>
      <c r="QUK95" s="108"/>
      <c r="QUL95" s="108"/>
      <c r="QUM95" s="108"/>
      <c r="QUN95" s="108"/>
      <c r="QUO95" s="108"/>
      <c r="QUP95" s="108"/>
      <c r="QUQ95" s="108"/>
      <c r="QUR95" s="108"/>
      <c r="QUS95" s="108"/>
      <c r="QUT95" s="108"/>
      <c r="QUU95" s="108"/>
      <c r="QUV95" s="108"/>
      <c r="QUW95" s="108"/>
      <c r="QUX95" s="108"/>
      <c r="QUY95" s="108"/>
      <c r="QUZ95" s="108"/>
      <c r="QVA95" s="108"/>
      <c r="QVB95" s="108"/>
      <c r="QVC95" s="108"/>
      <c r="QVD95" s="108"/>
      <c r="QVE95" s="108"/>
      <c r="QVF95" s="108"/>
      <c r="QVG95" s="108"/>
      <c r="QVH95" s="108"/>
      <c r="QVI95" s="108"/>
      <c r="QVJ95" s="108"/>
      <c r="QVK95" s="108"/>
      <c r="QVL95" s="108"/>
      <c r="QVM95" s="108"/>
      <c r="QVN95" s="108"/>
      <c r="QVO95" s="108"/>
      <c r="QVP95" s="108"/>
      <c r="QVQ95" s="108"/>
      <c r="QVR95" s="108"/>
      <c r="QVS95" s="108"/>
      <c r="QVT95" s="108"/>
      <c r="QVU95" s="108"/>
      <c r="QVV95" s="108"/>
      <c r="QVW95" s="108"/>
      <c r="QVX95" s="108"/>
      <c r="QVY95" s="108"/>
      <c r="QVZ95" s="108"/>
      <c r="QWA95" s="108"/>
      <c r="QWB95" s="108"/>
      <c r="QWC95" s="108"/>
      <c r="QWD95" s="108"/>
      <c r="QWE95" s="108"/>
      <c r="QWF95" s="108"/>
      <c r="QWG95" s="108"/>
      <c r="QWH95" s="108"/>
      <c r="QWI95" s="108"/>
      <c r="QWJ95" s="108"/>
      <c r="QWK95" s="108"/>
      <c r="QWL95" s="108"/>
      <c r="QWM95" s="108"/>
      <c r="QWN95" s="108"/>
      <c r="QWO95" s="108"/>
      <c r="QWP95" s="108"/>
      <c r="QWQ95" s="108"/>
      <c r="QWR95" s="108"/>
      <c r="QWS95" s="108"/>
      <c r="QWT95" s="108"/>
      <c r="QWU95" s="108"/>
      <c r="QWV95" s="108"/>
      <c r="QWW95" s="108"/>
      <c r="QWX95" s="108"/>
      <c r="QWY95" s="108"/>
      <c r="QWZ95" s="108"/>
      <c r="QXA95" s="108"/>
      <c r="QXB95" s="108"/>
      <c r="QXC95" s="108"/>
      <c r="QXD95" s="108"/>
      <c r="QXE95" s="108"/>
      <c r="QXF95" s="108"/>
      <c r="QXG95" s="108"/>
      <c r="QXH95" s="108"/>
      <c r="QXI95" s="108"/>
      <c r="QXJ95" s="108"/>
      <c r="QXK95" s="108"/>
      <c r="QXL95" s="108"/>
      <c r="QXM95" s="108"/>
      <c r="QXN95" s="108"/>
      <c r="QXO95" s="108"/>
      <c r="QXP95" s="108"/>
      <c r="QXQ95" s="108"/>
      <c r="QXR95" s="108"/>
      <c r="QXS95" s="108"/>
      <c r="QXT95" s="108"/>
      <c r="QXU95" s="108"/>
      <c r="QXV95" s="108"/>
      <c r="QXW95" s="108"/>
      <c r="QXX95" s="108"/>
      <c r="QXY95" s="108"/>
      <c r="QXZ95" s="108"/>
      <c r="QYA95" s="108"/>
      <c r="QYB95" s="108"/>
      <c r="QYC95" s="108"/>
      <c r="QYD95" s="108"/>
      <c r="QYE95" s="108"/>
      <c r="QYF95" s="108"/>
      <c r="QYG95" s="108"/>
      <c r="QYH95" s="108"/>
      <c r="QYI95" s="108"/>
      <c r="QYJ95" s="108"/>
      <c r="QYK95" s="108"/>
      <c r="QYL95" s="108"/>
      <c r="QYM95" s="108"/>
      <c r="QYN95" s="108"/>
      <c r="QYO95" s="108"/>
      <c r="QYP95" s="108"/>
      <c r="QYQ95" s="108"/>
      <c r="QYR95" s="108"/>
      <c r="QYS95" s="108"/>
      <c r="QYT95" s="108"/>
      <c r="QYU95" s="108"/>
      <c r="QYV95" s="108"/>
      <c r="QYW95" s="108"/>
      <c r="QYX95" s="108"/>
      <c r="QYY95" s="108"/>
      <c r="QYZ95" s="108"/>
      <c r="QZA95" s="108"/>
      <c r="QZB95" s="108"/>
      <c r="QZC95" s="108"/>
      <c r="QZD95" s="108"/>
      <c r="QZE95" s="108"/>
      <c r="QZF95" s="108"/>
      <c r="QZG95" s="108"/>
      <c r="QZH95" s="108"/>
      <c r="QZI95" s="108"/>
      <c r="QZJ95" s="108"/>
      <c r="QZK95" s="108"/>
      <c r="QZL95" s="108"/>
      <c r="QZM95" s="108"/>
      <c r="QZN95" s="108"/>
      <c r="QZO95" s="108"/>
      <c r="QZP95" s="108"/>
      <c r="QZQ95" s="108"/>
      <c r="QZR95" s="108"/>
      <c r="QZS95" s="108"/>
      <c r="QZT95" s="108"/>
      <c r="QZU95" s="108"/>
      <c r="QZV95" s="108"/>
      <c r="QZW95" s="108"/>
      <c r="QZX95" s="108"/>
      <c r="QZY95" s="108"/>
      <c r="QZZ95" s="108"/>
      <c r="RAA95" s="108"/>
      <c r="RAB95" s="108"/>
      <c r="RAC95" s="108"/>
      <c r="RAD95" s="108"/>
      <c r="RAE95" s="108"/>
      <c r="RAF95" s="108"/>
      <c r="RAG95" s="108"/>
      <c r="RAH95" s="108"/>
      <c r="RAI95" s="108"/>
      <c r="RAJ95" s="108"/>
      <c r="RAK95" s="108"/>
      <c r="RAL95" s="108"/>
      <c r="RAM95" s="108"/>
      <c r="RAN95" s="108"/>
      <c r="RAO95" s="108"/>
      <c r="RAP95" s="108"/>
      <c r="RAQ95" s="108"/>
      <c r="RAR95" s="108"/>
      <c r="RAS95" s="108"/>
      <c r="RAT95" s="108"/>
      <c r="RAU95" s="108"/>
      <c r="RAV95" s="108"/>
      <c r="RAW95" s="108"/>
      <c r="RAX95" s="108"/>
      <c r="RAY95" s="108"/>
      <c r="RAZ95" s="108"/>
      <c r="RBA95" s="108"/>
      <c r="RBB95" s="108"/>
      <c r="RBC95" s="108"/>
      <c r="RBD95" s="108"/>
      <c r="RBE95" s="108"/>
      <c r="RBF95" s="108"/>
      <c r="RBG95" s="108"/>
      <c r="RBH95" s="108"/>
      <c r="RBI95" s="108"/>
      <c r="RBJ95" s="108"/>
      <c r="RBK95" s="108"/>
      <c r="RBL95" s="108"/>
      <c r="RBM95" s="108"/>
      <c r="RBN95" s="108"/>
      <c r="RBO95" s="108"/>
      <c r="RBP95" s="108"/>
      <c r="RBQ95" s="108"/>
      <c r="RBR95" s="108"/>
      <c r="RBS95" s="108"/>
      <c r="RBT95" s="108"/>
      <c r="RBU95" s="108"/>
      <c r="RBV95" s="108"/>
      <c r="RBW95" s="108"/>
      <c r="RBX95" s="108"/>
      <c r="RBY95" s="108"/>
      <c r="RBZ95" s="108"/>
      <c r="RCA95" s="108"/>
      <c r="RCB95" s="108"/>
      <c r="RCC95" s="108"/>
      <c r="RCD95" s="108"/>
      <c r="RCE95" s="108"/>
      <c r="RCF95" s="108"/>
      <c r="RCG95" s="108"/>
      <c r="RCH95" s="108"/>
      <c r="RCI95" s="108"/>
      <c r="RCJ95" s="108"/>
      <c r="RCK95" s="108"/>
      <c r="RCL95" s="108"/>
      <c r="RCM95" s="108"/>
      <c r="RCN95" s="108"/>
      <c r="RCO95" s="108"/>
      <c r="RCP95" s="108"/>
      <c r="RCQ95" s="108"/>
      <c r="RCR95" s="108"/>
      <c r="RCS95" s="108"/>
      <c r="RCT95" s="108"/>
      <c r="RCU95" s="108"/>
      <c r="RCV95" s="108"/>
      <c r="RCW95" s="108"/>
      <c r="RCX95" s="108"/>
      <c r="RCY95" s="108"/>
      <c r="RCZ95" s="108"/>
      <c r="RDA95" s="108"/>
      <c r="RDB95" s="108"/>
      <c r="RDC95" s="108"/>
      <c r="RDD95" s="108"/>
      <c r="RDE95" s="108"/>
      <c r="RDF95" s="108"/>
      <c r="RDG95" s="108"/>
      <c r="RDH95" s="108"/>
      <c r="RDI95" s="108"/>
      <c r="RDJ95" s="108"/>
      <c r="RDK95" s="108"/>
      <c r="RDL95" s="108"/>
      <c r="RDM95" s="108"/>
      <c r="RDN95" s="108"/>
      <c r="RDO95" s="108"/>
      <c r="RDP95" s="108"/>
      <c r="RDQ95" s="108"/>
      <c r="RDR95" s="108"/>
      <c r="RDS95" s="108"/>
      <c r="RDT95" s="108"/>
      <c r="RDU95" s="108"/>
      <c r="RDV95" s="108"/>
      <c r="RDW95" s="108"/>
      <c r="RDX95" s="108"/>
      <c r="RDY95" s="108"/>
      <c r="RDZ95" s="108"/>
      <c r="REA95" s="108"/>
      <c r="REB95" s="108"/>
      <c r="REC95" s="108"/>
      <c r="RED95" s="108"/>
      <c r="REE95" s="108"/>
      <c r="REF95" s="108"/>
      <c r="REG95" s="108"/>
      <c r="REH95" s="108"/>
      <c r="REI95" s="108"/>
      <c r="REJ95" s="108"/>
      <c r="REK95" s="108"/>
      <c r="REL95" s="108"/>
      <c r="REM95" s="108"/>
      <c r="REN95" s="108"/>
      <c r="REO95" s="108"/>
      <c r="REP95" s="108"/>
      <c r="REQ95" s="108"/>
      <c r="RER95" s="108"/>
      <c r="RES95" s="108"/>
      <c r="RET95" s="108"/>
      <c r="REU95" s="108"/>
      <c r="REV95" s="108"/>
      <c r="REW95" s="108"/>
      <c r="REX95" s="108"/>
      <c r="REY95" s="108"/>
      <c r="REZ95" s="108"/>
      <c r="RFA95" s="108"/>
      <c r="RFB95" s="108"/>
      <c r="RFC95" s="108"/>
      <c r="RFD95" s="108"/>
      <c r="RFE95" s="108"/>
      <c r="RFF95" s="108"/>
      <c r="RFG95" s="108"/>
      <c r="RFH95" s="108"/>
      <c r="RFI95" s="108"/>
      <c r="RFJ95" s="108"/>
      <c r="RFK95" s="108"/>
      <c r="RFL95" s="108"/>
      <c r="RFM95" s="108"/>
      <c r="RFN95" s="108"/>
      <c r="RFO95" s="108"/>
      <c r="RFP95" s="108"/>
      <c r="RFQ95" s="108"/>
      <c r="RFR95" s="108"/>
      <c r="RFS95" s="108"/>
      <c r="RFT95" s="108"/>
      <c r="RFU95" s="108"/>
      <c r="RFV95" s="108"/>
      <c r="RFW95" s="108"/>
      <c r="RFX95" s="108"/>
      <c r="RFY95" s="108"/>
      <c r="RFZ95" s="108"/>
      <c r="RGA95" s="108"/>
      <c r="RGB95" s="108"/>
      <c r="RGC95" s="108"/>
      <c r="RGD95" s="108"/>
      <c r="RGE95" s="108"/>
      <c r="RGF95" s="108"/>
      <c r="RGG95" s="108"/>
      <c r="RGH95" s="108"/>
      <c r="RGI95" s="108"/>
      <c r="RGJ95" s="108"/>
      <c r="RGK95" s="108"/>
      <c r="RGL95" s="108"/>
      <c r="RGM95" s="108"/>
      <c r="RGN95" s="108"/>
      <c r="RGO95" s="108"/>
      <c r="RGP95" s="108"/>
      <c r="RGQ95" s="108"/>
      <c r="RGR95" s="108"/>
      <c r="RGS95" s="108"/>
      <c r="RGT95" s="108"/>
      <c r="RGU95" s="108"/>
      <c r="RGV95" s="108"/>
      <c r="RGW95" s="108"/>
      <c r="RGX95" s="108"/>
      <c r="RGY95" s="108"/>
      <c r="RGZ95" s="108"/>
      <c r="RHA95" s="108"/>
      <c r="RHB95" s="108"/>
      <c r="RHC95" s="108"/>
      <c r="RHD95" s="108"/>
      <c r="RHE95" s="108"/>
      <c r="RHF95" s="108"/>
      <c r="RHG95" s="108"/>
      <c r="RHH95" s="108"/>
      <c r="RHI95" s="108"/>
      <c r="RHJ95" s="108"/>
      <c r="RHK95" s="108"/>
      <c r="RHL95" s="108"/>
      <c r="RHM95" s="108"/>
      <c r="RHN95" s="108"/>
      <c r="RHO95" s="108"/>
      <c r="RHP95" s="108"/>
      <c r="RHQ95" s="108"/>
      <c r="RHR95" s="108"/>
      <c r="RHS95" s="108"/>
      <c r="RHT95" s="108"/>
      <c r="RHU95" s="108"/>
      <c r="RHV95" s="108"/>
      <c r="RHW95" s="108"/>
      <c r="RHX95" s="108"/>
      <c r="RHY95" s="108"/>
      <c r="RHZ95" s="108"/>
      <c r="RIA95" s="108"/>
      <c r="RIB95" s="108"/>
      <c r="RIC95" s="108"/>
      <c r="RID95" s="108"/>
      <c r="RIE95" s="108"/>
      <c r="RIF95" s="108"/>
      <c r="RIG95" s="108"/>
      <c r="RIH95" s="108"/>
      <c r="RII95" s="108"/>
      <c r="RIJ95" s="108"/>
      <c r="RIK95" s="108"/>
      <c r="RIL95" s="108"/>
      <c r="RIM95" s="108"/>
      <c r="RIN95" s="108"/>
      <c r="RIO95" s="108"/>
      <c r="RIP95" s="108"/>
      <c r="RIQ95" s="108"/>
      <c r="RIR95" s="108"/>
      <c r="RIS95" s="108"/>
      <c r="RIT95" s="108"/>
      <c r="RIU95" s="108"/>
      <c r="RIV95" s="108"/>
      <c r="RIW95" s="108"/>
      <c r="RIX95" s="108"/>
      <c r="RIY95" s="108"/>
      <c r="RIZ95" s="108"/>
      <c r="RJA95" s="108"/>
      <c r="RJB95" s="108"/>
      <c r="RJC95" s="108"/>
      <c r="RJD95" s="108"/>
      <c r="RJE95" s="108"/>
      <c r="RJF95" s="108"/>
      <c r="RJG95" s="108"/>
      <c r="RJH95" s="108"/>
      <c r="RJI95" s="108"/>
      <c r="RJJ95" s="108"/>
      <c r="RJK95" s="108"/>
      <c r="RJL95" s="108"/>
      <c r="RJM95" s="108"/>
      <c r="RJN95" s="108"/>
      <c r="RJO95" s="108"/>
      <c r="RJP95" s="108"/>
      <c r="RJQ95" s="108"/>
      <c r="RJR95" s="108"/>
      <c r="RJS95" s="108"/>
      <c r="RJT95" s="108"/>
      <c r="RJU95" s="108"/>
      <c r="RJV95" s="108"/>
      <c r="RJW95" s="108"/>
      <c r="RJX95" s="108"/>
      <c r="RJY95" s="108"/>
      <c r="RJZ95" s="108"/>
      <c r="RKA95" s="108"/>
      <c r="RKB95" s="108"/>
      <c r="RKC95" s="108"/>
      <c r="RKD95" s="108"/>
      <c r="RKE95" s="108"/>
      <c r="RKF95" s="108"/>
      <c r="RKG95" s="108"/>
      <c r="RKH95" s="108"/>
      <c r="RKI95" s="108"/>
      <c r="RKJ95" s="108"/>
      <c r="RKK95" s="108"/>
      <c r="RKL95" s="108"/>
      <c r="RKM95" s="108"/>
      <c r="RKN95" s="108"/>
      <c r="RKO95" s="108"/>
      <c r="RKP95" s="108"/>
      <c r="RKQ95" s="108"/>
      <c r="RKR95" s="108"/>
      <c r="RKS95" s="108"/>
      <c r="RKT95" s="108"/>
      <c r="RKU95" s="108"/>
      <c r="RKV95" s="108"/>
      <c r="RKW95" s="108"/>
      <c r="RKX95" s="108"/>
      <c r="RKY95" s="108"/>
      <c r="RKZ95" s="108"/>
      <c r="RLA95" s="108"/>
      <c r="RLB95" s="108"/>
      <c r="RLC95" s="108"/>
      <c r="RLD95" s="108"/>
      <c r="RLE95" s="108"/>
      <c r="RLF95" s="108"/>
      <c r="RLG95" s="108"/>
      <c r="RLH95" s="108"/>
      <c r="RLI95" s="108"/>
      <c r="RLJ95" s="108"/>
      <c r="RLK95" s="108"/>
      <c r="RLL95" s="108"/>
      <c r="RLM95" s="108"/>
      <c r="RLN95" s="108"/>
      <c r="RLO95" s="108"/>
      <c r="RLP95" s="108"/>
      <c r="RLQ95" s="108"/>
      <c r="RLR95" s="108"/>
      <c r="RLS95" s="108"/>
      <c r="RLT95" s="108"/>
      <c r="RLU95" s="108"/>
      <c r="RLV95" s="108"/>
      <c r="RLW95" s="108"/>
      <c r="RLX95" s="108"/>
      <c r="RLY95" s="108"/>
      <c r="RLZ95" s="108"/>
      <c r="RMA95" s="108"/>
      <c r="RMB95" s="108"/>
      <c r="RMC95" s="108"/>
      <c r="RMD95" s="108"/>
      <c r="RME95" s="108"/>
      <c r="RMF95" s="108"/>
      <c r="RMG95" s="108"/>
      <c r="RMH95" s="108"/>
      <c r="RMI95" s="108"/>
      <c r="RMJ95" s="108"/>
      <c r="RMK95" s="108"/>
      <c r="RML95" s="108"/>
      <c r="RMM95" s="108"/>
      <c r="RMN95" s="108"/>
      <c r="RMO95" s="108"/>
      <c r="RMP95" s="108"/>
      <c r="RMQ95" s="108"/>
      <c r="RMR95" s="108"/>
      <c r="RMS95" s="108"/>
      <c r="RMT95" s="108"/>
      <c r="RMU95" s="108"/>
      <c r="RMV95" s="108"/>
      <c r="RMW95" s="108"/>
      <c r="RMX95" s="108"/>
      <c r="RMY95" s="108"/>
      <c r="RMZ95" s="108"/>
      <c r="RNA95" s="108"/>
      <c r="RNB95" s="108"/>
      <c r="RNC95" s="108"/>
      <c r="RND95" s="108"/>
      <c r="RNE95" s="108"/>
      <c r="RNF95" s="108"/>
      <c r="RNG95" s="108"/>
      <c r="RNH95" s="108"/>
      <c r="RNI95" s="108"/>
      <c r="RNJ95" s="108"/>
      <c r="RNK95" s="108"/>
      <c r="RNL95" s="108"/>
      <c r="RNM95" s="108"/>
      <c r="RNN95" s="108"/>
      <c r="RNO95" s="108"/>
      <c r="RNP95" s="108"/>
      <c r="RNQ95" s="108"/>
      <c r="RNR95" s="108"/>
      <c r="RNS95" s="108"/>
      <c r="RNT95" s="108"/>
      <c r="RNU95" s="108"/>
      <c r="RNV95" s="108"/>
      <c r="RNW95" s="108"/>
      <c r="RNX95" s="108"/>
      <c r="RNY95" s="108"/>
      <c r="RNZ95" s="108"/>
      <c r="ROA95" s="108"/>
      <c r="ROB95" s="108"/>
      <c r="ROC95" s="108"/>
      <c r="ROD95" s="108"/>
      <c r="ROE95" s="108"/>
      <c r="ROF95" s="108"/>
      <c r="ROG95" s="108"/>
      <c r="ROH95" s="108"/>
      <c r="ROI95" s="108"/>
      <c r="ROJ95" s="108"/>
      <c r="ROK95" s="108"/>
      <c r="ROL95" s="108"/>
      <c r="ROM95" s="108"/>
      <c r="RON95" s="108"/>
      <c r="ROO95" s="108"/>
      <c r="ROP95" s="108"/>
      <c r="ROQ95" s="108"/>
      <c r="ROR95" s="108"/>
      <c r="ROS95" s="108"/>
      <c r="ROT95" s="108"/>
      <c r="ROU95" s="108"/>
      <c r="ROV95" s="108"/>
      <c r="ROW95" s="108"/>
      <c r="ROX95" s="108"/>
      <c r="ROY95" s="108"/>
      <c r="ROZ95" s="108"/>
      <c r="RPA95" s="108"/>
      <c r="RPB95" s="108"/>
      <c r="RPC95" s="108"/>
      <c r="RPD95" s="108"/>
      <c r="RPE95" s="108"/>
      <c r="RPF95" s="108"/>
      <c r="RPG95" s="108"/>
      <c r="RPH95" s="108"/>
      <c r="RPI95" s="108"/>
      <c r="RPJ95" s="108"/>
      <c r="RPK95" s="108"/>
      <c r="RPL95" s="108"/>
      <c r="RPM95" s="108"/>
      <c r="RPN95" s="108"/>
      <c r="RPO95" s="108"/>
      <c r="RPP95" s="108"/>
      <c r="RPQ95" s="108"/>
      <c r="RPR95" s="108"/>
      <c r="RPS95" s="108"/>
      <c r="RPT95" s="108"/>
      <c r="RPU95" s="108"/>
      <c r="RPV95" s="108"/>
      <c r="RPW95" s="108"/>
      <c r="RPX95" s="108"/>
      <c r="RPY95" s="108"/>
      <c r="RPZ95" s="108"/>
      <c r="RQA95" s="108"/>
      <c r="RQB95" s="108"/>
      <c r="RQC95" s="108"/>
      <c r="RQD95" s="108"/>
      <c r="RQE95" s="108"/>
      <c r="RQF95" s="108"/>
      <c r="RQG95" s="108"/>
      <c r="RQH95" s="108"/>
      <c r="RQI95" s="108"/>
      <c r="RQJ95" s="108"/>
      <c r="RQK95" s="108"/>
      <c r="RQL95" s="108"/>
      <c r="RQM95" s="108"/>
      <c r="RQN95" s="108"/>
      <c r="RQO95" s="108"/>
      <c r="RQP95" s="108"/>
      <c r="RQQ95" s="108"/>
      <c r="RQR95" s="108"/>
      <c r="RQS95" s="108"/>
      <c r="RQT95" s="108"/>
      <c r="RQU95" s="108"/>
      <c r="RQV95" s="108"/>
      <c r="RQW95" s="108"/>
      <c r="RQX95" s="108"/>
      <c r="RQY95" s="108"/>
      <c r="RQZ95" s="108"/>
      <c r="RRA95" s="108"/>
      <c r="RRB95" s="108"/>
      <c r="RRC95" s="108"/>
      <c r="RRD95" s="108"/>
      <c r="RRE95" s="108"/>
      <c r="RRF95" s="108"/>
      <c r="RRG95" s="108"/>
      <c r="RRH95" s="108"/>
      <c r="RRI95" s="108"/>
      <c r="RRJ95" s="108"/>
      <c r="RRK95" s="108"/>
      <c r="RRL95" s="108"/>
      <c r="RRM95" s="108"/>
      <c r="RRN95" s="108"/>
      <c r="RRO95" s="108"/>
      <c r="RRP95" s="108"/>
      <c r="RRQ95" s="108"/>
      <c r="RRR95" s="108"/>
      <c r="RRS95" s="108"/>
      <c r="RRT95" s="108"/>
      <c r="RRU95" s="108"/>
      <c r="RRV95" s="108"/>
      <c r="RRW95" s="108"/>
      <c r="RRX95" s="108"/>
      <c r="RRY95" s="108"/>
      <c r="RRZ95" s="108"/>
      <c r="RSA95" s="108"/>
      <c r="RSB95" s="108"/>
      <c r="RSC95" s="108"/>
      <c r="RSD95" s="108"/>
      <c r="RSE95" s="108"/>
      <c r="RSF95" s="108"/>
      <c r="RSG95" s="108"/>
      <c r="RSH95" s="108"/>
      <c r="RSI95" s="108"/>
      <c r="RSJ95" s="108"/>
      <c r="RSK95" s="108"/>
      <c r="RSL95" s="108"/>
      <c r="RSM95" s="108"/>
      <c r="RSN95" s="108"/>
      <c r="RSO95" s="108"/>
      <c r="RSP95" s="108"/>
      <c r="RSQ95" s="108"/>
      <c r="RSR95" s="108"/>
      <c r="RSS95" s="108"/>
      <c r="RST95" s="108"/>
      <c r="RSU95" s="108"/>
      <c r="RSV95" s="108"/>
      <c r="RSW95" s="108"/>
      <c r="RSX95" s="108"/>
      <c r="RSY95" s="108"/>
      <c r="RSZ95" s="108"/>
      <c r="RTA95" s="108"/>
      <c r="RTB95" s="108"/>
      <c r="RTC95" s="108"/>
      <c r="RTD95" s="108"/>
      <c r="RTE95" s="108"/>
      <c r="RTF95" s="108"/>
      <c r="RTG95" s="108"/>
      <c r="RTH95" s="108"/>
      <c r="RTI95" s="108"/>
      <c r="RTJ95" s="108"/>
      <c r="RTK95" s="108"/>
      <c r="RTL95" s="108"/>
      <c r="RTM95" s="108"/>
      <c r="RTN95" s="108"/>
      <c r="RTO95" s="108"/>
      <c r="RTP95" s="108"/>
      <c r="RTQ95" s="108"/>
      <c r="RTR95" s="108"/>
      <c r="RTS95" s="108"/>
      <c r="RTT95" s="108"/>
      <c r="RTU95" s="108"/>
      <c r="RTV95" s="108"/>
      <c r="RTW95" s="108"/>
      <c r="RTX95" s="108"/>
      <c r="RTY95" s="108"/>
      <c r="RTZ95" s="108"/>
      <c r="RUA95" s="108"/>
      <c r="RUB95" s="108"/>
      <c r="RUC95" s="108"/>
      <c r="RUD95" s="108"/>
      <c r="RUE95" s="108"/>
      <c r="RUF95" s="108"/>
      <c r="RUG95" s="108"/>
      <c r="RUH95" s="108"/>
      <c r="RUI95" s="108"/>
      <c r="RUJ95" s="108"/>
      <c r="RUK95" s="108"/>
      <c r="RUL95" s="108"/>
      <c r="RUM95" s="108"/>
      <c r="RUN95" s="108"/>
      <c r="RUO95" s="108"/>
      <c r="RUP95" s="108"/>
      <c r="RUQ95" s="108"/>
      <c r="RUR95" s="108"/>
      <c r="RUS95" s="108"/>
      <c r="RUT95" s="108"/>
      <c r="RUU95" s="108"/>
      <c r="RUV95" s="108"/>
      <c r="RUW95" s="108"/>
      <c r="RUX95" s="108"/>
      <c r="RUY95" s="108"/>
      <c r="RUZ95" s="108"/>
      <c r="RVA95" s="108"/>
      <c r="RVB95" s="108"/>
      <c r="RVC95" s="108"/>
      <c r="RVD95" s="108"/>
      <c r="RVE95" s="108"/>
      <c r="RVF95" s="108"/>
      <c r="RVG95" s="108"/>
      <c r="RVH95" s="108"/>
      <c r="RVI95" s="108"/>
      <c r="RVJ95" s="108"/>
      <c r="RVK95" s="108"/>
      <c r="RVL95" s="108"/>
      <c r="RVM95" s="108"/>
      <c r="RVN95" s="108"/>
      <c r="RVO95" s="108"/>
      <c r="RVP95" s="108"/>
      <c r="RVQ95" s="108"/>
      <c r="RVR95" s="108"/>
      <c r="RVS95" s="108"/>
      <c r="RVT95" s="108"/>
      <c r="RVU95" s="108"/>
      <c r="RVV95" s="108"/>
      <c r="RVW95" s="108"/>
      <c r="RVX95" s="108"/>
      <c r="RVY95" s="108"/>
      <c r="RVZ95" s="108"/>
      <c r="RWA95" s="108"/>
      <c r="RWB95" s="108"/>
      <c r="RWC95" s="108"/>
      <c r="RWD95" s="108"/>
      <c r="RWE95" s="108"/>
      <c r="RWF95" s="108"/>
      <c r="RWG95" s="108"/>
      <c r="RWH95" s="108"/>
      <c r="RWI95" s="108"/>
      <c r="RWJ95" s="108"/>
      <c r="RWK95" s="108"/>
      <c r="RWL95" s="108"/>
      <c r="RWM95" s="108"/>
      <c r="RWN95" s="108"/>
      <c r="RWO95" s="108"/>
      <c r="RWP95" s="108"/>
      <c r="RWQ95" s="108"/>
      <c r="RWR95" s="108"/>
      <c r="RWS95" s="108"/>
      <c r="RWT95" s="108"/>
      <c r="RWU95" s="108"/>
      <c r="RWV95" s="108"/>
      <c r="RWW95" s="108"/>
      <c r="RWX95" s="108"/>
      <c r="RWY95" s="108"/>
      <c r="RWZ95" s="108"/>
      <c r="RXA95" s="108"/>
      <c r="RXB95" s="108"/>
      <c r="RXC95" s="108"/>
      <c r="RXD95" s="108"/>
      <c r="RXE95" s="108"/>
      <c r="RXF95" s="108"/>
      <c r="RXG95" s="108"/>
      <c r="RXH95" s="108"/>
      <c r="RXI95" s="108"/>
      <c r="RXJ95" s="108"/>
      <c r="RXK95" s="108"/>
      <c r="RXL95" s="108"/>
      <c r="RXM95" s="108"/>
      <c r="RXN95" s="108"/>
      <c r="RXO95" s="108"/>
      <c r="RXP95" s="108"/>
      <c r="RXQ95" s="108"/>
      <c r="RXR95" s="108"/>
      <c r="RXS95" s="108"/>
      <c r="RXT95" s="108"/>
      <c r="RXU95" s="108"/>
      <c r="RXV95" s="108"/>
      <c r="RXW95" s="108"/>
      <c r="RXX95" s="108"/>
      <c r="RXY95" s="108"/>
      <c r="RXZ95" s="108"/>
      <c r="RYA95" s="108"/>
      <c r="RYB95" s="108"/>
      <c r="RYC95" s="108"/>
      <c r="RYD95" s="108"/>
      <c r="RYE95" s="108"/>
      <c r="RYF95" s="108"/>
      <c r="RYG95" s="108"/>
      <c r="RYH95" s="108"/>
      <c r="RYI95" s="108"/>
      <c r="RYJ95" s="108"/>
      <c r="RYK95" s="108"/>
      <c r="RYL95" s="108"/>
      <c r="RYM95" s="108"/>
      <c r="RYN95" s="108"/>
      <c r="RYO95" s="108"/>
      <c r="RYP95" s="108"/>
      <c r="RYQ95" s="108"/>
      <c r="RYR95" s="108"/>
      <c r="RYS95" s="108"/>
      <c r="RYT95" s="108"/>
      <c r="RYU95" s="108"/>
      <c r="RYV95" s="108"/>
      <c r="RYW95" s="108"/>
      <c r="RYX95" s="108"/>
      <c r="RYY95" s="108"/>
      <c r="RYZ95" s="108"/>
      <c r="RZA95" s="108"/>
      <c r="RZB95" s="108"/>
      <c r="RZC95" s="108"/>
      <c r="RZD95" s="108"/>
      <c r="RZE95" s="108"/>
      <c r="RZF95" s="108"/>
      <c r="RZG95" s="108"/>
      <c r="RZH95" s="108"/>
      <c r="RZI95" s="108"/>
      <c r="RZJ95" s="108"/>
      <c r="RZK95" s="108"/>
      <c r="RZL95" s="108"/>
      <c r="RZM95" s="108"/>
      <c r="RZN95" s="108"/>
      <c r="RZO95" s="108"/>
      <c r="RZP95" s="108"/>
      <c r="RZQ95" s="108"/>
      <c r="RZR95" s="108"/>
      <c r="RZS95" s="108"/>
      <c r="RZT95" s="108"/>
      <c r="RZU95" s="108"/>
      <c r="RZV95" s="108"/>
      <c r="RZW95" s="108"/>
      <c r="RZX95" s="108"/>
      <c r="RZY95" s="108"/>
      <c r="RZZ95" s="108"/>
      <c r="SAA95" s="108"/>
      <c r="SAB95" s="108"/>
      <c r="SAC95" s="108"/>
      <c r="SAD95" s="108"/>
      <c r="SAE95" s="108"/>
      <c r="SAF95" s="108"/>
      <c r="SAG95" s="108"/>
      <c r="SAH95" s="108"/>
      <c r="SAI95" s="108"/>
      <c r="SAJ95" s="108"/>
      <c r="SAK95" s="108"/>
      <c r="SAL95" s="108"/>
      <c r="SAM95" s="108"/>
      <c r="SAN95" s="108"/>
      <c r="SAO95" s="108"/>
      <c r="SAP95" s="108"/>
      <c r="SAQ95" s="108"/>
      <c r="SAR95" s="108"/>
      <c r="SAS95" s="108"/>
      <c r="SAT95" s="108"/>
      <c r="SAU95" s="108"/>
      <c r="SAV95" s="108"/>
      <c r="SAW95" s="108"/>
      <c r="SAX95" s="108"/>
      <c r="SAY95" s="108"/>
      <c r="SAZ95" s="108"/>
      <c r="SBA95" s="108"/>
      <c r="SBB95" s="108"/>
      <c r="SBC95" s="108"/>
      <c r="SBD95" s="108"/>
      <c r="SBE95" s="108"/>
      <c r="SBF95" s="108"/>
      <c r="SBG95" s="108"/>
      <c r="SBH95" s="108"/>
      <c r="SBI95" s="108"/>
      <c r="SBJ95" s="108"/>
      <c r="SBK95" s="108"/>
      <c r="SBL95" s="108"/>
      <c r="SBM95" s="108"/>
      <c r="SBN95" s="108"/>
      <c r="SBO95" s="108"/>
      <c r="SBP95" s="108"/>
      <c r="SBQ95" s="108"/>
      <c r="SBR95" s="108"/>
      <c r="SBS95" s="108"/>
      <c r="SBT95" s="108"/>
      <c r="SBU95" s="108"/>
      <c r="SBV95" s="108"/>
      <c r="SBW95" s="108"/>
      <c r="SBX95" s="108"/>
      <c r="SBY95" s="108"/>
      <c r="SBZ95" s="108"/>
      <c r="SCA95" s="108"/>
      <c r="SCB95" s="108"/>
      <c r="SCC95" s="108"/>
      <c r="SCD95" s="108"/>
      <c r="SCE95" s="108"/>
      <c r="SCF95" s="108"/>
      <c r="SCG95" s="108"/>
      <c r="SCH95" s="108"/>
      <c r="SCI95" s="108"/>
      <c r="SCJ95" s="108"/>
      <c r="SCK95" s="108"/>
      <c r="SCL95" s="108"/>
      <c r="SCM95" s="108"/>
      <c r="SCN95" s="108"/>
      <c r="SCO95" s="108"/>
      <c r="SCP95" s="108"/>
      <c r="SCQ95" s="108"/>
      <c r="SCR95" s="108"/>
      <c r="SCS95" s="108"/>
      <c r="SCT95" s="108"/>
      <c r="SCU95" s="108"/>
      <c r="SCV95" s="108"/>
      <c r="SCW95" s="108"/>
      <c r="SCX95" s="108"/>
      <c r="SCY95" s="108"/>
      <c r="SCZ95" s="108"/>
      <c r="SDA95" s="108"/>
      <c r="SDB95" s="108"/>
      <c r="SDC95" s="108"/>
      <c r="SDD95" s="108"/>
      <c r="SDE95" s="108"/>
      <c r="SDF95" s="108"/>
      <c r="SDG95" s="108"/>
      <c r="SDH95" s="108"/>
      <c r="SDI95" s="108"/>
      <c r="SDJ95" s="108"/>
      <c r="SDK95" s="108"/>
      <c r="SDL95" s="108"/>
      <c r="SDM95" s="108"/>
      <c r="SDN95" s="108"/>
      <c r="SDO95" s="108"/>
      <c r="SDP95" s="108"/>
      <c r="SDQ95" s="108"/>
      <c r="SDR95" s="108"/>
      <c r="SDS95" s="108"/>
      <c r="SDT95" s="108"/>
      <c r="SDU95" s="108"/>
      <c r="SDV95" s="108"/>
      <c r="SDW95" s="108"/>
      <c r="SDX95" s="108"/>
      <c r="SDY95" s="108"/>
      <c r="SDZ95" s="108"/>
      <c r="SEA95" s="108"/>
      <c r="SEB95" s="108"/>
      <c r="SEC95" s="108"/>
      <c r="SED95" s="108"/>
      <c r="SEE95" s="108"/>
      <c r="SEF95" s="108"/>
      <c r="SEG95" s="108"/>
      <c r="SEH95" s="108"/>
      <c r="SEI95" s="108"/>
      <c r="SEJ95" s="108"/>
      <c r="SEK95" s="108"/>
      <c r="SEL95" s="108"/>
      <c r="SEM95" s="108"/>
      <c r="SEN95" s="108"/>
      <c r="SEO95" s="108"/>
      <c r="SEP95" s="108"/>
      <c r="SEQ95" s="108"/>
      <c r="SER95" s="108"/>
      <c r="SES95" s="108"/>
      <c r="SET95" s="108"/>
      <c r="SEU95" s="108"/>
      <c r="SEV95" s="108"/>
      <c r="SEW95" s="108"/>
      <c r="SEX95" s="108"/>
      <c r="SEY95" s="108"/>
      <c r="SEZ95" s="108"/>
      <c r="SFA95" s="108"/>
      <c r="SFB95" s="108"/>
      <c r="SFC95" s="108"/>
      <c r="SFD95" s="108"/>
      <c r="SFE95" s="108"/>
      <c r="SFF95" s="108"/>
      <c r="SFG95" s="108"/>
      <c r="SFH95" s="108"/>
      <c r="SFI95" s="108"/>
      <c r="SFJ95" s="108"/>
      <c r="SFK95" s="108"/>
      <c r="SFL95" s="108"/>
      <c r="SFM95" s="108"/>
      <c r="SFN95" s="108"/>
      <c r="SFO95" s="108"/>
      <c r="SFP95" s="108"/>
      <c r="SFQ95" s="108"/>
      <c r="SFR95" s="108"/>
      <c r="SFS95" s="108"/>
      <c r="SFT95" s="108"/>
      <c r="SFU95" s="108"/>
      <c r="SFV95" s="108"/>
      <c r="SFW95" s="108"/>
      <c r="SFX95" s="108"/>
      <c r="SFY95" s="108"/>
      <c r="SFZ95" s="108"/>
      <c r="SGA95" s="108"/>
      <c r="SGB95" s="108"/>
      <c r="SGC95" s="108"/>
      <c r="SGD95" s="108"/>
      <c r="SGE95" s="108"/>
      <c r="SGF95" s="108"/>
      <c r="SGG95" s="108"/>
      <c r="SGH95" s="108"/>
      <c r="SGI95" s="108"/>
      <c r="SGJ95" s="108"/>
      <c r="SGK95" s="108"/>
      <c r="SGL95" s="108"/>
      <c r="SGM95" s="108"/>
      <c r="SGN95" s="108"/>
      <c r="SGO95" s="108"/>
      <c r="SGP95" s="108"/>
      <c r="SGQ95" s="108"/>
      <c r="SGR95" s="108"/>
      <c r="SGS95" s="108"/>
      <c r="SGT95" s="108"/>
      <c r="SGU95" s="108"/>
      <c r="SGV95" s="108"/>
      <c r="SGW95" s="108"/>
      <c r="SGX95" s="108"/>
      <c r="SGY95" s="108"/>
      <c r="SGZ95" s="108"/>
      <c r="SHA95" s="108"/>
      <c r="SHB95" s="108"/>
      <c r="SHC95" s="108"/>
      <c r="SHD95" s="108"/>
      <c r="SHE95" s="108"/>
      <c r="SHF95" s="108"/>
      <c r="SHG95" s="108"/>
      <c r="SHH95" s="108"/>
      <c r="SHI95" s="108"/>
      <c r="SHJ95" s="108"/>
      <c r="SHK95" s="108"/>
      <c r="SHL95" s="108"/>
      <c r="SHM95" s="108"/>
      <c r="SHN95" s="108"/>
      <c r="SHO95" s="108"/>
      <c r="SHP95" s="108"/>
      <c r="SHQ95" s="108"/>
      <c r="SHR95" s="108"/>
      <c r="SHS95" s="108"/>
      <c r="SHT95" s="108"/>
      <c r="SHU95" s="108"/>
      <c r="SHV95" s="108"/>
      <c r="SHW95" s="108"/>
      <c r="SHX95" s="108"/>
      <c r="SHY95" s="108"/>
      <c r="SHZ95" s="108"/>
      <c r="SIA95" s="108"/>
      <c r="SIB95" s="108"/>
      <c r="SIC95" s="108"/>
      <c r="SID95" s="108"/>
      <c r="SIE95" s="108"/>
      <c r="SIF95" s="108"/>
      <c r="SIG95" s="108"/>
      <c r="SIH95" s="108"/>
      <c r="SII95" s="108"/>
      <c r="SIJ95" s="108"/>
      <c r="SIK95" s="108"/>
      <c r="SIL95" s="108"/>
      <c r="SIM95" s="108"/>
      <c r="SIN95" s="108"/>
      <c r="SIO95" s="108"/>
      <c r="SIP95" s="108"/>
      <c r="SIQ95" s="108"/>
      <c r="SIR95" s="108"/>
      <c r="SIS95" s="108"/>
      <c r="SIT95" s="108"/>
      <c r="SIU95" s="108"/>
      <c r="SIV95" s="108"/>
      <c r="SIW95" s="108"/>
      <c r="SIX95" s="108"/>
      <c r="SIY95" s="108"/>
      <c r="SIZ95" s="108"/>
      <c r="SJA95" s="108"/>
      <c r="SJB95" s="108"/>
      <c r="SJC95" s="108"/>
      <c r="SJD95" s="108"/>
      <c r="SJE95" s="108"/>
      <c r="SJF95" s="108"/>
      <c r="SJG95" s="108"/>
      <c r="SJH95" s="108"/>
      <c r="SJI95" s="108"/>
      <c r="SJJ95" s="108"/>
      <c r="SJK95" s="108"/>
      <c r="SJL95" s="108"/>
      <c r="SJM95" s="108"/>
      <c r="SJN95" s="108"/>
      <c r="SJO95" s="108"/>
      <c r="SJP95" s="108"/>
      <c r="SJQ95" s="108"/>
      <c r="SJR95" s="108"/>
      <c r="SJS95" s="108"/>
      <c r="SJT95" s="108"/>
      <c r="SJU95" s="108"/>
      <c r="SJV95" s="108"/>
      <c r="SJW95" s="108"/>
      <c r="SJX95" s="108"/>
      <c r="SJY95" s="108"/>
      <c r="SJZ95" s="108"/>
      <c r="SKA95" s="108"/>
      <c r="SKB95" s="108"/>
      <c r="SKC95" s="108"/>
      <c r="SKD95" s="108"/>
      <c r="SKE95" s="108"/>
      <c r="SKF95" s="108"/>
      <c r="SKG95" s="108"/>
      <c r="SKH95" s="108"/>
      <c r="SKI95" s="108"/>
      <c r="SKJ95" s="108"/>
      <c r="SKK95" s="108"/>
      <c r="SKL95" s="108"/>
      <c r="SKM95" s="108"/>
      <c r="SKN95" s="108"/>
      <c r="SKO95" s="108"/>
      <c r="SKP95" s="108"/>
      <c r="SKQ95" s="108"/>
      <c r="SKR95" s="108"/>
      <c r="SKS95" s="108"/>
      <c r="SKT95" s="108"/>
      <c r="SKU95" s="108"/>
      <c r="SKV95" s="108"/>
      <c r="SKW95" s="108"/>
      <c r="SKX95" s="108"/>
      <c r="SKY95" s="108"/>
      <c r="SKZ95" s="108"/>
      <c r="SLA95" s="108"/>
      <c r="SLB95" s="108"/>
      <c r="SLC95" s="108"/>
      <c r="SLD95" s="108"/>
      <c r="SLE95" s="108"/>
      <c r="SLF95" s="108"/>
      <c r="SLG95" s="108"/>
      <c r="SLH95" s="108"/>
      <c r="SLI95" s="108"/>
      <c r="SLJ95" s="108"/>
      <c r="SLK95" s="108"/>
      <c r="SLL95" s="108"/>
      <c r="SLM95" s="108"/>
      <c r="SLN95" s="108"/>
      <c r="SLO95" s="108"/>
      <c r="SLP95" s="108"/>
      <c r="SLQ95" s="108"/>
      <c r="SLR95" s="108"/>
      <c r="SLS95" s="108"/>
      <c r="SLT95" s="108"/>
      <c r="SLU95" s="108"/>
      <c r="SLV95" s="108"/>
      <c r="SLW95" s="108"/>
      <c r="SLX95" s="108"/>
      <c r="SLY95" s="108"/>
      <c r="SLZ95" s="108"/>
      <c r="SMA95" s="108"/>
      <c r="SMB95" s="108"/>
      <c r="SMC95" s="108"/>
      <c r="SMD95" s="108"/>
      <c r="SME95" s="108"/>
      <c r="SMF95" s="108"/>
      <c r="SMG95" s="108"/>
      <c r="SMH95" s="108"/>
      <c r="SMI95" s="108"/>
      <c r="SMJ95" s="108"/>
      <c r="SMK95" s="108"/>
      <c r="SML95" s="108"/>
      <c r="SMM95" s="108"/>
      <c r="SMN95" s="108"/>
      <c r="SMO95" s="108"/>
      <c r="SMP95" s="108"/>
      <c r="SMQ95" s="108"/>
      <c r="SMR95" s="108"/>
      <c r="SMS95" s="108"/>
      <c r="SMT95" s="108"/>
      <c r="SMU95" s="108"/>
      <c r="SMV95" s="108"/>
      <c r="SMW95" s="108"/>
      <c r="SMX95" s="108"/>
      <c r="SMY95" s="108"/>
      <c r="SMZ95" s="108"/>
      <c r="SNA95" s="108"/>
      <c r="SNB95" s="108"/>
      <c r="SNC95" s="108"/>
      <c r="SND95" s="108"/>
      <c r="SNE95" s="108"/>
      <c r="SNF95" s="108"/>
      <c r="SNG95" s="108"/>
      <c r="SNH95" s="108"/>
      <c r="SNI95" s="108"/>
      <c r="SNJ95" s="108"/>
      <c r="SNK95" s="108"/>
      <c r="SNL95" s="108"/>
      <c r="SNM95" s="108"/>
      <c r="SNN95" s="108"/>
      <c r="SNO95" s="108"/>
      <c r="SNP95" s="108"/>
      <c r="SNQ95" s="108"/>
      <c r="SNR95" s="108"/>
      <c r="SNS95" s="108"/>
      <c r="SNT95" s="108"/>
      <c r="SNU95" s="108"/>
      <c r="SNV95" s="108"/>
      <c r="SNW95" s="108"/>
      <c r="SNX95" s="108"/>
      <c r="SNY95" s="108"/>
      <c r="SNZ95" s="108"/>
      <c r="SOA95" s="108"/>
      <c r="SOB95" s="108"/>
      <c r="SOC95" s="108"/>
      <c r="SOD95" s="108"/>
      <c r="SOE95" s="108"/>
      <c r="SOF95" s="108"/>
      <c r="SOG95" s="108"/>
      <c r="SOH95" s="108"/>
      <c r="SOI95" s="108"/>
      <c r="SOJ95" s="108"/>
      <c r="SOK95" s="108"/>
      <c r="SOL95" s="108"/>
      <c r="SOM95" s="108"/>
      <c r="SON95" s="108"/>
      <c r="SOO95" s="108"/>
      <c r="SOP95" s="108"/>
      <c r="SOQ95" s="108"/>
      <c r="SOR95" s="108"/>
      <c r="SOS95" s="108"/>
      <c r="SOT95" s="108"/>
      <c r="SOU95" s="108"/>
      <c r="SOV95" s="108"/>
      <c r="SOW95" s="108"/>
      <c r="SOX95" s="108"/>
      <c r="SOY95" s="108"/>
      <c r="SOZ95" s="108"/>
      <c r="SPA95" s="108"/>
      <c r="SPB95" s="108"/>
      <c r="SPC95" s="108"/>
      <c r="SPD95" s="108"/>
      <c r="SPE95" s="108"/>
      <c r="SPF95" s="108"/>
      <c r="SPG95" s="108"/>
      <c r="SPH95" s="108"/>
      <c r="SPI95" s="108"/>
      <c r="SPJ95" s="108"/>
      <c r="SPK95" s="108"/>
      <c r="SPL95" s="108"/>
      <c r="SPM95" s="108"/>
      <c r="SPN95" s="108"/>
      <c r="SPO95" s="108"/>
      <c r="SPP95" s="108"/>
      <c r="SPQ95" s="108"/>
      <c r="SPR95" s="108"/>
      <c r="SPS95" s="108"/>
      <c r="SPT95" s="108"/>
      <c r="SPU95" s="108"/>
      <c r="SPV95" s="108"/>
      <c r="SPW95" s="108"/>
      <c r="SPX95" s="108"/>
      <c r="SPY95" s="108"/>
      <c r="SPZ95" s="108"/>
      <c r="SQA95" s="108"/>
      <c r="SQB95" s="108"/>
      <c r="SQC95" s="108"/>
      <c r="SQD95" s="108"/>
      <c r="SQE95" s="108"/>
      <c r="SQF95" s="108"/>
      <c r="SQG95" s="108"/>
      <c r="SQH95" s="108"/>
      <c r="SQI95" s="108"/>
      <c r="SQJ95" s="108"/>
      <c r="SQK95" s="108"/>
      <c r="SQL95" s="108"/>
      <c r="SQM95" s="108"/>
      <c r="SQN95" s="108"/>
      <c r="SQO95" s="108"/>
      <c r="SQP95" s="108"/>
      <c r="SQQ95" s="108"/>
      <c r="SQR95" s="108"/>
      <c r="SQS95" s="108"/>
      <c r="SQT95" s="108"/>
      <c r="SQU95" s="108"/>
      <c r="SQV95" s="108"/>
      <c r="SQW95" s="108"/>
      <c r="SQX95" s="108"/>
      <c r="SQY95" s="108"/>
      <c r="SQZ95" s="108"/>
      <c r="SRA95" s="108"/>
      <c r="SRB95" s="108"/>
      <c r="SRC95" s="108"/>
      <c r="SRD95" s="108"/>
      <c r="SRE95" s="108"/>
      <c r="SRF95" s="108"/>
      <c r="SRG95" s="108"/>
      <c r="SRH95" s="108"/>
      <c r="SRI95" s="108"/>
      <c r="SRJ95" s="108"/>
      <c r="SRK95" s="108"/>
      <c r="SRL95" s="108"/>
      <c r="SRM95" s="108"/>
      <c r="SRN95" s="108"/>
      <c r="SRO95" s="108"/>
      <c r="SRP95" s="108"/>
      <c r="SRQ95" s="108"/>
      <c r="SRR95" s="108"/>
      <c r="SRS95" s="108"/>
      <c r="SRT95" s="108"/>
      <c r="SRU95" s="108"/>
      <c r="SRV95" s="108"/>
      <c r="SRW95" s="108"/>
      <c r="SRX95" s="108"/>
      <c r="SRY95" s="108"/>
      <c r="SRZ95" s="108"/>
      <c r="SSA95" s="108"/>
      <c r="SSB95" s="108"/>
      <c r="SSC95" s="108"/>
      <c r="SSD95" s="108"/>
      <c r="SSE95" s="108"/>
      <c r="SSF95" s="108"/>
      <c r="SSG95" s="108"/>
      <c r="SSH95" s="108"/>
      <c r="SSI95" s="108"/>
      <c r="SSJ95" s="108"/>
      <c r="SSK95" s="108"/>
      <c r="SSL95" s="108"/>
      <c r="SSM95" s="108"/>
      <c r="SSN95" s="108"/>
      <c r="SSO95" s="108"/>
      <c r="SSP95" s="108"/>
      <c r="SSQ95" s="108"/>
      <c r="SSR95" s="108"/>
      <c r="SSS95" s="108"/>
      <c r="SST95" s="108"/>
      <c r="SSU95" s="108"/>
      <c r="SSV95" s="108"/>
      <c r="SSW95" s="108"/>
      <c r="SSX95" s="108"/>
      <c r="SSY95" s="108"/>
      <c r="SSZ95" s="108"/>
      <c r="STA95" s="108"/>
      <c r="STB95" s="108"/>
      <c r="STC95" s="108"/>
      <c r="STD95" s="108"/>
      <c r="STE95" s="108"/>
      <c r="STF95" s="108"/>
      <c r="STG95" s="108"/>
      <c r="STH95" s="108"/>
      <c r="STI95" s="108"/>
      <c r="STJ95" s="108"/>
      <c r="STK95" s="108"/>
      <c r="STL95" s="108"/>
      <c r="STM95" s="108"/>
      <c r="STN95" s="108"/>
      <c r="STO95" s="108"/>
      <c r="STP95" s="108"/>
      <c r="STQ95" s="108"/>
      <c r="STR95" s="108"/>
      <c r="STS95" s="108"/>
      <c r="STT95" s="108"/>
      <c r="STU95" s="108"/>
      <c r="STV95" s="108"/>
      <c r="STW95" s="108"/>
      <c r="STX95" s="108"/>
      <c r="STY95" s="108"/>
      <c r="STZ95" s="108"/>
      <c r="SUA95" s="108"/>
      <c r="SUB95" s="108"/>
      <c r="SUC95" s="108"/>
      <c r="SUD95" s="108"/>
      <c r="SUE95" s="108"/>
      <c r="SUF95" s="108"/>
      <c r="SUG95" s="108"/>
      <c r="SUH95" s="108"/>
      <c r="SUI95" s="108"/>
      <c r="SUJ95" s="108"/>
      <c r="SUK95" s="108"/>
      <c r="SUL95" s="108"/>
      <c r="SUM95" s="108"/>
      <c r="SUN95" s="108"/>
      <c r="SUO95" s="108"/>
      <c r="SUP95" s="108"/>
      <c r="SUQ95" s="108"/>
      <c r="SUR95" s="108"/>
      <c r="SUS95" s="108"/>
      <c r="SUT95" s="108"/>
      <c r="SUU95" s="108"/>
      <c r="SUV95" s="108"/>
      <c r="SUW95" s="108"/>
      <c r="SUX95" s="108"/>
      <c r="SUY95" s="108"/>
      <c r="SUZ95" s="108"/>
      <c r="SVA95" s="108"/>
      <c r="SVB95" s="108"/>
      <c r="SVC95" s="108"/>
      <c r="SVD95" s="108"/>
      <c r="SVE95" s="108"/>
      <c r="SVF95" s="108"/>
      <c r="SVG95" s="108"/>
      <c r="SVH95" s="108"/>
      <c r="SVI95" s="108"/>
      <c r="SVJ95" s="108"/>
      <c r="SVK95" s="108"/>
      <c r="SVL95" s="108"/>
      <c r="SVM95" s="108"/>
      <c r="SVN95" s="108"/>
      <c r="SVO95" s="108"/>
      <c r="SVP95" s="108"/>
      <c r="SVQ95" s="108"/>
      <c r="SVR95" s="108"/>
      <c r="SVS95" s="108"/>
      <c r="SVT95" s="108"/>
      <c r="SVU95" s="108"/>
      <c r="SVV95" s="108"/>
      <c r="SVW95" s="108"/>
      <c r="SVX95" s="108"/>
      <c r="SVY95" s="108"/>
      <c r="SVZ95" s="108"/>
      <c r="SWA95" s="108"/>
      <c r="SWB95" s="108"/>
      <c r="SWC95" s="108"/>
      <c r="SWD95" s="108"/>
      <c r="SWE95" s="108"/>
      <c r="SWF95" s="108"/>
      <c r="SWG95" s="108"/>
      <c r="SWH95" s="108"/>
      <c r="SWI95" s="108"/>
      <c r="SWJ95" s="108"/>
      <c r="SWK95" s="108"/>
      <c r="SWL95" s="108"/>
      <c r="SWM95" s="108"/>
      <c r="SWN95" s="108"/>
      <c r="SWO95" s="108"/>
      <c r="SWP95" s="108"/>
      <c r="SWQ95" s="108"/>
      <c r="SWR95" s="108"/>
      <c r="SWS95" s="108"/>
      <c r="SWT95" s="108"/>
      <c r="SWU95" s="108"/>
      <c r="SWV95" s="108"/>
      <c r="SWW95" s="108"/>
      <c r="SWX95" s="108"/>
      <c r="SWY95" s="108"/>
      <c r="SWZ95" s="108"/>
      <c r="SXA95" s="108"/>
      <c r="SXB95" s="108"/>
      <c r="SXC95" s="108"/>
      <c r="SXD95" s="108"/>
      <c r="SXE95" s="108"/>
      <c r="SXF95" s="108"/>
      <c r="SXG95" s="108"/>
      <c r="SXH95" s="108"/>
      <c r="SXI95" s="108"/>
      <c r="SXJ95" s="108"/>
      <c r="SXK95" s="108"/>
      <c r="SXL95" s="108"/>
      <c r="SXM95" s="108"/>
      <c r="SXN95" s="108"/>
      <c r="SXO95" s="108"/>
      <c r="SXP95" s="108"/>
      <c r="SXQ95" s="108"/>
      <c r="SXR95" s="108"/>
      <c r="SXS95" s="108"/>
      <c r="SXT95" s="108"/>
      <c r="SXU95" s="108"/>
      <c r="SXV95" s="108"/>
      <c r="SXW95" s="108"/>
      <c r="SXX95" s="108"/>
      <c r="SXY95" s="108"/>
      <c r="SXZ95" s="108"/>
      <c r="SYA95" s="108"/>
      <c r="SYB95" s="108"/>
      <c r="SYC95" s="108"/>
      <c r="SYD95" s="108"/>
      <c r="SYE95" s="108"/>
      <c r="SYF95" s="108"/>
      <c r="SYG95" s="108"/>
      <c r="SYH95" s="108"/>
      <c r="SYI95" s="108"/>
      <c r="SYJ95" s="108"/>
      <c r="SYK95" s="108"/>
      <c r="SYL95" s="108"/>
      <c r="SYM95" s="108"/>
      <c r="SYN95" s="108"/>
      <c r="SYO95" s="108"/>
      <c r="SYP95" s="108"/>
      <c r="SYQ95" s="108"/>
      <c r="SYR95" s="108"/>
      <c r="SYS95" s="108"/>
      <c r="SYT95" s="108"/>
      <c r="SYU95" s="108"/>
      <c r="SYV95" s="108"/>
      <c r="SYW95" s="108"/>
      <c r="SYX95" s="108"/>
      <c r="SYY95" s="108"/>
      <c r="SYZ95" s="108"/>
      <c r="SZA95" s="108"/>
      <c r="SZB95" s="108"/>
      <c r="SZC95" s="108"/>
      <c r="SZD95" s="108"/>
      <c r="SZE95" s="108"/>
      <c r="SZF95" s="108"/>
      <c r="SZG95" s="108"/>
      <c r="SZH95" s="108"/>
      <c r="SZI95" s="108"/>
      <c r="SZJ95" s="108"/>
      <c r="SZK95" s="108"/>
      <c r="SZL95" s="108"/>
      <c r="SZM95" s="108"/>
      <c r="SZN95" s="108"/>
      <c r="SZO95" s="108"/>
      <c r="SZP95" s="108"/>
      <c r="SZQ95" s="108"/>
      <c r="SZR95" s="108"/>
      <c r="SZS95" s="108"/>
      <c r="SZT95" s="108"/>
      <c r="SZU95" s="108"/>
      <c r="SZV95" s="108"/>
      <c r="SZW95" s="108"/>
      <c r="SZX95" s="108"/>
      <c r="SZY95" s="108"/>
      <c r="SZZ95" s="108"/>
      <c r="TAA95" s="108"/>
      <c r="TAB95" s="108"/>
      <c r="TAC95" s="108"/>
      <c r="TAD95" s="108"/>
      <c r="TAE95" s="108"/>
      <c r="TAF95" s="108"/>
      <c r="TAG95" s="108"/>
      <c r="TAH95" s="108"/>
      <c r="TAI95" s="108"/>
      <c r="TAJ95" s="108"/>
      <c r="TAK95" s="108"/>
      <c r="TAL95" s="108"/>
      <c r="TAM95" s="108"/>
      <c r="TAN95" s="108"/>
      <c r="TAO95" s="108"/>
      <c r="TAP95" s="108"/>
      <c r="TAQ95" s="108"/>
      <c r="TAR95" s="108"/>
      <c r="TAS95" s="108"/>
      <c r="TAT95" s="108"/>
      <c r="TAU95" s="108"/>
      <c r="TAV95" s="108"/>
      <c r="TAW95" s="108"/>
      <c r="TAX95" s="108"/>
      <c r="TAY95" s="108"/>
      <c r="TAZ95" s="108"/>
      <c r="TBA95" s="108"/>
      <c r="TBB95" s="108"/>
      <c r="TBC95" s="108"/>
      <c r="TBD95" s="108"/>
      <c r="TBE95" s="108"/>
      <c r="TBF95" s="108"/>
      <c r="TBG95" s="108"/>
      <c r="TBH95" s="108"/>
      <c r="TBI95" s="108"/>
      <c r="TBJ95" s="108"/>
      <c r="TBK95" s="108"/>
      <c r="TBL95" s="108"/>
      <c r="TBM95" s="108"/>
      <c r="TBN95" s="108"/>
      <c r="TBO95" s="108"/>
      <c r="TBP95" s="108"/>
      <c r="TBQ95" s="108"/>
      <c r="TBR95" s="108"/>
      <c r="TBS95" s="108"/>
      <c r="TBT95" s="108"/>
      <c r="TBU95" s="108"/>
      <c r="TBV95" s="108"/>
      <c r="TBW95" s="108"/>
      <c r="TBX95" s="108"/>
      <c r="TBY95" s="108"/>
      <c r="TBZ95" s="108"/>
      <c r="TCA95" s="108"/>
      <c r="TCB95" s="108"/>
      <c r="TCC95" s="108"/>
      <c r="TCD95" s="108"/>
      <c r="TCE95" s="108"/>
      <c r="TCF95" s="108"/>
      <c r="TCG95" s="108"/>
      <c r="TCH95" s="108"/>
      <c r="TCI95" s="108"/>
      <c r="TCJ95" s="108"/>
      <c r="TCK95" s="108"/>
      <c r="TCL95" s="108"/>
      <c r="TCM95" s="108"/>
      <c r="TCN95" s="108"/>
      <c r="TCO95" s="108"/>
      <c r="TCP95" s="108"/>
      <c r="TCQ95" s="108"/>
      <c r="TCR95" s="108"/>
      <c r="TCS95" s="108"/>
      <c r="TCT95" s="108"/>
      <c r="TCU95" s="108"/>
      <c r="TCV95" s="108"/>
      <c r="TCW95" s="108"/>
      <c r="TCX95" s="108"/>
      <c r="TCY95" s="108"/>
      <c r="TCZ95" s="108"/>
      <c r="TDA95" s="108"/>
      <c r="TDB95" s="108"/>
      <c r="TDC95" s="108"/>
      <c r="TDD95" s="108"/>
      <c r="TDE95" s="108"/>
      <c r="TDF95" s="108"/>
      <c r="TDG95" s="108"/>
      <c r="TDH95" s="108"/>
      <c r="TDI95" s="108"/>
      <c r="TDJ95" s="108"/>
      <c r="TDK95" s="108"/>
      <c r="TDL95" s="108"/>
      <c r="TDM95" s="108"/>
      <c r="TDN95" s="108"/>
      <c r="TDO95" s="108"/>
      <c r="TDP95" s="108"/>
      <c r="TDQ95" s="108"/>
      <c r="TDR95" s="108"/>
      <c r="TDS95" s="108"/>
      <c r="TDT95" s="108"/>
      <c r="TDU95" s="108"/>
      <c r="TDV95" s="108"/>
      <c r="TDW95" s="108"/>
      <c r="TDX95" s="108"/>
      <c r="TDY95" s="108"/>
      <c r="TDZ95" s="108"/>
      <c r="TEA95" s="108"/>
      <c r="TEB95" s="108"/>
      <c r="TEC95" s="108"/>
      <c r="TED95" s="108"/>
      <c r="TEE95" s="108"/>
      <c r="TEF95" s="108"/>
      <c r="TEG95" s="108"/>
      <c r="TEH95" s="108"/>
      <c r="TEI95" s="108"/>
      <c r="TEJ95" s="108"/>
      <c r="TEK95" s="108"/>
      <c r="TEL95" s="108"/>
      <c r="TEM95" s="108"/>
      <c r="TEN95" s="108"/>
      <c r="TEO95" s="108"/>
      <c r="TEP95" s="108"/>
      <c r="TEQ95" s="108"/>
      <c r="TER95" s="108"/>
      <c r="TES95" s="108"/>
      <c r="TET95" s="108"/>
      <c r="TEU95" s="108"/>
      <c r="TEV95" s="108"/>
      <c r="TEW95" s="108"/>
      <c r="TEX95" s="108"/>
      <c r="TEY95" s="108"/>
      <c r="TEZ95" s="108"/>
      <c r="TFA95" s="108"/>
      <c r="TFB95" s="108"/>
      <c r="TFC95" s="108"/>
      <c r="TFD95" s="108"/>
      <c r="TFE95" s="108"/>
      <c r="TFF95" s="108"/>
      <c r="TFG95" s="108"/>
      <c r="TFH95" s="108"/>
      <c r="TFI95" s="108"/>
      <c r="TFJ95" s="108"/>
      <c r="TFK95" s="108"/>
      <c r="TFL95" s="108"/>
      <c r="TFM95" s="108"/>
      <c r="TFN95" s="108"/>
      <c r="TFO95" s="108"/>
      <c r="TFP95" s="108"/>
      <c r="TFQ95" s="108"/>
      <c r="TFR95" s="108"/>
      <c r="TFS95" s="108"/>
      <c r="TFT95" s="108"/>
      <c r="TFU95" s="108"/>
      <c r="TFV95" s="108"/>
      <c r="TFW95" s="108"/>
      <c r="TFX95" s="108"/>
      <c r="TFY95" s="108"/>
      <c r="TFZ95" s="108"/>
      <c r="TGA95" s="108"/>
      <c r="TGB95" s="108"/>
      <c r="TGC95" s="108"/>
      <c r="TGD95" s="108"/>
      <c r="TGE95" s="108"/>
      <c r="TGF95" s="108"/>
      <c r="TGG95" s="108"/>
      <c r="TGH95" s="108"/>
      <c r="TGI95" s="108"/>
      <c r="TGJ95" s="108"/>
      <c r="TGK95" s="108"/>
      <c r="TGL95" s="108"/>
      <c r="TGM95" s="108"/>
      <c r="TGN95" s="108"/>
      <c r="TGO95" s="108"/>
      <c r="TGP95" s="108"/>
      <c r="TGQ95" s="108"/>
      <c r="TGR95" s="108"/>
      <c r="TGS95" s="108"/>
      <c r="TGT95" s="108"/>
      <c r="TGU95" s="108"/>
      <c r="TGV95" s="108"/>
      <c r="TGW95" s="108"/>
      <c r="TGX95" s="108"/>
      <c r="TGY95" s="108"/>
      <c r="TGZ95" s="108"/>
      <c r="THA95" s="108"/>
      <c r="THB95" s="108"/>
      <c r="THC95" s="108"/>
      <c r="THD95" s="108"/>
      <c r="THE95" s="108"/>
      <c r="THF95" s="108"/>
      <c r="THG95" s="108"/>
      <c r="THH95" s="108"/>
      <c r="THI95" s="108"/>
      <c r="THJ95" s="108"/>
      <c r="THK95" s="108"/>
      <c r="THL95" s="108"/>
      <c r="THM95" s="108"/>
      <c r="THN95" s="108"/>
      <c r="THO95" s="108"/>
      <c r="THP95" s="108"/>
      <c r="THQ95" s="108"/>
      <c r="THR95" s="108"/>
      <c r="THS95" s="108"/>
      <c r="THT95" s="108"/>
      <c r="THU95" s="108"/>
      <c r="THV95" s="108"/>
      <c r="THW95" s="108"/>
      <c r="THX95" s="108"/>
      <c r="THY95" s="108"/>
      <c r="THZ95" s="108"/>
      <c r="TIA95" s="108"/>
      <c r="TIB95" s="108"/>
      <c r="TIC95" s="108"/>
      <c r="TID95" s="108"/>
      <c r="TIE95" s="108"/>
      <c r="TIF95" s="108"/>
      <c r="TIG95" s="108"/>
      <c r="TIH95" s="108"/>
      <c r="TII95" s="108"/>
      <c r="TIJ95" s="108"/>
      <c r="TIK95" s="108"/>
      <c r="TIL95" s="108"/>
      <c r="TIM95" s="108"/>
      <c r="TIN95" s="108"/>
      <c r="TIO95" s="108"/>
      <c r="TIP95" s="108"/>
      <c r="TIQ95" s="108"/>
      <c r="TIR95" s="108"/>
      <c r="TIS95" s="108"/>
      <c r="TIT95" s="108"/>
      <c r="TIU95" s="108"/>
      <c r="TIV95" s="108"/>
      <c r="TIW95" s="108"/>
      <c r="TIX95" s="108"/>
      <c r="TIY95" s="108"/>
      <c r="TIZ95" s="108"/>
      <c r="TJA95" s="108"/>
      <c r="TJB95" s="108"/>
      <c r="TJC95" s="108"/>
      <c r="TJD95" s="108"/>
      <c r="TJE95" s="108"/>
      <c r="TJF95" s="108"/>
      <c r="TJG95" s="108"/>
      <c r="TJH95" s="108"/>
      <c r="TJI95" s="108"/>
      <c r="TJJ95" s="108"/>
      <c r="TJK95" s="108"/>
      <c r="TJL95" s="108"/>
      <c r="TJM95" s="108"/>
      <c r="TJN95" s="108"/>
      <c r="TJO95" s="108"/>
      <c r="TJP95" s="108"/>
      <c r="TJQ95" s="108"/>
      <c r="TJR95" s="108"/>
      <c r="TJS95" s="108"/>
      <c r="TJT95" s="108"/>
      <c r="TJU95" s="108"/>
      <c r="TJV95" s="108"/>
      <c r="TJW95" s="108"/>
      <c r="TJX95" s="108"/>
      <c r="TJY95" s="108"/>
      <c r="TJZ95" s="108"/>
      <c r="TKA95" s="108"/>
      <c r="TKB95" s="108"/>
      <c r="TKC95" s="108"/>
      <c r="TKD95" s="108"/>
      <c r="TKE95" s="108"/>
      <c r="TKF95" s="108"/>
      <c r="TKG95" s="108"/>
      <c r="TKH95" s="108"/>
      <c r="TKI95" s="108"/>
      <c r="TKJ95" s="108"/>
      <c r="TKK95" s="108"/>
      <c r="TKL95" s="108"/>
      <c r="TKM95" s="108"/>
      <c r="TKN95" s="108"/>
      <c r="TKO95" s="108"/>
      <c r="TKP95" s="108"/>
      <c r="TKQ95" s="108"/>
      <c r="TKR95" s="108"/>
      <c r="TKS95" s="108"/>
      <c r="TKT95" s="108"/>
      <c r="TKU95" s="108"/>
      <c r="TKV95" s="108"/>
      <c r="TKW95" s="108"/>
      <c r="TKX95" s="108"/>
      <c r="TKY95" s="108"/>
      <c r="TKZ95" s="108"/>
      <c r="TLA95" s="108"/>
      <c r="TLB95" s="108"/>
      <c r="TLC95" s="108"/>
      <c r="TLD95" s="108"/>
      <c r="TLE95" s="108"/>
      <c r="TLF95" s="108"/>
      <c r="TLG95" s="108"/>
      <c r="TLH95" s="108"/>
      <c r="TLI95" s="108"/>
      <c r="TLJ95" s="108"/>
      <c r="TLK95" s="108"/>
      <c r="TLL95" s="108"/>
      <c r="TLM95" s="108"/>
      <c r="TLN95" s="108"/>
      <c r="TLO95" s="108"/>
      <c r="TLP95" s="108"/>
      <c r="TLQ95" s="108"/>
      <c r="TLR95" s="108"/>
      <c r="TLS95" s="108"/>
      <c r="TLT95" s="108"/>
      <c r="TLU95" s="108"/>
      <c r="TLV95" s="108"/>
      <c r="TLW95" s="108"/>
      <c r="TLX95" s="108"/>
      <c r="TLY95" s="108"/>
      <c r="TLZ95" s="108"/>
      <c r="TMA95" s="108"/>
      <c r="TMB95" s="108"/>
      <c r="TMC95" s="108"/>
      <c r="TMD95" s="108"/>
      <c r="TME95" s="108"/>
      <c r="TMF95" s="108"/>
      <c r="TMG95" s="108"/>
      <c r="TMH95" s="108"/>
      <c r="TMI95" s="108"/>
      <c r="TMJ95" s="108"/>
      <c r="TMK95" s="108"/>
      <c r="TML95" s="108"/>
      <c r="TMM95" s="108"/>
      <c r="TMN95" s="108"/>
      <c r="TMO95" s="108"/>
      <c r="TMP95" s="108"/>
      <c r="TMQ95" s="108"/>
      <c r="TMR95" s="108"/>
      <c r="TMS95" s="108"/>
      <c r="TMT95" s="108"/>
      <c r="TMU95" s="108"/>
      <c r="TMV95" s="108"/>
      <c r="TMW95" s="108"/>
      <c r="TMX95" s="108"/>
      <c r="TMY95" s="108"/>
      <c r="TMZ95" s="108"/>
      <c r="TNA95" s="108"/>
      <c r="TNB95" s="108"/>
      <c r="TNC95" s="108"/>
      <c r="TND95" s="108"/>
      <c r="TNE95" s="108"/>
      <c r="TNF95" s="108"/>
      <c r="TNG95" s="108"/>
      <c r="TNH95" s="108"/>
      <c r="TNI95" s="108"/>
      <c r="TNJ95" s="108"/>
      <c r="TNK95" s="108"/>
      <c r="TNL95" s="108"/>
      <c r="TNM95" s="108"/>
      <c r="TNN95" s="108"/>
      <c r="TNO95" s="108"/>
      <c r="TNP95" s="108"/>
      <c r="TNQ95" s="108"/>
      <c r="TNR95" s="108"/>
      <c r="TNS95" s="108"/>
      <c r="TNT95" s="108"/>
      <c r="TNU95" s="108"/>
      <c r="TNV95" s="108"/>
      <c r="TNW95" s="108"/>
      <c r="TNX95" s="108"/>
      <c r="TNY95" s="108"/>
      <c r="TNZ95" s="108"/>
      <c r="TOA95" s="108"/>
      <c r="TOB95" s="108"/>
      <c r="TOC95" s="108"/>
      <c r="TOD95" s="108"/>
      <c r="TOE95" s="108"/>
      <c r="TOF95" s="108"/>
      <c r="TOG95" s="108"/>
      <c r="TOH95" s="108"/>
      <c r="TOI95" s="108"/>
      <c r="TOJ95" s="108"/>
      <c r="TOK95" s="108"/>
      <c r="TOL95" s="108"/>
      <c r="TOM95" s="108"/>
      <c r="TON95" s="108"/>
      <c r="TOO95" s="108"/>
      <c r="TOP95" s="108"/>
      <c r="TOQ95" s="108"/>
      <c r="TOR95" s="108"/>
      <c r="TOS95" s="108"/>
      <c r="TOT95" s="108"/>
      <c r="TOU95" s="108"/>
      <c r="TOV95" s="108"/>
      <c r="TOW95" s="108"/>
      <c r="TOX95" s="108"/>
      <c r="TOY95" s="108"/>
      <c r="TOZ95" s="108"/>
      <c r="TPA95" s="108"/>
      <c r="TPB95" s="108"/>
      <c r="TPC95" s="108"/>
      <c r="TPD95" s="108"/>
      <c r="TPE95" s="108"/>
      <c r="TPF95" s="108"/>
      <c r="TPG95" s="108"/>
      <c r="TPH95" s="108"/>
      <c r="TPI95" s="108"/>
      <c r="TPJ95" s="108"/>
      <c r="TPK95" s="108"/>
      <c r="TPL95" s="108"/>
      <c r="TPM95" s="108"/>
      <c r="TPN95" s="108"/>
      <c r="TPO95" s="108"/>
      <c r="TPP95" s="108"/>
      <c r="TPQ95" s="108"/>
      <c r="TPR95" s="108"/>
      <c r="TPS95" s="108"/>
      <c r="TPT95" s="108"/>
      <c r="TPU95" s="108"/>
      <c r="TPV95" s="108"/>
      <c r="TPW95" s="108"/>
      <c r="TPX95" s="108"/>
      <c r="TPY95" s="108"/>
      <c r="TPZ95" s="108"/>
      <c r="TQA95" s="108"/>
      <c r="TQB95" s="108"/>
      <c r="TQC95" s="108"/>
      <c r="TQD95" s="108"/>
      <c r="TQE95" s="108"/>
      <c r="TQF95" s="108"/>
      <c r="TQG95" s="108"/>
      <c r="TQH95" s="108"/>
      <c r="TQI95" s="108"/>
      <c r="TQJ95" s="108"/>
      <c r="TQK95" s="108"/>
      <c r="TQL95" s="108"/>
      <c r="TQM95" s="108"/>
      <c r="TQN95" s="108"/>
      <c r="TQO95" s="108"/>
      <c r="TQP95" s="108"/>
      <c r="TQQ95" s="108"/>
      <c r="TQR95" s="108"/>
      <c r="TQS95" s="108"/>
      <c r="TQT95" s="108"/>
      <c r="TQU95" s="108"/>
      <c r="TQV95" s="108"/>
      <c r="TQW95" s="108"/>
      <c r="TQX95" s="108"/>
      <c r="TQY95" s="108"/>
      <c r="TQZ95" s="108"/>
      <c r="TRA95" s="108"/>
      <c r="TRB95" s="108"/>
      <c r="TRC95" s="108"/>
      <c r="TRD95" s="108"/>
      <c r="TRE95" s="108"/>
      <c r="TRF95" s="108"/>
      <c r="TRG95" s="108"/>
      <c r="TRH95" s="108"/>
      <c r="TRI95" s="108"/>
      <c r="TRJ95" s="108"/>
      <c r="TRK95" s="108"/>
      <c r="TRL95" s="108"/>
      <c r="TRM95" s="108"/>
      <c r="TRN95" s="108"/>
      <c r="TRO95" s="108"/>
      <c r="TRP95" s="108"/>
      <c r="TRQ95" s="108"/>
      <c r="TRR95" s="108"/>
      <c r="TRS95" s="108"/>
      <c r="TRT95" s="108"/>
      <c r="TRU95" s="108"/>
      <c r="TRV95" s="108"/>
      <c r="TRW95" s="108"/>
      <c r="TRX95" s="108"/>
      <c r="TRY95" s="108"/>
      <c r="TRZ95" s="108"/>
      <c r="TSA95" s="108"/>
      <c r="TSB95" s="108"/>
      <c r="TSC95" s="108"/>
      <c r="TSD95" s="108"/>
      <c r="TSE95" s="108"/>
      <c r="TSF95" s="108"/>
      <c r="TSG95" s="108"/>
      <c r="TSH95" s="108"/>
      <c r="TSI95" s="108"/>
      <c r="TSJ95" s="108"/>
      <c r="TSK95" s="108"/>
      <c r="TSL95" s="108"/>
      <c r="TSM95" s="108"/>
      <c r="TSN95" s="108"/>
      <c r="TSO95" s="108"/>
      <c r="TSP95" s="108"/>
      <c r="TSQ95" s="108"/>
      <c r="TSR95" s="108"/>
      <c r="TSS95" s="108"/>
      <c r="TST95" s="108"/>
      <c r="TSU95" s="108"/>
      <c r="TSV95" s="108"/>
      <c r="TSW95" s="108"/>
      <c r="TSX95" s="108"/>
      <c r="TSY95" s="108"/>
      <c r="TSZ95" s="108"/>
      <c r="TTA95" s="108"/>
      <c r="TTB95" s="108"/>
      <c r="TTC95" s="108"/>
      <c r="TTD95" s="108"/>
      <c r="TTE95" s="108"/>
      <c r="TTF95" s="108"/>
      <c r="TTG95" s="108"/>
      <c r="TTH95" s="108"/>
      <c r="TTI95" s="108"/>
      <c r="TTJ95" s="108"/>
      <c r="TTK95" s="108"/>
      <c r="TTL95" s="108"/>
      <c r="TTM95" s="108"/>
      <c r="TTN95" s="108"/>
      <c r="TTO95" s="108"/>
      <c r="TTP95" s="108"/>
      <c r="TTQ95" s="108"/>
      <c r="TTR95" s="108"/>
      <c r="TTS95" s="108"/>
      <c r="TTT95" s="108"/>
      <c r="TTU95" s="108"/>
      <c r="TTV95" s="108"/>
      <c r="TTW95" s="108"/>
      <c r="TTX95" s="108"/>
      <c r="TTY95" s="108"/>
      <c r="TTZ95" s="108"/>
      <c r="TUA95" s="108"/>
      <c r="TUB95" s="108"/>
      <c r="TUC95" s="108"/>
      <c r="TUD95" s="108"/>
      <c r="TUE95" s="108"/>
      <c r="TUF95" s="108"/>
      <c r="TUG95" s="108"/>
      <c r="TUH95" s="108"/>
      <c r="TUI95" s="108"/>
      <c r="TUJ95" s="108"/>
      <c r="TUK95" s="108"/>
      <c r="TUL95" s="108"/>
      <c r="TUM95" s="108"/>
      <c r="TUN95" s="108"/>
      <c r="TUO95" s="108"/>
      <c r="TUP95" s="108"/>
      <c r="TUQ95" s="108"/>
      <c r="TUR95" s="108"/>
      <c r="TUS95" s="108"/>
      <c r="TUT95" s="108"/>
      <c r="TUU95" s="108"/>
      <c r="TUV95" s="108"/>
      <c r="TUW95" s="108"/>
      <c r="TUX95" s="108"/>
      <c r="TUY95" s="108"/>
      <c r="TUZ95" s="108"/>
      <c r="TVA95" s="108"/>
      <c r="TVB95" s="108"/>
      <c r="TVC95" s="108"/>
      <c r="TVD95" s="108"/>
      <c r="TVE95" s="108"/>
      <c r="TVF95" s="108"/>
      <c r="TVG95" s="108"/>
      <c r="TVH95" s="108"/>
      <c r="TVI95" s="108"/>
      <c r="TVJ95" s="108"/>
      <c r="TVK95" s="108"/>
      <c r="TVL95" s="108"/>
      <c r="TVM95" s="108"/>
      <c r="TVN95" s="108"/>
      <c r="TVO95" s="108"/>
      <c r="TVP95" s="108"/>
      <c r="TVQ95" s="108"/>
      <c r="TVR95" s="108"/>
      <c r="TVS95" s="108"/>
      <c r="TVT95" s="108"/>
      <c r="TVU95" s="108"/>
      <c r="TVV95" s="108"/>
      <c r="TVW95" s="108"/>
      <c r="TVX95" s="108"/>
      <c r="TVY95" s="108"/>
      <c r="TVZ95" s="108"/>
      <c r="TWA95" s="108"/>
      <c r="TWB95" s="108"/>
      <c r="TWC95" s="108"/>
      <c r="TWD95" s="108"/>
      <c r="TWE95" s="108"/>
      <c r="TWF95" s="108"/>
      <c r="TWG95" s="108"/>
      <c r="TWH95" s="108"/>
      <c r="TWI95" s="108"/>
      <c r="TWJ95" s="108"/>
      <c r="TWK95" s="108"/>
      <c r="TWL95" s="108"/>
      <c r="TWM95" s="108"/>
      <c r="TWN95" s="108"/>
      <c r="TWO95" s="108"/>
      <c r="TWP95" s="108"/>
      <c r="TWQ95" s="108"/>
      <c r="TWR95" s="108"/>
      <c r="TWS95" s="108"/>
      <c r="TWT95" s="108"/>
      <c r="TWU95" s="108"/>
      <c r="TWV95" s="108"/>
      <c r="TWW95" s="108"/>
      <c r="TWX95" s="108"/>
      <c r="TWY95" s="108"/>
      <c r="TWZ95" s="108"/>
      <c r="TXA95" s="108"/>
      <c r="TXB95" s="108"/>
      <c r="TXC95" s="108"/>
      <c r="TXD95" s="108"/>
      <c r="TXE95" s="108"/>
      <c r="TXF95" s="108"/>
      <c r="TXG95" s="108"/>
      <c r="TXH95" s="108"/>
      <c r="TXI95" s="108"/>
      <c r="TXJ95" s="108"/>
      <c r="TXK95" s="108"/>
      <c r="TXL95" s="108"/>
      <c r="TXM95" s="108"/>
      <c r="TXN95" s="108"/>
      <c r="TXO95" s="108"/>
      <c r="TXP95" s="108"/>
      <c r="TXQ95" s="108"/>
      <c r="TXR95" s="108"/>
      <c r="TXS95" s="108"/>
      <c r="TXT95" s="108"/>
      <c r="TXU95" s="108"/>
      <c r="TXV95" s="108"/>
      <c r="TXW95" s="108"/>
      <c r="TXX95" s="108"/>
      <c r="TXY95" s="108"/>
      <c r="TXZ95" s="108"/>
      <c r="TYA95" s="108"/>
      <c r="TYB95" s="108"/>
      <c r="TYC95" s="108"/>
      <c r="TYD95" s="108"/>
      <c r="TYE95" s="108"/>
      <c r="TYF95" s="108"/>
      <c r="TYG95" s="108"/>
      <c r="TYH95" s="108"/>
      <c r="TYI95" s="108"/>
      <c r="TYJ95" s="108"/>
      <c r="TYK95" s="108"/>
      <c r="TYL95" s="108"/>
      <c r="TYM95" s="108"/>
      <c r="TYN95" s="108"/>
      <c r="TYO95" s="108"/>
      <c r="TYP95" s="108"/>
      <c r="TYQ95" s="108"/>
      <c r="TYR95" s="108"/>
      <c r="TYS95" s="108"/>
      <c r="TYT95" s="108"/>
      <c r="TYU95" s="108"/>
      <c r="TYV95" s="108"/>
      <c r="TYW95" s="108"/>
      <c r="TYX95" s="108"/>
      <c r="TYY95" s="108"/>
      <c r="TYZ95" s="108"/>
      <c r="TZA95" s="108"/>
      <c r="TZB95" s="108"/>
      <c r="TZC95" s="108"/>
      <c r="TZD95" s="108"/>
      <c r="TZE95" s="108"/>
      <c r="TZF95" s="108"/>
      <c r="TZG95" s="108"/>
      <c r="TZH95" s="108"/>
      <c r="TZI95" s="108"/>
      <c r="TZJ95" s="108"/>
      <c r="TZK95" s="108"/>
      <c r="TZL95" s="108"/>
      <c r="TZM95" s="108"/>
      <c r="TZN95" s="108"/>
      <c r="TZO95" s="108"/>
      <c r="TZP95" s="108"/>
      <c r="TZQ95" s="108"/>
      <c r="TZR95" s="108"/>
      <c r="TZS95" s="108"/>
      <c r="TZT95" s="108"/>
      <c r="TZU95" s="108"/>
      <c r="TZV95" s="108"/>
      <c r="TZW95" s="108"/>
      <c r="TZX95" s="108"/>
      <c r="TZY95" s="108"/>
      <c r="TZZ95" s="108"/>
      <c r="UAA95" s="108"/>
      <c r="UAB95" s="108"/>
      <c r="UAC95" s="108"/>
      <c r="UAD95" s="108"/>
      <c r="UAE95" s="108"/>
      <c r="UAF95" s="108"/>
      <c r="UAG95" s="108"/>
      <c r="UAH95" s="108"/>
      <c r="UAI95" s="108"/>
      <c r="UAJ95" s="108"/>
      <c r="UAK95" s="108"/>
      <c r="UAL95" s="108"/>
      <c r="UAM95" s="108"/>
      <c r="UAN95" s="108"/>
      <c r="UAO95" s="108"/>
      <c r="UAP95" s="108"/>
      <c r="UAQ95" s="108"/>
      <c r="UAR95" s="108"/>
      <c r="UAS95" s="108"/>
      <c r="UAT95" s="108"/>
      <c r="UAU95" s="108"/>
      <c r="UAV95" s="108"/>
      <c r="UAW95" s="108"/>
      <c r="UAX95" s="108"/>
      <c r="UAY95" s="108"/>
      <c r="UAZ95" s="108"/>
      <c r="UBA95" s="108"/>
      <c r="UBB95" s="108"/>
      <c r="UBC95" s="108"/>
      <c r="UBD95" s="108"/>
      <c r="UBE95" s="108"/>
      <c r="UBF95" s="108"/>
      <c r="UBG95" s="108"/>
      <c r="UBH95" s="108"/>
      <c r="UBI95" s="108"/>
      <c r="UBJ95" s="108"/>
      <c r="UBK95" s="108"/>
      <c r="UBL95" s="108"/>
      <c r="UBM95" s="108"/>
      <c r="UBN95" s="108"/>
      <c r="UBO95" s="108"/>
      <c r="UBP95" s="108"/>
      <c r="UBQ95" s="108"/>
      <c r="UBR95" s="108"/>
      <c r="UBS95" s="108"/>
      <c r="UBT95" s="108"/>
      <c r="UBU95" s="108"/>
      <c r="UBV95" s="108"/>
      <c r="UBW95" s="108"/>
      <c r="UBX95" s="108"/>
      <c r="UBY95" s="108"/>
      <c r="UBZ95" s="108"/>
      <c r="UCA95" s="108"/>
      <c r="UCB95" s="108"/>
      <c r="UCC95" s="108"/>
      <c r="UCD95" s="108"/>
      <c r="UCE95" s="108"/>
      <c r="UCF95" s="108"/>
      <c r="UCG95" s="108"/>
      <c r="UCH95" s="108"/>
      <c r="UCI95" s="108"/>
      <c r="UCJ95" s="108"/>
      <c r="UCK95" s="108"/>
      <c r="UCL95" s="108"/>
      <c r="UCM95" s="108"/>
      <c r="UCN95" s="108"/>
      <c r="UCO95" s="108"/>
      <c r="UCP95" s="108"/>
      <c r="UCQ95" s="108"/>
      <c r="UCR95" s="108"/>
      <c r="UCS95" s="108"/>
      <c r="UCT95" s="108"/>
      <c r="UCU95" s="108"/>
      <c r="UCV95" s="108"/>
      <c r="UCW95" s="108"/>
      <c r="UCX95" s="108"/>
      <c r="UCY95" s="108"/>
      <c r="UCZ95" s="108"/>
      <c r="UDA95" s="108"/>
      <c r="UDB95" s="108"/>
      <c r="UDC95" s="108"/>
      <c r="UDD95" s="108"/>
      <c r="UDE95" s="108"/>
      <c r="UDF95" s="108"/>
      <c r="UDG95" s="108"/>
      <c r="UDH95" s="108"/>
      <c r="UDI95" s="108"/>
      <c r="UDJ95" s="108"/>
      <c r="UDK95" s="108"/>
      <c r="UDL95" s="108"/>
      <c r="UDM95" s="108"/>
      <c r="UDN95" s="108"/>
      <c r="UDO95" s="108"/>
      <c r="UDP95" s="108"/>
      <c r="UDQ95" s="108"/>
      <c r="UDR95" s="108"/>
      <c r="UDS95" s="108"/>
      <c r="UDT95" s="108"/>
      <c r="UDU95" s="108"/>
      <c r="UDV95" s="108"/>
      <c r="UDW95" s="108"/>
      <c r="UDX95" s="108"/>
      <c r="UDY95" s="108"/>
      <c r="UDZ95" s="108"/>
      <c r="UEA95" s="108"/>
      <c r="UEB95" s="108"/>
      <c r="UEC95" s="108"/>
      <c r="UED95" s="108"/>
      <c r="UEE95" s="108"/>
      <c r="UEF95" s="108"/>
      <c r="UEG95" s="108"/>
      <c r="UEH95" s="108"/>
      <c r="UEI95" s="108"/>
      <c r="UEJ95" s="108"/>
      <c r="UEK95" s="108"/>
      <c r="UEL95" s="108"/>
      <c r="UEM95" s="108"/>
      <c r="UEN95" s="108"/>
      <c r="UEO95" s="108"/>
      <c r="UEP95" s="108"/>
      <c r="UEQ95" s="108"/>
      <c r="UER95" s="108"/>
      <c r="UES95" s="108"/>
      <c r="UET95" s="108"/>
      <c r="UEU95" s="108"/>
      <c r="UEV95" s="108"/>
      <c r="UEW95" s="108"/>
      <c r="UEX95" s="108"/>
      <c r="UEY95" s="108"/>
      <c r="UEZ95" s="108"/>
      <c r="UFA95" s="108"/>
      <c r="UFB95" s="108"/>
      <c r="UFC95" s="108"/>
      <c r="UFD95" s="108"/>
      <c r="UFE95" s="108"/>
      <c r="UFF95" s="108"/>
      <c r="UFG95" s="108"/>
      <c r="UFH95" s="108"/>
      <c r="UFI95" s="108"/>
      <c r="UFJ95" s="108"/>
      <c r="UFK95" s="108"/>
      <c r="UFL95" s="108"/>
      <c r="UFM95" s="108"/>
      <c r="UFN95" s="108"/>
      <c r="UFO95" s="108"/>
      <c r="UFP95" s="108"/>
      <c r="UFQ95" s="108"/>
      <c r="UFR95" s="108"/>
      <c r="UFS95" s="108"/>
      <c r="UFT95" s="108"/>
      <c r="UFU95" s="108"/>
      <c r="UFV95" s="108"/>
      <c r="UFW95" s="108"/>
      <c r="UFX95" s="108"/>
      <c r="UFY95" s="108"/>
      <c r="UFZ95" s="108"/>
      <c r="UGA95" s="108"/>
      <c r="UGB95" s="108"/>
      <c r="UGC95" s="108"/>
      <c r="UGD95" s="108"/>
      <c r="UGE95" s="108"/>
      <c r="UGF95" s="108"/>
      <c r="UGG95" s="108"/>
      <c r="UGH95" s="108"/>
      <c r="UGI95" s="108"/>
      <c r="UGJ95" s="108"/>
      <c r="UGK95" s="108"/>
      <c r="UGL95" s="108"/>
      <c r="UGM95" s="108"/>
      <c r="UGN95" s="108"/>
      <c r="UGO95" s="108"/>
      <c r="UGP95" s="108"/>
      <c r="UGQ95" s="108"/>
      <c r="UGR95" s="108"/>
      <c r="UGS95" s="108"/>
      <c r="UGT95" s="108"/>
      <c r="UGU95" s="108"/>
      <c r="UGV95" s="108"/>
      <c r="UGW95" s="108"/>
      <c r="UGX95" s="108"/>
      <c r="UGY95" s="108"/>
      <c r="UGZ95" s="108"/>
      <c r="UHA95" s="108"/>
      <c r="UHB95" s="108"/>
      <c r="UHC95" s="108"/>
      <c r="UHD95" s="108"/>
      <c r="UHE95" s="108"/>
      <c r="UHF95" s="108"/>
      <c r="UHG95" s="108"/>
      <c r="UHH95" s="108"/>
      <c r="UHI95" s="108"/>
      <c r="UHJ95" s="108"/>
      <c r="UHK95" s="108"/>
      <c r="UHL95" s="108"/>
      <c r="UHM95" s="108"/>
      <c r="UHN95" s="108"/>
      <c r="UHO95" s="108"/>
      <c r="UHP95" s="108"/>
      <c r="UHQ95" s="108"/>
      <c r="UHR95" s="108"/>
      <c r="UHS95" s="108"/>
      <c r="UHT95" s="108"/>
      <c r="UHU95" s="108"/>
      <c r="UHV95" s="108"/>
      <c r="UHW95" s="108"/>
      <c r="UHX95" s="108"/>
      <c r="UHY95" s="108"/>
      <c r="UHZ95" s="108"/>
      <c r="UIA95" s="108"/>
      <c r="UIB95" s="108"/>
      <c r="UIC95" s="108"/>
      <c r="UID95" s="108"/>
      <c r="UIE95" s="108"/>
      <c r="UIF95" s="108"/>
      <c r="UIG95" s="108"/>
      <c r="UIH95" s="108"/>
      <c r="UII95" s="108"/>
      <c r="UIJ95" s="108"/>
      <c r="UIK95" s="108"/>
      <c r="UIL95" s="108"/>
      <c r="UIM95" s="108"/>
      <c r="UIN95" s="108"/>
      <c r="UIO95" s="108"/>
      <c r="UIP95" s="108"/>
      <c r="UIQ95" s="108"/>
      <c r="UIR95" s="108"/>
      <c r="UIS95" s="108"/>
      <c r="UIT95" s="108"/>
      <c r="UIU95" s="108"/>
      <c r="UIV95" s="108"/>
      <c r="UIW95" s="108"/>
      <c r="UIX95" s="108"/>
      <c r="UIY95" s="108"/>
      <c r="UIZ95" s="108"/>
      <c r="UJA95" s="108"/>
      <c r="UJB95" s="108"/>
      <c r="UJC95" s="108"/>
      <c r="UJD95" s="108"/>
      <c r="UJE95" s="108"/>
      <c r="UJF95" s="108"/>
      <c r="UJG95" s="108"/>
      <c r="UJH95" s="108"/>
      <c r="UJI95" s="108"/>
      <c r="UJJ95" s="108"/>
      <c r="UJK95" s="108"/>
      <c r="UJL95" s="108"/>
      <c r="UJM95" s="108"/>
      <c r="UJN95" s="108"/>
      <c r="UJO95" s="108"/>
      <c r="UJP95" s="108"/>
      <c r="UJQ95" s="108"/>
      <c r="UJR95" s="108"/>
      <c r="UJS95" s="108"/>
      <c r="UJT95" s="108"/>
      <c r="UJU95" s="108"/>
      <c r="UJV95" s="108"/>
      <c r="UJW95" s="108"/>
      <c r="UJX95" s="108"/>
      <c r="UJY95" s="108"/>
      <c r="UJZ95" s="108"/>
      <c r="UKA95" s="108"/>
      <c r="UKB95" s="108"/>
      <c r="UKC95" s="108"/>
      <c r="UKD95" s="108"/>
      <c r="UKE95" s="108"/>
      <c r="UKF95" s="108"/>
      <c r="UKG95" s="108"/>
      <c r="UKH95" s="108"/>
      <c r="UKI95" s="108"/>
      <c r="UKJ95" s="108"/>
      <c r="UKK95" s="108"/>
      <c r="UKL95" s="108"/>
      <c r="UKM95" s="108"/>
      <c r="UKN95" s="108"/>
      <c r="UKO95" s="108"/>
      <c r="UKP95" s="108"/>
      <c r="UKQ95" s="108"/>
      <c r="UKR95" s="108"/>
      <c r="UKS95" s="108"/>
      <c r="UKT95" s="108"/>
      <c r="UKU95" s="108"/>
      <c r="UKV95" s="108"/>
      <c r="UKW95" s="108"/>
      <c r="UKX95" s="108"/>
      <c r="UKY95" s="108"/>
      <c r="UKZ95" s="108"/>
      <c r="ULA95" s="108"/>
      <c r="ULB95" s="108"/>
      <c r="ULC95" s="108"/>
      <c r="ULD95" s="108"/>
      <c r="ULE95" s="108"/>
      <c r="ULF95" s="108"/>
      <c r="ULG95" s="108"/>
      <c r="ULH95" s="108"/>
      <c r="ULI95" s="108"/>
      <c r="ULJ95" s="108"/>
      <c r="ULK95" s="108"/>
      <c r="ULL95" s="108"/>
      <c r="ULM95" s="108"/>
      <c r="ULN95" s="108"/>
      <c r="ULO95" s="108"/>
      <c r="ULP95" s="108"/>
      <c r="ULQ95" s="108"/>
      <c r="ULR95" s="108"/>
      <c r="ULS95" s="108"/>
      <c r="ULT95" s="108"/>
      <c r="ULU95" s="108"/>
      <c r="ULV95" s="108"/>
      <c r="ULW95" s="108"/>
      <c r="ULX95" s="108"/>
      <c r="ULY95" s="108"/>
      <c r="ULZ95" s="108"/>
      <c r="UMA95" s="108"/>
      <c r="UMB95" s="108"/>
      <c r="UMC95" s="108"/>
      <c r="UMD95" s="108"/>
      <c r="UME95" s="108"/>
      <c r="UMF95" s="108"/>
      <c r="UMG95" s="108"/>
      <c r="UMH95" s="108"/>
      <c r="UMI95" s="108"/>
      <c r="UMJ95" s="108"/>
      <c r="UMK95" s="108"/>
      <c r="UML95" s="108"/>
      <c r="UMM95" s="108"/>
      <c r="UMN95" s="108"/>
      <c r="UMO95" s="108"/>
      <c r="UMP95" s="108"/>
      <c r="UMQ95" s="108"/>
      <c r="UMR95" s="108"/>
      <c r="UMS95" s="108"/>
      <c r="UMT95" s="108"/>
      <c r="UMU95" s="108"/>
      <c r="UMV95" s="108"/>
      <c r="UMW95" s="108"/>
      <c r="UMX95" s="108"/>
      <c r="UMY95" s="108"/>
      <c r="UMZ95" s="108"/>
      <c r="UNA95" s="108"/>
      <c r="UNB95" s="108"/>
      <c r="UNC95" s="108"/>
      <c r="UND95" s="108"/>
      <c r="UNE95" s="108"/>
      <c r="UNF95" s="108"/>
      <c r="UNG95" s="108"/>
      <c r="UNH95" s="108"/>
      <c r="UNI95" s="108"/>
      <c r="UNJ95" s="108"/>
      <c r="UNK95" s="108"/>
      <c r="UNL95" s="108"/>
      <c r="UNM95" s="108"/>
      <c r="UNN95" s="108"/>
      <c r="UNO95" s="108"/>
      <c r="UNP95" s="108"/>
      <c r="UNQ95" s="108"/>
      <c r="UNR95" s="108"/>
      <c r="UNS95" s="108"/>
      <c r="UNT95" s="108"/>
      <c r="UNU95" s="108"/>
      <c r="UNV95" s="108"/>
      <c r="UNW95" s="108"/>
      <c r="UNX95" s="108"/>
      <c r="UNY95" s="108"/>
      <c r="UNZ95" s="108"/>
      <c r="UOA95" s="108"/>
      <c r="UOB95" s="108"/>
      <c r="UOC95" s="108"/>
      <c r="UOD95" s="108"/>
      <c r="UOE95" s="108"/>
      <c r="UOF95" s="108"/>
      <c r="UOG95" s="108"/>
      <c r="UOH95" s="108"/>
      <c r="UOI95" s="108"/>
      <c r="UOJ95" s="108"/>
      <c r="UOK95" s="108"/>
      <c r="UOL95" s="108"/>
      <c r="UOM95" s="108"/>
      <c r="UON95" s="108"/>
      <c r="UOO95" s="108"/>
      <c r="UOP95" s="108"/>
      <c r="UOQ95" s="108"/>
      <c r="UOR95" s="108"/>
      <c r="UOS95" s="108"/>
      <c r="UOT95" s="108"/>
      <c r="UOU95" s="108"/>
      <c r="UOV95" s="108"/>
      <c r="UOW95" s="108"/>
      <c r="UOX95" s="108"/>
      <c r="UOY95" s="108"/>
      <c r="UOZ95" s="108"/>
      <c r="UPA95" s="108"/>
      <c r="UPB95" s="108"/>
      <c r="UPC95" s="108"/>
      <c r="UPD95" s="108"/>
      <c r="UPE95" s="108"/>
      <c r="UPF95" s="108"/>
      <c r="UPG95" s="108"/>
      <c r="UPH95" s="108"/>
      <c r="UPI95" s="108"/>
      <c r="UPJ95" s="108"/>
      <c r="UPK95" s="108"/>
      <c r="UPL95" s="108"/>
      <c r="UPM95" s="108"/>
      <c r="UPN95" s="108"/>
      <c r="UPO95" s="108"/>
      <c r="UPP95" s="108"/>
      <c r="UPQ95" s="108"/>
      <c r="UPR95" s="108"/>
      <c r="UPS95" s="108"/>
      <c r="UPT95" s="108"/>
      <c r="UPU95" s="108"/>
      <c r="UPV95" s="108"/>
      <c r="UPW95" s="108"/>
      <c r="UPX95" s="108"/>
      <c r="UPY95" s="108"/>
      <c r="UPZ95" s="108"/>
      <c r="UQA95" s="108"/>
      <c r="UQB95" s="108"/>
      <c r="UQC95" s="108"/>
      <c r="UQD95" s="108"/>
      <c r="UQE95" s="108"/>
      <c r="UQF95" s="108"/>
      <c r="UQG95" s="108"/>
      <c r="UQH95" s="108"/>
      <c r="UQI95" s="108"/>
      <c r="UQJ95" s="108"/>
      <c r="UQK95" s="108"/>
      <c r="UQL95" s="108"/>
      <c r="UQM95" s="108"/>
      <c r="UQN95" s="108"/>
      <c r="UQO95" s="108"/>
      <c r="UQP95" s="108"/>
      <c r="UQQ95" s="108"/>
      <c r="UQR95" s="108"/>
      <c r="UQS95" s="108"/>
      <c r="UQT95" s="108"/>
      <c r="UQU95" s="108"/>
      <c r="UQV95" s="108"/>
      <c r="UQW95" s="108"/>
      <c r="UQX95" s="108"/>
      <c r="UQY95" s="108"/>
      <c r="UQZ95" s="108"/>
      <c r="URA95" s="108"/>
      <c r="URB95" s="108"/>
      <c r="URC95" s="108"/>
      <c r="URD95" s="108"/>
      <c r="URE95" s="108"/>
      <c r="URF95" s="108"/>
      <c r="URG95" s="108"/>
      <c r="URH95" s="108"/>
      <c r="URI95" s="108"/>
      <c r="URJ95" s="108"/>
      <c r="URK95" s="108"/>
      <c r="URL95" s="108"/>
      <c r="URM95" s="108"/>
      <c r="URN95" s="108"/>
      <c r="URO95" s="108"/>
      <c r="URP95" s="108"/>
      <c r="URQ95" s="108"/>
      <c r="URR95" s="108"/>
      <c r="URS95" s="108"/>
      <c r="URT95" s="108"/>
      <c r="URU95" s="108"/>
      <c r="URV95" s="108"/>
      <c r="URW95" s="108"/>
      <c r="URX95" s="108"/>
      <c r="URY95" s="108"/>
      <c r="URZ95" s="108"/>
      <c r="USA95" s="108"/>
      <c r="USB95" s="108"/>
      <c r="USC95" s="108"/>
      <c r="USD95" s="108"/>
      <c r="USE95" s="108"/>
      <c r="USF95" s="108"/>
      <c r="USG95" s="108"/>
      <c r="USH95" s="108"/>
      <c r="USI95" s="108"/>
      <c r="USJ95" s="108"/>
      <c r="USK95" s="108"/>
      <c r="USL95" s="108"/>
      <c r="USM95" s="108"/>
      <c r="USN95" s="108"/>
      <c r="USO95" s="108"/>
      <c r="USP95" s="108"/>
      <c r="USQ95" s="108"/>
      <c r="USR95" s="108"/>
      <c r="USS95" s="108"/>
      <c r="UST95" s="108"/>
      <c r="USU95" s="108"/>
      <c r="USV95" s="108"/>
      <c r="USW95" s="108"/>
      <c r="USX95" s="108"/>
      <c r="USY95" s="108"/>
      <c r="USZ95" s="108"/>
      <c r="UTA95" s="108"/>
      <c r="UTB95" s="108"/>
      <c r="UTC95" s="108"/>
      <c r="UTD95" s="108"/>
      <c r="UTE95" s="108"/>
      <c r="UTF95" s="108"/>
      <c r="UTG95" s="108"/>
      <c r="UTH95" s="108"/>
      <c r="UTI95" s="108"/>
      <c r="UTJ95" s="108"/>
      <c r="UTK95" s="108"/>
      <c r="UTL95" s="108"/>
      <c r="UTM95" s="108"/>
      <c r="UTN95" s="108"/>
      <c r="UTO95" s="108"/>
      <c r="UTP95" s="108"/>
      <c r="UTQ95" s="108"/>
      <c r="UTR95" s="108"/>
      <c r="UTS95" s="108"/>
      <c r="UTT95" s="108"/>
      <c r="UTU95" s="108"/>
      <c r="UTV95" s="108"/>
      <c r="UTW95" s="108"/>
      <c r="UTX95" s="108"/>
      <c r="UTY95" s="108"/>
      <c r="UTZ95" s="108"/>
      <c r="UUA95" s="108"/>
      <c r="UUB95" s="108"/>
      <c r="UUC95" s="108"/>
      <c r="UUD95" s="108"/>
      <c r="UUE95" s="108"/>
      <c r="UUF95" s="108"/>
      <c r="UUG95" s="108"/>
      <c r="UUH95" s="108"/>
      <c r="UUI95" s="108"/>
      <c r="UUJ95" s="108"/>
      <c r="UUK95" s="108"/>
      <c r="UUL95" s="108"/>
      <c r="UUM95" s="108"/>
      <c r="UUN95" s="108"/>
      <c r="UUO95" s="108"/>
      <c r="UUP95" s="108"/>
      <c r="UUQ95" s="108"/>
      <c r="UUR95" s="108"/>
      <c r="UUS95" s="108"/>
      <c r="UUT95" s="108"/>
      <c r="UUU95" s="108"/>
      <c r="UUV95" s="108"/>
      <c r="UUW95" s="108"/>
      <c r="UUX95" s="108"/>
      <c r="UUY95" s="108"/>
      <c r="UUZ95" s="108"/>
      <c r="UVA95" s="108"/>
      <c r="UVB95" s="108"/>
      <c r="UVC95" s="108"/>
      <c r="UVD95" s="108"/>
      <c r="UVE95" s="108"/>
      <c r="UVF95" s="108"/>
      <c r="UVG95" s="108"/>
      <c r="UVH95" s="108"/>
      <c r="UVI95" s="108"/>
      <c r="UVJ95" s="108"/>
      <c r="UVK95" s="108"/>
      <c r="UVL95" s="108"/>
      <c r="UVM95" s="108"/>
      <c r="UVN95" s="108"/>
      <c r="UVO95" s="108"/>
      <c r="UVP95" s="108"/>
      <c r="UVQ95" s="108"/>
      <c r="UVR95" s="108"/>
      <c r="UVS95" s="108"/>
      <c r="UVT95" s="108"/>
      <c r="UVU95" s="108"/>
      <c r="UVV95" s="108"/>
      <c r="UVW95" s="108"/>
      <c r="UVX95" s="108"/>
      <c r="UVY95" s="108"/>
      <c r="UVZ95" s="108"/>
      <c r="UWA95" s="108"/>
      <c r="UWB95" s="108"/>
      <c r="UWC95" s="108"/>
      <c r="UWD95" s="108"/>
      <c r="UWE95" s="108"/>
      <c r="UWF95" s="108"/>
      <c r="UWG95" s="108"/>
      <c r="UWH95" s="108"/>
      <c r="UWI95" s="108"/>
      <c r="UWJ95" s="108"/>
      <c r="UWK95" s="108"/>
      <c r="UWL95" s="108"/>
      <c r="UWM95" s="108"/>
      <c r="UWN95" s="108"/>
      <c r="UWO95" s="108"/>
      <c r="UWP95" s="108"/>
      <c r="UWQ95" s="108"/>
      <c r="UWR95" s="108"/>
      <c r="UWS95" s="108"/>
      <c r="UWT95" s="108"/>
      <c r="UWU95" s="108"/>
      <c r="UWV95" s="108"/>
      <c r="UWW95" s="108"/>
      <c r="UWX95" s="108"/>
      <c r="UWY95" s="108"/>
      <c r="UWZ95" s="108"/>
      <c r="UXA95" s="108"/>
      <c r="UXB95" s="108"/>
      <c r="UXC95" s="108"/>
      <c r="UXD95" s="108"/>
      <c r="UXE95" s="108"/>
      <c r="UXF95" s="108"/>
      <c r="UXG95" s="108"/>
      <c r="UXH95" s="108"/>
      <c r="UXI95" s="108"/>
      <c r="UXJ95" s="108"/>
      <c r="UXK95" s="108"/>
      <c r="UXL95" s="108"/>
      <c r="UXM95" s="108"/>
      <c r="UXN95" s="108"/>
      <c r="UXO95" s="108"/>
      <c r="UXP95" s="108"/>
      <c r="UXQ95" s="108"/>
      <c r="UXR95" s="108"/>
      <c r="UXS95" s="108"/>
      <c r="UXT95" s="108"/>
      <c r="UXU95" s="108"/>
      <c r="UXV95" s="108"/>
      <c r="UXW95" s="108"/>
      <c r="UXX95" s="108"/>
      <c r="UXY95" s="108"/>
      <c r="UXZ95" s="108"/>
      <c r="UYA95" s="108"/>
      <c r="UYB95" s="108"/>
      <c r="UYC95" s="108"/>
      <c r="UYD95" s="108"/>
      <c r="UYE95" s="108"/>
      <c r="UYF95" s="108"/>
      <c r="UYG95" s="108"/>
      <c r="UYH95" s="108"/>
      <c r="UYI95" s="108"/>
      <c r="UYJ95" s="108"/>
      <c r="UYK95" s="108"/>
      <c r="UYL95" s="108"/>
      <c r="UYM95" s="108"/>
      <c r="UYN95" s="108"/>
      <c r="UYO95" s="108"/>
      <c r="UYP95" s="108"/>
      <c r="UYQ95" s="108"/>
      <c r="UYR95" s="108"/>
      <c r="UYS95" s="108"/>
      <c r="UYT95" s="108"/>
      <c r="UYU95" s="108"/>
      <c r="UYV95" s="108"/>
      <c r="UYW95" s="108"/>
      <c r="UYX95" s="108"/>
      <c r="UYY95" s="108"/>
      <c r="UYZ95" s="108"/>
      <c r="UZA95" s="108"/>
      <c r="UZB95" s="108"/>
      <c r="UZC95" s="108"/>
      <c r="UZD95" s="108"/>
      <c r="UZE95" s="108"/>
      <c r="UZF95" s="108"/>
      <c r="UZG95" s="108"/>
      <c r="UZH95" s="108"/>
      <c r="UZI95" s="108"/>
      <c r="UZJ95" s="108"/>
      <c r="UZK95" s="108"/>
      <c r="UZL95" s="108"/>
      <c r="UZM95" s="108"/>
      <c r="UZN95" s="108"/>
      <c r="UZO95" s="108"/>
      <c r="UZP95" s="108"/>
      <c r="UZQ95" s="108"/>
      <c r="UZR95" s="108"/>
      <c r="UZS95" s="108"/>
      <c r="UZT95" s="108"/>
      <c r="UZU95" s="108"/>
      <c r="UZV95" s="108"/>
      <c r="UZW95" s="108"/>
      <c r="UZX95" s="108"/>
      <c r="UZY95" s="108"/>
      <c r="UZZ95" s="108"/>
      <c r="VAA95" s="108"/>
      <c r="VAB95" s="108"/>
      <c r="VAC95" s="108"/>
      <c r="VAD95" s="108"/>
      <c r="VAE95" s="108"/>
      <c r="VAF95" s="108"/>
      <c r="VAG95" s="108"/>
      <c r="VAH95" s="108"/>
      <c r="VAI95" s="108"/>
      <c r="VAJ95" s="108"/>
      <c r="VAK95" s="108"/>
      <c r="VAL95" s="108"/>
      <c r="VAM95" s="108"/>
      <c r="VAN95" s="108"/>
      <c r="VAO95" s="108"/>
      <c r="VAP95" s="108"/>
      <c r="VAQ95" s="108"/>
      <c r="VAR95" s="108"/>
      <c r="VAS95" s="108"/>
      <c r="VAT95" s="108"/>
      <c r="VAU95" s="108"/>
      <c r="VAV95" s="108"/>
      <c r="VAW95" s="108"/>
      <c r="VAX95" s="108"/>
      <c r="VAY95" s="108"/>
      <c r="VAZ95" s="108"/>
      <c r="VBA95" s="108"/>
      <c r="VBB95" s="108"/>
      <c r="VBC95" s="108"/>
      <c r="VBD95" s="108"/>
      <c r="VBE95" s="108"/>
      <c r="VBF95" s="108"/>
      <c r="VBG95" s="108"/>
      <c r="VBH95" s="108"/>
      <c r="VBI95" s="108"/>
      <c r="VBJ95" s="108"/>
      <c r="VBK95" s="108"/>
      <c r="VBL95" s="108"/>
      <c r="VBM95" s="108"/>
      <c r="VBN95" s="108"/>
      <c r="VBO95" s="108"/>
      <c r="VBP95" s="108"/>
      <c r="VBQ95" s="108"/>
      <c r="VBR95" s="108"/>
      <c r="VBS95" s="108"/>
      <c r="VBT95" s="108"/>
      <c r="VBU95" s="108"/>
      <c r="VBV95" s="108"/>
      <c r="VBW95" s="108"/>
      <c r="VBX95" s="108"/>
      <c r="VBY95" s="108"/>
      <c r="VBZ95" s="108"/>
      <c r="VCA95" s="108"/>
      <c r="VCB95" s="108"/>
      <c r="VCC95" s="108"/>
      <c r="VCD95" s="108"/>
      <c r="VCE95" s="108"/>
      <c r="VCF95" s="108"/>
      <c r="VCG95" s="108"/>
      <c r="VCH95" s="108"/>
      <c r="VCI95" s="108"/>
      <c r="VCJ95" s="108"/>
      <c r="VCK95" s="108"/>
      <c r="VCL95" s="108"/>
      <c r="VCM95" s="108"/>
      <c r="VCN95" s="108"/>
      <c r="VCO95" s="108"/>
      <c r="VCP95" s="108"/>
      <c r="VCQ95" s="108"/>
      <c r="VCR95" s="108"/>
      <c r="VCS95" s="108"/>
      <c r="VCT95" s="108"/>
      <c r="VCU95" s="108"/>
      <c r="VCV95" s="108"/>
      <c r="VCW95" s="108"/>
      <c r="VCX95" s="108"/>
      <c r="VCY95" s="108"/>
      <c r="VCZ95" s="108"/>
      <c r="VDA95" s="108"/>
      <c r="VDB95" s="108"/>
      <c r="VDC95" s="108"/>
      <c r="VDD95" s="108"/>
      <c r="VDE95" s="108"/>
      <c r="VDF95" s="108"/>
      <c r="VDG95" s="108"/>
      <c r="VDH95" s="108"/>
      <c r="VDI95" s="108"/>
      <c r="VDJ95" s="108"/>
      <c r="VDK95" s="108"/>
      <c r="VDL95" s="108"/>
      <c r="VDM95" s="108"/>
      <c r="VDN95" s="108"/>
      <c r="VDO95" s="108"/>
      <c r="VDP95" s="108"/>
      <c r="VDQ95" s="108"/>
      <c r="VDR95" s="108"/>
      <c r="VDS95" s="108"/>
      <c r="VDT95" s="108"/>
      <c r="VDU95" s="108"/>
      <c r="VDV95" s="108"/>
      <c r="VDW95" s="108"/>
      <c r="VDX95" s="108"/>
      <c r="VDY95" s="108"/>
      <c r="VDZ95" s="108"/>
      <c r="VEA95" s="108"/>
      <c r="VEB95" s="108"/>
      <c r="VEC95" s="108"/>
      <c r="VED95" s="108"/>
      <c r="VEE95" s="108"/>
      <c r="VEF95" s="108"/>
      <c r="VEG95" s="108"/>
      <c r="VEH95" s="108"/>
      <c r="VEI95" s="108"/>
      <c r="VEJ95" s="108"/>
      <c r="VEK95" s="108"/>
      <c r="VEL95" s="108"/>
      <c r="VEM95" s="108"/>
      <c r="VEN95" s="108"/>
      <c r="VEO95" s="108"/>
      <c r="VEP95" s="108"/>
      <c r="VEQ95" s="108"/>
      <c r="VER95" s="108"/>
      <c r="VES95" s="108"/>
      <c r="VET95" s="108"/>
      <c r="VEU95" s="108"/>
      <c r="VEV95" s="108"/>
      <c r="VEW95" s="108"/>
      <c r="VEX95" s="108"/>
      <c r="VEY95" s="108"/>
      <c r="VEZ95" s="108"/>
      <c r="VFA95" s="108"/>
      <c r="VFB95" s="108"/>
      <c r="VFC95" s="108"/>
      <c r="VFD95" s="108"/>
      <c r="VFE95" s="108"/>
      <c r="VFF95" s="108"/>
      <c r="VFG95" s="108"/>
      <c r="VFH95" s="108"/>
      <c r="VFI95" s="108"/>
      <c r="VFJ95" s="108"/>
      <c r="VFK95" s="108"/>
      <c r="VFL95" s="108"/>
      <c r="VFM95" s="108"/>
      <c r="VFN95" s="108"/>
      <c r="VFO95" s="108"/>
      <c r="VFP95" s="108"/>
      <c r="VFQ95" s="108"/>
      <c r="VFR95" s="108"/>
      <c r="VFS95" s="108"/>
      <c r="VFT95" s="108"/>
      <c r="VFU95" s="108"/>
      <c r="VFV95" s="108"/>
      <c r="VFW95" s="108"/>
      <c r="VFX95" s="108"/>
      <c r="VFY95" s="108"/>
      <c r="VFZ95" s="108"/>
      <c r="VGA95" s="108"/>
      <c r="VGB95" s="108"/>
      <c r="VGC95" s="108"/>
      <c r="VGD95" s="108"/>
      <c r="VGE95" s="108"/>
      <c r="VGF95" s="108"/>
      <c r="VGG95" s="108"/>
      <c r="VGH95" s="108"/>
      <c r="VGI95" s="108"/>
      <c r="VGJ95" s="108"/>
      <c r="VGK95" s="108"/>
      <c r="VGL95" s="108"/>
      <c r="VGM95" s="108"/>
      <c r="VGN95" s="108"/>
      <c r="VGO95" s="108"/>
      <c r="VGP95" s="108"/>
      <c r="VGQ95" s="108"/>
      <c r="VGR95" s="108"/>
      <c r="VGS95" s="108"/>
      <c r="VGT95" s="108"/>
      <c r="VGU95" s="108"/>
      <c r="VGV95" s="108"/>
      <c r="VGW95" s="108"/>
      <c r="VGX95" s="108"/>
      <c r="VGY95" s="108"/>
      <c r="VGZ95" s="108"/>
      <c r="VHA95" s="108"/>
      <c r="VHB95" s="108"/>
      <c r="VHC95" s="108"/>
      <c r="VHD95" s="108"/>
      <c r="VHE95" s="108"/>
      <c r="VHF95" s="108"/>
      <c r="VHG95" s="108"/>
      <c r="VHH95" s="108"/>
      <c r="VHI95" s="108"/>
      <c r="VHJ95" s="108"/>
      <c r="VHK95" s="108"/>
      <c r="VHL95" s="108"/>
      <c r="VHM95" s="108"/>
      <c r="VHN95" s="108"/>
      <c r="VHO95" s="108"/>
      <c r="VHP95" s="108"/>
      <c r="VHQ95" s="108"/>
      <c r="VHR95" s="108"/>
      <c r="VHS95" s="108"/>
      <c r="VHT95" s="108"/>
      <c r="VHU95" s="108"/>
      <c r="VHV95" s="108"/>
      <c r="VHW95" s="108"/>
      <c r="VHX95" s="108"/>
      <c r="VHY95" s="108"/>
      <c r="VHZ95" s="108"/>
      <c r="VIA95" s="108"/>
      <c r="VIB95" s="108"/>
      <c r="VIC95" s="108"/>
      <c r="VID95" s="108"/>
      <c r="VIE95" s="108"/>
      <c r="VIF95" s="108"/>
      <c r="VIG95" s="108"/>
      <c r="VIH95" s="108"/>
      <c r="VII95" s="108"/>
      <c r="VIJ95" s="108"/>
      <c r="VIK95" s="108"/>
      <c r="VIL95" s="108"/>
      <c r="VIM95" s="108"/>
      <c r="VIN95" s="108"/>
      <c r="VIO95" s="108"/>
      <c r="VIP95" s="108"/>
      <c r="VIQ95" s="108"/>
      <c r="VIR95" s="108"/>
      <c r="VIS95" s="108"/>
      <c r="VIT95" s="108"/>
      <c r="VIU95" s="108"/>
      <c r="VIV95" s="108"/>
      <c r="VIW95" s="108"/>
      <c r="VIX95" s="108"/>
      <c r="VIY95" s="108"/>
      <c r="VIZ95" s="108"/>
      <c r="VJA95" s="108"/>
      <c r="VJB95" s="108"/>
      <c r="VJC95" s="108"/>
      <c r="VJD95" s="108"/>
      <c r="VJE95" s="108"/>
      <c r="VJF95" s="108"/>
      <c r="VJG95" s="108"/>
      <c r="VJH95" s="108"/>
      <c r="VJI95" s="108"/>
      <c r="VJJ95" s="108"/>
      <c r="VJK95" s="108"/>
      <c r="VJL95" s="108"/>
      <c r="VJM95" s="108"/>
      <c r="VJN95" s="108"/>
      <c r="VJO95" s="108"/>
      <c r="VJP95" s="108"/>
      <c r="VJQ95" s="108"/>
      <c r="VJR95" s="108"/>
      <c r="VJS95" s="108"/>
      <c r="VJT95" s="108"/>
      <c r="VJU95" s="108"/>
      <c r="VJV95" s="108"/>
      <c r="VJW95" s="108"/>
      <c r="VJX95" s="108"/>
      <c r="VJY95" s="108"/>
      <c r="VJZ95" s="108"/>
      <c r="VKA95" s="108"/>
      <c r="VKB95" s="108"/>
      <c r="VKC95" s="108"/>
      <c r="VKD95" s="108"/>
      <c r="VKE95" s="108"/>
      <c r="VKF95" s="108"/>
      <c r="VKG95" s="108"/>
      <c r="VKH95" s="108"/>
      <c r="VKI95" s="108"/>
      <c r="VKJ95" s="108"/>
      <c r="VKK95" s="108"/>
      <c r="VKL95" s="108"/>
      <c r="VKM95" s="108"/>
      <c r="VKN95" s="108"/>
      <c r="VKO95" s="108"/>
      <c r="VKP95" s="108"/>
      <c r="VKQ95" s="108"/>
      <c r="VKR95" s="108"/>
      <c r="VKS95" s="108"/>
      <c r="VKT95" s="108"/>
      <c r="VKU95" s="108"/>
      <c r="VKV95" s="108"/>
      <c r="VKW95" s="108"/>
      <c r="VKX95" s="108"/>
      <c r="VKY95" s="108"/>
      <c r="VKZ95" s="108"/>
      <c r="VLA95" s="108"/>
      <c r="VLB95" s="108"/>
      <c r="VLC95" s="108"/>
      <c r="VLD95" s="108"/>
      <c r="VLE95" s="108"/>
      <c r="VLF95" s="108"/>
      <c r="VLG95" s="108"/>
      <c r="VLH95" s="108"/>
      <c r="VLI95" s="108"/>
      <c r="VLJ95" s="108"/>
      <c r="VLK95" s="108"/>
      <c r="VLL95" s="108"/>
      <c r="VLM95" s="108"/>
      <c r="VLN95" s="108"/>
      <c r="VLO95" s="108"/>
      <c r="VLP95" s="108"/>
      <c r="VLQ95" s="108"/>
      <c r="VLR95" s="108"/>
      <c r="VLS95" s="108"/>
      <c r="VLT95" s="108"/>
      <c r="VLU95" s="108"/>
      <c r="VLV95" s="108"/>
      <c r="VLW95" s="108"/>
      <c r="VLX95" s="108"/>
      <c r="VLY95" s="108"/>
      <c r="VLZ95" s="108"/>
      <c r="VMA95" s="108"/>
      <c r="VMB95" s="108"/>
      <c r="VMC95" s="108"/>
      <c r="VMD95" s="108"/>
      <c r="VME95" s="108"/>
      <c r="VMF95" s="108"/>
      <c r="VMG95" s="108"/>
      <c r="VMH95" s="108"/>
      <c r="VMI95" s="108"/>
      <c r="VMJ95" s="108"/>
      <c r="VMK95" s="108"/>
      <c r="VML95" s="108"/>
      <c r="VMM95" s="108"/>
      <c r="VMN95" s="108"/>
      <c r="VMO95" s="108"/>
      <c r="VMP95" s="108"/>
      <c r="VMQ95" s="108"/>
      <c r="VMR95" s="108"/>
      <c r="VMS95" s="108"/>
      <c r="VMT95" s="108"/>
      <c r="VMU95" s="108"/>
      <c r="VMV95" s="108"/>
      <c r="VMW95" s="108"/>
      <c r="VMX95" s="108"/>
      <c r="VMY95" s="108"/>
      <c r="VMZ95" s="108"/>
      <c r="VNA95" s="108"/>
      <c r="VNB95" s="108"/>
      <c r="VNC95" s="108"/>
      <c r="VND95" s="108"/>
      <c r="VNE95" s="108"/>
      <c r="VNF95" s="108"/>
      <c r="VNG95" s="108"/>
      <c r="VNH95" s="108"/>
      <c r="VNI95" s="108"/>
      <c r="VNJ95" s="108"/>
      <c r="VNK95" s="108"/>
      <c r="VNL95" s="108"/>
      <c r="VNM95" s="108"/>
      <c r="VNN95" s="108"/>
      <c r="VNO95" s="108"/>
      <c r="VNP95" s="108"/>
      <c r="VNQ95" s="108"/>
      <c r="VNR95" s="108"/>
      <c r="VNS95" s="108"/>
      <c r="VNT95" s="108"/>
      <c r="VNU95" s="108"/>
      <c r="VNV95" s="108"/>
      <c r="VNW95" s="108"/>
      <c r="VNX95" s="108"/>
      <c r="VNY95" s="108"/>
      <c r="VNZ95" s="108"/>
      <c r="VOA95" s="108"/>
      <c r="VOB95" s="108"/>
      <c r="VOC95" s="108"/>
      <c r="VOD95" s="108"/>
      <c r="VOE95" s="108"/>
      <c r="VOF95" s="108"/>
      <c r="VOG95" s="108"/>
      <c r="VOH95" s="108"/>
      <c r="VOI95" s="108"/>
      <c r="VOJ95" s="108"/>
      <c r="VOK95" s="108"/>
      <c r="VOL95" s="108"/>
      <c r="VOM95" s="108"/>
      <c r="VON95" s="108"/>
      <c r="VOO95" s="108"/>
      <c r="VOP95" s="108"/>
      <c r="VOQ95" s="108"/>
      <c r="VOR95" s="108"/>
      <c r="VOS95" s="108"/>
      <c r="VOT95" s="108"/>
      <c r="VOU95" s="108"/>
      <c r="VOV95" s="108"/>
      <c r="VOW95" s="108"/>
      <c r="VOX95" s="108"/>
      <c r="VOY95" s="108"/>
      <c r="VOZ95" s="108"/>
      <c r="VPA95" s="108"/>
      <c r="VPB95" s="108"/>
      <c r="VPC95" s="108"/>
      <c r="VPD95" s="108"/>
      <c r="VPE95" s="108"/>
      <c r="VPF95" s="108"/>
      <c r="VPG95" s="108"/>
      <c r="VPH95" s="108"/>
      <c r="VPI95" s="108"/>
      <c r="VPJ95" s="108"/>
      <c r="VPK95" s="108"/>
      <c r="VPL95" s="108"/>
      <c r="VPM95" s="108"/>
      <c r="VPN95" s="108"/>
      <c r="VPO95" s="108"/>
      <c r="VPP95" s="108"/>
      <c r="VPQ95" s="108"/>
      <c r="VPR95" s="108"/>
      <c r="VPS95" s="108"/>
      <c r="VPT95" s="108"/>
      <c r="VPU95" s="108"/>
      <c r="VPV95" s="108"/>
      <c r="VPW95" s="108"/>
      <c r="VPX95" s="108"/>
      <c r="VPY95" s="108"/>
      <c r="VPZ95" s="108"/>
      <c r="VQA95" s="108"/>
      <c r="VQB95" s="108"/>
      <c r="VQC95" s="108"/>
      <c r="VQD95" s="108"/>
      <c r="VQE95" s="108"/>
      <c r="VQF95" s="108"/>
      <c r="VQG95" s="108"/>
      <c r="VQH95" s="108"/>
      <c r="VQI95" s="108"/>
      <c r="VQJ95" s="108"/>
      <c r="VQK95" s="108"/>
      <c r="VQL95" s="108"/>
      <c r="VQM95" s="108"/>
      <c r="VQN95" s="108"/>
      <c r="VQO95" s="108"/>
      <c r="VQP95" s="108"/>
      <c r="VQQ95" s="108"/>
      <c r="VQR95" s="108"/>
      <c r="VQS95" s="108"/>
      <c r="VQT95" s="108"/>
      <c r="VQU95" s="108"/>
      <c r="VQV95" s="108"/>
      <c r="VQW95" s="108"/>
      <c r="VQX95" s="108"/>
      <c r="VQY95" s="108"/>
      <c r="VQZ95" s="108"/>
      <c r="VRA95" s="108"/>
      <c r="VRB95" s="108"/>
      <c r="VRC95" s="108"/>
      <c r="VRD95" s="108"/>
      <c r="VRE95" s="108"/>
      <c r="VRF95" s="108"/>
      <c r="VRG95" s="108"/>
      <c r="VRH95" s="108"/>
      <c r="VRI95" s="108"/>
      <c r="VRJ95" s="108"/>
      <c r="VRK95" s="108"/>
      <c r="VRL95" s="108"/>
      <c r="VRM95" s="108"/>
      <c r="VRN95" s="108"/>
      <c r="VRO95" s="108"/>
      <c r="VRP95" s="108"/>
      <c r="VRQ95" s="108"/>
      <c r="VRR95" s="108"/>
      <c r="VRS95" s="108"/>
      <c r="VRT95" s="108"/>
      <c r="VRU95" s="108"/>
      <c r="VRV95" s="108"/>
      <c r="VRW95" s="108"/>
      <c r="VRX95" s="108"/>
      <c r="VRY95" s="108"/>
      <c r="VRZ95" s="108"/>
      <c r="VSA95" s="108"/>
      <c r="VSB95" s="108"/>
      <c r="VSC95" s="108"/>
      <c r="VSD95" s="108"/>
      <c r="VSE95" s="108"/>
      <c r="VSF95" s="108"/>
      <c r="VSG95" s="108"/>
      <c r="VSH95" s="108"/>
      <c r="VSI95" s="108"/>
      <c r="VSJ95" s="108"/>
      <c r="VSK95" s="108"/>
      <c r="VSL95" s="108"/>
      <c r="VSM95" s="108"/>
      <c r="VSN95" s="108"/>
      <c r="VSO95" s="108"/>
      <c r="VSP95" s="108"/>
      <c r="VSQ95" s="108"/>
      <c r="VSR95" s="108"/>
      <c r="VSS95" s="108"/>
      <c r="VST95" s="108"/>
      <c r="VSU95" s="108"/>
      <c r="VSV95" s="108"/>
      <c r="VSW95" s="108"/>
      <c r="VSX95" s="108"/>
      <c r="VSY95" s="108"/>
      <c r="VSZ95" s="108"/>
      <c r="VTA95" s="108"/>
      <c r="VTB95" s="108"/>
      <c r="VTC95" s="108"/>
      <c r="VTD95" s="108"/>
      <c r="VTE95" s="108"/>
      <c r="VTF95" s="108"/>
      <c r="VTG95" s="108"/>
      <c r="VTH95" s="108"/>
      <c r="VTI95" s="108"/>
      <c r="VTJ95" s="108"/>
      <c r="VTK95" s="108"/>
      <c r="VTL95" s="108"/>
      <c r="VTM95" s="108"/>
      <c r="VTN95" s="108"/>
      <c r="VTO95" s="108"/>
      <c r="VTP95" s="108"/>
      <c r="VTQ95" s="108"/>
      <c r="VTR95" s="108"/>
      <c r="VTS95" s="108"/>
      <c r="VTT95" s="108"/>
      <c r="VTU95" s="108"/>
      <c r="VTV95" s="108"/>
      <c r="VTW95" s="108"/>
      <c r="VTX95" s="108"/>
      <c r="VTY95" s="108"/>
      <c r="VTZ95" s="108"/>
      <c r="VUA95" s="108"/>
      <c r="VUB95" s="108"/>
      <c r="VUC95" s="108"/>
      <c r="VUD95" s="108"/>
      <c r="VUE95" s="108"/>
      <c r="VUF95" s="108"/>
      <c r="VUG95" s="108"/>
      <c r="VUH95" s="108"/>
      <c r="VUI95" s="108"/>
      <c r="VUJ95" s="108"/>
      <c r="VUK95" s="108"/>
      <c r="VUL95" s="108"/>
      <c r="VUM95" s="108"/>
      <c r="VUN95" s="108"/>
      <c r="VUO95" s="108"/>
      <c r="VUP95" s="108"/>
      <c r="VUQ95" s="108"/>
      <c r="VUR95" s="108"/>
      <c r="VUS95" s="108"/>
      <c r="VUT95" s="108"/>
      <c r="VUU95" s="108"/>
      <c r="VUV95" s="108"/>
      <c r="VUW95" s="108"/>
      <c r="VUX95" s="108"/>
      <c r="VUY95" s="108"/>
      <c r="VUZ95" s="108"/>
      <c r="VVA95" s="108"/>
      <c r="VVB95" s="108"/>
      <c r="VVC95" s="108"/>
      <c r="VVD95" s="108"/>
      <c r="VVE95" s="108"/>
      <c r="VVF95" s="108"/>
      <c r="VVG95" s="108"/>
      <c r="VVH95" s="108"/>
      <c r="VVI95" s="108"/>
      <c r="VVJ95" s="108"/>
      <c r="VVK95" s="108"/>
      <c r="VVL95" s="108"/>
      <c r="VVM95" s="108"/>
      <c r="VVN95" s="108"/>
      <c r="VVO95" s="108"/>
      <c r="VVP95" s="108"/>
      <c r="VVQ95" s="108"/>
      <c r="VVR95" s="108"/>
      <c r="VVS95" s="108"/>
      <c r="VVT95" s="108"/>
      <c r="VVU95" s="108"/>
      <c r="VVV95" s="108"/>
      <c r="VVW95" s="108"/>
      <c r="VVX95" s="108"/>
      <c r="VVY95" s="108"/>
      <c r="VVZ95" s="108"/>
      <c r="VWA95" s="108"/>
      <c r="VWB95" s="108"/>
      <c r="VWC95" s="108"/>
      <c r="VWD95" s="108"/>
      <c r="VWE95" s="108"/>
      <c r="VWF95" s="108"/>
      <c r="VWG95" s="108"/>
      <c r="VWH95" s="108"/>
      <c r="VWI95" s="108"/>
      <c r="VWJ95" s="108"/>
      <c r="VWK95" s="108"/>
      <c r="VWL95" s="108"/>
      <c r="VWM95" s="108"/>
      <c r="VWN95" s="108"/>
      <c r="VWO95" s="108"/>
      <c r="VWP95" s="108"/>
      <c r="VWQ95" s="108"/>
      <c r="VWR95" s="108"/>
      <c r="VWS95" s="108"/>
      <c r="VWT95" s="108"/>
      <c r="VWU95" s="108"/>
      <c r="VWV95" s="108"/>
      <c r="VWW95" s="108"/>
      <c r="VWX95" s="108"/>
      <c r="VWY95" s="108"/>
      <c r="VWZ95" s="108"/>
      <c r="VXA95" s="108"/>
      <c r="VXB95" s="108"/>
      <c r="VXC95" s="108"/>
      <c r="VXD95" s="108"/>
      <c r="VXE95" s="108"/>
      <c r="VXF95" s="108"/>
      <c r="VXG95" s="108"/>
      <c r="VXH95" s="108"/>
      <c r="VXI95" s="108"/>
      <c r="VXJ95" s="108"/>
      <c r="VXK95" s="108"/>
      <c r="VXL95" s="108"/>
      <c r="VXM95" s="108"/>
      <c r="VXN95" s="108"/>
      <c r="VXO95" s="108"/>
      <c r="VXP95" s="108"/>
      <c r="VXQ95" s="108"/>
      <c r="VXR95" s="108"/>
      <c r="VXS95" s="108"/>
      <c r="VXT95" s="108"/>
      <c r="VXU95" s="108"/>
      <c r="VXV95" s="108"/>
      <c r="VXW95" s="108"/>
      <c r="VXX95" s="108"/>
      <c r="VXY95" s="108"/>
      <c r="VXZ95" s="108"/>
      <c r="VYA95" s="108"/>
      <c r="VYB95" s="108"/>
      <c r="VYC95" s="108"/>
      <c r="VYD95" s="108"/>
      <c r="VYE95" s="108"/>
      <c r="VYF95" s="108"/>
      <c r="VYG95" s="108"/>
      <c r="VYH95" s="108"/>
      <c r="VYI95" s="108"/>
      <c r="VYJ95" s="108"/>
      <c r="VYK95" s="108"/>
      <c r="VYL95" s="108"/>
      <c r="VYM95" s="108"/>
      <c r="VYN95" s="108"/>
      <c r="VYO95" s="108"/>
      <c r="VYP95" s="108"/>
      <c r="VYQ95" s="108"/>
      <c r="VYR95" s="108"/>
      <c r="VYS95" s="108"/>
      <c r="VYT95" s="108"/>
      <c r="VYU95" s="108"/>
      <c r="VYV95" s="108"/>
      <c r="VYW95" s="108"/>
      <c r="VYX95" s="108"/>
      <c r="VYY95" s="108"/>
      <c r="VYZ95" s="108"/>
      <c r="VZA95" s="108"/>
      <c r="VZB95" s="108"/>
      <c r="VZC95" s="108"/>
      <c r="VZD95" s="108"/>
      <c r="VZE95" s="108"/>
      <c r="VZF95" s="108"/>
      <c r="VZG95" s="108"/>
      <c r="VZH95" s="108"/>
      <c r="VZI95" s="108"/>
      <c r="VZJ95" s="108"/>
      <c r="VZK95" s="108"/>
      <c r="VZL95" s="108"/>
      <c r="VZM95" s="108"/>
      <c r="VZN95" s="108"/>
      <c r="VZO95" s="108"/>
      <c r="VZP95" s="108"/>
      <c r="VZQ95" s="108"/>
      <c r="VZR95" s="108"/>
      <c r="VZS95" s="108"/>
      <c r="VZT95" s="108"/>
      <c r="VZU95" s="108"/>
      <c r="VZV95" s="108"/>
      <c r="VZW95" s="108"/>
      <c r="VZX95" s="108"/>
      <c r="VZY95" s="108"/>
      <c r="VZZ95" s="108"/>
      <c r="WAA95" s="108"/>
      <c r="WAB95" s="108"/>
      <c r="WAC95" s="108"/>
      <c r="WAD95" s="108"/>
      <c r="WAE95" s="108"/>
      <c r="WAF95" s="108"/>
      <c r="WAG95" s="108"/>
      <c r="WAH95" s="108"/>
      <c r="WAI95" s="108"/>
      <c r="WAJ95" s="108"/>
      <c r="WAK95" s="108"/>
      <c r="WAL95" s="108"/>
      <c r="WAM95" s="108"/>
      <c r="WAN95" s="108"/>
      <c r="WAO95" s="108"/>
      <c r="WAP95" s="108"/>
      <c r="WAQ95" s="108"/>
      <c r="WAR95" s="108"/>
      <c r="WAS95" s="108"/>
      <c r="WAT95" s="108"/>
      <c r="WAU95" s="108"/>
      <c r="WAV95" s="108"/>
      <c r="WAW95" s="108"/>
      <c r="WAX95" s="108"/>
      <c r="WAY95" s="108"/>
      <c r="WAZ95" s="108"/>
      <c r="WBA95" s="108"/>
      <c r="WBB95" s="108"/>
      <c r="WBC95" s="108"/>
      <c r="WBD95" s="108"/>
      <c r="WBE95" s="108"/>
      <c r="WBF95" s="108"/>
      <c r="WBG95" s="108"/>
      <c r="WBH95" s="108"/>
      <c r="WBI95" s="108"/>
      <c r="WBJ95" s="108"/>
      <c r="WBK95" s="108"/>
      <c r="WBL95" s="108"/>
      <c r="WBM95" s="108"/>
      <c r="WBN95" s="108"/>
      <c r="WBO95" s="108"/>
      <c r="WBP95" s="108"/>
      <c r="WBQ95" s="108"/>
      <c r="WBR95" s="108"/>
      <c r="WBS95" s="108"/>
      <c r="WBT95" s="108"/>
      <c r="WBU95" s="108"/>
      <c r="WBV95" s="108"/>
      <c r="WBW95" s="108"/>
      <c r="WBX95" s="108"/>
      <c r="WBY95" s="108"/>
      <c r="WBZ95" s="108"/>
      <c r="WCA95" s="108"/>
      <c r="WCB95" s="108"/>
      <c r="WCC95" s="108"/>
      <c r="WCD95" s="108"/>
      <c r="WCE95" s="108"/>
      <c r="WCF95" s="108"/>
      <c r="WCG95" s="108"/>
      <c r="WCH95" s="108"/>
      <c r="WCI95" s="108"/>
      <c r="WCJ95" s="108"/>
      <c r="WCK95" s="108"/>
      <c r="WCL95" s="108"/>
      <c r="WCM95" s="108"/>
      <c r="WCN95" s="108"/>
      <c r="WCO95" s="108"/>
      <c r="WCP95" s="108"/>
      <c r="WCQ95" s="108"/>
      <c r="WCR95" s="108"/>
      <c r="WCS95" s="108"/>
      <c r="WCT95" s="108"/>
      <c r="WCU95" s="108"/>
      <c r="WCV95" s="108"/>
      <c r="WCW95" s="108"/>
      <c r="WCX95" s="108"/>
      <c r="WCY95" s="108"/>
      <c r="WCZ95" s="108"/>
      <c r="WDA95" s="108"/>
      <c r="WDB95" s="108"/>
      <c r="WDC95" s="108"/>
      <c r="WDD95" s="108"/>
      <c r="WDE95" s="108"/>
      <c r="WDF95" s="108"/>
      <c r="WDG95" s="108"/>
      <c r="WDH95" s="108"/>
      <c r="WDI95" s="108"/>
      <c r="WDJ95" s="108"/>
      <c r="WDK95" s="108"/>
      <c r="WDL95" s="108"/>
      <c r="WDM95" s="108"/>
      <c r="WDN95" s="108"/>
      <c r="WDO95" s="108"/>
      <c r="WDP95" s="108"/>
      <c r="WDQ95" s="108"/>
      <c r="WDR95" s="108"/>
      <c r="WDS95" s="108"/>
      <c r="WDT95" s="108"/>
      <c r="WDU95" s="108"/>
      <c r="WDV95" s="108"/>
      <c r="WDW95" s="108"/>
      <c r="WDX95" s="108"/>
      <c r="WDY95" s="108"/>
      <c r="WDZ95" s="108"/>
      <c r="WEA95" s="108"/>
      <c r="WEB95" s="108"/>
      <c r="WEC95" s="108"/>
      <c r="WED95" s="108"/>
      <c r="WEE95" s="108"/>
      <c r="WEF95" s="108"/>
      <c r="WEG95" s="108"/>
      <c r="WEH95" s="108"/>
      <c r="WEI95" s="108"/>
      <c r="WEJ95" s="108"/>
      <c r="WEK95" s="108"/>
      <c r="WEL95" s="108"/>
      <c r="WEM95" s="108"/>
      <c r="WEN95" s="108"/>
      <c r="WEO95" s="108"/>
      <c r="WEP95" s="108"/>
      <c r="WEQ95" s="108"/>
      <c r="WER95" s="108"/>
      <c r="WES95" s="108"/>
      <c r="WET95" s="108"/>
      <c r="WEU95" s="108"/>
      <c r="WEV95" s="108"/>
      <c r="WEW95" s="108"/>
      <c r="WEX95" s="108"/>
      <c r="WEY95" s="108"/>
      <c r="WEZ95" s="108"/>
      <c r="WFA95" s="108"/>
      <c r="WFB95" s="108"/>
      <c r="WFC95" s="108"/>
      <c r="WFD95" s="108"/>
      <c r="WFE95" s="108"/>
      <c r="WFF95" s="108"/>
      <c r="WFG95" s="108"/>
      <c r="WFH95" s="108"/>
      <c r="WFI95" s="108"/>
      <c r="WFJ95" s="108"/>
      <c r="WFK95" s="108"/>
      <c r="WFL95" s="108"/>
      <c r="WFM95" s="108"/>
      <c r="WFN95" s="108"/>
      <c r="WFO95" s="108"/>
      <c r="WFP95" s="108"/>
      <c r="WFQ95" s="108"/>
      <c r="WFR95" s="108"/>
      <c r="WFS95" s="108"/>
      <c r="WFT95" s="108"/>
      <c r="WFU95" s="108"/>
      <c r="WFV95" s="108"/>
      <c r="WFW95" s="108"/>
      <c r="WFX95" s="108"/>
      <c r="WFY95" s="108"/>
      <c r="WFZ95" s="108"/>
      <c r="WGA95" s="108"/>
      <c r="WGB95" s="108"/>
      <c r="WGC95" s="108"/>
      <c r="WGD95" s="108"/>
      <c r="WGE95" s="108"/>
      <c r="WGF95" s="108"/>
      <c r="WGG95" s="108"/>
      <c r="WGH95" s="108"/>
      <c r="WGI95" s="108"/>
      <c r="WGJ95" s="108"/>
      <c r="WGK95" s="108"/>
      <c r="WGL95" s="108"/>
      <c r="WGM95" s="108"/>
      <c r="WGN95" s="108"/>
      <c r="WGO95" s="108"/>
      <c r="WGP95" s="108"/>
      <c r="WGQ95" s="108"/>
      <c r="WGR95" s="108"/>
      <c r="WGS95" s="108"/>
      <c r="WGT95" s="108"/>
      <c r="WGU95" s="108"/>
      <c r="WGV95" s="108"/>
      <c r="WGW95" s="108"/>
      <c r="WGX95" s="108"/>
      <c r="WGY95" s="108"/>
      <c r="WGZ95" s="108"/>
      <c r="WHA95" s="108"/>
      <c r="WHB95" s="108"/>
      <c r="WHC95" s="108"/>
      <c r="WHD95" s="108"/>
      <c r="WHE95" s="108"/>
      <c r="WHF95" s="108"/>
      <c r="WHG95" s="108"/>
      <c r="WHH95" s="108"/>
      <c r="WHI95" s="108"/>
      <c r="WHJ95" s="108"/>
      <c r="WHK95" s="108"/>
      <c r="WHL95" s="108"/>
      <c r="WHM95" s="108"/>
      <c r="WHN95" s="108"/>
      <c r="WHO95" s="108"/>
      <c r="WHP95" s="108"/>
      <c r="WHQ95" s="108"/>
      <c r="WHR95" s="108"/>
      <c r="WHS95" s="108"/>
      <c r="WHT95" s="108"/>
      <c r="WHU95" s="108"/>
      <c r="WHV95" s="108"/>
      <c r="WHW95" s="108"/>
      <c r="WHX95" s="108"/>
      <c r="WHY95" s="108"/>
      <c r="WHZ95" s="108"/>
      <c r="WIA95" s="108"/>
      <c r="WIB95" s="108"/>
      <c r="WIC95" s="108"/>
      <c r="WID95" s="108"/>
      <c r="WIE95" s="108"/>
      <c r="WIF95" s="108"/>
      <c r="WIG95" s="108"/>
      <c r="WIH95" s="108"/>
      <c r="WII95" s="108"/>
      <c r="WIJ95" s="108"/>
      <c r="WIK95" s="108"/>
      <c r="WIL95" s="108"/>
      <c r="WIM95" s="108"/>
      <c r="WIN95" s="108"/>
      <c r="WIO95" s="108"/>
      <c r="WIP95" s="108"/>
      <c r="WIQ95" s="108"/>
      <c r="WIR95" s="108"/>
      <c r="WIS95" s="108"/>
      <c r="WIT95" s="108"/>
      <c r="WIU95" s="108"/>
      <c r="WIV95" s="108"/>
      <c r="WIW95" s="108"/>
      <c r="WIX95" s="108"/>
      <c r="WIY95" s="108"/>
      <c r="WIZ95" s="108"/>
      <c r="WJA95" s="108"/>
      <c r="WJB95" s="108"/>
      <c r="WJC95" s="108"/>
      <c r="WJD95" s="108"/>
      <c r="WJE95" s="108"/>
      <c r="WJF95" s="108"/>
      <c r="WJG95" s="108"/>
      <c r="WJH95" s="108"/>
      <c r="WJI95" s="108"/>
      <c r="WJJ95" s="108"/>
      <c r="WJK95" s="108"/>
      <c r="WJL95" s="108"/>
      <c r="WJM95" s="108"/>
      <c r="WJN95" s="108"/>
      <c r="WJO95" s="108"/>
      <c r="WJP95" s="108"/>
      <c r="WJQ95" s="108"/>
      <c r="WJR95" s="108"/>
      <c r="WJS95" s="108"/>
      <c r="WJT95" s="108"/>
      <c r="WJU95" s="108"/>
      <c r="WJV95" s="108"/>
      <c r="WJW95" s="108"/>
      <c r="WJX95" s="108"/>
      <c r="WJY95" s="108"/>
      <c r="WJZ95" s="108"/>
      <c r="WKA95" s="108"/>
      <c r="WKB95" s="108"/>
      <c r="WKC95" s="108"/>
      <c r="WKD95" s="108"/>
      <c r="WKE95" s="108"/>
      <c r="WKF95" s="108"/>
      <c r="WKG95" s="108"/>
      <c r="WKH95" s="108"/>
      <c r="WKI95" s="108"/>
      <c r="WKJ95" s="108"/>
      <c r="WKK95" s="108"/>
      <c r="WKL95" s="108"/>
      <c r="WKM95" s="108"/>
      <c r="WKN95" s="108"/>
      <c r="WKO95" s="108"/>
      <c r="WKP95" s="108"/>
      <c r="WKQ95" s="108"/>
      <c r="WKR95" s="108"/>
      <c r="WKS95" s="108"/>
      <c r="WKT95" s="108"/>
      <c r="WKU95" s="108"/>
      <c r="WKV95" s="108"/>
      <c r="WKW95" s="108"/>
      <c r="WKX95" s="108"/>
      <c r="WKY95" s="108"/>
      <c r="WKZ95" s="108"/>
      <c r="WLA95" s="108"/>
      <c r="WLB95" s="108"/>
      <c r="WLC95" s="108"/>
      <c r="WLD95" s="108"/>
      <c r="WLE95" s="108"/>
      <c r="WLF95" s="108"/>
      <c r="WLG95" s="108"/>
      <c r="WLH95" s="108"/>
      <c r="WLI95" s="108"/>
      <c r="WLJ95" s="108"/>
      <c r="WLK95" s="108"/>
      <c r="WLL95" s="108"/>
      <c r="WLM95" s="108"/>
      <c r="WLN95" s="108"/>
      <c r="WLO95" s="108"/>
      <c r="WLP95" s="108"/>
      <c r="WLQ95" s="108"/>
      <c r="WLR95" s="108"/>
      <c r="WLS95" s="108"/>
      <c r="WLT95" s="108"/>
      <c r="WLU95" s="108"/>
      <c r="WLV95" s="108"/>
      <c r="WLW95" s="108"/>
      <c r="WLX95" s="108"/>
      <c r="WLY95" s="108"/>
      <c r="WLZ95" s="108"/>
      <c r="WMA95" s="108"/>
      <c r="WMB95" s="108"/>
      <c r="WMC95" s="108"/>
      <c r="WMD95" s="108"/>
      <c r="WME95" s="108"/>
      <c r="WMF95" s="108"/>
      <c r="WMG95" s="108"/>
      <c r="WMH95" s="108"/>
      <c r="WMI95" s="108"/>
      <c r="WMJ95" s="108"/>
      <c r="WMK95" s="108"/>
      <c r="WML95" s="108"/>
      <c r="WMM95" s="108"/>
      <c r="WMN95" s="108"/>
      <c r="WMO95" s="108"/>
      <c r="WMP95" s="108"/>
      <c r="WMQ95" s="108"/>
      <c r="WMR95" s="108"/>
      <c r="WMS95" s="108"/>
      <c r="WMT95" s="108"/>
      <c r="WMU95" s="108"/>
      <c r="WMV95" s="108"/>
      <c r="WMW95" s="108"/>
      <c r="WMX95" s="108"/>
      <c r="WMY95" s="108"/>
      <c r="WMZ95" s="108"/>
      <c r="WNA95" s="108"/>
      <c r="WNB95" s="108"/>
      <c r="WNC95" s="108"/>
      <c r="WND95" s="108"/>
      <c r="WNE95" s="108"/>
      <c r="WNF95" s="108"/>
      <c r="WNG95" s="108"/>
      <c r="WNH95" s="108"/>
      <c r="WNI95" s="108"/>
      <c r="WNJ95" s="108"/>
      <c r="WNK95" s="108"/>
      <c r="WNL95" s="108"/>
      <c r="WNM95" s="108"/>
      <c r="WNN95" s="108"/>
      <c r="WNO95" s="108"/>
      <c r="WNP95" s="108"/>
      <c r="WNQ95" s="108"/>
      <c r="WNR95" s="108"/>
      <c r="WNS95" s="108"/>
      <c r="WNT95" s="108"/>
      <c r="WNU95" s="108"/>
      <c r="WNV95" s="108"/>
      <c r="WNW95" s="108"/>
      <c r="WNX95" s="108"/>
      <c r="WNY95" s="108"/>
      <c r="WNZ95" s="108"/>
      <c r="WOA95" s="108"/>
      <c r="WOB95" s="108"/>
      <c r="WOC95" s="108"/>
      <c r="WOD95" s="108"/>
      <c r="WOE95" s="108"/>
      <c r="WOF95" s="108"/>
      <c r="WOG95" s="108"/>
      <c r="WOH95" s="108"/>
      <c r="WOI95" s="108"/>
      <c r="WOJ95" s="108"/>
      <c r="WOK95" s="108"/>
      <c r="WOL95" s="108"/>
      <c r="WOM95" s="108"/>
      <c r="WON95" s="108"/>
      <c r="WOO95" s="108"/>
      <c r="WOP95" s="108"/>
      <c r="WOQ95" s="108"/>
      <c r="WOR95" s="108"/>
      <c r="WOS95" s="108"/>
      <c r="WOT95" s="108"/>
      <c r="WOU95" s="108"/>
      <c r="WOV95" s="108"/>
      <c r="WOW95" s="108"/>
      <c r="WOX95" s="108"/>
      <c r="WOY95" s="108"/>
      <c r="WOZ95" s="108"/>
      <c r="WPA95" s="108"/>
      <c r="WPB95" s="108"/>
      <c r="WPC95" s="108"/>
      <c r="WPD95" s="108"/>
      <c r="WPE95" s="108"/>
      <c r="WPF95" s="108"/>
      <c r="WPG95" s="108"/>
      <c r="WPH95" s="108"/>
      <c r="WPI95" s="108"/>
      <c r="WPJ95" s="108"/>
      <c r="WPK95" s="108"/>
      <c r="WPL95" s="108"/>
      <c r="WPM95" s="108"/>
      <c r="WPN95" s="108"/>
      <c r="WPO95" s="108"/>
      <c r="WPP95" s="108"/>
      <c r="WPQ95" s="108"/>
      <c r="WPR95" s="108"/>
      <c r="WPS95" s="108"/>
      <c r="WPT95" s="108"/>
      <c r="WPU95" s="108"/>
      <c r="WPV95" s="108"/>
      <c r="WPW95" s="108"/>
      <c r="WPX95" s="108"/>
      <c r="WPY95" s="108"/>
      <c r="WPZ95" s="108"/>
      <c r="WQA95" s="108"/>
      <c r="WQB95" s="108"/>
      <c r="WQC95" s="108"/>
      <c r="WQD95" s="108"/>
      <c r="WQE95" s="108"/>
      <c r="WQF95" s="108"/>
      <c r="WQG95" s="108"/>
      <c r="WQH95" s="108"/>
      <c r="WQI95" s="108"/>
      <c r="WQJ95" s="108"/>
      <c r="WQK95" s="108"/>
      <c r="WQL95" s="108"/>
      <c r="WQM95" s="108"/>
      <c r="WQN95" s="108"/>
      <c r="WQO95" s="108"/>
      <c r="WQP95" s="108"/>
      <c r="WQQ95" s="108"/>
      <c r="WQR95" s="108"/>
      <c r="WQS95" s="108"/>
      <c r="WQT95" s="108"/>
      <c r="WQU95" s="108"/>
      <c r="WQV95" s="108"/>
      <c r="WQW95" s="108"/>
      <c r="WQX95" s="108"/>
      <c r="WQY95" s="108"/>
      <c r="WQZ95" s="108"/>
      <c r="WRA95" s="108"/>
      <c r="WRB95" s="108"/>
      <c r="WRC95" s="108"/>
      <c r="WRD95" s="108"/>
      <c r="WRE95" s="108"/>
      <c r="WRF95" s="108"/>
      <c r="WRG95" s="108"/>
      <c r="WRH95" s="108"/>
      <c r="WRI95" s="108"/>
      <c r="WRJ95" s="108"/>
      <c r="WRK95" s="108"/>
      <c r="WRL95" s="108"/>
      <c r="WRM95" s="108"/>
      <c r="WRN95" s="108"/>
      <c r="WRO95" s="108"/>
      <c r="WRP95" s="108"/>
      <c r="WRQ95" s="108"/>
      <c r="WRR95" s="108"/>
      <c r="WRS95" s="108"/>
      <c r="WRT95" s="108"/>
      <c r="WRU95" s="108"/>
      <c r="WRV95" s="108"/>
      <c r="WRW95" s="108"/>
      <c r="WRX95" s="108"/>
      <c r="WRY95" s="108"/>
      <c r="WRZ95" s="108"/>
      <c r="WSA95" s="108"/>
      <c r="WSB95" s="108"/>
      <c r="WSC95" s="108"/>
      <c r="WSD95" s="108"/>
      <c r="WSE95" s="108"/>
      <c r="WSF95" s="108"/>
      <c r="WSG95" s="108"/>
      <c r="WSH95" s="108"/>
      <c r="WSI95" s="108"/>
      <c r="WSJ95" s="108"/>
      <c r="WSK95" s="108"/>
      <c r="WSL95" s="108"/>
      <c r="WSM95" s="108"/>
      <c r="WSN95" s="108"/>
      <c r="WSO95" s="108"/>
      <c r="WSP95" s="108"/>
      <c r="WSQ95" s="108"/>
      <c r="WSR95" s="108"/>
      <c r="WSS95" s="108"/>
      <c r="WST95" s="108"/>
      <c r="WSU95" s="108"/>
      <c r="WSV95" s="108"/>
      <c r="WSW95" s="108"/>
      <c r="WSX95" s="108"/>
      <c r="WSY95" s="108"/>
      <c r="WSZ95" s="108"/>
      <c r="WTA95" s="108"/>
      <c r="WTB95" s="108"/>
      <c r="WTC95" s="108"/>
      <c r="WTD95" s="108"/>
      <c r="WTE95" s="108"/>
      <c r="WTF95" s="108"/>
      <c r="WTG95" s="108"/>
      <c r="WTH95" s="108"/>
      <c r="WTI95" s="108"/>
      <c r="WTJ95" s="108"/>
      <c r="WTK95" s="108"/>
      <c r="WTL95" s="108"/>
      <c r="WTM95" s="108"/>
      <c r="WTN95" s="108"/>
      <c r="WTO95" s="108"/>
      <c r="WTP95" s="108"/>
      <c r="WTQ95" s="108"/>
      <c r="WTR95" s="108"/>
      <c r="WTS95" s="108"/>
      <c r="WTT95" s="108"/>
      <c r="WTU95" s="108"/>
      <c r="WTV95" s="108"/>
      <c r="WTW95" s="108"/>
      <c r="WTX95" s="108"/>
      <c r="WTY95" s="108"/>
      <c r="WTZ95" s="108"/>
      <c r="WUA95" s="108"/>
      <c r="WUB95" s="108"/>
      <c r="WUC95" s="108"/>
      <c r="WUD95" s="108"/>
      <c r="WUE95" s="108"/>
      <c r="WUF95" s="108"/>
      <c r="WUG95" s="108"/>
      <c r="WUH95" s="108"/>
      <c r="WUI95" s="108"/>
      <c r="WUJ95" s="108"/>
      <c r="WUK95" s="108"/>
      <c r="WUL95" s="108"/>
      <c r="WUM95" s="108"/>
      <c r="WUN95" s="108"/>
      <c r="WUO95" s="108"/>
      <c r="WUP95" s="108"/>
      <c r="WUQ95" s="108"/>
      <c r="WUR95" s="108"/>
      <c r="WUS95" s="108"/>
      <c r="WUT95" s="108"/>
      <c r="WUU95" s="108"/>
      <c r="WUV95" s="108"/>
      <c r="WUW95" s="108"/>
      <c r="WUX95" s="108"/>
      <c r="WUY95" s="108"/>
      <c r="WUZ95" s="108"/>
      <c r="WVA95" s="108"/>
      <c r="WVB95" s="108"/>
      <c r="WVC95" s="108"/>
      <c r="WVD95" s="108"/>
      <c r="WVE95" s="108"/>
      <c r="WVF95" s="108"/>
      <c r="WVG95" s="108"/>
      <c r="WVH95" s="108"/>
      <c r="WVI95" s="108"/>
      <c r="WVJ95" s="108"/>
      <c r="WVK95" s="108"/>
      <c r="WVL95" s="108"/>
      <c r="WVM95" s="108"/>
      <c r="WVN95" s="108"/>
      <c r="WVO95" s="108"/>
      <c r="WVP95" s="108"/>
      <c r="WVQ95" s="108"/>
      <c r="WVR95" s="108"/>
      <c r="WVS95" s="108"/>
      <c r="WVT95" s="108"/>
      <c r="WVU95" s="108"/>
      <c r="WVV95" s="108"/>
      <c r="WVW95" s="108"/>
      <c r="WVX95" s="108"/>
      <c r="WVY95" s="108"/>
      <c r="WVZ95" s="108"/>
      <c r="WWA95" s="108"/>
      <c r="WWB95" s="108"/>
      <c r="WWC95" s="108"/>
      <c r="WWD95" s="108"/>
      <c r="WWE95" s="108"/>
      <c r="WWF95" s="108"/>
      <c r="WWG95" s="108"/>
      <c r="WWH95" s="108"/>
      <c r="WWI95" s="108"/>
      <c r="WWJ95" s="108"/>
      <c r="WWK95" s="108"/>
      <c r="WWL95" s="108"/>
      <c r="WWM95" s="108"/>
      <c r="WWN95" s="108"/>
      <c r="WWO95" s="108"/>
      <c r="WWP95" s="108"/>
      <c r="WWQ95" s="108"/>
      <c r="WWR95" s="108"/>
      <c r="WWS95" s="108"/>
      <c r="WWT95" s="108"/>
      <c r="WWU95" s="108"/>
      <c r="WWV95" s="108"/>
      <c r="WWW95" s="108"/>
      <c r="WWX95" s="108"/>
      <c r="WWY95" s="108"/>
      <c r="WWZ95" s="108"/>
      <c r="WXA95" s="108"/>
      <c r="WXB95" s="108"/>
      <c r="WXC95" s="108"/>
      <c r="WXD95" s="108"/>
      <c r="WXE95" s="108"/>
      <c r="WXF95" s="108"/>
      <c r="WXG95" s="108"/>
      <c r="WXH95" s="108"/>
      <c r="WXI95" s="108"/>
      <c r="WXJ95" s="108"/>
      <c r="WXK95" s="108"/>
      <c r="WXL95" s="108"/>
      <c r="WXM95" s="108"/>
      <c r="WXN95" s="108"/>
      <c r="WXO95" s="108"/>
      <c r="WXP95" s="108"/>
      <c r="WXQ95" s="108"/>
      <c r="WXR95" s="108"/>
      <c r="WXS95" s="108"/>
      <c r="WXT95" s="108"/>
      <c r="WXU95" s="108"/>
      <c r="WXV95" s="108"/>
      <c r="WXW95" s="108"/>
      <c r="WXX95" s="108"/>
      <c r="WXY95" s="108"/>
      <c r="WXZ95" s="108"/>
      <c r="WYA95" s="108"/>
      <c r="WYB95" s="108"/>
      <c r="WYC95" s="108"/>
      <c r="WYD95" s="108"/>
      <c r="WYE95" s="108"/>
      <c r="WYF95" s="108"/>
      <c r="WYG95" s="108"/>
      <c r="WYH95" s="108"/>
      <c r="WYI95" s="108"/>
      <c r="WYJ95" s="108"/>
      <c r="WYK95" s="108"/>
      <c r="WYL95" s="108"/>
      <c r="WYM95" s="108"/>
      <c r="WYN95" s="108"/>
      <c r="WYO95" s="108"/>
      <c r="WYP95" s="108"/>
      <c r="WYQ95" s="108"/>
      <c r="WYR95" s="108"/>
      <c r="WYS95" s="108"/>
      <c r="WYT95" s="108"/>
      <c r="WYU95" s="108"/>
      <c r="WYV95" s="108"/>
      <c r="WYW95" s="108"/>
      <c r="WYX95" s="108"/>
      <c r="WYY95" s="108"/>
      <c r="WYZ95" s="108"/>
      <c r="WZA95" s="108"/>
      <c r="WZB95" s="108"/>
      <c r="WZC95" s="108"/>
      <c r="WZD95" s="108"/>
      <c r="WZE95" s="108"/>
      <c r="WZF95" s="108"/>
      <c r="WZG95" s="108"/>
      <c r="WZH95" s="108"/>
      <c r="WZI95" s="108"/>
      <c r="WZJ95" s="108"/>
      <c r="WZK95" s="108"/>
      <c r="WZL95" s="108"/>
      <c r="WZM95" s="108"/>
      <c r="WZN95" s="108"/>
      <c r="WZO95" s="108"/>
      <c r="WZP95" s="108"/>
      <c r="WZQ95" s="108"/>
      <c r="WZR95" s="108"/>
      <c r="WZS95" s="108"/>
      <c r="WZT95" s="108"/>
      <c r="WZU95" s="108"/>
      <c r="WZV95" s="108"/>
      <c r="WZW95" s="108"/>
      <c r="WZX95" s="108"/>
      <c r="WZY95" s="108"/>
      <c r="WZZ95" s="108"/>
      <c r="XAA95" s="108"/>
      <c r="XAB95" s="108"/>
      <c r="XAC95" s="108"/>
      <c r="XAD95" s="108"/>
      <c r="XAE95" s="108"/>
      <c r="XAF95" s="108"/>
      <c r="XAG95" s="108"/>
      <c r="XAH95" s="108"/>
      <c r="XAI95" s="108"/>
      <c r="XAJ95" s="108"/>
      <c r="XAK95" s="108"/>
      <c r="XAL95" s="108"/>
      <c r="XAM95" s="108"/>
      <c r="XAN95" s="108"/>
      <c r="XAO95" s="108"/>
      <c r="XAP95" s="108"/>
      <c r="XAQ95" s="108"/>
      <c r="XAR95" s="108"/>
      <c r="XAS95" s="108"/>
      <c r="XAT95" s="108"/>
      <c r="XAU95" s="108"/>
      <c r="XAV95" s="108"/>
      <c r="XAW95" s="108"/>
      <c r="XAX95" s="108"/>
      <c r="XAY95" s="108"/>
      <c r="XAZ95" s="108"/>
      <c r="XBA95" s="108"/>
      <c r="XBB95" s="108"/>
      <c r="XBC95" s="108"/>
      <c r="XBD95" s="108"/>
      <c r="XBE95" s="108"/>
      <c r="XBF95" s="108"/>
      <c r="XBG95" s="108"/>
      <c r="XBH95" s="108"/>
      <c r="XBI95" s="108"/>
      <c r="XBJ95" s="108"/>
      <c r="XBK95" s="108"/>
      <c r="XBL95" s="108"/>
      <c r="XBM95" s="108"/>
      <c r="XBN95" s="108"/>
      <c r="XBO95" s="108"/>
      <c r="XBP95" s="108"/>
      <c r="XBQ95" s="108"/>
      <c r="XBR95" s="108"/>
      <c r="XBS95" s="108"/>
      <c r="XBT95" s="108"/>
      <c r="XBU95" s="108"/>
      <c r="XBV95" s="108"/>
      <c r="XBW95" s="108"/>
      <c r="XBX95" s="108"/>
      <c r="XBY95" s="108"/>
      <c r="XBZ95" s="108"/>
      <c r="XCA95" s="108"/>
      <c r="XCB95" s="108"/>
      <c r="XCC95" s="108"/>
      <c r="XCD95" s="108"/>
      <c r="XCE95" s="108"/>
      <c r="XCF95" s="108"/>
      <c r="XCG95" s="108"/>
      <c r="XCH95" s="108"/>
      <c r="XCI95" s="108"/>
      <c r="XCJ95" s="108"/>
      <c r="XCK95" s="108"/>
      <c r="XCL95" s="108"/>
      <c r="XCM95" s="108"/>
      <c r="XCN95" s="108"/>
      <c r="XCO95" s="108"/>
      <c r="XCP95" s="108"/>
      <c r="XCQ95" s="108"/>
      <c r="XCR95" s="108"/>
      <c r="XCS95" s="108"/>
      <c r="XCT95" s="108"/>
      <c r="XCU95" s="108"/>
      <c r="XCV95" s="108"/>
      <c r="XCW95" s="108"/>
      <c r="XCX95" s="108"/>
      <c r="XCY95" s="108"/>
      <c r="XCZ95" s="108"/>
      <c r="XDA95" s="108"/>
      <c r="XDB95" s="108"/>
      <c r="XDC95" s="108"/>
      <c r="XDD95" s="108"/>
      <c r="XDE95" s="108"/>
      <c r="XDF95" s="108"/>
      <c r="XDG95" s="108"/>
      <c r="XDH95" s="108"/>
      <c r="XDI95" s="108"/>
      <c r="XDJ95" s="108"/>
      <c r="XDK95" s="108"/>
      <c r="XDL95" s="108"/>
      <c r="XDM95" s="108"/>
      <c r="XDN95" s="108"/>
      <c r="XDO95" s="108"/>
      <c r="XDP95" s="108"/>
      <c r="XDQ95" s="108"/>
      <c r="XDR95" s="108"/>
      <c r="XDS95" s="108"/>
      <c r="XDT95" s="108"/>
      <c r="XDU95" s="108"/>
      <c r="XDV95" s="108"/>
      <c r="XDW95" s="108"/>
      <c r="XDX95" s="108"/>
      <c r="XDY95" s="108"/>
      <c r="XDZ95" s="108"/>
      <c r="XEA95" s="108"/>
      <c r="XEB95" s="108"/>
      <c r="XEC95" s="108"/>
      <c r="XED95" s="108"/>
      <c r="XEE95" s="108"/>
      <c r="XEF95" s="108"/>
      <c r="XEG95" s="108"/>
      <c r="XEH95" s="108"/>
      <c r="XEI95" s="108"/>
      <c r="XEJ95" s="108"/>
      <c r="XEK95" s="108"/>
      <c r="XEL95" s="108"/>
      <c r="XEM95" s="108"/>
      <c r="XEN95" s="108"/>
      <c r="XEO95" s="108"/>
      <c r="XEP95" s="108"/>
    </row>
    <row r="96" spans="1:16370" outlineLevel="1">
      <c r="A96" s="70" t="s">
        <v>123</v>
      </c>
      <c r="B96" s="85" t="s">
        <v>85</v>
      </c>
      <c r="C96" s="72"/>
      <c r="D96" s="77">
        <f>'0'!D19</f>
        <v>1</v>
      </c>
      <c r="E96" s="77">
        <f>'0'!E19</f>
        <v>1</v>
      </c>
      <c r="F96" s="77">
        <f>'0'!F19</f>
        <v>1</v>
      </c>
      <c r="G96" s="77">
        <f>'0'!G19</f>
        <v>2</v>
      </c>
      <c r="H96" s="77">
        <f>'0'!H19</f>
        <v>2</v>
      </c>
      <c r="I96" s="77">
        <f>'0'!I19</f>
        <v>2</v>
      </c>
      <c r="J96" s="77">
        <f>'0'!J19</f>
        <v>3</v>
      </c>
      <c r="K96" s="77">
        <f>'0'!K19</f>
        <v>3</v>
      </c>
      <c r="L96" s="77">
        <f>'0'!L19</f>
        <v>4</v>
      </c>
      <c r="M96" s="77">
        <f>'0'!M19</f>
        <v>5</v>
      </c>
      <c r="N96" s="77">
        <f>'0'!N19</f>
        <v>5</v>
      </c>
      <c r="O96" s="77">
        <f>'0'!O19</f>
        <v>6</v>
      </c>
      <c r="P96" s="77">
        <f>'0'!P19</f>
        <v>6</v>
      </c>
      <c r="Q96" s="77">
        <f>'0'!Q19</f>
        <v>6</v>
      </c>
      <c r="R96" s="77">
        <f>'0'!R19</f>
        <v>6</v>
      </c>
      <c r="S96" s="77">
        <f>'0'!S19</f>
        <v>6</v>
      </c>
      <c r="T96" s="77">
        <f>'0'!T19</f>
        <v>6</v>
      </c>
      <c r="U96" s="77">
        <f>'0'!U19</f>
        <v>6</v>
      </c>
      <c r="V96" s="77">
        <f>'0'!V19</f>
        <v>6</v>
      </c>
      <c r="W96" s="77">
        <f>'0'!W19</f>
        <v>6</v>
      </c>
      <c r="X96" s="77">
        <f>'0'!X19</f>
        <v>6</v>
      </c>
      <c r="Y96" s="77">
        <f>'0'!Y19</f>
        <v>6</v>
      </c>
      <c r="Z96" s="77">
        <f>'0'!Z19</f>
        <v>6</v>
      </c>
      <c r="AA96" s="77">
        <f>'0'!AA19</f>
        <v>6</v>
      </c>
      <c r="AB96" s="77">
        <f>'0'!AB19</f>
        <v>6</v>
      </c>
      <c r="AC96" s="77">
        <f>'0'!AC19</f>
        <v>6</v>
      </c>
      <c r="AD96" s="77">
        <f>'0'!AD19</f>
        <v>6</v>
      </c>
      <c r="AE96" s="77">
        <f>'0'!AE19</f>
        <v>6</v>
      </c>
      <c r="AF96" s="77">
        <f>'0'!AF19</f>
        <v>6</v>
      </c>
      <c r="AG96" s="77">
        <f>'0'!AG19</f>
        <v>6</v>
      </c>
      <c r="AH96" s="77">
        <f>'0'!AH19</f>
        <v>6</v>
      </c>
      <c r="AI96" s="77">
        <f>'0'!AI19</f>
        <v>6</v>
      </c>
      <c r="AJ96" s="77">
        <f>'0'!AJ19</f>
        <v>6</v>
      </c>
      <c r="AK96" s="77">
        <f>'0'!AK19</f>
        <v>6</v>
      </c>
      <c r="AL96" s="77">
        <f>'0'!AL19</f>
        <v>6</v>
      </c>
      <c r="AM96" s="77">
        <f>'0'!AM19</f>
        <v>6</v>
      </c>
      <c r="AN96" s="81"/>
      <c r="AO96" s="75">
        <f>O96</f>
        <v>6</v>
      </c>
      <c r="AP96" s="75">
        <f>AA96</f>
        <v>6</v>
      </c>
      <c r="AQ96" s="75">
        <f>AM96</f>
        <v>6</v>
      </c>
    </row>
    <row r="97" spans="1:16370" outlineLevel="1">
      <c r="A97" s="70" t="s">
        <v>220</v>
      </c>
      <c r="B97" s="85" t="s">
        <v>78</v>
      </c>
      <c r="C97" s="72"/>
      <c r="D97" s="86">
        <v>10000</v>
      </c>
      <c r="E97" s="86">
        <v>10000</v>
      </c>
      <c r="F97" s="86">
        <v>10000</v>
      </c>
      <c r="G97" s="86">
        <v>10000</v>
      </c>
      <c r="H97" s="86">
        <v>10000</v>
      </c>
      <c r="I97" s="86">
        <v>10000</v>
      </c>
      <c r="J97" s="86">
        <v>10000</v>
      </c>
      <c r="K97" s="86">
        <v>10000</v>
      </c>
      <c r="L97" s="86">
        <v>10000</v>
      </c>
      <c r="M97" s="86">
        <v>10000</v>
      </c>
      <c r="N97" s="86">
        <v>10000</v>
      </c>
      <c r="O97" s="86">
        <v>10000</v>
      </c>
      <c r="P97" s="86">
        <v>10000</v>
      </c>
      <c r="Q97" s="86">
        <v>10000</v>
      </c>
      <c r="R97" s="86">
        <v>10000</v>
      </c>
      <c r="S97" s="86">
        <v>10000</v>
      </c>
      <c r="T97" s="86">
        <v>10000</v>
      </c>
      <c r="U97" s="86">
        <v>10000</v>
      </c>
      <c r="V97" s="86">
        <v>10000</v>
      </c>
      <c r="W97" s="86">
        <v>10000</v>
      </c>
      <c r="X97" s="86">
        <v>10000</v>
      </c>
      <c r="Y97" s="86">
        <v>10000</v>
      </c>
      <c r="Z97" s="86">
        <v>10000</v>
      </c>
      <c r="AA97" s="86">
        <v>10000</v>
      </c>
      <c r="AB97" s="86">
        <v>10000</v>
      </c>
      <c r="AC97" s="86">
        <v>10000</v>
      </c>
      <c r="AD97" s="86">
        <v>10000</v>
      </c>
      <c r="AE97" s="86">
        <v>10000</v>
      </c>
      <c r="AF97" s="86">
        <v>10000</v>
      </c>
      <c r="AG97" s="86">
        <v>10000</v>
      </c>
      <c r="AH97" s="86">
        <v>10000</v>
      </c>
      <c r="AI97" s="86">
        <v>10000</v>
      </c>
      <c r="AJ97" s="86">
        <v>10000</v>
      </c>
      <c r="AK97" s="86">
        <v>10000</v>
      </c>
      <c r="AL97" s="86">
        <v>10000</v>
      </c>
      <c r="AM97" s="86">
        <v>10000</v>
      </c>
      <c r="AN97" s="81"/>
      <c r="AO97" s="75">
        <f>AVERAGE(D97:O97)</f>
        <v>10000</v>
      </c>
      <c r="AP97" s="75">
        <f>AVERAGE(P97:AA97)</f>
        <v>10000</v>
      </c>
      <c r="AQ97" s="75">
        <f>AVERAGE(AB97:AM97)</f>
        <v>10000</v>
      </c>
    </row>
    <row r="98" spans="1:16370" outlineLevel="1">
      <c r="A98" s="80" t="s">
        <v>217</v>
      </c>
      <c r="B98" s="85" t="s">
        <v>78</v>
      </c>
      <c r="D98" s="110">
        <f>D97*D96</f>
        <v>10000</v>
      </c>
      <c r="E98" s="110">
        <f t="shared" ref="E98:AM98" si="111">E97*E96</f>
        <v>10000</v>
      </c>
      <c r="F98" s="110">
        <f t="shared" si="111"/>
        <v>10000</v>
      </c>
      <c r="G98" s="110">
        <f t="shared" si="111"/>
        <v>20000</v>
      </c>
      <c r="H98" s="110">
        <f t="shared" si="111"/>
        <v>20000</v>
      </c>
      <c r="I98" s="110">
        <f t="shared" si="111"/>
        <v>20000</v>
      </c>
      <c r="J98" s="110">
        <f t="shared" si="111"/>
        <v>30000</v>
      </c>
      <c r="K98" s="110">
        <f t="shared" si="111"/>
        <v>30000</v>
      </c>
      <c r="L98" s="110">
        <f t="shared" si="111"/>
        <v>40000</v>
      </c>
      <c r="M98" s="110">
        <f t="shared" si="111"/>
        <v>50000</v>
      </c>
      <c r="N98" s="110">
        <f t="shared" si="111"/>
        <v>50000</v>
      </c>
      <c r="O98" s="110">
        <f t="shared" si="111"/>
        <v>60000</v>
      </c>
      <c r="P98" s="110">
        <f t="shared" si="111"/>
        <v>60000</v>
      </c>
      <c r="Q98" s="110">
        <f t="shared" si="111"/>
        <v>60000</v>
      </c>
      <c r="R98" s="110">
        <f t="shared" si="111"/>
        <v>60000</v>
      </c>
      <c r="S98" s="110">
        <f t="shared" si="111"/>
        <v>60000</v>
      </c>
      <c r="T98" s="110">
        <f t="shared" si="111"/>
        <v>60000</v>
      </c>
      <c r="U98" s="110">
        <f t="shared" si="111"/>
        <v>60000</v>
      </c>
      <c r="V98" s="110">
        <f t="shared" si="111"/>
        <v>60000</v>
      </c>
      <c r="W98" s="110">
        <f t="shared" si="111"/>
        <v>60000</v>
      </c>
      <c r="X98" s="110">
        <f t="shared" si="111"/>
        <v>60000</v>
      </c>
      <c r="Y98" s="110">
        <f t="shared" si="111"/>
        <v>60000</v>
      </c>
      <c r="Z98" s="110">
        <f t="shared" si="111"/>
        <v>60000</v>
      </c>
      <c r="AA98" s="110">
        <f t="shared" si="111"/>
        <v>60000</v>
      </c>
      <c r="AB98" s="110">
        <f t="shared" si="111"/>
        <v>60000</v>
      </c>
      <c r="AC98" s="110">
        <f t="shared" si="111"/>
        <v>60000</v>
      </c>
      <c r="AD98" s="110">
        <f t="shared" si="111"/>
        <v>60000</v>
      </c>
      <c r="AE98" s="110">
        <f t="shared" si="111"/>
        <v>60000</v>
      </c>
      <c r="AF98" s="110">
        <f t="shared" si="111"/>
        <v>60000</v>
      </c>
      <c r="AG98" s="110">
        <f t="shared" si="111"/>
        <v>60000</v>
      </c>
      <c r="AH98" s="110">
        <f t="shared" si="111"/>
        <v>60000</v>
      </c>
      <c r="AI98" s="110">
        <f t="shared" si="111"/>
        <v>60000</v>
      </c>
      <c r="AJ98" s="110">
        <f t="shared" si="111"/>
        <v>60000</v>
      </c>
      <c r="AK98" s="110">
        <f t="shared" si="111"/>
        <v>60000</v>
      </c>
      <c r="AL98" s="110">
        <f t="shared" si="111"/>
        <v>60000</v>
      </c>
      <c r="AM98" s="110">
        <f t="shared" si="111"/>
        <v>60000</v>
      </c>
      <c r="AO98" s="75">
        <f>SUM(D98:O98)</f>
        <v>350000</v>
      </c>
      <c r="AP98" s="75">
        <f>SUM(P98:AA98)</f>
        <v>720000</v>
      </c>
      <c r="AQ98" s="75">
        <f>SUM(AB98:AM98)</f>
        <v>720000</v>
      </c>
    </row>
    <row r="99" spans="1:16370" outlineLevel="1">
      <c r="A99" s="80" t="s">
        <v>218</v>
      </c>
      <c r="B99" s="71" t="s">
        <v>79</v>
      </c>
      <c r="D99" s="92">
        <v>1.6999999999999999E-3</v>
      </c>
      <c r="E99" s="92">
        <v>1.6999999999999999E-3</v>
      </c>
      <c r="F99" s="92">
        <v>1.6999999999999999E-3</v>
      </c>
      <c r="G99" s="92">
        <v>1.6999999999999999E-3</v>
      </c>
      <c r="H99" s="92">
        <v>1.6999999999999999E-3</v>
      </c>
      <c r="I99" s="92">
        <v>1.6999999999999999E-3</v>
      </c>
      <c r="J99" s="92">
        <v>1.6999999999999999E-3</v>
      </c>
      <c r="K99" s="92">
        <v>1.6999999999999999E-3</v>
      </c>
      <c r="L99" s="92">
        <v>1.6999999999999999E-3</v>
      </c>
      <c r="M99" s="92">
        <v>1.6999999999999999E-3</v>
      </c>
      <c r="N99" s="92">
        <v>1.6999999999999999E-3</v>
      </c>
      <c r="O99" s="92">
        <v>1.6999999999999999E-3</v>
      </c>
      <c r="P99" s="92">
        <v>1.6999999999999999E-3</v>
      </c>
      <c r="Q99" s="92">
        <v>1.6999999999999999E-3</v>
      </c>
      <c r="R99" s="92">
        <v>1.6999999999999999E-3</v>
      </c>
      <c r="S99" s="92">
        <v>1.6999999999999999E-3</v>
      </c>
      <c r="T99" s="92">
        <v>1.6999999999999999E-3</v>
      </c>
      <c r="U99" s="92">
        <v>1.6999999999999999E-3</v>
      </c>
      <c r="V99" s="92">
        <v>1.6999999999999999E-3</v>
      </c>
      <c r="W99" s="92">
        <v>1.6999999999999999E-3</v>
      </c>
      <c r="X99" s="92">
        <v>1.6999999999999999E-3</v>
      </c>
      <c r="Y99" s="92">
        <v>1.6999999999999999E-3</v>
      </c>
      <c r="Z99" s="92">
        <v>1.6999999999999999E-3</v>
      </c>
      <c r="AA99" s="92">
        <v>1.6999999999999999E-3</v>
      </c>
      <c r="AB99" s="92">
        <v>1.6999999999999999E-3</v>
      </c>
      <c r="AC99" s="92">
        <v>1.6999999999999999E-3</v>
      </c>
      <c r="AD99" s="92">
        <v>1.6999999999999999E-3</v>
      </c>
      <c r="AE99" s="92">
        <v>1.6999999999999999E-3</v>
      </c>
      <c r="AF99" s="92">
        <v>1.6999999999999999E-3</v>
      </c>
      <c r="AG99" s="92">
        <v>1.6999999999999999E-3</v>
      </c>
      <c r="AH99" s="92">
        <v>1.6999999999999999E-3</v>
      </c>
      <c r="AI99" s="92">
        <v>1.6999999999999999E-3</v>
      </c>
      <c r="AJ99" s="92">
        <v>1.6999999999999999E-3</v>
      </c>
      <c r="AK99" s="92">
        <v>1.6999999999999999E-3</v>
      </c>
      <c r="AL99" s="92">
        <v>1.6999999999999999E-3</v>
      </c>
      <c r="AM99" s="92">
        <v>1.6999999999999999E-3</v>
      </c>
      <c r="AO99" s="96">
        <f>AVERAGE(D99:O99)</f>
        <v>1.6999999999999999E-3</v>
      </c>
      <c r="AP99" s="96">
        <f>AVERAGE(P99:AA99)</f>
        <v>1.6999999999999999E-3</v>
      </c>
      <c r="AQ99" s="96">
        <f>AVERAGE(AB99:AM99)</f>
        <v>1.6999999999999999E-3</v>
      </c>
    </row>
    <row r="100" spans="1:16370" outlineLevel="1">
      <c r="A100" s="80" t="s">
        <v>219</v>
      </c>
      <c r="B100" s="85" t="s">
        <v>78</v>
      </c>
      <c r="D100" s="111">
        <f>D98*D99</f>
        <v>17</v>
      </c>
      <c r="E100" s="111">
        <f t="shared" ref="E100:AM100" si="112">E98*E99</f>
        <v>17</v>
      </c>
      <c r="F100" s="111">
        <f t="shared" si="112"/>
        <v>17</v>
      </c>
      <c r="G100" s="111">
        <f t="shared" si="112"/>
        <v>34</v>
      </c>
      <c r="H100" s="111">
        <f t="shared" si="112"/>
        <v>34</v>
      </c>
      <c r="I100" s="111">
        <f t="shared" si="112"/>
        <v>34</v>
      </c>
      <c r="J100" s="111">
        <f t="shared" si="112"/>
        <v>51</v>
      </c>
      <c r="K100" s="111">
        <f t="shared" si="112"/>
        <v>51</v>
      </c>
      <c r="L100" s="111">
        <f t="shared" si="112"/>
        <v>68</v>
      </c>
      <c r="M100" s="111">
        <f t="shared" si="112"/>
        <v>85</v>
      </c>
      <c r="N100" s="111">
        <f t="shared" si="112"/>
        <v>85</v>
      </c>
      <c r="O100" s="111">
        <f t="shared" si="112"/>
        <v>102</v>
      </c>
      <c r="P100" s="111">
        <f t="shared" si="112"/>
        <v>102</v>
      </c>
      <c r="Q100" s="111">
        <f t="shared" si="112"/>
        <v>102</v>
      </c>
      <c r="R100" s="111">
        <f t="shared" si="112"/>
        <v>102</v>
      </c>
      <c r="S100" s="111">
        <f t="shared" si="112"/>
        <v>102</v>
      </c>
      <c r="T100" s="111">
        <f t="shared" si="112"/>
        <v>102</v>
      </c>
      <c r="U100" s="111">
        <f t="shared" si="112"/>
        <v>102</v>
      </c>
      <c r="V100" s="111">
        <f t="shared" si="112"/>
        <v>102</v>
      </c>
      <c r="W100" s="111">
        <f t="shared" si="112"/>
        <v>102</v>
      </c>
      <c r="X100" s="111">
        <f t="shared" si="112"/>
        <v>102</v>
      </c>
      <c r="Y100" s="111">
        <f t="shared" si="112"/>
        <v>102</v>
      </c>
      <c r="Z100" s="111">
        <f t="shared" si="112"/>
        <v>102</v>
      </c>
      <c r="AA100" s="111">
        <f t="shared" si="112"/>
        <v>102</v>
      </c>
      <c r="AB100" s="111">
        <f t="shared" si="112"/>
        <v>102</v>
      </c>
      <c r="AC100" s="111">
        <f t="shared" si="112"/>
        <v>102</v>
      </c>
      <c r="AD100" s="111">
        <f t="shared" si="112"/>
        <v>102</v>
      </c>
      <c r="AE100" s="111">
        <f t="shared" si="112"/>
        <v>102</v>
      </c>
      <c r="AF100" s="111">
        <f t="shared" si="112"/>
        <v>102</v>
      </c>
      <c r="AG100" s="111">
        <f t="shared" si="112"/>
        <v>102</v>
      </c>
      <c r="AH100" s="111">
        <f t="shared" si="112"/>
        <v>102</v>
      </c>
      <c r="AI100" s="111">
        <f t="shared" si="112"/>
        <v>102</v>
      </c>
      <c r="AJ100" s="111">
        <f t="shared" si="112"/>
        <v>102</v>
      </c>
      <c r="AK100" s="111">
        <f t="shared" si="112"/>
        <v>102</v>
      </c>
      <c r="AL100" s="111">
        <f t="shared" si="112"/>
        <v>102</v>
      </c>
      <c r="AM100" s="111">
        <f t="shared" si="112"/>
        <v>102</v>
      </c>
      <c r="AO100" s="75">
        <f>SUM(D100:O100)</f>
        <v>595</v>
      </c>
      <c r="AP100" s="75">
        <f>SUM(P100:AA100)</f>
        <v>1224</v>
      </c>
      <c r="AQ100" s="75">
        <f>SUM(AB100:AM100)</f>
        <v>1224</v>
      </c>
    </row>
    <row r="101" spans="1:16370" outlineLevel="1">
      <c r="A101" s="80" t="s">
        <v>221</v>
      </c>
      <c r="B101" s="71" t="s">
        <v>79</v>
      </c>
      <c r="D101" s="92">
        <v>0.3</v>
      </c>
      <c r="E101" s="92">
        <v>0.3</v>
      </c>
      <c r="F101" s="92">
        <v>0.3</v>
      </c>
      <c r="G101" s="92">
        <v>0.3</v>
      </c>
      <c r="H101" s="92">
        <v>0.3</v>
      </c>
      <c r="I101" s="92">
        <v>0.3</v>
      </c>
      <c r="J101" s="92">
        <v>0.3</v>
      </c>
      <c r="K101" s="92">
        <v>0.3</v>
      </c>
      <c r="L101" s="92">
        <v>0.3</v>
      </c>
      <c r="M101" s="92">
        <v>0.3</v>
      </c>
      <c r="N101" s="92">
        <v>0.3</v>
      </c>
      <c r="O101" s="92">
        <v>0.3</v>
      </c>
      <c r="P101" s="92">
        <v>0.3</v>
      </c>
      <c r="Q101" s="92">
        <v>0.3</v>
      </c>
      <c r="R101" s="92">
        <v>0.3</v>
      </c>
      <c r="S101" s="92">
        <v>0.3</v>
      </c>
      <c r="T101" s="92">
        <v>0.3</v>
      </c>
      <c r="U101" s="92">
        <v>0.3</v>
      </c>
      <c r="V101" s="92">
        <v>0.3</v>
      </c>
      <c r="W101" s="92">
        <v>0.3</v>
      </c>
      <c r="X101" s="92">
        <v>0.3</v>
      </c>
      <c r="Y101" s="92">
        <v>0.3</v>
      </c>
      <c r="Z101" s="92">
        <v>0.3</v>
      </c>
      <c r="AA101" s="92">
        <v>0.3</v>
      </c>
      <c r="AB101" s="92">
        <v>0.3</v>
      </c>
      <c r="AC101" s="92">
        <v>0.3</v>
      </c>
      <c r="AD101" s="92">
        <v>0.3</v>
      </c>
      <c r="AE101" s="92">
        <v>0.3</v>
      </c>
      <c r="AF101" s="92">
        <v>0.3</v>
      </c>
      <c r="AG101" s="92">
        <v>0.3</v>
      </c>
      <c r="AH101" s="92">
        <v>0.3</v>
      </c>
      <c r="AI101" s="92">
        <v>0.3</v>
      </c>
      <c r="AJ101" s="92">
        <v>0.3</v>
      </c>
      <c r="AK101" s="92">
        <v>0.3</v>
      </c>
      <c r="AL101" s="92">
        <v>0.3</v>
      </c>
      <c r="AM101" s="92">
        <v>0.3</v>
      </c>
      <c r="AO101" s="96">
        <f>AVERAGE(D101:O101)</f>
        <v>0.29999999999999993</v>
      </c>
      <c r="AP101" s="96">
        <f>AVERAGE(P101:AA101)</f>
        <v>0.29999999999999993</v>
      </c>
      <c r="AQ101" s="96">
        <f>AVERAGE(AB101:AM101)</f>
        <v>0.29999999999999993</v>
      </c>
    </row>
    <row r="102" spans="1:16370" outlineLevel="1">
      <c r="A102" s="80" t="s">
        <v>222</v>
      </c>
      <c r="B102" s="85" t="s">
        <v>78</v>
      </c>
      <c r="D102" s="73">
        <f>-D100*D101</f>
        <v>-5.0999999999999996</v>
      </c>
      <c r="E102" s="73">
        <f t="shared" ref="E102:AM102" si="113">-E100*E101</f>
        <v>-5.0999999999999996</v>
      </c>
      <c r="F102" s="73">
        <f t="shared" si="113"/>
        <v>-5.0999999999999996</v>
      </c>
      <c r="G102" s="73">
        <f t="shared" si="113"/>
        <v>-10.199999999999999</v>
      </c>
      <c r="H102" s="73">
        <f t="shared" si="113"/>
        <v>-10.199999999999999</v>
      </c>
      <c r="I102" s="73">
        <f t="shared" si="113"/>
        <v>-10.199999999999999</v>
      </c>
      <c r="J102" s="73">
        <f t="shared" si="113"/>
        <v>-15.299999999999999</v>
      </c>
      <c r="K102" s="73">
        <f t="shared" si="113"/>
        <v>-15.299999999999999</v>
      </c>
      <c r="L102" s="73">
        <f t="shared" si="113"/>
        <v>-20.399999999999999</v>
      </c>
      <c r="M102" s="73">
        <f t="shared" si="113"/>
        <v>-25.5</v>
      </c>
      <c r="N102" s="73">
        <f t="shared" si="113"/>
        <v>-25.5</v>
      </c>
      <c r="O102" s="73">
        <f t="shared" si="113"/>
        <v>-30.599999999999998</v>
      </c>
      <c r="P102" s="73">
        <f t="shared" si="113"/>
        <v>-30.599999999999998</v>
      </c>
      <c r="Q102" s="73">
        <f t="shared" si="113"/>
        <v>-30.599999999999998</v>
      </c>
      <c r="R102" s="73">
        <f t="shared" si="113"/>
        <v>-30.599999999999998</v>
      </c>
      <c r="S102" s="73">
        <f t="shared" si="113"/>
        <v>-30.599999999999998</v>
      </c>
      <c r="T102" s="73">
        <f t="shared" si="113"/>
        <v>-30.599999999999998</v>
      </c>
      <c r="U102" s="73">
        <f t="shared" si="113"/>
        <v>-30.599999999999998</v>
      </c>
      <c r="V102" s="73">
        <f t="shared" si="113"/>
        <v>-30.599999999999998</v>
      </c>
      <c r="W102" s="73">
        <f t="shared" si="113"/>
        <v>-30.599999999999998</v>
      </c>
      <c r="X102" s="73">
        <f t="shared" si="113"/>
        <v>-30.599999999999998</v>
      </c>
      <c r="Y102" s="73">
        <f t="shared" si="113"/>
        <v>-30.599999999999998</v>
      </c>
      <c r="Z102" s="73">
        <f t="shared" si="113"/>
        <v>-30.599999999999998</v>
      </c>
      <c r="AA102" s="73">
        <f t="shared" si="113"/>
        <v>-30.599999999999998</v>
      </c>
      <c r="AB102" s="73">
        <f t="shared" si="113"/>
        <v>-30.599999999999998</v>
      </c>
      <c r="AC102" s="73">
        <f t="shared" si="113"/>
        <v>-30.599999999999998</v>
      </c>
      <c r="AD102" s="73">
        <f t="shared" si="113"/>
        <v>-30.599999999999998</v>
      </c>
      <c r="AE102" s="73">
        <f t="shared" si="113"/>
        <v>-30.599999999999998</v>
      </c>
      <c r="AF102" s="73">
        <f t="shared" si="113"/>
        <v>-30.599999999999998</v>
      </c>
      <c r="AG102" s="73">
        <f t="shared" si="113"/>
        <v>-30.599999999999998</v>
      </c>
      <c r="AH102" s="73">
        <f t="shared" si="113"/>
        <v>-30.599999999999998</v>
      </c>
      <c r="AI102" s="73">
        <f t="shared" si="113"/>
        <v>-30.599999999999998</v>
      </c>
      <c r="AJ102" s="73">
        <f t="shared" si="113"/>
        <v>-30.599999999999998</v>
      </c>
      <c r="AK102" s="73">
        <f t="shared" si="113"/>
        <v>-30.599999999999998</v>
      </c>
      <c r="AL102" s="73">
        <f t="shared" si="113"/>
        <v>-30.599999999999998</v>
      </c>
      <c r="AM102" s="73">
        <f t="shared" si="113"/>
        <v>-30.599999999999998</v>
      </c>
      <c r="AO102" s="75">
        <f>SUM(D102:O102)</f>
        <v>-178.5</v>
      </c>
      <c r="AP102" s="75">
        <f>SUM(P102:AA102)</f>
        <v>-367.20000000000005</v>
      </c>
      <c r="AQ102" s="75">
        <f>SUM(AB102:AM102)</f>
        <v>-367.20000000000005</v>
      </c>
    </row>
    <row r="103" spans="1:16370" outlineLevel="1">
      <c r="A103" s="70" t="s">
        <v>205</v>
      </c>
      <c r="B103" s="85" t="s">
        <v>78</v>
      </c>
      <c r="C103" s="72"/>
      <c r="D103" s="77">
        <f>-'OPEX+CAPEX'!E95</f>
        <v>-107.14285714285714</v>
      </c>
      <c r="E103" s="77">
        <f>-'OPEX+CAPEX'!F95</f>
        <v>-107.14285714285714</v>
      </c>
      <c r="F103" s="77">
        <f>-'OPEX+CAPEX'!G95</f>
        <v>-107.14285714285714</v>
      </c>
      <c r="G103" s="77">
        <f>-'OPEX+CAPEX'!H95</f>
        <v>-107.14285714285714</v>
      </c>
      <c r="H103" s="77">
        <f>-'OPEX+CAPEX'!I95</f>
        <v>-107.14285714285714</v>
      </c>
      <c r="I103" s="77">
        <f>-'OPEX+CAPEX'!J95</f>
        <v>-107.14285714285714</v>
      </c>
      <c r="J103" s="77">
        <f>-'OPEX+CAPEX'!K95</f>
        <v>-107.14285714285714</v>
      </c>
      <c r="K103" s="77">
        <f>-'OPEX+CAPEX'!L95</f>
        <v>-107.14285714285714</v>
      </c>
      <c r="L103" s="77">
        <f>-'OPEX+CAPEX'!M95</f>
        <v>-107.14285714285714</v>
      </c>
      <c r="M103" s="77">
        <f>-'OPEX+CAPEX'!N95</f>
        <v>-107.14285714285714</v>
      </c>
      <c r="N103" s="77">
        <f>-'OPEX+CAPEX'!O95</f>
        <v>-107.14285714285714</v>
      </c>
      <c r="O103" s="77">
        <f>-'OPEX+CAPEX'!P95</f>
        <v>-107.14285714285714</v>
      </c>
      <c r="P103" s="77">
        <f>-'OPEX+CAPEX'!Q95</f>
        <v>-107.14285714285714</v>
      </c>
      <c r="Q103" s="77">
        <f>-'OPEX+CAPEX'!R95</f>
        <v>-107.14285714285714</v>
      </c>
      <c r="R103" s="77">
        <f>-'OPEX+CAPEX'!S95</f>
        <v>-107.14285714285714</v>
      </c>
      <c r="S103" s="77">
        <f>-'OPEX+CAPEX'!T95</f>
        <v>-107.14285714285714</v>
      </c>
      <c r="T103" s="77">
        <f>-'OPEX+CAPEX'!U95</f>
        <v>-107.14285714285714</v>
      </c>
      <c r="U103" s="77">
        <f>-'OPEX+CAPEX'!V95</f>
        <v>-107.14285714285714</v>
      </c>
      <c r="V103" s="77">
        <f>-'OPEX+CAPEX'!W95</f>
        <v>-107.14285714285714</v>
      </c>
      <c r="W103" s="77">
        <f>-'OPEX+CAPEX'!X95</f>
        <v>-107.14285714285714</v>
      </c>
      <c r="X103" s="77">
        <f>-'OPEX+CAPEX'!Y95</f>
        <v>-107.14285714285714</v>
      </c>
      <c r="Y103" s="77">
        <f>-'OPEX+CAPEX'!Z95</f>
        <v>-107.14285714285714</v>
      </c>
      <c r="Z103" s="77">
        <f>-'OPEX+CAPEX'!AA95</f>
        <v>-107.14285714285714</v>
      </c>
      <c r="AA103" s="77">
        <f>-'OPEX+CAPEX'!AB95</f>
        <v>-107.14285714285714</v>
      </c>
      <c r="AB103" s="77">
        <f>-'OPEX+CAPEX'!AC95</f>
        <v>-107.14285714285714</v>
      </c>
      <c r="AC103" s="77">
        <f>-'OPEX+CAPEX'!AD95</f>
        <v>-107.14285714285714</v>
      </c>
      <c r="AD103" s="77">
        <f>-'OPEX+CAPEX'!AE95</f>
        <v>-107.14285714285714</v>
      </c>
      <c r="AE103" s="77">
        <f>-'OPEX+CAPEX'!AF95</f>
        <v>-107.14285714285714</v>
      </c>
      <c r="AF103" s="77">
        <f>-'OPEX+CAPEX'!AG95</f>
        <v>-107.14285714285714</v>
      </c>
      <c r="AG103" s="77">
        <f>-'OPEX+CAPEX'!AH95</f>
        <v>-107.14285714285714</v>
      </c>
      <c r="AH103" s="77">
        <f>-'OPEX+CAPEX'!AI95</f>
        <v>-107.14285714285714</v>
      </c>
      <c r="AI103" s="77">
        <f>-'OPEX+CAPEX'!AJ95</f>
        <v>-107.14285714285714</v>
      </c>
      <c r="AJ103" s="77">
        <f>-'OPEX+CAPEX'!AK95</f>
        <v>-107.14285714285714</v>
      </c>
      <c r="AK103" s="77">
        <f>-'OPEX+CAPEX'!AL95</f>
        <v>-107.14285714285714</v>
      </c>
      <c r="AL103" s="77">
        <f>-'OPEX+CAPEX'!AM95</f>
        <v>-107.14285714285714</v>
      </c>
      <c r="AM103" s="77">
        <f>-'OPEX+CAPEX'!AN95</f>
        <v>-107.14285714285714</v>
      </c>
      <c r="AN103" s="81"/>
      <c r="AO103" s="75">
        <f>SUM(D103:O103)</f>
        <v>-1285.7142857142856</v>
      </c>
      <c r="AP103" s="75">
        <f>SUM(P103:AA103)</f>
        <v>-1285.7142857142856</v>
      </c>
      <c r="AQ103" s="75">
        <f>SUM(AB103:AM103)</f>
        <v>-1285.7142857142856</v>
      </c>
    </row>
    <row r="104" spans="1:16370" outlineLevel="1">
      <c r="A104" s="80" t="s">
        <v>177</v>
      </c>
      <c r="B104" s="85" t="s">
        <v>78</v>
      </c>
      <c r="D104" s="73">
        <f>D100+D102+D103</f>
        <v>-95.242857142857133</v>
      </c>
      <c r="E104" s="73">
        <f t="shared" ref="E104:AM104" si="114">E100+E102+E103</f>
        <v>-95.242857142857133</v>
      </c>
      <c r="F104" s="73">
        <f t="shared" si="114"/>
        <v>-95.242857142857133</v>
      </c>
      <c r="G104" s="73">
        <f t="shared" si="114"/>
        <v>-83.342857142857142</v>
      </c>
      <c r="H104" s="73">
        <f t="shared" si="114"/>
        <v>-83.342857142857142</v>
      </c>
      <c r="I104" s="73">
        <f t="shared" si="114"/>
        <v>-83.342857142857142</v>
      </c>
      <c r="J104" s="73">
        <f t="shared" si="114"/>
        <v>-71.442857142857136</v>
      </c>
      <c r="K104" s="73">
        <f t="shared" si="114"/>
        <v>-71.442857142857136</v>
      </c>
      <c r="L104" s="73">
        <f t="shared" si="114"/>
        <v>-59.542857142857137</v>
      </c>
      <c r="M104" s="73">
        <f t="shared" si="114"/>
        <v>-47.642857142857139</v>
      </c>
      <c r="N104" s="73">
        <f t="shared" si="114"/>
        <v>-47.642857142857139</v>
      </c>
      <c r="O104" s="73">
        <f t="shared" si="114"/>
        <v>-35.742857142857133</v>
      </c>
      <c r="P104" s="73">
        <f t="shared" si="114"/>
        <v>-35.742857142857133</v>
      </c>
      <c r="Q104" s="73">
        <f t="shared" si="114"/>
        <v>-35.742857142857133</v>
      </c>
      <c r="R104" s="73">
        <f t="shared" si="114"/>
        <v>-35.742857142857133</v>
      </c>
      <c r="S104" s="73">
        <f t="shared" si="114"/>
        <v>-35.742857142857133</v>
      </c>
      <c r="T104" s="73">
        <f t="shared" si="114"/>
        <v>-35.742857142857133</v>
      </c>
      <c r="U104" s="73">
        <f t="shared" si="114"/>
        <v>-35.742857142857133</v>
      </c>
      <c r="V104" s="73">
        <f t="shared" si="114"/>
        <v>-35.742857142857133</v>
      </c>
      <c r="W104" s="73">
        <f t="shared" si="114"/>
        <v>-35.742857142857133</v>
      </c>
      <c r="X104" s="73">
        <f t="shared" si="114"/>
        <v>-35.742857142857133</v>
      </c>
      <c r="Y104" s="73">
        <f t="shared" si="114"/>
        <v>-35.742857142857133</v>
      </c>
      <c r="Z104" s="73">
        <f t="shared" si="114"/>
        <v>-35.742857142857133</v>
      </c>
      <c r="AA104" s="73">
        <f t="shared" si="114"/>
        <v>-35.742857142857133</v>
      </c>
      <c r="AB104" s="73">
        <f t="shared" si="114"/>
        <v>-35.742857142857133</v>
      </c>
      <c r="AC104" s="73">
        <f t="shared" si="114"/>
        <v>-35.742857142857133</v>
      </c>
      <c r="AD104" s="73">
        <f t="shared" si="114"/>
        <v>-35.742857142857133</v>
      </c>
      <c r="AE104" s="73">
        <f t="shared" si="114"/>
        <v>-35.742857142857133</v>
      </c>
      <c r="AF104" s="73">
        <f t="shared" si="114"/>
        <v>-35.742857142857133</v>
      </c>
      <c r="AG104" s="73">
        <f t="shared" si="114"/>
        <v>-35.742857142857133</v>
      </c>
      <c r="AH104" s="73">
        <f t="shared" si="114"/>
        <v>-35.742857142857133</v>
      </c>
      <c r="AI104" s="73">
        <f t="shared" si="114"/>
        <v>-35.742857142857133</v>
      </c>
      <c r="AJ104" s="73">
        <f t="shared" si="114"/>
        <v>-35.742857142857133</v>
      </c>
      <c r="AK104" s="73">
        <f t="shared" si="114"/>
        <v>-35.742857142857133</v>
      </c>
      <c r="AL104" s="73">
        <f t="shared" si="114"/>
        <v>-35.742857142857133</v>
      </c>
      <c r="AM104" s="73">
        <f t="shared" si="114"/>
        <v>-35.742857142857133</v>
      </c>
      <c r="AO104" s="75">
        <f>SUM(D104:O104)</f>
        <v>-869.21428571428567</v>
      </c>
      <c r="AP104" s="75">
        <f>SUM(P104:AA104)</f>
        <v>-428.9142857142856</v>
      </c>
      <c r="AQ104" s="75">
        <f>SUM(AB104:AM104)</f>
        <v>-428.9142857142856</v>
      </c>
    </row>
    <row r="106" spans="1:16370" s="90" customFormat="1">
      <c r="A106" s="83" t="s">
        <v>137</v>
      </c>
      <c r="B106" s="66"/>
      <c r="C106" s="101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8"/>
      <c r="AO106" s="102"/>
      <c r="AP106" s="107"/>
      <c r="AQ106" s="107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  <c r="BW106" s="108"/>
      <c r="BX106" s="108"/>
      <c r="BY106" s="108"/>
      <c r="BZ106" s="108"/>
      <c r="CA106" s="108"/>
      <c r="CB106" s="108"/>
      <c r="CC106" s="108"/>
      <c r="CD106" s="108"/>
      <c r="CE106" s="108"/>
      <c r="CF106" s="108"/>
      <c r="CG106" s="108"/>
      <c r="CH106" s="108"/>
      <c r="CI106" s="108"/>
      <c r="CJ106" s="108"/>
      <c r="CK106" s="108"/>
      <c r="CL106" s="108"/>
      <c r="CM106" s="108"/>
      <c r="CN106" s="108"/>
      <c r="CO106" s="108"/>
      <c r="CP106" s="108"/>
      <c r="CQ106" s="108"/>
      <c r="CR106" s="108"/>
      <c r="CS106" s="108"/>
      <c r="CT106" s="108"/>
      <c r="CU106" s="108"/>
      <c r="CV106" s="108"/>
      <c r="CW106" s="108"/>
      <c r="CX106" s="108"/>
      <c r="CY106" s="108"/>
      <c r="CZ106" s="108"/>
      <c r="DA106" s="108"/>
      <c r="DB106" s="108"/>
      <c r="DC106" s="108"/>
      <c r="DD106" s="108"/>
      <c r="DE106" s="108"/>
      <c r="DF106" s="108"/>
      <c r="DG106" s="108"/>
      <c r="DH106" s="108"/>
      <c r="DI106" s="108"/>
      <c r="DJ106" s="108"/>
      <c r="DK106" s="108"/>
      <c r="DL106" s="108"/>
      <c r="DM106" s="108"/>
      <c r="DN106" s="108"/>
      <c r="DO106" s="108"/>
      <c r="DP106" s="108"/>
      <c r="DQ106" s="108"/>
      <c r="DR106" s="108"/>
      <c r="DS106" s="108"/>
      <c r="DT106" s="108"/>
      <c r="DU106" s="108"/>
      <c r="DV106" s="108"/>
      <c r="DW106" s="108"/>
      <c r="DX106" s="108"/>
      <c r="DY106" s="108"/>
      <c r="DZ106" s="108"/>
      <c r="EA106" s="108"/>
      <c r="EB106" s="108"/>
      <c r="EC106" s="108"/>
      <c r="ED106" s="108"/>
      <c r="EE106" s="108"/>
      <c r="EF106" s="108"/>
      <c r="EG106" s="108"/>
      <c r="EH106" s="108"/>
      <c r="EI106" s="108"/>
      <c r="EJ106" s="108"/>
      <c r="EK106" s="108"/>
      <c r="EL106" s="108"/>
      <c r="EM106" s="108"/>
      <c r="EN106" s="108"/>
      <c r="EO106" s="108"/>
      <c r="EP106" s="108"/>
      <c r="EQ106" s="108"/>
      <c r="ER106" s="108"/>
      <c r="ES106" s="108"/>
      <c r="ET106" s="108"/>
      <c r="EU106" s="108"/>
      <c r="EV106" s="108"/>
      <c r="EW106" s="108"/>
      <c r="EX106" s="108"/>
      <c r="EY106" s="108"/>
      <c r="EZ106" s="108"/>
      <c r="FA106" s="108"/>
      <c r="FB106" s="108"/>
      <c r="FC106" s="108"/>
      <c r="FD106" s="108"/>
      <c r="FE106" s="108"/>
      <c r="FF106" s="108"/>
      <c r="FG106" s="108"/>
      <c r="FH106" s="108"/>
      <c r="FI106" s="108"/>
      <c r="FJ106" s="108"/>
      <c r="FK106" s="108"/>
      <c r="FL106" s="108"/>
      <c r="FM106" s="108"/>
      <c r="FN106" s="108"/>
      <c r="FO106" s="108"/>
      <c r="FP106" s="108"/>
      <c r="FQ106" s="108"/>
      <c r="FR106" s="108"/>
      <c r="FS106" s="108"/>
      <c r="FT106" s="108"/>
      <c r="FU106" s="108"/>
      <c r="FV106" s="108"/>
      <c r="FW106" s="108"/>
      <c r="FX106" s="108"/>
      <c r="FY106" s="108"/>
      <c r="FZ106" s="108"/>
      <c r="GA106" s="108"/>
      <c r="GB106" s="108"/>
      <c r="GC106" s="108"/>
      <c r="GD106" s="108"/>
      <c r="GE106" s="108"/>
      <c r="GF106" s="108"/>
      <c r="GG106" s="108"/>
      <c r="GH106" s="108"/>
      <c r="GI106" s="108"/>
      <c r="GJ106" s="108"/>
      <c r="GK106" s="108"/>
      <c r="GL106" s="108"/>
      <c r="GM106" s="108"/>
      <c r="GN106" s="108"/>
      <c r="GO106" s="108"/>
      <c r="GP106" s="108"/>
      <c r="GQ106" s="108"/>
      <c r="GR106" s="108"/>
      <c r="GS106" s="108"/>
      <c r="GT106" s="108"/>
      <c r="GU106" s="108"/>
      <c r="GV106" s="108"/>
      <c r="GW106" s="108"/>
      <c r="GX106" s="108"/>
      <c r="GY106" s="108"/>
      <c r="GZ106" s="108"/>
      <c r="HA106" s="108"/>
      <c r="HB106" s="108"/>
      <c r="HC106" s="108"/>
      <c r="HD106" s="108"/>
      <c r="HE106" s="108"/>
      <c r="HF106" s="108"/>
      <c r="HG106" s="108"/>
      <c r="HH106" s="108"/>
      <c r="HI106" s="108"/>
      <c r="HJ106" s="108"/>
      <c r="HK106" s="108"/>
      <c r="HL106" s="108"/>
      <c r="HM106" s="108"/>
      <c r="HN106" s="108"/>
      <c r="HO106" s="108"/>
      <c r="HP106" s="108"/>
      <c r="HQ106" s="108"/>
      <c r="HR106" s="108"/>
      <c r="HS106" s="108"/>
      <c r="HT106" s="108"/>
      <c r="HU106" s="108"/>
      <c r="HV106" s="108"/>
      <c r="HW106" s="108"/>
      <c r="HX106" s="108"/>
      <c r="HY106" s="108"/>
      <c r="HZ106" s="108"/>
      <c r="IA106" s="108"/>
      <c r="IB106" s="108"/>
      <c r="IC106" s="108"/>
      <c r="ID106" s="108"/>
      <c r="IE106" s="108"/>
      <c r="IF106" s="108"/>
      <c r="IG106" s="108"/>
      <c r="IH106" s="108"/>
      <c r="II106" s="108"/>
      <c r="IJ106" s="108"/>
      <c r="IK106" s="108"/>
      <c r="IL106" s="108"/>
      <c r="IM106" s="108"/>
      <c r="IN106" s="108"/>
      <c r="IO106" s="108"/>
      <c r="IP106" s="108"/>
      <c r="IQ106" s="108"/>
      <c r="IR106" s="108"/>
      <c r="IS106" s="108"/>
      <c r="IT106" s="108"/>
      <c r="IU106" s="108"/>
      <c r="IV106" s="108"/>
      <c r="IW106" s="108"/>
      <c r="IX106" s="108"/>
      <c r="IY106" s="108"/>
      <c r="IZ106" s="108"/>
      <c r="JA106" s="108"/>
      <c r="JB106" s="108"/>
      <c r="JC106" s="108"/>
      <c r="JD106" s="108"/>
      <c r="JE106" s="108"/>
      <c r="JF106" s="108"/>
      <c r="JG106" s="108"/>
      <c r="JH106" s="108"/>
      <c r="JI106" s="108"/>
      <c r="JJ106" s="108"/>
      <c r="JK106" s="108"/>
      <c r="JL106" s="108"/>
      <c r="JM106" s="108"/>
      <c r="JN106" s="108"/>
      <c r="JO106" s="108"/>
      <c r="JP106" s="108"/>
      <c r="JQ106" s="108"/>
      <c r="JR106" s="108"/>
      <c r="JS106" s="108"/>
      <c r="JT106" s="108"/>
      <c r="JU106" s="108"/>
      <c r="JV106" s="108"/>
      <c r="JW106" s="108"/>
      <c r="JX106" s="108"/>
      <c r="JY106" s="108"/>
      <c r="JZ106" s="108"/>
      <c r="KA106" s="108"/>
      <c r="KB106" s="108"/>
      <c r="KC106" s="108"/>
      <c r="KD106" s="108"/>
      <c r="KE106" s="108"/>
      <c r="KF106" s="108"/>
      <c r="KG106" s="108"/>
      <c r="KH106" s="108"/>
      <c r="KI106" s="108"/>
      <c r="KJ106" s="108"/>
      <c r="KK106" s="108"/>
      <c r="KL106" s="108"/>
      <c r="KM106" s="108"/>
      <c r="KN106" s="108"/>
      <c r="KO106" s="108"/>
      <c r="KP106" s="108"/>
      <c r="KQ106" s="108"/>
      <c r="KR106" s="108"/>
      <c r="KS106" s="108"/>
      <c r="KT106" s="108"/>
      <c r="KU106" s="108"/>
      <c r="KV106" s="108"/>
      <c r="KW106" s="108"/>
      <c r="KX106" s="108"/>
      <c r="KY106" s="108"/>
      <c r="KZ106" s="108"/>
      <c r="LA106" s="108"/>
      <c r="LB106" s="108"/>
      <c r="LC106" s="108"/>
      <c r="LD106" s="108"/>
      <c r="LE106" s="108"/>
      <c r="LF106" s="108"/>
      <c r="LG106" s="108"/>
      <c r="LH106" s="108"/>
      <c r="LI106" s="108"/>
      <c r="LJ106" s="108"/>
      <c r="LK106" s="108"/>
      <c r="LL106" s="108"/>
      <c r="LM106" s="108"/>
      <c r="LN106" s="108"/>
      <c r="LO106" s="108"/>
      <c r="LP106" s="108"/>
      <c r="LQ106" s="108"/>
      <c r="LR106" s="108"/>
      <c r="LS106" s="108"/>
      <c r="LT106" s="108"/>
      <c r="LU106" s="108"/>
      <c r="LV106" s="108"/>
      <c r="LW106" s="108"/>
      <c r="LX106" s="108"/>
      <c r="LY106" s="108"/>
      <c r="LZ106" s="108"/>
      <c r="MA106" s="108"/>
      <c r="MB106" s="108"/>
      <c r="MC106" s="108"/>
      <c r="MD106" s="108"/>
      <c r="ME106" s="108"/>
      <c r="MF106" s="108"/>
      <c r="MG106" s="108"/>
      <c r="MH106" s="108"/>
      <c r="MI106" s="108"/>
      <c r="MJ106" s="108"/>
      <c r="MK106" s="108"/>
      <c r="ML106" s="108"/>
      <c r="MM106" s="108"/>
      <c r="MN106" s="108"/>
      <c r="MO106" s="108"/>
      <c r="MP106" s="108"/>
      <c r="MQ106" s="108"/>
      <c r="MR106" s="108"/>
      <c r="MS106" s="108"/>
      <c r="MT106" s="108"/>
      <c r="MU106" s="108"/>
      <c r="MV106" s="108"/>
      <c r="MW106" s="108"/>
      <c r="MX106" s="108"/>
      <c r="MY106" s="108"/>
      <c r="MZ106" s="108"/>
      <c r="NA106" s="108"/>
      <c r="NB106" s="108"/>
      <c r="NC106" s="108"/>
      <c r="ND106" s="108"/>
      <c r="NE106" s="108"/>
      <c r="NF106" s="108"/>
      <c r="NG106" s="108"/>
      <c r="NH106" s="108"/>
      <c r="NI106" s="108"/>
      <c r="NJ106" s="108"/>
      <c r="NK106" s="108"/>
      <c r="NL106" s="108"/>
      <c r="NM106" s="108"/>
      <c r="NN106" s="108"/>
      <c r="NO106" s="108"/>
      <c r="NP106" s="108"/>
      <c r="NQ106" s="108"/>
      <c r="NR106" s="108"/>
      <c r="NS106" s="108"/>
      <c r="NT106" s="108"/>
      <c r="NU106" s="108"/>
      <c r="NV106" s="108"/>
      <c r="NW106" s="108"/>
      <c r="NX106" s="108"/>
      <c r="NY106" s="108"/>
      <c r="NZ106" s="108"/>
      <c r="OA106" s="108"/>
      <c r="OB106" s="108"/>
      <c r="OC106" s="108"/>
      <c r="OD106" s="108"/>
      <c r="OE106" s="108"/>
      <c r="OF106" s="108"/>
      <c r="OG106" s="108"/>
      <c r="OH106" s="108"/>
      <c r="OI106" s="108"/>
      <c r="OJ106" s="108"/>
      <c r="OK106" s="108"/>
      <c r="OL106" s="108"/>
      <c r="OM106" s="108"/>
      <c r="ON106" s="108"/>
      <c r="OO106" s="108"/>
      <c r="OP106" s="108"/>
      <c r="OQ106" s="108"/>
      <c r="OR106" s="108"/>
      <c r="OS106" s="108"/>
      <c r="OT106" s="108"/>
      <c r="OU106" s="108"/>
      <c r="OV106" s="108"/>
      <c r="OW106" s="108"/>
      <c r="OX106" s="108"/>
      <c r="OY106" s="108"/>
      <c r="OZ106" s="108"/>
      <c r="PA106" s="108"/>
      <c r="PB106" s="108"/>
      <c r="PC106" s="108"/>
      <c r="PD106" s="108"/>
      <c r="PE106" s="108"/>
      <c r="PF106" s="108"/>
      <c r="PG106" s="108"/>
      <c r="PH106" s="108"/>
      <c r="PI106" s="108"/>
      <c r="PJ106" s="108"/>
      <c r="PK106" s="108"/>
      <c r="PL106" s="108"/>
      <c r="PM106" s="108"/>
      <c r="PN106" s="108"/>
      <c r="PO106" s="108"/>
      <c r="PP106" s="108"/>
      <c r="PQ106" s="108"/>
      <c r="PR106" s="108"/>
      <c r="PS106" s="108"/>
      <c r="PT106" s="108"/>
      <c r="PU106" s="108"/>
      <c r="PV106" s="108"/>
      <c r="PW106" s="108"/>
      <c r="PX106" s="108"/>
      <c r="PY106" s="108"/>
      <c r="PZ106" s="108"/>
      <c r="QA106" s="108"/>
      <c r="QB106" s="108"/>
      <c r="QC106" s="108"/>
      <c r="QD106" s="108"/>
      <c r="QE106" s="108"/>
      <c r="QF106" s="108"/>
      <c r="QG106" s="108"/>
      <c r="QH106" s="108"/>
      <c r="QI106" s="108"/>
      <c r="QJ106" s="108"/>
      <c r="QK106" s="108"/>
      <c r="QL106" s="108"/>
      <c r="QM106" s="108"/>
      <c r="QN106" s="108"/>
      <c r="QO106" s="108"/>
      <c r="QP106" s="108"/>
      <c r="QQ106" s="108"/>
      <c r="QR106" s="108"/>
      <c r="QS106" s="108"/>
      <c r="QT106" s="108"/>
      <c r="QU106" s="108"/>
      <c r="QV106" s="108"/>
      <c r="QW106" s="108"/>
      <c r="QX106" s="108"/>
      <c r="QY106" s="108"/>
      <c r="QZ106" s="108"/>
      <c r="RA106" s="108"/>
      <c r="RB106" s="108"/>
      <c r="RC106" s="108"/>
      <c r="RD106" s="108"/>
      <c r="RE106" s="108"/>
      <c r="RF106" s="108"/>
      <c r="RG106" s="108"/>
      <c r="RH106" s="108"/>
      <c r="RI106" s="108"/>
      <c r="RJ106" s="108"/>
      <c r="RK106" s="108"/>
      <c r="RL106" s="108"/>
      <c r="RM106" s="108"/>
      <c r="RN106" s="108"/>
      <c r="RO106" s="108"/>
      <c r="RP106" s="108"/>
      <c r="RQ106" s="108"/>
      <c r="RR106" s="108"/>
      <c r="RS106" s="108"/>
      <c r="RT106" s="108"/>
      <c r="RU106" s="108"/>
      <c r="RV106" s="108"/>
      <c r="RW106" s="108"/>
      <c r="RX106" s="108"/>
      <c r="RY106" s="108"/>
      <c r="RZ106" s="108"/>
      <c r="SA106" s="108"/>
      <c r="SB106" s="108"/>
      <c r="SC106" s="108"/>
      <c r="SD106" s="108"/>
      <c r="SE106" s="108"/>
      <c r="SF106" s="108"/>
      <c r="SG106" s="108"/>
      <c r="SH106" s="108"/>
      <c r="SI106" s="108"/>
      <c r="SJ106" s="108"/>
      <c r="SK106" s="108"/>
      <c r="SL106" s="108"/>
      <c r="SM106" s="108"/>
      <c r="SN106" s="108"/>
      <c r="SO106" s="108"/>
      <c r="SP106" s="108"/>
      <c r="SQ106" s="108"/>
      <c r="SR106" s="108"/>
      <c r="SS106" s="108"/>
      <c r="ST106" s="108"/>
      <c r="SU106" s="108"/>
      <c r="SV106" s="108"/>
      <c r="SW106" s="108"/>
      <c r="SX106" s="108"/>
      <c r="SY106" s="108"/>
      <c r="SZ106" s="108"/>
      <c r="TA106" s="108"/>
      <c r="TB106" s="108"/>
      <c r="TC106" s="108"/>
      <c r="TD106" s="108"/>
      <c r="TE106" s="108"/>
      <c r="TF106" s="108"/>
      <c r="TG106" s="108"/>
      <c r="TH106" s="108"/>
      <c r="TI106" s="108"/>
      <c r="TJ106" s="108"/>
      <c r="TK106" s="108"/>
      <c r="TL106" s="108"/>
      <c r="TM106" s="108"/>
      <c r="TN106" s="108"/>
      <c r="TO106" s="108"/>
      <c r="TP106" s="108"/>
      <c r="TQ106" s="108"/>
      <c r="TR106" s="108"/>
      <c r="TS106" s="108"/>
      <c r="TT106" s="108"/>
      <c r="TU106" s="108"/>
      <c r="TV106" s="108"/>
      <c r="TW106" s="108"/>
      <c r="TX106" s="108"/>
      <c r="TY106" s="108"/>
      <c r="TZ106" s="108"/>
      <c r="UA106" s="108"/>
      <c r="UB106" s="108"/>
      <c r="UC106" s="108"/>
      <c r="UD106" s="108"/>
      <c r="UE106" s="108"/>
      <c r="UF106" s="108"/>
      <c r="UG106" s="108"/>
      <c r="UH106" s="108"/>
      <c r="UI106" s="108"/>
      <c r="UJ106" s="108"/>
      <c r="UK106" s="108"/>
      <c r="UL106" s="108"/>
      <c r="UM106" s="108"/>
      <c r="UN106" s="108"/>
      <c r="UO106" s="108"/>
      <c r="UP106" s="108"/>
      <c r="UQ106" s="108"/>
      <c r="UR106" s="108"/>
      <c r="US106" s="108"/>
      <c r="UT106" s="108"/>
      <c r="UU106" s="108"/>
      <c r="UV106" s="108"/>
      <c r="UW106" s="108"/>
      <c r="UX106" s="108"/>
      <c r="UY106" s="108"/>
      <c r="UZ106" s="108"/>
      <c r="VA106" s="108"/>
      <c r="VB106" s="108"/>
      <c r="VC106" s="108"/>
      <c r="VD106" s="108"/>
      <c r="VE106" s="108"/>
      <c r="VF106" s="108"/>
      <c r="VG106" s="108"/>
      <c r="VH106" s="108"/>
      <c r="VI106" s="108"/>
      <c r="VJ106" s="108"/>
      <c r="VK106" s="108"/>
      <c r="VL106" s="108"/>
      <c r="VM106" s="108"/>
      <c r="VN106" s="108"/>
      <c r="VO106" s="108"/>
      <c r="VP106" s="108"/>
      <c r="VQ106" s="108"/>
      <c r="VR106" s="108"/>
      <c r="VS106" s="108"/>
      <c r="VT106" s="108"/>
      <c r="VU106" s="108"/>
      <c r="VV106" s="108"/>
      <c r="VW106" s="108"/>
      <c r="VX106" s="108"/>
      <c r="VY106" s="108"/>
      <c r="VZ106" s="108"/>
      <c r="WA106" s="108"/>
      <c r="WB106" s="108"/>
      <c r="WC106" s="108"/>
      <c r="WD106" s="108"/>
      <c r="WE106" s="108"/>
      <c r="WF106" s="108"/>
      <c r="WG106" s="108"/>
      <c r="WH106" s="108"/>
      <c r="WI106" s="108"/>
      <c r="WJ106" s="108"/>
      <c r="WK106" s="108"/>
      <c r="WL106" s="108"/>
      <c r="WM106" s="108"/>
      <c r="WN106" s="108"/>
      <c r="WO106" s="108"/>
      <c r="WP106" s="108"/>
      <c r="WQ106" s="108"/>
      <c r="WR106" s="108"/>
      <c r="WS106" s="108"/>
      <c r="WT106" s="108"/>
      <c r="WU106" s="108"/>
      <c r="WV106" s="108"/>
      <c r="WW106" s="108"/>
      <c r="WX106" s="108"/>
      <c r="WY106" s="108"/>
      <c r="WZ106" s="108"/>
      <c r="XA106" s="108"/>
      <c r="XB106" s="108"/>
      <c r="XC106" s="108"/>
      <c r="XD106" s="108"/>
      <c r="XE106" s="108"/>
      <c r="XF106" s="108"/>
      <c r="XG106" s="108"/>
      <c r="XH106" s="108"/>
      <c r="XI106" s="108"/>
      <c r="XJ106" s="108"/>
      <c r="XK106" s="108"/>
      <c r="XL106" s="108"/>
      <c r="XM106" s="108"/>
      <c r="XN106" s="108"/>
      <c r="XO106" s="108"/>
      <c r="XP106" s="108"/>
      <c r="XQ106" s="108"/>
      <c r="XR106" s="108"/>
      <c r="XS106" s="108"/>
      <c r="XT106" s="108"/>
      <c r="XU106" s="108"/>
      <c r="XV106" s="108"/>
      <c r="XW106" s="108"/>
      <c r="XX106" s="108"/>
      <c r="XY106" s="108"/>
      <c r="XZ106" s="108"/>
      <c r="YA106" s="108"/>
      <c r="YB106" s="108"/>
      <c r="YC106" s="108"/>
      <c r="YD106" s="108"/>
      <c r="YE106" s="108"/>
      <c r="YF106" s="108"/>
      <c r="YG106" s="108"/>
      <c r="YH106" s="108"/>
      <c r="YI106" s="108"/>
      <c r="YJ106" s="108"/>
      <c r="YK106" s="108"/>
      <c r="YL106" s="108"/>
      <c r="YM106" s="108"/>
      <c r="YN106" s="108"/>
      <c r="YO106" s="108"/>
      <c r="YP106" s="108"/>
      <c r="YQ106" s="108"/>
      <c r="YR106" s="108"/>
      <c r="YS106" s="108"/>
      <c r="YT106" s="108"/>
      <c r="YU106" s="108"/>
      <c r="YV106" s="108"/>
      <c r="YW106" s="108"/>
      <c r="YX106" s="108"/>
      <c r="YY106" s="108"/>
      <c r="YZ106" s="108"/>
      <c r="ZA106" s="108"/>
      <c r="ZB106" s="108"/>
      <c r="ZC106" s="108"/>
      <c r="ZD106" s="108"/>
      <c r="ZE106" s="108"/>
      <c r="ZF106" s="108"/>
      <c r="ZG106" s="108"/>
      <c r="ZH106" s="108"/>
      <c r="ZI106" s="108"/>
      <c r="ZJ106" s="108"/>
      <c r="ZK106" s="108"/>
      <c r="ZL106" s="108"/>
      <c r="ZM106" s="108"/>
      <c r="ZN106" s="108"/>
      <c r="ZO106" s="108"/>
      <c r="ZP106" s="108"/>
      <c r="ZQ106" s="108"/>
      <c r="ZR106" s="108"/>
      <c r="ZS106" s="108"/>
      <c r="ZT106" s="108"/>
      <c r="ZU106" s="108"/>
      <c r="ZV106" s="108"/>
      <c r="ZW106" s="108"/>
      <c r="ZX106" s="108"/>
      <c r="ZY106" s="108"/>
      <c r="ZZ106" s="108"/>
      <c r="AAA106" s="108"/>
      <c r="AAB106" s="108"/>
      <c r="AAC106" s="108"/>
      <c r="AAD106" s="108"/>
      <c r="AAE106" s="108"/>
      <c r="AAF106" s="108"/>
      <c r="AAG106" s="108"/>
      <c r="AAH106" s="108"/>
      <c r="AAI106" s="108"/>
      <c r="AAJ106" s="108"/>
      <c r="AAK106" s="108"/>
      <c r="AAL106" s="108"/>
      <c r="AAM106" s="108"/>
      <c r="AAN106" s="108"/>
      <c r="AAO106" s="108"/>
      <c r="AAP106" s="108"/>
      <c r="AAQ106" s="108"/>
      <c r="AAR106" s="108"/>
      <c r="AAS106" s="108"/>
      <c r="AAT106" s="108"/>
      <c r="AAU106" s="108"/>
      <c r="AAV106" s="108"/>
      <c r="AAW106" s="108"/>
      <c r="AAX106" s="108"/>
      <c r="AAY106" s="108"/>
      <c r="AAZ106" s="108"/>
      <c r="ABA106" s="108"/>
      <c r="ABB106" s="108"/>
      <c r="ABC106" s="108"/>
      <c r="ABD106" s="108"/>
      <c r="ABE106" s="108"/>
      <c r="ABF106" s="108"/>
      <c r="ABG106" s="108"/>
      <c r="ABH106" s="108"/>
      <c r="ABI106" s="108"/>
      <c r="ABJ106" s="108"/>
      <c r="ABK106" s="108"/>
      <c r="ABL106" s="108"/>
      <c r="ABM106" s="108"/>
      <c r="ABN106" s="108"/>
      <c r="ABO106" s="108"/>
      <c r="ABP106" s="108"/>
      <c r="ABQ106" s="108"/>
      <c r="ABR106" s="108"/>
      <c r="ABS106" s="108"/>
      <c r="ABT106" s="108"/>
      <c r="ABU106" s="108"/>
      <c r="ABV106" s="108"/>
      <c r="ABW106" s="108"/>
      <c r="ABX106" s="108"/>
      <c r="ABY106" s="108"/>
      <c r="ABZ106" s="108"/>
      <c r="ACA106" s="108"/>
      <c r="ACB106" s="108"/>
      <c r="ACC106" s="108"/>
      <c r="ACD106" s="108"/>
      <c r="ACE106" s="108"/>
      <c r="ACF106" s="108"/>
      <c r="ACG106" s="108"/>
      <c r="ACH106" s="108"/>
      <c r="ACI106" s="108"/>
      <c r="ACJ106" s="108"/>
      <c r="ACK106" s="108"/>
      <c r="ACL106" s="108"/>
      <c r="ACM106" s="108"/>
      <c r="ACN106" s="108"/>
      <c r="ACO106" s="108"/>
      <c r="ACP106" s="108"/>
      <c r="ACQ106" s="108"/>
      <c r="ACR106" s="108"/>
      <c r="ACS106" s="108"/>
      <c r="ACT106" s="108"/>
      <c r="ACU106" s="108"/>
      <c r="ACV106" s="108"/>
      <c r="ACW106" s="108"/>
      <c r="ACX106" s="108"/>
      <c r="ACY106" s="108"/>
      <c r="ACZ106" s="108"/>
      <c r="ADA106" s="108"/>
      <c r="ADB106" s="108"/>
      <c r="ADC106" s="108"/>
      <c r="ADD106" s="108"/>
      <c r="ADE106" s="108"/>
      <c r="ADF106" s="108"/>
      <c r="ADG106" s="108"/>
      <c r="ADH106" s="108"/>
      <c r="ADI106" s="108"/>
      <c r="ADJ106" s="108"/>
      <c r="ADK106" s="108"/>
      <c r="ADL106" s="108"/>
      <c r="ADM106" s="108"/>
      <c r="ADN106" s="108"/>
      <c r="ADO106" s="108"/>
      <c r="ADP106" s="108"/>
      <c r="ADQ106" s="108"/>
      <c r="ADR106" s="108"/>
      <c r="ADS106" s="108"/>
      <c r="ADT106" s="108"/>
      <c r="ADU106" s="108"/>
      <c r="ADV106" s="108"/>
      <c r="ADW106" s="108"/>
      <c r="ADX106" s="108"/>
      <c r="ADY106" s="108"/>
      <c r="ADZ106" s="108"/>
      <c r="AEA106" s="108"/>
      <c r="AEB106" s="108"/>
      <c r="AEC106" s="108"/>
      <c r="AED106" s="108"/>
      <c r="AEE106" s="108"/>
      <c r="AEF106" s="108"/>
      <c r="AEG106" s="108"/>
      <c r="AEH106" s="108"/>
      <c r="AEI106" s="108"/>
      <c r="AEJ106" s="108"/>
      <c r="AEK106" s="108"/>
      <c r="AEL106" s="108"/>
      <c r="AEM106" s="108"/>
      <c r="AEN106" s="108"/>
      <c r="AEO106" s="108"/>
      <c r="AEP106" s="108"/>
      <c r="AEQ106" s="108"/>
      <c r="AER106" s="108"/>
      <c r="AES106" s="108"/>
      <c r="AET106" s="108"/>
      <c r="AEU106" s="108"/>
      <c r="AEV106" s="108"/>
      <c r="AEW106" s="108"/>
      <c r="AEX106" s="108"/>
      <c r="AEY106" s="108"/>
      <c r="AEZ106" s="108"/>
      <c r="AFA106" s="108"/>
      <c r="AFB106" s="108"/>
      <c r="AFC106" s="108"/>
      <c r="AFD106" s="108"/>
      <c r="AFE106" s="108"/>
      <c r="AFF106" s="108"/>
      <c r="AFG106" s="108"/>
      <c r="AFH106" s="108"/>
      <c r="AFI106" s="108"/>
      <c r="AFJ106" s="108"/>
      <c r="AFK106" s="108"/>
      <c r="AFL106" s="108"/>
      <c r="AFM106" s="108"/>
      <c r="AFN106" s="108"/>
      <c r="AFO106" s="108"/>
      <c r="AFP106" s="108"/>
      <c r="AFQ106" s="108"/>
      <c r="AFR106" s="108"/>
      <c r="AFS106" s="108"/>
      <c r="AFT106" s="108"/>
      <c r="AFU106" s="108"/>
      <c r="AFV106" s="108"/>
      <c r="AFW106" s="108"/>
      <c r="AFX106" s="108"/>
      <c r="AFY106" s="108"/>
      <c r="AFZ106" s="108"/>
      <c r="AGA106" s="108"/>
      <c r="AGB106" s="108"/>
      <c r="AGC106" s="108"/>
      <c r="AGD106" s="108"/>
      <c r="AGE106" s="108"/>
      <c r="AGF106" s="108"/>
      <c r="AGG106" s="108"/>
      <c r="AGH106" s="108"/>
      <c r="AGI106" s="108"/>
      <c r="AGJ106" s="108"/>
      <c r="AGK106" s="108"/>
      <c r="AGL106" s="108"/>
      <c r="AGM106" s="108"/>
      <c r="AGN106" s="108"/>
      <c r="AGO106" s="108"/>
      <c r="AGP106" s="108"/>
      <c r="AGQ106" s="108"/>
      <c r="AGR106" s="108"/>
      <c r="AGS106" s="108"/>
      <c r="AGT106" s="108"/>
      <c r="AGU106" s="108"/>
      <c r="AGV106" s="108"/>
      <c r="AGW106" s="108"/>
      <c r="AGX106" s="108"/>
      <c r="AGY106" s="108"/>
      <c r="AGZ106" s="108"/>
      <c r="AHA106" s="108"/>
      <c r="AHB106" s="108"/>
      <c r="AHC106" s="108"/>
      <c r="AHD106" s="108"/>
      <c r="AHE106" s="108"/>
      <c r="AHF106" s="108"/>
      <c r="AHG106" s="108"/>
      <c r="AHH106" s="108"/>
      <c r="AHI106" s="108"/>
      <c r="AHJ106" s="108"/>
      <c r="AHK106" s="108"/>
      <c r="AHL106" s="108"/>
      <c r="AHM106" s="108"/>
      <c r="AHN106" s="108"/>
      <c r="AHO106" s="108"/>
      <c r="AHP106" s="108"/>
      <c r="AHQ106" s="108"/>
      <c r="AHR106" s="108"/>
      <c r="AHS106" s="108"/>
      <c r="AHT106" s="108"/>
      <c r="AHU106" s="108"/>
      <c r="AHV106" s="108"/>
      <c r="AHW106" s="108"/>
      <c r="AHX106" s="108"/>
      <c r="AHY106" s="108"/>
      <c r="AHZ106" s="108"/>
      <c r="AIA106" s="108"/>
      <c r="AIB106" s="108"/>
      <c r="AIC106" s="108"/>
      <c r="AID106" s="108"/>
      <c r="AIE106" s="108"/>
      <c r="AIF106" s="108"/>
      <c r="AIG106" s="108"/>
      <c r="AIH106" s="108"/>
      <c r="AII106" s="108"/>
      <c r="AIJ106" s="108"/>
      <c r="AIK106" s="108"/>
      <c r="AIL106" s="108"/>
      <c r="AIM106" s="108"/>
      <c r="AIN106" s="108"/>
      <c r="AIO106" s="108"/>
      <c r="AIP106" s="108"/>
      <c r="AIQ106" s="108"/>
      <c r="AIR106" s="108"/>
      <c r="AIS106" s="108"/>
      <c r="AIT106" s="108"/>
      <c r="AIU106" s="108"/>
      <c r="AIV106" s="108"/>
      <c r="AIW106" s="108"/>
      <c r="AIX106" s="108"/>
      <c r="AIY106" s="108"/>
      <c r="AIZ106" s="108"/>
      <c r="AJA106" s="108"/>
      <c r="AJB106" s="108"/>
      <c r="AJC106" s="108"/>
      <c r="AJD106" s="108"/>
      <c r="AJE106" s="108"/>
      <c r="AJF106" s="108"/>
      <c r="AJG106" s="108"/>
      <c r="AJH106" s="108"/>
      <c r="AJI106" s="108"/>
      <c r="AJJ106" s="108"/>
      <c r="AJK106" s="108"/>
      <c r="AJL106" s="108"/>
      <c r="AJM106" s="108"/>
      <c r="AJN106" s="108"/>
      <c r="AJO106" s="108"/>
      <c r="AJP106" s="108"/>
      <c r="AJQ106" s="108"/>
      <c r="AJR106" s="108"/>
      <c r="AJS106" s="108"/>
      <c r="AJT106" s="108"/>
      <c r="AJU106" s="108"/>
      <c r="AJV106" s="108"/>
      <c r="AJW106" s="108"/>
      <c r="AJX106" s="108"/>
      <c r="AJY106" s="108"/>
      <c r="AJZ106" s="108"/>
      <c r="AKA106" s="108"/>
      <c r="AKB106" s="108"/>
      <c r="AKC106" s="108"/>
      <c r="AKD106" s="108"/>
      <c r="AKE106" s="108"/>
      <c r="AKF106" s="108"/>
      <c r="AKG106" s="108"/>
      <c r="AKH106" s="108"/>
      <c r="AKI106" s="108"/>
      <c r="AKJ106" s="108"/>
      <c r="AKK106" s="108"/>
      <c r="AKL106" s="108"/>
      <c r="AKM106" s="108"/>
      <c r="AKN106" s="108"/>
      <c r="AKO106" s="108"/>
      <c r="AKP106" s="108"/>
      <c r="AKQ106" s="108"/>
      <c r="AKR106" s="108"/>
      <c r="AKS106" s="108"/>
      <c r="AKT106" s="108"/>
      <c r="AKU106" s="108"/>
      <c r="AKV106" s="108"/>
      <c r="AKW106" s="108"/>
      <c r="AKX106" s="108"/>
      <c r="AKY106" s="108"/>
      <c r="AKZ106" s="108"/>
      <c r="ALA106" s="108"/>
      <c r="ALB106" s="108"/>
      <c r="ALC106" s="108"/>
      <c r="ALD106" s="108"/>
      <c r="ALE106" s="108"/>
      <c r="ALF106" s="108"/>
      <c r="ALG106" s="108"/>
      <c r="ALH106" s="108"/>
      <c r="ALI106" s="108"/>
      <c r="ALJ106" s="108"/>
      <c r="ALK106" s="108"/>
      <c r="ALL106" s="108"/>
      <c r="ALM106" s="108"/>
      <c r="ALN106" s="108"/>
      <c r="ALO106" s="108"/>
      <c r="ALP106" s="108"/>
      <c r="ALQ106" s="108"/>
      <c r="ALR106" s="108"/>
      <c r="ALS106" s="108"/>
      <c r="ALT106" s="108"/>
      <c r="ALU106" s="108"/>
      <c r="ALV106" s="108"/>
      <c r="ALW106" s="108"/>
      <c r="ALX106" s="108"/>
      <c r="ALY106" s="108"/>
      <c r="ALZ106" s="108"/>
      <c r="AMA106" s="108"/>
      <c r="AMB106" s="108"/>
      <c r="AMC106" s="108"/>
      <c r="AMD106" s="108"/>
      <c r="AME106" s="108"/>
      <c r="AMF106" s="108"/>
      <c r="AMG106" s="108"/>
      <c r="AMH106" s="108"/>
      <c r="AMI106" s="108"/>
      <c r="AMJ106" s="108"/>
      <c r="AMK106" s="108"/>
      <c r="AML106" s="108"/>
      <c r="AMM106" s="108"/>
      <c r="AMN106" s="108"/>
      <c r="AMO106" s="108"/>
      <c r="AMP106" s="108"/>
      <c r="AMQ106" s="108"/>
      <c r="AMR106" s="108"/>
      <c r="AMS106" s="108"/>
      <c r="AMT106" s="108"/>
      <c r="AMU106" s="108"/>
      <c r="AMV106" s="108"/>
      <c r="AMW106" s="108"/>
      <c r="AMX106" s="108"/>
      <c r="AMY106" s="108"/>
      <c r="AMZ106" s="108"/>
      <c r="ANA106" s="108"/>
      <c r="ANB106" s="108"/>
      <c r="ANC106" s="108"/>
      <c r="AND106" s="108"/>
      <c r="ANE106" s="108"/>
      <c r="ANF106" s="108"/>
      <c r="ANG106" s="108"/>
      <c r="ANH106" s="108"/>
      <c r="ANI106" s="108"/>
      <c r="ANJ106" s="108"/>
      <c r="ANK106" s="108"/>
      <c r="ANL106" s="108"/>
      <c r="ANM106" s="108"/>
      <c r="ANN106" s="108"/>
      <c r="ANO106" s="108"/>
      <c r="ANP106" s="108"/>
      <c r="ANQ106" s="108"/>
      <c r="ANR106" s="108"/>
      <c r="ANS106" s="108"/>
      <c r="ANT106" s="108"/>
      <c r="ANU106" s="108"/>
      <c r="ANV106" s="108"/>
      <c r="ANW106" s="108"/>
      <c r="ANX106" s="108"/>
      <c r="ANY106" s="108"/>
      <c r="ANZ106" s="108"/>
      <c r="AOA106" s="108"/>
      <c r="AOB106" s="108"/>
      <c r="AOC106" s="108"/>
      <c r="AOD106" s="108"/>
      <c r="AOE106" s="108"/>
      <c r="AOF106" s="108"/>
      <c r="AOG106" s="108"/>
      <c r="AOH106" s="108"/>
      <c r="AOI106" s="108"/>
      <c r="AOJ106" s="108"/>
      <c r="AOK106" s="108"/>
      <c r="AOL106" s="108"/>
      <c r="AOM106" s="108"/>
      <c r="AON106" s="108"/>
      <c r="AOO106" s="108"/>
      <c r="AOP106" s="108"/>
      <c r="AOQ106" s="108"/>
      <c r="AOR106" s="108"/>
      <c r="AOS106" s="108"/>
      <c r="AOT106" s="108"/>
      <c r="AOU106" s="108"/>
      <c r="AOV106" s="108"/>
      <c r="AOW106" s="108"/>
      <c r="AOX106" s="108"/>
      <c r="AOY106" s="108"/>
      <c r="AOZ106" s="108"/>
      <c r="APA106" s="108"/>
      <c r="APB106" s="108"/>
      <c r="APC106" s="108"/>
      <c r="APD106" s="108"/>
      <c r="APE106" s="108"/>
      <c r="APF106" s="108"/>
      <c r="APG106" s="108"/>
      <c r="APH106" s="108"/>
      <c r="API106" s="108"/>
      <c r="APJ106" s="108"/>
      <c r="APK106" s="108"/>
      <c r="APL106" s="108"/>
      <c r="APM106" s="108"/>
      <c r="APN106" s="108"/>
      <c r="APO106" s="108"/>
      <c r="APP106" s="108"/>
      <c r="APQ106" s="108"/>
      <c r="APR106" s="108"/>
      <c r="APS106" s="108"/>
      <c r="APT106" s="108"/>
      <c r="APU106" s="108"/>
      <c r="APV106" s="108"/>
      <c r="APW106" s="108"/>
      <c r="APX106" s="108"/>
      <c r="APY106" s="108"/>
      <c r="APZ106" s="108"/>
      <c r="AQA106" s="108"/>
      <c r="AQB106" s="108"/>
      <c r="AQC106" s="108"/>
      <c r="AQD106" s="108"/>
      <c r="AQE106" s="108"/>
      <c r="AQF106" s="108"/>
      <c r="AQG106" s="108"/>
      <c r="AQH106" s="108"/>
      <c r="AQI106" s="108"/>
      <c r="AQJ106" s="108"/>
      <c r="AQK106" s="108"/>
      <c r="AQL106" s="108"/>
      <c r="AQM106" s="108"/>
      <c r="AQN106" s="108"/>
      <c r="AQO106" s="108"/>
      <c r="AQP106" s="108"/>
      <c r="AQQ106" s="108"/>
      <c r="AQR106" s="108"/>
      <c r="AQS106" s="108"/>
      <c r="AQT106" s="108"/>
      <c r="AQU106" s="108"/>
      <c r="AQV106" s="108"/>
      <c r="AQW106" s="108"/>
      <c r="AQX106" s="108"/>
      <c r="AQY106" s="108"/>
      <c r="AQZ106" s="108"/>
      <c r="ARA106" s="108"/>
      <c r="ARB106" s="108"/>
      <c r="ARC106" s="108"/>
      <c r="ARD106" s="108"/>
      <c r="ARE106" s="108"/>
      <c r="ARF106" s="108"/>
      <c r="ARG106" s="108"/>
      <c r="ARH106" s="108"/>
      <c r="ARI106" s="108"/>
      <c r="ARJ106" s="108"/>
      <c r="ARK106" s="108"/>
      <c r="ARL106" s="108"/>
      <c r="ARM106" s="108"/>
      <c r="ARN106" s="108"/>
      <c r="ARO106" s="108"/>
      <c r="ARP106" s="108"/>
      <c r="ARQ106" s="108"/>
      <c r="ARR106" s="108"/>
      <c r="ARS106" s="108"/>
      <c r="ART106" s="108"/>
      <c r="ARU106" s="108"/>
      <c r="ARV106" s="108"/>
      <c r="ARW106" s="108"/>
      <c r="ARX106" s="108"/>
      <c r="ARY106" s="108"/>
      <c r="ARZ106" s="108"/>
      <c r="ASA106" s="108"/>
      <c r="ASB106" s="108"/>
      <c r="ASC106" s="108"/>
      <c r="ASD106" s="108"/>
      <c r="ASE106" s="108"/>
      <c r="ASF106" s="108"/>
      <c r="ASG106" s="108"/>
      <c r="ASH106" s="108"/>
      <c r="ASI106" s="108"/>
      <c r="ASJ106" s="108"/>
      <c r="ASK106" s="108"/>
      <c r="ASL106" s="108"/>
      <c r="ASM106" s="108"/>
      <c r="ASN106" s="108"/>
      <c r="ASO106" s="108"/>
      <c r="ASP106" s="108"/>
      <c r="ASQ106" s="108"/>
      <c r="ASR106" s="108"/>
      <c r="ASS106" s="108"/>
      <c r="AST106" s="108"/>
      <c r="ASU106" s="108"/>
      <c r="ASV106" s="108"/>
      <c r="ASW106" s="108"/>
      <c r="ASX106" s="108"/>
      <c r="ASY106" s="108"/>
      <c r="ASZ106" s="108"/>
      <c r="ATA106" s="108"/>
      <c r="ATB106" s="108"/>
      <c r="ATC106" s="108"/>
      <c r="ATD106" s="108"/>
      <c r="ATE106" s="108"/>
      <c r="ATF106" s="108"/>
      <c r="ATG106" s="108"/>
      <c r="ATH106" s="108"/>
      <c r="ATI106" s="108"/>
      <c r="ATJ106" s="108"/>
      <c r="ATK106" s="108"/>
      <c r="ATL106" s="108"/>
      <c r="ATM106" s="108"/>
      <c r="ATN106" s="108"/>
      <c r="ATO106" s="108"/>
      <c r="ATP106" s="108"/>
      <c r="ATQ106" s="108"/>
      <c r="ATR106" s="108"/>
      <c r="ATS106" s="108"/>
      <c r="ATT106" s="108"/>
      <c r="ATU106" s="108"/>
      <c r="ATV106" s="108"/>
      <c r="ATW106" s="108"/>
      <c r="ATX106" s="108"/>
      <c r="ATY106" s="108"/>
      <c r="ATZ106" s="108"/>
      <c r="AUA106" s="108"/>
      <c r="AUB106" s="108"/>
      <c r="AUC106" s="108"/>
      <c r="AUD106" s="108"/>
      <c r="AUE106" s="108"/>
      <c r="AUF106" s="108"/>
      <c r="AUG106" s="108"/>
      <c r="AUH106" s="108"/>
      <c r="AUI106" s="108"/>
      <c r="AUJ106" s="108"/>
      <c r="AUK106" s="108"/>
      <c r="AUL106" s="108"/>
      <c r="AUM106" s="108"/>
      <c r="AUN106" s="108"/>
      <c r="AUO106" s="108"/>
      <c r="AUP106" s="108"/>
      <c r="AUQ106" s="108"/>
      <c r="AUR106" s="108"/>
      <c r="AUS106" s="108"/>
      <c r="AUT106" s="108"/>
      <c r="AUU106" s="108"/>
      <c r="AUV106" s="108"/>
      <c r="AUW106" s="108"/>
      <c r="AUX106" s="108"/>
      <c r="AUY106" s="108"/>
      <c r="AUZ106" s="108"/>
      <c r="AVA106" s="108"/>
      <c r="AVB106" s="108"/>
      <c r="AVC106" s="108"/>
      <c r="AVD106" s="108"/>
      <c r="AVE106" s="108"/>
      <c r="AVF106" s="108"/>
      <c r="AVG106" s="108"/>
      <c r="AVH106" s="108"/>
      <c r="AVI106" s="108"/>
      <c r="AVJ106" s="108"/>
      <c r="AVK106" s="108"/>
      <c r="AVL106" s="108"/>
      <c r="AVM106" s="108"/>
      <c r="AVN106" s="108"/>
      <c r="AVO106" s="108"/>
      <c r="AVP106" s="108"/>
      <c r="AVQ106" s="108"/>
      <c r="AVR106" s="108"/>
      <c r="AVS106" s="108"/>
      <c r="AVT106" s="108"/>
      <c r="AVU106" s="108"/>
      <c r="AVV106" s="108"/>
      <c r="AVW106" s="108"/>
      <c r="AVX106" s="108"/>
      <c r="AVY106" s="108"/>
      <c r="AVZ106" s="108"/>
      <c r="AWA106" s="108"/>
      <c r="AWB106" s="108"/>
      <c r="AWC106" s="108"/>
      <c r="AWD106" s="108"/>
      <c r="AWE106" s="108"/>
      <c r="AWF106" s="108"/>
      <c r="AWG106" s="108"/>
      <c r="AWH106" s="108"/>
      <c r="AWI106" s="108"/>
      <c r="AWJ106" s="108"/>
      <c r="AWK106" s="108"/>
      <c r="AWL106" s="108"/>
      <c r="AWM106" s="108"/>
      <c r="AWN106" s="108"/>
      <c r="AWO106" s="108"/>
      <c r="AWP106" s="108"/>
      <c r="AWQ106" s="108"/>
      <c r="AWR106" s="108"/>
      <c r="AWS106" s="108"/>
      <c r="AWT106" s="108"/>
      <c r="AWU106" s="108"/>
      <c r="AWV106" s="108"/>
      <c r="AWW106" s="108"/>
      <c r="AWX106" s="108"/>
      <c r="AWY106" s="108"/>
      <c r="AWZ106" s="108"/>
      <c r="AXA106" s="108"/>
      <c r="AXB106" s="108"/>
      <c r="AXC106" s="108"/>
      <c r="AXD106" s="108"/>
      <c r="AXE106" s="108"/>
      <c r="AXF106" s="108"/>
      <c r="AXG106" s="108"/>
      <c r="AXH106" s="108"/>
      <c r="AXI106" s="108"/>
      <c r="AXJ106" s="108"/>
      <c r="AXK106" s="108"/>
      <c r="AXL106" s="108"/>
      <c r="AXM106" s="108"/>
      <c r="AXN106" s="108"/>
      <c r="AXO106" s="108"/>
      <c r="AXP106" s="108"/>
      <c r="AXQ106" s="108"/>
      <c r="AXR106" s="108"/>
      <c r="AXS106" s="108"/>
      <c r="AXT106" s="108"/>
      <c r="AXU106" s="108"/>
      <c r="AXV106" s="108"/>
      <c r="AXW106" s="108"/>
      <c r="AXX106" s="108"/>
      <c r="AXY106" s="108"/>
      <c r="AXZ106" s="108"/>
      <c r="AYA106" s="108"/>
      <c r="AYB106" s="108"/>
      <c r="AYC106" s="108"/>
      <c r="AYD106" s="108"/>
      <c r="AYE106" s="108"/>
      <c r="AYF106" s="108"/>
      <c r="AYG106" s="108"/>
      <c r="AYH106" s="108"/>
      <c r="AYI106" s="108"/>
      <c r="AYJ106" s="108"/>
      <c r="AYK106" s="108"/>
      <c r="AYL106" s="108"/>
      <c r="AYM106" s="108"/>
      <c r="AYN106" s="108"/>
      <c r="AYO106" s="108"/>
      <c r="AYP106" s="108"/>
      <c r="AYQ106" s="108"/>
      <c r="AYR106" s="108"/>
      <c r="AYS106" s="108"/>
      <c r="AYT106" s="108"/>
      <c r="AYU106" s="108"/>
      <c r="AYV106" s="108"/>
      <c r="AYW106" s="108"/>
      <c r="AYX106" s="108"/>
      <c r="AYY106" s="108"/>
      <c r="AYZ106" s="108"/>
      <c r="AZA106" s="108"/>
      <c r="AZB106" s="108"/>
      <c r="AZC106" s="108"/>
      <c r="AZD106" s="108"/>
      <c r="AZE106" s="108"/>
      <c r="AZF106" s="108"/>
      <c r="AZG106" s="108"/>
      <c r="AZH106" s="108"/>
      <c r="AZI106" s="108"/>
      <c r="AZJ106" s="108"/>
      <c r="AZK106" s="108"/>
      <c r="AZL106" s="108"/>
      <c r="AZM106" s="108"/>
      <c r="AZN106" s="108"/>
      <c r="AZO106" s="108"/>
      <c r="AZP106" s="108"/>
      <c r="AZQ106" s="108"/>
      <c r="AZR106" s="108"/>
      <c r="AZS106" s="108"/>
      <c r="AZT106" s="108"/>
      <c r="AZU106" s="108"/>
      <c r="AZV106" s="108"/>
      <c r="AZW106" s="108"/>
      <c r="AZX106" s="108"/>
      <c r="AZY106" s="108"/>
      <c r="AZZ106" s="108"/>
      <c r="BAA106" s="108"/>
      <c r="BAB106" s="108"/>
      <c r="BAC106" s="108"/>
      <c r="BAD106" s="108"/>
      <c r="BAE106" s="108"/>
      <c r="BAF106" s="108"/>
      <c r="BAG106" s="108"/>
      <c r="BAH106" s="108"/>
      <c r="BAI106" s="108"/>
      <c r="BAJ106" s="108"/>
      <c r="BAK106" s="108"/>
      <c r="BAL106" s="108"/>
      <c r="BAM106" s="108"/>
      <c r="BAN106" s="108"/>
      <c r="BAO106" s="108"/>
      <c r="BAP106" s="108"/>
      <c r="BAQ106" s="108"/>
      <c r="BAR106" s="108"/>
      <c r="BAS106" s="108"/>
      <c r="BAT106" s="108"/>
      <c r="BAU106" s="108"/>
      <c r="BAV106" s="108"/>
      <c r="BAW106" s="108"/>
      <c r="BAX106" s="108"/>
      <c r="BAY106" s="108"/>
      <c r="BAZ106" s="108"/>
      <c r="BBA106" s="108"/>
      <c r="BBB106" s="108"/>
      <c r="BBC106" s="108"/>
      <c r="BBD106" s="108"/>
      <c r="BBE106" s="108"/>
      <c r="BBF106" s="108"/>
      <c r="BBG106" s="108"/>
      <c r="BBH106" s="108"/>
      <c r="BBI106" s="108"/>
      <c r="BBJ106" s="108"/>
      <c r="BBK106" s="108"/>
      <c r="BBL106" s="108"/>
      <c r="BBM106" s="108"/>
      <c r="BBN106" s="108"/>
      <c r="BBO106" s="108"/>
      <c r="BBP106" s="108"/>
      <c r="BBQ106" s="108"/>
      <c r="BBR106" s="108"/>
      <c r="BBS106" s="108"/>
      <c r="BBT106" s="108"/>
      <c r="BBU106" s="108"/>
      <c r="BBV106" s="108"/>
      <c r="BBW106" s="108"/>
      <c r="BBX106" s="108"/>
      <c r="BBY106" s="108"/>
      <c r="BBZ106" s="108"/>
      <c r="BCA106" s="108"/>
      <c r="BCB106" s="108"/>
      <c r="BCC106" s="108"/>
      <c r="BCD106" s="108"/>
      <c r="BCE106" s="108"/>
      <c r="BCF106" s="108"/>
      <c r="BCG106" s="108"/>
      <c r="BCH106" s="108"/>
      <c r="BCI106" s="108"/>
      <c r="BCJ106" s="108"/>
      <c r="BCK106" s="108"/>
      <c r="BCL106" s="108"/>
      <c r="BCM106" s="108"/>
      <c r="BCN106" s="108"/>
      <c r="BCO106" s="108"/>
      <c r="BCP106" s="108"/>
      <c r="BCQ106" s="108"/>
      <c r="BCR106" s="108"/>
      <c r="BCS106" s="108"/>
      <c r="BCT106" s="108"/>
      <c r="BCU106" s="108"/>
      <c r="BCV106" s="108"/>
      <c r="BCW106" s="108"/>
      <c r="BCX106" s="108"/>
      <c r="BCY106" s="108"/>
      <c r="BCZ106" s="108"/>
      <c r="BDA106" s="108"/>
      <c r="BDB106" s="108"/>
      <c r="BDC106" s="108"/>
      <c r="BDD106" s="108"/>
      <c r="BDE106" s="108"/>
      <c r="BDF106" s="108"/>
      <c r="BDG106" s="108"/>
      <c r="BDH106" s="108"/>
      <c r="BDI106" s="108"/>
      <c r="BDJ106" s="108"/>
      <c r="BDK106" s="108"/>
      <c r="BDL106" s="108"/>
      <c r="BDM106" s="108"/>
      <c r="BDN106" s="108"/>
      <c r="BDO106" s="108"/>
      <c r="BDP106" s="108"/>
      <c r="BDQ106" s="108"/>
      <c r="BDR106" s="108"/>
      <c r="BDS106" s="108"/>
      <c r="BDT106" s="108"/>
      <c r="BDU106" s="108"/>
      <c r="BDV106" s="108"/>
      <c r="BDW106" s="108"/>
      <c r="BDX106" s="108"/>
      <c r="BDY106" s="108"/>
      <c r="BDZ106" s="108"/>
      <c r="BEA106" s="108"/>
      <c r="BEB106" s="108"/>
      <c r="BEC106" s="108"/>
      <c r="BED106" s="108"/>
      <c r="BEE106" s="108"/>
      <c r="BEF106" s="108"/>
      <c r="BEG106" s="108"/>
      <c r="BEH106" s="108"/>
      <c r="BEI106" s="108"/>
      <c r="BEJ106" s="108"/>
      <c r="BEK106" s="108"/>
      <c r="BEL106" s="108"/>
      <c r="BEM106" s="108"/>
      <c r="BEN106" s="108"/>
      <c r="BEO106" s="108"/>
      <c r="BEP106" s="108"/>
      <c r="BEQ106" s="108"/>
      <c r="BER106" s="108"/>
      <c r="BES106" s="108"/>
      <c r="BET106" s="108"/>
      <c r="BEU106" s="108"/>
      <c r="BEV106" s="108"/>
      <c r="BEW106" s="108"/>
      <c r="BEX106" s="108"/>
      <c r="BEY106" s="108"/>
      <c r="BEZ106" s="108"/>
      <c r="BFA106" s="108"/>
      <c r="BFB106" s="108"/>
      <c r="BFC106" s="108"/>
      <c r="BFD106" s="108"/>
      <c r="BFE106" s="108"/>
      <c r="BFF106" s="108"/>
      <c r="BFG106" s="108"/>
      <c r="BFH106" s="108"/>
      <c r="BFI106" s="108"/>
      <c r="BFJ106" s="108"/>
      <c r="BFK106" s="108"/>
      <c r="BFL106" s="108"/>
      <c r="BFM106" s="108"/>
      <c r="BFN106" s="108"/>
      <c r="BFO106" s="108"/>
      <c r="BFP106" s="108"/>
      <c r="BFQ106" s="108"/>
      <c r="BFR106" s="108"/>
      <c r="BFS106" s="108"/>
      <c r="BFT106" s="108"/>
      <c r="BFU106" s="108"/>
      <c r="BFV106" s="108"/>
      <c r="BFW106" s="108"/>
      <c r="BFX106" s="108"/>
      <c r="BFY106" s="108"/>
      <c r="BFZ106" s="108"/>
      <c r="BGA106" s="108"/>
      <c r="BGB106" s="108"/>
      <c r="BGC106" s="108"/>
      <c r="BGD106" s="108"/>
      <c r="BGE106" s="108"/>
      <c r="BGF106" s="108"/>
      <c r="BGG106" s="108"/>
      <c r="BGH106" s="108"/>
      <c r="BGI106" s="108"/>
      <c r="BGJ106" s="108"/>
      <c r="BGK106" s="108"/>
      <c r="BGL106" s="108"/>
      <c r="BGM106" s="108"/>
      <c r="BGN106" s="108"/>
      <c r="BGO106" s="108"/>
      <c r="BGP106" s="108"/>
      <c r="BGQ106" s="108"/>
      <c r="BGR106" s="108"/>
      <c r="BGS106" s="108"/>
      <c r="BGT106" s="108"/>
      <c r="BGU106" s="108"/>
      <c r="BGV106" s="108"/>
      <c r="BGW106" s="108"/>
      <c r="BGX106" s="108"/>
      <c r="BGY106" s="108"/>
      <c r="BGZ106" s="108"/>
      <c r="BHA106" s="108"/>
      <c r="BHB106" s="108"/>
      <c r="BHC106" s="108"/>
      <c r="BHD106" s="108"/>
      <c r="BHE106" s="108"/>
      <c r="BHF106" s="108"/>
      <c r="BHG106" s="108"/>
      <c r="BHH106" s="108"/>
      <c r="BHI106" s="108"/>
      <c r="BHJ106" s="108"/>
      <c r="BHK106" s="108"/>
      <c r="BHL106" s="108"/>
      <c r="BHM106" s="108"/>
      <c r="BHN106" s="108"/>
      <c r="BHO106" s="108"/>
      <c r="BHP106" s="108"/>
      <c r="BHQ106" s="108"/>
      <c r="BHR106" s="108"/>
      <c r="BHS106" s="108"/>
      <c r="BHT106" s="108"/>
      <c r="BHU106" s="108"/>
      <c r="BHV106" s="108"/>
      <c r="BHW106" s="108"/>
      <c r="BHX106" s="108"/>
      <c r="BHY106" s="108"/>
      <c r="BHZ106" s="108"/>
      <c r="BIA106" s="108"/>
      <c r="BIB106" s="108"/>
      <c r="BIC106" s="108"/>
      <c r="BID106" s="108"/>
      <c r="BIE106" s="108"/>
      <c r="BIF106" s="108"/>
      <c r="BIG106" s="108"/>
      <c r="BIH106" s="108"/>
      <c r="BII106" s="108"/>
      <c r="BIJ106" s="108"/>
      <c r="BIK106" s="108"/>
      <c r="BIL106" s="108"/>
      <c r="BIM106" s="108"/>
      <c r="BIN106" s="108"/>
      <c r="BIO106" s="108"/>
      <c r="BIP106" s="108"/>
      <c r="BIQ106" s="108"/>
      <c r="BIR106" s="108"/>
      <c r="BIS106" s="108"/>
      <c r="BIT106" s="108"/>
      <c r="BIU106" s="108"/>
      <c r="BIV106" s="108"/>
      <c r="BIW106" s="108"/>
      <c r="BIX106" s="108"/>
      <c r="BIY106" s="108"/>
      <c r="BIZ106" s="108"/>
      <c r="BJA106" s="108"/>
      <c r="BJB106" s="108"/>
      <c r="BJC106" s="108"/>
      <c r="BJD106" s="108"/>
      <c r="BJE106" s="108"/>
      <c r="BJF106" s="108"/>
      <c r="BJG106" s="108"/>
      <c r="BJH106" s="108"/>
      <c r="BJI106" s="108"/>
      <c r="BJJ106" s="108"/>
      <c r="BJK106" s="108"/>
      <c r="BJL106" s="108"/>
      <c r="BJM106" s="108"/>
      <c r="BJN106" s="108"/>
      <c r="BJO106" s="108"/>
      <c r="BJP106" s="108"/>
      <c r="BJQ106" s="108"/>
      <c r="BJR106" s="108"/>
      <c r="BJS106" s="108"/>
      <c r="BJT106" s="108"/>
      <c r="BJU106" s="108"/>
      <c r="BJV106" s="108"/>
      <c r="BJW106" s="108"/>
      <c r="BJX106" s="108"/>
      <c r="BJY106" s="108"/>
      <c r="BJZ106" s="108"/>
      <c r="BKA106" s="108"/>
      <c r="BKB106" s="108"/>
      <c r="BKC106" s="108"/>
      <c r="BKD106" s="108"/>
      <c r="BKE106" s="108"/>
      <c r="BKF106" s="108"/>
      <c r="BKG106" s="108"/>
      <c r="BKH106" s="108"/>
      <c r="BKI106" s="108"/>
      <c r="BKJ106" s="108"/>
      <c r="BKK106" s="108"/>
      <c r="BKL106" s="108"/>
      <c r="BKM106" s="108"/>
      <c r="BKN106" s="108"/>
      <c r="BKO106" s="108"/>
      <c r="BKP106" s="108"/>
      <c r="BKQ106" s="108"/>
      <c r="BKR106" s="108"/>
      <c r="BKS106" s="108"/>
      <c r="BKT106" s="108"/>
      <c r="BKU106" s="108"/>
      <c r="BKV106" s="108"/>
      <c r="BKW106" s="108"/>
      <c r="BKX106" s="108"/>
      <c r="BKY106" s="108"/>
      <c r="BKZ106" s="108"/>
      <c r="BLA106" s="108"/>
      <c r="BLB106" s="108"/>
      <c r="BLC106" s="108"/>
      <c r="BLD106" s="108"/>
      <c r="BLE106" s="108"/>
      <c r="BLF106" s="108"/>
      <c r="BLG106" s="108"/>
      <c r="BLH106" s="108"/>
      <c r="BLI106" s="108"/>
      <c r="BLJ106" s="108"/>
      <c r="BLK106" s="108"/>
      <c r="BLL106" s="108"/>
      <c r="BLM106" s="108"/>
      <c r="BLN106" s="108"/>
      <c r="BLO106" s="108"/>
      <c r="BLP106" s="108"/>
      <c r="BLQ106" s="108"/>
      <c r="BLR106" s="108"/>
      <c r="BLS106" s="108"/>
      <c r="BLT106" s="108"/>
      <c r="BLU106" s="108"/>
      <c r="BLV106" s="108"/>
      <c r="BLW106" s="108"/>
      <c r="BLX106" s="108"/>
      <c r="BLY106" s="108"/>
      <c r="BLZ106" s="108"/>
      <c r="BMA106" s="108"/>
      <c r="BMB106" s="108"/>
      <c r="BMC106" s="108"/>
      <c r="BMD106" s="108"/>
      <c r="BME106" s="108"/>
      <c r="BMF106" s="108"/>
      <c r="BMG106" s="108"/>
      <c r="BMH106" s="108"/>
      <c r="BMI106" s="108"/>
      <c r="BMJ106" s="108"/>
      <c r="BMK106" s="108"/>
      <c r="BML106" s="108"/>
      <c r="BMM106" s="108"/>
      <c r="BMN106" s="108"/>
      <c r="BMO106" s="108"/>
      <c r="BMP106" s="108"/>
      <c r="BMQ106" s="108"/>
      <c r="BMR106" s="108"/>
      <c r="BMS106" s="108"/>
      <c r="BMT106" s="108"/>
      <c r="BMU106" s="108"/>
      <c r="BMV106" s="108"/>
      <c r="BMW106" s="108"/>
      <c r="BMX106" s="108"/>
      <c r="BMY106" s="108"/>
      <c r="BMZ106" s="108"/>
      <c r="BNA106" s="108"/>
      <c r="BNB106" s="108"/>
      <c r="BNC106" s="108"/>
      <c r="BND106" s="108"/>
      <c r="BNE106" s="108"/>
      <c r="BNF106" s="108"/>
      <c r="BNG106" s="108"/>
      <c r="BNH106" s="108"/>
      <c r="BNI106" s="108"/>
      <c r="BNJ106" s="108"/>
      <c r="BNK106" s="108"/>
      <c r="BNL106" s="108"/>
      <c r="BNM106" s="108"/>
      <c r="BNN106" s="108"/>
      <c r="BNO106" s="108"/>
      <c r="BNP106" s="108"/>
      <c r="BNQ106" s="108"/>
      <c r="BNR106" s="108"/>
      <c r="BNS106" s="108"/>
      <c r="BNT106" s="108"/>
      <c r="BNU106" s="108"/>
      <c r="BNV106" s="108"/>
      <c r="BNW106" s="108"/>
      <c r="BNX106" s="108"/>
      <c r="BNY106" s="108"/>
      <c r="BNZ106" s="108"/>
      <c r="BOA106" s="108"/>
      <c r="BOB106" s="108"/>
      <c r="BOC106" s="108"/>
      <c r="BOD106" s="108"/>
      <c r="BOE106" s="108"/>
      <c r="BOF106" s="108"/>
      <c r="BOG106" s="108"/>
      <c r="BOH106" s="108"/>
      <c r="BOI106" s="108"/>
      <c r="BOJ106" s="108"/>
      <c r="BOK106" s="108"/>
      <c r="BOL106" s="108"/>
      <c r="BOM106" s="108"/>
      <c r="BON106" s="108"/>
      <c r="BOO106" s="108"/>
      <c r="BOP106" s="108"/>
      <c r="BOQ106" s="108"/>
      <c r="BOR106" s="108"/>
      <c r="BOS106" s="108"/>
      <c r="BOT106" s="108"/>
      <c r="BOU106" s="108"/>
      <c r="BOV106" s="108"/>
      <c r="BOW106" s="108"/>
      <c r="BOX106" s="108"/>
      <c r="BOY106" s="108"/>
      <c r="BOZ106" s="108"/>
      <c r="BPA106" s="108"/>
      <c r="BPB106" s="108"/>
      <c r="BPC106" s="108"/>
      <c r="BPD106" s="108"/>
      <c r="BPE106" s="108"/>
      <c r="BPF106" s="108"/>
      <c r="BPG106" s="108"/>
      <c r="BPH106" s="108"/>
      <c r="BPI106" s="108"/>
      <c r="BPJ106" s="108"/>
      <c r="BPK106" s="108"/>
      <c r="BPL106" s="108"/>
      <c r="BPM106" s="108"/>
      <c r="BPN106" s="108"/>
      <c r="BPO106" s="108"/>
      <c r="BPP106" s="108"/>
      <c r="BPQ106" s="108"/>
      <c r="BPR106" s="108"/>
      <c r="BPS106" s="108"/>
      <c r="BPT106" s="108"/>
      <c r="BPU106" s="108"/>
      <c r="BPV106" s="108"/>
      <c r="BPW106" s="108"/>
      <c r="BPX106" s="108"/>
      <c r="BPY106" s="108"/>
      <c r="BPZ106" s="108"/>
      <c r="BQA106" s="108"/>
      <c r="BQB106" s="108"/>
      <c r="BQC106" s="108"/>
      <c r="BQD106" s="108"/>
      <c r="BQE106" s="108"/>
      <c r="BQF106" s="108"/>
      <c r="BQG106" s="108"/>
      <c r="BQH106" s="108"/>
      <c r="BQI106" s="108"/>
      <c r="BQJ106" s="108"/>
      <c r="BQK106" s="108"/>
      <c r="BQL106" s="108"/>
      <c r="BQM106" s="108"/>
      <c r="BQN106" s="108"/>
      <c r="BQO106" s="108"/>
      <c r="BQP106" s="108"/>
      <c r="BQQ106" s="108"/>
      <c r="BQR106" s="108"/>
      <c r="BQS106" s="108"/>
      <c r="BQT106" s="108"/>
      <c r="BQU106" s="108"/>
      <c r="BQV106" s="108"/>
      <c r="BQW106" s="108"/>
      <c r="BQX106" s="108"/>
      <c r="BQY106" s="108"/>
      <c r="BQZ106" s="108"/>
      <c r="BRA106" s="108"/>
      <c r="BRB106" s="108"/>
      <c r="BRC106" s="108"/>
      <c r="BRD106" s="108"/>
      <c r="BRE106" s="108"/>
      <c r="BRF106" s="108"/>
      <c r="BRG106" s="108"/>
      <c r="BRH106" s="108"/>
      <c r="BRI106" s="108"/>
      <c r="BRJ106" s="108"/>
      <c r="BRK106" s="108"/>
      <c r="BRL106" s="108"/>
      <c r="BRM106" s="108"/>
      <c r="BRN106" s="108"/>
      <c r="BRO106" s="108"/>
      <c r="BRP106" s="108"/>
      <c r="BRQ106" s="108"/>
      <c r="BRR106" s="108"/>
      <c r="BRS106" s="108"/>
      <c r="BRT106" s="108"/>
      <c r="BRU106" s="108"/>
      <c r="BRV106" s="108"/>
      <c r="BRW106" s="108"/>
      <c r="BRX106" s="108"/>
      <c r="BRY106" s="108"/>
      <c r="BRZ106" s="108"/>
      <c r="BSA106" s="108"/>
      <c r="BSB106" s="108"/>
      <c r="BSC106" s="108"/>
      <c r="BSD106" s="108"/>
      <c r="BSE106" s="108"/>
      <c r="BSF106" s="108"/>
      <c r="BSG106" s="108"/>
      <c r="BSH106" s="108"/>
      <c r="BSI106" s="108"/>
      <c r="BSJ106" s="108"/>
      <c r="BSK106" s="108"/>
      <c r="BSL106" s="108"/>
      <c r="BSM106" s="108"/>
      <c r="BSN106" s="108"/>
      <c r="BSO106" s="108"/>
      <c r="BSP106" s="108"/>
      <c r="BSQ106" s="108"/>
      <c r="BSR106" s="108"/>
      <c r="BSS106" s="108"/>
      <c r="BST106" s="108"/>
      <c r="BSU106" s="108"/>
      <c r="BSV106" s="108"/>
      <c r="BSW106" s="108"/>
      <c r="BSX106" s="108"/>
      <c r="BSY106" s="108"/>
      <c r="BSZ106" s="108"/>
      <c r="BTA106" s="108"/>
      <c r="BTB106" s="108"/>
      <c r="BTC106" s="108"/>
      <c r="BTD106" s="108"/>
      <c r="BTE106" s="108"/>
      <c r="BTF106" s="108"/>
      <c r="BTG106" s="108"/>
      <c r="BTH106" s="108"/>
      <c r="BTI106" s="108"/>
      <c r="BTJ106" s="108"/>
      <c r="BTK106" s="108"/>
      <c r="BTL106" s="108"/>
      <c r="BTM106" s="108"/>
      <c r="BTN106" s="108"/>
      <c r="BTO106" s="108"/>
      <c r="BTP106" s="108"/>
      <c r="BTQ106" s="108"/>
      <c r="BTR106" s="108"/>
      <c r="BTS106" s="108"/>
      <c r="BTT106" s="108"/>
      <c r="BTU106" s="108"/>
      <c r="BTV106" s="108"/>
      <c r="BTW106" s="108"/>
      <c r="BTX106" s="108"/>
      <c r="BTY106" s="108"/>
      <c r="BTZ106" s="108"/>
      <c r="BUA106" s="108"/>
      <c r="BUB106" s="108"/>
      <c r="BUC106" s="108"/>
      <c r="BUD106" s="108"/>
      <c r="BUE106" s="108"/>
      <c r="BUF106" s="108"/>
      <c r="BUG106" s="108"/>
      <c r="BUH106" s="108"/>
      <c r="BUI106" s="108"/>
      <c r="BUJ106" s="108"/>
      <c r="BUK106" s="108"/>
      <c r="BUL106" s="108"/>
      <c r="BUM106" s="108"/>
      <c r="BUN106" s="108"/>
      <c r="BUO106" s="108"/>
      <c r="BUP106" s="108"/>
      <c r="BUQ106" s="108"/>
      <c r="BUR106" s="108"/>
      <c r="BUS106" s="108"/>
      <c r="BUT106" s="108"/>
      <c r="BUU106" s="108"/>
      <c r="BUV106" s="108"/>
      <c r="BUW106" s="108"/>
      <c r="BUX106" s="108"/>
      <c r="BUY106" s="108"/>
      <c r="BUZ106" s="108"/>
      <c r="BVA106" s="108"/>
      <c r="BVB106" s="108"/>
      <c r="BVC106" s="108"/>
      <c r="BVD106" s="108"/>
      <c r="BVE106" s="108"/>
      <c r="BVF106" s="108"/>
      <c r="BVG106" s="108"/>
      <c r="BVH106" s="108"/>
      <c r="BVI106" s="108"/>
      <c r="BVJ106" s="108"/>
      <c r="BVK106" s="108"/>
      <c r="BVL106" s="108"/>
      <c r="BVM106" s="108"/>
      <c r="BVN106" s="108"/>
      <c r="BVO106" s="108"/>
      <c r="BVP106" s="108"/>
      <c r="BVQ106" s="108"/>
      <c r="BVR106" s="108"/>
      <c r="BVS106" s="108"/>
      <c r="BVT106" s="108"/>
      <c r="BVU106" s="108"/>
      <c r="BVV106" s="108"/>
      <c r="BVW106" s="108"/>
      <c r="BVX106" s="108"/>
      <c r="BVY106" s="108"/>
      <c r="BVZ106" s="108"/>
      <c r="BWA106" s="108"/>
      <c r="BWB106" s="108"/>
      <c r="BWC106" s="108"/>
      <c r="BWD106" s="108"/>
      <c r="BWE106" s="108"/>
      <c r="BWF106" s="108"/>
      <c r="BWG106" s="108"/>
      <c r="BWH106" s="108"/>
      <c r="BWI106" s="108"/>
      <c r="BWJ106" s="108"/>
      <c r="BWK106" s="108"/>
      <c r="BWL106" s="108"/>
      <c r="BWM106" s="108"/>
      <c r="BWN106" s="108"/>
      <c r="BWO106" s="108"/>
      <c r="BWP106" s="108"/>
      <c r="BWQ106" s="108"/>
      <c r="BWR106" s="108"/>
      <c r="BWS106" s="108"/>
      <c r="BWT106" s="108"/>
      <c r="BWU106" s="108"/>
      <c r="BWV106" s="108"/>
      <c r="BWW106" s="108"/>
      <c r="BWX106" s="108"/>
      <c r="BWY106" s="108"/>
      <c r="BWZ106" s="108"/>
      <c r="BXA106" s="108"/>
      <c r="BXB106" s="108"/>
      <c r="BXC106" s="108"/>
      <c r="BXD106" s="108"/>
      <c r="BXE106" s="108"/>
      <c r="BXF106" s="108"/>
      <c r="BXG106" s="108"/>
      <c r="BXH106" s="108"/>
      <c r="BXI106" s="108"/>
      <c r="BXJ106" s="108"/>
      <c r="BXK106" s="108"/>
      <c r="BXL106" s="108"/>
      <c r="BXM106" s="108"/>
      <c r="BXN106" s="108"/>
      <c r="BXO106" s="108"/>
      <c r="BXP106" s="108"/>
      <c r="BXQ106" s="108"/>
      <c r="BXR106" s="108"/>
      <c r="BXS106" s="108"/>
      <c r="BXT106" s="108"/>
      <c r="BXU106" s="108"/>
      <c r="BXV106" s="108"/>
      <c r="BXW106" s="108"/>
      <c r="BXX106" s="108"/>
      <c r="BXY106" s="108"/>
      <c r="BXZ106" s="108"/>
      <c r="BYA106" s="108"/>
      <c r="BYB106" s="108"/>
      <c r="BYC106" s="108"/>
      <c r="BYD106" s="108"/>
      <c r="BYE106" s="108"/>
      <c r="BYF106" s="108"/>
      <c r="BYG106" s="108"/>
      <c r="BYH106" s="108"/>
      <c r="BYI106" s="108"/>
      <c r="BYJ106" s="108"/>
      <c r="BYK106" s="108"/>
      <c r="BYL106" s="108"/>
      <c r="BYM106" s="108"/>
      <c r="BYN106" s="108"/>
      <c r="BYO106" s="108"/>
      <c r="BYP106" s="108"/>
      <c r="BYQ106" s="108"/>
      <c r="BYR106" s="108"/>
      <c r="BYS106" s="108"/>
      <c r="BYT106" s="108"/>
      <c r="BYU106" s="108"/>
      <c r="BYV106" s="108"/>
      <c r="BYW106" s="108"/>
      <c r="BYX106" s="108"/>
      <c r="BYY106" s="108"/>
      <c r="BYZ106" s="108"/>
      <c r="BZA106" s="108"/>
      <c r="BZB106" s="108"/>
      <c r="BZC106" s="108"/>
      <c r="BZD106" s="108"/>
      <c r="BZE106" s="108"/>
      <c r="BZF106" s="108"/>
      <c r="BZG106" s="108"/>
      <c r="BZH106" s="108"/>
      <c r="BZI106" s="108"/>
      <c r="BZJ106" s="108"/>
      <c r="BZK106" s="108"/>
      <c r="BZL106" s="108"/>
      <c r="BZM106" s="108"/>
      <c r="BZN106" s="108"/>
      <c r="BZO106" s="108"/>
      <c r="BZP106" s="108"/>
      <c r="BZQ106" s="108"/>
      <c r="BZR106" s="108"/>
      <c r="BZS106" s="108"/>
      <c r="BZT106" s="108"/>
      <c r="BZU106" s="108"/>
      <c r="BZV106" s="108"/>
      <c r="BZW106" s="108"/>
      <c r="BZX106" s="108"/>
      <c r="BZY106" s="108"/>
      <c r="BZZ106" s="108"/>
      <c r="CAA106" s="108"/>
      <c r="CAB106" s="108"/>
      <c r="CAC106" s="108"/>
      <c r="CAD106" s="108"/>
      <c r="CAE106" s="108"/>
      <c r="CAF106" s="108"/>
      <c r="CAG106" s="108"/>
      <c r="CAH106" s="108"/>
      <c r="CAI106" s="108"/>
      <c r="CAJ106" s="108"/>
      <c r="CAK106" s="108"/>
      <c r="CAL106" s="108"/>
      <c r="CAM106" s="108"/>
      <c r="CAN106" s="108"/>
      <c r="CAO106" s="108"/>
      <c r="CAP106" s="108"/>
      <c r="CAQ106" s="108"/>
      <c r="CAR106" s="108"/>
      <c r="CAS106" s="108"/>
      <c r="CAT106" s="108"/>
      <c r="CAU106" s="108"/>
      <c r="CAV106" s="108"/>
      <c r="CAW106" s="108"/>
      <c r="CAX106" s="108"/>
      <c r="CAY106" s="108"/>
      <c r="CAZ106" s="108"/>
      <c r="CBA106" s="108"/>
      <c r="CBB106" s="108"/>
      <c r="CBC106" s="108"/>
      <c r="CBD106" s="108"/>
      <c r="CBE106" s="108"/>
      <c r="CBF106" s="108"/>
      <c r="CBG106" s="108"/>
      <c r="CBH106" s="108"/>
      <c r="CBI106" s="108"/>
      <c r="CBJ106" s="108"/>
      <c r="CBK106" s="108"/>
      <c r="CBL106" s="108"/>
      <c r="CBM106" s="108"/>
      <c r="CBN106" s="108"/>
      <c r="CBO106" s="108"/>
      <c r="CBP106" s="108"/>
      <c r="CBQ106" s="108"/>
      <c r="CBR106" s="108"/>
      <c r="CBS106" s="108"/>
      <c r="CBT106" s="108"/>
      <c r="CBU106" s="108"/>
      <c r="CBV106" s="108"/>
      <c r="CBW106" s="108"/>
      <c r="CBX106" s="108"/>
      <c r="CBY106" s="108"/>
      <c r="CBZ106" s="108"/>
      <c r="CCA106" s="108"/>
      <c r="CCB106" s="108"/>
      <c r="CCC106" s="108"/>
      <c r="CCD106" s="108"/>
      <c r="CCE106" s="108"/>
      <c r="CCF106" s="108"/>
      <c r="CCG106" s="108"/>
      <c r="CCH106" s="108"/>
      <c r="CCI106" s="108"/>
      <c r="CCJ106" s="108"/>
      <c r="CCK106" s="108"/>
      <c r="CCL106" s="108"/>
      <c r="CCM106" s="108"/>
      <c r="CCN106" s="108"/>
      <c r="CCO106" s="108"/>
      <c r="CCP106" s="108"/>
      <c r="CCQ106" s="108"/>
      <c r="CCR106" s="108"/>
      <c r="CCS106" s="108"/>
      <c r="CCT106" s="108"/>
      <c r="CCU106" s="108"/>
      <c r="CCV106" s="108"/>
      <c r="CCW106" s="108"/>
      <c r="CCX106" s="108"/>
      <c r="CCY106" s="108"/>
      <c r="CCZ106" s="108"/>
      <c r="CDA106" s="108"/>
      <c r="CDB106" s="108"/>
      <c r="CDC106" s="108"/>
      <c r="CDD106" s="108"/>
      <c r="CDE106" s="108"/>
      <c r="CDF106" s="108"/>
      <c r="CDG106" s="108"/>
      <c r="CDH106" s="108"/>
      <c r="CDI106" s="108"/>
      <c r="CDJ106" s="108"/>
      <c r="CDK106" s="108"/>
      <c r="CDL106" s="108"/>
      <c r="CDM106" s="108"/>
      <c r="CDN106" s="108"/>
      <c r="CDO106" s="108"/>
      <c r="CDP106" s="108"/>
      <c r="CDQ106" s="108"/>
      <c r="CDR106" s="108"/>
      <c r="CDS106" s="108"/>
      <c r="CDT106" s="108"/>
      <c r="CDU106" s="108"/>
      <c r="CDV106" s="108"/>
      <c r="CDW106" s="108"/>
      <c r="CDX106" s="108"/>
      <c r="CDY106" s="108"/>
      <c r="CDZ106" s="108"/>
      <c r="CEA106" s="108"/>
      <c r="CEB106" s="108"/>
      <c r="CEC106" s="108"/>
      <c r="CED106" s="108"/>
      <c r="CEE106" s="108"/>
      <c r="CEF106" s="108"/>
      <c r="CEG106" s="108"/>
      <c r="CEH106" s="108"/>
      <c r="CEI106" s="108"/>
      <c r="CEJ106" s="108"/>
      <c r="CEK106" s="108"/>
      <c r="CEL106" s="108"/>
      <c r="CEM106" s="108"/>
      <c r="CEN106" s="108"/>
      <c r="CEO106" s="108"/>
      <c r="CEP106" s="108"/>
      <c r="CEQ106" s="108"/>
      <c r="CER106" s="108"/>
      <c r="CES106" s="108"/>
      <c r="CET106" s="108"/>
      <c r="CEU106" s="108"/>
      <c r="CEV106" s="108"/>
      <c r="CEW106" s="108"/>
      <c r="CEX106" s="108"/>
      <c r="CEY106" s="108"/>
      <c r="CEZ106" s="108"/>
      <c r="CFA106" s="108"/>
      <c r="CFB106" s="108"/>
      <c r="CFC106" s="108"/>
      <c r="CFD106" s="108"/>
      <c r="CFE106" s="108"/>
      <c r="CFF106" s="108"/>
      <c r="CFG106" s="108"/>
      <c r="CFH106" s="108"/>
      <c r="CFI106" s="108"/>
      <c r="CFJ106" s="108"/>
      <c r="CFK106" s="108"/>
      <c r="CFL106" s="108"/>
      <c r="CFM106" s="108"/>
      <c r="CFN106" s="108"/>
      <c r="CFO106" s="108"/>
      <c r="CFP106" s="108"/>
      <c r="CFQ106" s="108"/>
      <c r="CFR106" s="108"/>
      <c r="CFS106" s="108"/>
      <c r="CFT106" s="108"/>
      <c r="CFU106" s="108"/>
      <c r="CFV106" s="108"/>
      <c r="CFW106" s="108"/>
      <c r="CFX106" s="108"/>
      <c r="CFY106" s="108"/>
      <c r="CFZ106" s="108"/>
      <c r="CGA106" s="108"/>
      <c r="CGB106" s="108"/>
      <c r="CGC106" s="108"/>
      <c r="CGD106" s="108"/>
      <c r="CGE106" s="108"/>
      <c r="CGF106" s="108"/>
      <c r="CGG106" s="108"/>
      <c r="CGH106" s="108"/>
      <c r="CGI106" s="108"/>
      <c r="CGJ106" s="108"/>
      <c r="CGK106" s="108"/>
      <c r="CGL106" s="108"/>
      <c r="CGM106" s="108"/>
      <c r="CGN106" s="108"/>
      <c r="CGO106" s="108"/>
      <c r="CGP106" s="108"/>
      <c r="CGQ106" s="108"/>
      <c r="CGR106" s="108"/>
      <c r="CGS106" s="108"/>
      <c r="CGT106" s="108"/>
      <c r="CGU106" s="108"/>
      <c r="CGV106" s="108"/>
      <c r="CGW106" s="108"/>
      <c r="CGX106" s="108"/>
      <c r="CGY106" s="108"/>
      <c r="CGZ106" s="108"/>
      <c r="CHA106" s="108"/>
      <c r="CHB106" s="108"/>
      <c r="CHC106" s="108"/>
      <c r="CHD106" s="108"/>
      <c r="CHE106" s="108"/>
      <c r="CHF106" s="108"/>
      <c r="CHG106" s="108"/>
      <c r="CHH106" s="108"/>
      <c r="CHI106" s="108"/>
      <c r="CHJ106" s="108"/>
      <c r="CHK106" s="108"/>
      <c r="CHL106" s="108"/>
      <c r="CHM106" s="108"/>
      <c r="CHN106" s="108"/>
      <c r="CHO106" s="108"/>
      <c r="CHP106" s="108"/>
      <c r="CHQ106" s="108"/>
      <c r="CHR106" s="108"/>
      <c r="CHS106" s="108"/>
      <c r="CHT106" s="108"/>
      <c r="CHU106" s="108"/>
      <c r="CHV106" s="108"/>
      <c r="CHW106" s="108"/>
      <c r="CHX106" s="108"/>
      <c r="CHY106" s="108"/>
      <c r="CHZ106" s="108"/>
      <c r="CIA106" s="108"/>
      <c r="CIB106" s="108"/>
      <c r="CIC106" s="108"/>
      <c r="CID106" s="108"/>
      <c r="CIE106" s="108"/>
      <c r="CIF106" s="108"/>
      <c r="CIG106" s="108"/>
      <c r="CIH106" s="108"/>
      <c r="CII106" s="108"/>
      <c r="CIJ106" s="108"/>
      <c r="CIK106" s="108"/>
      <c r="CIL106" s="108"/>
      <c r="CIM106" s="108"/>
      <c r="CIN106" s="108"/>
      <c r="CIO106" s="108"/>
      <c r="CIP106" s="108"/>
      <c r="CIQ106" s="108"/>
      <c r="CIR106" s="108"/>
      <c r="CIS106" s="108"/>
      <c r="CIT106" s="108"/>
      <c r="CIU106" s="108"/>
      <c r="CIV106" s="108"/>
      <c r="CIW106" s="108"/>
      <c r="CIX106" s="108"/>
      <c r="CIY106" s="108"/>
      <c r="CIZ106" s="108"/>
      <c r="CJA106" s="108"/>
      <c r="CJB106" s="108"/>
      <c r="CJC106" s="108"/>
      <c r="CJD106" s="108"/>
      <c r="CJE106" s="108"/>
      <c r="CJF106" s="108"/>
      <c r="CJG106" s="108"/>
      <c r="CJH106" s="108"/>
      <c r="CJI106" s="108"/>
      <c r="CJJ106" s="108"/>
      <c r="CJK106" s="108"/>
      <c r="CJL106" s="108"/>
      <c r="CJM106" s="108"/>
      <c r="CJN106" s="108"/>
      <c r="CJO106" s="108"/>
      <c r="CJP106" s="108"/>
      <c r="CJQ106" s="108"/>
      <c r="CJR106" s="108"/>
      <c r="CJS106" s="108"/>
      <c r="CJT106" s="108"/>
      <c r="CJU106" s="108"/>
      <c r="CJV106" s="108"/>
      <c r="CJW106" s="108"/>
      <c r="CJX106" s="108"/>
      <c r="CJY106" s="108"/>
      <c r="CJZ106" s="108"/>
      <c r="CKA106" s="108"/>
      <c r="CKB106" s="108"/>
      <c r="CKC106" s="108"/>
      <c r="CKD106" s="108"/>
      <c r="CKE106" s="108"/>
      <c r="CKF106" s="108"/>
      <c r="CKG106" s="108"/>
      <c r="CKH106" s="108"/>
      <c r="CKI106" s="108"/>
      <c r="CKJ106" s="108"/>
      <c r="CKK106" s="108"/>
      <c r="CKL106" s="108"/>
      <c r="CKM106" s="108"/>
      <c r="CKN106" s="108"/>
      <c r="CKO106" s="108"/>
      <c r="CKP106" s="108"/>
      <c r="CKQ106" s="108"/>
      <c r="CKR106" s="108"/>
      <c r="CKS106" s="108"/>
      <c r="CKT106" s="108"/>
      <c r="CKU106" s="108"/>
      <c r="CKV106" s="108"/>
      <c r="CKW106" s="108"/>
      <c r="CKX106" s="108"/>
      <c r="CKY106" s="108"/>
      <c r="CKZ106" s="108"/>
      <c r="CLA106" s="108"/>
      <c r="CLB106" s="108"/>
      <c r="CLC106" s="108"/>
      <c r="CLD106" s="108"/>
      <c r="CLE106" s="108"/>
      <c r="CLF106" s="108"/>
      <c r="CLG106" s="108"/>
      <c r="CLH106" s="108"/>
      <c r="CLI106" s="108"/>
      <c r="CLJ106" s="108"/>
      <c r="CLK106" s="108"/>
      <c r="CLL106" s="108"/>
      <c r="CLM106" s="108"/>
      <c r="CLN106" s="108"/>
      <c r="CLO106" s="108"/>
      <c r="CLP106" s="108"/>
      <c r="CLQ106" s="108"/>
      <c r="CLR106" s="108"/>
      <c r="CLS106" s="108"/>
      <c r="CLT106" s="108"/>
      <c r="CLU106" s="108"/>
      <c r="CLV106" s="108"/>
      <c r="CLW106" s="108"/>
      <c r="CLX106" s="108"/>
      <c r="CLY106" s="108"/>
      <c r="CLZ106" s="108"/>
      <c r="CMA106" s="108"/>
      <c r="CMB106" s="108"/>
      <c r="CMC106" s="108"/>
      <c r="CMD106" s="108"/>
      <c r="CME106" s="108"/>
      <c r="CMF106" s="108"/>
      <c r="CMG106" s="108"/>
      <c r="CMH106" s="108"/>
      <c r="CMI106" s="108"/>
      <c r="CMJ106" s="108"/>
      <c r="CMK106" s="108"/>
      <c r="CML106" s="108"/>
      <c r="CMM106" s="108"/>
      <c r="CMN106" s="108"/>
      <c r="CMO106" s="108"/>
      <c r="CMP106" s="108"/>
      <c r="CMQ106" s="108"/>
      <c r="CMR106" s="108"/>
      <c r="CMS106" s="108"/>
      <c r="CMT106" s="108"/>
      <c r="CMU106" s="108"/>
      <c r="CMV106" s="108"/>
      <c r="CMW106" s="108"/>
      <c r="CMX106" s="108"/>
      <c r="CMY106" s="108"/>
      <c r="CMZ106" s="108"/>
      <c r="CNA106" s="108"/>
      <c r="CNB106" s="108"/>
      <c r="CNC106" s="108"/>
      <c r="CND106" s="108"/>
      <c r="CNE106" s="108"/>
      <c r="CNF106" s="108"/>
      <c r="CNG106" s="108"/>
      <c r="CNH106" s="108"/>
      <c r="CNI106" s="108"/>
      <c r="CNJ106" s="108"/>
      <c r="CNK106" s="108"/>
      <c r="CNL106" s="108"/>
      <c r="CNM106" s="108"/>
      <c r="CNN106" s="108"/>
      <c r="CNO106" s="108"/>
      <c r="CNP106" s="108"/>
      <c r="CNQ106" s="108"/>
      <c r="CNR106" s="108"/>
      <c r="CNS106" s="108"/>
      <c r="CNT106" s="108"/>
      <c r="CNU106" s="108"/>
      <c r="CNV106" s="108"/>
      <c r="CNW106" s="108"/>
      <c r="CNX106" s="108"/>
      <c r="CNY106" s="108"/>
      <c r="CNZ106" s="108"/>
      <c r="COA106" s="108"/>
      <c r="COB106" s="108"/>
      <c r="COC106" s="108"/>
      <c r="COD106" s="108"/>
      <c r="COE106" s="108"/>
      <c r="COF106" s="108"/>
      <c r="COG106" s="108"/>
      <c r="COH106" s="108"/>
      <c r="COI106" s="108"/>
      <c r="COJ106" s="108"/>
      <c r="COK106" s="108"/>
      <c r="COL106" s="108"/>
      <c r="COM106" s="108"/>
      <c r="CON106" s="108"/>
      <c r="COO106" s="108"/>
      <c r="COP106" s="108"/>
      <c r="COQ106" s="108"/>
      <c r="COR106" s="108"/>
      <c r="COS106" s="108"/>
      <c r="COT106" s="108"/>
      <c r="COU106" s="108"/>
      <c r="COV106" s="108"/>
      <c r="COW106" s="108"/>
      <c r="COX106" s="108"/>
      <c r="COY106" s="108"/>
      <c r="COZ106" s="108"/>
      <c r="CPA106" s="108"/>
      <c r="CPB106" s="108"/>
      <c r="CPC106" s="108"/>
      <c r="CPD106" s="108"/>
      <c r="CPE106" s="108"/>
      <c r="CPF106" s="108"/>
      <c r="CPG106" s="108"/>
      <c r="CPH106" s="108"/>
      <c r="CPI106" s="108"/>
      <c r="CPJ106" s="108"/>
      <c r="CPK106" s="108"/>
      <c r="CPL106" s="108"/>
      <c r="CPM106" s="108"/>
      <c r="CPN106" s="108"/>
      <c r="CPO106" s="108"/>
      <c r="CPP106" s="108"/>
      <c r="CPQ106" s="108"/>
      <c r="CPR106" s="108"/>
      <c r="CPS106" s="108"/>
      <c r="CPT106" s="108"/>
      <c r="CPU106" s="108"/>
      <c r="CPV106" s="108"/>
      <c r="CPW106" s="108"/>
      <c r="CPX106" s="108"/>
      <c r="CPY106" s="108"/>
      <c r="CPZ106" s="108"/>
      <c r="CQA106" s="108"/>
      <c r="CQB106" s="108"/>
      <c r="CQC106" s="108"/>
      <c r="CQD106" s="108"/>
      <c r="CQE106" s="108"/>
      <c r="CQF106" s="108"/>
      <c r="CQG106" s="108"/>
      <c r="CQH106" s="108"/>
      <c r="CQI106" s="108"/>
      <c r="CQJ106" s="108"/>
      <c r="CQK106" s="108"/>
      <c r="CQL106" s="108"/>
      <c r="CQM106" s="108"/>
      <c r="CQN106" s="108"/>
      <c r="CQO106" s="108"/>
      <c r="CQP106" s="108"/>
      <c r="CQQ106" s="108"/>
      <c r="CQR106" s="108"/>
      <c r="CQS106" s="108"/>
      <c r="CQT106" s="108"/>
      <c r="CQU106" s="108"/>
      <c r="CQV106" s="108"/>
      <c r="CQW106" s="108"/>
      <c r="CQX106" s="108"/>
      <c r="CQY106" s="108"/>
      <c r="CQZ106" s="108"/>
      <c r="CRA106" s="108"/>
      <c r="CRB106" s="108"/>
      <c r="CRC106" s="108"/>
      <c r="CRD106" s="108"/>
      <c r="CRE106" s="108"/>
      <c r="CRF106" s="108"/>
      <c r="CRG106" s="108"/>
      <c r="CRH106" s="108"/>
      <c r="CRI106" s="108"/>
      <c r="CRJ106" s="108"/>
      <c r="CRK106" s="108"/>
      <c r="CRL106" s="108"/>
      <c r="CRM106" s="108"/>
      <c r="CRN106" s="108"/>
      <c r="CRO106" s="108"/>
      <c r="CRP106" s="108"/>
      <c r="CRQ106" s="108"/>
      <c r="CRR106" s="108"/>
      <c r="CRS106" s="108"/>
      <c r="CRT106" s="108"/>
      <c r="CRU106" s="108"/>
      <c r="CRV106" s="108"/>
      <c r="CRW106" s="108"/>
      <c r="CRX106" s="108"/>
      <c r="CRY106" s="108"/>
      <c r="CRZ106" s="108"/>
      <c r="CSA106" s="108"/>
      <c r="CSB106" s="108"/>
      <c r="CSC106" s="108"/>
      <c r="CSD106" s="108"/>
      <c r="CSE106" s="108"/>
      <c r="CSF106" s="108"/>
      <c r="CSG106" s="108"/>
      <c r="CSH106" s="108"/>
      <c r="CSI106" s="108"/>
      <c r="CSJ106" s="108"/>
      <c r="CSK106" s="108"/>
      <c r="CSL106" s="108"/>
      <c r="CSM106" s="108"/>
      <c r="CSN106" s="108"/>
      <c r="CSO106" s="108"/>
      <c r="CSP106" s="108"/>
      <c r="CSQ106" s="108"/>
      <c r="CSR106" s="108"/>
      <c r="CSS106" s="108"/>
      <c r="CST106" s="108"/>
      <c r="CSU106" s="108"/>
      <c r="CSV106" s="108"/>
      <c r="CSW106" s="108"/>
      <c r="CSX106" s="108"/>
      <c r="CSY106" s="108"/>
      <c r="CSZ106" s="108"/>
      <c r="CTA106" s="108"/>
      <c r="CTB106" s="108"/>
      <c r="CTC106" s="108"/>
      <c r="CTD106" s="108"/>
      <c r="CTE106" s="108"/>
      <c r="CTF106" s="108"/>
      <c r="CTG106" s="108"/>
      <c r="CTH106" s="108"/>
      <c r="CTI106" s="108"/>
      <c r="CTJ106" s="108"/>
      <c r="CTK106" s="108"/>
      <c r="CTL106" s="108"/>
      <c r="CTM106" s="108"/>
      <c r="CTN106" s="108"/>
      <c r="CTO106" s="108"/>
      <c r="CTP106" s="108"/>
      <c r="CTQ106" s="108"/>
      <c r="CTR106" s="108"/>
      <c r="CTS106" s="108"/>
      <c r="CTT106" s="108"/>
      <c r="CTU106" s="108"/>
      <c r="CTV106" s="108"/>
      <c r="CTW106" s="108"/>
      <c r="CTX106" s="108"/>
      <c r="CTY106" s="108"/>
      <c r="CTZ106" s="108"/>
      <c r="CUA106" s="108"/>
      <c r="CUB106" s="108"/>
      <c r="CUC106" s="108"/>
      <c r="CUD106" s="108"/>
      <c r="CUE106" s="108"/>
      <c r="CUF106" s="108"/>
      <c r="CUG106" s="108"/>
      <c r="CUH106" s="108"/>
      <c r="CUI106" s="108"/>
      <c r="CUJ106" s="108"/>
      <c r="CUK106" s="108"/>
      <c r="CUL106" s="108"/>
      <c r="CUM106" s="108"/>
      <c r="CUN106" s="108"/>
      <c r="CUO106" s="108"/>
      <c r="CUP106" s="108"/>
      <c r="CUQ106" s="108"/>
      <c r="CUR106" s="108"/>
      <c r="CUS106" s="108"/>
      <c r="CUT106" s="108"/>
      <c r="CUU106" s="108"/>
      <c r="CUV106" s="108"/>
      <c r="CUW106" s="108"/>
      <c r="CUX106" s="108"/>
      <c r="CUY106" s="108"/>
      <c r="CUZ106" s="108"/>
      <c r="CVA106" s="108"/>
      <c r="CVB106" s="108"/>
      <c r="CVC106" s="108"/>
      <c r="CVD106" s="108"/>
      <c r="CVE106" s="108"/>
      <c r="CVF106" s="108"/>
      <c r="CVG106" s="108"/>
      <c r="CVH106" s="108"/>
      <c r="CVI106" s="108"/>
      <c r="CVJ106" s="108"/>
      <c r="CVK106" s="108"/>
      <c r="CVL106" s="108"/>
      <c r="CVM106" s="108"/>
      <c r="CVN106" s="108"/>
      <c r="CVO106" s="108"/>
      <c r="CVP106" s="108"/>
      <c r="CVQ106" s="108"/>
      <c r="CVR106" s="108"/>
      <c r="CVS106" s="108"/>
      <c r="CVT106" s="108"/>
      <c r="CVU106" s="108"/>
      <c r="CVV106" s="108"/>
      <c r="CVW106" s="108"/>
      <c r="CVX106" s="108"/>
      <c r="CVY106" s="108"/>
      <c r="CVZ106" s="108"/>
      <c r="CWA106" s="108"/>
      <c r="CWB106" s="108"/>
      <c r="CWC106" s="108"/>
      <c r="CWD106" s="108"/>
      <c r="CWE106" s="108"/>
      <c r="CWF106" s="108"/>
      <c r="CWG106" s="108"/>
      <c r="CWH106" s="108"/>
      <c r="CWI106" s="108"/>
      <c r="CWJ106" s="108"/>
      <c r="CWK106" s="108"/>
      <c r="CWL106" s="108"/>
      <c r="CWM106" s="108"/>
      <c r="CWN106" s="108"/>
      <c r="CWO106" s="108"/>
      <c r="CWP106" s="108"/>
      <c r="CWQ106" s="108"/>
      <c r="CWR106" s="108"/>
      <c r="CWS106" s="108"/>
      <c r="CWT106" s="108"/>
      <c r="CWU106" s="108"/>
      <c r="CWV106" s="108"/>
      <c r="CWW106" s="108"/>
      <c r="CWX106" s="108"/>
      <c r="CWY106" s="108"/>
      <c r="CWZ106" s="108"/>
      <c r="CXA106" s="108"/>
      <c r="CXB106" s="108"/>
      <c r="CXC106" s="108"/>
      <c r="CXD106" s="108"/>
      <c r="CXE106" s="108"/>
      <c r="CXF106" s="108"/>
      <c r="CXG106" s="108"/>
      <c r="CXH106" s="108"/>
      <c r="CXI106" s="108"/>
      <c r="CXJ106" s="108"/>
      <c r="CXK106" s="108"/>
      <c r="CXL106" s="108"/>
      <c r="CXM106" s="108"/>
      <c r="CXN106" s="108"/>
      <c r="CXO106" s="108"/>
      <c r="CXP106" s="108"/>
      <c r="CXQ106" s="108"/>
      <c r="CXR106" s="108"/>
      <c r="CXS106" s="108"/>
      <c r="CXT106" s="108"/>
      <c r="CXU106" s="108"/>
      <c r="CXV106" s="108"/>
      <c r="CXW106" s="108"/>
      <c r="CXX106" s="108"/>
      <c r="CXY106" s="108"/>
      <c r="CXZ106" s="108"/>
      <c r="CYA106" s="108"/>
      <c r="CYB106" s="108"/>
      <c r="CYC106" s="108"/>
      <c r="CYD106" s="108"/>
      <c r="CYE106" s="108"/>
      <c r="CYF106" s="108"/>
      <c r="CYG106" s="108"/>
      <c r="CYH106" s="108"/>
      <c r="CYI106" s="108"/>
      <c r="CYJ106" s="108"/>
      <c r="CYK106" s="108"/>
      <c r="CYL106" s="108"/>
      <c r="CYM106" s="108"/>
      <c r="CYN106" s="108"/>
      <c r="CYO106" s="108"/>
      <c r="CYP106" s="108"/>
      <c r="CYQ106" s="108"/>
      <c r="CYR106" s="108"/>
      <c r="CYS106" s="108"/>
      <c r="CYT106" s="108"/>
      <c r="CYU106" s="108"/>
      <c r="CYV106" s="108"/>
      <c r="CYW106" s="108"/>
      <c r="CYX106" s="108"/>
      <c r="CYY106" s="108"/>
      <c r="CYZ106" s="108"/>
      <c r="CZA106" s="108"/>
      <c r="CZB106" s="108"/>
      <c r="CZC106" s="108"/>
      <c r="CZD106" s="108"/>
      <c r="CZE106" s="108"/>
      <c r="CZF106" s="108"/>
      <c r="CZG106" s="108"/>
      <c r="CZH106" s="108"/>
      <c r="CZI106" s="108"/>
      <c r="CZJ106" s="108"/>
      <c r="CZK106" s="108"/>
      <c r="CZL106" s="108"/>
      <c r="CZM106" s="108"/>
      <c r="CZN106" s="108"/>
      <c r="CZO106" s="108"/>
      <c r="CZP106" s="108"/>
      <c r="CZQ106" s="108"/>
      <c r="CZR106" s="108"/>
      <c r="CZS106" s="108"/>
      <c r="CZT106" s="108"/>
      <c r="CZU106" s="108"/>
      <c r="CZV106" s="108"/>
      <c r="CZW106" s="108"/>
      <c r="CZX106" s="108"/>
      <c r="CZY106" s="108"/>
      <c r="CZZ106" s="108"/>
      <c r="DAA106" s="108"/>
      <c r="DAB106" s="108"/>
      <c r="DAC106" s="108"/>
      <c r="DAD106" s="108"/>
      <c r="DAE106" s="108"/>
      <c r="DAF106" s="108"/>
      <c r="DAG106" s="108"/>
      <c r="DAH106" s="108"/>
      <c r="DAI106" s="108"/>
      <c r="DAJ106" s="108"/>
      <c r="DAK106" s="108"/>
      <c r="DAL106" s="108"/>
      <c r="DAM106" s="108"/>
      <c r="DAN106" s="108"/>
      <c r="DAO106" s="108"/>
      <c r="DAP106" s="108"/>
      <c r="DAQ106" s="108"/>
      <c r="DAR106" s="108"/>
      <c r="DAS106" s="108"/>
      <c r="DAT106" s="108"/>
      <c r="DAU106" s="108"/>
      <c r="DAV106" s="108"/>
      <c r="DAW106" s="108"/>
      <c r="DAX106" s="108"/>
      <c r="DAY106" s="108"/>
      <c r="DAZ106" s="108"/>
      <c r="DBA106" s="108"/>
      <c r="DBB106" s="108"/>
      <c r="DBC106" s="108"/>
      <c r="DBD106" s="108"/>
      <c r="DBE106" s="108"/>
      <c r="DBF106" s="108"/>
      <c r="DBG106" s="108"/>
      <c r="DBH106" s="108"/>
      <c r="DBI106" s="108"/>
      <c r="DBJ106" s="108"/>
      <c r="DBK106" s="108"/>
      <c r="DBL106" s="108"/>
      <c r="DBM106" s="108"/>
      <c r="DBN106" s="108"/>
      <c r="DBO106" s="108"/>
      <c r="DBP106" s="108"/>
      <c r="DBQ106" s="108"/>
      <c r="DBR106" s="108"/>
      <c r="DBS106" s="108"/>
      <c r="DBT106" s="108"/>
      <c r="DBU106" s="108"/>
      <c r="DBV106" s="108"/>
      <c r="DBW106" s="108"/>
      <c r="DBX106" s="108"/>
      <c r="DBY106" s="108"/>
      <c r="DBZ106" s="108"/>
      <c r="DCA106" s="108"/>
      <c r="DCB106" s="108"/>
      <c r="DCC106" s="108"/>
      <c r="DCD106" s="108"/>
      <c r="DCE106" s="108"/>
      <c r="DCF106" s="108"/>
      <c r="DCG106" s="108"/>
      <c r="DCH106" s="108"/>
      <c r="DCI106" s="108"/>
      <c r="DCJ106" s="108"/>
      <c r="DCK106" s="108"/>
      <c r="DCL106" s="108"/>
      <c r="DCM106" s="108"/>
      <c r="DCN106" s="108"/>
      <c r="DCO106" s="108"/>
      <c r="DCP106" s="108"/>
      <c r="DCQ106" s="108"/>
      <c r="DCR106" s="108"/>
      <c r="DCS106" s="108"/>
      <c r="DCT106" s="108"/>
      <c r="DCU106" s="108"/>
      <c r="DCV106" s="108"/>
      <c r="DCW106" s="108"/>
      <c r="DCX106" s="108"/>
      <c r="DCY106" s="108"/>
      <c r="DCZ106" s="108"/>
      <c r="DDA106" s="108"/>
      <c r="DDB106" s="108"/>
      <c r="DDC106" s="108"/>
      <c r="DDD106" s="108"/>
      <c r="DDE106" s="108"/>
      <c r="DDF106" s="108"/>
      <c r="DDG106" s="108"/>
      <c r="DDH106" s="108"/>
      <c r="DDI106" s="108"/>
      <c r="DDJ106" s="108"/>
      <c r="DDK106" s="108"/>
      <c r="DDL106" s="108"/>
      <c r="DDM106" s="108"/>
      <c r="DDN106" s="108"/>
      <c r="DDO106" s="108"/>
      <c r="DDP106" s="108"/>
      <c r="DDQ106" s="108"/>
      <c r="DDR106" s="108"/>
      <c r="DDS106" s="108"/>
      <c r="DDT106" s="108"/>
      <c r="DDU106" s="108"/>
      <c r="DDV106" s="108"/>
      <c r="DDW106" s="108"/>
      <c r="DDX106" s="108"/>
      <c r="DDY106" s="108"/>
      <c r="DDZ106" s="108"/>
      <c r="DEA106" s="108"/>
      <c r="DEB106" s="108"/>
      <c r="DEC106" s="108"/>
      <c r="DED106" s="108"/>
      <c r="DEE106" s="108"/>
      <c r="DEF106" s="108"/>
      <c r="DEG106" s="108"/>
      <c r="DEH106" s="108"/>
      <c r="DEI106" s="108"/>
      <c r="DEJ106" s="108"/>
      <c r="DEK106" s="108"/>
      <c r="DEL106" s="108"/>
      <c r="DEM106" s="108"/>
      <c r="DEN106" s="108"/>
      <c r="DEO106" s="108"/>
      <c r="DEP106" s="108"/>
      <c r="DEQ106" s="108"/>
      <c r="DER106" s="108"/>
      <c r="DES106" s="108"/>
      <c r="DET106" s="108"/>
      <c r="DEU106" s="108"/>
      <c r="DEV106" s="108"/>
      <c r="DEW106" s="108"/>
      <c r="DEX106" s="108"/>
      <c r="DEY106" s="108"/>
      <c r="DEZ106" s="108"/>
      <c r="DFA106" s="108"/>
      <c r="DFB106" s="108"/>
      <c r="DFC106" s="108"/>
      <c r="DFD106" s="108"/>
      <c r="DFE106" s="108"/>
      <c r="DFF106" s="108"/>
      <c r="DFG106" s="108"/>
      <c r="DFH106" s="108"/>
      <c r="DFI106" s="108"/>
      <c r="DFJ106" s="108"/>
      <c r="DFK106" s="108"/>
      <c r="DFL106" s="108"/>
      <c r="DFM106" s="108"/>
      <c r="DFN106" s="108"/>
      <c r="DFO106" s="108"/>
      <c r="DFP106" s="108"/>
      <c r="DFQ106" s="108"/>
      <c r="DFR106" s="108"/>
      <c r="DFS106" s="108"/>
      <c r="DFT106" s="108"/>
      <c r="DFU106" s="108"/>
      <c r="DFV106" s="108"/>
      <c r="DFW106" s="108"/>
      <c r="DFX106" s="108"/>
      <c r="DFY106" s="108"/>
      <c r="DFZ106" s="108"/>
      <c r="DGA106" s="108"/>
      <c r="DGB106" s="108"/>
      <c r="DGC106" s="108"/>
      <c r="DGD106" s="108"/>
      <c r="DGE106" s="108"/>
      <c r="DGF106" s="108"/>
      <c r="DGG106" s="108"/>
      <c r="DGH106" s="108"/>
      <c r="DGI106" s="108"/>
      <c r="DGJ106" s="108"/>
      <c r="DGK106" s="108"/>
      <c r="DGL106" s="108"/>
      <c r="DGM106" s="108"/>
      <c r="DGN106" s="108"/>
      <c r="DGO106" s="108"/>
      <c r="DGP106" s="108"/>
      <c r="DGQ106" s="108"/>
      <c r="DGR106" s="108"/>
      <c r="DGS106" s="108"/>
      <c r="DGT106" s="108"/>
      <c r="DGU106" s="108"/>
      <c r="DGV106" s="108"/>
      <c r="DGW106" s="108"/>
      <c r="DGX106" s="108"/>
      <c r="DGY106" s="108"/>
      <c r="DGZ106" s="108"/>
      <c r="DHA106" s="108"/>
      <c r="DHB106" s="108"/>
      <c r="DHC106" s="108"/>
      <c r="DHD106" s="108"/>
      <c r="DHE106" s="108"/>
      <c r="DHF106" s="108"/>
      <c r="DHG106" s="108"/>
      <c r="DHH106" s="108"/>
      <c r="DHI106" s="108"/>
      <c r="DHJ106" s="108"/>
      <c r="DHK106" s="108"/>
      <c r="DHL106" s="108"/>
      <c r="DHM106" s="108"/>
      <c r="DHN106" s="108"/>
      <c r="DHO106" s="108"/>
      <c r="DHP106" s="108"/>
      <c r="DHQ106" s="108"/>
      <c r="DHR106" s="108"/>
      <c r="DHS106" s="108"/>
      <c r="DHT106" s="108"/>
      <c r="DHU106" s="108"/>
      <c r="DHV106" s="108"/>
      <c r="DHW106" s="108"/>
      <c r="DHX106" s="108"/>
      <c r="DHY106" s="108"/>
      <c r="DHZ106" s="108"/>
      <c r="DIA106" s="108"/>
      <c r="DIB106" s="108"/>
      <c r="DIC106" s="108"/>
      <c r="DID106" s="108"/>
      <c r="DIE106" s="108"/>
      <c r="DIF106" s="108"/>
      <c r="DIG106" s="108"/>
      <c r="DIH106" s="108"/>
      <c r="DII106" s="108"/>
      <c r="DIJ106" s="108"/>
      <c r="DIK106" s="108"/>
      <c r="DIL106" s="108"/>
      <c r="DIM106" s="108"/>
      <c r="DIN106" s="108"/>
      <c r="DIO106" s="108"/>
      <c r="DIP106" s="108"/>
      <c r="DIQ106" s="108"/>
      <c r="DIR106" s="108"/>
      <c r="DIS106" s="108"/>
      <c r="DIT106" s="108"/>
      <c r="DIU106" s="108"/>
      <c r="DIV106" s="108"/>
      <c r="DIW106" s="108"/>
      <c r="DIX106" s="108"/>
      <c r="DIY106" s="108"/>
      <c r="DIZ106" s="108"/>
      <c r="DJA106" s="108"/>
      <c r="DJB106" s="108"/>
      <c r="DJC106" s="108"/>
      <c r="DJD106" s="108"/>
      <c r="DJE106" s="108"/>
      <c r="DJF106" s="108"/>
      <c r="DJG106" s="108"/>
      <c r="DJH106" s="108"/>
      <c r="DJI106" s="108"/>
      <c r="DJJ106" s="108"/>
      <c r="DJK106" s="108"/>
      <c r="DJL106" s="108"/>
      <c r="DJM106" s="108"/>
      <c r="DJN106" s="108"/>
      <c r="DJO106" s="108"/>
      <c r="DJP106" s="108"/>
      <c r="DJQ106" s="108"/>
      <c r="DJR106" s="108"/>
      <c r="DJS106" s="108"/>
      <c r="DJT106" s="108"/>
      <c r="DJU106" s="108"/>
      <c r="DJV106" s="108"/>
      <c r="DJW106" s="108"/>
      <c r="DJX106" s="108"/>
      <c r="DJY106" s="108"/>
      <c r="DJZ106" s="108"/>
      <c r="DKA106" s="108"/>
      <c r="DKB106" s="108"/>
      <c r="DKC106" s="108"/>
      <c r="DKD106" s="108"/>
      <c r="DKE106" s="108"/>
      <c r="DKF106" s="108"/>
      <c r="DKG106" s="108"/>
      <c r="DKH106" s="108"/>
      <c r="DKI106" s="108"/>
      <c r="DKJ106" s="108"/>
      <c r="DKK106" s="108"/>
      <c r="DKL106" s="108"/>
      <c r="DKM106" s="108"/>
      <c r="DKN106" s="108"/>
      <c r="DKO106" s="108"/>
      <c r="DKP106" s="108"/>
      <c r="DKQ106" s="108"/>
      <c r="DKR106" s="108"/>
      <c r="DKS106" s="108"/>
      <c r="DKT106" s="108"/>
      <c r="DKU106" s="108"/>
      <c r="DKV106" s="108"/>
      <c r="DKW106" s="108"/>
      <c r="DKX106" s="108"/>
      <c r="DKY106" s="108"/>
      <c r="DKZ106" s="108"/>
      <c r="DLA106" s="108"/>
      <c r="DLB106" s="108"/>
      <c r="DLC106" s="108"/>
      <c r="DLD106" s="108"/>
      <c r="DLE106" s="108"/>
      <c r="DLF106" s="108"/>
      <c r="DLG106" s="108"/>
      <c r="DLH106" s="108"/>
      <c r="DLI106" s="108"/>
      <c r="DLJ106" s="108"/>
      <c r="DLK106" s="108"/>
      <c r="DLL106" s="108"/>
      <c r="DLM106" s="108"/>
      <c r="DLN106" s="108"/>
      <c r="DLO106" s="108"/>
      <c r="DLP106" s="108"/>
      <c r="DLQ106" s="108"/>
      <c r="DLR106" s="108"/>
      <c r="DLS106" s="108"/>
      <c r="DLT106" s="108"/>
      <c r="DLU106" s="108"/>
      <c r="DLV106" s="108"/>
      <c r="DLW106" s="108"/>
      <c r="DLX106" s="108"/>
      <c r="DLY106" s="108"/>
      <c r="DLZ106" s="108"/>
      <c r="DMA106" s="108"/>
      <c r="DMB106" s="108"/>
      <c r="DMC106" s="108"/>
      <c r="DMD106" s="108"/>
      <c r="DME106" s="108"/>
      <c r="DMF106" s="108"/>
      <c r="DMG106" s="108"/>
      <c r="DMH106" s="108"/>
      <c r="DMI106" s="108"/>
      <c r="DMJ106" s="108"/>
      <c r="DMK106" s="108"/>
      <c r="DML106" s="108"/>
      <c r="DMM106" s="108"/>
      <c r="DMN106" s="108"/>
      <c r="DMO106" s="108"/>
      <c r="DMP106" s="108"/>
      <c r="DMQ106" s="108"/>
      <c r="DMR106" s="108"/>
      <c r="DMS106" s="108"/>
      <c r="DMT106" s="108"/>
      <c r="DMU106" s="108"/>
      <c r="DMV106" s="108"/>
      <c r="DMW106" s="108"/>
      <c r="DMX106" s="108"/>
      <c r="DMY106" s="108"/>
      <c r="DMZ106" s="108"/>
      <c r="DNA106" s="108"/>
      <c r="DNB106" s="108"/>
      <c r="DNC106" s="108"/>
      <c r="DND106" s="108"/>
      <c r="DNE106" s="108"/>
      <c r="DNF106" s="108"/>
      <c r="DNG106" s="108"/>
      <c r="DNH106" s="108"/>
      <c r="DNI106" s="108"/>
      <c r="DNJ106" s="108"/>
      <c r="DNK106" s="108"/>
      <c r="DNL106" s="108"/>
      <c r="DNM106" s="108"/>
      <c r="DNN106" s="108"/>
      <c r="DNO106" s="108"/>
      <c r="DNP106" s="108"/>
      <c r="DNQ106" s="108"/>
      <c r="DNR106" s="108"/>
      <c r="DNS106" s="108"/>
      <c r="DNT106" s="108"/>
      <c r="DNU106" s="108"/>
      <c r="DNV106" s="108"/>
      <c r="DNW106" s="108"/>
      <c r="DNX106" s="108"/>
      <c r="DNY106" s="108"/>
      <c r="DNZ106" s="108"/>
      <c r="DOA106" s="108"/>
      <c r="DOB106" s="108"/>
      <c r="DOC106" s="108"/>
      <c r="DOD106" s="108"/>
      <c r="DOE106" s="108"/>
      <c r="DOF106" s="108"/>
      <c r="DOG106" s="108"/>
      <c r="DOH106" s="108"/>
      <c r="DOI106" s="108"/>
      <c r="DOJ106" s="108"/>
      <c r="DOK106" s="108"/>
      <c r="DOL106" s="108"/>
      <c r="DOM106" s="108"/>
      <c r="DON106" s="108"/>
      <c r="DOO106" s="108"/>
      <c r="DOP106" s="108"/>
      <c r="DOQ106" s="108"/>
      <c r="DOR106" s="108"/>
      <c r="DOS106" s="108"/>
      <c r="DOT106" s="108"/>
      <c r="DOU106" s="108"/>
      <c r="DOV106" s="108"/>
      <c r="DOW106" s="108"/>
      <c r="DOX106" s="108"/>
      <c r="DOY106" s="108"/>
      <c r="DOZ106" s="108"/>
      <c r="DPA106" s="108"/>
      <c r="DPB106" s="108"/>
      <c r="DPC106" s="108"/>
      <c r="DPD106" s="108"/>
      <c r="DPE106" s="108"/>
      <c r="DPF106" s="108"/>
      <c r="DPG106" s="108"/>
      <c r="DPH106" s="108"/>
      <c r="DPI106" s="108"/>
      <c r="DPJ106" s="108"/>
      <c r="DPK106" s="108"/>
      <c r="DPL106" s="108"/>
      <c r="DPM106" s="108"/>
      <c r="DPN106" s="108"/>
      <c r="DPO106" s="108"/>
      <c r="DPP106" s="108"/>
      <c r="DPQ106" s="108"/>
      <c r="DPR106" s="108"/>
      <c r="DPS106" s="108"/>
      <c r="DPT106" s="108"/>
      <c r="DPU106" s="108"/>
      <c r="DPV106" s="108"/>
      <c r="DPW106" s="108"/>
      <c r="DPX106" s="108"/>
      <c r="DPY106" s="108"/>
      <c r="DPZ106" s="108"/>
      <c r="DQA106" s="108"/>
      <c r="DQB106" s="108"/>
      <c r="DQC106" s="108"/>
      <c r="DQD106" s="108"/>
      <c r="DQE106" s="108"/>
      <c r="DQF106" s="108"/>
      <c r="DQG106" s="108"/>
      <c r="DQH106" s="108"/>
      <c r="DQI106" s="108"/>
      <c r="DQJ106" s="108"/>
      <c r="DQK106" s="108"/>
      <c r="DQL106" s="108"/>
      <c r="DQM106" s="108"/>
      <c r="DQN106" s="108"/>
      <c r="DQO106" s="108"/>
      <c r="DQP106" s="108"/>
      <c r="DQQ106" s="108"/>
      <c r="DQR106" s="108"/>
      <c r="DQS106" s="108"/>
      <c r="DQT106" s="108"/>
      <c r="DQU106" s="108"/>
      <c r="DQV106" s="108"/>
      <c r="DQW106" s="108"/>
      <c r="DQX106" s="108"/>
      <c r="DQY106" s="108"/>
      <c r="DQZ106" s="108"/>
      <c r="DRA106" s="108"/>
      <c r="DRB106" s="108"/>
      <c r="DRC106" s="108"/>
      <c r="DRD106" s="108"/>
      <c r="DRE106" s="108"/>
      <c r="DRF106" s="108"/>
      <c r="DRG106" s="108"/>
      <c r="DRH106" s="108"/>
      <c r="DRI106" s="108"/>
      <c r="DRJ106" s="108"/>
      <c r="DRK106" s="108"/>
      <c r="DRL106" s="108"/>
      <c r="DRM106" s="108"/>
      <c r="DRN106" s="108"/>
      <c r="DRO106" s="108"/>
      <c r="DRP106" s="108"/>
      <c r="DRQ106" s="108"/>
      <c r="DRR106" s="108"/>
      <c r="DRS106" s="108"/>
      <c r="DRT106" s="108"/>
      <c r="DRU106" s="108"/>
      <c r="DRV106" s="108"/>
      <c r="DRW106" s="108"/>
      <c r="DRX106" s="108"/>
      <c r="DRY106" s="108"/>
      <c r="DRZ106" s="108"/>
      <c r="DSA106" s="108"/>
      <c r="DSB106" s="108"/>
      <c r="DSC106" s="108"/>
      <c r="DSD106" s="108"/>
      <c r="DSE106" s="108"/>
      <c r="DSF106" s="108"/>
      <c r="DSG106" s="108"/>
      <c r="DSH106" s="108"/>
      <c r="DSI106" s="108"/>
      <c r="DSJ106" s="108"/>
      <c r="DSK106" s="108"/>
      <c r="DSL106" s="108"/>
      <c r="DSM106" s="108"/>
      <c r="DSN106" s="108"/>
      <c r="DSO106" s="108"/>
      <c r="DSP106" s="108"/>
      <c r="DSQ106" s="108"/>
      <c r="DSR106" s="108"/>
      <c r="DSS106" s="108"/>
      <c r="DST106" s="108"/>
      <c r="DSU106" s="108"/>
      <c r="DSV106" s="108"/>
      <c r="DSW106" s="108"/>
      <c r="DSX106" s="108"/>
      <c r="DSY106" s="108"/>
      <c r="DSZ106" s="108"/>
      <c r="DTA106" s="108"/>
      <c r="DTB106" s="108"/>
      <c r="DTC106" s="108"/>
      <c r="DTD106" s="108"/>
      <c r="DTE106" s="108"/>
      <c r="DTF106" s="108"/>
      <c r="DTG106" s="108"/>
      <c r="DTH106" s="108"/>
      <c r="DTI106" s="108"/>
      <c r="DTJ106" s="108"/>
      <c r="DTK106" s="108"/>
      <c r="DTL106" s="108"/>
      <c r="DTM106" s="108"/>
      <c r="DTN106" s="108"/>
      <c r="DTO106" s="108"/>
      <c r="DTP106" s="108"/>
      <c r="DTQ106" s="108"/>
      <c r="DTR106" s="108"/>
      <c r="DTS106" s="108"/>
      <c r="DTT106" s="108"/>
      <c r="DTU106" s="108"/>
      <c r="DTV106" s="108"/>
      <c r="DTW106" s="108"/>
      <c r="DTX106" s="108"/>
      <c r="DTY106" s="108"/>
      <c r="DTZ106" s="108"/>
      <c r="DUA106" s="108"/>
      <c r="DUB106" s="108"/>
      <c r="DUC106" s="108"/>
      <c r="DUD106" s="108"/>
      <c r="DUE106" s="108"/>
      <c r="DUF106" s="108"/>
      <c r="DUG106" s="108"/>
      <c r="DUH106" s="108"/>
      <c r="DUI106" s="108"/>
      <c r="DUJ106" s="108"/>
      <c r="DUK106" s="108"/>
      <c r="DUL106" s="108"/>
      <c r="DUM106" s="108"/>
      <c r="DUN106" s="108"/>
      <c r="DUO106" s="108"/>
      <c r="DUP106" s="108"/>
      <c r="DUQ106" s="108"/>
      <c r="DUR106" s="108"/>
      <c r="DUS106" s="108"/>
      <c r="DUT106" s="108"/>
      <c r="DUU106" s="108"/>
      <c r="DUV106" s="108"/>
      <c r="DUW106" s="108"/>
      <c r="DUX106" s="108"/>
      <c r="DUY106" s="108"/>
      <c r="DUZ106" s="108"/>
      <c r="DVA106" s="108"/>
      <c r="DVB106" s="108"/>
      <c r="DVC106" s="108"/>
      <c r="DVD106" s="108"/>
      <c r="DVE106" s="108"/>
      <c r="DVF106" s="108"/>
      <c r="DVG106" s="108"/>
      <c r="DVH106" s="108"/>
      <c r="DVI106" s="108"/>
      <c r="DVJ106" s="108"/>
      <c r="DVK106" s="108"/>
      <c r="DVL106" s="108"/>
      <c r="DVM106" s="108"/>
      <c r="DVN106" s="108"/>
      <c r="DVO106" s="108"/>
      <c r="DVP106" s="108"/>
      <c r="DVQ106" s="108"/>
      <c r="DVR106" s="108"/>
      <c r="DVS106" s="108"/>
      <c r="DVT106" s="108"/>
      <c r="DVU106" s="108"/>
      <c r="DVV106" s="108"/>
      <c r="DVW106" s="108"/>
      <c r="DVX106" s="108"/>
      <c r="DVY106" s="108"/>
      <c r="DVZ106" s="108"/>
      <c r="DWA106" s="108"/>
      <c r="DWB106" s="108"/>
      <c r="DWC106" s="108"/>
      <c r="DWD106" s="108"/>
      <c r="DWE106" s="108"/>
      <c r="DWF106" s="108"/>
      <c r="DWG106" s="108"/>
      <c r="DWH106" s="108"/>
      <c r="DWI106" s="108"/>
      <c r="DWJ106" s="108"/>
      <c r="DWK106" s="108"/>
      <c r="DWL106" s="108"/>
      <c r="DWM106" s="108"/>
      <c r="DWN106" s="108"/>
      <c r="DWO106" s="108"/>
      <c r="DWP106" s="108"/>
      <c r="DWQ106" s="108"/>
      <c r="DWR106" s="108"/>
      <c r="DWS106" s="108"/>
      <c r="DWT106" s="108"/>
      <c r="DWU106" s="108"/>
      <c r="DWV106" s="108"/>
      <c r="DWW106" s="108"/>
      <c r="DWX106" s="108"/>
      <c r="DWY106" s="108"/>
      <c r="DWZ106" s="108"/>
      <c r="DXA106" s="108"/>
      <c r="DXB106" s="108"/>
      <c r="DXC106" s="108"/>
      <c r="DXD106" s="108"/>
      <c r="DXE106" s="108"/>
      <c r="DXF106" s="108"/>
      <c r="DXG106" s="108"/>
      <c r="DXH106" s="108"/>
      <c r="DXI106" s="108"/>
      <c r="DXJ106" s="108"/>
      <c r="DXK106" s="108"/>
      <c r="DXL106" s="108"/>
      <c r="DXM106" s="108"/>
      <c r="DXN106" s="108"/>
      <c r="DXO106" s="108"/>
      <c r="DXP106" s="108"/>
      <c r="DXQ106" s="108"/>
      <c r="DXR106" s="108"/>
      <c r="DXS106" s="108"/>
      <c r="DXT106" s="108"/>
      <c r="DXU106" s="108"/>
      <c r="DXV106" s="108"/>
      <c r="DXW106" s="108"/>
      <c r="DXX106" s="108"/>
      <c r="DXY106" s="108"/>
      <c r="DXZ106" s="108"/>
      <c r="DYA106" s="108"/>
      <c r="DYB106" s="108"/>
      <c r="DYC106" s="108"/>
      <c r="DYD106" s="108"/>
      <c r="DYE106" s="108"/>
      <c r="DYF106" s="108"/>
      <c r="DYG106" s="108"/>
      <c r="DYH106" s="108"/>
      <c r="DYI106" s="108"/>
      <c r="DYJ106" s="108"/>
      <c r="DYK106" s="108"/>
      <c r="DYL106" s="108"/>
      <c r="DYM106" s="108"/>
      <c r="DYN106" s="108"/>
      <c r="DYO106" s="108"/>
      <c r="DYP106" s="108"/>
      <c r="DYQ106" s="108"/>
      <c r="DYR106" s="108"/>
      <c r="DYS106" s="108"/>
      <c r="DYT106" s="108"/>
      <c r="DYU106" s="108"/>
      <c r="DYV106" s="108"/>
      <c r="DYW106" s="108"/>
      <c r="DYX106" s="108"/>
      <c r="DYY106" s="108"/>
      <c r="DYZ106" s="108"/>
      <c r="DZA106" s="108"/>
      <c r="DZB106" s="108"/>
      <c r="DZC106" s="108"/>
      <c r="DZD106" s="108"/>
      <c r="DZE106" s="108"/>
      <c r="DZF106" s="108"/>
      <c r="DZG106" s="108"/>
      <c r="DZH106" s="108"/>
      <c r="DZI106" s="108"/>
      <c r="DZJ106" s="108"/>
      <c r="DZK106" s="108"/>
      <c r="DZL106" s="108"/>
      <c r="DZM106" s="108"/>
      <c r="DZN106" s="108"/>
      <c r="DZO106" s="108"/>
      <c r="DZP106" s="108"/>
      <c r="DZQ106" s="108"/>
      <c r="DZR106" s="108"/>
      <c r="DZS106" s="108"/>
      <c r="DZT106" s="108"/>
      <c r="DZU106" s="108"/>
      <c r="DZV106" s="108"/>
      <c r="DZW106" s="108"/>
      <c r="DZX106" s="108"/>
      <c r="DZY106" s="108"/>
      <c r="DZZ106" s="108"/>
      <c r="EAA106" s="108"/>
      <c r="EAB106" s="108"/>
      <c r="EAC106" s="108"/>
      <c r="EAD106" s="108"/>
      <c r="EAE106" s="108"/>
      <c r="EAF106" s="108"/>
      <c r="EAG106" s="108"/>
      <c r="EAH106" s="108"/>
      <c r="EAI106" s="108"/>
      <c r="EAJ106" s="108"/>
      <c r="EAK106" s="108"/>
      <c r="EAL106" s="108"/>
      <c r="EAM106" s="108"/>
      <c r="EAN106" s="108"/>
      <c r="EAO106" s="108"/>
      <c r="EAP106" s="108"/>
      <c r="EAQ106" s="108"/>
      <c r="EAR106" s="108"/>
      <c r="EAS106" s="108"/>
      <c r="EAT106" s="108"/>
      <c r="EAU106" s="108"/>
      <c r="EAV106" s="108"/>
      <c r="EAW106" s="108"/>
      <c r="EAX106" s="108"/>
      <c r="EAY106" s="108"/>
      <c r="EAZ106" s="108"/>
      <c r="EBA106" s="108"/>
      <c r="EBB106" s="108"/>
      <c r="EBC106" s="108"/>
      <c r="EBD106" s="108"/>
      <c r="EBE106" s="108"/>
      <c r="EBF106" s="108"/>
      <c r="EBG106" s="108"/>
      <c r="EBH106" s="108"/>
      <c r="EBI106" s="108"/>
      <c r="EBJ106" s="108"/>
      <c r="EBK106" s="108"/>
      <c r="EBL106" s="108"/>
      <c r="EBM106" s="108"/>
      <c r="EBN106" s="108"/>
      <c r="EBO106" s="108"/>
      <c r="EBP106" s="108"/>
      <c r="EBQ106" s="108"/>
      <c r="EBR106" s="108"/>
      <c r="EBS106" s="108"/>
      <c r="EBT106" s="108"/>
      <c r="EBU106" s="108"/>
      <c r="EBV106" s="108"/>
      <c r="EBW106" s="108"/>
      <c r="EBX106" s="108"/>
      <c r="EBY106" s="108"/>
      <c r="EBZ106" s="108"/>
      <c r="ECA106" s="108"/>
      <c r="ECB106" s="108"/>
      <c r="ECC106" s="108"/>
      <c r="ECD106" s="108"/>
      <c r="ECE106" s="108"/>
      <c r="ECF106" s="108"/>
      <c r="ECG106" s="108"/>
      <c r="ECH106" s="108"/>
      <c r="ECI106" s="108"/>
      <c r="ECJ106" s="108"/>
      <c r="ECK106" s="108"/>
      <c r="ECL106" s="108"/>
      <c r="ECM106" s="108"/>
      <c r="ECN106" s="108"/>
      <c r="ECO106" s="108"/>
      <c r="ECP106" s="108"/>
      <c r="ECQ106" s="108"/>
      <c r="ECR106" s="108"/>
      <c r="ECS106" s="108"/>
      <c r="ECT106" s="108"/>
      <c r="ECU106" s="108"/>
      <c r="ECV106" s="108"/>
      <c r="ECW106" s="108"/>
      <c r="ECX106" s="108"/>
      <c r="ECY106" s="108"/>
      <c r="ECZ106" s="108"/>
      <c r="EDA106" s="108"/>
      <c r="EDB106" s="108"/>
      <c r="EDC106" s="108"/>
      <c r="EDD106" s="108"/>
      <c r="EDE106" s="108"/>
      <c r="EDF106" s="108"/>
      <c r="EDG106" s="108"/>
      <c r="EDH106" s="108"/>
      <c r="EDI106" s="108"/>
      <c r="EDJ106" s="108"/>
      <c r="EDK106" s="108"/>
      <c r="EDL106" s="108"/>
      <c r="EDM106" s="108"/>
      <c r="EDN106" s="108"/>
      <c r="EDO106" s="108"/>
      <c r="EDP106" s="108"/>
      <c r="EDQ106" s="108"/>
      <c r="EDR106" s="108"/>
      <c r="EDS106" s="108"/>
      <c r="EDT106" s="108"/>
      <c r="EDU106" s="108"/>
      <c r="EDV106" s="108"/>
      <c r="EDW106" s="108"/>
      <c r="EDX106" s="108"/>
      <c r="EDY106" s="108"/>
      <c r="EDZ106" s="108"/>
      <c r="EEA106" s="108"/>
      <c r="EEB106" s="108"/>
      <c r="EEC106" s="108"/>
      <c r="EED106" s="108"/>
      <c r="EEE106" s="108"/>
      <c r="EEF106" s="108"/>
      <c r="EEG106" s="108"/>
      <c r="EEH106" s="108"/>
      <c r="EEI106" s="108"/>
      <c r="EEJ106" s="108"/>
      <c r="EEK106" s="108"/>
      <c r="EEL106" s="108"/>
      <c r="EEM106" s="108"/>
      <c r="EEN106" s="108"/>
      <c r="EEO106" s="108"/>
      <c r="EEP106" s="108"/>
      <c r="EEQ106" s="108"/>
      <c r="EER106" s="108"/>
      <c r="EES106" s="108"/>
      <c r="EET106" s="108"/>
      <c r="EEU106" s="108"/>
      <c r="EEV106" s="108"/>
      <c r="EEW106" s="108"/>
      <c r="EEX106" s="108"/>
      <c r="EEY106" s="108"/>
      <c r="EEZ106" s="108"/>
      <c r="EFA106" s="108"/>
      <c r="EFB106" s="108"/>
      <c r="EFC106" s="108"/>
      <c r="EFD106" s="108"/>
      <c r="EFE106" s="108"/>
      <c r="EFF106" s="108"/>
      <c r="EFG106" s="108"/>
      <c r="EFH106" s="108"/>
      <c r="EFI106" s="108"/>
      <c r="EFJ106" s="108"/>
      <c r="EFK106" s="108"/>
      <c r="EFL106" s="108"/>
      <c r="EFM106" s="108"/>
      <c r="EFN106" s="108"/>
      <c r="EFO106" s="108"/>
      <c r="EFP106" s="108"/>
      <c r="EFQ106" s="108"/>
      <c r="EFR106" s="108"/>
      <c r="EFS106" s="108"/>
      <c r="EFT106" s="108"/>
      <c r="EFU106" s="108"/>
      <c r="EFV106" s="108"/>
      <c r="EFW106" s="108"/>
      <c r="EFX106" s="108"/>
      <c r="EFY106" s="108"/>
      <c r="EFZ106" s="108"/>
      <c r="EGA106" s="108"/>
      <c r="EGB106" s="108"/>
      <c r="EGC106" s="108"/>
      <c r="EGD106" s="108"/>
      <c r="EGE106" s="108"/>
      <c r="EGF106" s="108"/>
      <c r="EGG106" s="108"/>
      <c r="EGH106" s="108"/>
      <c r="EGI106" s="108"/>
      <c r="EGJ106" s="108"/>
      <c r="EGK106" s="108"/>
      <c r="EGL106" s="108"/>
      <c r="EGM106" s="108"/>
      <c r="EGN106" s="108"/>
      <c r="EGO106" s="108"/>
      <c r="EGP106" s="108"/>
      <c r="EGQ106" s="108"/>
      <c r="EGR106" s="108"/>
      <c r="EGS106" s="108"/>
      <c r="EGT106" s="108"/>
      <c r="EGU106" s="108"/>
      <c r="EGV106" s="108"/>
      <c r="EGW106" s="108"/>
      <c r="EGX106" s="108"/>
      <c r="EGY106" s="108"/>
      <c r="EGZ106" s="108"/>
      <c r="EHA106" s="108"/>
      <c r="EHB106" s="108"/>
      <c r="EHC106" s="108"/>
      <c r="EHD106" s="108"/>
      <c r="EHE106" s="108"/>
      <c r="EHF106" s="108"/>
      <c r="EHG106" s="108"/>
      <c r="EHH106" s="108"/>
      <c r="EHI106" s="108"/>
      <c r="EHJ106" s="108"/>
      <c r="EHK106" s="108"/>
      <c r="EHL106" s="108"/>
      <c r="EHM106" s="108"/>
      <c r="EHN106" s="108"/>
      <c r="EHO106" s="108"/>
      <c r="EHP106" s="108"/>
      <c r="EHQ106" s="108"/>
      <c r="EHR106" s="108"/>
      <c r="EHS106" s="108"/>
      <c r="EHT106" s="108"/>
      <c r="EHU106" s="108"/>
      <c r="EHV106" s="108"/>
      <c r="EHW106" s="108"/>
      <c r="EHX106" s="108"/>
      <c r="EHY106" s="108"/>
      <c r="EHZ106" s="108"/>
      <c r="EIA106" s="108"/>
      <c r="EIB106" s="108"/>
      <c r="EIC106" s="108"/>
      <c r="EID106" s="108"/>
      <c r="EIE106" s="108"/>
      <c r="EIF106" s="108"/>
      <c r="EIG106" s="108"/>
      <c r="EIH106" s="108"/>
      <c r="EII106" s="108"/>
      <c r="EIJ106" s="108"/>
      <c r="EIK106" s="108"/>
      <c r="EIL106" s="108"/>
      <c r="EIM106" s="108"/>
      <c r="EIN106" s="108"/>
      <c r="EIO106" s="108"/>
      <c r="EIP106" s="108"/>
      <c r="EIQ106" s="108"/>
      <c r="EIR106" s="108"/>
      <c r="EIS106" s="108"/>
      <c r="EIT106" s="108"/>
      <c r="EIU106" s="108"/>
      <c r="EIV106" s="108"/>
      <c r="EIW106" s="108"/>
      <c r="EIX106" s="108"/>
      <c r="EIY106" s="108"/>
      <c r="EIZ106" s="108"/>
      <c r="EJA106" s="108"/>
      <c r="EJB106" s="108"/>
      <c r="EJC106" s="108"/>
      <c r="EJD106" s="108"/>
      <c r="EJE106" s="108"/>
      <c r="EJF106" s="108"/>
      <c r="EJG106" s="108"/>
      <c r="EJH106" s="108"/>
      <c r="EJI106" s="108"/>
      <c r="EJJ106" s="108"/>
      <c r="EJK106" s="108"/>
      <c r="EJL106" s="108"/>
      <c r="EJM106" s="108"/>
      <c r="EJN106" s="108"/>
      <c r="EJO106" s="108"/>
      <c r="EJP106" s="108"/>
      <c r="EJQ106" s="108"/>
      <c r="EJR106" s="108"/>
      <c r="EJS106" s="108"/>
      <c r="EJT106" s="108"/>
      <c r="EJU106" s="108"/>
      <c r="EJV106" s="108"/>
      <c r="EJW106" s="108"/>
      <c r="EJX106" s="108"/>
      <c r="EJY106" s="108"/>
      <c r="EJZ106" s="108"/>
      <c r="EKA106" s="108"/>
      <c r="EKB106" s="108"/>
      <c r="EKC106" s="108"/>
      <c r="EKD106" s="108"/>
      <c r="EKE106" s="108"/>
      <c r="EKF106" s="108"/>
      <c r="EKG106" s="108"/>
      <c r="EKH106" s="108"/>
      <c r="EKI106" s="108"/>
      <c r="EKJ106" s="108"/>
      <c r="EKK106" s="108"/>
      <c r="EKL106" s="108"/>
      <c r="EKM106" s="108"/>
      <c r="EKN106" s="108"/>
      <c r="EKO106" s="108"/>
      <c r="EKP106" s="108"/>
      <c r="EKQ106" s="108"/>
      <c r="EKR106" s="108"/>
      <c r="EKS106" s="108"/>
      <c r="EKT106" s="108"/>
      <c r="EKU106" s="108"/>
      <c r="EKV106" s="108"/>
      <c r="EKW106" s="108"/>
      <c r="EKX106" s="108"/>
      <c r="EKY106" s="108"/>
      <c r="EKZ106" s="108"/>
      <c r="ELA106" s="108"/>
      <c r="ELB106" s="108"/>
      <c r="ELC106" s="108"/>
      <c r="ELD106" s="108"/>
      <c r="ELE106" s="108"/>
      <c r="ELF106" s="108"/>
      <c r="ELG106" s="108"/>
      <c r="ELH106" s="108"/>
      <c r="ELI106" s="108"/>
      <c r="ELJ106" s="108"/>
      <c r="ELK106" s="108"/>
      <c r="ELL106" s="108"/>
      <c r="ELM106" s="108"/>
      <c r="ELN106" s="108"/>
      <c r="ELO106" s="108"/>
      <c r="ELP106" s="108"/>
      <c r="ELQ106" s="108"/>
      <c r="ELR106" s="108"/>
      <c r="ELS106" s="108"/>
      <c r="ELT106" s="108"/>
      <c r="ELU106" s="108"/>
      <c r="ELV106" s="108"/>
      <c r="ELW106" s="108"/>
      <c r="ELX106" s="108"/>
      <c r="ELY106" s="108"/>
      <c r="ELZ106" s="108"/>
      <c r="EMA106" s="108"/>
      <c r="EMB106" s="108"/>
      <c r="EMC106" s="108"/>
      <c r="EMD106" s="108"/>
      <c r="EME106" s="108"/>
      <c r="EMF106" s="108"/>
      <c r="EMG106" s="108"/>
      <c r="EMH106" s="108"/>
      <c r="EMI106" s="108"/>
      <c r="EMJ106" s="108"/>
      <c r="EMK106" s="108"/>
      <c r="EML106" s="108"/>
      <c r="EMM106" s="108"/>
      <c r="EMN106" s="108"/>
      <c r="EMO106" s="108"/>
      <c r="EMP106" s="108"/>
      <c r="EMQ106" s="108"/>
      <c r="EMR106" s="108"/>
      <c r="EMS106" s="108"/>
      <c r="EMT106" s="108"/>
      <c r="EMU106" s="108"/>
      <c r="EMV106" s="108"/>
      <c r="EMW106" s="108"/>
      <c r="EMX106" s="108"/>
      <c r="EMY106" s="108"/>
      <c r="EMZ106" s="108"/>
      <c r="ENA106" s="108"/>
      <c r="ENB106" s="108"/>
      <c r="ENC106" s="108"/>
      <c r="END106" s="108"/>
      <c r="ENE106" s="108"/>
      <c r="ENF106" s="108"/>
      <c r="ENG106" s="108"/>
      <c r="ENH106" s="108"/>
      <c r="ENI106" s="108"/>
      <c r="ENJ106" s="108"/>
      <c r="ENK106" s="108"/>
      <c r="ENL106" s="108"/>
      <c r="ENM106" s="108"/>
      <c r="ENN106" s="108"/>
      <c r="ENO106" s="108"/>
      <c r="ENP106" s="108"/>
      <c r="ENQ106" s="108"/>
      <c r="ENR106" s="108"/>
      <c r="ENS106" s="108"/>
      <c r="ENT106" s="108"/>
      <c r="ENU106" s="108"/>
      <c r="ENV106" s="108"/>
      <c r="ENW106" s="108"/>
      <c r="ENX106" s="108"/>
      <c r="ENY106" s="108"/>
      <c r="ENZ106" s="108"/>
      <c r="EOA106" s="108"/>
      <c r="EOB106" s="108"/>
      <c r="EOC106" s="108"/>
      <c r="EOD106" s="108"/>
      <c r="EOE106" s="108"/>
      <c r="EOF106" s="108"/>
      <c r="EOG106" s="108"/>
      <c r="EOH106" s="108"/>
      <c r="EOI106" s="108"/>
      <c r="EOJ106" s="108"/>
      <c r="EOK106" s="108"/>
      <c r="EOL106" s="108"/>
      <c r="EOM106" s="108"/>
      <c r="EON106" s="108"/>
      <c r="EOO106" s="108"/>
      <c r="EOP106" s="108"/>
      <c r="EOQ106" s="108"/>
      <c r="EOR106" s="108"/>
      <c r="EOS106" s="108"/>
      <c r="EOT106" s="108"/>
      <c r="EOU106" s="108"/>
      <c r="EOV106" s="108"/>
      <c r="EOW106" s="108"/>
      <c r="EOX106" s="108"/>
      <c r="EOY106" s="108"/>
      <c r="EOZ106" s="108"/>
      <c r="EPA106" s="108"/>
      <c r="EPB106" s="108"/>
      <c r="EPC106" s="108"/>
      <c r="EPD106" s="108"/>
      <c r="EPE106" s="108"/>
      <c r="EPF106" s="108"/>
      <c r="EPG106" s="108"/>
      <c r="EPH106" s="108"/>
      <c r="EPI106" s="108"/>
      <c r="EPJ106" s="108"/>
      <c r="EPK106" s="108"/>
      <c r="EPL106" s="108"/>
      <c r="EPM106" s="108"/>
      <c r="EPN106" s="108"/>
      <c r="EPO106" s="108"/>
      <c r="EPP106" s="108"/>
      <c r="EPQ106" s="108"/>
      <c r="EPR106" s="108"/>
      <c r="EPS106" s="108"/>
      <c r="EPT106" s="108"/>
      <c r="EPU106" s="108"/>
      <c r="EPV106" s="108"/>
      <c r="EPW106" s="108"/>
      <c r="EPX106" s="108"/>
      <c r="EPY106" s="108"/>
      <c r="EPZ106" s="108"/>
      <c r="EQA106" s="108"/>
      <c r="EQB106" s="108"/>
      <c r="EQC106" s="108"/>
      <c r="EQD106" s="108"/>
      <c r="EQE106" s="108"/>
      <c r="EQF106" s="108"/>
      <c r="EQG106" s="108"/>
      <c r="EQH106" s="108"/>
      <c r="EQI106" s="108"/>
      <c r="EQJ106" s="108"/>
      <c r="EQK106" s="108"/>
      <c r="EQL106" s="108"/>
      <c r="EQM106" s="108"/>
      <c r="EQN106" s="108"/>
      <c r="EQO106" s="108"/>
      <c r="EQP106" s="108"/>
      <c r="EQQ106" s="108"/>
      <c r="EQR106" s="108"/>
      <c r="EQS106" s="108"/>
      <c r="EQT106" s="108"/>
      <c r="EQU106" s="108"/>
      <c r="EQV106" s="108"/>
      <c r="EQW106" s="108"/>
      <c r="EQX106" s="108"/>
      <c r="EQY106" s="108"/>
      <c r="EQZ106" s="108"/>
      <c r="ERA106" s="108"/>
      <c r="ERB106" s="108"/>
      <c r="ERC106" s="108"/>
      <c r="ERD106" s="108"/>
      <c r="ERE106" s="108"/>
      <c r="ERF106" s="108"/>
      <c r="ERG106" s="108"/>
      <c r="ERH106" s="108"/>
      <c r="ERI106" s="108"/>
      <c r="ERJ106" s="108"/>
      <c r="ERK106" s="108"/>
      <c r="ERL106" s="108"/>
      <c r="ERM106" s="108"/>
      <c r="ERN106" s="108"/>
      <c r="ERO106" s="108"/>
      <c r="ERP106" s="108"/>
      <c r="ERQ106" s="108"/>
      <c r="ERR106" s="108"/>
      <c r="ERS106" s="108"/>
      <c r="ERT106" s="108"/>
      <c r="ERU106" s="108"/>
      <c r="ERV106" s="108"/>
      <c r="ERW106" s="108"/>
      <c r="ERX106" s="108"/>
      <c r="ERY106" s="108"/>
      <c r="ERZ106" s="108"/>
      <c r="ESA106" s="108"/>
      <c r="ESB106" s="108"/>
      <c r="ESC106" s="108"/>
      <c r="ESD106" s="108"/>
      <c r="ESE106" s="108"/>
      <c r="ESF106" s="108"/>
      <c r="ESG106" s="108"/>
      <c r="ESH106" s="108"/>
      <c r="ESI106" s="108"/>
      <c r="ESJ106" s="108"/>
      <c r="ESK106" s="108"/>
      <c r="ESL106" s="108"/>
      <c r="ESM106" s="108"/>
      <c r="ESN106" s="108"/>
      <c r="ESO106" s="108"/>
      <c r="ESP106" s="108"/>
      <c r="ESQ106" s="108"/>
      <c r="ESR106" s="108"/>
      <c r="ESS106" s="108"/>
      <c r="EST106" s="108"/>
      <c r="ESU106" s="108"/>
      <c r="ESV106" s="108"/>
      <c r="ESW106" s="108"/>
      <c r="ESX106" s="108"/>
      <c r="ESY106" s="108"/>
      <c r="ESZ106" s="108"/>
      <c r="ETA106" s="108"/>
      <c r="ETB106" s="108"/>
      <c r="ETC106" s="108"/>
      <c r="ETD106" s="108"/>
      <c r="ETE106" s="108"/>
      <c r="ETF106" s="108"/>
      <c r="ETG106" s="108"/>
      <c r="ETH106" s="108"/>
      <c r="ETI106" s="108"/>
      <c r="ETJ106" s="108"/>
      <c r="ETK106" s="108"/>
      <c r="ETL106" s="108"/>
      <c r="ETM106" s="108"/>
      <c r="ETN106" s="108"/>
      <c r="ETO106" s="108"/>
      <c r="ETP106" s="108"/>
      <c r="ETQ106" s="108"/>
      <c r="ETR106" s="108"/>
      <c r="ETS106" s="108"/>
      <c r="ETT106" s="108"/>
      <c r="ETU106" s="108"/>
      <c r="ETV106" s="108"/>
      <c r="ETW106" s="108"/>
      <c r="ETX106" s="108"/>
      <c r="ETY106" s="108"/>
      <c r="ETZ106" s="108"/>
      <c r="EUA106" s="108"/>
      <c r="EUB106" s="108"/>
      <c r="EUC106" s="108"/>
      <c r="EUD106" s="108"/>
      <c r="EUE106" s="108"/>
      <c r="EUF106" s="108"/>
      <c r="EUG106" s="108"/>
      <c r="EUH106" s="108"/>
      <c r="EUI106" s="108"/>
      <c r="EUJ106" s="108"/>
      <c r="EUK106" s="108"/>
      <c r="EUL106" s="108"/>
      <c r="EUM106" s="108"/>
      <c r="EUN106" s="108"/>
      <c r="EUO106" s="108"/>
      <c r="EUP106" s="108"/>
      <c r="EUQ106" s="108"/>
      <c r="EUR106" s="108"/>
      <c r="EUS106" s="108"/>
      <c r="EUT106" s="108"/>
      <c r="EUU106" s="108"/>
      <c r="EUV106" s="108"/>
      <c r="EUW106" s="108"/>
      <c r="EUX106" s="108"/>
      <c r="EUY106" s="108"/>
      <c r="EUZ106" s="108"/>
      <c r="EVA106" s="108"/>
      <c r="EVB106" s="108"/>
      <c r="EVC106" s="108"/>
      <c r="EVD106" s="108"/>
      <c r="EVE106" s="108"/>
      <c r="EVF106" s="108"/>
      <c r="EVG106" s="108"/>
      <c r="EVH106" s="108"/>
      <c r="EVI106" s="108"/>
      <c r="EVJ106" s="108"/>
      <c r="EVK106" s="108"/>
      <c r="EVL106" s="108"/>
      <c r="EVM106" s="108"/>
      <c r="EVN106" s="108"/>
      <c r="EVO106" s="108"/>
      <c r="EVP106" s="108"/>
      <c r="EVQ106" s="108"/>
      <c r="EVR106" s="108"/>
      <c r="EVS106" s="108"/>
      <c r="EVT106" s="108"/>
      <c r="EVU106" s="108"/>
      <c r="EVV106" s="108"/>
      <c r="EVW106" s="108"/>
      <c r="EVX106" s="108"/>
      <c r="EVY106" s="108"/>
      <c r="EVZ106" s="108"/>
      <c r="EWA106" s="108"/>
      <c r="EWB106" s="108"/>
      <c r="EWC106" s="108"/>
      <c r="EWD106" s="108"/>
      <c r="EWE106" s="108"/>
      <c r="EWF106" s="108"/>
      <c r="EWG106" s="108"/>
      <c r="EWH106" s="108"/>
      <c r="EWI106" s="108"/>
      <c r="EWJ106" s="108"/>
      <c r="EWK106" s="108"/>
      <c r="EWL106" s="108"/>
      <c r="EWM106" s="108"/>
      <c r="EWN106" s="108"/>
      <c r="EWO106" s="108"/>
      <c r="EWP106" s="108"/>
      <c r="EWQ106" s="108"/>
      <c r="EWR106" s="108"/>
      <c r="EWS106" s="108"/>
      <c r="EWT106" s="108"/>
      <c r="EWU106" s="108"/>
      <c r="EWV106" s="108"/>
      <c r="EWW106" s="108"/>
      <c r="EWX106" s="108"/>
      <c r="EWY106" s="108"/>
      <c r="EWZ106" s="108"/>
      <c r="EXA106" s="108"/>
      <c r="EXB106" s="108"/>
      <c r="EXC106" s="108"/>
      <c r="EXD106" s="108"/>
      <c r="EXE106" s="108"/>
      <c r="EXF106" s="108"/>
      <c r="EXG106" s="108"/>
      <c r="EXH106" s="108"/>
      <c r="EXI106" s="108"/>
      <c r="EXJ106" s="108"/>
      <c r="EXK106" s="108"/>
      <c r="EXL106" s="108"/>
      <c r="EXM106" s="108"/>
      <c r="EXN106" s="108"/>
      <c r="EXO106" s="108"/>
      <c r="EXP106" s="108"/>
      <c r="EXQ106" s="108"/>
      <c r="EXR106" s="108"/>
      <c r="EXS106" s="108"/>
      <c r="EXT106" s="108"/>
      <c r="EXU106" s="108"/>
      <c r="EXV106" s="108"/>
      <c r="EXW106" s="108"/>
      <c r="EXX106" s="108"/>
      <c r="EXY106" s="108"/>
      <c r="EXZ106" s="108"/>
      <c r="EYA106" s="108"/>
      <c r="EYB106" s="108"/>
      <c r="EYC106" s="108"/>
      <c r="EYD106" s="108"/>
      <c r="EYE106" s="108"/>
      <c r="EYF106" s="108"/>
      <c r="EYG106" s="108"/>
      <c r="EYH106" s="108"/>
      <c r="EYI106" s="108"/>
      <c r="EYJ106" s="108"/>
      <c r="EYK106" s="108"/>
      <c r="EYL106" s="108"/>
      <c r="EYM106" s="108"/>
      <c r="EYN106" s="108"/>
      <c r="EYO106" s="108"/>
      <c r="EYP106" s="108"/>
      <c r="EYQ106" s="108"/>
      <c r="EYR106" s="108"/>
      <c r="EYS106" s="108"/>
      <c r="EYT106" s="108"/>
      <c r="EYU106" s="108"/>
      <c r="EYV106" s="108"/>
      <c r="EYW106" s="108"/>
      <c r="EYX106" s="108"/>
      <c r="EYY106" s="108"/>
      <c r="EYZ106" s="108"/>
      <c r="EZA106" s="108"/>
      <c r="EZB106" s="108"/>
      <c r="EZC106" s="108"/>
      <c r="EZD106" s="108"/>
      <c r="EZE106" s="108"/>
      <c r="EZF106" s="108"/>
      <c r="EZG106" s="108"/>
      <c r="EZH106" s="108"/>
      <c r="EZI106" s="108"/>
      <c r="EZJ106" s="108"/>
      <c r="EZK106" s="108"/>
      <c r="EZL106" s="108"/>
      <c r="EZM106" s="108"/>
      <c r="EZN106" s="108"/>
      <c r="EZO106" s="108"/>
      <c r="EZP106" s="108"/>
      <c r="EZQ106" s="108"/>
      <c r="EZR106" s="108"/>
      <c r="EZS106" s="108"/>
      <c r="EZT106" s="108"/>
      <c r="EZU106" s="108"/>
      <c r="EZV106" s="108"/>
      <c r="EZW106" s="108"/>
      <c r="EZX106" s="108"/>
      <c r="EZY106" s="108"/>
      <c r="EZZ106" s="108"/>
      <c r="FAA106" s="108"/>
      <c r="FAB106" s="108"/>
      <c r="FAC106" s="108"/>
      <c r="FAD106" s="108"/>
      <c r="FAE106" s="108"/>
      <c r="FAF106" s="108"/>
      <c r="FAG106" s="108"/>
      <c r="FAH106" s="108"/>
      <c r="FAI106" s="108"/>
      <c r="FAJ106" s="108"/>
      <c r="FAK106" s="108"/>
      <c r="FAL106" s="108"/>
      <c r="FAM106" s="108"/>
      <c r="FAN106" s="108"/>
      <c r="FAO106" s="108"/>
      <c r="FAP106" s="108"/>
      <c r="FAQ106" s="108"/>
      <c r="FAR106" s="108"/>
      <c r="FAS106" s="108"/>
      <c r="FAT106" s="108"/>
      <c r="FAU106" s="108"/>
      <c r="FAV106" s="108"/>
      <c r="FAW106" s="108"/>
      <c r="FAX106" s="108"/>
      <c r="FAY106" s="108"/>
      <c r="FAZ106" s="108"/>
      <c r="FBA106" s="108"/>
      <c r="FBB106" s="108"/>
      <c r="FBC106" s="108"/>
      <c r="FBD106" s="108"/>
      <c r="FBE106" s="108"/>
      <c r="FBF106" s="108"/>
      <c r="FBG106" s="108"/>
      <c r="FBH106" s="108"/>
      <c r="FBI106" s="108"/>
      <c r="FBJ106" s="108"/>
      <c r="FBK106" s="108"/>
      <c r="FBL106" s="108"/>
      <c r="FBM106" s="108"/>
      <c r="FBN106" s="108"/>
      <c r="FBO106" s="108"/>
      <c r="FBP106" s="108"/>
      <c r="FBQ106" s="108"/>
      <c r="FBR106" s="108"/>
      <c r="FBS106" s="108"/>
      <c r="FBT106" s="108"/>
      <c r="FBU106" s="108"/>
      <c r="FBV106" s="108"/>
      <c r="FBW106" s="108"/>
      <c r="FBX106" s="108"/>
      <c r="FBY106" s="108"/>
      <c r="FBZ106" s="108"/>
      <c r="FCA106" s="108"/>
      <c r="FCB106" s="108"/>
      <c r="FCC106" s="108"/>
      <c r="FCD106" s="108"/>
      <c r="FCE106" s="108"/>
      <c r="FCF106" s="108"/>
      <c r="FCG106" s="108"/>
      <c r="FCH106" s="108"/>
      <c r="FCI106" s="108"/>
      <c r="FCJ106" s="108"/>
      <c r="FCK106" s="108"/>
      <c r="FCL106" s="108"/>
      <c r="FCM106" s="108"/>
      <c r="FCN106" s="108"/>
      <c r="FCO106" s="108"/>
      <c r="FCP106" s="108"/>
      <c r="FCQ106" s="108"/>
      <c r="FCR106" s="108"/>
      <c r="FCS106" s="108"/>
      <c r="FCT106" s="108"/>
      <c r="FCU106" s="108"/>
      <c r="FCV106" s="108"/>
      <c r="FCW106" s="108"/>
      <c r="FCX106" s="108"/>
      <c r="FCY106" s="108"/>
      <c r="FCZ106" s="108"/>
      <c r="FDA106" s="108"/>
      <c r="FDB106" s="108"/>
      <c r="FDC106" s="108"/>
      <c r="FDD106" s="108"/>
      <c r="FDE106" s="108"/>
      <c r="FDF106" s="108"/>
      <c r="FDG106" s="108"/>
      <c r="FDH106" s="108"/>
      <c r="FDI106" s="108"/>
      <c r="FDJ106" s="108"/>
      <c r="FDK106" s="108"/>
      <c r="FDL106" s="108"/>
      <c r="FDM106" s="108"/>
      <c r="FDN106" s="108"/>
      <c r="FDO106" s="108"/>
      <c r="FDP106" s="108"/>
      <c r="FDQ106" s="108"/>
      <c r="FDR106" s="108"/>
      <c r="FDS106" s="108"/>
      <c r="FDT106" s="108"/>
      <c r="FDU106" s="108"/>
      <c r="FDV106" s="108"/>
      <c r="FDW106" s="108"/>
      <c r="FDX106" s="108"/>
      <c r="FDY106" s="108"/>
      <c r="FDZ106" s="108"/>
      <c r="FEA106" s="108"/>
      <c r="FEB106" s="108"/>
      <c r="FEC106" s="108"/>
      <c r="FED106" s="108"/>
      <c r="FEE106" s="108"/>
      <c r="FEF106" s="108"/>
      <c r="FEG106" s="108"/>
      <c r="FEH106" s="108"/>
      <c r="FEI106" s="108"/>
      <c r="FEJ106" s="108"/>
      <c r="FEK106" s="108"/>
      <c r="FEL106" s="108"/>
      <c r="FEM106" s="108"/>
      <c r="FEN106" s="108"/>
      <c r="FEO106" s="108"/>
      <c r="FEP106" s="108"/>
      <c r="FEQ106" s="108"/>
      <c r="FER106" s="108"/>
      <c r="FES106" s="108"/>
      <c r="FET106" s="108"/>
      <c r="FEU106" s="108"/>
      <c r="FEV106" s="108"/>
      <c r="FEW106" s="108"/>
      <c r="FEX106" s="108"/>
      <c r="FEY106" s="108"/>
      <c r="FEZ106" s="108"/>
      <c r="FFA106" s="108"/>
      <c r="FFB106" s="108"/>
      <c r="FFC106" s="108"/>
      <c r="FFD106" s="108"/>
      <c r="FFE106" s="108"/>
      <c r="FFF106" s="108"/>
      <c r="FFG106" s="108"/>
      <c r="FFH106" s="108"/>
      <c r="FFI106" s="108"/>
      <c r="FFJ106" s="108"/>
      <c r="FFK106" s="108"/>
      <c r="FFL106" s="108"/>
      <c r="FFM106" s="108"/>
      <c r="FFN106" s="108"/>
      <c r="FFO106" s="108"/>
      <c r="FFP106" s="108"/>
      <c r="FFQ106" s="108"/>
      <c r="FFR106" s="108"/>
      <c r="FFS106" s="108"/>
      <c r="FFT106" s="108"/>
      <c r="FFU106" s="108"/>
      <c r="FFV106" s="108"/>
      <c r="FFW106" s="108"/>
      <c r="FFX106" s="108"/>
      <c r="FFY106" s="108"/>
      <c r="FFZ106" s="108"/>
      <c r="FGA106" s="108"/>
      <c r="FGB106" s="108"/>
      <c r="FGC106" s="108"/>
      <c r="FGD106" s="108"/>
      <c r="FGE106" s="108"/>
      <c r="FGF106" s="108"/>
      <c r="FGG106" s="108"/>
      <c r="FGH106" s="108"/>
      <c r="FGI106" s="108"/>
      <c r="FGJ106" s="108"/>
      <c r="FGK106" s="108"/>
      <c r="FGL106" s="108"/>
      <c r="FGM106" s="108"/>
      <c r="FGN106" s="108"/>
      <c r="FGO106" s="108"/>
      <c r="FGP106" s="108"/>
      <c r="FGQ106" s="108"/>
      <c r="FGR106" s="108"/>
      <c r="FGS106" s="108"/>
      <c r="FGT106" s="108"/>
      <c r="FGU106" s="108"/>
      <c r="FGV106" s="108"/>
      <c r="FGW106" s="108"/>
      <c r="FGX106" s="108"/>
      <c r="FGY106" s="108"/>
      <c r="FGZ106" s="108"/>
      <c r="FHA106" s="108"/>
      <c r="FHB106" s="108"/>
      <c r="FHC106" s="108"/>
      <c r="FHD106" s="108"/>
      <c r="FHE106" s="108"/>
      <c r="FHF106" s="108"/>
      <c r="FHG106" s="108"/>
      <c r="FHH106" s="108"/>
      <c r="FHI106" s="108"/>
      <c r="FHJ106" s="108"/>
      <c r="FHK106" s="108"/>
      <c r="FHL106" s="108"/>
      <c r="FHM106" s="108"/>
      <c r="FHN106" s="108"/>
      <c r="FHO106" s="108"/>
      <c r="FHP106" s="108"/>
      <c r="FHQ106" s="108"/>
      <c r="FHR106" s="108"/>
      <c r="FHS106" s="108"/>
      <c r="FHT106" s="108"/>
      <c r="FHU106" s="108"/>
      <c r="FHV106" s="108"/>
      <c r="FHW106" s="108"/>
      <c r="FHX106" s="108"/>
      <c r="FHY106" s="108"/>
      <c r="FHZ106" s="108"/>
      <c r="FIA106" s="108"/>
      <c r="FIB106" s="108"/>
      <c r="FIC106" s="108"/>
      <c r="FID106" s="108"/>
      <c r="FIE106" s="108"/>
      <c r="FIF106" s="108"/>
      <c r="FIG106" s="108"/>
      <c r="FIH106" s="108"/>
      <c r="FII106" s="108"/>
      <c r="FIJ106" s="108"/>
      <c r="FIK106" s="108"/>
      <c r="FIL106" s="108"/>
      <c r="FIM106" s="108"/>
      <c r="FIN106" s="108"/>
      <c r="FIO106" s="108"/>
      <c r="FIP106" s="108"/>
      <c r="FIQ106" s="108"/>
      <c r="FIR106" s="108"/>
      <c r="FIS106" s="108"/>
      <c r="FIT106" s="108"/>
      <c r="FIU106" s="108"/>
      <c r="FIV106" s="108"/>
      <c r="FIW106" s="108"/>
      <c r="FIX106" s="108"/>
      <c r="FIY106" s="108"/>
      <c r="FIZ106" s="108"/>
      <c r="FJA106" s="108"/>
      <c r="FJB106" s="108"/>
      <c r="FJC106" s="108"/>
      <c r="FJD106" s="108"/>
      <c r="FJE106" s="108"/>
      <c r="FJF106" s="108"/>
      <c r="FJG106" s="108"/>
      <c r="FJH106" s="108"/>
      <c r="FJI106" s="108"/>
      <c r="FJJ106" s="108"/>
      <c r="FJK106" s="108"/>
      <c r="FJL106" s="108"/>
      <c r="FJM106" s="108"/>
      <c r="FJN106" s="108"/>
      <c r="FJO106" s="108"/>
      <c r="FJP106" s="108"/>
      <c r="FJQ106" s="108"/>
      <c r="FJR106" s="108"/>
      <c r="FJS106" s="108"/>
      <c r="FJT106" s="108"/>
      <c r="FJU106" s="108"/>
      <c r="FJV106" s="108"/>
      <c r="FJW106" s="108"/>
      <c r="FJX106" s="108"/>
      <c r="FJY106" s="108"/>
      <c r="FJZ106" s="108"/>
      <c r="FKA106" s="108"/>
      <c r="FKB106" s="108"/>
      <c r="FKC106" s="108"/>
      <c r="FKD106" s="108"/>
      <c r="FKE106" s="108"/>
      <c r="FKF106" s="108"/>
      <c r="FKG106" s="108"/>
      <c r="FKH106" s="108"/>
      <c r="FKI106" s="108"/>
      <c r="FKJ106" s="108"/>
      <c r="FKK106" s="108"/>
      <c r="FKL106" s="108"/>
      <c r="FKM106" s="108"/>
      <c r="FKN106" s="108"/>
      <c r="FKO106" s="108"/>
      <c r="FKP106" s="108"/>
      <c r="FKQ106" s="108"/>
      <c r="FKR106" s="108"/>
      <c r="FKS106" s="108"/>
      <c r="FKT106" s="108"/>
      <c r="FKU106" s="108"/>
      <c r="FKV106" s="108"/>
      <c r="FKW106" s="108"/>
      <c r="FKX106" s="108"/>
      <c r="FKY106" s="108"/>
      <c r="FKZ106" s="108"/>
      <c r="FLA106" s="108"/>
      <c r="FLB106" s="108"/>
      <c r="FLC106" s="108"/>
      <c r="FLD106" s="108"/>
      <c r="FLE106" s="108"/>
      <c r="FLF106" s="108"/>
      <c r="FLG106" s="108"/>
      <c r="FLH106" s="108"/>
      <c r="FLI106" s="108"/>
      <c r="FLJ106" s="108"/>
      <c r="FLK106" s="108"/>
      <c r="FLL106" s="108"/>
      <c r="FLM106" s="108"/>
      <c r="FLN106" s="108"/>
      <c r="FLO106" s="108"/>
      <c r="FLP106" s="108"/>
      <c r="FLQ106" s="108"/>
      <c r="FLR106" s="108"/>
      <c r="FLS106" s="108"/>
      <c r="FLT106" s="108"/>
      <c r="FLU106" s="108"/>
      <c r="FLV106" s="108"/>
      <c r="FLW106" s="108"/>
      <c r="FLX106" s="108"/>
      <c r="FLY106" s="108"/>
      <c r="FLZ106" s="108"/>
      <c r="FMA106" s="108"/>
      <c r="FMB106" s="108"/>
      <c r="FMC106" s="108"/>
      <c r="FMD106" s="108"/>
      <c r="FME106" s="108"/>
      <c r="FMF106" s="108"/>
      <c r="FMG106" s="108"/>
      <c r="FMH106" s="108"/>
      <c r="FMI106" s="108"/>
      <c r="FMJ106" s="108"/>
      <c r="FMK106" s="108"/>
      <c r="FML106" s="108"/>
      <c r="FMM106" s="108"/>
      <c r="FMN106" s="108"/>
      <c r="FMO106" s="108"/>
      <c r="FMP106" s="108"/>
      <c r="FMQ106" s="108"/>
      <c r="FMR106" s="108"/>
      <c r="FMS106" s="108"/>
      <c r="FMT106" s="108"/>
      <c r="FMU106" s="108"/>
      <c r="FMV106" s="108"/>
      <c r="FMW106" s="108"/>
      <c r="FMX106" s="108"/>
      <c r="FMY106" s="108"/>
      <c r="FMZ106" s="108"/>
      <c r="FNA106" s="108"/>
      <c r="FNB106" s="108"/>
      <c r="FNC106" s="108"/>
      <c r="FND106" s="108"/>
      <c r="FNE106" s="108"/>
      <c r="FNF106" s="108"/>
      <c r="FNG106" s="108"/>
      <c r="FNH106" s="108"/>
      <c r="FNI106" s="108"/>
      <c r="FNJ106" s="108"/>
      <c r="FNK106" s="108"/>
      <c r="FNL106" s="108"/>
      <c r="FNM106" s="108"/>
      <c r="FNN106" s="108"/>
      <c r="FNO106" s="108"/>
      <c r="FNP106" s="108"/>
      <c r="FNQ106" s="108"/>
      <c r="FNR106" s="108"/>
      <c r="FNS106" s="108"/>
      <c r="FNT106" s="108"/>
      <c r="FNU106" s="108"/>
      <c r="FNV106" s="108"/>
      <c r="FNW106" s="108"/>
      <c r="FNX106" s="108"/>
      <c r="FNY106" s="108"/>
      <c r="FNZ106" s="108"/>
      <c r="FOA106" s="108"/>
      <c r="FOB106" s="108"/>
      <c r="FOC106" s="108"/>
      <c r="FOD106" s="108"/>
      <c r="FOE106" s="108"/>
      <c r="FOF106" s="108"/>
      <c r="FOG106" s="108"/>
      <c r="FOH106" s="108"/>
      <c r="FOI106" s="108"/>
      <c r="FOJ106" s="108"/>
      <c r="FOK106" s="108"/>
      <c r="FOL106" s="108"/>
      <c r="FOM106" s="108"/>
      <c r="FON106" s="108"/>
      <c r="FOO106" s="108"/>
      <c r="FOP106" s="108"/>
      <c r="FOQ106" s="108"/>
      <c r="FOR106" s="108"/>
      <c r="FOS106" s="108"/>
      <c r="FOT106" s="108"/>
      <c r="FOU106" s="108"/>
      <c r="FOV106" s="108"/>
      <c r="FOW106" s="108"/>
      <c r="FOX106" s="108"/>
      <c r="FOY106" s="108"/>
      <c r="FOZ106" s="108"/>
      <c r="FPA106" s="108"/>
      <c r="FPB106" s="108"/>
      <c r="FPC106" s="108"/>
      <c r="FPD106" s="108"/>
      <c r="FPE106" s="108"/>
      <c r="FPF106" s="108"/>
      <c r="FPG106" s="108"/>
      <c r="FPH106" s="108"/>
      <c r="FPI106" s="108"/>
      <c r="FPJ106" s="108"/>
      <c r="FPK106" s="108"/>
      <c r="FPL106" s="108"/>
      <c r="FPM106" s="108"/>
      <c r="FPN106" s="108"/>
      <c r="FPO106" s="108"/>
      <c r="FPP106" s="108"/>
      <c r="FPQ106" s="108"/>
      <c r="FPR106" s="108"/>
      <c r="FPS106" s="108"/>
      <c r="FPT106" s="108"/>
      <c r="FPU106" s="108"/>
      <c r="FPV106" s="108"/>
      <c r="FPW106" s="108"/>
      <c r="FPX106" s="108"/>
      <c r="FPY106" s="108"/>
      <c r="FPZ106" s="108"/>
      <c r="FQA106" s="108"/>
      <c r="FQB106" s="108"/>
      <c r="FQC106" s="108"/>
      <c r="FQD106" s="108"/>
      <c r="FQE106" s="108"/>
      <c r="FQF106" s="108"/>
      <c r="FQG106" s="108"/>
      <c r="FQH106" s="108"/>
      <c r="FQI106" s="108"/>
      <c r="FQJ106" s="108"/>
      <c r="FQK106" s="108"/>
      <c r="FQL106" s="108"/>
      <c r="FQM106" s="108"/>
      <c r="FQN106" s="108"/>
      <c r="FQO106" s="108"/>
      <c r="FQP106" s="108"/>
      <c r="FQQ106" s="108"/>
      <c r="FQR106" s="108"/>
      <c r="FQS106" s="108"/>
      <c r="FQT106" s="108"/>
      <c r="FQU106" s="108"/>
      <c r="FQV106" s="108"/>
      <c r="FQW106" s="108"/>
      <c r="FQX106" s="108"/>
      <c r="FQY106" s="108"/>
      <c r="FQZ106" s="108"/>
      <c r="FRA106" s="108"/>
      <c r="FRB106" s="108"/>
      <c r="FRC106" s="108"/>
      <c r="FRD106" s="108"/>
      <c r="FRE106" s="108"/>
      <c r="FRF106" s="108"/>
      <c r="FRG106" s="108"/>
      <c r="FRH106" s="108"/>
      <c r="FRI106" s="108"/>
      <c r="FRJ106" s="108"/>
      <c r="FRK106" s="108"/>
      <c r="FRL106" s="108"/>
      <c r="FRM106" s="108"/>
      <c r="FRN106" s="108"/>
      <c r="FRO106" s="108"/>
      <c r="FRP106" s="108"/>
      <c r="FRQ106" s="108"/>
      <c r="FRR106" s="108"/>
      <c r="FRS106" s="108"/>
      <c r="FRT106" s="108"/>
      <c r="FRU106" s="108"/>
      <c r="FRV106" s="108"/>
      <c r="FRW106" s="108"/>
      <c r="FRX106" s="108"/>
      <c r="FRY106" s="108"/>
      <c r="FRZ106" s="108"/>
      <c r="FSA106" s="108"/>
      <c r="FSB106" s="108"/>
      <c r="FSC106" s="108"/>
      <c r="FSD106" s="108"/>
      <c r="FSE106" s="108"/>
      <c r="FSF106" s="108"/>
      <c r="FSG106" s="108"/>
      <c r="FSH106" s="108"/>
      <c r="FSI106" s="108"/>
      <c r="FSJ106" s="108"/>
      <c r="FSK106" s="108"/>
      <c r="FSL106" s="108"/>
      <c r="FSM106" s="108"/>
      <c r="FSN106" s="108"/>
      <c r="FSO106" s="108"/>
      <c r="FSP106" s="108"/>
      <c r="FSQ106" s="108"/>
      <c r="FSR106" s="108"/>
      <c r="FSS106" s="108"/>
      <c r="FST106" s="108"/>
      <c r="FSU106" s="108"/>
      <c r="FSV106" s="108"/>
      <c r="FSW106" s="108"/>
      <c r="FSX106" s="108"/>
      <c r="FSY106" s="108"/>
      <c r="FSZ106" s="108"/>
      <c r="FTA106" s="108"/>
      <c r="FTB106" s="108"/>
      <c r="FTC106" s="108"/>
      <c r="FTD106" s="108"/>
      <c r="FTE106" s="108"/>
      <c r="FTF106" s="108"/>
      <c r="FTG106" s="108"/>
      <c r="FTH106" s="108"/>
      <c r="FTI106" s="108"/>
      <c r="FTJ106" s="108"/>
      <c r="FTK106" s="108"/>
      <c r="FTL106" s="108"/>
      <c r="FTM106" s="108"/>
      <c r="FTN106" s="108"/>
      <c r="FTO106" s="108"/>
      <c r="FTP106" s="108"/>
      <c r="FTQ106" s="108"/>
      <c r="FTR106" s="108"/>
      <c r="FTS106" s="108"/>
      <c r="FTT106" s="108"/>
      <c r="FTU106" s="108"/>
      <c r="FTV106" s="108"/>
      <c r="FTW106" s="108"/>
      <c r="FTX106" s="108"/>
      <c r="FTY106" s="108"/>
      <c r="FTZ106" s="108"/>
      <c r="FUA106" s="108"/>
      <c r="FUB106" s="108"/>
      <c r="FUC106" s="108"/>
      <c r="FUD106" s="108"/>
      <c r="FUE106" s="108"/>
      <c r="FUF106" s="108"/>
      <c r="FUG106" s="108"/>
      <c r="FUH106" s="108"/>
      <c r="FUI106" s="108"/>
      <c r="FUJ106" s="108"/>
      <c r="FUK106" s="108"/>
      <c r="FUL106" s="108"/>
      <c r="FUM106" s="108"/>
      <c r="FUN106" s="108"/>
      <c r="FUO106" s="108"/>
      <c r="FUP106" s="108"/>
      <c r="FUQ106" s="108"/>
      <c r="FUR106" s="108"/>
      <c r="FUS106" s="108"/>
      <c r="FUT106" s="108"/>
      <c r="FUU106" s="108"/>
      <c r="FUV106" s="108"/>
      <c r="FUW106" s="108"/>
      <c r="FUX106" s="108"/>
      <c r="FUY106" s="108"/>
      <c r="FUZ106" s="108"/>
      <c r="FVA106" s="108"/>
      <c r="FVB106" s="108"/>
      <c r="FVC106" s="108"/>
      <c r="FVD106" s="108"/>
      <c r="FVE106" s="108"/>
      <c r="FVF106" s="108"/>
      <c r="FVG106" s="108"/>
      <c r="FVH106" s="108"/>
      <c r="FVI106" s="108"/>
      <c r="FVJ106" s="108"/>
      <c r="FVK106" s="108"/>
      <c r="FVL106" s="108"/>
      <c r="FVM106" s="108"/>
      <c r="FVN106" s="108"/>
      <c r="FVO106" s="108"/>
      <c r="FVP106" s="108"/>
      <c r="FVQ106" s="108"/>
      <c r="FVR106" s="108"/>
      <c r="FVS106" s="108"/>
      <c r="FVT106" s="108"/>
      <c r="FVU106" s="108"/>
      <c r="FVV106" s="108"/>
      <c r="FVW106" s="108"/>
      <c r="FVX106" s="108"/>
      <c r="FVY106" s="108"/>
      <c r="FVZ106" s="108"/>
      <c r="FWA106" s="108"/>
      <c r="FWB106" s="108"/>
      <c r="FWC106" s="108"/>
      <c r="FWD106" s="108"/>
      <c r="FWE106" s="108"/>
      <c r="FWF106" s="108"/>
      <c r="FWG106" s="108"/>
      <c r="FWH106" s="108"/>
      <c r="FWI106" s="108"/>
      <c r="FWJ106" s="108"/>
      <c r="FWK106" s="108"/>
      <c r="FWL106" s="108"/>
      <c r="FWM106" s="108"/>
      <c r="FWN106" s="108"/>
      <c r="FWO106" s="108"/>
      <c r="FWP106" s="108"/>
      <c r="FWQ106" s="108"/>
      <c r="FWR106" s="108"/>
      <c r="FWS106" s="108"/>
      <c r="FWT106" s="108"/>
      <c r="FWU106" s="108"/>
      <c r="FWV106" s="108"/>
      <c r="FWW106" s="108"/>
      <c r="FWX106" s="108"/>
      <c r="FWY106" s="108"/>
      <c r="FWZ106" s="108"/>
      <c r="FXA106" s="108"/>
      <c r="FXB106" s="108"/>
      <c r="FXC106" s="108"/>
      <c r="FXD106" s="108"/>
      <c r="FXE106" s="108"/>
      <c r="FXF106" s="108"/>
      <c r="FXG106" s="108"/>
      <c r="FXH106" s="108"/>
      <c r="FXI106" s="108"/>
      <c r="FXJ106" s="108"/>
      <c r="FXK106" s="108"/>
      <c r="FXL106" s="108"/>
      <c r="FXM106" s="108"/>
      <c r="FXN106" s="108"/>
      <c r="FXO106" s="108"/>
      <c r="FXP106" s="108"/>
      <c r="FXQ106" s="108"/>
      <c r="FXR106" s="108"/>
      <c r="FXS106" s="108"/>
      <c r="FXT106" s="108"/>
      <c r="FXU106" s="108"/>
      <c r="FXV106" s="108"/>
      <c r="FXW106" s="108"/>
      <c r="FXX106" s="108"/>
      <c r="FXY106" s="108"/>
      <c r="FXZ106" s="108"/>
      <c r="FYA106" s="108"/>
      <c r="FYB106" s="108"/>
      <c r="FYC106" s="108"/>
      <c r="FYD106" s="108"/>
      <c r="FYE106" s="108"/>
      <c r="FYF106" s="108"/>
      <c r="FYG106" s="108"/>
      <c r="FYH106" s="108"/>
      <c r="FYI106" s="108"/>
      <c r="FYJ106" s="108"/>
      <c r="FYK106" s="108"/>
      <c r="FYL106" s="108"/>
      <c r="FYM106" s="108"/>
      <c r="FYN106" s="108"/>
      <c r="FYO106" s="108"/>
      <c r="FYP106" s="108"/>
      <c r="FYQ106" s="108"/>
      <c r="FYR106" s="108"/>
      <c r="FYS106" s="108"/>
      <c r="FYT106" s="108"/>
      <c r="FYU106" s="108"/>
      <c r="FYV106" s="108"/>
      <c r="FYW106" s="108"/>
      <c r="FYX106" s="108"/>
      <c r="FYY106" s="108"/>
      <c r="FYZ106" s="108"/>
      <c r="FZA106" s="108"/>
      <c r="FZB106" s="108"/>
      <c r="FZC106" s="108"/>
      <c r="FZD106" s="108"/>
      <c r="FZE106" s="108"/>
      <c r="FZF106" s="108"/>
      <c r="FZG106" s="108"/>
      <c r="FZH106" s="108"/>
      <c r="FZI106" s="108"/>
      <c r="FZJ106" s="108"/>
      <c r="FZK106" s="108"/>
      <c r="FZL106" s="108"/>
      <c r="FZM106" s="108"/>
      <c r="FZN106" s="108"/>
      <c r="FZO106" s="108"/>
      <c r="FZP106" s="108"/>
      <c r="FZQ106" s="108"/>
      <c r="FZR106" s="108"/>
      <c r="FZS106" s="108"/>
      <c r="FZT106" s="108"/>
      <c r="FZU106" s="108"/>
      <c r="FZV106" s="108"/>
      <c r="FZW106" s="108"/>
      <c r="FZX106" s="108"/>
      <c r="FZY106" s="108"/>
      <c r="FZZ106" s="108"/>
      <c r="GAA106" s="108"/>
      <c r="GAB106" s="108"/>
      <c r="GAC106" s="108"/>
      <c r="GAD106" s="108"/>
      <c r="GAE106" s="108"/>
      <c r="GAF106" s="108"/>
      <c r="GAG106" s="108"/>
      <c r="GAH106" s="108"/>
      <c r="GAI106" s="108"/>
      <c r="GAJ106" s="108"/>
      <c r="GAK106" s="108"/>
      <c r="GAL106" s="108"/>
      <c r="GAM106" s="108"/>
      <c r="GAN106" s="108"/>
      <c r="GAO106" s="108"/>
      <c r="GAP106" s="108"/>
      <c r="GAQ106" s="108"/>
      <c r="GAR106" s="108"/>
      <c r="GAS106" s="108"/>
      <c r="GAT106" s="108"/>
      <c r="GAU106" s="108"/>
      <c r="GAV106" s="108"/>
      <c r="GAW106" s="108"/>
      <c r="GAX106" s="108"/>
      <c r="GAY106" s="108"/>
      <c r="GAZ106" s="108"/>
      <c r="GBA106" s="108"/>
      <c r="GBB106" s="108"/>
      <c r="GBC106" s="108"/>
      <c r="GBD106" s="108"/>
      <c r="GBE106" s="108"/>
      <c r="GBF106" s="108"/>
      <c r="GBG106" s="108"/>
      <c r="GBH106" s="108"/>
      <c r="GBI106" s="108"/>
      <c r="GBJ106" s="108"/>
      <c r="GBK106" s="108"/>
      <c r="GBL106" s="108"/>
      <c r="GBM106" s="108"/>
      <c r="GBN106" s="108"/>
      <c r="GBO106" s="108"/>
      <c r="GBP106" s="108"/>
      <c r="GBQ106" s="108"/>
      <c r="GBR106" s="108"/>
      <c r="GBS106" s="108"/>
      <c r="GBT106" s="108"/>
      <c r="GBU106" s="108"/>
      <c r="GBV106" s="108"/>
      <c r="GBW106" s="108"/>
      <c r="GBX106" s="108"/>
      <c r="GBY106" s="108"/>
      <c r="GBZ106" s="108"/>
      <c r="GCA106" s="108"/>
      <c r="GCB106" s="108"/>
      <c r="GCC106" s="108"/>
      <c r="GCD106" s="108"/>
      <c r="GCE106" s="108"/>
      <c r="GCF106" s="108"/>
      <c r="GCG106" s="108"/>
      <c r="GCH106" s="108"/>
      <c r="GCI106" s="108"/>
      <c r="GCJ106" s="108"/>
      <c r="GCK106" s="108"/>
      <c r="GCL106" s="108"/>
      <c r="GCM106" s="108"/>
      <c r="GCN106" s="108"/>
      <c r="GCO106" s="108"/>
      <c r="GCP106" s="108"/>
      <c r="GCQ106" s="108"/>
      <c r="GCR106" s="108"/>
      <c r="GCS106" s="108"/>
      <c r="GCT106" s="108"/>
      <c r="GCU106" s="108"/>
      <c r="GCV106" s="108"/>
      <c r="GCW106" s="108"/>
      <c r="GCX106" s="108"/>
      <c r="GCY106" s="108"/>
      <c r="GCZ106" s="108"/>
      <c r="GDA106" s="108"/>
      <c r="GDB106" s="108"/>
      <c r="GDC106" s="108"/>
      <c r="GDD106" s="108"/>
      <c r="GDE106" s="108"/>
      <c r="GDF106" s="108"/>
      <c r="GDG106" s="108"/>
      <c r="GDH106" s="108"/>
      <c r="GDI106" s="108"/>
      <c r="GDJ106" s="108"/>
      <c r="GDK106" s="108"/>
      <c r="GDL106" s="108"/>
      <c r="GDM106" s="108"/>
      <c r="GDN106" s="108"/>
      <c r="GDO106" s="108"/>
      <c r="GDP106" s="108"/>
      <c r="GDQ106" s="108"/>
      <c r="GDR106" s="108"/>
      <c r="GDS106" s="108"/>
      <c r="GDT106" s="108"/>
      <c r="GDU106" s="108"/>
      <c r="GDV106" s="108"/>
      <c r="GDW106" s="108"/>
      <c r="GDX106" s="108"/>
      <c r="GDY106" s="108"/>
      <c r="GDZ106" s="108"/>
      <c r="GEA106" s="108"/>
      <c r="GEB106" s="108"/>
      <c r="GEC106" s="108"/>
      <c r="GED106" s="108"/>
      <c r="GEE106" s="108"/>
      <c r="GEF106" s="108"/>
      <c r="GEG106" s="108"/>
      <c r="GEH106" s="108"/>
      <c r="GEI106" s="108"/>
      <c r="GEJ106" s="108"/>
      <c r="GEK106" s="108"/>
      <c r="GEL106" s="108"/>
      <c r="GEM106" s="108"/>
      <c r="GEN106" s="108"/>
      <c r="GEO106" s="108"/>
      <c r="GEP106" s="108"/>
      <c r="GEQ106" s="108"/>
      <c r="GER106" s="108"/>
      <c r="GES106" s="108"/>
      <c r="GET106" s="108"/>
      <c r="GEU106" s="108"/>
      <c r="GEV106" s="108"/>
      <c r="GEW106" s="108"/>
      <c r="GEX106" s="108"/>
      <c r="GEY106" s="108"/>
      <c r="GEZ106" s="108"/>
      <c r="GFA106" s="108"/>
      <c r="GFB106" s="108"/>
      <c r="GFC106" s="108"/>
      <c r="GFD106" s="108"/>
      <c r="GFE106" s="108"/>
      <c r="GFF106" s="108"/>
      <c r="GFG106" s="108"/>
      <c r="GFH106" s="108"/>
      <c r="GFI106" s="108"/>
      <c r="GFJ106" s="108"/>
      <c r="GFK106" s="108"/>
      <c r="GFL106" s="108"/>
      <c r="GFM106" s="108"/>
      <c r="GFN106" s="108"/>
      <c r="GFO106" s="108"/>
      <c r="GFP106" s="108"/>
      <c r="GFQ106" s="108"/>
      <c r="GFR106" s="108"/>
      <c r="GFS106" s="108"/>
      <c r="GFT106" s="108"/>
      <c r="GFU106" s="108"/>
      <c r="GFV106" s="108"/>
      <c r="GFW106" s="108"/>
      <c r="GFX106" s="108"/>
      <c r="GFY106" s="108"/>
      <c r="GFZ106" s="108"/>
      <c r="GGA106" s="108"/>
      <c r="GGB106" s="108"/>
      <c r="GGC106" s="108"/>
      <c r="GGD106" s="108"/>
      <c r="GGE106" s="108"/>
      <c r="GGF106" s="108"/>
      <c r="GGG106" s="108"/>
      <c r="GGH106" s="108"/>
      <c r="GGI106" s="108"/>
      <c r="GGJ106" s="108"/>
      <c r="GGK106" s="108"/>
      <c r="GGL106" s="108"/>
      <c r="GGM106" s="108"/>
      <c r="GGN106" s="108"/>
      <c r="GGO106" s="108"/>
      <c r="GGP106" s="108"/>
      <c r="GGQ106" s="108"/>
      <c r="GGR106" s="108"/>
      <c r="GGS106" s="108"/>
      <c r="GGT106" s="108"/>
      <c r="GGU106" s="108"/>
      <c r="GGV106" s="108"/>
      <c r="GGW106" s="108"/>
      <c r="GGX106" s="108"/>
      <c r="GGY106" s="108"/>
      <c r="GGZ106" s="108"/>
      <c r="GHA106" s="108"/>
      <c r="GHB106" s="108"/>
      <c r="GHC106" s="108"/>
      <c r="GHD106" s="108"/>
      <c r="GHE106" s="108"/>
      <c r="GHF106" s="108"/>
      <c r="GHG106" s="108"/>
      <c r="GHH106" s="108"/>
      <c r="GHI106" s="108"/>
      <c r="GHJ106" s="108"/>
      <c r="GHK106" s="108"/>
      <c r="GHL106" s="108"/>
      <c r="GHM106" s="108"/>
      <c r="GHN106" s="108"/>
      <c r="GHO106" s="108"/>
      <c r="GHP106" s="108"/>
      <c r="GHQ106" s="108"/>
      <c r="GHR106" s="108"/>
      <c r="GHS106" s="108"/>
      <c r="GHT106" s="108"/>
      <c r="GHU106" s="108"/>
      <c r="GHV106" s="108"/>
      <c r="GHW106" s="108"/>
      <c r="GHX106" s="108"/>
      <c r="GHY106" s="108"/>
      <c r="GHZ106" s="108"/>
      <c r="GIA106" s="108"/>
      <c r="GIB106" s="108"/>
      <c r="GIC106" s="108"/>
      <c r="GID106" s="108"/>
      <c r="GIE106" s="108"/>
      <c r="GIF106" s="108"/>
      <c r="GIG106" s="108"/>
      <c r="GIH106" s="108"/>
      <c r="GII106" s="108"/>
      <c r="GIJ106" s="108"/>
      <c r="GIK106" s="108"/>
      <c r="GIL106" s="108"/>
      <c r="GIM106" s="108"/>
      <c r="GIN106" s="108"/>
      <c r="GIO106" s="108"/>
      <c r="GIP106" s="108"/>
      <c r="GIQ106" s="108"/>
      <c r="GIR106" s="108"/>
      <c r="GIS106" s="108"/>
      <c r="GIT106" s="108"/>
      <c r="GIU106" s="108"/>
      <c r="GIV106" s="108"/>
      <c r="GIW106" s="108"/>
      <c r="GIX106" s="108"/>
      <c r="GIY106" s="108"/>
      <c r="GIZ106" s="108"/>
      <c r="GJA106" s="108"/>
      <c r="GJB106" s="108"/>
      <c r="GJC106" s="108"/>
      <c r="GJD106" s="108"/>
      <c r="GJE106" s="108"/>
      <c r="GJF106" s="108"/>
      <c r="GJG106" s="108"/>
      <c r="GJH106" s="108"/>
      <c r="GJI106" s="108"/>
      <c r="GJJ106" s="108"/>
      <c r="GJK106" s="108"/>
      <c r="GJL106" s="108"/>
      <c r="GJM106" s="108"/>
      <c r="GJN106" s="108"/>
      <c r="GJO106" s="108"/>
      <c r="GJP106" s="108"/>
      <c r="GJQ106" s="108"/>
      <c r="GJR106" s="108"/>
      <c r="GJS106" s="108"/>
      <c r="GJT106" s="108"/>
      <c r="GJU106" s="108"/>
      <c r="GJV106" s="108"/>
      <c r="GJW106" s="108"/>
      <c r="GJX106" s="108"/>
      <c r="GJY106" s="108"/>
      <c r="GJZ106" s="108"/>
      <c r="GKA106" s="108"/>
      <c r="GKB106" s="108"/>
      <c r="GKC106" s="108"/>
      <c r="GKD106" s="108"/>
      <c r="GKE106" s="108"/>
      <c r="GKF106" s="108"/>
      <c r="GKG106" s="108"/>
      <c r="GKH106" s="108"/>
      <c r="GKI106" s="108"/>
      <c r="GKJ106" s="108"/>
      <c r="GKK106" s="108"/>
      <c r="GKL106" s="108"/>
      <c r="GKM106" s="108"/>
      <c r="GKN106" s="108"/>
      <c r="GKO106" s="108"/>
      <c r="GKP106" s="108"/>
      <c r="GKQ106" s="108"/>
      <c r="GKR106" s="108"/>
      <c r="GKS106" s="108"/>
      <c r="GKT106" s="108"/>
      <c r="GKU106" s="108"/>
      <c r="GKV106" s="108"/>
      <c r="GKW106" s="108"/>
      <c r="GKX106" s="108"/>
      <c r="GKY106" s="108"/>
      <c r="GKZ106" s="108"/>
      <c r="GLA106" s="108"/>
      <c r="GLB106" s="108"/>
      <c r="GLC106" s="108"/>
      <c r="GLD106" s="108"/>
      <c r="GLE106" s="108"/>
      <c r="GLF106" s="108"/>
      <c r="GLG106" s="108"/>
      <c r="GLH106" s="108"/>
      <c r="GLI106" s="108"/>
      <c r="GLJ106" s="108"/>
      <c r="GLK106" s="108"/>
      <c r="GLL106" s="108"/>
      <c r="GLM106" s="108"/>
      <c r="GLN106" s="108"/>
      <c r="GLO106" s="108"/>
      <c r="GLP106" s="108"/>
      <c r="GLQ106" s="108"/>
      <c r="GLR106" s="108"/>
      <c r="GLS106" s="108"/>
      <c r="GLT106" s="108"/>
      <c r="GLU106" s="108"/>
      <c r="GLV106" s="108"/>
      <c r="GLW106" s="108"/>
      <c r="GLX106" s="108"/>
      <c r="GLY106" s="108"/>
      <c r="GLZ106" s="108"/>
      <c r="GMA106" s="108"/>
      <c r="GMB106" s="108"/>
      <c r="GMC106" s="108"/>
      <c r="GMD106" s="108"/>
      <c r="GME106" s="108"/>
      <c r="GMF106" s="108"/>
      <c r="GMG106" s="108"/>
      <c r="GMH106" s="108"/>
      <c r="GMI106" s="108"/>
      <c r="GMJ106" s="108"/>
      <c r="GMK106" s="108"/>
      <c r="GML106" s="108"/>
      <c r="GMM106" s="108"/>
      <c r="GMN106" s="108"/>
      <c r="GMO106" s="108"/>
      <c r="GMP106" s="108"/>
      <c r="GMQ106" s="108"/>
      <c r="GMR106" s="108"/>
      <c r="GMS106" s="108"/>
      <c r="GMT106" s="108"/>
      <c r="GMU106" s="108"/>
      <c r="GMV106" s="108"/>
      <c r="GMW106" s="108"/>
      <c r="GMX106" s="108"/>
      <c r="GMY106" s="108"/>
      <c r="GMZ106" s="108"/>
      <c r="GNA106" s="108"/>
      <c r="GNB106" s="108"/>
      <c r="GNC106" s="108"/>
      <c r="GND106" s="108"/>
      <c r="GNE106" s="108"/>
      <c r="GNF106" s="108"/>
      <c r="GNG106" s="108"/>
      <c r="GNH106" s="108"/>
      <c r="GNI106" s="108"/>
      <c r="GNJ106" s="108"/>
      <c r="GNK106" s="108"/>
      <c r="GNL106" s="108"/>
      <c r="GNM106" s="108"/>
      <c r="GNN106" s="108"/>
      <c r="GNO106" s="108"/>
      <c r="GNP106" s="108"/>
      <c r="GNQ106" s="108"/>
      <c r="GNR106" s="108"/>
      <c r="GNS106" s="108"/>
      <c r="GNT106" s="108"/>
      <c r="GNU106" s="108"/>
      <c r="GNV106" s="108"/>
      <c r="GNW106" s="108"/>
      <c r="GNX106" s="108"/>
      <c r="GNY106" s="108"/>
      <c r="GNZ106" s="108"/>
      <c r="GOA106" s="108"/>
      <c r="GOB106" s="108"/>
      <c r="GOC106" s="108"/>
      <c r="GOD106" s="108"/>
      <c r="GOE106" s="108"/>
      <c r="GOF106" s="108"/>
      <c r="GOG106" s="108"/>
      <c r="GOH106" s="108"/>
      <c r="GOI106" s="108"/>
      <c r="GOJ106" s="108"/>
      <c r="GOK106" s="108"/>
      <c r="GOL106" s="108"/>
      <c r="GOM106" s="108"/>
      <c r="GON106" s="108"/>
      <c r="GOO106" s="108"/>
      <c r="GOP106" s="108"/>
      <c r="GOQ106" s="108"/>
      <c r="GOR106" s="108"/>
      <c r="GOS106" s="108"/>
      <c r="GOT106" s="108"/>
      <c r="GOU106" s="108"/>
      <c r="GOV106" s="108"/>
      <c r="GOW106" s="108"/>
      <c r="GOX106" s="108"/>
      <c r="GOY106" s="108"/>
      <c r="GOZ106" s="108"/>
      <c r="GPA106" s="108"/>
      <c r="GPB106" s="108"/>
      <c r="GPC106" s="108"/>
      <c r="GPD106" s="108"/>
      <c r="GPE106" s="108"/>
      <c r="GPF106" s="108"/>
      <c r="GPG106" s="108"/>
      <c r="GPH106" s="108"/>
      <c r="GPI106" s="108"/>
      <c r="GPJ106" s="108"/>
      <c r="GPK106" s="108"/>
      <c r="GPL106" s="108"/>
      <c r="GPM106" s="108"/>
      <c r="GPN106" s="108"/>
      <c r="GPO106" s="108"/>
      <c r="GPP106" s="108"/>
      <c r="GPQ106" s="108"/>
      <c r="GPR106" s="108"/>
      <c r="GPS106" s="108"/>
      <c r="GPT106" s="108"/>
      <c r="GPU106" s="108"/>
      <c r="GPV106" s="108"/>
      <c r="GPW106" s="108"/>
      <c r="GPX106" s="108"/>
      <c r="GPY106" s="108"/>
      <c r="GPZ106" s="108"/>
      <c r="GQA106" s="108"/>
      <c r="GQB106" s="108"/>
      <c r="GQC106" s="108"/>
      <c r="GQD106" s="108"/>
      <c r="GQE106" s="108"/>
      <c r="GQF106" s="108"/>
      <c r="GQG106" s="108"/>
      <c r="GQH106" s="108"/>
      <c r="GQI106" s="108"/>
      <c r="GQJ106" s="108"/>
      <c r="GQK106" s="108"/>
      <c r="GQL106" s="108"/>
      <c r="GQM106" s="108"/>
      <c r="GQN106" s="108"/>
      <c r="GQO106" s="108"/>
      <c r="GQP106" s="108"/>
      <c r="GQQ106" s="108"/>
      <c r="GQR106" s="108"/>
      <c r="GQS106" s="108"/>
      <c r="GQT106" s="108"/>
      <c r="GQU106" s="108"/>
      <c r="GQV106" s="108"/>
      <c r="GQW106" s="108"/>
      <c r="GQX106" s="108"/>
      <c r="GQY106" s="108"/>
      <c r="GQZ106" s="108"/>
      <c r="GRA106" s="108"/>
      <c r="GRB106" s="108"/>
      <c r="GRC106" s="108"/>
      <c r="GRD106" s="108"/>
      <c r="GRE106" s="108"/>
      <c r="GRF106" s="108"/>
      <c r="GRG106" s="108"/>
      <c r="GRH106" s="108"/>
      <c r="GRI106" s="108"/>
      <c r="GRJ106" s="108"/>
      <c r="GRK106" s="108"/>
      <c r="GRL106" s="108"/>
      <c r="GRM106" s="108"/>
      <c r="GRN106" s="108"/>
      <c r="GRO106" s="108"/>
      <c r="GRP106" s="108"/>
      <c r="GRQ106" s="108"/>
      <c r="GRR106" s="108"/>
      <c r="GRS106" s="108"/>
      <c r="GRT106" s="108"/>
      <c r="GRU106" s="108"/>
      <c r="GRV106" s="108"/>
      <c r="GRW106" s="108"/>
      <c r="GRX106" s="108"/>
      <c r="GRY106" s="108"/>
      <c r="GRZ106" s="108"/>
      <c r="GSA106" s="108"/>
      <c r="GSB106" s="108"/>
      <c r="GSC106" s="108"/>
      <c r="GSD106" s="108"/>
      <c r="GSE106" s="108"/>
      <c r="GSF106" s="108"/>
      <c r="GSG106" s="108"/>
      <c r="GSH106" s="108"/>
      <c r="GSI106" s="108"/>
      <c r="GSJ106" s="108"/>
      <c r="GSK106" s="108"/>
      <c r="GSL106" s="108"/>
      <c r="GSM106" s="108"/>
      <c r="GSN106" s="108"/>
      <c r="GSO106" s="108"/>
      <c r="GSP106" s="108"/>
      <c r="GSQ106" s="108"/>
      <c r="GSR106" s="108"/>
      <c r="GSS106" s="108"/>
      <c r="GST106" s="108"/>
      <c r="GSU106" s="108"/>
      <c r="GSV106" s="108"/>
      <c r="GSW106" s="108"/>
      <c r="GSX106" s="108"/>
      <c r="GSY106" s="108"/>
      <c r="GSZ106" s="108"/>
      <c r="GTA106" s="108"/>
      <c r="GTB106" s="108"/>
      <c r="GTC106" s="108"/>
      <c r="GTD106" s="108"/>
      <c r="GTE106" s="108"/>
      <c r="GTF106" s="108"/>
      <c r="GTG106" s="108"/>
      <c r="GTH106" s="108"/>
      <c r="GTI106" s="108"/>
      <c r="GTJ106" s="108"/>
      <c r="GTK106" s="108"/>
      <c r="GTL106" s="108"/>
      <c r="GTM106" s="108"/>
      <c r="GTN106" s="108"/>
      <c r="GTO106" s="108"/>
      <c r="GTP106" s="108"/>
      <c r="GTQ106" s="108"/>
      <c r="GTR106" s="108"/>
      <c r="GTS106" s="108"/>
      <c r="GTT106" s="108"/>
      <c r="GTU106" s="108"/>
      <c r="GTV106" s="108"/>
      <c r="GTW106" s="108"/>
      <c r="GTX106" s="108"/>
      <c r="GTY106" s="108"/>
      <c r="GTZ106" s="108"/>
      <c r="GUA106" s="108"/>
      <c r="GUB106" s="108"/>
      <c r="GUC106" s="108"/>
      <c r="GUD106" s="108"/>
      <c r="GUE106" s="108"/>
      <c r="GUF106" s="108"/>
      <c r="GUG106" s="108"/>
      <c r="GUH106" s="108"/>
      <c r="GUI106" s="108"/>
      <c r="GUJ106" s="108"/>
      <c r="GUK106" s="108"/>
      <c r="GUL106" s="108"/>
      <c r="GUM106" s="108"/>
      <c r="GUN106" s="108"/>
      <c r="GUO106" s="108"/>
      <c r="GUP106" s="108"/>
      <c r="GUQ106" s="108"/>
      <c r="GUR106" s="108"/>
      <c r="GUS106" s="108"/>
      <c r="GUT106" s="108"/>
      <c r="GUU106" s="108"/>
      <c r="GUV106" s="108"/>
      <c r="GUW106" s="108"/>
      <c r="GUX106" s="108"/>
      <c r="GUY106" s="108"/>
      <c r="GUZ106" s="108"/>
      <c r="GVA106" s="108"/>
      <c r="GVB106" s="108"/>
      <c r="GVC106" s="108"/>
      <c r="GVD106" s="108"/>
      <c r="GVE106" s="108"/>
      <c r="GVF106" s="108"/>
      <c r="GVG106" s="108"/>
      <c r="GVH106" s="108"/>
      <c r="GVI106" s="108"/>
      <c r="GVJ106" s="108"/>
      <c r="GVK106" s="108"/>
      <c r="GVL106" s="108"/>
      <c r="GVM106" s="108"/>
      <c r="GVN106" s="108"/>
      <c r="GVO106" s="108"/>
      <c r="GVP106" s="108"/>
      <c r="GVQ106" s="108"/>
      <c r="GVR106" s="108"/>
      <c r="GVS106" s="108"/>
      <c r="GVT106" s="108"/>
      <c r="GVU106" s="108"/>
      <c r="GVV106" s="108"/>
      <c r="GVW106" s="108"/>
      <c r="GVX106" s="108"/>
      <c r="GVY106" s="108"/>
      <c r="GVZ106" s="108"/>
      <c r="GWA106" s="108"/>
      <c r="GWB106" s="108"/>
      <c r="GWC106" s="108"/>
      <c r="GWD106" s="108"/>
      <c r="GWE106" s="108"/>
      <c r="GWF106" s="108"/>
      <c r="GWG106" s="108"/>
      <c r="GWH106" s="108"/>
      <c r="GWI106" s="108"/>
      <c r="GWJ106" s="108"/>
      <c r="GWK106" s="108"/>
      <c r="GWL106" s="108"/>
      <c r="GWM106" s="108"/>
      <c r="GWN106" s="108"/>
      <c r="GWO106" s="108"/>
      <c r="GWP106" s="108"/>
      <c r="GWQ106" s="108"/>
      <c r="GWR106" s="108"/>
      <c r="GWS106" s="108"/>
      <c r="GWT106" s="108"/>
      <c r="GWU106" s="108"/>
      <c r="GWV106" s="108"/>
      <c r="GWW106" s="108"/>
      <c r="GWX106" s="108"/>
      <c r="GWY106" s="108"/>
      <c r="GWZ106" s="108"/>
      <c r="GXA106" s="108"/>
      <c r="GXB106" s="108"/>
      <c r="GXC106" s="108"/>
      <c r="GXD106" s="108"/>
      <c r="GXE106" s="108"/>
      <c r="GXF106" s="108"/>
      <c r="GXG106" s="108"/>
      <c r="GXH106" s="108"/>
      <c r="GXI106" s="108"/>
      <c r="GXJ106" s="108"/>
      <c r="GXK106" s="108"/>
      <c r="GXL106" s="108"/>
      <c r="GXM106" s="108"/>
      <c r="GXN106" s="108"/>
      <c r="GXO106" s="108"/>
      <c r="GXP106" s="108"/>
      <c r="GXQ106" s="108"/>
      <c r="GXR106" s="108"/>
      <c r="GXS106" s="108"/>
      <c r="GXT106" s="108"/>
      <c r="GXU106" s="108"/>
      <c r="GXV106" s="108"/>
      <c r="GXW106" s="108"/>
      <c r="GXX106" s="108"/>
      <c r="GXY106" s="108"/>
      <c r="GXZ106" s="108"/>
      <c r="GYA106" s="108"/>
      <c r="GYB106" s="108"/>
      <c r="GYC106" s="108"/>
      <c r="GYD106" s="108"/>
      <c r="GYE106" s="108"/>
      <c r="GYF106" s="108"/>
      <c r="GYG106" s="108"/>
      <c r="GYH106" s="108"/>
      <c r="GYI106" s="108"/>
      <c r="GYJ106" s="108"/>
      <c r="GYK106" s="108"/>
      <c r="GYL106" s="108"/>
      <c r="GYM106" s="108"/>
      <c r="GYN106" s="108"/>
      <c r="GYO106" s="108"/>
      <c r="GYP106" s="108"/>
      <c r="GYQ106" s="108"/>
      <c r="GYR106" s="108"/>
      <c r="GYS106" s="108"/>
      <c r="GYT106" s="108"/>
      <c r="GYU106" s="108"/>
      <c r="GYV106" s="108"/>
      <c r="GYW106" s="108"/>
      <c r="GYX106" s="108"/>
      <c r="GYY106" s="108"/>
      <c r="GYZ106" s="108"/>
      <c r="GZA106" s="108"/>
      <c r="GZB106" s="108"/>
      <c r="GZC106" s="108"/>
      <c r="GZD106" s="108"/>
      <c r="GZE106" s="108"/>
      <c r="GZF106" s="108"/>
      <c r="GZG106" s="108"/>
      <c r="GZH106" s="108"/>
      <c r="GZI106" s="108"/>
      <c r="GZJ106" s="108"/>
      <c r="GZK106" s="108"/>
      <c r="GZL106" s="108"/>
      <c r="GZM106" s="108"/>
      <c r="GZN106" s="108"/>
      <c r="GZO106" s="108"/>
      <c r="GZP106" s="108"/>
      <c r="GZQ106" s="108"/>
      <c r="GZR106" s="108"/>
      <c r="GZS106" s="108"/>
      <c r="GZT106" s="108"/>
      <c r="GZU106" s="108"/>
      <c r="GZV106" s="108"/>
      <c r="GZW106" s="108"/>
      <c r="GZX106" s="108"/>
      <c r="GZY106" s="108"/>
      <c r="GZZ106" s="108"/>
      <c r="HAA106" s="108"/>
      <c r="HAB106" s="108"/>
      <c r="HAC106" s="108"/>
      <c r="HAD106" s="108"/>
      <c r="HAE106" s="108"/>
      <c r="HAF106" s="108"/>
      <c r="HAG106" s="108"/>
      <c r="HAH106" s="108"/>
      <c r="HAI106" s="108"/>
      <c r="HAJ106" s="108"/>
      <c r="HAK106" s="108"/>
      <c r="HAL106" s="108"/>
      <c r="HAM106" s="108"/>
      <c r="HAN106" s="108"/>
      <c r="HAO106" s="108"/>
      <c r="HAP106" s="108"/>
      <c r="HAQ106" s="108"/>
      <c r="HAR106" s="108"/>
      <c r="HAS106" s="108"/>
      <c r="HAT106" s="108"/>
      <c r="HAU106" s="108"/>
      <c r="HAV106" s="108"/>
      <c r="HAW106" s="108"/>
      <c r="HAX106" s="108"/>
      <c r="HAY106" s="108"/>
      <c r="HAZ106" s="108"/>
      <c r="HBA106" s="108"/>
      <c r="HBB106" s="108"/>
      <c r="HBC106" s="108"/>
      <c r="HBD106" s="108"/>
      <c r="HBE106" s="108"/>
      <c r="HBF106" s="108"/>
      <c r="HBG106" s="108"/>
      <c r="HBH106" s="108"/>
      <c r="HBI106" s="108"/>
      <c r="HBJ106" s="108"/>
      <c r="HBK106" s="108"/>
      <c r="HBL106" s="108"/>
      <c r="HBM106" s="108"/>
      <c r="HBN106" s="108"/>
      <c r="HBO106" s="108"/>
      <c r="HBP106" s="108"/>
      <c r="HBQ106" s="108"/>
      <c r="HBR106" s="108"/>
      <c r="HBS106" s="108"/>
      <c r="HBT106" s="108"/>
      <c r="HBU106" s="108"/>
      <c r="HBV106" s="108"/>
      <c r="HBW106" s="108"/>
      <c r="HBX106" s="108"/>
      <c r="HBY106" s="108"/>
      <c r="HBZ106" s="108"/>
      <c r="HCA106" s="108"/>
      <c r="HCB106" s="108"/>
      <c r="HCC106" s="108"/>
      <c r="HCD106" s="108"/>
      <c r="HCE106" s="108"/>
      <c r="HCF106" s="108"/>
      <c r="HCG106" s="108"/>
      <c r="HCH106" s="108"/>
      <c r="HCI106" s="108"/>
      <c r="HCJ106" s="108"/>
      <c r="HCK106" s="108"/>
      <c r="HCL106" s="108"/>
      <c r="HCM106" s="108"/>
      <c r="HCN106" s="108"/>
      <c r="HCO106" s="108"/>
      <c r="HCP106" s="108"/>
      <c r="HCQ106" s="108"/>
      <c r="HCR106" s="108"/>
      <c r="HCS106" s="108"/>
      <c r="HCT106" s="108"/>
      <c r="HCU106" s="108"/>
      <c r="HCV106" s="108"/>
      <c r="HCW106" s="108"/>
      <c r="HCX106" s="108"/>
      <c r="HCY106" s="108"/>
      <c r="HCZ106" s="108"/>
      <c r="HDA106" s="108"/>
      <c r="HDB106" s="108"/>
      <c r="HDC106" s="108"/>
      <c r="HDD106" s="108"/>
      <c r="HDE106" s="108"/>
      <c r="HDF106" s="108"/>
      <c r="HDG106" s="108"/>
      <c r="HDH106" s="108"/>
      <c r="HDI106" s="108"/>
      <c r="HDJ106" s="108"/>
      <c r="HDK106" s="108"/>
      <c r="HDL106" s="108"/>
      <c r="HDM106" s="108"/>
      <c r="HDN106" s="108"/>
      <c r="HDO106" s="108"/>
      <c r="HDP106" s="108"/>
      <c r="HDQ106" s="108"/>
      <c r="HDR106" s="108"/>
      <c r="HDS106" s="108"/>
      <c r="HDT106" s="108"/>
      <c r="HDU106" s="108"/>
      <c r="HDV106" s="108"/>
      <c r="HDW106" s="108"/>
      <c r="HDX106" s="108"/>
      <c r="HDY106" s="108"/>
      <c r="HDZ106" s="108"/>
      <c r="HEA106" s="108"/>
      <c r="HEB106" s="108"/>
      <c r="HEC106" s="108"/>
      <c r="HED106" s="108"/>
      <c r="HEE106" s="108"/>
      <c r="HEF106" s="108"/>
      <c r="HEG106" s="108"/>
      <c r="HEH106" s="108"/>
      <c r="HEI106" s="108"/>
      <c r="HEJ106" s="108"/>
      <c r="HEK106" s="108"/>
      <c r="HEL106" s="108"/>
      <c r="HEM106" s="108"/>
      <c r="HEN106" s="108"/>
      <c r="HEO106" s="108"/>
      <c r="HEP106" s="108"/>
      <c r="HEQ106" s="108"/>
      <c r="HER106" s="108"/>
      <c r="HES106" s="108"/>
      <c r="HET106" s="108"/>
      <c r="HEU106" s="108"/>
      <c r="HEV106" s="108"/>
      <c r="HEW106" s="108"/>
      <c r="HEX106" s="108"/>
      <c r="HEY106" s="108"/>
      <c r="HEZ106" s="108"/>
      <c r="HFA106" s="108"/>
      <c r="HFB106" s="108"/>
      <c r="HFC106" s="108"/>
      <c r="HFD106" s="108"/>
      <c r="HFE106" s="108"/>
      <c r="HFF106" s="108"/>
      <c r="HFG106" s="108"/>
      <c r="HFH106" s="108"/>
      <c r="HFI106" s="108"/>
      <c r="HFJ106" s="108"/>
      <c r="HFK106" s="108"/>
      <c r="HFL106" s="108"/>
      <c r="HFM106" s="108"/>
      <c r="HFN106" s="108"/>
      <c r="HFO106" s="108"/>
      <c r="HFP106" s="108"/>
      <c r="HFQ106" s="108"/>
      <c r="HFR106" s="108"/>
      <c r="HFS106" s="108"/>
      <c r="HFT106" s="108"/>
      <c r="HFU106" s="108"/>
      <c r="HFV106" s="108"/>
      <c r="HFW106" s="108"/>
      <c r="HFX106" s="108"/>
      <c r="HFY106" s="108"/>
      <c r="HFZ106" s="108"/>
      <c r="HGA106" s="108"/>
      <c r="HGB106" s="108"/>
      <c r="HGC106" s="108"/>
      <c r="HGD106" s="108"/>
      <c r="HGE106" s="108"/>
      <c r="HGF106" s="108"/>
      <c r="HGG106" s="108"/>
      <c r="HGH106" s="108"/>
      <c r="HGI106" s="108"/>
      <c r="HGJ106" s="108"/>
      <c r="HGK106" s="108"/>
      <c r="HGL106" s="108"/>
      <c r="HGM106" s="108"/>
      <c r="HGN106" s="108"/>
      <c r="HGO106" s="108"/>
      <c r="HGP106" s="108"/>
      <c r="HGQ106" s="108"/>
      <c r="HGR106" s="108"/>
      <c r="HGS106" s="108"/>
      <c r="HGT106" s="108"/>
      <c r="HGU106" s="108"/>
      <c r="HGV106" s="108"/>
      <c r="HGW106" s="108"/>
      <c r="HGX106" s="108"/>
      <c r="HGY106" s="108"/>
      <c r="HGZ106" s="108"/>
      <c r="HHA106" s="108"/>
      <c r="HHB106" s="108"/>
      <c r="HHC106" s="108"/>
      <c r="HHD106" s="108"/>
      <c r="HHE106" s="108"/>
      <c r="HHF106" s="108"/>
      <c r="HHG106" s="108"/>
      <c r="HHH106" s="108"/>
      <c r="HHI106" s="108"/>
      <c r="HHJ106" s="108"/>
      <c r="HHK106" s="108"/>
      <c r="HHL106" s="108"/>
      <c r="HHM106" s="108"/>
      <c r="HHN106" s="108"/>
      <c r="HHO106" s="108"/>
      <c r="HHP106" s="108"/>
      <c r="HHQ106" s="108"/>
      <c r="HHR106" s="108"/>
      <c r="HHS106" s="108"/>
      <c r="HHT106" s="108"/>
      <c r="HHU106" s="108"/>
      <c r="HHV106" s="108"/>
      <c r="HHW106" s="108"/>
      <c r="HHX106" s="108"/>
      <c r="HHY106" s="108"/>
      <c r="HHZ106" s="108"/>
      <c r="HIA106" s="108"/>
      <c r="HIB106" s="108"/>
      <c r="HIC106" s="108"/>
      <c r="HID106" s="108"/>
      <c r="HIE106" s="108"/>
      <c r="HIF106" s="108"/>
      <c r="HIG106" s="108"/>
      <c r="HIH106" s="108"/>
      <c r="HII106" s="108"/>
      <c r="HIJ106" s="108"/>
      <c r="HIK106" s="108"/>
      <c r="HIL106" s="108"/>
      <c r="HIM106" s="108"/>
      <c r="HIN106" s="108"/>
      <c r="HIO106" s="108"/>
      <c r="HIP106" s="108"/>
      <c r="HIQ106" s="108"/>
      <c r="HIR106" s="108"/>
      <c r="HIS106" s="108"/>
      <c r="HIT106" s="108"/>
      <c r="HIU106" s="108"/>
      <c r="HIV106" s="108"/>
      <c r="HIW106" s="108"/>
      <c r="HIX106" s="108"/>
      <c r="HIY106" s="108"/>
      <c r="HIZ106" s="108"/>
      <c r="HJA106" s="108"/>
      <c r="HJB106" s="108"/>
      <c r="HJC106" s="108"/>
      <c r="HJD106" s="108"/>
      <c r="HJE106" s="108"/>
      <c r="HJF106" s="108"/>
      <c r="HJG106" s="108"/>
      <c r="HJH106" s="108"/>
      <c r="HJI106" s="108"/>
      <c r="HJJ106" s="108"/>
      <c r="HJK106" s="108"/>
      <c r="HJL106" s="108"/>
      <c r="HJM106" s="108"/>
      <c r="HJN106" s="108"/>
      <c r="HJO106" s="108"/>
      <c r="HJP106" s="108"/>
      <c r="HJQ106" s="108"/>
      <c r="HJR106" s="108"/>
      <c r="HJS106" s="108"/>
      <c r="HJT106" s="108"/>
      <c r="HJU106" s="108"/>
      <c r="HJV106" s="108"/>
      <c r="HJW106" s="108"/>
      <c r="HJX106" s="108"/>
      <c r="HJY106" s="108"/>
      <c r="HJZ106" s="108"/>
      <c r="HKA106" s="108"/>
      <c r="HKB106" s="108"/>
      <c r="HKC106" s="108"/>
      <c r="HKD106" s="108"/>
      <c r="HKE106" s="108"/>
      <c r="HKF106" s="108"/>
      <c r="HKG106" s="108"/>
      <c r="HKH106" s="108"/>
      <c r="HKI106" s="108"/>
      <c r="HKJ106" s="108"/>
      <c r="HKK106" s="108"/>
      <c r="HKL106" s="108"/>
      <c r="HKM106" s="108"/>
      <c r="HKN106" s="108"/>
      <c r="HKO106" s="108"/>
      <c r="HKP106" s="108"/>
      <c r="HKQ106" s="108"/>
      <c r="HKR106" s="108"/>
      <c r="HKS106" s="108"/>
      <c r="HKT106" s="108"/>
      <c r="HKU106" s="108"/>
      <c r="HKV106" s="108"/>
      <c r="HKW106" s="108"/>
      <c r="HKX106" s="108"/>
      <c r="HKY106" s="108"/>
      <c r="HKZ106" s="108"/>
      <c r="HLA106" s="108"/>
      <c r="HLB106" s="108"/>
      <c r="HLC106" s="108"/>
      <c r="HLD106" s="108"/>
      <c r="HLE106" s="108"/>
      <c r="HLF106" s="108"/>
      <c r="HLG106" s="108"/>
      <c r="HLH106" s="108"/>
      <c r="HLI106" s="108"/>
      <c r="HLJ106" s="108"/>
      <c r="HLK106" s="108"/>
      <c r="HLL106" s="108"/>
      <c r="HLM106" s="108"/>
      <c r="HLN106" s="108"/>
      <c r="HLO106" s="108"/>
      <c r="HLP106" s="108"/>
      <c r="HLQ106" s="108"/>
      <c r="HLR106" s="108"/>
      <c r="HLS106" s="108"/>
      <c r="HLT106" s="108"/>
      <c r="HLU106" s="108"/>
      <c r="HLV106" s="108"/>
      <c r="HLW106" s="108"/>
      <c r="HLX106" s="108"/>
      <c r="HLY106" s="108"/>
      <c r="HLZ106" s="108"/>
      <c r="HMA106" s="108"/>
      <c r="HMB106" s="108"/>
      <c r="HMC106" s="108"/>
      <c r="HMD106" s="108"/>
      <c r="HME106" s="108"/>
      <c r="HMF106" s="108"/>
      <c r="HMG106" s="108"/>
      <c r="HMH106" s="108"/>
      <c r="HMI106" s="108"/>
      <c r="HMJ106" s="108"/>
      <c r="HMK106" s="108"/>
      <c r="HML106" s="108"/>
      <c r="HMM106" s="108"/>
      <c r="HMN106" s="108"/>
      <c r="HMO106" s="108"/>
      <c r="HMP106" s="108"/>
      <c r="HMQ106" s="108"/>
      <c r="HMR106" s="108"/>
      <c r="HMS106" s="108"/>
      <c r="HMT106" s="108"/>
      <c r="HMU106" s="108"/>
      <c r="HMV106" s="108"/>
      <c r="HMW106" s="108"/>
      <c r="HMX106" s="108"/>
      <c r="HMY106" s="108"/>
      <c r="HMZ106" s="108"/>
      <c r="HNA106" s="108"/>
      <c r="HNB106" s="108"/>
      <c r="HNC106" s="108"/>
      <c r="HND106" s="108"/>
      <c r="HNE106" s="108"/>
      <c r="HNF106" s="108"/>
      <c r="HNG106" s="108"/>
      <c r="HNH106" s="108"/>
      <c r="HNI106" s="108"/>
      <c r="HNJ106" s="108"/>
      <c r="HNK106" s="108"/>
      <c r="HNL106" s="108"/>
      <c r="HNM106" s="108"/>
      <c r="HNN106" s="108"/>
      <c r="HNO106" s="108"/>
      <c r="HNP106" s="108"/>
      <c r="HNQ106" s="108"/>
      <c r="HNR106" s="108"/>
      <c r="HNS106" s="108"/>
      <c r="HNT106" s="108"/>
      <c r="HNU106" s="108"/>
      <c r="HNV106" s="108"/>
      <c r="HNW106" s="108"/>
      <c r="HNX106" s="108"/>
      <c r="HNY106" s="108"/>
      <c r="HNZ106" s="108"/>
      <c r="HOA106" s="108"/>
      <c r="HOB106" s="108"/>
      <c r="HOC106" s="108"/>
      <c r="HOD106" s="108"/>
      <c r="HOE106" s="108"/>
      <c r="HOF106" s="108"/>
      <c r="HOG106" s="108"/>
      <c r="HOH106" s="108"/>
      <c r="HOI106" s="108"/>
      <c r="HOJ106" s="108"/>
      <c r="HOK106" s="108"/>
      <c r="HOL106" s="108"/>
      <c r="HOM106" s="108"/>
      <c r="HON106" s="108"/>
      <c r="HOO106" s="108"/>
      <c r="HOP106" s="108"/>
      <c r="HOQ106" s="108"/>
      <c r="HOR106" s="108"/>
      <c r="HOS106" s="108"/>
      <c r="HOT106" s="108"/>
      <c r="HOU106" s="108"/>
      <c r="HOV106" s="108"/>
      <c r="HOW106" s="108"/>
      <c r="HOX106" s="108"/>
      <c r="HOY106" s="108"/>
      <c r="HOZ106" s="108"/>
      <c r="HPA106" s="108"/>
      <c r="HPB106" s="108"/>
      <c r="HPC106" s="108"/>
      <c r="HPD106" s="108"/>
      <c r="HPE106" s="108"/>
      <c r="HPF106" s="108"/>
      <c r="HPG106" s="108"/>
      <c r="HPH106" s="108"/>
      <c r="HPI106" s="108"/>
      <c r="HPJ106" s="108"/>
      <c r="HPK106" s="108"/>
      <c r="HPL106" s="108"/>
      <c r="HPM106" s="108"/>
      <c r="HPN106" s="108"/>
      <c r="HPO106" s="108"/>
      <c r="HPP106" s="108"/>
      <c r="HPQ106" s="108"/>
      <c r="HPR106" s="108"/>
      <c r="HPS106" s="108"/>
      <c r="HPT106" s="108"/>
      <c r="HPU106" s="108"/>
      <c r="HPV106" s="108"/>
      <c r="HPW106" s="108"/>
      <c r="HPX106" s="108"/>
      <c r="HPY106" s="108"/>
      <c r="HPZ106" s="108"/>
      <c r="HQA106" s="108"/>
      <c r="HQB106" s="108"/>
      <c r="HQC106" s="108"/>
      <c r="HQD106" s="108"/>
      <c r="HQE106" s="108"/>
      <c r="HQF106" s="108"/>
      <c r="HQG106" s="108"/>
      <c r="HQH106" s="108"/>
      <c r="HQI106" s="108"/>
      <c r="HQJ106" s="108"/>
      <c r="HQK106" s="108"/>
      <c r="HQL106" s="108"/>
      <c r="HQM106" s="108"/>
      <c r="HQN106" s="108"/>
      <c r="HQO106" s="108"/>
      <c r="HQP106" s="108"/>
      <c r="HQQ106" s="108"/>
      <c r="HQR106" s="108"/>
      <c r="HQS106" s="108"/>
      <c r="HQT106" s="108"/>
      <c r="HQU106" s="108"/>
      <c r="HQV106" s="108"/>
      <c r="HQW106" s="108"/>
      <c r="HQX106" s="108"/>
      <c r="HQY106" s="108"/>
      <c r="HQZ106" s="108"/>
      <c r="HRA106" s="108"/>
      <c r="HRB106" s="108"/>
      <c r="HRC106" s="108"/>
      <c r="HRD106" s="108"/>
      <c r="HRE106" s="108"/>
      <c r="HRF106" s="108"/>
      <c r="HRG106" s="108"/>
      <c r="HRH106" s="108"/>
      <c r="HRI106" s="108"/>
      <c r="HRJ106" s="108"/>
      <c r="HRK106" s="108"/>
      <c r="HRL106" s="108"/>
      <c r="HRM106" s="108"/>
      <c r="HRN106" s="108"/>
      <c r="HRO106" s="108"/>
      <c r="HRP106" s="108"/>
      <c r="HRQ106" s="108"/>
      <c r="HRR106" s="108"/>
      <c r="HRS106" s="108"/>
      <c r="HRT106" s="108"/>
      <c r="HRU106" s="108"/>
      <c r="HRV106" s="108"/>
      <c r="HRW106" s="108"/>
      <c r="HRX106" s="108"/>
      <c r="HRY106" s="108"/>
      <c r="HRZ106" s="108"/>
      <c r="HSA106" s="108"/>
      <c r="HSB106" s="108"/>
      <c r="HSC106" s="108"/>
      <c r="HSD106" s="108"/>
      <c r="HSE106" s="108"/>
      <c r="HSF106" s="108"/>
      <c r="HSG106" s="108"/>
      <c r="HSH106" s="108"/>
      <c r="HSI106" s="108"/>
      <c r="HSJ106" s="108"/>
      <c r="HSK106" s="108"/>
      <c r="HSL106" s="108"/>
      <c r="HSM106" s="108"/>
      <c r="HSN106" s="108"/>
      <c r="HSO106" s="108"/>
      <c r="HSP106" s="108"/>
      <c r="HSQ106" s="108"/>
      <c r="HSR106" s="108"/>
      <c r="HSS106" s="108"/>
      <c r="HST106" s="108"/>
      <c r="HSU106" s="108"/>
      <c r="HSV106" s="108"/>
      <c r="HSW106" s="108"/>
      <c r="HSX106" s="108"/>
      <c r="HSY106" s="108"/>
      <c r="HSZ106" s="108"/>
      <c r="HTA106" s="108"/>
      <c r="HTB106" s="108"/>
      <c r="HTC106" s="108"/>
      <c r="HTD106" s="108"/>
      <c r="HTE106" s="108"/>
      <c r="HTF106" s="108"/>
      <c r="HTG106" s="108"/>
      <c r="HTH106" s="108"/>
      <c r="HTI106" s="108"/>
      <c r="HTJ106" s="108"/>
      <c r="HTK106" s="108"/>
      <c r="HTL106" s="108"/>
      <c r="HTM106" s="108"/>
      <c r="HTN106" s="108"/>
      <c r="HTO106" s="108"/>
      <c r="HTP106" s="108"/>
      <c r="HTQ106" s="108"/>
      <c r="HTR106" s="108"/>
      <c r="HTS106" s="108"/>
      <c r="HTT106" s="108"/>
      <c r="HTU106" s="108"/>
      <c r="HTV106" s="108"/>
      <c r="HTW106" s="108"/>
      <c r="HTX106" s="108"/>
      <c r="HTY106" s="108"/>
      <c r="HTZ106" s="108"/>
      <c r="HUA106" s="108"/>
      <c r="HUB106" s="108"/>
      <c r="HUC106" s="108"/>
      <c r="HUD106" s="108"/>
      <c r="HUE106" s="108"/>
      <c r="HUF106" s="108"/>
      <c r="HUG106" s="108"/>
      <c r="HUH106" s="108"/>
      <c r="HUI106" s="108"/>
      <c r="HUJ106" s="108"/>
      <c r="HUK106" s="108"/>
      <c r="HUL106" s="108"/>
      <c r="HUM106" s="108"/>
      <c r="HUN106" s="108"/>
      <c r="HUO106" s="108"/>
      <c r="HUP106" s="108"/>
      <c r="HUQ106" s="108"/>
      <c r="HUR106" s="108"/>
      <c r="HUS106" s="108"/>
      <c r="HUT106" s="108"/>
      <c r="HUU106" s="108"/>
      <c r="HUV106" s="108"/>
      <c r="HUW106" s="108"/>
      <c r="HUX106" s="108"/>
      <c r="HUY106" s="108"/>
      <c r="HUZ106" s="108"/>
      <c r="HVA106" s="108"/>
      <c r="HVB106" s="108"/>
      <c r="HVC106" s="108"/>
      <c r="HVD106" s="108"/>
      <c r="HVE106" s="108"/>
      <c r="HVF106" s="108"/>
      <c r="HVG106" s="108"/>
      <c r="HVH106" s="108"/>
      <c r="HVI106" s="108"/>
      <c r="HVJ106" s="108"/>
      <c r="HVK106" s="108"/>
      <c r="HVL106" s="108"/>
      <c r="HVM106" s="108"/>
      <c r="HVN106" s="108"/>
      <c r="HVO106" s="108"/>
      <c r="HVP106" s="108"/>
      <c r="HVQ106" s="108"/>
      <c r="HVR106" s="108"/>
      <c r="HVS106" s="108"/>
      <c r="HVT106" s="108"/>
      <c r="HVU106" s="108"/>
      <c r="HVV106" s="108"/>
      <c r="HVW106" s="108"/>
      <c r="HVX106" s="108"/>
      <c r="HVY106" s="108"/>
      <c r="HVZ106" s="108"/>
      <c r="HWA106" s="108"/>
      <c r="HWB106" s="108"/>
      <c r="HWC106" s="108"/>
      <c r="HWD106" s="108"/>
      <c r="HWE106" s="108"/>
      <c r="HWF106" s="108"/>
      <c r="HWG106" s="108"/>
      <c r="HWH106" s="108"/>
      <c r="HWI106" s="108"/>
      <c r="HWJ106" s="108"/>
      <c r="HWK106" s="108"/>
      <c r="HWL106" s="108"/>
      <c r="HWM106" s="108"/>
      <c r="HWN106" s="108"/>
      <c r="HWO106" s="108"/>
      <c r="HWP106" s="108"/>
      <c r="HWQ106" s="108"/>
      <c r="HWR106" s="108"/>
      <c r="HWS106" s="108"/>
      <c r="HWT106" s="108"/>
      <c r="HWU106" s="108"/>
      <c r="HWV106" s="108"/>
      <c r="HWW106" s="108"/>
      <c r="HWX106" s="108"/>
      <c r="HWY106" s="108"/>
      <c r="HWZ106" s="108"/>
      <c r="HXA106" s="108"/>
      <c r="HXB106" s="108"/>
      <c r="HXC106" s="108"/>
      <c r="HXD106" s="108"/>
      <c r="HXE106" s="108"/>
      <c r="HXF106" s="108"/>
      <c r="HXG106" s="108"/>
      <c r="HXH106" s="108"/>
      <c r="HXI106" s="108"/>
      <c r="HXJ106" s="108"/>
      <c r="HXK106" s="108"/>
      <c r="HXL106" s="108"/>
      <c r="HXM106" s="108"/>
      <c r="HXN106" s="108"/>
      <c r="HXO106" s="108"/>
      <c r="HXP106" s="108"/>
      <c r="HXQ106" s="108"/>
      <c r="HXR106" s="108"/>
      <c r="HXS106" s="108"/>
      <c r="HXT106" s="108"/>
      <c r="HXU106" s="108"/>
      <c r="HXV106" s="108"/>
      <c r="HXW106" s="108"/>
      <c r="HXX106" s="108"/>
      <c r="HXY106" s="108"/>
      <c r="HXZ106" s="108"/>
      <c r="HYA106" s="108"/>
      <c r="HYB106" s="108"/>
      <c r="HYC106" s="108"/>
      <c r="HYD106" s="108"/>
      <c r="HYE106" s="108"/>
      <c r="HYF106" s="108"/>
      <c r="HYG106" s="108"/>
      <c r="HYH106" s="108"/>
      <c r="HYI106" s="108"/>
      <c r="HYJ106" s="108"/>
      <c r="HYK106" s="108"/>
      <c r="HYL106" s="108"/>
      <c r="HYM106" s="108"/>
      <c r="HYN106" s="108"/>
      <c r="HYO106" s="108"/>
      <c r="HYP106" s="108"/>
      <c r="HYQ106" s="108"/>
      <c r="HYR106" s="108"/>
      <c r="HYS106" s="108"/>
      <c r="HYT106" s="108"/>
      <c r="HYU106" s="108"/>
      <c r="HYV106" s="108"/>
      <c r="HYW106" s="108"/>
      <c r="HYX106" s="108"/>
      <c r="HYY106" s="108"/>
      <c r="HYZ106" s="108"/>
      <c r="HZA106" s="108"/>
      <c r="HZB106" s="108"/>
      <c r="HZC106" s="108"/>
      <c r="HZD106" s="108"/>
      <c r="HZE106" s="108"/>
      <c r="HZF106" s="108"/>
      <c r="HZG106" s="108"/>
      <c r="HZH106" s="108"/>
      <c r="HZI106" s="108"/>
      <c r="HZJ106" s="108"/>
      <c r="HZK106" s="108"/>
      <c r="HZL106" s="108"/>
      <c r="HZM106" s="108"/>
      <c r="HZN106" s="108"/>
      <c r="HZO106" s="108"/>
      <c r="HZP106" s="108"/>
      <c r="HZQ106" s="108"/>
      <c r="HZR106" s="108"/>
      <c r="HZS106" s="108"/>
      <c r="HZT106" s="108"/>
      <c r="HZU106" s="108"/>
      <c r="HZV106" s="108"/>
      <c r="HZW106" s="108"/>
      <c r="HZX106" s="108"/>
      <c r="HZY106" s="108"/>
      <c r="HZZ106" s="108"/>
      <c r="IAA106" s="108"/>
      <c r="IAB106" s="108"/>
      <c r="IAC106" s="108"/>
      <c r="IAD106" s="108"/>
      <c r="IAE106" s="108"/>
      <c r="IAF106" s="108"/>
      <c r="IAG106" s="108"/>
      <c r="IAH106" s="108"/>
      <c r="IAI106" s="108"/>
      <c r="IAJ106" s="108"/>
      <c r="IAK106" s="108"/>
      <c r="IAL106" s="108"/>
      <c r="IAM106" s="108"/>
      <c r="IAN106" s="108"/>
      <c r="IAO106" s="108"/>
      <c r="IAP106" s="108"/>
      <c r="IAQ106" s="108"/>
      <c r="IAR106" s="108"/>
      <c r="IAS106" s="108"/>
      <c r="IAT106" s="108"/>
      <c r="IAU106" s="108"/>
      <c r="IAV106" s="108"/>
      <c r="IAW106" s="108"/>
      <c r="IAX106" s="108"/>
      <c r="IAY106" s="108"/>
      <c r="IAZ106" s="108"/>
      <c r="IBA106" s="108"/>
      <c r="IBB106" s="108"/>
      <c r="IBC106" s="108"/>
      <c r="IBD106" s="108"/>
      <c r="IBE106" s="108"/>
      <c r="IBF106" s="108"/>
      <c r="IBG106" s="108"/>
      <c r="IBH106" s="108"/>
      <c r="IBI106" s="108"/>
      <c r="IBJ106" s="108"/>
      <c r="IBK106" s="108"/>
      <c r="IBL106" s="108"/>
      <c r="IBM106" s="108"/>
      <c r="IBN106" s="108"/>
      <c r="IBO106" s="108"/>
      <c r="IBP106" s="108"/>
      <c r="IBQ106" s="108"/>
      <c r="IBR106" s="108"/>
      <c r="IBS106" s="108"/>
      <c r="IBT106" s="108"/>
      <c r="IBU106" s="108"/>
      <c r="IBV106" s="108"/>
      <c r="IBW106" s="108"/>
      <c r="IBX106" s="108"/>
      <c r="IBY106" s="108"/>
      <c r="IBZ106" s="108"/>
      <c r="ICA106" s="108"/>
      <c r="ICB106" s="108"/>
      <c r="ICC106" s="108"/>
      <c r="ICD106" s="108"/>
      <c r="ICE106" s="108"/>
      <c r="ICF106" s="108"/>
      <c r="ICG106" s="108"/>
      <c r="ICH106" s="108"/>
      <c r="ICI106" s="108"/>
      <c r="ICJ106" s="108"/>
      <c r="ICK106" s="108"/>
      <c r="ICL106" s="108"/>
      <c r="ICM106" s="108"/>
      <c r="ICN106" s="108"/>
      <c r="ICO106" s="108"/>
      <c r="ICP106" s="108"/>
      <c r="ICQ106" s="108"/>
      <c r="ICR106" s="108"/>
      <c r="ICS106" s="108"/>
      <c r="ICT106" s="108"/>
      <c r="ICU106" s="108"/>
      <c r="ICV106" s="108"/>
      <c r="ICW106" s="108"/>
      <c r="ICX106" s="108"/>
      <c r="ICY106" s="108"/>
      <c r="ICZ106" s="108"/>
      <c r="IDA106" s="108"/>
      <c r="IDB106" s="108"/>
      <c r="IDC106" s="108"/>
      <c r="IDD106" s="108"/>
      <c r="IDE106" s="108"/>
      <c r="IDF106" s="108"/>
      <c r="IDG106" s="108"/>
      <c r="IDH106" s="108"/>
      <c r="IDI106" s="108"/>
      <c r="IDJ106" s="108"/>
      <c r="IDK106" s="108"/>
      <c r="IDL106" s="108"/>
      <c r="IDM106" s="108"/>
      <c r="IDN106" s="108"/>
      <c r="IDO106" s="108"/>
      <c r="IDP106" s="108"/>
      <c r="IDQ106" s="108"/>
      <c r="IDR106" s="108"/>
      <c r="IDS106" s="108"/>
      <c r="IDT106" s="108"/>
      <c r="IDU106" s="108"/>
      <c r="IDV106" s="108"/>
      <c r="IDW106" s="108"/>
      <c r="IDX106" s="108"/>
      <c r="IDY106" s="108"/>
      <c r="IDZ106" s="108"/>
      <c r="IEA106" s="108"/>
      <c r="IEB106" s="108"/>
      <c r="IEC106" s="108"/>
      <c r="IED106" s="108"/>
      <c r="IEE106" s="108"/>
      <c r="IEF106" s="108"/>
      <c r="IEG106" s="108"/>
      <c r="IEH106" s="108"/>
      <c r="IEI106" s="108"/>
      <c r="IEJ106" s="108"/>
      <c r="IEK106" s="108"/>
      <c r="IEL106" s="108"/>
      <c r="IEM106" s="108"/>
      <c r="IEN106" s="108"/>
      <c r="IEO106" s="108"/>
      <c r="IEP106" s="108"/>
      <c r="IEQ106" s="108"/>
      <c r="IER106" s="108"/>
      <c r="IES106" s="108"/>
      <c r="IET106" s="108"/>
      <c r="IEU106" s="108"/>
      <c r="IEV106" s="108"/>
      <c r="IEW106" s="108"/>
      <c r="IEX106" s="108"/>
      <c r="IEY106" s="108"/>
      <c r="IEZ106" s="108"/>
      <c r="IFA106" s="108"/>
      <c r="IFB106" s="108"/>
      <c r="IFC106" s="108"/>
      <c r="IFD106" s="108"/>
      <c r="IFE106" s="108"/>
      <c r="IFF106" s="108"/>
      <c r="IFG106" s="108"/>
      <c r="IFH106" s="108"/>
      <c r="IFI106" s="108"/>
      <c r="IFJ106" s="108"/>
      <c r="IFK106" s="108"/>
      <c r="IFL106" s="108"/>
      <c r="IFM106" s="108"/>
      <c r="IFN106" s="108"/>
      <c r="IFO106" s="108"/>
      <c r="IFP106" s="108"/>
      <c r="IFQ106" s="108"/>
      <c r="IFR106" s="108"/>
      <c r="IFS106" s="108"/>
      <c r="IFT106" s="108"/>
      <c r="IFU106" s="108"/>
      <c r="IFV106" s="108"/>
      <c r="IFW106" s="108"/>
      <c r="IFX106" s="108"/>
      <c r="IFY106" s="108"/>
      <c r="IFZ106" s="108"/>
      <c r="IGA106" s="108"/>
      <c r="IGB106" s="108"/>
      <c r="IGC106" s="108"/>
      <c r="IGD106" s="108"/>
      <c r="IGE106" s="108"/>
      <c r="IGF106" s="108"/>
      <c r="IGG106" s="108"/>
      <c r="IGH106" s="108"/>
      <c r="IGI106" s="108"/>
      <c r="IGJ106" s="108"/>
      <c r="IGK106" s="108"/>
      <c r="IGL106" s="108"/>
      <c r="IGM106" s="108"/>
      <c r="IGN106" s="108"/>
      <c r="IGO106" s="108"/>
      <c r="IGP106" s="108"/>
      <c r="IGQ106" s="108"/>
      <c r="IGR106" s="108"/>
      <c r="IGS106" s="108"/>
      <c r="IGT106" s="108"/>
      <c r="IGU106" s="108"/>
      <c r="IGV106" s="108"/>
      <c r="IGW106" s="108"/>
      <c r="IGX106" s="108"/>
      <c r="IGY106" s="108"/>
      <c r="IGZ106" s="108"/>
      <c r="IHA106" s="108"/>
      <c r="IHB106" s="108"/>
      <c r="IHC106" s="108"/>
      <c r="IHD106" s="108"/>
      <c r="IHE106" s="108"/>
      <c r="IHF106" s="108"/>
      <c r="IHG106" s="108"/>
      <c r="IHH106" s="108"/>
      <c r="IHI106" s="108"/>
      <c r="IHJ106" s="108"/>
      <c r="IHK106" s="108"/>
      <c r="IHL106" s="108"/>
      <c r="IHM106" s="108"/>
      <c r="IHN106" s="108"/>
      <c r="IHO106" s="108"/>
      <c r="IHP106" s="108"/>
      <c r="IHQ106" s="108"/>
      <c r="IHR106" s="108"/>
      <c r="IHS106" s="108"/>
      <c r="IHT106" s="108"/>
      <c r="IHU106" s="108"/>
      <c r="IHV106" s="108"/>
      <c r="IHW106" s="108"/>
      <c r="IHX106" s="108"/>
      <c r="IHY106" s="108"/>
      <c r="IHZ106" s="108"/>
      <c r="IIA106" s="108"/>
      <c r="IIB106" s="108"/>
      <c r="IIC106" s="108"/>
      <c r="IID106" s="108"/>
      <c r="IIE106" s="108"/>
      <c r="IIF106" s="108"/>
      <c r="IIG106" s="108"/>
      <c r="IIH106" s="108"/>
      <c r="III106" s="108"/>
      <c r="IIJ106" s="108"/>
      <c r="IIK106" s="108"/>
      <c r="IIL106" s="108"/>
      <c r="IIM106" s="108"/>
      <c r="IIN106" s="108"/>
      <c r="IIO106" s="108"/>
      <c r="IIP106" s="108"/>
      <c r="IIQ106" s="108"/>
      <c r="IIR106" s="108"/>
      <c r="IIS106" s="108"/>
      <c r="IIT106" s="108"/>
      <c r="IIU106" s="108"/>
      <c r="IIV106" s="108"/>
      <c r="IIW106" s="108"/>
      <c r="IIX106" s="108"/>
      <c r="IIY106" s="108"/>
      <c r="IIZ106" s="108"/>
      <c r="IJA106" s="108"/>
      <c r="IJB106" s="108"/>
      <c r="IJC106" s="108"/>
      <c r="IJD106" s="108"/>
      <c r="IJE106" s="108"/>
      <c r="IJF106" s="108"/>
      <c r="IJG106" s="108"/>
      <c r="IJH106" s="108"/>
      <c r="IJI106" s="108"/>
      <c r="IJJ106" s="108"/>
      <c r="IJK106" s="108"/>
      <c r="IJL106" s="108"/>
      <c r="IJM106" s="108"/>
      <c r="IJN106" s="108"/>
      <c r="IJO106" s="108"/>
      <c r="IJP106" s="108"/>
      <c r="IJQ106" s="108"/>
      <c r="IJR106" s="108"/>
      <c r="IJS106" s="108"/>
      <c r="IJT106" s="108"/>
      <c r="IJU106" s="108"/>
      <c r="IJV106" s="108"/>
      <c r="IJW106" s="108"/>
      <c r="IJX106" s="108"/>
      <c r="IJY106" s="108"/>
      <c r="IJZ106" s="108"/>
      <c r="IKA106" s="108"/>
      <c r="IKB106" s="108"/>
      <c r="IKC106" s="108"/>
      <c r="IKD106" s="108"/>
      <c r="IKE106" s="108"/>
      <c r="IKF106" s="108"/>
      <c r="IKG106" s="108"/>
      <c r="IKH106" s="108"/>
      <c r="IKI106" s="108"/>
      <c r="IKJ106" s="108"/>
      <c r="IKK106" s="108"/>
      <c r="IKL106" s="108"/>
      <c r="IKM106" s="108"/>
      <c r="IKN106" s="108"/>
      <c r="IKO106" s="108"/>
      <c r="IKP106" s="108"/>
      <c r="IKQ106" s="108"/>
      <c r="IKR106" s="108"/>
      <c r="IKS106" s="108"/>
      <c r="IKT106" s="108"/>
      <c r="IKU106" s="108"/>
      <c r="IKV106" s="108"/>
      <c r="IKW106" s="108"/>
      <c r="IKX106" s="108"/>
      <c r="IKY106" s="108"/>
      <c r="IKZ106" s="108"/>
      <c r="ILA106" s="108"/>
      <c r="ILB106" s="108"/>
      <c r="ILC106" s="108"/>
      <c r="ILD106" s="108"/>
      <c r="ILE106" s="108"/>
      <c r="ILF106" s="108"/>
      <c r="ILG106" s="108"/>
      <c r="ILH106" s="108"/>
      <c r="ILI106" s="108"/>
      <c r="ILJ106" s="108"/>
      <c r="ILK106" s="108"/>
      <c r="ILL106" s="108"/>
      <c r="ILM106" s="108"/>
      <c r="ILN106" s="108"/>
      <c r="ILO106" s="108"/>
      <c r="ILP106" s="108"/>
      <c r="ILQ106" s="108"/>
      <c r="ILR106" s="108"/>
      <c r="ILS106" s="108"/>
      <c r="ILT106" s="108"/>
      <c r="ILU106" s="108"/>
      <c r="ILV106" s="108"/>
      <c r="ILW106" s="108"/>
      <c r="ILX106" s="108"/>
      <c r="ILY106" s="108"/>
      <c r="ILZ106" s="108"/>
      <c r="IMA106" s="108"/>
      <c r="IMB106" s="108"/>
      <c r="IMC106" s="108"/>
      <c r="IMD106" s="108"/>
      <c r="IME106" s="108"/>
      <c r="IMF106" s="108"/>
      <c r="IMG106" s="108"/>
      <c r="IMH106" s="108"/>
      <c r="IMI106" s="108"/>
      <c r="IMJ106" s="108"/>
      <c r="IMK106" s="108"/>
      <c r="IML106" s="108"/>
      <c r="IMM106" s="108"/>
      <c r="IMN106" s="108"/>
      <c r="IMO106" s="108"/>
      <c r="IMP106" s="108"/>
      <c r="IMQ106" s="108"/>
      <c r="IMR106" s="108"/>
      <c r="IMS106" s="108"/>
      <c r="IMT106" s="108"/>
      <c r="IMU106" s="108"/>
      <c r="IMV106" s="108"/>
      <c r="IMW106" s="108"/>
      <c r="IMX106" s="108"/>
      <c r="IMY106" s="108"/>
      <c r="IMZ106" s="108"/>
      <c r="INA106" s="108"/>
      <c r="INB106" s="108"/>
      <c r="INC106" s="108"/>
      <c r="IND106" s="108"/>
      <c r="INE106" s="108"/>
      <c r="INF106" s="108"/>
      <c r="ING106" s="108"/>
      <c r="INH106" s="108"/>
      <c r="INI106" s="108"/>
      <c r="INJ106" s="108"/>
      <c r="INK106" s="108"/>
      <c r="INL106" s="108"/>
      <c r="INM106" s="108"/>
      <c r="INN106" s="108"/>
      <c r="INO106" s="108"/>
      <c r="INP106" s="108"/>
      <c r="INQ106" s="108"/>
      <c r="INR106" s="108"/>
      <c r="INS106" s="108"/>
      <c r="INT106" s="108"/>
      <c r="INU106" s="108"/>
      <c r="INV106" s="108"/>
      <c r="INW106" s="108"/>
      <c r="INX106" s="108"/>
      <c r="INY106" s="108"/>
      <c r="INZ106" s="108"/>
      <c r="IOA106" s="108"/>
      <c r="IOB106" s="108"/>
      <c r="IOC106" s="108"/>
      <c r="IOD106" s="108"/>
      <c r="IOE106" s="108"/>
      <c r="IOF106" s="108"/>
      <c r="IOG106" s="108"/>
      <c r="IOH106" s="108"/>
      <c r="IOI106" s="108"/>
      <c r="IOJ106" s="108"/>
      <c r="IOK106" s="108"/>
      <c r="IOL106" s="108"/>
      <c r="IOM106" s="108"/>
      <c r="ION106" s="108"/>
      <c r="IOO106" s="108"/>
      <c r="IOP106" s="108"/>
      <c r="IOQ106" s="108"/>
      <c r="IOR106" s="108"/>
      <c r="IOS106" s="108"/>
      <c r="IOT106" s="108"/>
      <c r="IOU106" s="108"/>
      <c r="IOV106" s="108"/>
      <c r="IOW106" s="108"/>
      <c r="IOX106" s="108"/>
      <c r="IOY106" s="108"/>
      <c r="IOZ106" s="108"/>
      <c r="IPA106" s="108"/>
      <c r="IPB106" s="108"/>
      <c r="IPC106" s="108"/>
      <c r="IPD106" s="108"/>
      <c r="IPE106" s="108"/>
      <c r="IPF106" s="108"/>
      <c r="IPG106" s="108"/>
      <c r="IPH106" s="108"/>
      <c r="IPI106" s="108"/>
      <c r="IPJ106" s="108"/>
      <c r="IPK106" s="108"/>
      <c r="IPL106" s="108"/>
      <c r="IPM106" s="108"/>
      <c r="IPN106" s="108"/>
      <c r="IPO106" s="108"/>
      <c r="IPP106" s="108"/>
      <c r="IPQ106" s="108"/>
      <c r="IPR106" s="108"/>
      <c r="IPS106" s="108"/>
      <c r="IPT106" s="108"/>
      <c r="IPU106" s="108"/>
      <c r="IPV106" s="108"/>
      <c r="IPW106" s="108"/>
      <c r="IPX106" s="108"/>
      <c r="IPY106" s="108"/>
      <c r="IPZ106" s="108"/>
      <c r="IQA106" s="108"/>
      <c r="IQB106" s="108"/>
      <c r="IQC106" s="108"/>
      <c r="IQD106" s="108"/>
      <c r="IQE106" s="108"/>
      <c r="IQF106" s="108"/>
      <c r="IQG106" s="108"/>
      <c r="IQH106" s="108"/>
      <c r="IQI106" s="108"/>
      <c r="IQJ106" s="108"/>
      <c r="IQK106" s="108"/>
      <c r="IQL106" s="108"/>
      <c r="IQM106" s="108"/>
      <c r="IQN106" s="108"/>
      <c r="IQO106" s="108"/>
      <c r="IQP106" s="108"/>
      <c r="IQQ106" s="108"/>
      <c r="IQR106" s="108"/>
      <c r="IQS106" s="108"/>
      <c r="IQT106" s="108"/>
      <c r="IQU106" s="108"/>
      <c r="IQV106" s="108"/>
      <c r="IQW106" s="108"/>
      <c r="IQX106" s="108"/>
      <c r="IQY106" s="108"/>
      <c r="IQZ106" s="108"/>
      <c r="IRA106" s="108"/>
      <c r="IRB106" s="108"/>
      <c r="IRC106" s="108"/>
      <c r="IRD106" s="108"/>
      <c r="IRE106" s="108"/>
      <c r="IRF106" s="108"/>
      <c r="IRG106" s="108"/>
      <c r="IRH106" s="108"/>
      <c r="IRI106" s="108"/>
      <c r="IRJ106" s="108"/>
      <c r="IRK106" s="108"/>
      <c r="IRL106" s="108"/>
      <c r="IRM106" s="108"/>
      <c r="IRN106" s="108"/>
      <c r="IRO106" s="108"/>
      <c r="IRP106" s="108"/>
      <c r="IRQ106" s="108"/>
      <c r="IRR106" s="108"/>
      <c r="IRS106" s="108"/>
      <c r="IRT106" s="108"/>
      <c r="IRU106" s="108"/>
      <c r="IRV106" s="108"/>
      <c r="IRW106" s="108"/>
      <c r="IRX106" s="108"/>
      <c r="IRY106" s="108"/>
      <c r="IRZ106" s="108"/>
      <c r="ISA106" s="108"/>
      <c r="ISB106" s="108"/>
      <c r="ISC106" s="108"/>
      <c r="ISD106" s="108"/>
      <c r="ISE106" s="108"/>
      <c r="ISF106" s="108"/>
      <c r="ISG106" s="108"/>
      <c r="ISH106" s="108"/>
      <c r="ISI106" s="108"/>
      <c r="ISJ106" s="108"/>
      <c r="ISK106" s="108"/>
      <c r="ISL106" s="108"/>
      <c r="ISM106" s="108"/>
      <c r="ISN106" s="108"/>
      <c r="ISO106" s="108"/>
      <c r="ISP106" s="108"/>
      <c r="ISQ106" s="108"/>
      <c r="ISR106" s="108"/>
      <c r="ISS106" s="108"/>
      <c r="IST106" s="108"/>
      <c r="ISU106" s="108"/>
      <c r="ISV106" s="108"/>
      <c r="ISW106" s="108"/>
      <c r="ISX106" s="108"/>
      <c r="ISY106" s="108"/>
      <c r="ISZ106" s="108"/>
      <c r="ITA106" s="108"/>
      <c r="ITB106" s="108"/>
      <c r="ITC106" s="108"/>
      <c r="ITD106" s="108"/>
      <c r="ITE106" s="108"/>
      <c r="ITF106" s="108"/>
      <c r="ITG106" s="108"/>
      <c r="ITH106" s="108"/>
      <c r="ITI106" s="108"/>
      <c r="ITJ106" s="108"/>
      <c r="ITK106" s="108"/>
      <c r="ITL106" s="108"/>
      <c r="ITM106" s="108"/>
      <c r="ITN106" s="108"/>
      <c r="ITO106" s="108"/>
      <c r="ITP106" s="108"/>
      <c r="ITQ106" s="108"/>
      <c r="ITR106" s="108"/>
      <c r="ITS106" s="108"/>
      <c r="ITT106" s="108"/>
      <c r="ITU106" s="108"/>
      <c r="ITV106" s="108"/>
      <c r="ITW106" s="108"/>
      <c r="ITX106" s="108"/>
      <c r="ITY106" s="108"/>
      <c r="ITZ106" s="108"/>
      <c r="IUA106" s="108"/>
      <c r="IUB106" s="108"/>
      <c r="IUC106" s="108"/>
      <c r="IUD106" s="108"/>
      <c r="IUE106" s="108"/>
      <c r="IUF106" s="108"/>
      <c r="IUG106" s="108"/>
      <c r="IUH106" s="108"/>
      <c r="IUI106" s="108"/>
      <c r="IUJ106" s="108"/>
      <c r="IUK106" s="108"/>
      <c r="IUL106" s="108"/>
      <c r="IUM106" s="108"/>
      <c r="IUN106" s="108"/>
      <c r="IUO106" s="108"/>
      <c r="IUP106" s="108"/>
      <c r="IUQ106" s="108"/>
      <c r="IUR106" s="108"/>
      <c r="IUS106" s="108"/>
      <c r="IUT106" s="108"/>
      <c r="IUU106" s="108"/>
      <c r="IUV106" s="108"/>
      <c r="IUW106" s="108"/>
      <c r="IUX106" s="108"/>
      <c r="IUY106" s="108"/>
      <c r="IUZ106" s="108"/>
      <c r="IVA106" s="108"/>
      <c r="IVB106" s="108"/>
      <c r="IVC106" s="108"/>
      <c r="IVD106" s="108"/>
      <c r="IVE106" s="108"/>
      <c r="IVF106" s="108"/>
      <c r="IVG106" s="108"/>
      <c r="IVH106" s="108"/>
      <c r="IVI106" s="108"/>
      <c r="IVJ106" s="108"/>
      <c r="IVK106" s="108"/>
      <c r="IVL106" s="108"/>
      <c r="IVM106" s="108"/>
      <c r="IVN106" s="108"/>
      <c r="IVO106" s="108"/>
      <c r="IVP106" s="108"/>
      <c r="IVQ106" s="108"/>
      <c r="IVR106" s="108"/>
      <c r="IVS106" s="108"/>
      <c r="IVT106" s="108"/>
      <c r="IVU106" s="108"/>
      <c r="IVV106" s="108"/>
      <c r="IVW106" s="108"/>
      <c r="IVX106" s="108"/>
      <c r="IVY106" s="108"/>
      <c r="IVZ106" s="108"/>
      <c r="IWA106" s="108"/>
      <c r="IWB106" s="108"/>
      <c r="IWC106" s="108"/>
      <c r="IWD106" s="108"/>
      <c r="IWE106" s="108"/>
      <c r="IWF106" s="108"/>
      <c r="IWG106" s="108"/>
      <c r="IWH106" s="108"/>
      <c r="IWI106" s="108"/>
      <c r="IWJ106" s="108"/>
      <c r="IWK106" s="108"/>
      <c r="IWL106" s="108"/>
      <c r="IWM106" s="108"/>
      <c r="IWN106" s="108"/>
      <c r="IWO106" s="108"/>
      <c r="IWP106" s="108"/>
      <c r="IWQ106" s="108"/>
      <c r="IWR106" s="108"/>
      <c r="IWS106" s="108"/>
      <c r="IWT106" s="108"/>
      <c r="IWU106" s="108"/>
      <c r="IWV106" s="108"/>
      <c r="IWW106" s="108"/>
      <c r="IWX106" s="108"/>
      <c r="IWY106" s="108"/>
      <c r="IWZ106" s="108"/>
      <c r="IXA106" s="108"/>
      <c r="IXB106" s="108"/>
      <c r="IXC106" s="108"/>
      <c r="IXD106" s="108"/>
      <c r="IXE106" s="108"/>
      <c r="IXF106" s="108"/>
      <c r="IXG106" s="108"/>
      <c r="IXH106" s="108"/>
      <c r="IXI106" s="108"/>
      <c r="IXJ106" s="108"/>
      <c r="IXK106" s="108"/>
      <c r="IXL106" s="108"/>
      <c r="IXM106" s="108"/>
      <c r="IXN106" s="108"/>
      <c r="IXO106" s="108"/>
      <c r="IXP106" s="108"/>
      <c r="IXQ106" s="108"/>
      <c r="IXR106" s="108"/>
      <c r="IXS106" s="108"/>
      <c r="IXT106" s="108"/>
      <c r="IXU106" s="108"/>
      <c r="IXV106" s="108"/>
      <c r="IXW106" s="108"/>
      <c r="IXX106" s="108"/>
      <c r="IXY106" s="108"/>
      <c r="IXZ106" s="108"/>
      <c r="IYA106" s="108"/>
      <c r="IYB106" s="108"/>
      <c r="IYC106" s="108"/>
      <c r="IYD106" s="108"/>
      <c r="IYE106" s="108"/>
      <c r="IYF106" s="108"/>
      <c r="IYG106" s="108"/>
      <c r="IYH106" s="108"/>
      <c r="IYI106" s="108"/>
      <c r="IYJ106" s="108"/>
      <c r="IYK106" s="108"/>
      <c r="IYL106" s="108"/>
      <c r="IYM106" s="108"/>
      <c r="IYN106" s="108"/>
      <c r="IYO106" s="108"/>
      <c r="IYP106" s="108"/>
      <c r="IYQ106" s="108"/>
      <c r="IYR106" s="108"/>
      <c r="IYS106" s="108"/>
      <c r="IYT106" s="108"/>
      <c r="IYU106" s="108"/>
      <c r="IYV106" s="108"/>
      <c r="IYW106" s="108"/>
      <c r="IYX106" s="108"/>
      <c r="IYY106" s="108"/>
      <c r="IYZ106" s="108"/>
      <c r="IZA106" s="108"/>
      <c r="IZB106" s="108"/>
      <c r="IZC106" s="108"/>
      <c r="IZD106" s="108"/>
      <c r="IZE106" s="108"/>
      <c r="IZF106" s="108"/>
      <c r="IZG106" s="108"/>
      <c r="IZH106" s="108"/>
      <c r="IZI106" s="108"/>
      <c r="IZJ106" s="108"/>
      <c r="IZK106" s="108"/>
      <c r="IZL106" s="108"/>
      <c r="IZM106" s="108"/>
      <c r="IZN106" s="108"/>
      <c r="IZO106" s="108"/>
      <c r="IZP106" s="108"/>
      <c r="IZQ106" s="108"/>
      <c r="IZR106" s="108"/>
      <c r="IZS106" s="108"/>
      <c r="IZT106" s="108"/>
      <c r="IZU106" s="108"/>
      <c r="IZV106" s="108"/>
      <c r="IZW106" s="108"/>
      <c r="IZX106" s="108"/>
      <c r="IZY106" s="108"/>
      <c r="IZZ106" s="108"/>
      <c r="JAA106" s="108"/>
      <c r="JAB106" s="108"/>
      <c r="JAC106" s="108"/>
      <c r="JAD106" s="108"/>
      <c r="JAE106" s="108"/>
      <c r="JAF106" s="108"/>
      <c r="JAG106" s="108"/>
      <c r="JAH106" s="108"/>
      <c r="JAI106" s="108"/>
      <c r="JAJ106" s="108"/>
      <c r="JAK106" s="108"/>
      <c r="JAL106" s="108"/>
      <c r="JAM106" s="108"/>
      <c r="JAN106" s="108"/>
      <c r="JAO106" s="108"/>
      <c r="JAP106" s="108"/>
      <c r="JAQ106" s="108"/>
      <c r="JAR106" s="108"/>
      <c r="JAS106" s="108"/>
      <c r="JAT106" s="108"/>
      <c r="JAU106" s="108"/>
      <c r="JAV106" s="108"/>
      <c r="JAW106" s="108"/>
      <c r="JAX106" s="108"/>
      <c r="JAY106" s="108"/>
      <c r="JAZ106" s="108"/>
      <c r="JBA106" s="108"/>
      <c r="JBB106" s="108"/>
      <c r="JBC106" s="108"/>
      <c r="JBD106" s="108"/>
      <c r="JBE106" s="108"/>
      <c r="JBF106" s="108"/>
      <c r="JBG106" s="108"/>
      <c r="JBH106" s="108"/>
      <c r="JBI106" s="108"/>
      <c r="JBJ106" s="108"/>
      <c r="JBK106" s="108"/>
      <c r="JBL106" s="108"/>
      <c r="JBM106" s="108"/>
      <c r="JBN106" s="108"/>
      <c r="JBO106" s="108"/>
      <c r="JBP106" s="108"/>
      <c r="JBQ106" s="108"/>
      <c r="JBR106" s="108"/>
      <c r="JBS106" s="108"/>
      <c r="JBT106" s="108"/>
      <c r="JBU106" s="108"/>
      <c r="JBV106" s="108"/>
      <c r="JBW106" s="108"/>
      <c r="JBX106" s="108"/>
      <c r="JBY106" s="108"/>
      <c r="JBZ106" s="108"/>
      <c r="JCA106" s="108"/>
      <c r="JCB106" s="108"/>
      <c r="JCC106" s="108"/>
      <c r="JCD106" s="108"/>
      <c r="JCE106" s="108"/>
      <c r="JCF106" s="108"/>
      <c r="JCG106" s="108"/>
      <c r="JCH106" s="108"/>
      <c r="JCI106" s="108"/>
      <c r="JCJ106" s="108"/>
      <c r="JCK106" s="108"/>
      <c r="JCL106" s="108"/>
      <c r="JCM106" s="108"/>
      <c r="JCN106" s="108"/>
      <c r="JCO106" s="108"/>
      <c r="JCP106" s="108"/>
      <c r="JCQ106" s="108"/>
      <c r="JCR106" s="108"/>
      <c r="JCS106" s="108"/>
      <c r="JCT106" s="108"/>
      <c r="JCU106" s="108"/>
      <c r="JCV106" s="108"/>
      <c r="JCW106" s="108"/>
      <c r="JCX106" s="108"/>
      <c r="JCY106" s="108"/>
      <c r="JCZ106" s="108"/>
      <c r="JDA106" s="108"/>
      <c r="JDB106" s="108"/>
      <c r="JDC106" s="108"/>
      <c r="JDD106" s="108"/>
      <c r="JDE106" s="108"/>
      <c r="JDF106" s="108"/>
      <c r="JDG106" s="108"/>
      <c r="JDH106" s="108"/>
      <c r="JDI106" s="108"/>
      <c r="JDJ106" s="108"/>
      <c r="JDK106" s="108"/>
      <c r="JDL106" s="108"/>
      <c r="JDM106" s="108"/>
      <c r="JDN106" s="108"/>
      <c r="JDO106" s="108"/>
      <c r="JDP106" s="108"/>
      <c r="JDQ106" s="108"/>
      <c r="JDR106" s="108"/>
      <c r="JDS106" s="108"/>
      <c r="JDT106" s="108"/>
      <c r="JDU106" s="108"/>
      <c r="JDV106" s="108"/>
      <c r="JDW106" s="108"/>
      <c r="JDX106" s="108"/>
      <c r="JDY106" s="108"/>
      <c r="JDZ106" s="108"/>
      <c r="JEA106" s="108"/>
      <c r="JEB106" s="108"/>
      <c r="JEC106" s="108"/>
      <c r="JED106" s="108"/>
      <c r="JEE106" s="108"/>
      <c r="JEF106" s="108"/>
      <c r="JEG106" s="108"/>
      <c r="JEH106" s="108"/>
      <c r="JEI106" s="108"/>
      <c r="JEJ106" s="108"/>
      <c r="JEK106" s="108"/>
      <c r="JEL106" s="108"/>
      <c r="JEM106" s="108"/>
      <c r="JEN106" s="108"/>
      <c r="JEO106" s="108"/>
      <c r="JEP106" s="108"/>
      <c r="JEQ106" s="108"/>
      <c r="JER106" s="108"/>
      <c r="JES106" s="108"/>
      <c r="JET106" s="108"/>
      <c r="JEU106" s="108"/>
      <c r="JEV106" s="108"/>
      <c r="JEW106" s="108"/>
      <c r="JEX106" s="108"/>
      <c r="JEY106" s="108"/>
      <c r="JEZ106" s="108"/>
      <c r="JFA106" s="108"/>
      <c r="JFB106" s="108"/>
      <c r="JFC106" s="108"/>
      <c r="JFD106" s="108"/>
      <c r="JFE106" s="108"/>
      <c r="JFF106" s="108"/>
      <c r="JFG106" s="108"/>
      <c r="JFH106" s="108"/>
      <c r="JFI106" s="108"/>
      <c r="JFJ106" s="108"/>
      <c r="JFK106" s="108"/>
      <c r="JFL106" s="108"/>
      <c r="JFM106" s="108"/>
      <c r="JFN106" s="108"/>
      <c r="JFO106" s="108"/>
      <c r="JFP106" s="108"/>
      <c r="JFQ106" s="108"/>
      <c r="JFR106" s="108"/>
      <c r="JFS106" s="108"/>
      <c r="JFT106" s="108"/>
      <c r="JFU106" s="108"/>
      <c r="JFV106" s="108"/>
      <c r="JFW106" s="108"/>
      <c r="JFX106" s="108"/>
      <c r="JFY106" s="108"/>
      <c r="JFZ106" s="108"/>
      <c r="JGA106" s="108"/>
      <c r="JGB106" s="108"/>
      <c r="JGC106" s="108"/>
      <c r="JGD106" s="108"/>
      <c r="JGE106" s="108"/>
      <c r="JGF106" s="108"/>
      <c r="JGG106" s="108"/>
      <c r="JGH106" s="108"/>
      <c r="JGI106" s="108"/>
      <c r="JGJ106" s="108"/>
      <c r="JGK106" s="108"/>
      <c r="JGL106" s="108"/>
      <c r="JGM106" s="108"/>
      <c r="JGN106" s="108"/>
      <c r="JGO106" s="108"/>
      <c r="JGP106" s="108"/>
      <c r="JGQ106" s="108"/>
      <c r="JGR106" s="108"/>
      <c r="JGS106" s="108"/>
      <c r="JGT106" s="108"/>
      <c r="JGU106" s="108"/>
      <c r="JGV106" s="108"/>
      <c r="JGW106" s="108"/>
      <c r="JGX106" s="108"/>
      <c r="JGY106" s="108"/>
      <c r="JGZ106" s="108"/>
      <c r="JHA106" s="108"/>
      <c r="JHB106" s="108"/>
      <c r="JHC106" s="108"/>
      <c r="JHD106" s="108"/>
      <c r="JHE106" s="108"/>
      <c r="JHF106" s="108"/>
      <c r="JHG106" s="108"/>
      <c r="JHH106" s="108"/>
      <c r="JHI106" s="108"/>
      <c r="JHJ106" s="108"/>
      <c r="JHK106" s="108"/>
      <c r="JHL106" s="108"/>
      <c r="JHM106" s="108"/>
      <c r="JHN106" s="108"/>
      <c r="JHO106" s="108"/>
      <c r="JHP106" s="108"/>
      <c r="JHQ106" s="108"/>
      <c r="JHR106" s="108"/>
      <c r="JHS106" s="108"/>
      <c r="JHT106" s="108"/>
      <c r="JHU106" s="108"/>
      <c r="JHV106" s="108"/>
      <c r="JHW106" s="108"/>
      <c r="JHX106" s="108"/>
      <c r="JHY106" s="108"/>
      <c r="JHZ106" s="108"/>
      <c r="JIA106" s="108"/>
      <c r="JIB106" s="108"/>
      <c r="JIC106" s="108"/>
      <c r="JID106" s="108"/>
      <c r="JIE106" s="108"/>
      <c r="JIF106" s="108"/>
      <c r="JIG106" s="108"/>
      <c r="JIH106" s="108"/>
      <c r="JII106" s="108"/>
      <c r="JIJ106" s="108"/>
      <c r="JIK106" s="108"/>
      <c r="JIL106" s="108"/>
      <c r="JIM106" s="108"/>
      <c r="JIN106" s="108"/>
      <c r="JIO106" s="108"/>
      <c r="JIP106" s="108"/>
      <c r="JIQ106" s="108"/>
      <c r="JIR106" s="108"/>
      <c r="JIS106" s="108"/>
      <c r="JIT106" s="108"/>
      <c r="JIU106" s="108"/>
      <c r="JIV106" s="108"/>
      <c r="JIW106" s="108"/>
      <c r="JIX106" s="108"/>
      <c r="JIY106" s="108"/>
      <c r="JIZ106" s="108"/>
      <c r="JJA106" s="108"/>
      <c r="JJB106" s="108"/>
      <c r="JJC106" s="108"/>
      <c r="JJD106" s="108"/>
      <c r="JJE106" s="108"/>
      <c r="JJF106" s="108"/>
      <c r="JJG106" s="108"/>
      <c r="JJH106" s="108"/>
      <c r="JJI106" s="108"/>
      <c r="JJJ106" s="108"/>
      <c r="JJK106" s="108"/>
      <c r="JJL106" s="108"/>
      <c r="JJM106" s="108"/>
      <c r="JJN106" s="108"/>
      <c r="JJO106" s="108"/>
      <c r="JJP106" s="108"/>
      <c r="JJQ106" s="108"/>
      <c r="JJR106" s="108"/>
      <c r="JJS106" s="108"/>
      <c r="JJT106" s="108"/>
      <c r="JJU106" s="108"/>
      <c r="JJV106" s="108"/>
      <c r="JJW106" s="108"/>
      <c r="JJX106" s="108"/>
      <c r="JJY106" s="108"/>
      <c r="JJZ106" s="108"/>
      <c r="JKA106" s="108"/>
      <c r="JKB106" s="108"/>
      <c r="JKC106" s="108"/>
      <c r="JKD106" s="108"/>
      <c r="JKE106" s="108"/>
      <c r="JKF106" s="108"/>
      <c r="JKG106" s="108"/>
      <c r="JKH106" s="108"/>
      <c r="JKI106" s="108"/>
      <c r="JKJ106" s="108"/>
      <c r="JKK106" s="108"/>
      <c r="JKL106" s="108"/>
      <c r="JKM106" s="108"/>
      <c r="JKN106" s="108"/>
      <c r="JKO106" s="108"/>
      <c r="JKP106" s="108"/>
      <c r="JKQ106" s="108"/>
      <c r="JKR106" s="108"/>
      <c r="JKS106" s="108"/>
      <c r="JKT106" s="108"/>
      <c r="JKU106" s="108"/>
      <c r="JKV106" s="108"/>
      <c r="JKW106" s="108"/>
      <c r="JKX106" s="108"/>
      <c r="JKY106" s="108"/>
      <c r="JKZ106" s="108"/>
      <c r="JLA106" s="108"/>
      <c r="JLB106" s="108"/>
      <c r="JLC106" s="108"/>
      <c r="JLD106" s="108"/>
      <c r="JLE106" s="108"/>
      <c r="JLF106" s="108"/>
      <c r="JLG106" s="108"/>
      <c r="JLH106" s="108"/>
      <c r="JLI106" s="108"/>
      <c r="JLJ106" s="108"/>
      <c r="JLK106" s="108"/>
      <c r="JLL106" s="108"/>
      <c r="JLM106" s="108"/>
      <c r="JLN106" s="108"/>
      <c r="JLO106" s="108"/>
      <c r="JLP106" s="108"/>
      <c r="JLQ106" s="108"/>
      <c r="JLR106" s="108"/>
      <c r="JLS106" s="108"/>
      <c r="JLT106" s="108"/>
      <c r="JLU106" s="108"/>
      <c r="JLV106" s="108"/>
      <c r="JLW106" s="108"/>
      <c r="JLX106" s="108"/>
      <c r="JLY106" s="108"/>
      <c r="JLZ106" s="108"/>
      <c r="JMA106" s="108"/>
      <c r="JMB106" s="108"/>
      <c r="JMC106" s="108"/>
      <c r="JMD106" s="108"/>
      <c r="JME106" s="108"/>
      <c r="JMF106" s="108"/>
      <c r="JMG106" s="108"/>
      <c r="JMH106" s="108"/>
      <c r="JMI106" s="108"/>
      <c r="JMJ106" s="108"/>
      <c r="JMK106" s="108"/>
      <c r="JML106" s="108"/>
      <c r="JMM106" s="108"/>
      <c r="JMN106" s="108"/>
      <c r="JMO106" s="108"/>
      <c r="JMP106" s="108"/>
      <c r="JMQ106" s="108"/>
      <c r="JMR106" s="108"/>
      <c r="JMS106" s="108"/>
      <c r="JMT106" s="108"/>
      <c r="JMU106" s="108"/>
      <c r="JMV106" s="108"/>
      <c r="JMW106" s="108"/>
      <c r="JMX106" s="108"/>
      <c r="JMY106" s="108"/>
      <c r="JMZ106" s="108"/>
      <c r="JNA106" s="108"/>
      <c r="JNB106" s="108"/>
      <c r="JNC106" s="108"/>
      <c r="JND106" s="108"/>
      <c r="JNE106" s="108"/>
      <c r="JNF106" s="108"/>
      <c r="JNG106" s="108"/>
      <c r="JNH106" s="108"/>
      <c r="JNI106" s="108"/>
      <c r="JNJ106" s="108"/>
      <c r="JNK106" s="108"/>
      <c r="JNL106" s="108"/>
      <c r="JNM106" s="108"/>
      <c r="JNN106" s="108"/>
      <c r="JNO106" s="108"/>
      <c r="JNP106" s="108"/>
      <c r="JNQ106" s="108"/>
      <c r="JNR106" s="108"/>
      <c r="JNS106" s="108"/>
      <c r="JNT106" s="108"/>
      <c r="JNU106" s="108"/>
      <c r="JNV106" s="108"/>
      <c r="JNW106" s="108"/>
      <c r="JNX106" s="108"/>
      <c r="JNY106" s="108"/>
      <c r="JNZ106" s="108"/>
      <c r="JOA106" s="108"/>
      <c r="JOB106" s="108"/>
      <c r="JOC106" s="108"/>
      <c r="JOD106" s="108"/>
      <c r="JOE106" s="108"/>
      <c r="JOF106" s="108"/>
      <c r="JOG106" s="108"/>
      <c r="JOH106" s="108"/>
      <c r="JOI106" s="108"/>
      <c r="JOJ106" s="108"/>
      <c r="JOK106" s="108"/>
      <c r="JOL106" s="108"/>
      <c r="JOM106" s="108"/>
      <c r="JON106" s="108"/>
      <c r="JOO106" s="108"/>
      <c r="JOP106" s="108"/>
      <c r="JOQ106" s="108"/>
      <c r="JOR106" s="108"/>
      <c r="JOS106" s="108"/>
      <c r="JOT106" s="108"/>
      <c r="JOU106" s="108"/>
      <c r="JOV106" s="108"/>
      <c r="JOW106" s="108"/>
      <c r="JOX106" s="108"/>
      <c r="JOY106" s="108"/>
      <c r="JOZ106" s="108"/>
      <c r="JPA106" s="108"/>
      <c r="JPB106" s="108"/>
      <c r="JPC106" s="108"/>
      <c r="JPD106" s="108"/>
      <c r="JPE106" s="108"/>
      <c r="JPF106" s="108"/>
      <c r="JPG106" s="108"/>
      <c r="JPH106" s="108"/>
      <c r="JPI106" s="108"/>
      <c r="JPJ106" s="108"/>
      <c r="JPK106" s="108"/>
      <c r="JPL106" s="108"/>
      <c r="JPM106" s="108"/>
      <c r="JPN106" s="108"/>
      <c r="JPO106" s="108"/>
      <c r="JPP106" s="108"/>
      <c r="JPQ106" s="108"/>
      <c r="JPR106" s="108"/>
      <c r="JPS106" s="108"/>
      <c r="JPT106" s="108"/>
      <c r="JPU106" s="108"/>
      <c r="JPV106" s="108"/>
      <c r="JPW106" s="108"/>
      <c r="JPX106" s="108"/>
      <c r="JPY106" s="108"/>
      <c r="JPZ106" s="108"/>
      <c r="JQA106" s="108"/>
      <c r="JQB106" s="108"/>
      <c r="JQC106" s="108"/>
      <c r="JQD106" s="108"/>
      <c r="JQE106" s="108"/>
      <c r="JQF106" s="108"/>
      <c r="JQG106" s="108"/>
      <c r="JQH106" s="108"/>
      <c r="JQI106" s="108"/>
      <c r="JQJ106" s="108"/>
      <c r="JQK106" s="108"/>
      <c r="JQL106" s="108"/>
      <c r="JQM106" s="108"/>
      <c r="JQN106" s="108"/>
      <c r="JQO106" s="108"/>
      <c r="JQP106" s="108"/>
      <c r="JQQ106" s="108"/>
      <c r="JQR106" s="108"/>
      <c r="JQS106" s="108"/>
      <c r="JQT106" s="108"/>
      <c r="JQU106" s="108"/>
      <c r="JQV106" s="108"/>
      <c r="JQW106" s="108"/>
      <c r="JQX106" s="108"/>
      <c r="JQY106" s="108"/>
      <c r="JQZ106" s="108"/>
      <c r="JRA106" s="108"/>
      <c r="JRB106" s="108"/>
      <c r="JRC106" s="108"/>
      <c r="JRD106" s="108"/>
      <c r="JRE106" s="108"/>
      <c r="JRF106" s="108"/>
      <c r="JRG106" s="108"/>
      <c r="JRH106" s="108"/>
      <c r="JRI106" s="108"/>
      <c r="JRJ106" s="108"/>
      <c r="JRK106" s="108"/>
      <c r="JRL106" s="108"/>
      <c r="JRM106" s="108"/>
      <c r="JRN106" s="108"/>
      <c r="JRO106" s="108"/>
      <c r="JRP106" s="108"/>
      <c r="JRQ106" s="108"/>
      <c r="JRR106" s="108"/>
      <c r="JRS106" s="108"/>
      <c r="JRT106" s="108"/>
      <c r="JRU106" s="108"/>
      <c r="JRV106" s="108"/>
      <c r="JRW106" s="108"/>
      <c r="JRX106" s="108"/>
      <c r="JRY106" s="108"/>
      <c r="JRZ106" s="108"/>
      <c r="JSA106" s="108"/>
      <c r="JSB106" s="108"/>
      <c r="JSC106" s="108"/>
      <c r="JSD106" s="108"/>
      <c r="JSE106" s="108"/>
      <c r="JSF106" s="108"/>
      <c r="JSG106" s="108"/>
      <c r="JSH106" s="108"/>
      <c r="JSI106" s="108"/>
      <c r="JSJ106" s="108"/>
      <c r="JSK106" s="108"/>
      <c r="JSL106" s="108"/>
      <c r="JSM106" s="108"/>
      <c r="JSN106" s="108"/>
      <c r="JSO106" s="108"/>
      <c r="JSP106" s="108"/>
      <c r="JSQ106" s="108"/>
      <c r="JSR106" s="108"/>
      <c r="JSS106" s="108"/>
      <c r="JST106" s="108"/>
      <c r="JSU106" s="108"/>
      <c r="JSV106" s="108"/>
      <c r="JSW106" s="108"/>
      <c r="JSX106" s="108"/>
      <c r="JSY106" s="108"/>
      <c r="JSZ106" s="108"/>
      <c r="JTA106" s="108"/>
      <c r="JTB106" s="108"/>
      <c r="JTC106" s="108"/>
      <c r="JTD106" s="108"/>
      <c r="JTE106" s="108"/>
      <c r="JTF106" s="108"/>
      <c r="JTG106" s="108"/>
      <c r="JTH106" s="108"/>
      <c r="JTI106" s="108"/>
      <c r="JTJ106" s="108"/>
      <c r="JTK106" s="108"/>
      <c r="JTL106" s="108"/>
      <c r="JTM106" s="108"/>
      <c r="JTN106" s="108"/>
      <c r="JTO106" s="108"/>
      <c r="JTP106" s="108"/>
      <c r="JTQ106" s="108"/>
      <c r="JTR106" s="108"/>
      <c r="JTS106" s="108"/>
      <c r="JTT106" s="108"/>
      <c r="JTU106" s="108"/>
      <c r="JTV106" s="108"/>
      <c r="JTW106" s="108"/>
      <c r="JTX106" s="108"/>
      <c r="JTY106" s="108"/>
      <c r="JTZ106" s="108"/>
      <c r="JUA106" s="108"/>
      <c r="JUB106" s="108"/>
      <c r="JUC106" s="108"/>
      <c r="JUD106" s="108"/>
      <c r="JUE106" s="108"/>
      <c r="JUF106" s="108"/>
      <c r="JUG106" s="108"/>
      <c r="JUH106" s="108"/>
      <c r="JUI106" s="108"/>
      <c r="JUJ106" s="108"/>
      <c r="JUK106" s="108"/>
      <c r="JUL106" s="108"/>
      <c r="JUM106" s="108"/>
      <c r="JUN106" s="108"/>
      <c r="JUO106" s="108"/>
      <c r="JUP106" s="108"/>
      <c r="JUQ106" s="108"/>
      <c r="JUR106" s="108"/>
      <c r="JUS106" s="108"/>
      <c r="JUT106" s="108"/>
      <c r="JUU106" s="108"/>
      <c r="JUV106" s="108"/>
      <c r="JUW106" s="108"/>
      <c r="JUX106" s="108"/>
      <c r="JUY106" s="108"/>
      <c r="JUZ106" s="108"/>
      <c r="JVA106" s="108"/>
      <c r="JVB106" s="108"/>
      <c r="JVC106" s="108"/>
      <c r="JVD106" s="108"/>
      <c r="JVE106" s="108"/>
      <c r="JVF106" s="108"/>
      <c r="JVG106" s="108"/>
      <c r="JVH106" s="108"/>
      <c r="JVI106" s="108"/>
      <c r="JVJ106" s="108"/>
      <c r="JVK106" s="108"/>
      <c r="JVL106" s="108"/>
      <c r="JVM106" s="108"/>
      <c r="JVN106" s="108"/>
      <c r="JVO106" s="108"/>
      <c r="JVP106" s="108"/>
      <c r="JVQ106" s="108"/>
      <c r="JVR106" s="108"/>
      <c r="JVS106" s="108"/>
      <c r="JVT106" s="108"/>
      <c r="JVU106" s="108"/>
      <c r="JVV106" s="108"/>
      <c r="JVW106" s="108"/>
      <c r="JVX106" s="108"/>
      <c r="JVY106" s="108"/>
      <c r="JVZ106" s="108"/>
      <c r="JWA106" s="108"/>
      <c r="JWB106" s="108"/>
      <c r="JWC106" s="108"/>
      <c r="JWD106" s="108"/>
      <c r="JWE106" s="108"/>
      <c r="JWF106" s="108"/>
      <c r="JWG106" s="108"/>
      <c r="JWH106" s="108"/>
      <c r="JWI106" s="108"/>
      <c r="JWJ106" s="108"/>
      <c r="JWK106" s="108"/>
      <c r="JWL106" s="108"/>
      <c r="JWM106" s="108"/>
      <c r="JWN106" s="108"/>
      <c r="JWO106" s="108"/>
      <c r="JWP106" s="108"/>
      <c r="JWQ106" s="108"/>
      <c r="JWR106" s="108"/>
      <c r="JWS106" s="108"/>
      <c r="JWT106" s="108"/>
      <c r="JWU106" s="108"/>
      <c r="JWV106" s="108"/>
      <c r="JWW106" s="108"/>
      <c r="JWX106" s="108"/>
      <c r="JWY106" s="108"/>
      <c r="JWZ106" s="108"/>
      <c r="JXA106" s="108"/>
      <c r="JXB106" s="108"/>
      <c r="JXC106" s="108"/>
      <c r="JXD106" s="108"/>
      <c r="JXE106" s="108"/>
      <c r="JXF106" s="108"/>
      <c r="JXG106" s="108"/>
      <c r="JXH106" s="108"/>
      <c r="JXI106" s="108"/>
      <c r="JXJ106" s="108"/>
      <c r="JXK106" s="108"/>
      <c r="JXL106" s="108"/>
      <c r="JXM106" s="108"/>
      <c r="JXN106" s="108"/>
      <c r="JXO106" s="108"/>
      <c r="JXP106" s="108"/>
      <c r="JXQ106" s="108"/>
      <c r="JXR106" s="108"/>
      <c r="JXS106" s="108"/>
      <c r="JXT106" s="108"/>
      <c r="JXU106" s="108"/>
      <c r="JXV106" s="108"/>
      <c r="JXW106" s="108"/>
      <c r="JXX106" s="108"/>
      <c r="JXY106" s="108"/>
      <c r="JXZ106" s="108"/>
      <c r="JYA106" s="108"/>
      <c r="JYB106" s="108"/>
      <c r="JYC106" s="108"/>
      <c r="JYD106" s="108"/>
      <c r="JYE106" s="108"/>
      <c r="JYF106" s="108"/>
      <c r="JYG106" s="108"/>
      <c r="JYH106" s="108"/>
      <c r="JYI106" s="108"/>
      <c r="JYJ106" s="108"/>
      <c r="JYK106" s="108"/>
      <c r="JYL106" s="108"/>
      <c r="JYM106" s="108"/>
      <c r="JYN106" s="108"/>
      <c r="JYO106" s="108"/>
      <c r="JYP106" s="108"/>
      <c r="JYQ106" s="108"/>
      <c r="JYR106" s="108"/>
      <c r="JYS106" s="108"/>
      <c r="JYT106" s="108"/>
      <c r="JYU106" s="108"/>
      <c r="JYV106" s="108"/>
      <c r="JYW106" s="108"/>
      <c r="JYX106" s="108"/>
      <c r="JYY106" s="108"/>
      <c r="JYZ106" s="108"/>
      <c r="JZA106" s="108"/>
      <c r="JZB106" s="108"/>
      <c r="JZC106" s="108"/>
      <c r="JZD106" s="108"/>
      <c r="JZE106" s="108"/>
      <c r="JZF106" s="108"/>
      <c r="JZG106" s="108"/>
      <c r="JZH106" s="108"/>
      <c r="JZI106" s="108"/>
      <c r="JZJ106" s="108"/>
      <c r="JZK106" s="108"/>
      <c r="JZL106" s="108"/>
      <c r="JZM106" s="108"/>
      <c r="JZN106" s="108"/>
      <c r="JZO106" s="108"/>
      <c r="JZP106" s="108"/>
      <c r="JZQ106" s="108"/>
      <c r="JZR106" s="108"/>
      <c r="JZS106" s="108"/>
      <c r="JZT106" s="108"/>
      <c r="JZU106" s="108"/>
      <c r="JZV106" s="108"/>
      <c r="JZW106" s="108"/>
      <c r="JZX106" s="108"/>
      <c r="JZY106" s="108"/>
      <c r="JZZ106" s="108"/>
      <c r="KAA106" s="108"/>
      <c r="KAB106" s="108"/>
      <c r="KAC106" s="108"/>
      <c r="KAD106" s="108"/>
      <c r="KAE106" s="108"/>
      <c r="KAF106" s="108"/>
      <c r="KAG106" s="108"/>
      <c r="KAH106" s="108"/>
      <c r="KAI106" s="108"/>
      <c r="KAJ106" s="108"/>
      <c r="KAK106" s="108"/>
      <c r="KAL106" s="108"/>
      <c r="KAM106" s="108"/>
      <c r="KAN106" s="108"/>
      <c r="KAO106" s="108"/>
      <c r="KAP106" s="108"/>
      <c r="KAQ106" s="108"/>
      <c r="KAR106" s="108"/>
      <c r="KAS106" s="108"/>
      <c r="KAT106" s="108"/>
      <c r="KAU106" s="108"/>
      <c r="KAV106" s="108"/>
      <c r="KAW106" s="108"/>
      <c r="KAX106" s="108"/>
      <c r="KAY106" s="108"/>
      <c r="KAZ106" s="108"/>
      <c r="KBA106" s="108"/>
      <c r="KBB106" s="108"/>
      <c r="KBC106" s="108"/>
      <c r="KBD106" s="108"/>
      <c r="KBE106" s="108"/>
      <c r="KBF106" s="108"/>
      <c r="KBG106" s="108"/>
      <c r="KBH106" s="108"/>
      <c r="KBI106" s="108"/>
      <c r="KBJ106" s="108"/>
      <c r="KBK106" s="108"/>
      <c r="KBL106" s="108"/>
      <c r="KBM106" s="108"/>
      <c r="KBN106" s="108"/>
      <c r="KBO106" s="108"/>
      <c r="KBP106" s="108"/>
      <c r="KBQ106" s="108"/>
      <c r="KBR106" s="108"/>
      <c r="KBS106" s="108"/>
      <c r="KBT106" s="108"/>
      <c r="KBU106" s="108"/>
      <c r="KBV106" s="108"/>
      <c r="KBW106" s="108"/>
      <c r="KBX106" s="108"/>
      <c r="KBY106" s="108"/>
      <c r="KBZ106" s="108"/>
      <c r="KCA106" s="108"/>
      <c r="KCB106" s="108"/>
      <c r="KCC106" s="108"/>
      <c r="KCD106" s="108"/>
      <c r="KCE106" s="108"/>
      <c r="KCF106" s="108"/>
      <c r="KCG106" s="108"/>
      <c r="KCH106" s="108"/>
      <c r="KCI106" s="108"/>
      <c r="KCJ106" s="108"/>
      <c r="KCK106" s="108"/>
      <c r="KCL106" s="108"/>
      <c r="KCM106" s="108"/>
      <c r="KCN106" s="108"/>
      <c r="KCO106" s="108"/>
      <c r="KCP106" s="108"/>
      <c r="KCQ106" s="108"/>
      <c r="KCR106" s="108"/>
      <c r="KCS106" s="108"/>
      <c r="KCT106" s="108"/>
      <c r="KCU106" s="108"/>
      <c r="KCV106" s="108"/>
      <c r="KCW106" s="108"/>
      <c r="KCX106" s="108"/>
      <c r="KCY106" s="108"/>
      <c r="KCZ106" s="108"/>
      <c r="KDA106" s="108"/>
      <c r="KDB106" s="108"/>
      <c r="KDC106" s="108"/>
      <c r="KDD106" s="108"/>
      <c r="KDE106" s="108"/>
      <c r="KDF106" s="108"/>
      <c r="KDG106" s="108"/>
      <c r="KDH106" s="108"/>
      <c r="KDI106" s="108"/>
      <c r="KDJ106" s="108"/>
      <c r="KDK106" s="108"/>
      <c r="KDL106" s="108"/>
      <c r="KDM106" s="108"/>
      <c r="KDN106" s="108"/>
      <c r="KDO106" s="108"/>
      <c r="KDP106" s="108"/>
      <c r="KDQ106" s="108"/>
      <c r="KDR106" s="108"/>
      <c r="KDS106" s="108"/>
      <c r="KDT106" s="108"/>
      <c r="KDU106" s="108"/>
      <c r="KDV106" s="108"/>
      <c r="KDW106" s="108"/>
      <c r="KDX106" s="108"/>
      <c r="KDY106" s="108"/>
      <c r="KDZ106" s="108"/>
      <c r="KEA106" s="108"/>
      <c r="KEB106" s="108"/>
      <c r="KEC106" s="108"/>
      <c r="KED106" s="108"/>
      <c r="KEE106" s="108"/>
      <c r="KEF106" s="108"/>
      <c r="KEG106" s="108"/>
      <c r="KEH106" s="108"/>
      <c r="KEI106" s="108"/>
      <c r="KEJ106" s="108"/>
      <c r="KEK106" s="108"/>
      <c r="KEL106" s="108"/>
      <c r="KEM106" s="108"/>
      <c r="KEN106" s="108"/>
      <c r="KEO106" s="108"/>
      <c r="KEP106" s="108"/>
      <c r="KEQ106" s="108"/>
      <c r="KER106" s="108"/>
      <c r="KES106" s="108"/>
      <c r="KET106" s="108"/>
      <c r="KEU106" s="108"/>
      <c r="KEV106" s="108"/>
      <c r="KEW106" s="108"/>
      <c r="KEX106" s="108"/>
      <c r="KEY106" s="108"/>
      <c r="KEZ106" s="108"/>
      <c r="KFA106" s="108"/>
      <c r="KFB106" s="108"/>
      <c r="KFC106" s="108"/>
      <c r="KFD106" s="108"/>
      <c r="KFE106" s="108"/>
      <c r="KFF106" s="108"/>
      <c r="KFG106" s="108"/>
      <c r="KFH106" s="108"/>
      <c r="KFI106" s="108"/>
      <c r="KFJ106" s="108"/>
      <c r="KFK106" s="108"/>
      <c r="KFL106" s="108"/>
      <c r="KFM106" s="108"/>
      <c r="KFN106" s="108"/>
      <c r="KFO106" s="108"/>
      <c r="KFP106" s="108"/>
      <c r="KFQ106" s="108"/>
      <c r="KFR106" s="108"/>
      <c r="KFS106" s="108"/>
      <c r="KFT106" s="108"/>
      <c r="KFU106" s="108"/>
      <c r="KFV106" s="108"/>
      <c r="KFW106" s="108"/>
      <c r="KFX106" s="108"/>
      <c r="KFY106" s="108"/>
      <c r="KFZ106" s="108"/>
      <c r="KGA106" s="108"/>
      <c r="KGB106" s="108"/>
      <c r="KGC106" s="108"/>
      <c r="KGD106" s="108"/>
      <c r="KGE106" s="108"/>
      <c r="KGF106" s="108"/>
      <c r="KGG106" s="108"/>
      <c r="KGH106" s="108"/>
      <c r="KGI106" s="108"/>
      <c r="KGJ106" s="108"/>
      <c r="KGK106" s="108"/>
      <c r="KGL106" s="108"/>
      <c r="KGM106" s="108"/>
      <c r="KGN106" s="108"/>
      <c r="KGO106" s="108"/>
      <c r="KGP106" s="108"/>
      <c r="KGQ106" s="108"/>
      <c r="KGR106" s="108"/>
      <c r="KGS106" s="108"/>
      <c r="KGT106" s="108"/>
      <c r="KGU106" s="108"/>
      <c r="KGV106" s="108"/>
      <c r="KGW106" s="108"/>
      <c r="KGX106" s="108"/>
      <c r="KGY106" s="108"/>
      <c r="KGZ106" s="108"/>
      <c r="KHA106" s="108"/>
      <c r="KHB106" s="108"/>
      <c r="KHC106" s="108"/>
      <c r="KHD106" s="108"/>
      <c r="KHE106" s="108"/>
      <c r="KHF106" s="108"/>
      <c r="KHG106" s="108"/>
      <c r="KHH106" s="108"/>
      <c r="KHI106" s="108"/>
      <c r="KHJ106" s="108"/>
      <c r="KHK106" s="108"/>
      <c r="KHL106" s="108"/>
      <c r="KHM106" s="108"/>
      <c r="KHN106" s="108"/>
      <c r="KHO106" s="108"/>
      <c r="KHP106" s="108"/>
      <c r="KHQ106" s="108"/>
      <c r="KHR106" s="108"/>
      <c r="KHS106" s="108"/>
      <c r="KHT106" s="108"/>
      <c r="KHU106" s="108"/>
      <c r="KHV106" s="108"/>
      <c r="KHW106" s="108"/>
      <c r="KHX106" s="108"/>
      <c r="KHY106" s="108"/>
      <c r="KHZ106" s="108"/>
      <c r="KIA106" s="108"/>
      <c r="KIB106" s="108"/>
      <c r="KIC106" s="108"/>
      <c r="KID106" s="108"/>
      <c r="KIE106" s="108"/>
      <c r="KIF106" s="108"/>
      <c r="KIG106" s="108"/>
      <c r="KIH106" s="108"/>
      <c r="KII106" s="108"/>
      <c r="KIJ106" s="108"/>
      <c r="KIK106" s="108"/>
      <c r="KIL106" s="108"/>
      <c r="KIM106" s="108"/>
      <c r="KIN106" s="108"/>
      <c r="KIO106" s="108"/>
      <c r="KIP106" s="108"/>
      <c r="KIQ106" s="108"/>
      <c r="KIR106" s="108"/>
      <c r="KIS106" s="108"/>
      <c r="KIT106" s="108"/>
      <c r="KIU106" s="108"/>
      <c r="KIV106" s="108"/>
      <c r="KIW106" s="108"/>
      <c r="KIX106" s="108"/>
      <c r="KIY106" s="108"/>
      <c r="KIZ106" s="108"/>
      <c r="KJA106" s="108"/>
      <c r="KJB106" s="108"/>
      <c r="KJC106" s="108"/>
      <c r="KJD106" s="108"/>
      <c r="KJE106" s="108"/>
      <c r="KJF106" s="108"/>
      <c r="KJG106" s="108"/>
      <c r="KJH106" s="108"/>
      <c r="KJI106" s="108"/>
      <c r="KJJ106" s="108"/>
      <c r="KJK106" s="108"/>
      <c r="KJL106" s="108"/>
      <c r="KJM106" s="108"/>
      <c r="KJN106" s="108"/>
      <c r="KJO106" s="108"/>
      <c r="KJP106" s="108"/>
      <c r="KJQ106" s="108"/>
      <c r="KJR106" s="108"/>
      <c r="KJS106" s="108"/>
      <c r="KJT106" s="108"/>
      <c r="KJU106" s="108"/>
      <c r="KJV106" s="108"/>
      <c r="KJW106" s="108"/>
      <c r="KJX106" s="108"/>
      <c r="KJY106" s="108"/>
      <c r="KJZ106" s="108"/>
      <c r="KKA106" s="108"/>
      <c r="KKB106" s="108"/>
      <c r="KKC106" s="108"/>
      <c r="KKD106" s="108"/>
      <c r="KKE106" s="108"/>
      <c r="KKF106" s="108"/>
      <c r="KKG106" s="108"/>
      <c r="KKH106" s="108"/>
      <c r="KKI106" s="108"/>
      <c r="KKJ106" s="108"/>
      <c r="KKK106" s="108"/>
      <c r="KKL106" s="108"/>
      <c r="KKM106" s="108"/>
      <c r="KKN106" s="108"/>
      <c r="KKO106" s="108"/>
      <c r="KKP106" s="108"/>
      <c r="KKQ106" s="108"/>
      <c r="KKR106" s="108"/>
      <c r="KKS106" s="108"/>
      <c r="KKT106" s="108"/>
      <c r="KKU106" s="108"/>
      <c r="KKV106" s="108"/>
      <c r="KKW106" s="108"/>
      <c r="KKX106" s="108"/>
      <c r="KKY106" s="108"/>
      <c r="KKZ106" s="108"/>
      <c r="KLA106" s="108"/>
      <c r="KLB106" s="108"/>
      <c r="KLC106" s="108"/>
      <c r="KLD106" s="108"/>
      <c r="KLE106" s="108"/>
      <c r="KLF106" s="108"/>
      <c r="KLG106" s="108"/>
      <c r="KLH106" s="108"/>
      <c r="KLI106" s="108"/>
      <c r="KLJ106" s="108"/>
      <c r="KLK106" s="108"/>
      <c r="KLL106" s="108"/>
      <c r="KLM106" s="108"/>
      <c r="KLN106" s="108"/>
      <c r="KLO106" s="108"/>
      <c r="KLP106" s="108"/>
      <c r="KLQ106" s="108"/>
      <c r="KLR106" s="108"/>
      <c r="KLS106" s="108"/>
      <c r="KLT106" s="108"/>
      <c r="KLU106" s="108"/>
      <c r="KLV106" s="108"/>
      <c r="KLW106" s="108"/>
      <c r="KLX106" s="108"/>
      <c r="KLY106" s="108"/>
      <c r="KLZ106" s="108"/>
      <c r="KMA106" s="108"/>
      <c r="KMB106" s="108"/>
      <c r="KMC106" s="108"/>
      <c r="KMD106" s="108"/>
      <c r="KME106" s="108"/>
      <c r="KMF106" s="108"/>
      <c r="KMG106" s="108"/>
      <c r="KMH106" s="108"/>
      <c r="KMI106" s="108"/>
      <c r="KMJ106" s="108"/>
      <c r="KMK106" s="108"/>
      <c r="KML106" s="108"/>
      <c r="KMM106" s="108"/>
      <c r="KMN106" s="108"/>
      <c r="KMO106" s="108"/>
      <c r="KMP106" s="108"/>
      <c r="KMQ106" s="108"/>
      <c r="KMR106" s="108"/>
      <c r="KMS106" s="108"/>
      <c r="KMT106" s="108"/>
      <c r="KMU106" s="108"/>
      <c r="KMV106" s="108"/>
      <c r="KMW106" s="108"/>
      <c r="KMX106" s="108"/>
      <c r="KMY106" s="108"/>
      <c r="KMZ106" s="108"/>
      <c r="KNA106" s="108"/>
      <c r="KNB106" s="108"/>
      <c r="KNC106" s="108"/>
      <c r="KND106" s="108"/>
      <c r="KNE106" s="108"/>
      <c r="KNF106" s="108"/>
      <c r="KNG106" s="108"/>
      <c r="KNH106" s="108"/>
      <c r="KNI106" s="108"/>
      <c r="KNJ106" s="108"/>
      <c r="KNK106" s="108"/>
      <c r="KNL106" s="108"/>
      <c r="KNM106" s="108"/>
      <c r="KNN106" s="108"/>
      <c r="KNO106" s="108"/>
      <c r="KNP106" s="108"/>
      <c r="KNQ106" s="108"/>
      <c r="KNR106" s="108"/>
      <c r="KNS106" s="108"/>
      <c r="KNT106" s="108"/>
      <c r="KNU106" s="108"/>
      <c r="KNV106" s="108"/>
      <c r="KNW106" s="108"/>
      <c r="KNX106" s="108"/>
      <c r="KNY106" s="108"/>
      <c r="KNZ106" s="108"/>
      <c r="KOA106" s="108"/>
      <c r="KOB106" s="108"/>
      <c r="KOC106" s="108"/>
      <c r="KOD106" s="108"/>
      <c r="KOE106" s="108"/>
      <c r="KOF106" s="108"/>
      <c r="KOG106" s="108"/>
      <c r="KOH106" s="108"/>
      <c r="KOI106" s="108"/>
      <c r="KOJ106" s="108"/>
      <c r="KOK106" s="108"/>
      <c r="KOL106" s="108"/>
      <c r="KOM106" s="108"/>
      <c r="KON106" s="108"/>
      <c r="KOO106" s="108"/>
      <c r="KOP106" s="108"/>
      <c r="KOQ106" s="108"/>
      <c r="KOR106" s="108"/>
      <c r="KOS106" s="108"/>
      <c r="KOT106" s="108"/>
      <c r="KOU106" s="108"/>
      <c r="KOV106" s="108"/>
      <c r="KOW106" s="108"/>
      <c r="KOX106" s="108"/>
      <c r="KOY106" s="108"/>
      <c r="KOZ106" s="108"/>
      <c r="KPA106" s="108"/>
      <c r="KPB106" s="108"/>
      <c r="KPC106" s="108"/>
      <c r="KPD106" s="108"/>
      <c r="KPE106" s="108"/>
      <c r="KPF106" s="108"/>
      <c r="KPG106" s="108"/>
      <c r="KPH106" s="108"/>
      <c r="KPI106" s="108"/>
      <c r="KPJ106" s="108"/>
      <c r="KPK106" s="108"/>
      <c r="KPL106" s="108"/>
      <c r="KPM106" s="108"/>
      <c r="KPN106" s="108"/>
      <c r="KPO106" s="108"/>
      <c r="KPP106" s="108"/>
      <c r="KPQ106" s="108"/>
      <c r="KPR106" s="108"/>
      <c r="KPS106" s="108"/>
      <c r="KPT106" s="108"/>
      <c r="KPU106" s="108"/>
      <c r="KPV106" s="108"/>
      <c r="KPW106" s="108"/>
      <c r="KPX106" s="108"/>
      <c r="KPY106" s="108"/>
      <c r="KPZ106" s="108"/>
      <c r="KQA106" s="108"/>
      <c r="KQB106" s="108"/>
      <c r="KQC106" s="108"/>
      <c r="KQD106" s="108"/>
      <c r="KQE106" s="108"/>
      <c r="KQF106" s="108"/>
      <c r="KQG106" s="108"/>
      <c r="KQH106" s="108"/>
      <c r="KQI106" s="108"/>
      <c r="KQJ106" s="108"/>
      <c r="KQK106" s="108"/>
      <c r="KQL106" s="108"/>
      <c r="KQM106" s="108"/>
      <c r="KQN106" s="108"/>
      <c r="KQO106" s="108"/>
      <c r="KQP106" s="108"/>
      <c r="KQQ106" s="108"/>
      <c r="KQR106" s="108"/>
      <c r="KQS106" s="108"/>
      <c r="KQT106" s="108"/>
      <c r="KQU106" s="108"/>
      <c r="KQV106" s="108"/>
      <c r="KQW106" s="108"/>
      <c r="KQX106" s="108"/>
      <c r="KQY106" s="108"/>
      <c r="KQZ106" s="108"/>
      <c r="KRA106" s="108"/>
      <c r="KRB106" s="108"/>
      <c r="KRC106" s="108"/>
      <c r="KRD106" s="108"/>
      <c r="KRE106" s="108"/>
      <c r="KRF106" s="108"/>
      <c r="KRG106" s="108"/>
      <c r="KRH106" s="108"/>
      <c r="KRI106" s="108"/>
      <c r="KRJ106" s="108"/>
      <c r="KRK106" s="108"/>
      <c r="KRL106" s="108"/>
      <c r="KRM106" s="108"/>
      <c r="KRN106" s="108"/>
      <c r="KRO106" s="108"/>
      <c r="KRP106" s="108"/>
      <c r="KRQ106" s="108"/>
      <c r="KRR106" s="108"/>
      <c r="KRS106" s="108"/>
      <c r="KRT106" s="108"/>
      <c r="KRU106" s="108"/>
      <c r="KRV106" s="108"/>
      <c r="KRW106" s="108"/>
      <c r="KRX106" s="108"/>
      <c r="KRY106" s="108"/>
      <c r="KRZ106" s="108"/>
      <c r="KSA106" s="108"/>
      <c r="KSB106" s="108"/>
      <c r="KSC106" s="108"/>
      <c r="KSD106" s="108"/>
      <c r="KSE106" s="108"/>
      <c r="KSF106" s="108"/>
      <c r="KSG106" s="108"/>
      <c r="KSH106" s="108"/>
      <c r="KSI106" s="108"/>
      <c r="KSJ106" s="108"/>
      <c r="KSK106" s="108"/>
      <c r="KSL106" s="108"/>
      <c r="KSM106" s="108"/>
      <c r="KSN106" s="108"/>
      <c r="KSO106" s="108"/>
      <c r="KSP106" s="108"/>
      <c r="KSQ106" s="108"/>
      <c r="KSR106" s="108"/>
      <c r="KSS106" s="108"/>
      <c r="KST106" s="108"/>
      <c r="KSU106" s="108"/>
      <c r="KSV106" s="108"/>
      <c r="KSW106" s="108"/>
      <c r="KSX106" s="108"/>
      <c r="KSY106" s="108"/>
      <c r="KSZ106" s="108"/>
      <c r="KTA106" s="108"/>
      <c r="KTB106" s="108"/>
      <c r="KTC106" s="108"/>
      <c r="KTD106" s="108"/>
      <c r="KTE106" s="108"/>
      <c r="KTF106" s="108"/>
      <c r="KTG106" s="108"/>
      <c r="KTH106" s="108"/>
      <c r="KTI106" s="108"/>
      <c r="KTJ106" s="108"/>
      <c r="KTK106" s="108"/>
      <c r="KTL106" s="108"/>
      <c r="KTM106" s="108"/>
      <c r="KTN106" s="108"/>
      <c r="KTO106" s="108"/>
      <c r="KTP106" s="108"/>
      <c r="KTQ106" s="108"/>
      <c r="KTR106" s="108"/>
      <c r="KTS106" s="108"/>
      <c r="KTT106" s="108"/>
      <c r="KTU106" s="108"/>
      <c r="KTV106" s="108"/>
      <c r="KTW106" s="108"/>
      <c r="KTX106" s="108"/>
      <c r="KTY106" s="108"/>
      <c r="KTZ106" s="108"/>
      <c r="KUA106" s="108"/>
      <c r="KUB106" s="108"/>
      <c r="KUC106" s="108"/>
      <c r="KUD106" s="108"/>
      <c r="KUE106" s="108"/>
      <c r="KUF106" s="108"/>
      <c r="KUG106" s="108"/>
      <c r="KUH106" s="108"/>
      <c r="KUI106" s="108"/>
      <c r="KUJ106" s="108"/>
      <c r="KUK106" s="108"/>
      <c r="KUL106" s="108"/>
      <c r="KUM106" s="108"/>
      <c r="KUN106" s="108"/>
      <c r="KUO106" s="108"/>
      <c r="KUP106" s="108"/>
      <c r="KUQ106" s="108"/>
      <c r="KUR106" s="108"/>
      <c r="KUS106" s="108"/>
      <c r="KUT106" s="108"/>
      <c r="KUU106" s="108"/>
      <c r="KUV106" s="108"/>
      <c r="KUW106" s="108"/>
      <c r="KUX106" s="108"/>
      <c r="KUY106" s="108"/>
      <c r="KUZ106" s="108"/>
      <c r="KVA106" s="108"/>
      <c r="KVB106" s="108"/>
      <c r="KVC106" s="108"/>
      <c r="KVD106" s="108"/>
      <c r="KVE106" s="108"/>
      <c r="KVF106" s="108"/>
      <c r="KVG106" s="108"/>
      <c r="KVH106" s="108"/>
      <c r="KVI106" s="108"/>
      <c r="KVJ106" s="108"/>
      <c r="KVK106" s="108"/>
      <c r="KVL106" s="108"/>
      <c r="KVM106" s="108"/>
      <c r="KVN106" s="108"/>
      <c r="KVO106" s="108"/>
      <c r="KVP106" s="108"/>
      <c r="KVQ106" s="108"/>
      <c r="KVR106" s="108"/>
      <c r="KVS106" s="108"/>
      <c r="KVT106" s="108"/>
      <c r="KVU106" s="108"/>
      <c r="KVV106" s="108"/>
      <c r="KVW106" s="108"/>
      <c r="KVX106" s="108"/>
      <c r="KVY106" s="108"/>
      <c r="KVZ106" s="108"/>
      <c r="KWA106" s="108"/>
      <c r="KWB106" s="108"/>
      <c r="KWC106" s="108"/>
      <c r="KWD106" s="108"/>
      <c r="KWE106" s="108"/>
      <c r="KWF106" s="108"/>
      <c r="KWG106" s="108"/>
      <c r="KWH106" s="108"/>
      <c r="KWI106" s="108"/>
      <c r="KWJ106" s="108"/>
      <c r="KWK106" s="108"/>
      <c r="KWL106" s="108"/>
      <c r="KWM106" s="108"/>
      <c r="KWN106" s="108"/>
      <c r="KWO106" s="108"/>
      <c r="KWP106" s="108"/>
      <c r="KWQ106" s="108"/>
      <c r="KWR106" s="108"/>
      <c r="KWS106" s="108"/>
      <c r="KWT106" s="108"/>
      <c r="KWU106" s="108"/>
      <c r="KWV106" s="108"/>
      <c r="KWW106" s="108"/>
      <c r="KWX106" s="108"/>
      <c r="KWY106" s="108"/>
      <c r="KWZ106" s="108"/>
      <c r="KXA106" s="108"/>
      <c r="KXB106" s="108"/>
      <c r="KXC106" s="108"/>
      <c r="KXD106" s="108"/>
      <c r="KXE106" s="108"/>
      <c r="KXF106" s="108"/>
      <c r="KXG106" s="108"/>
      <c r="KXH106" s="108"/>
      <c r="KXI106" s="108"/>
      <c r="KXJ106" s="108"/>
      <c r="KXK106" s="108"/>
      <c r="KXL106" s="108"/>
      <c r="KXM106" s="108"/>
      <c r="KXN106" s="108"/>
      <c r="KXO106" s="108"/>
      <c r="KXP106" s="108"/>
      <c r="KXQ106" s="108"/>
      <c r="KXR106" s="108"/>
      <c r="KXS106" s="108"/>
      <c r="KXT106" s="108"/>
      <c r="KXU106" s="108"/>
      <c r="KXV106" s="108"/>
      <c r="KXW106" s="108"/>
      <c r="KXX106" s="108"/>
      <c r="KXY106" s="108"/>
      <c r="KXZ106" s="108"/>
      <c r="KYA106" s="108"/>
      <c r="KYB106" s="108"/>
      <c r="KYC106" s="108"/>
      <c r="KYD106" s="108"/>
      <c r="KYE106" s="108"/>
      <c r="KYF106" s="108"/>
      <c r="KYG106" s="108"/>
      <c r="KYH106" s="108"/>
      <c r="KYI106" s="108"/>
      <c r="KYJ106" s="108"/>
      <c r="KYK106" s="108"/>
      <c r="KYL106" s="108"/>
      <c r="KYM106" s="108"/>
      <c r="KYN106" s="108"/>
      <c r="KYO106" s="108"/>
      <c r="KYP106" s="108"/>
      <c r="KYQ106" s="108"/>
      <c r="KYR106" s="108"/>
      <c r="KYS106" s="108"/>
      <c r="KYT106" s="108"/>
      <c r="KYU106" s="108"/>
      <c r="KYV106" s="108"/>
      <c r="KYW106" s="108"/>
      <c r="KYX106" s="108"/>
      <c r="KYY106" s="108"/>
      <c r="KYZ106" s="108"/>
      <c r="KZA106" s="108"/>
      <c r="KZB106" s="108"/>
      <c r="KZC106" s="108"/>
      <c r="KZD106" s="108"/>
      <c r="KZE106" s="108"/>
      <c r="KZF106" s="108"/>
      <c r="KZG106" s="108"/>
      <c r="KZH106" s="108"/>
      <c r="KZI106" s="108"/>
      <c r="KZJ106" s="108"/>
      <c r="KZK106" s="108"/>
      <c r="KZL106" s="108"/>
      <c r="KZM106" s="108"/>
      <c r="KZN106" s="108"/>
      <c r="KZO106" s="108"/>
      <c r="KZP106" s="108"/>
      <c r="KZQ106" s="108"/>
      <c r="KZR106" s="108"/>
      <c r="KZS106" s="108"/>
      <c r="KZT106" s="108"/>
      <c r="KZU106" s="108"/>
      <c r="KZV106" s="108"/>
      <c r="KZW106" s="108"/>
      <c r="KZX106" s="108"/>
      <c r="KZY106" s="108"/>
      <c r="KZZ106" s="108"/>
      <c r="LAA106" s="108"/>
      <c r="LAB106" s="108"/>
      <c r="LAC106" s="108"/>
      <c r="LAD106" s="108"/>
      <c r="LAE106" s="108"/>
      <c r="LAF106" s="108"/>
      <c r="LAG106" s="108"/>
      <c r="LAH106" s="108"/>
      <c r="LAI106" s="108"/>
      <c r="LAJ106" s="108"/>
      <c r="LAK106" s="108"/>
      <c r="LAL106" s="108"/>
      <c r="LAM106" s="108"/>
      <c r="LAN106" s="108"/>
      <c r="LAO106" s="108"/>
      <c r="LAP106" s="108"/>
      <c r="LAQ106" s="108"/>
      <c r="LAR106" s="108"/>
      <c r="LAS106" s="108"/>
      <c r="LAT106" s="108"/>
      <c r="LAU106" s="108"/>
      <c r="LAV106" s="108"/>
      <c r="LAW106" s="108"/>
      <c r="LAX106" s="108"/>
      <c r="LAY106" s="108"/>
      <c r="LAZ106" s="108"/>
      <c r="LBA106" s="108"/>
      <c r="LBB106" s="108"/>
      <c r="LBC106" s="108"/>
      <c r="LBD106" s="108"/>
      <c r="LBE106" s="108"/>
      <c r="LBF106" s="108"/>
      <c r="LBG106" s="108"/>
      <c r="LBH106" s="108"/>
      <c r="LBI106" s="108"/>
      <c r="LBJ106" s="108"/>
      <c r="LBK106" s="108"/>
      <c r="LBL106" s="108"/>
      <c r="LBM106" s="108"/>
      <c r="LBN106" s="108"/>
      <c r="LBO106" s="108"/>
      <c r="LBP106" s="108"/>
      <c r="LBQ106" s="108"/>
      <c r="LBR106" s="108"/>
      <c r="LBS106" s="108"/>
      <c r="LBT106" s="108"/>
      <c r="LBU106" s="108"/>
      <c r="LBV106" s="108"/>
      <c r="LBW106" s="108"/>
      <c r="LBX106" s="108"/>
      <c r="LBY106" s="108"/>
      <c r="LBZ106" s="108"/>
      <c r="LCA106" s="108"/>
      <c r="LCB106" s="108"/>
      <c r="LCC106" s="108"/>
      <c r="LCD106" s="108"/>
      <c r="LCE106" s="108"/>
      <c r="LCF106" s="108"/>
      <c r="LCG106" s="108"/>
      <c r="LCH106" s="108"/>
      <c r="LCI106" s="108"/>
      <c r="LCJ106" s="108"/>
      <c r="LCK106" s="108"/>
      <c r="LCL106" s="108"/>
      <c r="LCM106" s="108"/>
      <c r="LCN106" s="108"/>
      <c r="LCO106" s="108"/>
      <c r="LCP106" s="108"/>
      <c r="LCQ106" s="108"/>
      <c r="LCR106" s="108"/>
      <c r="LCS106" s="108"/>
      <c r="LCT106" s="108"/>
      <c r="LCU106" s="108"/>
      <c r="LCV106" s="108"/>
      <c r="LCW106" s="108"/>
      <c r="LCX106" s="108"/>
      <c r="LCY106" s="108"/>
      <c r="LCZ106" s="108"/>
      <c r="LDA106" s="108"/>
      <c r="LDB106" s="108"/>
      <c r="LDC106" s="108"/>
      <c r="LDD106" s="108"/>
      <c r="LDE106" s="108"/>
      <c r="LDF106" s="108"/>
      <c r="LDG106" s="108"/>
      <c r="LDH106" s="108"/>
      <c r="LDI106" s="108"/>
      <c r="LDJ106" s="108"/>
      <c r="LDK106" s="108"/>
      <c r="LDL106" s="108"/>
      <c r="LDM106" s="108"/>
      <c r="LDN106" s="108"/>
      <c r="LDO106" s="108"/>
      <c r="LDP106" s="108"/>
      <c r="LDQ106" s="108"/>
      <c r="LDR106" s="108"/>
      <c r="LDS106" s="108"/>
      <c r="LDT106" s="108"/>
      <c r="LDU106" s="108"/>
      <c r="LDV106" s="108"/>
      <c r="LDW106" s="108"/>
      <c r="LDX106" s="108"/>
      <c r="LDY106" s="108"/>
      <c r="LDZ106" s="108"/>
      <c r="LEA106" s="108"/>
      <c r="LEB106" s="108"/>
      <c r="LEC106" s="108"/>
      <c r="LED106" s="108"/>
      <c r="LEE106" s="108"/>
      <c r="LEF106" s="108"/>
      <c r="LEG106" s="108"/>
      <c r="LEH106" s="108"/>
      <c r="LEI106" s="108"/>
      <c r="LEJ106" s="108"/>
      <c r="LEK106" s="108"/>
      <c r="LEL106" s="108"/>
      <c r="LEM106" s="108"/>
      <c r="LEN106" s="108"/>
      <c r="LEO106" s="108"/>
      <c r="LEP106" s="108"/>
      <c r="LEQ106" s="108"/>
      <c r="LER106" s="108"/>
      <c r="LES106" s="108"/>
      <c r="LET106" s="108"/>
      <c r="LEU106" s="108"/>
      <c r="LEV106" s="108"/>
      <c r="LEW106" s="108"/>
      <c r="LEX106" s="108"/>
      <c r="LEY106" s="108"/>
      <c r="LEZ106" s="108"/>
      <c r="LFA106" s="108"/>
      <c r="LFB106" s="108"/>
      <c r="LFC106" s="108"/>
      <c r="LFD106" s="108"/>
      <c r="LFE106" s="108"/>
      <c r="LFF106" s="108"/>
      <c r="LFG106" s="108"/>
      <c r="LFH106" s="108"/>
      <c r="LFI106" s="108"/>
      <c r="LFJ106" s="108"/>
      <c r="LFK106" s="108"/>
      <c r="LFL106" s="108"/>
      <c r="LFM106" s="108"/>
      <c r="LFN106" s="108"/>
      <c r="LFO106" s="108"/>
      <c r="LFP106" s="108"/>
      <c r="LFQ106" s="108"/>
      <c r="LFR106" s="108"/>
      <c r="LFS106" s="108"/>
      <c r="LFT106" s="108"/>
      <c r="LFU106" s="108"/>
      <c r="LFV106" s="108"/>
      <c r="LFW106" s="108"/>
      <c r="LFX106" s="108"/>
      <c r="LFY106" s="108"/>
      <c r="LFZ106" s="108"/>
      <c r="LGA106" s="108"/>
      <c r="LGB106" s="108"/>
      <c r="LGC106" s="108"/>
      <c r="LGD106" s="108"/>
      <c r="LGE106" s="108"/>
      <c r="LGF106" s="108"/>
      <c r="LGG106" s="108"/>
      <c r="LGH106" s="108"/>
      <c r="LGI106" s="108"/>
      <c r="LGJ106" s="108"/>
      <c r="LGK106" s="108"/>
      <c r="LGL106" s="108"/>
      <c r="LGM106" s="108"/>
      <c r="LGN106" s="108"/>
      <c r="LGO106" s="108"/>
      <c r="LGP106" s="108"/>
      <c r="LGQ106" s="108"/>
      <c r="LGR106" s="108"/>
      <c r="LGS106" s="108"/>
      <c r="LGT106" s="108"/>
      <c r="LGU106" s="108"/>
      <c r="LGV106" s="108"/>
      <c r="LGW106" s="108"/>
      <c r="LGX106" s="108"/>
      <c r="LGY106" s="108"/>
      <c r="LGZ106" s="108"/>
      <c r="LHA106" s="108"/>
      <c r="LHB106" s="108"/>
      <c r="LHC106" s="108"/>
      <c r="LHD106" s="108"/>
      <c r="LHE106" s="108"/>
      <c r="LHF106" s="108"/>
      <c r="LHG106" s="108"/>
      <c r="LHH106" s="108"/>
      <c r="LHI106" s="108"/>
      <c r="LHJ106" s="108"/>
      <c r="LHK106" s="108"/>
      <c r="LHL106" s="108"/>
      <c r="LHM106" s="108"/>
      <c r="LHN106" s="108"/>
      <c r="LHO106" s="108"/>
      <c r="LHP106" s="108"/>
      <c r="LHQ106" s="108"/>
      <c r="LHR106" s="108"/>
      <c r="LHS106" s="108"/>
      <c r="LHT106" s="108"/>
      <c r="LHU106" s="108"/>
      <c r="LHV106" s="108"/>
      <c r="LHW106" s="108"/>
      <c r="LHX106" s="108"/>
      <c r="LHY106" s="108"/>
      <c r="LHZ106" s="108"/>
      <c r="LIA106" s="108"/>
      <c r="LIB106" s="108"/>
      <c r="LIC106" s="108"/>
      <c r="LID106" s="108"/>
      <c r="LIE106" s="108"/>
      <c r="LIF106" s="108"/>
      <c r="LIG106" s="108"/>
      <c r="LIH106" s="108"/>
      <c r="LII106" s="108"/>
      <c r="LIJ106" s="108"/>
      <c r="LIK106" s="108"/>
      <c r="LIL106" s="108"/>
      <c r="LIM106" s="108"/>
      <c r="LIN106" s="108"/>
      <c r="LIO106" s="108"/>
      <c r="LIP106" s="108"/>
      <c r="LIQ106" s="108"/>
      <c r="LIR106" s="108"/>
      <c r="LIS106" s="108"/>
      <c r="LIT106" s="108"/>
      <c r="LIU106" s="108"/>
      <c r="LIV106" s="108"/>
      <c r="LIW106" s="108"/>
      <c r="LIX106" s="108"/>
      <c r="LIY106" s="108"/>
      <c r="LIZ106" s="108"/>
      <c r="LJA106" s="108"/>
      <c r="LJB106" s="108"/>
      <c r="LJC106" s="108"/>
      <c r="LJD106" s="108"/>
      <c r="LJE106" s="108"/>
      <c r="LJF106" s="108"/>
      <c r="LJG106" s="108"/>
      <c r="LJH106" s="108"/>
      <c r="LJI106" s="108"/>
      <c r="LJJ106" s="108"/>
      <c r="LJK106" s="108"/>
      <c r="LJL106" s="108"/>
      <c r="LJM106" s="108"/>
      <c r="LJN106" s="108"/>
      <c r="LJO106" s="108"/>
      <c r="LJP106" s="108"/>
      <c r="LJQ106" s="108"/>
      <c r="LJR106" s="108"/>
      <c r="LJS106" s="108"/>
      <c r="LJT106" s="108"/>
      <c r="LJU106" s="108"/>
      <c r="LJV106" s="108"/>
      <c r="LJW106" s="108"/>
      <c r="LJX106" s="108"/>
      <c r="LJY106" s="108"/>
      <c r="LJZ106" s="108"/>
      <c r="LKA106" s="108"/>
      <c r="LKB106" s="108"/>
      <c r="LKC106" s="108"/>
      <c r="LKD106" s="108"/>
      <c r="LKE106" s="108"/>
      <c r="LKF106" s="108"/>
      <c r="LKG106" s="108"/>
      <c r="LKH106" s="108"/>
      <c r="LKI106" s="108"/>
      <c r="LKJ106" s="108"/>
      <c r="LKK106" s="108"/>
      <c r="LKL106" s="108"/>
      <c r="LKM106" s="108"/>
      <c r="LKN106" s="108"/>
      <c r="LKO106" s="108"/>
      <c r="LKP106" s="108"/>
      <c r="LKQ106" s="108"/>
      <c r="LKR106" s="108"/>
      <c r="LKS106" s="108"/>
      <c r="LKT106" s="108"/>
      <c r="LKU106" s="108"/>
      <c r="LKV106" s="108"/>
      <c r="LKW106" s="108"/>
      <c r="LKX106" s="108"/>
      <c r="LKY106" s="108"/>
      <c r="LKZ106" s="108"/>
      <c r="LLA106" s="108"/>
      <c r="LLB106" s="108"/>
      <c r="LLC106" s="108"/>
      <c r="LLD106" s="108"/>
      <c r="LLE106" s="108"/>
      <c r="LLF106" s="108"/>
      <c r="LLG106" s="108"/>
      <c r="LLH106" s="108"/>
      <c r="LLI106" s="108"/>
      <c r="LLJ106" s="108"/>
      <c r="LLK106" s="108"/>
      <c r="LLL106" s="108"/>
      <c r="LLM106" s="108"/>
      <c r="LLN106" s="108"/>
      <c r="LLO106" s="108"/>
      <c r="LLP106" s="108"/>
      <c r="LLQ106" s="108"/>
      <c r="LLR106" s="108"/>
      <c r="LLS106" s="108"/>
      <c r="LLT106" s="108"/>
      <c r="LLU106" s="108"/>
      <c r="LLV106" s="108"/>
      <c r="LLW106" s="108"/>
      <c r="LLX106" s="108"/>
      <c r="LLY106" s="108"/>
      <c r="LLZ106" s="108"/>
      <c r="LMA106" s="108"/>
      <c r="LMB106" s="108"/>
      <c r="LMC106" s="108"/>
      <c r="LMD106" s="108"/>
      <c r="LME106" s="108"/>
      <c r="LMF106" s="108"/>
      <c r="LMG106" s="108"/>
      <c r="LMH106" s="108"/>
      <c r="LMI106" s="108"/>
      <c r="LMJ106" s="108"/>
      <c r="LMK106" s="108"/>
      <c r="LML106" s="108"/>
      <c r="LMM106" s="108"/>
      <c r="LMN106" s="108"/>
      <c r="LMO106" s="108"/>
      <c r="LMP106" s="108"/>
      <c r="LMQ106" s="108"/>
      <c r="LMR106" s="108"/>
      <c r="LMS106" s="108"/>
      <c r="LMT106" s="108"/>
      <c r="LMU106" s="108"/>
      <c r="LMV106" s="108"/>
      <c r="LMW106" s="108"/>
      <c r="LMX106" s="108"/>
      <c r="LMY106" s="108"/>
      <c r="LMZ106" s="108"/>
      <c r="LNA106" s="108"/>
      <c r="LNB106" s="108"/>
      <c r="LNC106" s="108"/>
      <c r="LND106" s="108"/>
      <c r="LNE106" s="108"/>
      <c r="LNF106" s="108"/>
      <c r="LNG106" s="108"/>
      <c r="LNH106" s="108"/>
      <c r="LNI106" s="108"/>
      <c r="LNJ106" s="108"/>
      <c r="LNK106" s="108"/>
      <c r="LNL106" s="108"/>
      <c r="LNM106" s="108"/>
      <c r="LNN106" s="108"/>
      <c r="LNO106" s="108"/>
      <c r="LNP106" s="108"/>
      <c r="LNQ106" s="108"/>
      <c r="LNR106" s="108"/>
      <c r="LNS106" s="108"/>
      <c r="LNT106" s="108"/>
      <c r="LNU106" s="108"/>
      <c r="LNV106" s="108"/>
      <c r="LNW106" s="108"/>
      <c r="LNX106" s="108"/>
      <c r="LNY106" s="108"/>
      <c r="LNZ106" s="108"/>
      <c r="LOA106" s="108"/>
      <c r="LOB106" s="108"/>
      <c r="LOC106" s="108"/>
      <c r="LOD106" s="108"/>
      <c r="LOE106" s="108"/>
      <c r="LOF106" s="108"/>
      <c r="LOG106" s="108"/>
      <c r="LOH106" s="108"/>
      <c r="LOI106" s="108"/>
      <c r="LOJ106" s="108"/>
      <c r="LOK106" s="108"/>
      <c r="LOL106" s="108"/>
      <c r="LOM106" s="108"/>
      <c r="LON106" s="108"/>
      <c r="LOO106" s="108"/>
      <c r="LOP106" s="108"/>
      <c r="LOQ106" s="108"/>
      <c r="LOR106" s="108"/>
      <c r="LOS106" s="108"/>
      <c r="LOT106" s="108"/>
      <c r="LOU106" s="108"/>
      <c r="LOV106" s="108"/>
      <c r="LOW106" s="108"/>
      <c r="LOX106" s="108"/>
      <c r="LOY106" s="108"/>
      <c r="LOZ106" s="108"/>
      <c r="LPA106" s="108"/>
      <c r="LPB106" s="108"/>
      <c r="LPC106" s="108"/>
      <c r="LPD106" s="108"/>
      <c r="LPE106" s="108"/>
      <c r="LPF106" s="108"/>
      <c r="LPG106" s="108"/>
      <c r="LPH106" s="108"/>
      <c r="LPI106" s="108"/>
      <c r="LPJ106" s="108"/>
      <c r="LPK106" s="108"/>
      <c r="LPL106" s="108"/>
      <c r="LPM106" s="108"/>
      <c r="LPN106" s="108"/>
      <c r="LPO106" s="108"/>
      <c r="LPP106" s="108"/>
      <c r="LPQ106" s="108"/>
      <c r="LPR106" s="108"/>
      <c r="LPS106" s="108"/>
      <c r="LPT106" s="108"/>
      <c r="LPU106" s="108"/>
      <c r="LPV106" s="108"/>
      <c r="LPW106" s="108"/>
      <c r="LPX106" s="108"/>
      <c r="LPY106" s="108"/>
      <c r="LPZ106" s="108"/>
      <c r="LQA106" s="108"/>
      <c r="LQB106" s="108"/>
      <c r="LQC106" s="108"/>
      <c r="LQD106" s="108"/>
      <c r="LQE106" s="108"/>
      <c r="LQF106" s="108"/>
      <c r="LQG106" s="108"/>
      <c r="LQH106" s="108"/>
      <c r="LQI106" s="108"/>
      <c r="LQJ106" s="108"/>
      <c r="LQK106" s="108"/>
      <c r="LQL106" s="108"/>
      <c r="LQM106" s="108"/>
      <c r="LQN106" s="108"/>
      <c r="LQO106" s="108"/>
      <c r="LQP106" s="108"/>
      <c r="LQQ106" s="108"/>
      <c r="LQR106" s="108"/>
      <c r="LQS106" s="108"/>
      <c r="LQT106" s="108"/>
      <c r="LQU106" s="108"/>
      <c r="LQV106" s="108"/>
      <c r="LQW106" s="108"/>
      <c r="LQX106" s="108"/>
      <c r="LQY106" s="108"/>
      <c r="LQZ106" s="108"/>
      <c r="LRA106" s="108"/>
      <c r="LRB106" s="108"/>
      <c r="LRC106" s="108"/>
      <c r="LRD106" s="108"/>
      <c r="LRE106" s="108"/>
      <c r="LRF106" s="108"/>
      <c r="LRG106" s="108"/>
      <c r="LRH106" s="108"/>
      <c r="LRI106" s="108"/>
      <c r="LRJ106" s="108"/>
      <c r="LRK106" s="108"/>
      <c r="LRL106" s="108"/>
      <c r="LRM106" s="108"/>
      <c r="LRN106" s="108"/>
      <c r="LRO106" s="108"/>
      <c r="LRP106" s="108"/>
      <c r="LRQ106" s="108"/>
      <c r="LRR106" s="108"/>
      <c r="LRS106" s="108"/>
      <c r="LRT106" s="108"/>
      <c r="LRU106" s="108"/>
      <c r="LRV106" s="108"/>
      <c r="LRW106" s="108"/>
      <c r="LRX106" s="108"/>
      <c r="LRY106" s="108"/>
      <c r="LRZ106" s="108"/>
      <c r="LSA106" s="108"/>
      <c r="LSB106" s="108"/>
      <c r="LSC106" s="108"/>
      <c r="LSD106" s="108"/>
      <c r="LSE106" s="108"/>
      <c r="LSF106" s="108"/>
      <c r="LSG106" s="108"/>
      <c r="LSH106" s="108"/>
      <c r="LSI106" s="108"/>
      <c r="LSJ106" s="108"/>
      <c r="LSK106" s="108"/>
      <c r="LSL106" s="108"/>
      <c r="LSM106" s="108"/>
      <c r="LSN106" s="108"/>
      <c r="LSO106" s="108"/>
      <c r="LSP106" s="108"/>
      <c r="LSQ106" s="108"/>
      <c r="LSR106" s="108"/>
      <c r="LSS106" s="108"/>
      <c r="LST106" s="108"/>
      <c r="LSU106" s="108"/>
      <c r="LSV106" s="108"/>
      <c r="LSW106" s="108"/>
      <c r="LSX106" s="108"/>
      <c r="LSY106" s="108"/>
      <c r="LSZ106" s="108"/>
      <c r="LTA106" s="108"/>
      <c r="LTB106" s="108"/>
      <c r="LTC106" s="108"/>
      <c r="LTD106" s="108"/>
      <c r="LTE106" s="108"/>
      <c r="LTF106" s="108"/>
      <c r="LTG106" s="108"/>
      <c r="LTH106" s="108"/>
      <c r="LTI106" s="108"/>
      <c r="LTJ106" s="108"/>
      <c r="LTK106" s="108"/>
      <c r="LTL106" s="108"/>
      <c r="LTM106" s="108"/>
      <c r="LTN106" s="108"/>
      <c r="LTO106" s="108"/>
      <c r="LTP106" s="108"/>
      <c r="LTQ106" s="108"/>
      <c r="LTR106" s="108"/>
      <c r="LTS106" s="108"/>
      <c r="LTT106" s="108"/>
      <c r="LTU106" s="108"/>
      <c r="LTV106" s="108"/>
      <c r="LTW106" s="108"/>
      <c r="LTX106" s="108"/>
      <c r="LTY106" s="108"/>
      <c r="LTZ106" s="108"/>
      <c r="LUA106" s="108"/>
      <c r="LUB106" s="108"/>
      <c r="LUC106" s="108"/>
      <c r="LUD106" s="108"/>
      <c r="LUE106" s="108"/>
      <c r="LUF106" s="108"/>
      <c r="LUG106" s="108"/>
      <c r="LUH106" s="108"/>
      <c r="LUI106" s="108"/>
      <c r="LUJ106" s="108"/>
      <c r="LUK106" s="108"/>
      <c r="LUL106" s="108"/>
      <c r="LUM106" s="108"/>
      <c r="LUN106" s="108"/>
      <c r="LUO106" s="108"/>
      <c r="LUP106" s="108"/>
      <c r="LUQ106" s="108"/>
      <c r="LUR106" s="108"/>
      <c r="LUS106" s="108"/>
      <c r="LUT106" s="108"/>
      <c r="LUU106" s="108"/>
      <c r="LUV106" s="108"/>
      <c r="LUW106" s="108"/>
      <c r="LUX106" s="108"/>
      <c r="LUY106" s="108"/>
      <c r="LUZ106" s="108"/>
      <c r="LVA106" s="108"/>
      <c r="LVB106" s="108"/>
      <c r="LVC106" s="108"/>
      <c r="LVD106" s="108"/>
      <c r="LVE106" s="108"/>
      <c r="LVF106" s="108"/>
      <c r="LVG106" s="108"/>
      <c r="LVH106" s="108"/>
      <c r="LVI106" s="108"/>
      <c r="LVJ106" s="108"/>
      <c r="LVK106" s="108"/>
      <c r="LVL106" s="108"/>
      <c r="LVM106" s="108"/>
      <c r="LVN106" s="108"/>
      <c r="LVO106" s="108"/>
      <c r="LVP106" s="108"/>
      <c r="LVQ106" s="108"/>
      <c r="LVR106" s="108"/>
      <c r="LVS106" s="108"/>
      <c r="LVT106" s="108"/>
      <c r="LVU106" s="108"/>
      <c r="LVV106" s="108"/>
      <c r="LVW106" s="108"/>
      <c r="LVX106" s="108"/>
      <c r="LVY106" s="108"/>
      <c r="LVZ106" s="108"/>
      <c r="LWA106" s="108"/>
      <c r="LWB106" s="108"/>
      <c r="LWC106" s="108"/>
      <c r="LWD106" s="108"/>
      <c r="LWE106" s="108"/>
      <c r="LWF106" s="108"/>
      <c r="LWG106" s="108"/>
      <c r="LWH106" s="108"/>
      <c r="LWI106" s="108"/>
      <c r="LWJ106" s="108"/>
      <c r="LWK106" s="108"/>
      <c r="LWL106" s="108"/>
      <c r="LWM106" s="108"/>
      <c r="LWN106" s="108"/>
      <c r="LWO106" s="108"/>
      <c r="LWP106" s="108"/>
      <c r="LWQ106" s="108"/>
      <c r="LWR106" s="108"/>
      <c r="LWS106" s="108"/>
      <c r="LWT106" s="108"/>
      <c r="LWU106" s="108"/>
      <c r="LWV106" s="108"/>
      <c r="LWW106" s="108"/>
      <c r="LWX106" s="108"/>
      <c r="LWY106" s="108"/>
      <c r="LWZ106" s="108"/>
      <c r="LXA106" s="108"/>
      <c r="LXB106" s="108"/>
      <c r="LXC106" s="108"/>
      <c r="LXD106" s="108"/>
      <c r="LXE106" s="108"/>
      <c r="LXF106" s="108"/>
      <c r="LXG106" s="108"/>
      <c r="LXH106" s="108"/>
      <c r="LXI106" s="108"/>
      <c r="LXJ106" s="108"/>
      <c r="LXK106" s="108"/>
      <c r="LXL106" s="108"/>
      <c r="LXM106" s="108"/>
      <c r="LXN106" s="108"/>
      <c r="LXO106" s="108"/>
      <c r="LXP106" s="108"/>
      <c r="LXQ106" s="108"/>
      <c r="LXR106" s="108"/>
      <c r="LXS106" s="108"/>
      <c r="LXT106" s="108"/>
      <c r="LXU106" s="108"/>
      <c r="LXV106" s="108"/>
      <c r="LXW106" s="108"/>
      <c r="LXX106" s="108"/>
      <c r="LXY106" s="108"/>
      <c r="LXZ106" s="108"/>
      <c r="LYA106" s="108"/>
      <c r="LYB106" s="108"/>
      <c r="LYC106" s="108"/>
      <c r="LYD106" s="108"/>
      <c r="LYE106" s="108"/>
      <c r="LYF106" s="108"/>
      <c r="LYG106" s="108"/>
      <c r="LYH106" s="108"/>
      <c r="LYI106" s="108"/>
      <c r="LYJ106" s="108"/>
      <c r="LYK106" s="108"/>
      <c r="LYL106" s="108"/>
      <c r="LYM106" s="108"/>
      <c r="LYN106" s="108"/>
      <c r="LYO106" s="108"/>
      <c r="LYP106" s="108"/>
      <c r="LYQ106" s="108"/>
      <c r="LYR106" s="108"/>
      <c r="LYS106" s="108"/>
      <c r="LYT106" s="108"/>
      <c r="LYU106" s="108"/>
      <c r="LYV106" s="108"/>
      <c r="LYW106" s="108"/>
      <c r="LYX106" s="108"/>
      <c r="LYY106" s="108"/>
      <c r="LYZ106" s="108"/>
      <c r="LZA106" s="108"/>
      <c r="LZB106" s="108"/>
      <c r="LZC106" s="108"/>
      <c r="LZD106" s="108"/>
      <c r="LZE106" s="108"/>
      <c r="LZF106" s="108"/>
      <c r="LZG106" s="108"/>
      <c r="LZH106" s="108"/>
      <c r="LZI106" s="108"/>
      <c r="LZJ106" s="108"/>
      <c r="LZK106" s="108"/>
      <c r="LZL106" s="108"/>
      <c r="LZM106" s="108"/>
      <c r="LZN106" s="108"/>
      <c r="LZO106" s="108"/>
      <c r="LZP106" s="108"/>
      <c r="LZQ106" s="108"/>
      <c r="LZR106" s="108"/>
      <c r="LZS106" s="108"/>
      <c r="LZT106" s="108"/>
      <c r="LZU106" s="108"/>
      <c r="LZV106" s="108"/>
      <c r="LZW106" s="108"/>
      <c r="LZX106" s="108"/>
      <c r="LZY106" s="108"/>
      <c r="LZZ106" s="108"/>
      <c r="MAA106" s="108"/>
      <c r="MAB106" s="108"/>
      <c r="MAC106" s="108"/>
      <c r="MAD106" s="108"/>
      <c r="MAE106" s="108"/>
      <c r="MAF106" s="108"/>
      <c r="MAG106" s="108"/>
      <c r="MAH106" s="108"/>
      <c r="MAI106" s="108"/>
      <c r="MAJ106" s="108"/>
      <c r="MAK106" s="108"/>
      <c r="MAL106" s="108"/>
      <c r="MAM106" s="108"/>
      <c r="MAN106" s="108"/>
      <c r="MAO106" s="108"/>
      <c r="MAP106" s="108"/>
      <c r="MAQ106" s="108"/>
      <c r="MAR106" s="108"/>
      <c r="MAS106" s="108"/>
      <c r="MAT106" s="108"/>
      <c r="MAU106" s="108"/>
      <c r="MAV106" s="108"/>
      <c r="MAW106" s="108"/>
      <c r="MAX106" s="108"/>
      <c r="MAY106" s="108"/>
      <c r="MAZ106" s="108"/>
      <c r="MBA106" s="108"/>
      <c r="MBB106" s="108"/>
      <c r="MBC106" s="108"/>
      <c r="MBD106" s="108"/>
      <c r="MBE106" s="108"/>
      <c r="MBF106" s="108"/>
      <c r="MBG106" s="108"/>
      <c r="MBH106" s="108"/>
      <c r="MBI106" s="108"/>
      <c r="MBJ106" s="108"/>
      <c r="MBK106" s="108"/>
      <c r="MBL106" s="108"/>
      <c r="MBM106" s="108"/>
      <c r="MBN106" s="108"/>
      <c r="MBO106" s="108"/>
      <c r="MBP106" s="108"/>
      <c r="MBQ106" s="108"/>
      <c r="MBR106" s="108"/>
      <c r="MBS106" s="108"/>
      <c r="MBT106" s="108"/>
      <c r="MBU106" s="108"/>
      <c r="MBV106" s="108"/>
      <c r="MBW106" s="108"/>
      <c r="MBX106" s="108"/>
      <c r="MBY106" s="108"/>
      <c r="MBZ106" s="108"/>
      <c r="MCA106" s="108"/>
      <c r="MCB106" s="108"/>
      <c r="MCC106" s="108"/>
      <c r="MCD106" s="108"/>
      <c r="MCE106" s="108"/>
      <c r="MCF106" s="108"/>
      <c r="MCG106" s="108"/>
      <c r="MCH106" s="108"/>
      <c r="MCI106" s="108"/>
      <c r="MCJ106" s="108"/>
      <c r="MCK106" s="108"/>
      <c r="MCL106" s="108"/>
      <c r="MCM106" s="108"/>
      <c r="MCN106" s="108"/>
      <c r="MCO106" s="108"/>
      <c r="MCP106" s="108"/>
      <c r="MCQ106" s="108"/>
      <c r="MCR106" s="108"/>
      <c r="MCS106" s="108"/>
      <c r="MCT106" s="108"/>
      <c r="MCU106" s="108"/>
      <c r="MCV106" s="108"/>
      <c r="MCW106" s="108"/>
      <c r="MCX106" s="108"/>
      <c r="MCY106" s="108"/>
      <c r="MCZ106" s="108"/>
      <c r="MDA106" s="108"/>
      <c r="MDB106" s="108"/>
      <c r="MDC106" s="108"/>
      <c r="MDD106" s="108"/>
      <c r="MDE106" s="108"/>
      <c r="MDF106" s="108"/>
      <c r="MDG106" s="108"/>
      <c r="MDH106" s="108"/>
      <c r="MDI106" s="108"/>
      <c r="MDJ106" s="108"/>
      <c r="MDK106" s="108"/>
      <c r="MDL106" s="108"/>
      <c r="MDM106" s="108"/>
      <c r="MDN106" s="108"/>
      <c r="MDO106" s="108"/>
      <c r="MDP106" s="108"/>
      <c r="MDQ106" s="108"/>
      <c r="MDR106" s="108"/>
      <c r="MDS106" s="108"/>
      <c r="MDT106" s="108"/>
      <c r="MDU106" s="108"/>
      <c r="MDV106" s="108"/>
      <c r="MDW106" s="108"/>
      <c r="MDX106" s="108"/>
      <c r="MDY106" s="108"/>
      <c r="MDZ106" s="108"/>
      <c r="MEA106" s="108"/>
      <c r="MEB106" s="108"/>
      <c r="MEC106" s="108"/>
      <c r="MED106" s="108"/>
      <c r="MEE106" s="108"/>
      <c r="MEF106" s="108"/>
      <c r="MEG106" s="108"/>
      <c r="MEH106" s="108"/>
      <c r="MEI106" s="108"/>
      <c r="MEJ106" s="108"/>
      <c r="MEK106" s="108"/>
      <c r="MEL106" s="108"/>
      <c r="MEM106" s="108"/>
      <c r="MEN106" s="108"/>
      <c r="MEO106" s="108"/>
      <c r="MEP106" s="108"/>
      <c r="MEQ106" s="108"/>
      <c r="MER106" s="108"/>
      <c r="MES106" s="108"/>
      <c r="MET106" s="108"/>
      <c r="MEU106" s="108"/>
      <c r="MEV106" s="108"/>
      <c r="MEW106" s="108"/>
      <c r="MEX106" s="108"/>
      <c r="MEY106" s="108"/>
      <c r="MEZ106" s="108"/>
      <c r="MFA106" s="108"/>
      <c r="MFB106" s="108"/>
      <c r="MFC106" s="108"/>
      <c r="MFD106" s="108"/>
      <c r="MFE106" s="108"/>
      <c r="MFF106" s="108"/>
      <c r="MFG106" s="108"/>
      <c r="MFH106" s="108"/>
      <c r="MFI106" s="108"/>
      <c r="MFJ106" s="108"/>
      <c r="MFK106" s="108"/>
      <c r="MFL106" s="108"/>
      <c r="MFM106" s="108"/>
      <c r="MFN106" s="108"/>
      <c r="MFO106" s="108"/>
      <c r="MFP106" s="108"/>
      <c r="MFQ106" s="108"/>
      <c r="MFR106" s="108"/>
      <c r="MFS106" s="108"/>
      <c r="MFT106" s="108"/>
      <c r="MFU106" s="108"/>
      <c r="MFV106" s="108"/>
      <c r="MFW106" s="108"/>
      <c r="MFX106" s="108"/>
      <c r="MFY106" s="108"/>
      <c r="MFZ106" s="108"/>
      <c r="MGA106" s="108"/>
      <c r="MGB106" s="108"/>
      <c r="MGC106" s="108"/>
      <c r="MGD106" s="108"/>
      <c r="MGE106" s="108"/>
      <c r="MGF106" s="108"/>
      <c r="MGG106" s="108"/>
      <c r="MGH106" s="108"/>
      <c r="MGI106" s="108"/>
      <c r="MGJ106" s="108"/>
      <c r="MGK106" s="108"/>
      <c r="MGL106" s="108"/>
      <c r="MGM106" s="108"/>
      <c r="MGN106" s="108"/>
      <c r="MGO106" s="108"/>
      <c r="MGP106" s="108"/>
      <c r="MGQ106" s="108"/>
      <c r="MGR106" s="108"/>
      <c r="MGS106" s="108"/>
      <c r="MGT106" s="108"/>
      <c r="MGU106" s="108"/>
      <c r="MGV106" s="108"/>
      <c r="MGW106" s="108"/>
      <c r="MGX106" s="108"/>
      <c r="MGY106" s="108"/>
      <c r="MGZ106" s="108"/>
      <c r="MHA106" s="108"/>
      <c r="MHB106" s="108"/>
      <c r="MHC106" s="108"/>
      <c r="MHD106" s="108"/>
      <c r="MHE106" s="108"/>
      <c r="MHF106" s="108"/>
      <c r="MHG106" s="108"/>
      <c r="MHH106" s="108"/>
      <c r="MHI106" s="108"/>
      <c r="MHJ106" s="108"/>
      <c r="MHK106" s="108"/>
      <c r="MHL106" s="108"/>
      <c r="MHM106" s="108"/>
      <c r="MHN106" s="108"/>
      <c r="MHO106" s="108"/>
      <c r="MHP106" s="108"/>
      <c r="MHQ106" s="108"/>
      <c r="MHR106" s="108"/>
      <c r="MHS106" s="108"/>
      <c r="MHT106" s="108"/>
      <c r="MHU106" s="108"/>
      <c r="MHV106" s="108"/>
      <c r="MHW106" s="108"/>
      <c r="MHX106" s="108"/>
      <c r="MHY106" s="108"/>
      <c r="MHZ106" s="108"/>
      <c r="MIA106" s="108"/>
      <c r="MIB106" s="108"/>
      <c r="MIC106" s="108"/>
      <c r="MID106" s="108"/>
      <c r="MIE106" s="108"/>
      <c r="MIF106" s="108"/>
      <c r="MIG106" s="108"/>
      <c r="MIH106" s="108"/>
      <c r="MII106" s="108"/>
      <c r="MIJ106" s="108"/>
      <c r="MIK106" s="108"/>
      <c r="MIL106" s="108"/>
      <c r="MIM106" s="108"/>
      <c r="MIN106" s="108"/>
      <c r="MIO106" s="108"/>
      <c r="MIP106" s="108"/>
      <c r="MIQ106" s="108"/>
      <c r="MIR106" s="108"/>
      <c r="MIS106" s="108"/>
      <c r="MIT106" s="108"/>
      <c r="MIU106" s="108"/>
      <c r="MIV106" s="108"/>
      <c r="MIW106" s="108"/>
      <c r="MIX106" s="108"/>
      <c r="MIY106" s="108"/>
      <c r="MIZ106" s="108"/>
      <c r="MJA106" s="108"/>
      <c r="MJB106" s="108"/>
      <c r="MJC106" s="108"/>
      <c r="MJD106" s="108"/>
      <c r="MJE106" s="108"/>
      <c r="MJF106" s="108"/>
      <c r="MJG106" s="108"/>
      <c r="MJH106" s="108"/>
      <c r="MJI106" s="108"/>
      <c r="MJJ106" s="108"/>
      <c r="MJK106" s="108"/>
      <c r="MJL106" s="108"/>
      <c r="MJM106" s="108"/>
      <c r="MJN106" s="108"/>
      <c r="MJO106" s="108"/>
      <c r="MJP106" s="108"/>
      <c r="MJQ106" s="108"/>
      <c r="MJR106" s="108"/>
      <c r="MJS106" s="108"/>
      <c r="MJT106" s="108"/>
      <c r="MJU106" s="108"/>
      <c r="MJV106" s="108"/>
      <c r="MJW106" s="108"/>
      <c r="MJX106" s="108"/>
      <c r="MJY106" s="108"/>
      <c r="MJZ106" s="108"/>
      <c r="MKA106" s="108"/>
      <c r="MKB106" s="108"/>
      <c r="MKC106" s="108"/>
      <c r="MKD106" s="108"/>
      <c r="MKE106" s="108"/>
      <c r="MKF106" s="108"/>
      <c r="MKG106" s="108"/>
      <c r="MKH106" s="108"/>
      <c r="MKI106" s="108"/>
      <c r="MKJ106" s="108"/>
      <c r="MKK106" s="108"/>
      <c r="MKL106" s="108"/>
      <c r="MKM106" s="108"/>
      <c r="MKN106" s="108"/>
      <c r="MKO106" s="108"/>
      <c r="MKP106" s="108"/>
      <c r="MKQ106" s="108"/>
      <c r="MKR106" s="108"/>
      <c r="MKS106" s="108"/>
      <c r="MKT106" s="108"/>
      <c r="MKU106" s="108"/>
      <c r="MKV106" s="108"/>
      <c r="MKW106" s="108"/>
      <c r="MKX106" s="108"/>
      <c r="MKY106" s="108"/>
      <c r="MKZ106" s="108"/>
      <c r="MLA106" s="108"/>
      <c r="MLB106" s="108"/>
      <c r="MLC106" s="108"/>
      <c r="MLD106" s="108"/>
      <c r="MLE106" s="108"/>
      <c r="MLF106" s="108"/>
      <c r="MLG106" s="108"/>
      <c r="MLH106" s="108"/>
      <c r="MLI106" s="108"/>
      <c r="MLJ106" s="108"/>
      <c r="MLK106" s="108"/>
      <c r="MLL106" s="108"/>
      <c r="MLM106" s="108"/>
      <c r="MLN106" s="108"/>
      <c r="MLO106" s="108"/>
      <c r="MLP106" s="108"/>
      <c r="MLQ106" s="108"/>
      <c r="MLR106" s="108"/>
      <c r="MLS106" s="108"/>
      <c r="MLT106" s="108"/>
      <c r="MLU106" s="108"/>
      <c r="MLV106" s="108"/>
      <c r="MLW106" s="108"/>
      <c r="MLX106" s="108"/>
      <c r="MLY106" s="108"/>
      <c r="MLZ106" s="108"/>
      <c r="MMA106" s="108"/>
      <c r="MMB106" s="108"/>
      <c r="MMC106" s="108"/>
      <c r="MMD106" s="108"/>
      <c r="MME106" s="108"/>
      <c r="MMF106" s="108"/>
      <c r="MMG106" s="108"/>
      <c r="MMH106" s="108"/>
      <c r="MMI106" s="108"/>
      <c r="MMJ106" s="108"/>
      <c r="MMK106" s="108"/>
      <c r="MML106" s="108"/>
      <c r="MMM106" s="108"/>
      <c r="MMN106" s="108"/>
      <c r="MMO106" s="108"/>
      <c r="MMP106" s="108"/>
      <c r="MMQ106" s="108"/>
      <c r="MMR106" s="108"/>
      <c r="MMS106" s="108"/>
      <c r="MMT106" s="108"/>
      <c r="MMU106" s="108"/>
      <c r="MMV106" s="108"/>
      <c r="MMW106" s="108"/>
      <c r="MMX106" s="108"/>
      <c r="MMY106" s="108"/>
      <c r="MMZ106" s="108"/>
      <c r="MNA106" s="108"/>
      <c r="MNB106" s="108"/>
      <c r="MNC106" s="108"/>
      <c r="MND106" s="108"/>
      <c r="MNE106" s="108"/>
      <c r="MNF106" s="108"/>
      <c r="MNG106" s="108"/>
      <c r="MNH106" s="108"/>
      <c r="MNI106" s="108"/>
      <c r="MNJ106" s="108"/>
      <c r="MNK106" s="108"/>
      <c r="MNL106" s="108"/>
      <c r="MNM106" s="108"/>
      <c r="MNN106" s="108"/>
      <c r="MNO106" s="108"/>
      <c r="MNP106" s="108"/>
      <c r="MNQ106" s="108"/>
      <c r="MNR106" s="108"/>
      <c r="MNS106" s="108"/>
      <c r="MNT106" s="108"/>
      <c r="MNU106" s="108"/>
      <c r="MNV106" s="108"/>
      <c r="MNW106" s="108"/>
      <c r="MNX106" s="108"/>
      <c r="MNY106" s="108"/>
      <c r="MNZ106" s="108"/>
      <c r="MOA106" s="108"/>
      <c r="MOB106" s="108"/>
      <c r="MOC106" s="108"/>
      <c r="MOD106" s="108"/>
      <c r="MOE106" s="108"/>
      <c r="MOF106" s="108"/>
      <c r="MOG106" s="108"/>
      <c r="MOH106" s="108"/>
      <c r="MOI106" s="108"/>
      <c r="MOJ106" s="108"/>
      <c r="MOK106" s="108"/>
      <c r="MOL106" s="108"/>
      <c r="MOM106" s="108"/>
      <c r="MON106" s="108"/>
      <c r="MOO106" s="108"/>
      <c r="MOP106" s="108"/>
      <c r="MOQ106" s="108"/>
      <c r="MOR106" s="108"/>
      <c r="MOS106" s="108"/>
      <c r="MOT106" s="108"/>
      <c r="MOU106" s="108"/>
      <c r="MOV106" s="108"/>
      <c r="MOW106" s="108"/>
      <c r="MOX106" s="108"/>
      <c r="MOY106" s="108"/>
      <c r="MOZ106" s="108"/>
      <c r="MPA106" s="108"/>
      <c r="MPB106" s="108"/>
      <c r="MPC106" s="108"/>
      <c r="MPD106" s="108"/>
      <c r="MPE106" s="108"/>
      <c r="MPF106" s="108"/>
      <c r="MPG106" s="108"/>
      <c r="MPH106" s="108"/>
      <c r="MPI106" s="108"/>
      <c r="MPJ106" s="108"/>
      <c r="MPK106" s="108"/>
      <c r="MPL106" s="108"/>
      <c r="MPM106" s="108"/>
      <c r="MPN106" s="108"/>
      <c r="MPO106" s="108"/>
      <c r="MPP106" s="108"/>
      <c r="MPQ106" s="108"/>
      <c r="MPR106" s="108"/>
      <c r="MPS106" s="108"/>
      <c r="MPT106" s="108"/>
      <c r="MPU106" s="108"/>
      <c r="MPV106" s="108"/>
      <c r="MPW106" s="108"/>
      <c r="MPX106" s="108"/>
      <c r="MPY106" s="108"/>
      <c r="MPZ106" s="108"/>
      <c r="MQA106" s="108"/>
      <c r="MQB106" s="108"/>
      <c r="MQC106" s="108"/>
      <c r="MQD106" s="108"/>
      <c r="MQE106" s="108"/>
      <c r="MQF106" s="108"/>
      <c r="MQG106" s="108"/>
      <c r="MQH106" s="108"/>
      <c r="MQI106" s="108"/>
      <c r="MQJ106" s="108"/>
      <c r="MQK106" s="108"/>
      <c r="MQL106" s="108"/>
      <c r="MQM106" s="108"/>
      <c r="MQN106" s="108"/>
      <c r="MQO106" s="108"/>
      <c r="MQP106" s="108"/>
      <c r="MQQ106" s="108"/>
      <c r="MQR106" s="108"/>
      <c r="MQS106" s="108"/>
      <c r="MQT106" s="108"/>
      <c r="MQU106" s="108"/>
      <c r="MQV106" s="108"/>
      <c r="MQW106" s="108"/>
      <c r="MQX106" s="108"/>
      <c r="MQY106" s="108"/>
      <c r="MQZ106" s="108"/>
      <c r="MRA106" s="108"/>
      <c r="MRB106" s="108"/>
      <c r="MRC106" s="108"/>
      <c r="MRD106" s="108"/>
      <c r="MRE106" s="108"/>
      <c r="MRF106" s="108"/>
      <c r="MRG106" s="108"/>
      <c r="MRH106" s="108"/>
      <c r="MRI106" s="108"/>
      <c r="MRJ106" s="108"/>
      <c r="MRK106" s="108"/>
      <c r="MRL106" s="108"/>
      <c r="MRM106" s="108"/>
      <c r="MRN106" s="108"/>
      <c r="MRO106" s="108"/>
      <c r="MRP106" s="108"/>
      <c r="MRQ106" s="108"/>
      <c r="MRR106" s="108"/>
      <c r="MRS106" s="108"/>
      <c r="MRT106" s="108"/>
      <c r="MRU106" s="108"/>
      <c r="MRV106" s="108"/>
      <c r="MRW106" s="108"/>
      <c r="MRX106" s="108"/>
      <c r="MRY106" s="108"/>
      <c r="MRZ106" s="108"/>
      <c r="MSA106" s="108"/>
      <c r="MSB106" s="108"/>
      <c r="MSC106" s="108"/>
      <c r="MSD106" s="108"/>
      <c r="MSE106" s="108"/>
      <c r="MSF106" s="108"/>
      <c r="MSG106" s="108"/>
      <c r="MSH106" s="108"/>
      <c r="MSI106" s="108"/>
      <c r="MSJ106" s="108"/>
      <c r="MSK106" s="108"/>
      <c r="MSL106" s="108"/>
      <c r="MSM106" s="108"/>
      <c r="MSN106" s="108"/>
      <c r="MSO106" s="108"/>
      <c r="MSP106" s="108"/>
      <c r="MSQ106" s="108"/>
      <c r="MSR106" s="108"/>
      <c r="MSS106" s="108"/>
      <c r="MST106" s="108"/>
      <c r="MSU106" s="108"/>
      <c r="MSV106" s="108"/>
      <c r="MSW106" s="108"/>
      <c r="MSX106" s="108"/>
      <c r="MSY106" s="108"/>
      <c r="MSZ106" s="108"/>
      <c r="MTA106" s="108"/>
      <c r="MTB106" s="108"/>
      <c r="MTC106" s="108"/>
      <c r="MTD106" s="108"/>
      <c r="MTE106" s="108"/>
      <c r="MTF106" s="108"/>
      <c r="MTG106" s="108"/>
      <c r="MTH106" s="108"/>
      <c r="MTI106" s="108"/>
      <c r="MTJ106" s="108"/>
      <c r="MTK106" s="108"/>
      <c r="MTL106" s="108"/>
      <c r="MTM106" s="108"/>
      <c r="MTN106" s="108"/>
      <c r="MTO106" s="108"/>
      <c r="MTP106" s="108"/>
      <c r="MTQ106" s="108"/>
      <c r="MTR106" s="108"/>
      <c r="MTS106" s="108"/>
      <c r="MTT106" s="108"/>
      <c r="MTU106" s="108"/>
      <c r="MTV106" s="108"/>
      <c r="MTW106" s="108"/>
      <c r="MTX106" s="108"/>
      <c r="MTY106" s="108"/>
      <c r="MTZ106" s="108"/>
      <c r="MUA106" s="108"/>
      <c r="MUB106" s="108"/>
      <c r="MUC106" s="108"/>
      <c r="MUD106" s="108"/>
      <c r="MUE106" s="108"/>
      <c r="MUF106" s="108"/>
      <c r="MUG106" s="108"/>
      <c r="MUH106" s="108"/>
      <c r="MUI106" s="108"/>
      <c r="MUJ106" s="108"/>
      <c r="MUK106" s="108"/>
      <c r="MUL106" s="108"/>
      <c r="MUM106" s="108"/>
      <c r="MUN106" s="108"/>
      <c r="MUO106" s="108"/>
      <c r="MUP106" s="108"/>
      <c r="MUQ106" s="108"/>
      <c r="MUR106" s="108"/>
      <c r="MUS106" s="108"/>
      <c r="MUT106" s="108"/>
      <c r="MUU106" s="108"/>
      <c r="MUV106" s="108"/>
      <c r="MUW106" s="108"/>
      <c r="MUX106" s="108"/>
      <c r="MUY106" s="108"/>
      <c r="MUZ106" s="108"/>
      <c r="MVA106" s="108"/>
      <c r="MVB106" s="108"/>
      <c r="MVC106" s="108"/>
      <c r="MVD106" s="108"/>
      <c r="MVE106" s="108"/>
      <c r="MVF106" s="108"/>
      <c r="MVG106" s="108"/>
      <c r="MVH106" s="108"/>
      <c r="MVI106" s="108"/>
      <c r="MVJ106" s="108"/>
      <c r="MVK106" s="108"/>
      <c r="MVL106" s="108"/>
      <c r="MVM106" s="108"/>
      <c r="MVN106" s="108"/>
      <c r="MVO106" s="108"/>
      <c r="MVP106" s="108"/>
      <c r="MVQ106" s="108"/>
      <c r="MVR106" s="108"/>
      <c r="MVS106" s="108"/>
      <c r="MVT106" s="108"/>
      <c r="MVU106" s="108"/>
      <c r="MVV106" s="108"/>
      <c r="MVW106" s="108"/>
      <c r="MVX106" s="108"/>
      <c r="MVY106" s="108"/>
      <c r="MVZ106" s="108"/>
      <c r="MWA106" s="108"/>
      <c r="MWB106" s="108"/>
      <c r="MWC106" s="108"/>
      <c r="MWD106" s="108"/>
      <c r="MWE106" s="108"/>
      <c r="MWF106" s="108"/>
      <c r="MWG106" s="108"/>
      <c r="MWH106" s="108"/>
      <c r="MWI106" s="108"/>
      <c r="MWJ106" s="108"/>
      <c r="MWK106" s="108"/>
      <c r="MWL106" s="108"/>
      <c r="MWM106" s="108"/>
      <c r="MWN106" s="108"/>
      <c r="MWO106" s="108"/>
      <c r="MWP106" s="108"/>
      <c r="MWQ106" s="108"/>
      <c r="MWR106" s="108"/>
      <c r="MWS106" s="108"/>
      <c r="MWT106" s="108"/>
      <c r="MWU106" s="108"/>
      <c r="MWV106" s="108"/>
      <c r="MWW106" s="108"/>
      <c r="MWX106" s="108"/>
      <c r="MWY106" s="108"/>
      <c r="MWZ106" s="108"/>
      <c r="MXA106" s="108"/>
      <c r="MXB106" s="108"/>
      <c r="MXC106" s="108"/>
      <c r="MXD106" s="108"/>
      <c r="MXE106" s="108"/>
      <c r="MXF106" s="108"/>
      <c r="MXG106" s="108"/>
      <c r="MXH106" s="108"/>
      <c r="MXI106" s="108"/>
      <c r="MXJ106" s="108"/>
      <c r="MXK106" s="108"/>
      <c r="MXL106" s="108"/>
      <c r="MXM106" s="108"/>
      <c r="MXN106" s="108"/>
      <c r="MXO106" s="108"/>
      <c r="MXP106" s="108"/>
      <c r="MXQ106" s="108"/>
      <c r="MXR106" s="108"/>
      <c r="MXS106" s="108"/>
      <c r="MXT106" s="108"/>
      <c r="MXU106" s="108"/>
      <c r="MXV106" s="108"/>
      <c r="MXW106" s="108"/>
      <c r="MXX106" s="108"/>
      <c r="MXY106" s="108"/>
      <c r="MXZ106" s="108"/>
      <c r="MYA106" s="108"/>
      <c r="MYB106" s="108"/>
      <c r="MYC106" s="108"/>
      <c r="MYD106" s="108"/>
      <c r="MYE106" s="108"/>
      <c r="MYF106" s="108"/>
      <c r="MYG106" s="108"/>
      <c r="MYH106" s="108"/>
      <c r="MYI106" s="108"/>
      <c r="MYJ106" s="108"/>
      <c r="MYK106" s="108"/>
      <c r="MYL106" s="108"/>
      <c r="MYM106" s="108"/>
      <c r="MYN106" s="108"/>
      <c r="MYO106" s="108"/>
      <c r="MYP106" s="108"/>
      <c r="MYQ106" s="108"/>
      <c r="MYR106" s="108"/>
      <c r="MYS106" s="108"/>
      <c r="MYT106" s="108"/>
      <c r="MYU106" s="108"/>
      <c r="MYV106" s="108"/>
      <c r="MYW106" s="108"/>
      <c r="MYX106" s="108"/>
      <c r="MYY106" s="108"/>
      <c r="MYZ106" s="108"/>
      <c r="MZA106" s="108"/>
      <c r="MZB106" s="108"/>
      <c r="MZC106" s="108"/>
      <c r="MZD106" s="108"/>
      <c r="MZE106" s="108"/>
      <c r="MZF106" s="108"/>
      <c r="MZG106" s="108"/>
      <c r="MZH106" s="108"/>
      <c r="MZI106" s="108"/>
      <c r="MZJ106" s="108"/>
      <c r="MZK106" s="108"/>
      <c r="MZL106" s="108"/>
      <c r="MZM106" s="108"/>
      <c r="MZN106" s="108"/>
      <c r="MZO106" s="108"/>
      <c r="MZP106" s="108"/>
      <c r="MZQ106" s="108"/>
      <c r="MZR106" s="108"/>
      <c r="MZS106" s="108"/>
      <c r="MZT106" s="108"/>
      <c r="MZU106" s="108"/>
      <c r="MZV106" s="108"/>
      <c r="MZW106" s="108"/>
      <c r="MZX106" s="108"/>
      <c r="MZY106" s="108"/>
      <c r="MZZ106" s="108"/>
      <c r="NAA106" s="108"/>
      <c r="NAB106" s="108"/>
      <c r="NAC106" s="108"/>
      <c r="NAD106" s="108"/>
      <c r="NAE106" s="108"/>
      <c r="NAF106" s="108"/>
      <c r="NAG106" s="108"/>
      <c r="NAH106" s="108"/>
      <c r="NAI106" s="108"/>
      <c r="NAJ106" s="108"/>
      <c r="NAK106" s="108"/>
      <c r="NAL106" s="108"/>
      <c r="NAM106" s="108"/>
      <c r="NAN106" s="108"/>
      <c r="NAO106" s="108"/>
      <c r="NAP106" s="108"/>
      <c r="NAQ106" s="108"/>
      <c r="NAR106" s="108"/>
      <c r="NAS106" s="108"/>
      <c r="NAT106" s="108"/>
      <c r="NAU106" s="108"/>
      <c r="NAV106" s="108"/>
      <c r="NAW106" s="108"/>
      <c r="NAX106" s="108"/>
      <c r="NAY106" s="108"/>
      <c r="NAZ106" s="108"/>
      <c r="NBA106" s="108"/>
      <c r="NBB106" s="108"/>
      <c r="NBC106" s="108"/>
      <c r="NBD106" s="108"/>
      <c r="NBE106" s="108"/>
      <c r="NBF106" s="108"/>
      <c r="NBG106" s="108"/>
      <c r="NBH106" s="108"/>
      <c r="NBI106" s="108"/>
      <c r="NBJ106" s="108"/>
      <c r="NBK106" s="108"/>
      <c r="NBL106" s="108"/>
      <c r="NBM106" s="108"/>
      <c r="NBN106" s="108"/>
      <c r="NBO106" s="108"/>
      <c r="NBP106" s="108"/>
      <c r="NBQ106" s="108"/>
      <c r="NBR106" s="108"/>
      <c r="NBS106" s="108"/>
      <c r="NBT106" s="108"/>
      <c r="NBU106" s="108"/>
      <c r="NBV106" s="108"/>
      <c r="NBW106" s="108"/>
      <c r="NBX106" s="108"/>
      <c r="NBY106" s="108"/>
      <c r="NBZ106" s="108"/>
      <c r="NCA106" s="108"/>
      <c r="NCB106" s="108"/>
      <c r="NCC106" s="108"/>
      <c r="NCD106" s="108"/>
      <c r="NCE106" s="108"/>
      <c r="NCF106" s="108"/>
      <c r="NCG106" s="108"/>
      <c r="NCH106" s="108"/>
      <c r="NCI106" s="108"/>
      <c r="NCJ106" s="108"/>
      <c r="NCK106" s="108"/>
      <c r="NCL106" s="108"/>
      <c r="NCM106" s="108"/>
      <c r="NCN106" s="108"/>
      <c r="NCO106" s="108"/>
      <c r="NCP106" s="108"/>
      <c r="NCQ106" s="108"/>
      <c r="NCR106" s="108"/>
      <c r="NCS106" s="108"/>
      <c r="NCT106" s="108"/>
      <c r="NCU106" s="108"/>
      <c r="NCV106" s="108"/>
      <c r="NCW106" s="108"/>
      <c r="NCX106" s="108"/>
      <c r="NCY106" s="108"/>
      <c r="NCZ106" s="108"/>
      <c r="NDA106" s="108"/>
      <c r="NDB106" s="108"/>
      <c r="NDC106" s="108"/>
      <c r="NDD106" s="108"/>
      <c r="NDE106" s="108"/>
      <c r="NDF106" s="108"/>
      <c r="NDG106" s="108"/>
      <c r="NDH106" s="108"/>
      <c r="NDI106" s="108"/>
      <c r="NDJ106" s="108"/>
      <c r="NDK106" s="108"/>
      <c r="NDL106" s="108"/>
      <c r="NDM106" s="108"/>
      <c r="NDN106" s="108"/>
      <c r="NDO106" s="108"/>
      <c r="NDP106" s="108"/>
      <c r="NDQ106" s="108"/>
      <c r="NDR106" s="108"/>
      <c r="NDS106" s="108"/>
      <c r="NDT106" s="108"/>
      <c r="NDU106" s="108"/>
      <c r="NDV106" s="108"/>
      <c r="NDW106" s="108"/>
      <c r="NDX106" s="108"/>
      <c r="NDY106" s="108"/>
      <c r="NDZ106" s="108"/>
      <c r="NEA106" s="108"/>
      <c r="NEB106" s="108"/>
      <c r="NEC106" s="108"/>
      <c r="NED106" s="108"/>
      <c r="NEE106" s="108"/>
      <c r="NEF106" s="108"/>
      <c r="NEG106" s="108"/>
      <c r="NEH106" s="108"/>
      <c r="NEI106" s="108"/>
      <c r="NEJ106" s="108"/>
      <c r="NEK106" s="108"/>
      <c r="NEL106" s="108"/>
      <c r="NEM106" s="108"/>
      <c r="NEN106" s="108"/>
      <c r="NEO106" s="108"/>
      <c r="NEP106" s="108"/>
      <c r="NEQ106" s="108"/>
      <c r="NER106" s="108"/>
      <c r="NES106" s="108"/>
      <c r="NET106" s="108"/>
      <c r="NEU106" s="108"/>
      <c r="NEV106" s="108"/>
      <c r="NEW106" s="108"/>
      <c r="NEX106" s="108"/>
      <c r="NEY106" s="108"/>
      <c r="NEZ106" s="108"/>
      <c r="NFA106" s="108"/>
      <c r="NFB106" s="108"/>
      <c r="NFC106" s="108"/>
      <c r="NFD106" s="108"/>
      <c r="NFE106" s="108"/>
      <c r="NFF106" s="108"/>
      <c r="NFG106" s="108"/>
      <c r="NFH106" s="108"/>
      <c r="NFI106" s="108"/>
      <c r="NFJ106" s="108"/>
      <c r="NFK106" s="108"/>
      <c r="NFL106" s="108"/>
      <c r="NFM106" s="108"/>
      <c r="NFN106" s="108"/>
      <c r="NFO106" s="108"/>
      <c r="NFP106" s="108"/>
      <c r="NFQ106" s="108"/>
      <c r="NFR106" s="108"/>
      <c r="NFS106" s="108"/>
      <c r="NFT106" s="108"/>
      <c r="NFU106" s="108"/>
      <c r="NFV106" s="108"/>
      <c r="NFW106" s="108"/>
      <c r="NFX106" s="108"/>
      <c r="NFY106" s="108"/>
      <c r="NFZ106" s="108"/>
      <c r="NGA106" s="108"/>
      <c r="NGB106" s="108"/>
      <c r="NGC106" s="108"/>
      <c r="NGD106" s="108"/>
      <c r="NGE106" s="108"/>
      <c r="NGF106" s="108"/>
      <c r="NGG106" s="108"/>
      <c r="NGH106" s="108"/>
      <c r="NGI106" s="108"/>
      <c r="NGJ106" s="108"/>
      <c r="NGK106" s="108"/>
      <c r="NGL106" s="108"/>
      <c r="NGM106" s="108"/>
      <c r="NGN106" s="108"/>
      <c r="NGO106" s="108"/>
      <c r="NGP106" s="108"/>
      <c r="NGQ106" s="108"/>
      <c r="NGR106" s="108"/>
      <c r="NGS106" s="108"/>
      <c r="NGT106" s="108"/>
      <c r="NGU106" s="108"/>
      <c r="NGV106" s="108"/>
      <c r="NGW106" s="108"/>
      <c r="NGX106" s="108"/>
      <c r="NGY106" s="108"/>
      <c r="NGZ106" s="108"/>
      <c r="NHA106" s="108"/>
      <c r="NHB106" s="108"/>
      <c r="NHC106" s="108"/>
      <c r="NHD106" s="108"/>
      <c r="NHE106" s="108"/>
      <c r="NHF106" s="108"/>
      <c r="NHG106" s="108"/>
      <c r="NHH106" s="108"/>
      <c r="NHI106" s="108"/>
      <c r="NHJ106" s="108"/>
      <c r="NHK106" s="108"/>
      <c r="NHL106" s="108"/>
      <c r="NHM106" s="108"/>
      <c r="NHN106" s="108"/>
      <c r="NHO106" s="108"/>
      <c r="NHP106" s="108"/>
      <c r="NHQ106" s="108"/>
      <c r="NHR106" s="108"/>
      <c r="NHS106" s="108"/>
      <c r="NHT106" s="108"/>
      <c r="NHU106" s="108"/>
      <c r="NHV106" s="108"/>
      <c r="NHW106" s="108"/>
      <c r="NHX106" s="108"/>
      <c r="NHY106" s="108"/>
      <c r="NHZ106" s="108"/>
      <c r="NIA106" s="108"/>
      <c r="NIB106" s="108"/>
      <c r="NIC106" s="108"/>
      <c r="NID106" s="108"/>
      <c r="NIE106" s="108"/>
      <c r="NIF106" s="108"/>
      <c r="NIG106" s="108"/>
      <c r="NIH106" s="108"/>
      <c r="NII106" s="108"/>
      <c r="NIJ106" s="108"/>
      <c r="NIK106" s="108"/>
      <c r="NIL106" s="108"/>
      <c r="NIM106" s="108"/>
      <c r="NIN106" s="108"/>
      <c r="NIO106" s="108"/>
      <c r="NIP106" s="108"/>
      <c r="NIQ106" s="108"/>
      <c r="NIR106" s="108"/>
      <c r="NIS106" s="108"/>
      <c r="NIT106" s="108"/>
      <c r="NIU106" s="108"/>
      <c r="NIV106" s="108"/>
      <c r="NIW106" s="108"/>
      <c r="NIX106" s="108"/>
      <c r="NIY106" s="108"/>
      <c r="NIZ106" s="108"/>
      <c r="NJA106" s="108"/>
      <c r="NJB106" s="108"/>
      <c r="NJC106" s="108"/>
      <c r="NJD106" s="108"/>
      <c r="NJE106" s="108"/>
      <c r="NJF106" s="108"/>
      <c r="NJG106" s="108"/>
      <c r="NJH106" s="108"/>
      <c r="NJI106" s="108"/>
      <c r="NJJ106" s="108"/>
      <c r="NJK106" s="108"/>
      <c r="NJL106" s="108"/>
      <c r="NJM106" s="108"/>
      <c r="NJN106" s="108"/>
      <c r="NJO106" s="108"/>
      <c r="NJP106" s="108"/>
      <c r="NJQ106" s="108"/>
      <c r="NJR106" s="108"/>
      <c r="NJS106" s="108"/>
      <c r="NJT106" s="108"/>
      <c r="NJU106" s="108"/>
      <c r="NJV106" s="108"/>
      <c r="NJW106" s="108"/>
      <c r="NJX106" s="108"/>
      <c r="NJY106" s="108"/>
      <c r="NJZ106" s="108"/>
      <c r="NKA106" s="108"/>
      <c r="NKB106" s="108"/>
      <c r="NKC106" s="108"/>
      <c r="NKD106" s="108"/>
      <c r="NKE106" s="108"/>
      <c r="NKF106" s="108"/>
      <c r="NKG106" s="108"/>
      <c r="NKH106" s="108"/>
      <c r="NKI106" s="108"/>
      <c r="NKJ106" s="108"/>
      <c r="NKK106" s="108"/>
      <c r="NKL106" s="108"/>
      <c r="NKM106" s="108"/>
      <c r="NKN106" s="108"/>
      <c r="NKO106" s="108"/>
      <c r="NKP106" s="108"/>
      <c r="NKQ106" s="108"/>
      <c r="NKR106" s="108"/>
      <c r="NKS106" s="108"/>
      <c r="NKT106" s="108"/>
      <c r="NKU106" s="108"/>
      <c r="NKV106" s="108"/>
      <c r="NKW106" s="108"/>
      <c r="NKX106" s="108"/>
      <c r="NKY106" s="108"/>
      <c r="NKZ106" s="108"/>
      <c r="NLA106" s="108"/>
      <c r="NLB106" s="108"/>
      <c r="NLC106" s="108"/>
      <c r="NLD106" s="108"/>
      <c r="NLE106" s="108"/>
      <c r="NLF106" s="108"/>
      <c r="NLG106" s="108"/>
      <c r="NLH106" s="108"/>
      <c r="NLI106" s="108"/>
      <c r="NLJ106" s="108"/>
      <c r="NLK106" s="108"/>
      <c r="NLL106" s="108"/>
      <c r="NLM106" s="108"/>
      <c r="NLN106" s="108"/>
      <c r="NLO106" s="108"/>
      <c r="NLP106" s="108"/>
      <c r="NLQ106" s="108"/>
      <c r="NLR106" s="108"/>
      <c r="NLS106" s="108"/>
      <c r="NLT106" s="108"/>
      <c r="NLU106" s="108"/>
      <c r="NLV106" s="108"/>
      <c r="NLW106" s="108"/>
      <c r="NLX106" s="108"/>
      <c r="NLY106" s="108"/>
      <c r="NLZ106" s="108"/>
      <c r="NMA106" s="108"/>
      <c r="NMB106" s="108"/>
      <c r="NMC106" s="108"/>
      <c r="NMD106" s="108"/>
      <c r="NME106" s="108"/>
      <c r="NMF106" s="108"/>
      <c r="NMG106" s="108"/>
      <c r="NMH106" s="108"/>
      <c r="NMI106" s="108"/>
      <c r="NMJ106" s="108"/>
      <c r="NMK106" s="108"/>
      <c r="NML106" s="108"/>
      <c r="NMM106" s="108"/>
      <c r="NMN106" s="108"/>
      <c r="NMO106" s="108"/>
      <c r="NMP106" s="108"/>
      <c r="NMQ106" s="108"/>
      <c r="NMR106" s="108"/>
      <c r="NMS106" s="108"/>
      <c r="NMT106" s="108"/>
      <c r="NMU106" s="108"/>
      <c r="NMV106" s="108"/>
      <c r="NMW106" s="108"/>
      <c r="NMX106" s="108"/>
      <c r="NMY106" s="108"/>
      <c r="NMZ106" s="108"/>
      <c r="NNA106" s="108"/>
      <c r="NNB106" s="108"/>
      <c r="NNC106" s="108"/>
      <c r="NND106" s="108"/>
      <c r="NNE106" s="108"/>
      <c r="NNF106" s="108"/>
      <c r="NNG106" s="108"/>
      <c r="NNH106" s="108"/>
      <c r="NNI106" s="108"/>
      <c r="NNJ106" s="108"/>
      <c r="NNK106" s="108"/>
      <c r="NNL106" s="108"/>
      <c r="NNM106" s="108"/>
      <c r="NNN106" s="108"/>
      <c r="NNO106" s="108"/>
      <c r="NNP106" s="108"/>
      <c r="NNQ106" s="108"/>
      <c r="NNR106" s="108"/>
      <c r="NNS106" s="108"/>
      <c r="NNT106" s="108"/>
      <c r="NNU106" s="108"/>
      <c r="NNV106" s="108"/>
      <c r="NNW106" s="108"/>
      <c r="NNX106" s="108"/>
      <c r="NNY106" s="108"/>
      <c r="NNZ106" s="108"/>
      <c r="NOA106" s="108"/>
      <c r="NOB106" s="108"/>
      <c r="NOC106" s="108"/>
      <c r="NOD106" s="108"/>
      <c r="NOE106" s="108"/>
      <c r="NOF106" s="108"/>
      <c r="NOG106" s="108"/>
      <c r="NOH106" s="108"/>
      <c r="NOI106" s="108"/>
      <c r="NOJ106" s="108"/>
      <c r="NOK106" s="108"/>
      <c r="NOL106" s="108"/>
      <c r="NOM106" s="108"/>
      <c r="NON106" s="108"/>
      <c r="NOO106" s="108"/>
      <c r="NOP106" s="108"/>
      <c r="NOQ106" s="108"/>
      <c r="NOR106" s="108"/>
      <c r="NOS106" s="108"/>
      <c r="NOT106" s="108"/>
      <c r="NOU106" s="108"/>
      <c r="NOV106" s="108"/>
      <c r="NOW106" s="108"/>
      <c r="NOX106" s="108"/>
      <c r="NOY106" s="108"/>
      <c r="NOZ106" s="108"/>
      <c r="NPA106" s="108"/>
      <c r="NPB106" s="108"/>
      <c r="NPC106" s="108"/>
      <c r="NPD106" s="108"/>
      <c r="NPE106" s="108"/>
      <c r="NPF106" s="108"/>
      <c r="NPG106" s="108"/>
      <c r="NPH106" s="108"/>
      <c r="NPI106" s="108"/>
      <c r="NPJ106" s="108"/>
      <c r="NPK106" s="108"/>
      <c r="NPL106" s="108"/>
      <c r="NPM106" s="108"/>
      <c r="NPN106" s="108"/>
      <c r="NPO106" s="108"/>
      <c r="NPP106" s="108"/>
      <c r="NPQ106" s="108"/>
      <c r="NPR106" s="108"/>
      <c r="NPS106" s="108"/>
      <c r="NPT106" s="108"/>
      <c r="NPU106" s="108"/>
      <c r="NPV106" s="108"/>
      <c r="NPW106" s="108"/>
      <c r="NPX106" s="108"/>
      <c r="NPY106" s="108"/>
      <c r="NPZ106" s="108"/>
      <c r="NQA106" s="108"/>
      <c r="NQB106" s="108"/>
      <c r="NQC106" s="108"/>
      <c r="NQD106" s="108"/>
      <c r="NQE106" s="108"/>
      <c r="NQF106" s="108"/>
      <c r="NQG106" s="108"/>
      <c r="NQH106" s="108"/>
      <c r="NQI106" s="108"/>
      <c r="NQJ106" s="108"/>
      <c r="NQK106" s="108"/>
      <c r="NQL106" s="108"/>
      <c r="NQM106" s="108"/>
      <c r="NQN106" s="108"/>
      <c r="NQO106" s="108"/>
      <c r="NQP106" s="108"/>
      <c r="NQQ106" s="108"/>
      <c r="NQR106" s="108"/>
      <c r="NQS106" s="108"/>
      <c r="NQT106" s="108"/>
      <c r="NQU106" s="108"/>
      <c r="NQV106" s="108"/>
      <c r="NQW106" s="108"/>
      <c r="NQX106" s="108"/>
      <c r="NQY106" s="108"/>
      <c r="NQZ106" s="108"/>
      <c r="NRA106" s="108"/>
      <c r="NRB106" s="108"/>
      <c r="NRC106" s="108"/>
      <c r="NRD106" s="108"/>
      <c r="NRE106" s="108"/>
      <c r="NRF106" s="108"/>
      <c r="NRG106" s="108"/>
      <c r="NRH106" s="108"/>
      <c r="NRI106" s="108"/>
      <c r="NRJ106" s="108"/>
      <c r="NRK106" s="108"/>
      <c r="NRL106" s="108"/>
      <c r="NRM106" s="108"/>
      <c r="NRN106" s="108"/>
      <c r="NRO106" s="108"/>
      <c r="NRP106" s="108"/>
      <c r="NRQ106" s="108"/>
      <c r="NRR106" s="108"/>
      <c r="NRS106" s="108"/>
      <c r="NRT106" s="108"/>
      <c r="NRU106" s="108"/>
      <c r="NRV106" s="108"/>
      <c r="NRW106" s="108"/>
      <c r="NRX106" s="108"/>
      <c r="NRY106" s="108"/>
      <c r="NRZ106" s="108"/>
      <c r="NSA106" s="108"/>
      <c r="NSB106" s="108"/>
      <c r="NSC106" s="108"/>
      <c r="NSD106" s="108"/>
      <c r="NSE106" s="108"/>
      <c r="NSF106" s="108"/>
      <c r="NSG106" s="108"/>
      <c r="NSH106" s="108"/>
      <c r="NSI106" s="108"/>
      <c r="NSJ106" s="108"/>
      <c r="NSK106" s="108"/>
      <c r="NSL106" s="108"/>
      <c r="NSM106" s="108"/>
      <c r="NSN106" s="108"/>
      <c r="NSO106" s="108"/>
      <c r="NSP106" s="108"/>
      <c r="NSQ106" s="108"/>
      <c r="NSR106" s="108"/>
      <c r="NSS106" s="108"/>
      <c r="NST106" s="108"/>
      <c r="NSU106" s="108"/>
      <c r="NSV106" s="108"/>
      <c r="NSW106" s="108"/>
      <c r="NSX106" s="108"/>
      <c r="NSY106" s="108"/>
      <c r="NSZ106" s="108"/>
      <c r="NTA106" s="108"/>
      <c r="NTB106" s="108"/>
      <c r="NTC106" s="108"/>
      <c r="NTD106" s="108"/>
      <c r="NTE106" s="108"/>
      <c r="NTF106" s="108"/>
      <c r="NTG106" s="108"/>
      <c r="NTH106" s="108"/>
      <c r="NTI106" s="108"/>
      <c r="NTJ106" s="108"/>
      <c r="NTK106" s="108"/>
      <c r="NTL106" s="108"/>
      <c r="NTM106" s="108"/>
      <c r="NTN106" s="108"/>
      <c r="NTO106" s="108"/>
      <c r="NTP106" s="108"/>
      <c r="NTQ106" s="108"/>
      <c r="NTR106" s="108"/>
      <c r="NTS106" s="108"/>
      <c r="NTT106" s="108"/>
      <c r="NTU106" s="108"/>
      <c r="NTV106" s="108"/>
      <c r="NTW106" s="108"/>
      <c r="NTX106" s="108"/>
      <c r="NTY106" s="108"/>
      <c r="NTZ106" s="108"/>
      <c r="NUA106" s="108"/>
      <c r="NUB106" s="108"/>
      <c r="NUC106" s="108"/>
      <c r="NUD106" s="108"/>
      <c r="NUE106" s="108"/>
      <c r="NUF106" s="108"/>
      <c r="NUG106" s="108"/>
      <c r="NUH106" s="108"/>
      <c r="NUI106" s="108"/>
      <c r="NUJ106" s="108"/>
      <c r="NUK106" s="108"/>
      <c r="NUL106" s="108"/>
      <c r="NUM106" s="108"/>
      <c r="NUN106" s="108"/>
      <c r="NUO106" s="108"/>
      <c r="NUP106" s="108"/>
      <c r="NUQ106" s="108"/>
      <c r="NUR106" s="108"/>
      <c r="NUS106" s="108"/>
      <c r="NUT106" s="108"/>
      <c r="NUU106" s="108"/>
      <c r="NUV106" s="108"/>
      <c r="NUW106" s="108"/>
      <c r="NUX106" s="108"/>
      <c r="NUY106" s="108"/>
      <c r="NUZ106" s="108"/>
      <c r="NVA106" s="108"/>
      <c r="NVB106" s="108"/>
      <c r="NVC106" s="108"/>
      <c r="NVD106" s="108"/>
      <c r="NVE106" s="108"/>
      <c r="NVF106" s="108"/>
      <c r="NVG106" s="108"/>
      <c r="NVH106" s="108"/>
      <c r="NVI106" s="108"/>
      <c r="NVJ106" s="108"/>
      <c r="NVK106" s="108"/>
      <c r="NVL106" s="108"/>
      <c r="NVM106" s="108"/>
      <c r="NVN106" s="108"/>
      <c r="NVO106" s="108"/>
      <c r="NVP106" s="108"/>
      <c r="NVQ106" s="108"/>
      <c r="NVR106" s="108"/>
      <c r="NVS106" s="108"/>
      <c r="NVT106" s="108"/>
      <c r="NVU106" s="108"/>
      <c r="NVV106" s="108"/>
      <c r="NVW106" s="108"/>
      <c r="NVX106" s="108"/>
      <c r="NVY106" s="108"/>
      <c r="NVZ106" s="108"/>
      <c r="NWA106" s="108"/>
      <c r="NWB106" s="108"/>
      <c r="NWC106" s="108"/>
      <c r="NWD106" s="108"/>
      <c r="NWE106" s="108"/>
      <c r="NWF106" s="108"/>
      <c r="NWG106" s="108"/>
      <c r="NWH106" s="108"/>
      <c r="NWI106" s="108"/>
      <c r="NWJ106" s="108"/>
      <c r="NWK106" s="108"/>
      <c r="NWL106" s="108"/>
      <c r="NWM106" s="108"/>
      <c r="NWN106" s="108"/>
      <c r="NWO106" s="108"/>
      <c r="NWP106" s="108"/>
      <c r="NWQ106" s="108"/>
      <c r="NWR106" s="108"/>
      <c r="NWS106" s="108"/>
      <c r="NWT106" s="108"/>
      <c r="NWU106" s="108"/>
      <c r="NWV106" s="108"/>
      <c r="NWW106" s="108"/>
      <c r="NWX106" s="108"/>
      <c r="NWY106" s="108"/>
      <c r="NWZ106" s="108"/>
      <c r="NXA106" s="108"/>
      <c r="NXB106" s="108"/>
      <c r="NXC106" s="108"/>
      <c r="NXD106" s="108"/>
      <c r="NXE106" s="108"/>
      <c r="NXF106" s="108"/>
      <c r="NXG106" s="108"/>
      <c r="NXH106" s="108"/>
      <c r="NXI106" s="108"/>
      <c r="NXJ106" s="108"/>
      <c r="NXK106" s="108"/>
      <c r="NXL106" s="108"/>
      <c r="NXM106" s="108"/>
      <c r="NXN106" s="108"/>
      <c r="NXO106" s="108"/>
      <c r="NXP106" s="108"/>
      <c r="NXQ106" s="108"/>
      <c r="NXR106" s="108"/>
      <c r="NXS106" s="108"/>
      <c r="NXT106" s="108"/>
      <c r="NXU106" s="108"/>
      <c r="NXV106" s="108"/>
      <c r="NXW106" s="108"/>
      <c r="NXX106" s="108"/>
      <c r="NXY106" s="108"/>
      <c r="NXZ106" s="108"/>
      <c r="NYA106" s="108"/>
      <c r="NYB106" s="108"/>
      <c r="NYC106" s="108"/>
      <c r="NYD106" s="108"/>
      <c r="NYE106" s="108"/>
      <c r="NYF106" s="108"/>
      <c r="NYG106" s="108"/>
      <c r="NYH106" s="108"/>
      <c r="NYI106" s="108"/>
      <c r="NYJ106" s="108"/>
      <c r="NYK106" s="108"/>
      <c r="NYL106" s="108"/>
      <c r="NYM106" s="108"/>
      <c r="NYN106" s="108"/>
      <c r="NYO106" s="108"/>
      <c r="NYP106" s="108"/>
      <c r="NYQ106" s="108"/>
      <c r="NYR106" s="108"/>
      <c r="NYS106" s="108"/>
      <c r="NYT106" s="108"/>
      <c r="NYU106" s="108"/>
      <c r="NYV106" s="108"/>
      <c r="NYW106" s="108"/>
      <c r="NYX106" s="108"/>
      <c r="NYY106" s="108"/>
      <c r="NYZ106" s="108"/>
      <c r="NZA106" s="108"/>
      <c r="NZB106" s="108"/>
      <c r="NZC106" s="108"/>
      <c r="NZD106" s="108"/>
      <c r="NZE106" s="108"/>
      <c r="NZF106" s="108"/>
      <c r="NZG106" s="108"/>
      <c r="NZH106" s="108"/>
      <c r="NZI106" s="108"/>
      <c r="NZJ106" s="108"/>
      <c r="NZK106" s="108"/>
      <c r="NZL106" s="108"/>
      <c r="NZM106" s="108"/>
      <c r="NZN106" s="108"/>
      <c r="NZO106" s="108"/>
      <c r="NZP106" s="108"/>
      <c r="NZQ106" s="108"/>
      <c r="NZR106" s="108"/>
      <c r="NZS106" s="108"/>
      <c r="NZT106" s="108"/>
      <c r="NZU106" s="108"/>
      <c r="NZV106" s="108"/>
      <c r="NZW106" s="108"/>
      <c r="NZX106" s="108"/>
      <c r="NZY106" s="108"/>
      <c r="NZZ106" s="108"/>
      <c r="OAA106" s="108"/>
      <c r="OAB106" s="108"/>
      <c r="OAC106" s="108"/>
      <c r="OAD106" s="108"/>
      <c r="OAE106" s="108"/>
      <c r="OAF106" s="108"/>
      <c r="OAG106" s="108"/>
      <c r="OAH106" s="108"/>
      <c r="OAI106" s="108"/>
      <c r="OAJ106" s="108"/>
      <c r="OAK106" s="108"/>
      <c r="OAL106" s="108"/>
      <c r="OAM106" s="108"/>
      <c r="OAN106" s="108"/>
      <c r="OAO106" s="108"/>
      <c r="OAP106" s="108"/>
      <c r="OAQ106" s="108"/>
      <c r="OAR106" s="108"/>
      <c r="OAS106" s="108"/>
      <c r="OAT106" s="108"/>
      <c r="OAU106" s="108"/>
      <c r="OAV106" s="108"/>
      <c r="OAW106" s="108"/>
      <c r="OAX106" s="108"/>
      <c r="OAY106" s="108"/>
      <c r="OAZ106" s="108"/>
      <c r="OBA106" s="108"/>
      <c r="OBB106" s="108"/>
      <c r="OBC106" s="108"/>
      <c r="OBD106" s="108"/>
      <c r="OBE106" s="108"/>
      <c r="OBF106" s="108"/>
      <c r="OBG106" s="108"/>
      <c r="OBH106" s="108"/>
      <c r="OBI106" s="108"/>
      <c r="OBJ106" s="108"/>
      <c r="OBK106" s="108"/>
      <c r="OBL106" s="108"/>
      <c r="OBM106" s="108"/>
      <c r="OBN106" s="108"/>
      <c r="OBO106" s="108"/>
      <c r="OBP106" s="108"/>
      <c r="OBQ106" s="108"/>
      <c r="OBR106" s="108"/>
      <c r="OBS106" s="108"/>
      <c r="OBT106" s="108"/>
      <c r="OBU106" s="108"/>
      <c r="OBV106" s="108"/>
      <c r="OBW106" s="108"/>
      <c r="OBX106" s="108"/>
      <c r="OBY106" s="108"/>
      <c r="OBZ106" s="108"/>
      <c r="OCA106" s="108"/>
      <c r="OCB106" s="108"/>
      <c r="OCC106" s="108"/>
      <c r="OCD106" s="108"/>
      <c r="OCE106" s="108"/>
      <c r="OCF106" s="108"/>
      <c r="OCG106" s="108"/>
      <c r="OCH106" s="108"/>
      <c r="OCI106" s="108"/>
      <c r="OCJ106" s="108"/>
      <c r="OCK106" s="108"/>
      <c r="OCL106" s="108"/>
      <c r="OCM106" s="108"/>
      <c r="OCN106" s="108"/>
      <c r="OCO106" s="108"/>
      <c r="OCP106" s="108"/>
      <c r="OCQ106" s="108"/>
      <c r="OCR106" s="108"/>
      <c r="OCS106" s="108"/>
      <c r="OCT106" s="108"/>
      <c r="OCU106" s="108"/>
      <c r="OCV106" s="108"/>
      <c r="OCW106" s="108"/>
      <c r="OCX106" s="108"/>
      <c r="OCY106" s="108"/>
      <c r="OCZ106" s="108"/>
      <c r="ODA106" s="108"/>
      <c r="ODB106" s="108"/>
      <c r="ODC106" s="108"/>
      <c r="ODD106" s="108"/>
      <c r="ODE106" s="108"/>
      <c r="ODF106" s="108"/>
      <c r="ODG106" s="108"/>
      <c r="ODH106" s="108"/>
      <c r="ODI106" s="108"/>
      <c r="ODJ106" s="108"/>
      <c r="ODK106" s="108"/>
      <c r="ODL106" s="108"/>
      <c r="ODM106" s="108"/>
      <c r="ODN106" s="108"/>
      <c r="ODO106" s="108"/>
      <c r="ODP106" s="108"/>
      <c r="ODQ106" s="108"/>
      <c r="ODR106" s="108"/>
      <c r="ODS106" s="108"/>
      <c r="ODT106" s="108"/>
      <c r="ODU106" s="108"/>
      <c r="ODV106" s="108"/>
      <c r="ODW106" s="108"/>
      <c r="ODX106" s="108"/>
      <c r="ODY106" s="108"/>
      <c r="ODZ106" s="108"/>
      <c r="OEA106" s="108"/>
      <c r="OEB106" s="108"/>
      <c r="OEC106" s="108"/>
      <c r="OED106" s="108"/>
      <c r="OEE106" s="108"/>
      <c r="OEF106" s="108"/>
      <c r="OEG106" s="108"/>
      <c r="OEH106" s="108"/>
      <c r="OEI106" s="108"/>
      <c r="OEJ106" s="108"/>
      <c r="OEK106" s="108"/>
      <c r="OEL106" s="108"/>
      <c r="OEM106" s="108"/>
      <c r="OEN106" s="108"/>
      <c r="OEO106" s="108"/>
      <c r="OEP106" s="108"/>
      <c r="OEQ106" s="108"/>
      <c r="OER106" s="108"/>
      <c r="OES106" s="108"/>
      <c r="OET106" s="108"/>
      <c r="OEU106" s="108"/>
      <c r="OEV106" s="108"/>
      <c r="OEW106" s="108"/>
      <c r="OEX106" s="108"/>
      <c r="OEY106" s="108"/>
      <c r="OEZ106" s="108"/>
      <c r="OFA106" s="108"/>
      <c r="OFB106" s="108"/>
      <c r="OFC106" s="108"/>
      <c r="OFD106" s="108"/>
      <c r="OFE106" s="108"/>
      <c r="OFF106" s="108"/>
      <c r="OFG106" s="108"/>
      <c r="OFH106" s="108"/>
      <c r="OFI106" s="108"/>
      <c r="OFJ106" s="108"/>
      <c r="OFK106" s="108"/>
      <c r="OFL106" s="108"/>
      <c r="OFM106" s="108"/>
      <c r="OFN106" s="108"/>
      <c r="OFO106" s="108"/>
      <c r="OFP106" s="108"/>
      <c r="OFQ106" s="108"/>
      <c r="OFR106" s="108"/>
      <c r="OFS106" s="108"/>
      <c r="OFT106" s="108"/>
      <c r="OFU106" s="108"/>
      <c r="OFV106" s="108"/>
      <c r="OFW106" s="108"/>
      <c r="OFX106" s="108"/>
      <c r="OFY106" s="108"/>
      <c r="OFZ106" s="108"/>
      <c r="OGA106" s="108"/>
      <c r="OGB106" s="108"/>
      <c r="OGC106" s="108"/>
      <c r="OGD106" s="108"/>
      <c r="OGE106" s="108"/>
      <c r="OGF106" s="108"/>
      <c r="OGG106" s="108"/>
      <c r="OGH106" s="108"/>
      <c r="OGI106" s="108"/>
      <c r="OGJ106" s="108"/>
      <c r="OGK106" s="108"/>
      <c r="OGL106" s="108"/>
      <c r="OGM106" s="108"/>
      <c r="OGN106" s="108"/>
      <c r="OGO106" s="108"/>
      <c r="OGP106" s="108"/>
      <c r="OGQ106" s="108"/>
      <c r="OGR106" s="108"/>
      <c r="OGS106" s="108"/>
      <c r="OGT106" s="108"/>
      <c r="OGU106" s="108"/>
      <c r="OGV106" s="108"/>
      <c r="OGW106" s="108"/>
      <c r="OGX106" s="108"/>
      <c r="OGY106" s="108"/>
      <c r="OGZ106" s="108"/>
      <c r="OHA106" s="108"/>
      <c r="OHB106" s="108"/>
      <c r="OHC106" s="108"/>
      <c r="OHD106" s="108"/>
      <c r="OHE106" s="108"/>
      <c r="OHF106" s="108"/>
      <c r="OHG106" s="108"/>
      <c r="OHH106" s="108"/>
      <c r="OHI106" s="108"/>
      <c r="OHJ106" s="108"/>
      <c r="OHK106" s="108"/>
      <c r="OHL106" s="108"/>
      <c r="OHM106" s="108"/>
      <c r="OHN106" s="108"/>
      <c r="OHO106" s="108"/>
      <c r="OHP106" s="108"/>
      <c r="OHQ106" s="108"/>
      <c r="OHR106" s="108"/>
      <c r="OHS106" s="108"/>
      <c r="OHT106" s="108"/>
      <c r="OHU106" s="108"/>
      <c r="OHV106" s="108"/>
      <c r="OHW106" s="108"/>
      <c r="OHX106" s="108"/>
      <c r="OHY106" s="108"/>
      <c r="OHZ106" s="108"/>
      <c r="OIA106" s="108"/>
      <c r="OIB106" s="108"/>
      <c r="OIC106" s="108"/>
      <c r="OID106" s="108"/>
      <c r="OIE106" s="108"/>
      <c r="OIF106" s="108"/>
      <c r="OIG106" s="108"/>
      <c r="OIH106" s="108"/>
      <c r="OII106" s="108"/>
      <c r="OIJ106" s="108"/>
      <c r="OIK106" s="108"/>
      <c r="OIL106" s="108"/>
      <c r="OIM106" s="108"/>
      <c r="OIN106" s="108"/>
      <c r="OIO106" s="108"/>
      <c r="OIP106" s="108"/>
      <c r="OIQ106" s="108"/>
      <c r="OIR106" s="108"/>
      <c r="OIS106" s="108"/>
      <c r="OIT106" s="108"/>
      <c r="OIU106" s="108"/>
      <c r="OIV106" s="108"/>
      <c r="OIW106" s="108"/>
      <c r="OIX106" s="108"/>
      <c r="OIY106" s="108"/>
      <c r="OIZ106" s="108"/>
      <c r="OJA106" s="108"/>
      <c r="OJB106" s="108"/>
      <c r="OJC106" s="108"/>
      <c r="OJD106" s="108"/>
      <c r="OJE106" s="108"/>
      <c r="OJF106" s="108"/>
      <c r="OJG106" s="108"/>
      <c r="OJH106" s="108"/>
      <c r="OJI106" s="108"/>
      <c r="OJJ106" s="108"/>
      <c r="OJK106" s="108"/>
      <c r="OJL106" s="108"/>
      <c r="OJM106" s="108"/>
      <c r="OJN106" s="108"/>
      <c r="OJO106" s="108"/>
      <c r="OJP106" s="108"/>
      <c r="OJQ106" s="108"/>
      <c r="OJR106" s="108"/>
      <c r="OJS106" s="108"/>
      <c r="OJT106" s="108"/>
      <c r="OJU106" s="108"/>
      <c r="OJV106" s="108"/>
      <c r="OJW106" s="108"/>
      <c r="OJX106" s="108"/>
      <c r="OJY106" s="108"/>
      <c r="OJZ106" s="108"/>
      <c r="OKA106" s="108"/>
      <c r="OKB106" s="108"/>
      <c r="OKC106" s="108"/>
      <c r="OKD106" s="108"/>
      <c r="OKE106" s="108"/>
      <c r="OKF106" s="108"/>
      <c r="OKG106" s="108"/>
      <c r="OKH106" s="108"/>
      <c r="OKI106" s="108"/>
      <c r="OKJ106" s="108"/>
      <c r="OKK106" s="108"/>
      <c r="OKL106" s="108"/>
      <c r="OKM106" s="108"/>
      <c r="OKN106" s="108"/>
      <c r="OKO106" s="108"/>
      <c r="OKP106" s="108"/>
      <c r="OKQ106" s="108"/>
      <c r="OKR106" s="108"/>
      <c r="OKS106" s="108"/>
      <c r="OKT106" s="108"/>
      <c r="OKU106" s="108"/>
      <c r="OKV106" s="108"/>
      <c r="OKW106" s="108"/>
      <c r="OKX106" s="108"/>
      <c r="OKY106" s="108"/>
      <c r="OKZ106" s="108"/>
      <c r="OLA106" s="108"/>
      <c r="OLB106" s="108"/>
      <c r="OLC106" s="108"/>
      <c r="OLD106" s="108"/>
      <c r="OLE106" s="108"/>
      <c r="OLF106" s="108"/>
      <c r="OLG106" s="108"/>
      <c r="OLH106" s="108"/>
      <c r="OLI106" s="108"/>
      <c r="OLJ106" s="108"/>
      <c r="OLK106" s="108"/>
      <c r="OLL106" s="108"/>
      <c r="OLM106" s="108"/>
      <c r="OLN106" s="108"/>
      <c r="OLO106" s="108"/>
      <c r="OLP106" s="108"/>
      <c r="OLQ106" s="108"/>
      <c r="OLR106" s="108"/>
      <c r="OLS106" s="108"/>
      <c r="OLT106" s="108"/>
      <c r="OLU106" s="108"/>
      <c r="OLV106" s="108"/>
      <c r="OLW106" s="108"/>
      <c r="OLX106" s="108"/>
      <c r="OLY106" s="108"/>
      <c r="OLZ106" s="108"/>
      <c r="OMA106" s="108"/>
      <c r="OMB106" s="108"/>
      <c r="OMC106" s="108"/>
      <c r="OMD106" s="108"/>
      <c r="OME106" s="108"/>
      <c r="OMF106" s="108"/>
      <c r="OMG106" s="108"/>
      <c r="OMH106" s="108"/>
      <c r="OMI106" s="108"/>
      <c r="OMJ106" s="108"/>
      <c r="OMK106" s="108"/>
      <c r="OML106" s="108"/>
      <c r="OMM106" s="108"/>
      <c r="OMN106" s="108"/>
      <c r="OMO106" s="108"/>
      <c r="OMP106" s="108"/>
      <c r="OMQ106" s="108"/>
      <c r="OMR106" s="108"/>
      <c r="OMS106" s="108"/>
      <c r="OMT106" s="108"/>
      <c r="OMU106" s="108"/>
      <c r="OMV106" s="108"/>
      <c r="OMW106" s="108"/>
      <c r="OMX106" s="108"/>
      <c r="OMY106" s="108"/>
      <c r="OMZ106" s="108"/>
      <c r="ONA106" s="108"/>
      <c r="ONB106" s="108"/>
      <c r="ONC106" s="108"/>
      <c r="OND106" s="108"/>
      <c r="ONE106" s="108"/>
      <c r="ONF106" s="108"/>
      <c r="ONG106" s="108"/>
      <c r="ONH106" s="108"/>
      <c r="ONI106" s="108"/>
      <c r="ONJ106" s="108"/>
      <c r="ONK106" s="108"/>
      <c r="ONL106" s="108"/>
      <c r="ONM106" s="108"/>
      <c r="ONN106" s="108"/>
      <c r="ONO106" s="108"/>
      <c r="ONP106" s="108"/>
      <c r="ONQ106" s="108"/>
      <c r="ONR106" s="108"/>
      <c r="ONS106" s="108"/>
      <c r="ONT106" s="108"/>
      <c r="ONU106" s="108"/>
      <c r="ONV106" s="108"/>
      <c r="ONW106" s="108"/>
      <c r="ONX106" s="108"/>
      <c r="ONY106" s="108"/>
      <c r="ONZ106" s="108"/>
      <c r="OOA106" s="108"/>
      <c r="OOB106" s="108"/>
      <c r="OOC106" s="108"/>
      <c r="OOD106" s="108"/>
      <c r="OOE106" s="108"/>
      <c r="OOF106" s="108"/>
      <c r="OOG106" s="108"/>
      <c r="OOH106" s="108"/>
      <c r="OOI106" s="108"/>
      <c r="OOJ106" s="108"/>
      <c r="OOK106" s="108"/>
      <c r="OOL106" s="108"/>
      <c r="OOM106" s="108"/>
      <c r="OON106" s="108"/>
      <c r="OOO106" s="108"/>
      <c r="OOP106" s="108"/>
      <c r="OOQ106" s="108"/>
      <c r="OOR106" s="108"/>
      <c r="OOS106" s="108"/>
      <c r="OOT106" s="108"/>
      <c r="OOU106" s="108"/>
      <c r="OOV106" s="108"/>
      <c r="OOW106" s="108"/>
      <c r="OOX106" s="108"/>
      <c r="OOY106" s="108"/>
      <c r="OOZ106" s="108"/>
      <c r="OPA106" s="108"/>
      <c r="OPB106" s="108"/>
      <c r="OPC106" s="108"/>
      <c r="OPD106" s="108"/>
      <c r="OPE106" s="108"/>
      <c r="OPF106" s="108"/>
      <c r="OPG106" s="108"/>
      <c r="OPH106" s="108"/>
      <c r="OPI106" s="108"/>
      <c r="OPJ106" s="108"/>
      <c r="OPK106" s="108"/>
      <c r="OPL106" s="108"/>
      <c r="OPM106" s="108"/>
      <c r="OPN106" s="108"/>
      <c r="OPO106" s="108"/>
      <c r="OPP106" s="108"/>
      <c r="OPQ106" s="108"/>
      <c r="OPR106" s="108"/>
      <c r="OPS106" s="108"/>
      <c r="OPT106" s="108"/>
      <c r="OPU106" s="108"/>
      <c r="OPV106" s="108"/>
      <c r="OPW106" s="108"/>
      <c r="OPX106" s="108"/>
      <c r="OPY106" s="108"/>
      <c r="OPZ106" s="108"/>
      <c r="OQA106" s="108"/>
      <c r="OQB106" s="108"/>
      <c r="OQC106" s="108"/>
      <c r="OQD106" s="108"/>
      <c r="OQE106" s="108"/>
      <c r="OQF106" s="108"/>
      <c r="OQG106" s="108"/>
      <c r="OQH106" s="108"/>
      <c r="OQI106" s="108"/>
      <c r="OQJ106" s="108"/>
      <c r="OQK106" s="108"/>
      <c r="OQL106" s="108"/>
      <c r="OQM106" s="108"/>
      <c r="OQN106" s="108"/>
      <c r="OQO106" s="108"/>
      <c r="OQP106" s="108"/>
      <c r="OQQ106" s="108"/>
      <c r="OQR106" s="108"/>
      <c r="OQS106" s="108"/>
      <c r="OQT106" s="108"/>
      <c r="OQU106" s="108"/>
      <c r="OQV106" s="108"/>
      <c r="OQW106" s="108"/>
      <c r="OQX106" s="108"/>
      <c r="OQY106" s="108"/>
      <c r="OQZ106" s="108"/>
      <c r="ORA106" s="108"/>
      <c r="ORB106" s="108"/>
      <c r="ORC106" s="108"/>
      <c r="ORD106" s="108"/>
      <c r="ORE106" s="108"/>
      <c r="ORF106" s="108"/>
      <c r="ORG106" s="108"/>
      <c r="ORH106" s="108"/>
      <c r="ORI106" s="108"/>
      <c r="ORJ106" s="108"/>
      <c r="ORK106" s="108"/>
      <c r="ORL106" s="108"/>
      <c r="ORM106" s="108"/>
      <c r="ORN106" s="108"/>
      <c r="ORO106" s="108"/>
      <c r="ORP106" s="108"/>
      <c r="ORQ106" s="108"/>
      <c r="ORR106" s="108"/>
      <c r="ORS106" s="108"/>
      <c r="ORT106" s="108"/>
      <c r="ORU106" s="108"/>
      <c r="ORV106" s="108"/>
      <c r="ORW106" s="108"/>
      <c r="ORX106" s="108"/>
      <c r="ORY106" s="108"/>
      <c r="ORZ106" s="108"/>
      <c r="OSA106" s="108"/>
      <c r="OSB106" s="108"/>
      <c r="OSC106" s="108"/>
      <c r="OSD106" s="108"/>
      <c r="OSE106" s="108"/>
      <c r="OSF106" s="108"/>
      <c r="OSG106" s="108"/>
      <c r="OSH106" s="108"/>
      <c r="OSI106" s="108"/>
      <c r="OSJ106" s="108"/>
      <c r="OSK106" s="108"/>
      <c r="OSL106" s="108"/>
      <c r="OSM106" s="108"/>
      <c r="OSN106" s="108"/>
      <c r="OSO106" s="108"/>
      <c r="OSP106" s="108"/>
      <c r="OSQ106" s="108"/>
      <c r="OSR106" s="108"/>
      <c r="OSS106" s="108"/>
      <c r="OST106" s="108"/>
      <c r="OSU106" s="108"/>
      <c r="OSV106" s="108"/>
      <c r="OSW106" s="108"/>
      <c r="OSX106" s="108"/>
      <c r="OSY106" s="108"/>
      <c r="OSZ106" s="108"/>
      <c r="OTA106" s="108"/>
      <c r="OTB106" s="108"/>
      <c r="OTC106" s="108"/>
      <c r="OTD106" s="108"/>
      <c r="OTE106" s="108"/>
      <c r="OTF106" s="108"/>
      <c r="OTG106" s="108"/>
      <c r="OTH106" s="108"/>
      <c r="OTI106" s="108"/>
      <c r="OTJ106" s="108"/>
      <c r="OTK106" s="108"/>
      <c r="OTL106" s="108"/>
      <c r="OTM106" s="108"/>
      <c r="OTN106" s="108"/>
      <c r="OTO106" s="108"/>
      <c r="OTP106" s="108"/>
      <c r="OTQ106" s="108"/>
      <c r="OTR106" s="108"/>
      <c r="OTS106" s="108"/>
      <c r="OTT106" s="108"/>
      <c r="OTU106" s="108"/>
      <c r="OTV106" s="108"/>
      <c r="OTW106" s="108"/>
      <c r="OTX106" s="108"/>
      <c r="OTY106" s="108"/>
      <c r="OTZ106" s="108"/>
      <c r="OUA106" s="108"/>
      <c r="OUB106" s="108"/>
      <c r="OUC106" s="108"/>
      <c r="OUD106" s="108"/>
      <c r="OUE106" s="108"/>
      <c r="OUF106" s="108"/>
      <c r="OUG106" s="108"/>
      <c r="OUH106" s="108"/>
      <c r="OUI106" s="108"/>
      <c r="OUJ106" s="108"/>
      <c r="OUK106" s="108"/>
      <c r="OUL106" s="108"/>
      <c r="OUM106" s="108"/>
      <c r="OUN106" s="108"/>
      <c r="OUO106" s="108"/>
      <c r="OUP106" s="108"/>
      <c r="OUQ106" s="108"/>
      <c r="OUR106" s="108"/>
      <c r="OUS106" s="108"/>
      <c r="OUT106" s="108"/>
      <c r="OUU106" s="108"/>
      <c r="OUV106" s="108"/>
      <c r="OUW106" s="108"/>
      <c r="OUX106" s="108"/>
      <c r="OUY106" s="108"/>
      <c r="OUZ106" s="108"/>
      <c r="OVA106" s="108"/>
      <c r="OVB106" s="108"/>
      <c r="OVC106" s="108"/>
      <c r="OVD106" s="108"/>
      <c r="OVE106" s="108"/>
      <c r="OVF106" s="108"/>
      <c r="OVG106" s="108"/>
      <c r="OVH106" s="108"/>
      <c r="OVI106" s="108"/>
      <c r="OVJ106" s="108"/>
      <c r="OVK106" s="108"/>
      <c r="OVL106" s="108"/>
      <c r="OVM106" s="108"/>
      <c r="OVN106" s="108"/>
      <c r="OVO106" s="108"/>
      <c r="OVP106" s="108"/>
      <c r="OVQ106" s="108"/>
      <c r="OVR106" s="108"/>
      <c r="OVS106" s="108"/>
      <c r="OVT106" s="108"/>
      <c r="OVU106" s="108"/>
      <c r="OVV106" s="108"/>
      <c r="OVW106" s="108"/>
      <c r="OVX106" s="108"/>
      <c r="OVY106" s="108"/>
      <c r="OVZ106" s="108"/>
      <c r="OWA106" s="108"/>
      <c r="OWB106" s="108"/>
      <c r="OWC106" s="108"/>
      <c r="OWD106" s="108"/>
      <c r="OWE106" s="108"/>
      <c r="OWF106" s="108"/>
      <c r="OWG106" s="108"/>
      <c r="OWH106" s="108"/>
      <c r="OWI106" s="108"/>
      <c r="OWJ106" s="108"/>
      <c r="OWK106" s="108"/>
      <c r="OWL106" s="108"/>
      <c r="OWM106" s="108"/>
      <c r="OWN106" s="108"/>
      <c r="OWO106" s="108"/>
      <c r="OWP106" s="108"/>
      <c r="OWQ106" s="108"/>
      <c r="OWR106" s="108"/>
      <c r="OWS106" s="108"/>
      <c r="OWT106" s="108"/>
      <c r="OWU106" s="108"/>
      <c r="OWV106" s="108"/>
      <c r="OWW106" s="108"/>
      <c r="OWX106" s="108"/>
      <c r="OWY106" s="108"/>
      <c r="OWZ106" s="108"/>
      <c r="OXA106" s="108"/>
      <c r="OXB106" s="108"/>
      <c r="OXC106" s="108"/>
      <c r="OXD106" s="108"/>
      <c r="OXE106" s="108"/>
      <c r="OXF106" s="108"/>
      <c r="OXG106" s="108"/>
      <c r="OXH106" s="108"/>
      <c r="OXI106" s="108"/>
      <c r="OXJ106" s="108"/>
      <c r="OXK106" s="108"/>
      <c r="OXL106" s="108"/>
      <c r="OXM106" s="108"/>
      <c r="OXN106" s="108"/>
      <c r="OXO106" s="108"/>
      <c r="OXP106" s="108"/>
      <c r="OXQ106" s="108"/>
      <c r="OXR106" s="108"/>
      <c r="OXS106" s="108"/>
      <c r="OXT106" s="108"/>
      <c r="OXU106" s="108"/>
      <c r="OXV106" s="108"/>
      <c r="OXW106" s="108"/>
      <c r="OXX106" s="108"/>
      <c r="OXY106" s="108"/>
      <c r="OXZ106" s="108"/>
      <c r="OYA106" s="108"/>
      <c r="OYB106" s="108"/>
      <c r="OYC106" s="108"/>
      <c r="OYD106" s="108"/>
      <c r="OYE106" s="108"/>
      <c r="OYF106" s="108"/>
      <c r="OYG106" s="108"/>
      <c r="OYH106" s="108"/>
      <c r="OYI106" s="108"/>
      <c r="OYJ106" s="108"/>
      <c r="OYK106" s="108"/>
      <c r="OYL106" s="108"/>
      <c r="OYM106" s="108"/>
      <c r="OYN106" s="108"/>
      <c r="OYO106" s="108"/>
      <c r="OYP106" s="108"/>
      <c r="OYQ106" s="108"/>
      <c r="OYR106" s="108"/>
      <c r="OYS106" s="108"/>
      <c r="OYT106" s="108"/>
      <c r="OYU106" s="108"/>
      <c r="OYV106" s="108"/>
      <c r="OYW106" s="108"/>
      <c r="OYX106" s="108"/>
      <c r="OYY106" s="108"/>
      <c r="OYZ106" s="108"/>
      <c r="OZA106" s="108"/>
      <c r="OZB106" s="108"/>
      <c r="OZC106" s="108"/>
      <c r="OZD106" s="108"/>
      <c r="OZE106" s="108"/>
      <c r="OZF106" s="108"/>
      <c r="OZG106" s="108"/>
      <c r="OZH106" s="108"/>
      <c r="OZI106" s="108"/>
      <c r="OZJ106" s="108"/>
      <c r="OZK106" s="108"/>
      <c r="OZL106" s="108"/>
      <c r="OZM106" s="108"/>
      <c r="OZN106" s="108"/>
      <c r="OZO106" s="108"/>
      <c r="OZP106" s="108"/>
      <c r="OZQ106" s="108"/>
      <c r="OZR106" s="108"/>
      <c r="OZS106" s="108"/>
      <c r="OZT106" s="108"/>
      <c r="OZU106" s="108"/>
      <c r="OZV106" s="108"/>
      <c r="OZW106" s="108"/>
      <c r="OZX106" s="108"/>
      <c r="OZY106" s="108"/>
      <c r="OZZ106" s="108"/>
      <c r="PAA106" s="108"/>
      <c r="PAB106" s="108"/>
      <c r="PAC106" s="108"/>
      <c r="PAD106" s="108"/>
      <c r="PAE106" s="108"/>
      <c r="PAF106" s="108"/>
      <c r="PAG106" s="108"/>
      <c r="PAH106" s="108"/>
      <c r="PAI106" s="108"/>
      <c r="PAJ106" s="108"/>
      <c r="PAK106" s="108"/>
      <c r="PAL106" s="108"/>
      <c r="PAM106" s="108"/>
      <c r="PAN106" s="108"/>
      <c r="PAO106" s="108"/>
      <c r="PAP106" s="108"/>
      <c r="PAQ106" s="108"/>
      <c r="PAR106" s="108"/>
      <c r="PAS106" s="108"/>
      <c r="PAT106" s="108"/>
      <c r="PAU106" s="108"/>
      <c r="PAV106" s="108"/>
      <c r="PAW106" s="108"/>
      <c r="PAX106" s="108"/>
      <c r="PAY106" s="108"/>
      <c r="PAZ106" s="108"/>
      <c r="PBA106" s="108"/>
      <c r="PBB106" s="108"/>
      <c r="PBC106" s="108"/>
      <c r="PBD106" s="108"/>
      <c r="PBE106" s="108"/>
      <c r="PBF106" s="108"/>
      <c r="PBG106" s="108"/>
      <c r="PBH106" s="108"/>
      <c r="PBI106" s="108"/>
      <c r="PBJ106" s="108"/>
      <c r="PBK106" s="108"/>
      <c r="PBL106" s="108"/>
      <c r="PBM106" s="108"/>
      <c r="PBN106" s="108"/>
      <c r="PBO106" s="108"/>
      <c r="PBP106" s="108"/>
      <c r="PBQ106" s="108"/>
      <c r="PBR106" s="108"/>
      <c r="PBS106" s="108"/>
      <c r="PBT106" s="108"/>
      <c r="PBU106" s="108"/>
      <c r="PBV106" s="108"/>
      <c r="PBW106" s="108"/>
      <c r="PBX106" s="108"/>
      <c r="PBY106" s="108"/>
      <c r="PBZ106" s="108"/>
      <c r="PCA106" s="108"/>
      <c r="PCB106" s="108"/>
      <c r="PCC106" s="108"/>
      <c r="PCD106" s="108"/>
      <c r="PCE106" s="108"/>
      <c r="PCF106" s="108"/>
      <c r="PCG106" s="108"/>
      <c r="PCH106" s="108"/>
      <c r="PCI106" s="108"/>
      <c r="PCJ106" s="108"/>
      <c r="PCK106" s="108"/>
      <c r="PCL106" s="108"/>
      <c r="PCM106" s="108"/>
      <c r="PCN106" s="108"/>
      <c r="PCO106" s="108"/>
      <c r="PCP106" s="108"/>
      <c r="PCQ106" s="108"/>
      <c r="PCR106" s="108"/>
      <c r="PCS106" s="108"/>
      <c r="PCT106" s="108"/>
      <c r="PCU106" s="108"/>
      <c r="PCV106" s="108"/>
      <c r="PCW106" s="108"/>
      <c r="PCX106" s="108"/>
      <c r="PCY106" s="108"/>
      <c r="PCZ106" s="108"/>
      <c r="PDA106" s="108"/>
      <c r="PDB106" s="108"/>
      <c r="PDC106" s="108"/>
      <c r="PDD106" s="108"/>
      <c r="PDE106" s="108"/>
      <c r="PDF106" s="108"/>
      <c r="PDG106" s="108"/>
      <c r="PDH106" s="108"/>
      <c r="PDI106" s="108"/>
      <c r="PDJ106" s="108"/>
      <c r="PDK106" s="108"/>
      <c r="PDL106" s="108"/>
      <c r="PDM106" s="108"/>
      <c r="PDN106" s="108"/>
      <c r="PDO106" s="108"/>
      <c r="PDP106" s="108"/>
      <c r="PDQ106" s="108"/>
      <c r="PDR106" s="108"/>
      <c r="PDS106" s="108"/>
      <c r="PDT106" s="108"/>
      <c r="PDU106" s="108"/>
      <c r="PDV106" s="108"/>
      <c r="PDW106" s="108"/>
      <c r="PDX106" s="108"/>
      <c r="PDY106" s="108"/>
      <c r="PDZ106" s="108"/>
      <c r="PEA106" s="108"/>
      <c r="PEB106" s="108"/>
      <c r="PEC106" s="108"/>
      <c r="PED106" s="108"/>
      <c r="PEE106" s="108"/>
      <c r="PEF106" s="108"/>
      <c r="PEG106" s="108"/>
      <c r="PEH106" s="108"/>
      <c r="PEI106" s="108"/>
      <c r="PEJ106" s="108"/>
      <c r="PEK106" s="108"/>
      <c r="PEL106" s="108"/>
      <c r="PEM106" s="108"/>
      <c r="PEN106" s="108"/>
      <c r="PEO106" s="108"/>
      <c r="PEP106" s="108"/>
      <c r="PEQ106" s="108"/>
      <c r="PER106" s="108"/>
      <c r="PES106" s="108"/>
      <c r="PET106" s="108"/>
      <c r="PEU106" s="108"/>
      <c r="PEV106" s="108"/>
      <c r="PEW106" s="108"/>
      <c r="PEX106" s="108"/>
      <c r="PEY106" s="108"/>
      <c r="PEZ106" s="108"/>
      <c r="PFA106" s="108"/>
      <c r="PFB106" s="108"/>
      <c r="PFC106" s="108"/>
      <c r="PFD106" s="108"/>
      <c r="PFE106" s="108"/>
      <c r="PFF106" s="108"/>
      <c r="PFG106" s="108"/>
      <c r="PFH106" s="108"/>
      <c r="PFI106" s="108"/>
      <c r="PFJ106" s="108"/>
      <c r="PFK106" s="108"/>
      <c r="PFL106" s="108"/>
      <c r="PFM106" s="108"/>
      <c r="PFN106" s="108"/>
      <c r="PFO106" s="108"/>
      <c r="PFP106" s="108"/>
      <c r="PFQ106" s="108"/>
      <c r="PFR106" s="108"/>
      <c r="PFS106" s="108"/>
      <c r="PFT106" s="108"/>
      <c r="PFU106" s="108"/>
      <c r="PFV106" s="108"/>
      <c r="PFW106" s="108"/>
      <c r="PFX106" s="108"/>
      <c r="PFY106" s="108"/>
      <c r="PFZ106" s="108"/>
      <c r="PGA106" s="108"/>
      <c r="PGB106" s="108"/>
      <c r="PGC106" s="108"/>
      <c r="PGD106" s="108"/>
      <c r="PGE106" s="108"/>
      <c r="PGF106" s="108"/>
      <c r="PGG106" s="108"/>
      <c r="PGH106" s="108"/>
      <c r="PGI106" s="108"/>
      <c r="PGJ106" s="108"/>
      <c r="PGK106" s="108"/>
      <c r="PGL106" s="108"/>
      <c r="PGM106" s="108"/>
      <c r="PGN106" s="108"/>
      <c r="PGO106" s="108"/>
      <c r="PGP106" s="108"/>
      <c r="PGQ106" s="108"/>
      <c r="PGR106" s="108"/>
      <c r="PGS106" s="108"/>
      <c r="PGT106" s="108"/>
      <c r="PGU106" s="108"/>
      <c r="PGV106" s="108"/>
      <c r="PGW106" s="108"/>
      <c r="PGX106" s="108"/>
      <c r="PGY106" s="108"/>
      <c r="PGZ106" s="108"/>
      <c r="PHA106" s="108"/>
      <c r="PHB106" s="108"/>
      <c r="PHC106" s="108"/>
      <c r="PHD106" s="108"/>
      <c r="PHE106" s="108"/>
      <c r="PHF106" s="108"/>
      <c r="PHG106" s="108"/>
      <c r="PHH106" s="108"/>
      <c r="PHI106" s="108"/>
      <c r="PHJ106" s="108"/>
      <c r="PHK106" s="108"/>
      <c r="PHL106" s="108"/>
      <c r="PHM106" s="108"/>
      <c r="PHN106" s="108"/>
      <c r="PHO106" s="108"/>
      <c r="PHP106" s="108"/>
      <c r="PHQ106" s="108"/>
      <c r="PHR106" s="108"/>
      <c r="PHS106" s="108"/>
      <c r="PHT106" s="108"/>
      <c r="PHU106" s="108"/>
      <c r="PHV106" s="108"/>
      <c r="PHW106" s="108"/>
      <c r="PHX106" s="108"/>
      <c r="PHY106" s="108"/>
      <c r="PHZ106" s="108"/>
      <c r="PIA106" s="108"/>
      <c r="PIB106" s="108"/>
      <c r="PIC106" s="108"/>
      <c r="PID106" s="108"/>
      <c r="PIE106" s="108"/>
      <c r="PIF106" s="108"/>
      <c r="PIG106" s="108"/>
      <c r="PIH106" s="108"/>
      <c r="PII106" s="108"/>
      <c r="PIJ106" s="108"/>
      <c r="PIK106" s="108"/>
      <c r="PIL106" s="108"/>
      <c r="PIM106" s="108"/>
      <c r="PIN106" s="108"/>
      <c r="PIO106" s="108"/>
      <c r="PIP106" s="108"/>
      <c r="PIQ106" s="108"/>
      <c r="PIR106" s="108"/>
      <c r="PIS106" s="108"/>
      <c r="PIT106" s="108"/>
      <c r="PIU106" s="108"/>
      <c r="PIV106" s="108"/>
      <c r="PIW106" s="108"/>
      <c r="PIX106" s="108"/>
      <c r="PIY106" s="108"/>
      <c r="PIZ106" s="108"/>
      <c r="PJA106" s="108"/>
      <c r="PJB106" s="108"/>
      <c r="PJC106" s="108"/>
      <c r="PJD106" s="108"/>
      <c r="PJE106" s="108"/>
      <c r="PJF106" s="108"/>
      <c r="PJG106" s="108"/>
      <c r="PJH106" s="108"/>
      <c r="PJI106" s="108"/>
      <c r="PJJ106" s="108"/>
      <c r="PJK106" s="108"/>
      <c r="PJL106" s="108"/>
      <c r="PJM106" s="108"/>
      <c r="PJN106" s="108"/>
      <c r="PJO106" s="108"/>
      <c r="PJP106" s="108"/>
      <c r="PJQ106" s="108"/>
      <c r="PJR106" s="108"/>
      <c r="PJS106" s="108"/>
      <c r="PJT106" s="108"/>
      <c r="PJU106" s="108"/>
      <c r="PJV106" s="108"/>
      <c r="PJW106" s="108"/>
      <c r="PJX106" s="108"/>
      <c r="PJY106" s="108"/>
      <c r="PJZ106" s="108"/>
      <c r="PKA106" s="108"/>
      <c r="PKB106" s="108"/>
      <c r="PKC106" s="108"/>
      <c r="PKD106" s="108"/>
      <c r="PKE106" s="108"/>
      <c r="PKF106" s="108"/>
      <c r="PKG106" s="108"/>
      <c r="PKH106" s="108"/>
      <c r="PKI106" s="108"/>
      <c r="PKJ106" s="108"/>
      <c r="PKK106" s="108"/>
      <c r="PKL106" s="108"/>
      <c r="PKM106" s="108"/>
      <c r="PKN106" s="108"/>
      <c r="PKO106" s="108"/>
      <c r="PKP106" s="108"/>
      <c r="PKQ106" s="108"/>
      <c r="PKR106" s="108"/>
      <c r="PKS106" s="108"/>
      <c r="PKT106" s="108"/>
      <c r="PKU106" s="108"/>
      <c r="PKV106" s="108"/>
      <c r="PKW106" s="108"/>
      <c r="PKX106" s="108"/>
      <c r="PKY106" s="108"/>
      <c r="PKZ106" s="108"/>
      <c r="PLA106" s="108"/>
      <c r="PLB106" s="108"/>
      <c r="PLC106" s="108"/>
      <c r="PLD106" s="108"/>
      <c r="PLE106" s="108"/>
      <c r="PLF106" s="108"/>
      <c r="PLG106" s="108"/>
      <c r="PLH106" s="108"/>
      <c r="PLI106" s="108"/>
      <c r="PLJ106" s="108"/>
      <c r="PLK106" s="108"/>
      <c r="PLL106" s="108"/>
      <c r="PLM106" s="108"/>
      <c r="PLN106" s="108"/>
      <c r="PLO106" s="108"/>
      <c r="PLP106" s="108"/>
      <c r="PLQ106" s="108"/>
      <c r="PLR106" s="108"/>
      <c r="PLS106" s="108"/>
      <c r="PLT106" s="108"/>
      <c r="PLU106" s="108"/>
      <c r="PLV106" s="108"/>
      <c r="PLW106" s="108"/>
      <c r="PLX106" s="108"/>
      <c r="PLY106" s="108"/>
      <c r="PLZ106" s="108"/>
      <c r="PMA106" s="108"/>
      <c r="PMB106" s="108"/>
      <c r="PMC106" s="108"/>
      <c r="PMD106" s="108"/>
      <c r="PME106" s="108"/>
      <c r="PMF106" s="108"/>
      <c r="PMG106" s="108"/>
      <c r="PMH106" s="108"/>
      <c r="PMI106" s="108"/>
      <c r="PMJ106" s="108"/>
      <c r="PMK106" s="108"/>
      <c r="PML106" s="108"/>
      <c r="PMM106" s="108"/>
      <c r="PMN106" s="108"/>
      <c r="PMO106" s="108"/>
      <c r="PMP106" s="108"/>
      <c r="PMQ106" s="108"/>
      <c r="PMR106" s="108"/>
      <c r="PMS106" s="108"/>
      <c r="PMT106" s="108"/>
      <c r="PMU106" s="108"/>
      <c r="PMV106" s="108"/>
      <c r="PMW106" s="108"/>
      <c r="PMX106" s="108"/>
      <c r="PMY106" s="108"/>
      <c r="PMZ106" s="108"/>
      <c r="PNA106" s="108"/>
      <c r="PNB106" s="108"/>
      <c r="PNC106" s="108"/>
      <c r="PND106" s="108"/>
      <c r="PNE106" s="108"/>
      <c r="PNF106" s="108"/>
      <c r="PNG106" s="108"/>
      <c r="PNH106" s="108"/>
      <c r="PNI106" s="108"/>
      <c r="PNJ106" s="108"/>
      <c r="PNK106" s="108"/>
      <c r="PNL106" s="108"/>
      <c r="PNM106" s="108"/>
      <c r="PNN106" s="108"/>
      <c r="PNO106" s="108"/>
      <c r="PNP106" s="108"/>
      <c r="PNQ106" s="108"/>
      <c r="PNR106" s="108"/>
      <c r="PNS106" s="108"/>
      <c r="PNT106" s="108"/>
      <c r="PNU106" s="108"/>
      <c r="PNV106" s="108"/>
      <c r="PNW106" s="108"/>
      <c r="PNX106" s="108"/>
      <c r="PNY106" s="108"/>
      <c r="PNZ106" s="108"/>
      <c r="POA106" s="108"/>
      <c r="POB106" s="108"/>
      <c r="POC106" s="108"/>
      <c r="POD106" s="108"/>
      <c r="POE106" s="108"/>
      <c r="POF106" s="108"/>
      <c r="POG106" s="108"/>
      <c r="POH106" s="108"/>
      <c r="POI106" s="108"/>
      <c r="POJ106" s="108"/>
      <c r="POK106" s="108"/>
      <c r="POL106" s="108"/>
      <c r="POM106" s="108"/>
      <c r="PON106" s="108"/>
      <c r="POO106" s="108"/>
      <c r="POP106" s="108"/>
      <c r="POQ106" s="108"/>
      <c r="POR106" s="108"/>
      <c r="POS106" s="108"/>
      <c r="POT106" s="108"/>
      <c r="POU106" s="108"/>
      <c r="POV106" s="108"/>
      <c r="POW106" s="108"/>
      <c r="POX106" s="108"/>
      <c r="POY106" s="108"/>
      <c r="POZ106" s="108"/>
      <c r="PPA106" s="108"/>
      <c r="PPB106" s="108"/>
      <c r="PPC106" s="108"/>
      <c r="PPD106" s="108"/>
      <c r="PPE106" s="108"/>
      <c r="PPF106" s="108"/>
      <c r="PPG106" s="108"/>
      <c r="PPH106" s="108"/>
      <c r="PPI106" s="108"/>
      <c r="PPJ106" s="108"/>
      <c r="PPK106" s="108"/>
      <c r="PPL106" s="108"/>
      <c r="PPM106" s="108"/>
      <c r="PPN106" s="108"/>
      <c r="PPO106" s="108"/>
      <c r="PPP106" s="108"/>
      <c r="PPQ106" s="108"/>
      <c r="PPR106" s="108"/>
      <c r="PPS106" s="108"/>
      <c r="PPT106" s="108"/>
      <c r="PPU106" s="108"/>
      <c r="PPV106" s="108"/>
      <c r="PPW106" s="108"/>
      <c r="PPX106" s="108"/>
      <c r="PPY106" s="108"/>
      <c r="PPZ106" s="108"/>
      <c r="PQA106" s="108"/>
      <c r="PQB106" s="108"/>
      <c r="PQC106" s="108"/>
      <c r="PQD106" s="108"/>
      <c r="PQE106" s="108"/>
      <c r="PQF106" s="108"/>
      <c r="PQG106" s="108"/>
      <c r="PQH106" s="108"/>
      <c r="PQI106" s="108"/>
      <c r="PQJ106" s="108"/>
      <c r="PQK106" s="108"/>
      <c r="PQL106" s="108"/>
      <c r="PQM106" s="108"/>
      <c r="PQN106" s="108"/>
      <c r="PQO106" s="108"/>
      <c r="PQP106" s="108"/>
      <c r="PQQ106" s="108"/>
      <c r="PQR106" s="108"/>
      <c r="PQS106" s="108"/>
      <c r="PQT106" s="108"/>
      <c r="PQU106" s="108"/>
      <c r="PQV106" s="108"/>
      <c r="PQW106" s="108"/>
      <c r="PQX106" s="108"/>
      <c r="PQY106" s="108"/>
      <c r="PQZ106" s="108"/>
      <c r="PRA106" s="108"/>
      <c r="PRB106" s="108"/>
      <c r="PRC106" s="108"/>
      <c r="PRD106" s="108"/>
      <c r="PRE106" s="108"/>
      <c r="PRF106" s="108"/>
      <c r="PRG106" s="108"/>
      <c r="PRH106" s="108"/>
      <c r="PRI106" s="108"/>
      <c r="PRJ106" s="108"/>
      <c r="PRK106" s="108"/>
      <c r="PRL106" s="108"/>
      <c r="PRM106" s="108"/>
      <c r="PRN106" s="108"/>
      <c r="PRO106" s="108"/>
      <c r="PRP106" s="108"/>
      <c r="PRQ106" s="108"/>
      <c r="PRR106" s="108"/>
      <c r="PRS106" s="108"/>
      <c r="PRT106" s="108"/>
      <c r="PRU106" s="108"/>
      <c r="PRV106" s="108"/>
      <c r="PRW106" s="108"/>
      <c r="PRX106" s="108"/>
      <c r="PRY106" s="108"/>
      <c r="PRZ106" s="108"/>
      <c r="PSA106" s="108"/>
      <c r="PSB106" s="108"/>
      <c r="PSC106" s="108"/>
      <c r="PSD106" s="108"/>
      <c r="PSE106" s="108"/>
      <c r="PSF106" s="108"/>
      <c r="PSG106" s="108"/>
      <c r="PSH106" s="108"/>
      <c r="PSI106" s="108"/>
      <c r="PSJ106" s="108"/>
      <c r="PSK106" s="108"/>
      <c r="PSL106" s="108"/>
      <c r="PSM106" s="108"/>
      <c r="PSN106" s="108"/>
      <c r="PSO106" s="108"/>
      <c r="PSP106" s="108"/>
      <c r="PSQ106" s="108"/>
      <c r="PSR106" s="108"/>
      <c r="PSS106" s="108"/>
      <c r="PST106" s="108"/>
      <c r="PSU106" s="108"/>
      <c r="PSV106" s="108"/>
      <c r="PSW106" s="108"/>
      <c r="PSX106" s="108"/>
      <c r="PSY106" s="108"/>
      <c r="PSZ106" s="108"/>
      <c r="PTA106" s="108"/>
      <c r="PTB106" s="108"/>
      <c r="PTC106" s="108"/>
      <c r="PTD106" s="108"/>
      <c r="PTE106" s="108"/>
      <c r="PTF106" s="108"/>
      <c r="PTG106" s="108"/>
      <c r="PTH106" s="108"/>
      <c r="PTI106" s="108"/>
      <c r="PTJ106" s="108"/>
      <c r="PTK106" s="108"/>
      <c r="PTL106" s="108"/>
      <c r="PTM106" s="108"/>
      <c r="PTN106" s="108"/>
      <c r="PTO106" s="108"/>
      <c r="PTP106" s="108"/>
      <c r="PTQ106" s="108"/>
      <c r="PTR106" s="108"/>
      <c r="PTS106" s="108"/>
      <c r="PTT106" s="108"/>
      <c r="PTU106" s="108"/>
      <c r="PTV106" s="108"/>
      <c r="PTW106" s="108"/>
      <c r="PTX106" s="108"/>
      <c r="PTY106" s="108"/>
      <c r="PTZ106" s="108"/>
      <c r="PUA106" s="108"/>
      <c r="PUB106" s="108"/>
      <c r="PUC106" s="108"/>
      <c r="PUD106" s="108"/>
      <c r="PUE106" s="108"/>
      <c r="PUF106" s="108"/>
      <c r="PUG106" s="108"/>
      <c r="PUH106" s="108"/>
      <c r="PUI106" s="108"/>
      <c r="PUJ106" s="108"/>
      <c r="PUK106" s="108"/>
      <c r="PUL106" s="108"/>
      <c r="PUM106" s="108"/>
      <c r="PUN106" s="108"/>
      <c r="PUO106" s="108"/>
      <c r="PUP106" s="108"/>
      <c r="PUQ106" s="108"/>
      <c r="PUR106" s="108"/>
      <c r="PUS106" s="108"/>
      <c r="PUT106" s="108"/>
      <c r="PUU106" s="108"/>
      <c r="PUV106" s="108"/>
      <c r="PUW106" s="108"/>
      <c r="PUX106" s="108"/>
      <c r="PUY106" s="108"/>
      <c r="PUZ106" s="108"/>
      <c r="PVA106" s="108"/>
      <c r="PVB106" s="108"/>
      <c r="PVC106" s="108"/>
      <c r="PVD106" s="108"/>
      <c r="PVE106" s="108"/>
      <c r="PVF106" s="108"/>
      <c r="PVG106" s="108"/>
      <c r="PVH106" s="108"/>
      <c r="PVI106" s="108"/>
      <c r="PVJ106" s="108"/>
      <c r="PVK106" s="108"/>
      <c r="PVL106" s="108"/>
      <c r="PVM106" s="108"/>
      <c r="PVN106" s="108"/>
      <c r="PVO106" s="108"/>
      <c r="PVP106" s="108"/>
      <c r="PVQ106" s="108"/>
      <c r="PVR106" s="108"/>
      <c r="PVS106" s="108"/>
      <c r="PVT106" s="108"/>
      <c r="PVU106" s="108"/>
      <c r="PVV106" s="108"/>
      <c r="PVW106" s="108"/>
      <c r="PVX106" s="108"/>
      <c r="PVY106" s="108"/>
      <c r="PVZ106" s="108"/>
      <c r="PWA106" s="108"/>
      <c r="PWB106" s="108"/>
      <c r="PWC106" s="108"/>
      <c r="PWD106" s="108"/>
      <c r="PWE106" s="108"/>
      <c r="PWF106" s="108"/>
      <c r="PWG106" s="108"/>
      <c r="PWH106" s="108"/>
      <c r="PWI106" s="108"/>
      <c r="PWJ106" s="108"/>
      <c r="PWK106" s="108"/>
      <c r="PWL106" s="108"/>
      <c r="PWM106" s="108"/>
      <c r="PWN106" s="108"/>
      <c r="PWO106" s="108"/>
      <c r="PWP106" s="108"/>
      <c r="PWQ106" s="108"/>
      <c r="PWR106" s="108"/>
      <c r="PWS106" s="108"/>
      <c r="PWT106" s="108"/>
      <c r="PWU106" s="108"/>
      <c r="PWV106" s="108"/>
      <c r="PWW106" s="108"/>
      <c r="PWX106" s="108"/>
      <c r="PWY106" s="108"/>
      <c r="PWZ106" s="108"/>
      <c r="PXA106" s="108"/>
      <c r="PXB106" s="108"/>
      <c r="PXC106" s="108"/>
      <c r="PXD106" s="108"/>
      <c r="PXE106" s="108"/>
      <c r="PXF106" s="108"/>
      <c r="PXG106" s="108"/>
      <c r="PXH106" s="108"/>
      <c r="PXI106" s="108"/>
      <c r="PXJ106" s="108"/>
      <c r="PXK106" s="108"/>
      <c r="PXL106" s="108"/>
      <c r="PXM106" s="108"/>
      <c r="PXN106" s="108"/>
      <c r="PXO106" s="108"/>
      <c r="PXP106" s="108"/>
      <c r="PXQ106" s="108"/>
      <c r="PXR106" s="108"/>
      <c r="PXS106" s="108"/>
      <c r="PXT106" s="108"/>
      <c r="PXU106" s="108"/>
      <c r="PXV106" s="108"/>
      <c r="PXW106" s="108"/>
      <c r="PXX106" s="108"/>
      <c r="PXY106" s="108"/>
      <c r="PXZ106" s="108"/>
      <c r="PYA106" s="108"/>
      <c r="PYB106" s="108"/>
      <c r="PYC106" s="108"/>
      <c r="PYD106" s="108"/>
      <c r="PYE106" s="108"/>
      <c r="PYF106" s="108"/>
      <c r="PYG106" s="108"/>
      <c r="PYH106" s="108"/>
      <c r="PYI106" s="108"/>
      <c r="PYJ106" s="108"/>
      <c r="PYK106" s="108"/>
      <c r="PYL106" s="108"/>
      <c r="PYM106" s="108"/>
      <c r="PYN106" s="108"/>
      <c r="PYO106" s="108"/>
      <c r="PYP106" s="108"/>
      <c r="PYQ106" s="108"/>
      <c r="PYR106" s="108"/>
      <c r="PYS106" s="108"/>
      <c r="PYT106" s="108"/>
      <c r="PYU106" s="108"/>
      <c r="PYV106" s="108"/>
      <c r="PYW106" s="108"/>
      <c r="PYX106" s="108"/>
      <c r="PYY106" s="108"/>
      <c r="PYZ106" s="108"/>
      <c r="PZA106" s="108"/>
      <c r="PZB106" s="108"/>
      <c r="PZC106" s="108"/>
      <c r="PZD106" s="108"/>
      <c r="PZE106" s="108"/>
      <c r="PZF106" s="108"/>
      <c r="PZG106" s="108"/>
      <c r="PZH106" s="108"/>
      <c r="PZI106" s="108"/>
      <c r="PZJ106" s="108"/>
      <c r="PZK106" s="108"/>
      <c r="PZL106" s="108"/>
      <c r="PZM106" s="108"/>
      <c r="PZN106" s="108"/>
      <c r="PZO106" s="108"/>
      <c r="PZP106" s="108"/>
      <c r="PZQ106" s="108"/>
      <c r="PZR106" s="108"/>
      <c r="PZS106" s="108"/>
      <c r="PZT106" s="108"/>
      <c r="PZU106" s="108"/>
      <c r="PZV106" s="108"/>
      <c r="PZW106" s="108"/>
      <c r="PZX106" s="108"/>
      <c r="PZY106" s="108"/>
      <c r="PZZ106" s="108"/>
      <c r="QAA106" s="108"/>
      <c r="QAB106" s="108"/>
      <c r="QAC106" s="108"/>
      <c r="QAD106" s="108"/>
      <c r="QAE106" s="108"/>
      <c r="QAF106" s="108"/>
      <c r="QAG106" s="108"/>
      <c r="QAH106" s="108"/>
      <c r="QAI106" s="108"/>
      <c r="QAJ106" s="108"/>
      <c r="QAK106" s="108"/>
      <c r="QAL106" s="108"/>
      <c r="QAM106" s="108"/>
      <c r="QAN106" s="108"/>
      <c r="QAO106" s="108"/>
      <c r="QAP106" s="108"/>
      <c r="QAQ106" s="108"/>
      <c r="QAR106" s="108"/>
      <c r="QAS106" s="108"/>
      <c r="QAT106" s="108"/>
      <c r="QAU106" s="108"/>
      <c r="QAV106" s="108"/>
      <c r="QAW106" s="108"/>
      <c r="QAX106" s="108"/>
      <c r="QAY106" s="108"/>
      <c r="QAZ106" s="108"/>
      <c r="QBA106" s="108"/>
      <c r="QBB106" s="108"/>
      <c r="QBC106" s="108"/>
      <c r="QBD106" s="108"/>
      <c r="QBE106" s="108"/>
      <c r="QBF106" s="108"/>
      <c r="QBG106" s="108"/>
      <c r="QBH106" s="108"/>
      <c r="QBI106" s="108"/>
      <c r="QBJ106" s="108"/>
      <c r="QBK106" s="108"/>
      <c r="QBL106" s="108"/>
      <c r="QBM106" s="108"/>
      <c r="QBN106" s="108"/>
      <c r="QBO106" s="108"/>
      <c r="QBP106" s="108"/>
      <c r="QBQ106" s="108"/>
      <c r="QBR106" s="108"/>
      <c r="QBS106" s="108"/>
      <c r="QBT106" s="108"/>
      <c r="QBU106" s="108"/>
      <c r="QBV106" s="108"/>
      <c r="QBW106" s="108"/>
      <c r="QBX106" s="108"/>
      <c r="QBY106" s="108"/>
      <c r="QBZ106" s="108"/>
      <c r="QCA106" s="108"/>
      <c r="QCB106" s="108"/>
      <c r="QCC106" s="108"/>
      <c r="QCD106" s="108"/>
      <c r="QCE106" s="108"/>
      <c r="QCF106" s="108"/>
      <c r="QCG106" s="108"/>
      <c r="QCH106" s="108"/>
      <c r="QCI106" s="108"/>
      <c r="QCJ106" s="108"/>
      <c r="QCK106" s="108"/>
      <c r="QCL106" s="108"/>
      <c r="QCM106" s="108"/>
      <c r="QCN106" s="108"/>
      <c r="QCO106" s="108"/>
      <c r="QCP106" s="108"/>
      <c r="QCQ106" s="108"/>
      <c r="QCR106" s="108"/>
      <c r="QCS106" s="108"/>
      <c r="QCT106" s="108"/>
      <c r="QCU106" s="108"/>
      <c r="QCV106" s="108"/>
      <c r="QCW106" s="108"/>
      <c r="QCX106" s="108"/>
      <c r="QCY106" s="108"/>
      <c r="QCZ106" s="108"/>
      <c r="QDA106" s="108"/>
      <c r="QDB106" s="108"/>
      <c r="QDC106" s="108"/>
      <c r="QDD106" s="108"/>
      <c r="QDE106" s="108"/>
      <c r="QDF106" s="108"/>
      <c r="QDG106" s="108"/>
      <c r="QDH106" s="108"/>
      <c r="QDI106" s="108"/>
      <c r="QDJ106" s="108"/>
      <c r="QDK106" s="108"/>
      <c r="QDL106" s="108"/>
      <c r="QDM106" s="108"/>
      <c r="QDN106" s="108"/>
      <c r="QDO106" s="108"/>
      <c r="QDP106" s="108"/>
      <c r="QDQ106" s="108"/>
      <c r="QDR106" s="108"/>
      <c r="QDS106" s="108"/>
      <c r="QDT106" s="108"/>
      <c r="QDU106" s="108"/>
      <c r="QDV106" s="108"/>
      <c r="QDW106" s="108"/>
      <c r="QDX106" s="108"/>
      <c r="QDY106" s="108"/>
      <c r="QDZ106" s="108"/>
      <c r="QEA106" s="108"/>
      <c r="QEB106" s="108"/>
      <c r="QEC106" s="108"/>
      <c r="QED106" s="108"/>
      <c r="QEE106" s="108"/>
      <c r="QEF106" s="108"/>
      <c r="QEG106" s="108"/>
      <c r="QEH106" s="108"/>
      <c r="QEI106" s="108"/>
      <c r="QEJ106" s="108"/>
      <c r="QEK106" s="108"/>
      <c r="QEL106" s="108"/>
      <c r="QEM106" s="108"/>
      <c r="QEN106" s="108"/>
      <c r="QEO106" s="108"/>
      <c r="QEP106" s="108"/>
      <c r="QEQ106" s="108"/>
      <c r="QER106" s="108"/>
      <c r="QES106" s="108"/>
      <c r="QET106" s="108"/>
      <c r="QEU106" s="108"/>
      <c r="QEV106" s="108"/>
      <c r="QEW106" s="108"/>
      <c r="QEX106" s="108"/>
      <c r="QEY106" s="108"/>
      <c r="QEZ106" s="108"/>
      <c r="QFA106" s="108"/>
      <c r="QFB106" s="108"/>
      <c r="QFC106" s="108"/>
      <c r="QFD106" s="108"/>
      <c r="QFE106" s="108"/>
      <c r="QFF106" s="108"/>
      <c r="QFG106" s="108"/>
      <c r="QFH106" s="108"/>
      <c r="QFI106" s="108"/>
      <c r="QFJ106" s="108"/>
      <c r="QFK106" s="108"/>
      <c r="QFL106" s="108"/>
      <c r="QFM106" s="108"/>
      <c r="QFN106" s="108"/>
      <c r="QFO106" s="108"/>
      <c r="QFP106" s="108"/>
      <c r="QFQ106" s="108"/>
      <c r="QFR106" s="108"/>
      <c r="QFS106" s="108"/>
      <c r="QFT106" s="108"/>
      <c r="QFU106" s="108"/>
      <c r="QFV106" s="108"/>
      <c r="QFW106" s="108"/>
      <c r="QFX106" s="108"/>
      <c r="QFY106" s="108"/>
      <c r="QFZ106" s="108"/>
      <c r="QGA106" s="108"/>
      <c r="QGB106" s="108"/>
      <c r="QGC106" s="108"/>
      <c r="QGD106" s="108"/>
      <c r="QGE106" s="108"/>
      <c r="QGF106" s="108"/>
      <c r="QGG106" s="108"/>
      <c r="QGH106" s="108"/>
      <c r="QGI106" s="108"/>
      <c r="QGJ106" s="108"/>
      <c r="QGK106" s="108"/>
      <c r="QGL106" s="108"/>
      <c r="QGM106" s="108"/>
      <c r="QGN106" s="108"/>
      <c r="QGO106" s="108"/>
      <c r="QGP106" s="108"/>
      <c r="QGQ106" s="108"/>
      <c r="QGR106" s="108"/>
      <c r="QGS106" s="108"/>
      <c r="QGT106" s="108"/>
      <c r="QGU106" s="108"/>
      <c r="QGV106" s="108"/>
      <c r="QGW106" s="108"/>
      <c r="QGX106" s="108"/>
      <c r="QGY106" s="108"/>
      <c r="QGZ106" s="108"/>
      <c r="QHA106" s="108"/>
      <c r="QHB106" s="108"/>
      <c r="QHC106" s="108"/>
      <c r="QHD106" s="108"/>
      <c r="QHE106" s="108"/>
      <c r="QHF106" s="108"/>
      <c r="QHG106" s="108"/>
      <c r="QHH106" s="108"/>
      <c r="QHI106" s="108"/>
      <c r="QHJ106" s="108"/>
      <c r="QHK106" s="108"/>
      <c r="QHL106" s="108"/>
      <c r="QHM106" s="108"/>
      <c r="QHN106" s="108"/>
      <c r="QHO106" s="108"/>
      <c r="QHP106" s="108"/>
      <c r="QHQ106" s="108"/>
      <c r="QHR106" s="108"/>
      <c r="QHS106" s="108"/>
      <c r="QHT106" s="108"/>
      <c r="QHU106" s="108"/>
      <c r="QHV106" s="108"/>
      <c r="QHW106" s="108"/>
      <c r="QHX106" s="108"/>
      <c r="QHY106" s="108"/>
      <c r="QHZ106" s="108"/>
      <c r="QIA106" s="108"/>
      <c r="QIB106" s="108"/>
      <c r="QIC106" s="108"/>
      <c r="QID106" s="108"/>
      <c r="QIE106" s="108"/>
      <c r="QIF106" s="108"/>
      <c r="QIG106" s="108"/>
      <c r="QIH106" s="108"/>
      <c r="QII106" s="108"/>
      <c r="QIJ106" s="108"/>
      <c r="QIK106" s="108"/>
      <c r="QIL106" s="108"/>
      <c r="QIM106" s="108"/>
      <c r="QIN106" s="108"/>
      <c r="QIO106" s="108"/>
      <c r="QIP106" s="108"/>
      <c r="QIQ106" s="108"/>
      <c r="QIR106" s="108"/>
      <c r="QIS106" s="108"/>
      <c r="QIT106" s="108"/>
      <c r="QIU106" s="108"/>
      <c r="QIV106" s="108"/>
      <c r="QIW106" s="108"/>
      <c r="QIX106" s="108"/>
      <c r="QIY106" s="108"/>
      <c r="QIZ106" s="108"/>
      <c r="QJA106" s="108"/>
      <c r="QJB106" s="108"/>
      <c r="QJC106" s="108"/>
      <c r="QJD106" s="108"/>
      <c r="QJE106" s="108"/>
      <c r="QJF106" s="108"/>
      <c r="QJG106" s="108"/>
      <c r="QJH106" s="108"/>
      <c r="QJI106" s="108"/>
      <c r="QJJ106" s="108"/>
      <c r="QJK106" s="108"/>
      <c r="QJL106" s="108"/>
      <c r="QJM106" s="108"/>
      <c r="QJN106" s="108"/>
      <c r="QJO106" s="108"/>
      <c r="QJP106" s="108"/>
      <c r="QJQ106" s="108"/>
      <c r="QJR106" s="108"/>
      <c r="QJS106" s="108"/>
      <c r="QJT106" s="108"/>
      <c r="QJU106" s="108"/>
      <c r="QJV106" s="108"/>
      <c r="QJW106" s="108"/>
      <c r="QJX106" s="108"/>
      <c r="QJY106" s="108"/>
      <c r="QJZ106" s="108"/>
      <c r="QKA106" s="108"/>
      <c r="QKB106" s="108"/>
      <c r="QKC106" s="108"/>
      <c r="QKD106" s="108"/>
      <c r="QKE106" s="108"/>
      <c r="QKF106" s="108"/>
      <c r="QKG106" s="108"/>
      <c r="QKH106" s="108"/>
      <c r="QKI106" s="108"/>
      <c r="QKJ106" s="108"/>
      <c r="QKK106" s="108"/>
      <c r="QKL106" s="108"/>
      <c r="QKM106" s="108"/>
      <c r="QKN106" s="108"/>
      <c r="QKO106" s="108"/>
      <c r="QKP106" s="108"/>
      <c r="QKQ106" s="108"/>
      <c r="QKR106" s="108"/>
      <c r="QKS106" s="108"/>
      <c r="QKT106" s="108"/>
      <c r="QKU106" s="108"/>
      <c r="QKV106" s="108"/>
      <c r="QKW106" s="108"/>
      <c r="QKX106" s="108"/>
      <c r="QKY106" s="108"/>
      <c r="QKZ106" s="108"/>
      <c r="QLA106" s="108"/>
      <c r="QLB106" s="108"/>
      <c r="QLC106" s="108"/>
      <c r="QLD106" s="108"/>
      <c r="QLE106" s="108"/>
      <c r="QLF106" s="108"/>
      <c r="QLG106" s="108"/>
      <c r="QLH106" s="108"/>
      <c r="QLI106" s="108"/>
      <c r="QLJ106" s="108"/>
      <c r="QLK106" s="108"/>
      <c r="QLL106" s="108"/>
      <c r="QLM106" s="108"/>
      <c r="QLN106" s="108"/>
      <c r="QLO106" s="108"/>
      <c r="QLP106" s="108"/>
      <c r="QLQ106" s="108"/>
      <c r="QLR106" s="108"/>
      <c r="QLS106" s="108"/>
      <c r="QLT106" s="108"/>
      <c r="QLU106" s="108"/>
      <c r="QLV106" s="108"/>
      <c r="QLW106" s="108"/>
      <c r="QLX106" s="108"/>
      <c r="QLY106" s="108"/>
      <c r="QLZ106" s="108"/>
      <c r="QMA106" s="108"/>
      <c r="QMB106" s="108"/>
      <c r="QMC106" s="108"/>
      <c r="QMD106" s="108"/>
      <c r="QME106" s="108"/>
      <c r="QMF106" s="108"/>
      <c r="QMG106" s="108"/>
      <c r="QMH106" s="108"/>
      <c r="QMI106" s="108"/>
      <c r="QMJ106" s="108"/>
      <c r="QMK106" s="108"/>
      <c r="QML106" s="108"/>
      <c r="QMM106" s="108"/>
      <c r="QMN106" s="108"/>
      <c r="QMO106" s="108"/>
      <c r="QMP106" s="108"/>
      <c r="QMQ106" s="108"/>
      <c r="QMR106" s="108"/>
      <c r="QMS106" s="108"/>
      <c r="QMT106" s="108"/>
      <c r="QMU106" s="108"/>
      <c r="QMV106" s="108"/>
      <c r="QMW106" s="108"/>
      <c r="QMX106" s="108"/>
      <c r="QMY106" s="108"/>
      <c r="QMZ106" s="108"/>
      <c r="QNA106" s="108"/>
      <c r="QNB106" s="108"/>
      <c r="QNC106" s="108"/>
      <c r="QND106" s="108"/>
      <c r="QNE106" s="108"/>
      <c r="QNF106" s="108"/>
      <c r="QNG106" s="108"/>
      <c r="QNH106" s="108"/>
      <c r="QNI106" s="108"/>
      <c r="QNJ106" s="108"/>
      <c r="QNK106" s="108"/>
      <c r="QNL106" s="108"/>
      <c r="QNM106" s="108"/>
      <c r="QNN106" s="108"/>
      <c r="QNO106" s="108"/>
      <c r="QNP106" s="108"/>
      <c r="QNQ106" s="108"/>
      <c r="QNR106" s="108"/>
      <c r="QNS106" s="108"/>
      <c r="QNT106" s="108"/>
      <c r="QNU106" s="108"/>
      <c r="QNV106" s="108"/>
      <c r="QNW106" s="108"/>
      <c r="QNX106" s="108"/>
      <c r="QNY106" s="108"/>
      <c r="QNZ106" s="108"/>
      <c r="QOA106" s="108"/>
      <c r="QOB106" s="108"/>
      <c r="QOC106" s="108"/>
      <c r="QOD106" s="108"/>
      <c r="QOE106" s="108"/>
      <c r="QOF106" s="108"/>
      <c r="QOG106" s="108"/>
      <c r="QOH106" s="108"/>
      <c r="QOI106" s="108"/>
      <c r="QOJ106" s="108"/>
      <c r="QOK106" s="108"/>
      <c r="QOL106" s="108"/>
      <c r="QOM106" s="108"/>
      <c r="QON106" s="108"/>
      <c r="QOO106" s="108"/>
      <c r="QOP106" s="108"/>
      <c r="QOQ106" s="108"/>
      <c r="QOR106" s="108"/>
      <c r="QOS106" s="108"/>
      <c r="QOT106" s="108"/>
      <c r="QOU106" s="108"/>
      <c r="QOV106" s="108"/>
      <c r="QOW106" s="108"/>
      <c r="QOX106" s="108"/>
      <c r="QOY106" s="108"/>
      <c r="QOZ106" s="108"/>
      <c r="QPA106" s="108"/>
      <c r="QPB106" s="108"/>
      <c r="QPC106" s="108"/>
      <c r="QPD106" s="108"/>
      <c r="QPE106" s="108"/>
      <c r="QPF106" s="108"/>
      <c r="QPG106" s="108"/>
      <c r="QPH106" s="108"/>
      <c r="QPI106" s="108"/>
      <c r="QPJ106" s="108"/>
      <c r="QPK106" s="108"/>
      <c r="QPL106" s="108"/>
      <c r="QPM106" s="108"/>
      <c r="QPN106" s="108"/>
      <c r="QPO106" s="108"/>
      <c r="QPP106" s="108"/>
      <c r="QPQ106" s="108"/>
      <c r="QPR106" s="108"/>
      <c r="QPS106" s="108"/>
      <c r="QPT106" s="108"/>
      <c r="QPU106" s="108"/>
      <c r="QPV106" s="108"/>
      <c r="QPW106" s="108"/>
      <c r="QPX106" s="108"/>
      <c r="QPY106" s="108"/>
      <c r="QPZ106" s="108"/>
      <c r="QQA106" s="108"/>
      <c r="QQB106" s="108"/>
      <c r="QQC106" s="108"/>
      <c r="QQD106" s="108"/>
      <c r="QQE106" s="108"/>
      <c r="QQF106" s="108"/>
      <c r="QQG106" s="108"/>
      <c r="QQH106" s="108"/>
      <c r="QQI106" s="108"/>
      <c r="QQJ106" s="108"/>
      <c r="QQK106" s="108"/>
      <c r="QQL106" s="108"/>
      <c r="QQM106" s="108"/>
      <c r="QQN106" s="108"/>
      <c r="QQO106" s="108"/>
      <c r="QQP106" s="108"/>
      <c r="QQQ106" s="108"/>
      <c r="QQR106" s="108"/>
      <c r="QQS106" s="108"/>
      <c r="QQT106" s="108"/>
      <c r="QQU106" s="108"/>
      <c r="QQV106" s="108"/>
      <c r="QQW106" s="108"/>
      <c r="QQX106" s="108"/>
      <c r="QQY106" s="108"/>
      <c r="QQZ106" s="108"/>
      <c r="QRA106" s="108"/>
      <c r="QRB106" s="108"/>
      <c r="QRC106" s="108"/>
      <c r="QRD106" s="108"/>
      <c r="QRE106" s="108"/>
      <c r="QRF106" s="108"/>
      <c r="QRG106" s="108"/>
      <c r="QRH106" s="108"/>
      <c r="QRI106" s="108"/>
      <c r="QRJ106" s="108"/>
      <c r="QRK106" s="108"/>
      <c r="QRL106" s="108"/>
      <c r="QRM106" s="108"/>
      <c r="QRN106" s="108"/>
      <c r="QRO106" s="108"/>
      <c r="QRP106" s="108"/>
      <c r="QRQ106" s="108"/>
      <c r="QRR106" s="108"/>
      <c r="QRS106" s="108"/>
      <c r="QRT106" s="108"/>
      <c r="QRU106" s="108"/>
      <c r="QRV106" s="108"/>
      <c r="QRW106" s="108"/>
      <c r="QRX106" s="108"/>
      <c r="QRY106" s="108"/>
      <c r="QRZ106" s="108"/>
      <c r="QSA106" s="108"/>
      <c r="QSB106" s="108"/>
      <c r="QSC106" s="108"/>
      <c r="QSD106" s="108"/>
      <c r="QSE106" s="108"/>
      <c r="QSF106" s="108"/>
      <c r="QSG106" s="108"/>
      <c r="QSH106" s="108"/>
      <c r="QSI106" s="108"/>
      <c r="QSJ106" s="108"/>
      <c r="QSK106" s="108"/>
      <c r="QSL106" s="108"/>
      <c r="QSM106" s="108"/>
      <c r="QSN106" s="108"/>
      <c r="QSO106" s="108"/>
      <c r="QSP106" s="108"/>
      <c r="QSQ106" s="108"/>
      <c r="QSR106" s="108"/>
      <c r="QSS106" s="108"/>
      <c r="QST106" s="108"/>
      <c r="QSU106" s="108"/>
      <c r="QSV106" s="108"/>
      <c r="QSW106" s="108"/>
      <c r="QSX106" s="108"/>
      <c r="QSY106" s="108"/>
      <c r="QSZ106" s="108"/>
      <c r="QTA106" s="108"/>
      <c r="QTB106" s="108"/>
      <c r="QTC106" s="108"/>
      <c r="QTD106" s="108"/>
      <c r="QTE106" s="108"/>
      <c r="QTF106" s="108"/>
      <c r="QTG106" s="108"/>
      <c r="QTH106" s="108"/>
      <c r="QTI106" s="108"/>
      <c r="QTJ106" s="108"/>
      <c r="QTK106" s="108"/>
      <c r="QTL106" s="108"/>
      <c r="QTM106" s="108"/>
      <c r="QTN106" s="108"/>
      <c r="QTO106" s="108"/>
      <c r="QTP106" s="108"/>
      <c r="QTQ106" s="108"/>
      <c r="QTR106" s="108"/>
      <c r="QTS106" s="108"/>
      <c r="QTT106" s="108"/>
      <c r="QTU106" s="108"/>
      <c r="QTV106" s="108"/>
      <c r="QTW106" s="108"/>
      <c r="QTX106" s="108"/>
      <c r="QTY106" s="108"/>
      <c r="QTZ106" s="108"/>
      <c r="QUA106" s="108"/>
      <c r="QUB106" s="108"/>
      <c r="QUC106" s="108"/>
      <c r="QUD106" s="108"/>
      <c r="QUE106" s="108"/>
      <c r="QUF106" s="108"/>
      <c r="QUG106" s="108"/>
      <c r="QUH106" s="108"/>
      <c r="QUI106" s="108"/>
      <c r="QUJ106" s="108"/>
      <c r="QUK106" s="108"/>
      <c r="QUL106" s="108"/>
      <c r="QUM106" s="108"/>
      <c r="QUN106" s="108"/>
      <c r="QUO106" s="108"/>
      <c r="QUP106" s="108"/>
      <c r="QUQ106" s="108"/>
      <c r="QUR106" s="108"/>
      <c r="QUS106" s="108"/>
      <c r="QUT106" s="108"/>
      <c r="QUU106" s="108"/>
      <c r="QUV106" s="108"/>
      <c r="QUW106" s="108"/>
      <c r="QUX106" s="108"/>
      <c r="QUY106" s="108"/>
      <c r="QUZ106" s="108"/>
      <c r="QVA106" s="108"/>
      <c r="QVB106" s="108"/>
      <c r="QVC106" s="108"/>
      <c r="QVD106" s="108"/>
      <c r="QVE106" s="108"/>
      <c r="QVF106" s="108"/>
      <c r="QVG106" s="108"/>
      <c r="QVH106" s="108"/>
      <c r="QVI106" s="108"/>
      <c r="QVJ106" s="108"/>
      <c r="QVK106" s="108"/>
      <c r="QVL106" s="108"/>
      <c r="QVM106" s="108"/>
      <c r="QVN106" s="108"/>
      <c r="QVO106" s="108"/>
      <c r="QVP106" s="108"/>
      <c r="QVQ106" s="108"/>
      <c r="QVR106" s="108"/>
      <c r="QVS106" s="108"/>
      <c r="QVT106" s="108"/>
      <c r="QVU106" s="108"/>
      <c r="QVV106" s="108"/>
      <c r="QVW106" s="108"/>
      <c r="QVX106" s="108"/>
      <c r="QVY106" s="108"/>
      <c r="QVZ106" s="108"/>
      <c r="QWA106" s="108"/>
      <c r="QWB106" s="108"/>
      <c r="QWC106" s="108"/>
      <c r="QWD106" s="108"/>
      <c r="QWE106" s="108"/>
      <c r="QWF106" s="108"/>
      <c r="QWG106" s="108"/>
      <c r="QWH106" s="108"/>
      <c r="QWI106" s="108"/>
      <c r="QWJ106" s="108"/>
      <c r="QWK106" s="108"/>
      <c r="QWL106" s="108"/>
      <c r="QWM106" s="108"/>
      <c r="QWN106" s="108"/>
      <c r="QWO106" s="108"/>
      <c r="QWP106" s="108"/>
      <c r="QWQ106" s="108"/>
      <c r="QWR106" s="108"/>
      <c r="QWS106" s="108"/>
      <c r="QWT106" s="108"/>
      <c r="QWU106" s="108"/>
      <c r="QWV106" s="108"/>
      <c r="QWW106" s="108"/>
      <c r="QWX106" s="108"/>
      <c r="QWY106" s="108"/>
      <c r="QWZ106" s="108"/>
      <c r="QXA106" s="108"/>
      <c r="QXB106" s="108"/>
      <c r="QXC106" s="108"/>
      <c r="QXD106" s="108"/>
      <c r="QXE106" s="108"/>
      <c r="QXF106" s="108"/>
      <c r="QXG106" s="108"/>
      <c r="QXH106" s="108"/>
      <c r="QXI106" s="108"/>
      <c r="QXJ106" s="108"/>
      <c r="QXK106" s="108"/>
      <c r="QXL106" s="108"/>
      <c r="QXM106" s="108"/>
      <c r="QXN106" s="108"/>
      <c r="QXO106" s="108"/>
      <c r="QXP106" s="108"/>
      <c r="QXQ106" s="108"/>
      <c r="QXR106" s="108"/>
      <c r="QXS106" s="108"/>
      <c r="QXT106" s="108"/>
      <c r="QXU106" s="108"/>
      <c r="QXV106" s="108"/>
      <c r="QXW106" s="108"/>
      <c r="QXX106" s="108"/>
      <c r="QXY106" s="108"/>
      <c r="QXZ106" s="108"/>
      <c r="QYA106" s="108"/>
      <c r="QYB106" s="108"/>
      <c r="QYC106" s="108"/>
      <c r="QYD106" s="108"/>
      <c r="QYE106" s="108"/>
      <c r="QYF106" s="108"/>
      <c r="QYG106" s="108"/>
      <c r="QYH106" s="108"/>
      <c r="QYI106" s="108"/>
      <c r="QYJ106" s="108"/>
      <c r="QYK106" s="108"/>
      <c r="QYL106" s="108"/>
      <c r="QYM106" s="108"/>
      <c r="QYN106" s="108"/>
      <c r="QYO106" s="108"/>
      <c r="QYP106" s="108"/>
      <c r="QYQ106" s="108"/>
      <c r="QYR106" s="108"/>
      <c r="QYS106" s="108"/>
      <c r="QYT106" s="108"/>
      <c r="QYU106" s="108"/>
      <c r="QYV106" s="108"/>
      <c r="QYW106" s="108"/>
      <c r="QYX106" s="108"/>
      <c r="QYY106" s="108"/>
      <c r="QYZ106" s="108"/>
      <c r="QZA106" s="108"/>
      <c r="QZB106" s="108"/>
      <c r="QZC106" s="108"/>
      <c r="QZD106" s="108"/>
      <c r="QZE106" s="108"/>
      <c r="QZF106" s="108"/>
      <c r="QZG106" s="108"/>
      <c r="QZH106" s="108"/>
      <c r="QZI106" s="108"/>
      <c r="QZJ106" s="108"/>
      <c r="QZK106" s="108"/>
      <c r="QZL106" s="108"/>
      <c r="QZM106" s="108"/>
      <c r="QZN106" s="108"/>
      <c r="QZO106" s="108"/>
      <c r="QZP106" s="108"/>
      <c r="QZQ106" s="108"/>
      <c r="QZR106" s="108"/>
      <c r="QZS106" s="108"/>
      <c r="QZT106" s="108"/>
      <c r="QZU106" s="108"/>
      <c r="QZV106" s="108"/>
      <c r="QZW106" s="108"/>
      <c r="QZX106" s="108"/>
      <c r="QZY106" s="108"/>
      <c r="QZZ106" s="108"/>
      <c r="RAA106" s="108"/>
      <c r="RAB106" s="108"/>
      <c r="RAC106" s="108"/>
      <c r="RAD106" s="108"/>
      <c r="RAE106" s="108"/>
      <c r="RAF106" s="108"/>
      <c r="RAG106" s="108"/>
      <c r="RAH106" s="108"/>
      <c r="RAI106" s="108"/>
      <c r="RAJ106" s="108"/>
      <c r="RAK106" s="108"/>
      <c r="RAL106" s="108"/>
      <c r="RAM106" s="108"/>
      <c r="RAN106" s="108"/>
      <c r="RAO106" s="108"/>
      <c r="RAP106" s="108"/>
      <c r="RAQ106" s="108"/>
      <c r="RAR106" s="108"/>
      <c r="RAS106" s="108"/>
      <c r="RAT106" s="108"/>
      <c r="RAU106" s="108"/>
      <c r="RAV106" s="108"/>
      <c r="RAW106" s="108"/>
      <c r="RAX106" s="108"/>
      <c r="RAY106" s="108"/>
      <c r="RAZ106" s="108"/>
      <c r="RBA106" s="108"/>
      <c r="RBB106" s="108"/>
      <c r="RBC106" s="108"/>
      <c r="RBD106" s="108"/>
      <c r="RBE106" s="108"/>
      <c r="RBF106" s="108"/>
      <c r="RBG106" s="108"/>
      <c r="RBH106" s="108"/>
      <c r="RBI106" s="108"/>
      <c r="RBJ106" s="108"/>
      <c r="RBK106" s="108"/>
      <c r="RBL106" s="108"/>
      <c r="RBM106" s="108"/>
      <c r="RBN106" s="108"/>
      <c r="RBO106" s="108"/>
      <c r="RBP106" s="108"/>
      <c r="RBQ106" s="108"/>
      <c r="RBR106" s="108"/>
      <c r="RBS106" s="108"/>
      <c r="RBT106" s="108"/>
      <c r="RBU106" s="108"/>
      <c r="RBV106" s="108"/>
      <c r="RBW106" s="108"/>
      <c r="RBX106" s="108"/>
      <c r="RBY106" s="108"/>
      <c r="RBZ106" s="108"/>
      <c r="RCA106" s="108"/>
      <c r="RCB106" s="108"/>
      <c r="RCC106" s="108"/>
      <c r="RCD106" s="108"/>
      <c r="RCE106" s="108"/>
      <c r="RCF106" s="108"/>
      <c r="RCG106" s="108"/>
      <c r="RCH106" s="108"/>
      <c r="RCI106" s="108"/>
      <c r="RCJ106" s="108"/>
      <c r="RCK106" s="108"/>
      <c r="RCL106" s="108"/>
      <c r="RCM106" s="108"/>
      <c r="RCN106" s="108"/>
      <c r="RCO106" s="108"/>
      <c r="RCP106" s="108"/>
      <c r="RCQ106" s="108"/>
      <c r="RCR106" s="108"/>
      <c r="RCS106" s="108"/>
      <c r="RCT106" s="108"/>
      <c r="RCU106" s="108"/>
      <c r="RCV106" s="108"/>
      <c r="RCW106" s="108"/>
      <c r="RCX106" s="108"/>
      <c r="RCY106" s="108"/>
      <c r="RCZ106" s="108"/>
      <c r="RDA106" s="108"/>
      <c r="RDB106" s="108"/>
      <c r="RDC106" s="108"/>
      <c r="RDD106" s="108"/>
      <c r="RDE106" s="108"/>
      <c r="RDF106" s="108"/>
      <c r="RDG106" s="108"/>
      <c r="RDH106" s="108"/>
      <c r="RDI106" s="108"/>
      <c r="RDJ106" s="108"/>
      <c r="RDK106" s="108"/>
      <c r="RDL106" s="108"/>
      <c r="RDM106" s="108"/>
      <c r="RDN106" s="108"/>
      <c r="RDO106" s="108"/>
      <c r="RDP106" s="108"/>
      <c r="RDQ106" s="108"/>
      <c r="RDR106" s="108"/>
      <c r="RDS106" s="108"/>
      <c r="RDT106" s="108"/>
      <c r="RDU106" s="108"/>
      <c r="RDV106" s="108"/>
      <c r="RDW106" s="108"/>
      <c r="RDX106" s="108"/>
      <c r="RDY106" s="108"/>
      <c r="RDZ106" s="108"/>
      <c r="REA106" s="108"/>
      <c r="REB106" s="108"/>
      <c r="REC106" s="108"/>
      <c r="RED106" s="108"/>
      <c r="REE106" s="108"/>
      <c r="REF106" s="108"/>
      <c r="REG106" s="108"/>
      <c r="REH106" s="108"/>
      <c r="REI106" s="108"/>
      <c r="REJ106" s="108"/>
      <c r="REK106" s="108"/>
      <c r="REL106" s="108"/>
      <c r="REM106" s="108"/>
      <c r="REN106" s="108"/>
      <c r="REO106" s="108"/>
      <c r="REP106" s="108"/>
      <c r="REQ106" s="108"/>
      <c r="RER106" s="108"/>
      <c r="RES106" s="108"/>
      <c r="RET106" s="108"/>
      <c r="REU106" s="108"/>
      <c r="REV106" s="108"/>
      <c r="REW106" s="108"/>
      <c r="REX106" s="108"/>
      <c r="REY106" s="108"/>
      <c r="REZ106" s="108"/>
      <c r="RFA106" s="108"/>
      <c r="RFB106" s="108"/>
      <c r="RFC106" s="108"/>
      <c r="RFD106" s="108"/>
      <c r="RFE106" s="108"/>
      <c r="RFF106" s="108"/>
      <c r="RFG106" s="108"/>
      <c r="RFH106" s="108"/>
      <c r="RFI106" s="108"/>
      <c r="RFJ106" s="108"/>
      <c r="RFK106" s="108"/>
      <c r="RFL106" s="108"/>
      <c r="RFM106" s="108"/>
      <c r="RFN106" s="108"/>
      <c r="RFO106" s="108"/>
      <c r="RFP106" s="108"/>
      <c r="RFQ106" s="108"/>
      <c r="RFR106" s="108"/>
      <c r="RFS106" s="108"/>
      <c r="RFT106" s="108"/>
      <c r="RFU106" s="108"/>
      <c r="RFV106" s="108"/>
      <c r="RFW106" s="108"/>
      <c r="RFX106" s="108"/>
      <c r="RFY106" s="108"/>
      <c r="RFZ106" s="108"/>
      <c r="RGA106" s="108"/>
      <c r="RGB106" s="108"/>
      <c r="RGC106" s="108"/>
      <c r="RGD106" s="108"/>
      <c r="RGE106" s="108"/>
      <c r="RGF106" s="108"/>
      <c r="RGG106" s="108"/>
      <c r="RGH106" s="108"/>
      <c r="RGI106" s="108"/>
      <c r="RGJ106" s="108"/>
      <c r="RGK106" s="108"/>
      <c r="RGL106" s="108"/>
      <c r="RGM106" s="108"/>
      <c r="RGN106" s="108"/>
      <c r="RGO106" s="108"/>
      <c r="RGP106" s="108"/>
      <c r="RGQ106" s="108"/>
      <c r="RGR106" s="108"/>
      <c r="RGS106" s="108"/>
      <c r="RGT106" s="108"/>
      <c r="RGU106" s="108"/>
      <c r="RGV106" s="108"/>
      <c r="RGW106" s="108"/>
      <c r="RGX106" s="108"/>
      <c r="RGY106" s="108"/>
      <c r="RGZ106" s="108"/>
      <c r="RHA106" s="108"/>
      <c r="RHB106" s="108"/>
      <c r="RHC106" s="108"/>
      <c r="RHD106" s="108"/>
      <c r="RHE106" s="108"/>
      <c r="RHF106" s="108"/>
      <c r="RHG106" s="108"/>
      <c r="RHH106" s="108"/>
      <c r="RHI106" s="108"/>
      <c r="RHJ106" s="108"/>
      <c r="RHK106" s="108"/>
      <c r="RHL106" s="108"/>
      <c r="RHM106" s="108"/>
      <c r="RHN106" s="108"/>
      <c r="RHO106" s="108"/>
      <c r="RHP106" s="108"/>
      <c r="RHQ106" s="108"/>
      <c r="RHR106" s="108"/>
      <c r="RHS106" s="108"/>
      <c r="RHT106" s="108"/>
      <c r="RHU106" s="108"/>
      <c r="RHV106" s="108"/>
      <c r="RHW106" s="108"/>
      <c r="RHX106" s="108"/>
      <c r="RHY106" s="108"/>
      <c r="RHZ106" s="108"/>
      <c r="RIA106" s="108"/>
      <c r="RIB106" s="108"/>
      <c r="RIC106" s="108"/>
      <c r="RID106" s="108"/>
      <c r="RIE106" s="108"/>
      <c r="RIF106" s="108"/>
      <c r="RIG106" s="108"/>
      <c r="RIH106" s="108"/>
      <c r="RII106" s="108"/>
      <c r="RIJ106" s="108"/>
      <c r="RIK106" s="108"/>
      <c r="RIL106" s="108"/>
      <c r="RIM106" s="108"/>
      <c r="RIN106" s="108"/>
      <c r="RIO106" s="108"/>
      <c r="RIP106" s="108"/>
      <c r="RIQ106" s="108"/>
      <c r="RIR106" s="108"/>
      <c r="RIS106" s="108"/>
      <c r="RIT106" s="108"/>
      <c r="RIU106" s="108"/>
      <c r="RIV106" s="108"/>
      <c r="RIW106" s="108"/>
      <c r="RIX106" s="108"/>
      <c r="RIY106" s="108"/>
      <c r="RIZ106" s="108"/>
      <c r="RJA106" s="108"/>
      <c r="RJB106" s="108"/>
      <c r="RJC106" s="108"/>
      <c r="RJD106" s="108"/>
      <c r="RJE106" s="108"/>
      <c r="RJF106" s="108"/>
      <c r="RJG106" s="108"/>
      <c r="RJH106" s="108"/>
      <c r="RJI106" s="108"/>
      <c r="RJJ106" s="108"/>
      <c r="RJK106" s="108"/>
      <c r="RJL106" s="108"/>
      <c r="RJM106" s="108"/>
      <c r="RJN106" s="108"/>
      <c r="RJO106" s="108"/>
      <c r="RJP106" s="108"/>
      <c r="RJQ106" s="108"/>
      <c r="RJR106" s="108"/>
      <c r="RJS106" s="108"/>
      <c r="RJT106" s="108"/>
      <c r="RJU106" s="108"/>
      <c r="RJV106" s="108"/>
      <c r="RJW106" s="108"/>
      <c r="RJX106" s="108"/>
      <c r="RJY106" s="108"/>
      <c r="RJZ106" s="108"/>
      <c r="RKA106" s="108"/>
      <c r="RKB106" s="108"/>
      <c r="RKC106" s="108"/>
      <c r="RKD106" s="108"/>
      <c r="RKE106" s="108"/>
      <c r="RKF106" s="108"/>
      <c r="RKG106" s="108"/>
      <c r="RKH106" s="108"/>
      <c r="RKI106" s="108"/>
      <c r="RKJ106" s="108"/>
      <c r="RKK106" s="108"/>
      <c r="RKL106" s="108"/>
      <c r="RKM106" s="108"/>
      <c r="RKN106" s="108"/>
      <c r="RKO106" s="108"/>
      <c r="RKP106" s="108"/>
      <c r="RKQ106" s="108"/>
      <c r="RKR106" s="108"/>
      <c r="RKS106" s="108"/>
      <c r="RKT106" s="108"/>
      <c r="RKU106" s="108"/>
      <c r="RKV106" s="108"/>
      <c r="RKW106" s="108"/>
      <c r="RKX106" s="108"/>
      <c r="RKY106" s="108"/>
      <c r="RKZ106" s="108"/>
      <c r="RLA106" s="108"/>
      <c r="RLB106" s="108"/>
      <c r="RLC106" s="108"/>
      <c r="RLD106" s="108"/>
      <c r="RLE106" s="108"/>
      <c r="RLF106" s="108"/>
      <c r="RLG106" s="108"/>
      <c r="RLH106" s="108"/>
      <c r="RLI106" s="108"/>
      <c r="RLJ106" s="108"/>
      <c r="RLK106" s="108"/>
      <c r="RLL106" s="108"/>
      <c r="RLM106" s="108"/>
      <c r="RLN106" s="108"/>
      <c r="RLO106" s="108"/>
      <c r="RLP106" s="108"/>
      <c r="RLQ106" s="108"/>
      <c r="RLR106" s="108"/>
      <c r="RLS106" s="108"/>
      <c r="RLT106" s="108"/>
      <c r="RLU106" s="108"/>
      <c r="RLV106" s="108"/>
      <c r="RLW106" s="108"/>
      <c r="RLX106" s="108"/>
      <c r="RLY106" s="108"/>
      <c r="RLZ106" s="108"/>
      <c r="RMA106" s="108"/>
      <c r="RMB106" s="108"/>
      <c r="RMC106" s="108"/>
      <c r="RMD106" s="108"/>
      <c r="RME106" s="108"/>
      <c r="RMF106" s="108"/>
      <c r="RMG106" s="108"/>
      <c r="RMH106" s="108"/>
      <c r="RMI106" s="108"/>
      <c r="RMJ106" s="108"/>
      <c r="RMK106" s="108"/>
      <c r="RML106" s="108"/>
      <c r="RMM106" s="108"/>
      <c r="RMN106" s="108"/>
      <c r="RMO106" s="108"/>
      <c r="RMP106" s="108"/>
      <c r="RMQ106" s="108"/>
      <c r="RMR106" s="108"/>
      <c r="RMS106" s="108"/>
      <c r="RMT106" s="108"/>
      <c r="RMU106" s="108"/>
      <c r="RMV106" s="108"/>
      <c r="RMW106" s="108"/>
      <c r="RMX106" s="108"/>
      <c r="RMY106" s="108"/>
      <c r="RMZ106" s="108"/>
      <c r="RNA106" s="108"/>
      <c r="RNB106" s="108"/>
      <c r="RNC106" s="108"/>
      <c r="RND106" s="108"/>
      <c r="RNE106" s="108"/>
      <c r="RNF106" s="108"/>
      <c r="RNG106" s="108"/>
      <c r="RNH106" s="108"/>
      <c r="RNI106" s="108"/>
      <c r="RNJ106" s="108"/>
      <c r="RNK106" s="108"/>
      <c r="RNL106" s="108"/>
      <c r="RNM106" s="108"/>
      <c r="RNN106" s="108"/>
      <c r="RNO106" s="108"/>
      <c r="RNP106" s="108"/>
      <c r="RNQ106" s="108"/>
      <c r="RNR106" s="108"/>
      <c r="RNS106" s="108"/>
      <c r="RNT106" s="108"/>
      <c r="RNU106" s="108"/>
      <c r="RNV106" s="108"/>
      <c r="RNW106" s="108"/>
      <c r="RNX106" s="108"/>
      <c r="RNY106" s="108"/>
      <c r="RNZ106" s="108"/>
      <c r="ROA106" s="108"/>
      <c r="ROB106" s="108"/>
      <c r="ROC106" s="108"/>
      <c r="ROD106" s="108"/>
      <c r="ROE106" s="108"/>
      <c r="ROF106" s="108"/>
      <c r="ROG106" s="108"/>
      <c r="ROH106" s="108"/>
      <c r="ROI106" s="108"/>
      <c r="ROJ106" s="108"/>
      <c r="ROK106" s="108"/>
      <c r="ROL106" s="108"/>
      <c r="ROM106" s="108"/>
      <c r="RON106" s="108"/>
      <c r="ROO106" s="108"/>
      <c r="ROP106" s="108"/>
      <c r="ROQ106" s="108"/>
      <c r="ROR106" s="108"/>
      <c r="ROS106" s="108"/>
      <c r="ROT106" s="108"/>
      <c r="ROU106" s="108"/>
      <c r="ROV106" s="108"/>
      <c r="ROW106" s="108"/>
      <c r="ROX106" s="108"/>
      <c r="ROY106" s="108"/>
      <c r="ROZ106" s="108"/>
      <c r="RPA106" s="108"/>
      <c r="RPB106" s="108"/>
      <c r="RPC106" s="108"/>
      <c r="RPD106" s="108"/>
      <c r="RPE106" s="108"/>
      <c r="RPF106" s="108"/>
      <c r="RPG106" s="108"/>
      <c r="RPH106" s="108"/>
      <c r="RPI106" s="108"/>
      <c r="RPJ106" s="108"/>
      <c r="RPK106" s="108"/>
      <c r="RPL106" s="108"/>
      <c r="RPM106" s="108"/>
      <c r="RPN106" s="108"/>
      <c r="RPO106" s="108"/>
      <c r="RPP106" s="108"/>
      <c r="RPQ106" s="108"/>
      <c r="RPR106" s="108"/>
      <c r="RPS106" s="108"/>
      <c r="RPT106" s="108"/>
      <c r="RPU106" s="108"/>
      <c r="RPV106" s="108"/>
      <c r="RPW106" s="108"/>
      <c r="RPX106" s="108"/>
      <c r="RPY106" s="108"/>
      <c r="RPZ106" s="108"/>
      <c r="RQA106" s="108"/>
      <c r="RQB106" s="108"/>
      <c r="RQC106" s="108"/>
      <c r="RQD106" s="108"/>
      <c r="RQE106" s="108"/>
      <c r="RQF106" s="108"/>
      <c r="RQG106" s="108"/>
      <c r="RQH106" s="108"/>
      <c r="RQI106" s="108"/>
      <c r="RQJ106" s="108"/>
      <c r="RQK106" s="108"/>
      <c r="RQL106" s="108"/>
      <c r="RQM106" s="108"/>
      <c r="RQN106" s="108"/>
      <c r="RQO106" s="108"/>
      <c r="RQP106" s="108"/>
      <c r="RQQ106" s="108"/>
      <c r="RQR106" s="108"/>
      <c r="RQS106" s="108"/>
      <c r="RQT106" s="108"/>
      <c r="RQU106" s="108"/>
      <c r="RQV106" s="108"/>
      <c r="RQW106" s="108"/>
      <c r="RQX106" s="108"/>
      <c r="RQY106" s="108"/>
      <c r="RQZ106" s="108"/>
      <c r="RRA106" s="108"/>
      <c r="RRB106" s="108"/>
      <c r="RRC106" s="108"/>
      <c r="RRD106" s="108"/>
      <c r="RRE106" s="108"/>
      <c r="RRF106" s="108"/>
      <c r="RRG106" s="108"/>
      <c r="RRH106" s="108"/>
      <c r="RRI106" s="108"/>
      <c r="RRJ106" s="108"/>
      <c r="RRK106" s="108"/>
      <c r="RRL106" s="108"/>
      <c r="RRM106" s="108"/>
      <c r="RRN106" s="108"/>
      <c r="RRO106" s="108"/>
      <c r="RRP106" s="108"/>
      <c r="RRQ106" s="108"/>
      <c r="RRR106" s="108"/>
      <c r="RRS106" s="108"/>
      <c r="RRT106" s="108"/>
      <c r="RRU106" s="108"/>
      <c r="RRV106" s="108"/>
      <c r="RRW106" s="108"/>
      <c r="RRX106" s="108"/>
      <c r="RRY106" s="108"/>
      <c r="RRZ106" s="108"/>
      <c r="RSA106" s="108"/>
      <c r="RSB106" s="108"/>
      <c r="RSC106" s="108"/>
      <c r="RSD106" s="108"/>
      <c r="RSE106" s="108"/>
      <c r="RSF106" s="108"/>
      <c r="RSG106" s="108"/>
      <c r="RSH106" s="108"/>
      <c r="RSI106" s="108"/>
      <c r="RSJ106" s="108"/>
      <c r="RSK106" s="108"/>
      <c r="RSL106" s="108"/>
      <c r="RSM106" s="108"/>
      <c r="RSN106" s="108"/>
      <c r="RSO106" s="108"/>
      <c r="RSP106" s="108"/>
      <c r="RSQ106" s="108"/>
      <c r="RSR106" s="108"/>
      <c r="RSS106" s="108"/>
      <c r="RST106" s="108"/>
      <c r="RSU106" s="108"/>
      <c r="RSV106" s="108"/>
      <c r="RSW106" s="108"/>
      <c r="RSX106" s="108"/>
      <c r="RSY106" s="108"/>
      <c r="RSZ106" s="108"/>
      <c r="RTA106" s="108"/>
      <c r="RTB106" s="108"/>
      <c r="RTC106" s="108"/>
      <c r="RTD106" s="108"/>
      <c r="RTE106" s="108"/>
      <c r="RTF106" s="108"/>
      <c r="RTG106" s="108"/>
      <c r="RTH106" s="108"/>
      <c r="RTI106" s="108"/>
      <c r="RTJ106" s="108"/>
      <c r="RTK106" s="108"/>
      <c r="RTL106" s="108"/>
      <c r="RTM106" s="108"/>
      <c r="RTN106" s="108"/>
      <c r="RTO106" s="108"/>
      <c r="RTP106" s="108"/>
      <c r="RTQ106" s="108"/>
      <c r="RTR106" s="108"/>
      <c r="RTS106" s="108"/>
      <c r="RTT106" s="108"/>
      <c r="RTU106" s="108"/>
      <c r="RTV106" s="108"/>
      <c r="RTW106" s="108"/>
      <c r="RTX106" s="108"/>
      <c r="RTY106" s="108"/>
      <c r="RTZ106" s="108"/>
      <c r="RUA106" s="108"/>
      <c r="RUB106" s="108"/>
      <c r="RUC106" s="108"/>
      <c r="RUD106" s="108"/>
      <c r="RUE106" s="108"/>
      <c r="RUF106" s="108"/>
      <c r="RUG106" s="108"/>
      <c r="RUH106" s="108"/>
      <c r="RUI106" s="108"/>
      <c r="RUJ106" s="108"/>
      <c r="RUK106" s="108"/>
      <c r="RUL106" s="108"/>
      <c r="RUM106" s="108"/>
      <c r="RUN106" s="108"/>
      <c r="RUO106" s="108"/>
      <c r="RUP106" s="108"/>
      <c r="RUQ106" s="108"/>
      <c r="RUR106" s="108"/>
      <c r="RUS106" s="108"/>
      <c r="RUT106" s="108"/>
      <c r="RUU106" s="108"/>
      <c r="RUV106" s="108"/>
      <c r="RUW106" s="108"/>
      <c r="RUX106" s="108"/>
      <c r="RUY106" s="108"/>
      <c r="RUZ106" s="108"/>
      <c r="RVA106" s="108"/>
      <c r="RVB106" s="108"/>
      <c r="RVC106" s="108"/>
      <c r="RVD106" s="108"/>
      <c r="RVE106" s="108"/>
      <c r="RVF106" s="108"/>
      <c r="RVG106" s="108"/>
      <c r="RVH106" s="108"/>
      <c r="RVI106" s="108"/>
      <c r="RVJ106" s="108"/>
      <c r="RVK106" s="108"/>
      <c r="RVL106" s="108"/>
      <c r="RVM106" s="108"/>
      <c r="RVN106" s="108"/>
      <c r="RVO106" s="108"/>
      <c r="RVP106" s="108"/>
      <c r="RVQ106" s="108"/>
      <c r="RVR106" s="108"/>
      <c r="RVS106" s="108"/>
      <c r="RVT106" s="108"/>
      <c r="RVU106" s="108"/>
      <c r="RVV106" s="108"/>
      <c r="RVW106" s="108"/>
      <c r="RVX106" s="108"/>
      <c r="RVY106" s="108"/>
      <c r="RVZ106" s="108"/>
      <c r="RWA106" s="108"/>
      <c r="RWB106" s="108"/>
      <c r="RWC106" s="108"/>
      <c r="RWD106" s="108"/>
      <c r="RWE106" s="108"/>
      <c r="RWF106" s="108"/>
      <c r="RWG106" s="108"/>
      <c r="RWH106" s="108"/>
      <c r="RWI106" s="108"/>
      <c r="RWJ106" s="108"/>
      <c r="RWK106" s="108"/>
      <c r="RWL106" s="108"/>
      <c r="RWM106" s="108"/>
      <c r="RWN106" s="108"/>
      <c r="RWO106" s="108"/>
      <c r="RWP106" s="108"/>
      <c r="RWQ106" s="108"/>
      <c r="RWR106" s="108"/>
      <c r="RWS106" s="108"/>
      <c r="RWT106" s="108"/>
      <c r="RWU106" s="108"/>
      <c r="RWV106" s="108"/>
      <c r="RWW106" s="108"/>
      <c r="RWX106" s="108"/>
      <c r="RWY106" s="108"/>
      <c r="RWZ106" s="108"/>
      <c r="RXA106" s="108"/>
      <c r="RXB106" s="108"/>
      <c r="RXC106" s="108"/>
      <c r="RXD106" s="108"/>
      <c r="RXE106" s="108"/>
      <c r="RXF106" s="108"/>
      <c r="RXG106" s="108"/>
      <c r="RXH106" s="108"/>
      <c r="RXI106" s="108"/>
      <c r="RXJ106" s="108"/>
      <c r="RXK106" s="108"/>
      <c r="RXL106" s="108"/>
      <c r="RXM106" s="108"/>
      <c r="RXN106" s="108"/>
      <c r="RXO106" s="108"/>
      <c r="RXP106" s="108"/>
      <c r="RXQ106" s="108"/>
      <c r="RXR106" s="108"/>
      <c r="RXS106" s="108"/>
      <c r="RXT106" s="108"/>
      <c r="RXU106" s="108"/>
      <c r="RXV106" s="108"/>
      <c r="RXW106" s="108"/>
      <c r="RXX106" s="108"/>
      <c r="RXY106" s="108"/>
      <c r="RXZ106" s="108"/>
      <c r="RYA106" s="108"/>
      <c r="RYB106" s="108"/>
      <c r="RYC106" s="108"/>
      <c r="RYD106" s="108"/>
      <c r="RYE106" s="108"/>
      <c r="RYF106" s="108"/>
      <c r="RYG106" s="108"/>
      <c r="RYH106" s="108"/>
      <c r="RYI106" s="108"/>
      <c r="RYJ106" s="108"/>
      <c r="RYK106" s="108"/>
      <c r="RYL106" s="108"/>
      <c r="RYM106" s="108"/>
      <c r="RYN106" s="108"/>
      <c r="RYO106" s="108"/>
      <c r="RYP106" s="108"/>
      <c r="RYQ106" s="108"/>
      <c r="RYR106" s="108"/>
      <c r="RYS106" s="108"/>
      <c r="RYT106" s="108"/>
      <c r="RYU106" s="108"/>
      <c r="RYV106" s="108"/>
      <c r="RYW106" s="108"/>
      <c r="RYX106" s="108"/>
      <c r="RYY106" s="108"/>
      <c r="RYZ106" s="108"/>
      <c r="RZA106" s="108"/>
      <c r="RZB106" s="108"/>
      <c r="RZC106" s="108"/>
      <c r="RZD106" s="108"/>
      <c r="RZE106" s="108"/>
      <c r="RZF106" s="108"/>
      <c r="RZG106" s="108"/>
      <c r="RZH106" s="108"/>
      <c r="RZI106" s="108"/>
      <c r="RZJ106" s="108"/>
      <c r="RZK106" s="108"/>
      <c r="RZL106" s="108"/>
      <c r="RZM106" s="108"/>
      <c r="RZN106" s="108"/>
      <c r="RZO106" s="108"/>
      <c r="RZP106" s="108"/>
      <c r="RZQ106" s="108"/>
      <c r="RZR106" s="108"/>
      <c r="RZS106" s="108"/>
      <c r="RZT106" s="108"/>
      <c r="RZU106" s="108"/>
      <c r="RZV106" s="108"/>
      <c r="RZW106" s="108"/>
      <c r="RZX106" s="108"/>
      <c r="RZY106" s="108"/>
      <c r="RZZ106" s="108"/>
      <c r="SAA106" s="108"/>
      <c r="SAB106" s="108"/>
      <c r="SAC106" s="108"/>
      <c r="SAD106" s="108"/>
      <c r="SAE106" s="108"/>
      <c r="SAF106" s="108"/>
      <c r="SAG106" s="108"/>
      <c r="SAH106" s="108"/>
      <c r="SAI106" s="108"/>
      <c r="SAJ106" s="108"/>
      <c r="SAK106" s="108"/>
      <c r="SAL106" s="108"/>
      <c r="SAM106" s="108"/>
      <c r="SAN106" s="108"/>
      <c r="SAO106" s="108"/>
      <c r="SAP106" s="108"/>
      <c r="SAQ106" s="108"/>
      <c r="SAR106" s="108"/>
      <c r="SAS106" s="108"/>
      <c r="SAT106" s="108"/>
      <c r="SAU106" s="108"/>
      <c r="SAV106" s="108"/>
      <c r="SAW106" s="108"/>
      <c r="SAX106" s="108"/>
      <c r="SAY106" s="108"/>
      <c r="SAZ106" s="108"/>
      <c r="SBA106" s="108"/>
      <c r="SBB106" s="108"/>
      <c r="SBC106" s="108"/>
      <c r="SBD106" s="108"/>
      <c r="SBE106" s="108"/>
      <c r="SBF106" s="108"/>
      <c r="SBG106" s="108"/>
      <c r="SBH106" s="108"/>
      <c r="SBI106" s="108"/>
      <c r="SBJ106" s="108"/>
      <c r="SBK106" s="108"/>
      <c r="SBL106" s="108"/>
      <c r="SBM106" s="108"/>
      <c r="SBN106" s="108"/>
      <c r="SBO106" s="108"/>
      <c r="SBP106" s="108"/>
      <c r="SBQ106" s="108"/>
      <c r="SBR106" s="108"/>
      <c r="SBS106" s="108"/>
      <c r="SBT106" s="108"/>
      <c r="SBU106" s="108"/>
      <c r="SBV106" s="108"/>
      <c r="SBW106" s="108"/>
      <c r="SBX106" s="108"/>
      <c r="SBY106" s="108"/>
      <c r="SBZ106" s="108"/>
      <c r="SCA106" s="108"/>
      <c r="SCB106" s="108"/>
      <c r="SCC106" s="108"/>
      <c r="SCD106" s="108"/>
      <c r="SCE106" s="108"/>
      <c r="SCF106" s="108"/>
      <c r="SCG106" s="108"/>
      <c r="SCH106" s="108"/>
      <c r="SCI106" s="108"/>
      <c r="SCJ106" s="108"/>
      <c r="SCK106" s="108"/>
      <c r="SCL106" s="108"/>
      <c r="SCM106" s="108"/>
      <c r="SCN106" s="108"/>
      <c r="SCO106" s="108"/>
      <c r="SCP106" s="108"/>
      <c r="SCQ106" s="108"/>
      <c r="SCR106" s="108"/>
      <c r="SCS106" s="108"/>
      <c r="SCT106" s="108"/>
      <c r="SCU106" s="108"/>
      <c r="SCV106" s="108"/>
      <c r="SCW106" s="108"/>
      <c r="SCX106" s="108"/>
      <c r="SCY106" s="108"/>
      <c r="SCZ106" s="108"/>
      <c r="SDA106" s="108"/>
      <c r="SDB106" s="108"/>
      <c r="SDC106" s="108"/>
      <c r="SDD106" s="108"/>
      <c r="SDE106" s="108"/>
      <c r="SDF106" s="108"/>
      <c r="SDG106" s="108"/>
      <c r="SDH106" s="108"/>
      <c r="SDI106" s="108"/>
      <c r="SDJ106" s="108"/>
      <c r="SDK106" s="108"/>
      <c r="SDL106" s="108"/>
      <c r="SDM106" s="108"/>
      <c r="SDN106" s="108"/>
      <c r="SDO106" s="108"/>
      <c r="SDP106" s="108"/>
      <c r="SDQ106" s="108"/>
      <c r="SDR106" s="108"/>
      <c r="SDS106" s="108"/>
      <c r="SDT106" s="108"/>
      <c r="SDU106" s="108"/>
      <c r="SDV106" s="108"/>
      <c r="SDW106" s="108"/>
      <c r="SDX106" s="108"/>
      <c r="SDY106" s="108"/>
      <c r="SDZ106" s="108"/>
      <c r="SEA106" s="108"/>
      <c r="SEB106" s="108"/>
      <c r="SEC106" s="108"/>
      <c r="SED106" s="108"/>
      <c r="SEE106" s="108"/>
      <c r="SEF106" s="108"/>
      <c r="SEG106" s="108"/>
      <c r="SEH106" s="108"/>
      <c r="SEI106" s="108"/>
      <c r="SEJ106" s="108"/>
      <c r="SEK106" s="108"/>
      <c r="SEL106" s="108"/>
      <c r="SEM106" s="108"/>
      <c r="SEN106" s="108"/>
      <c r="SEO106" s="108"/>
      <c r="SEP106" s="108"/>
      <c r="SEQ106" s="108"/>
      <c r="SER106" s="108"/>
      <c r="SES106" s="108"/>
      <c r="SET106" s="108"/>
      <c r="SEU106" s="108"/>
      <c r="SEV106" s="108"/>
      <c r="SEW106" s="108"/>
      <c r="SEX106" s="108"/>
      <c r="SEY106" s="108"/>
      <c r="SEZ106" s="108"/>
      <c r="SFA106" s="108"/>
      <c r="SFB106" s="108"/>
      <c r="SFC106" s="108"/>
      <c r="SFD106" s="108"/>
      <c r="SFE106" s="108"/>
      <c r="SFF106" s="108"/>
      <c r="SFG106" s="108"/>
      <c r="SFH106" s="108"/>
      <c r="SFI106" s="108"/>
      <c r="SFJ106" s="108"/>
      <c r="SFK106" s="108"/>
      <c r="SFL106" s="108"/>
      <c r="SFM106" s="108"/>
      <c r="SFN106" s="108"/>
      <c r="SFO106" s="108"/>
      <c r="SFP106" s="108"/>
      <c r="SFQ106" s="108"/>
      <c r="SFR106" s="108"/>
      <c r="SFS106" s="108"/>
      <c r="SFT106" s="108"/>
      <c r="SFU106" s="108"/>
      <c r="SFV106" s="108"/>
      <c r="SFW106" s="108"/>
      <c r="SFX106" s="108"/>
      <c r="SFY106" s="108"/>
      <c r="SFZ106" s="108"/>
      <c r="SGA106" s="108"/>
      <c r="SGB106" s="108"/>
      <c r="SGC106" s="108"/>
      <c r="SGD106" s="108"/>
      <c r="SGE106" s="108"/>
      <c r="SGF106" s="108"/>
      <c r="SGG106" s="108"/>
      <c r="SGH106" s="108"/>
      <c r="SGI106" s="108"/>
      <c r="SGJ106" s="108"/>
      <c r="SGK106" s="108"/>
      <c r="SGL106" s="108"/>
      <c r="SGM106" s="108"/>
      <c r="SGN106" s="108"/>
      <c r="SGO106" s="108"/>
      <c r="SGP106" s="108"/>
      <c r="SGQ106" s="108"/>
      <c r="SGR106" s="108"/>
      <c r="SGS106" s="108"/>
      <c r="SGT106" s="108"/>
      <c r="SGU106" s="108"/>
      <c r="SGV106" s="108"/>
      <c r="SGW106" s="108"/>
      <c r="SGX106" s="108"/>
      <c r="SGY106" s="108"/>
      <c r="SGZ106" s="108"/>
      <c r="SHA106" s="108"/>
      <c r="SHB106" s="108"/>
      <c r="SHC106" s="108"/>
      <c r="SHD106" s="108"/>
      <c r="SHE106" s="108"/>
      <c r="SHF106" s="108"/>
      <c r="SHG106" s="108"/>
      <c r="SHH106" s="108"/>
      <c r="SHI106" s="108"/>
      <c r="SHJ106" s="108"/>
      <c r="SHK106" s="108"/>
      <c r="SHL106" s="108"/>
      <c r="SHM106" s="108"/>
      <c r="SHN106" s="108"/>
      <c r="SHO106" s="108"/>
      <c r="SHP106" s="108"/>
      <c r="SHQ106" s="108"/>
      <c r="SHR106" s="108"/>
      <c r="SHS106" s="108"/>
      <c r="SHT106" s="108"/>
      <c r="SHU106" s="108"/>
      <c r="SHV106" s="108"/>
      <c r="SHW106" s="108"/>
      <c r="SHX106" s="108"/>
      <c r="SHY106" s="108"/>
      <c r="SHZ106" s="108"/>
      <c r="SIA106" s="108"/>
      <c r="SIB106" s="108"/>
      <c r="SIC106" s="108"/>
      <c r="SID106" s="108"/>
      <c r="SIE106" s="108"/>
      <c r="SIF106" s="108"/>
      <c r="SIG106" s="108"/>
      <c r="SIH106" s="108"/>
      <c r="SII106" s="108"/>
      <c r="SIJ106" s="108"/>
      <c r="SIK106" s="108"/>
      <c r="SIL106" s="108"/>
      <c r="SIM106" s="108"/>
      <c r="SIN106" s="108"/>
      <c r="SIO106" s="108"/>
      <c r="SIP106" s="108"/>
      <c r="SIQ106" s="108"/>
      <c r="SIR106" s="108"/>
      <c r="SIS106" s="108"/>
      <c r="SIT106" s="108"/>
      <c r="SIU106" s="108"/>
      <c r="SIV106" s="108"/>
      <c r="SIW106" s="108"/>
      <c r="SIX106" s="108"/>
      <c r="SIY106" s="108"/>
      <c r="SIZ106" s="108"/>
      <c r="SJA106" s="108"/>
      <c r="SJB106" s="108"/>
      <c r="SJC106" s="108"/>
      <c r="SJD106" s="108"/>
      <c r="SJE106" s="108"/>
      <c r="SJF106" s="108"/>
      <c r="SJG106" s="108"/>
      <c r="SJH106" s="108"/>
      <c r="SJI106" s="108"/>
      <c r="SJJ106" s="108"/>
      <c r="SJK106" s="108"/>
      <c r="SJL106" s="108"/>
      <c r="SJM106" s="108"/>
      <c r="SJN106" s="108"/>
      <c r="SJO106" s="108"/>
      <c r="SJP106" s="108"/>
      <c r="SJQ106" s="108"/>
      <c r="SJR106" s="108"/>
      <c r="SJS106" s="108"/>
      <c r="SJT106" s="108"/>
      <c r="SJU106" s="108"/>
      <c r="SJV106" s="108"/>
      <c r="SJW106" s="108"/>
      <c r="SJX106" s="108"/>
      <c r="SJY106" s="108"/>
      <c r="SJZ106" s="108"/>
      <c r="SKA106" s="108"/>
      <c r="SKB106" s="108"/>
      <c r="SKC106" s="108"/>
      <c r="SKD106" s="108"/>
      <c r="SKE106" s="108"/>
      <c r="SKF106" s="108"/>
      <c r="SKG106" s="108"/>
      <c r="SKH106" s="108"/>
      <c r="SKI106" s="108"/>
      <c r="SKJ106" s="108"/>
      <c r="SKK106" s="108"/>
      <c r="SKL106" s="108"/>
      <c r="SKM106" s="108"/>
      <c r="SKN106" s="108"/>
      <c r="SKO106" s="108"/>
      <c r="SKP106" s="108"/>
      <c r="SKQ106" s="108"/>
      <c r="SKR106" s="108"/>
      <c r="SKS106" s="108"/>
      <c r="SKT106" s="108"/>
      <c r="SKU106" s="108"/>
      <c r="SKV106" s="108"/>
      <c r="SKW106" s="108"/>
      <c r="SKX106" s="108"/>
      <c r="SKY106" s="108"/>
      <c r="SKZ106" s="108"/>
      <c r="SLA106" s="108"/>
      <c r="SLB106" s="108"/>
      <c r="SLC106" s="108"/>
      <c r="SLD106" s="108"/>
      <c r="SLE106" s="108"/>
      <c r="SLF106" s="108"/>
      <c r="SLG106" s="108"/>
      <c r="SLH106" s="108"/>
      <c r="SLI106" s="108"/>
      <c r="SLJ106" s="108"/>
      <c r="SLK106" s="108"/>
      <c r="SLL106" s="108"/>
      <c r="SLM106" s="108"/>
      <c r="SLN106" s="108"/>
      <c r="SLO106" s="108"/>
      <c r="SLP106" s="108"/>
      <c r="SLQ106" s="108"/>
      <c r="SLR106" s="108"/>
      <c r="SLS106" s="108"/>
      <c r="SLT106" s="108"/>
      <c r="SLU106" s="108"/>
      <c r="SLV106" s="108"/>
      <c r="SLW106" s="108"/>
      <c r="SLX106" s="108"/>
      <c r="SLY106" s="108"/>
      <c r="SLZ106" s="108"/>
      <c r="SMA106" s="108"/>
      <c r="SMB106" s="108"/>
      <c r="SMC106" s="108"/>
      <c r="SMD106" s="108"/>
      <c r="SME106" s="108"/>
      <c r="SMF106" s="108"/>
      <c r="SMG106" s="108"/>
      <c r="SMH106" s="108"/>
      <c r="SMI106" s="108"/>
      <c r="SMJ106" s="108"/>
      <c r="SMK106" s="108"/>
      <c r="SML106" s="108"/>
      <c r="SMM106" s="108"/>
      <c r="SMN106" s="108"/>
      <c r="SMO106" s="108"/>
      <c r="SMP106" s="108"/>
      <c r="SMQ106" s="108"/>
      <c r="SMR106" s="108"/>
      <c r="SMS106" s="108"/>
      <c r="SMT106" s="108"/>
      <c r="SMU106" s="108"/>
      <c r="SMV106" s="108"/>
      <c r="SMW106" s="108"/>
      <c r="SMX106" s="108"/>
      <c r="SMY106" s="108"/>
      <c r="SMZ106" s="108"/>
      <c r="SNA106" s="108"/>
      <c r="SNB106" s="108"/>
      <c r="SNC106" s="108"/>
      <c r="SND106" s="108"/>
      <c r="SNE106" s="108"/>
      <c r="SNF106" s="108"/>
      <c r="SNG106" s="108"/>
      <c r="SNH106" s="108"/>
      <c r="SNI106" s="108"/>
      <c r="SNJ106" s="108"/>
      <c r="SNK106" s="108"/>
      <c r="SNL106" s="108"/>
      <c r="SNM106" s="108"/>
      <c r="SNN106" s="108"/>
      <c r="SNO106" s="108"/>
      <c r="SNP106" s="108"/>
      <c r="SNQ106" s="108"/>
      <c r="SNR106" s="108"/>
      <c r="SNS106" s="108"/>
      <c r="SNT106" s="108"/>
      <c r="SNU106" s="108"/>
      <c r="SNV106" s="108"/>
      <c r="SNW106" s="108"/>
      <c r="SNX106" s="108"/>
      <c r="SNY106" s="108"/>
      <c r="SNZ106" s="108"/>
      <c r="SOA106" s="108"/>
      <c r="SOB106" s="108"/>
      <c r="SOC106" s="108"/>
      <c r="SOD106" s="108"/>
      <c r="SOE106" s="108"/>
      <c r="SOF106" s="108"/>
      <c r="SOG106" s="108"/>
      <c r="SOH106" s="108"/>
      <c r="SOI106" s="108"/>
      <c r="SOJ106" s="108"/>
      <c r="SOK106" s="108"/>
      <c r="SOL106" s="108"/>
      <c r="SOM106" s="108"/>
      <c r="SON106" s="108"/>
      <c r="SOO106" s="108"/>
      <c r="SOP106" s="108"/>
      <c r="SOQ106" s="108"/>
      <c r="SOR106" s="108"/>
      <c r="SOS106" s="108"/>
      <c r="SOT106" s="108"/>
      <c r="SOU106" s="108"/>
      <c r="SOV106" s="108"/>
      <c r="SOW106" s="108"/>
      <c r="SOX106" s="108"/>
      <c r="SOY106" s="108"/>
      <c r="SOZ106" s="108"/>
      <c r="SPA106" s="108"/>
      <c r="SPB106" s="108"/>
      <c r="SPC106" s="108"/>
      <c r="SPD106" s="108"/>
      <c r="SPE106" s="108"/>
      <c r="SPF106" s="108"/>
      <c r="SPG106" s="108"/>
      <c r="SPH106" s="108"/>
      <c r="SPI106" s="108"/>
      <c r="SPJ106" s="108"/>
      <c r="SPK106" s="108"/>
      <c r="SPL106" s="108"/>
      <c r="SPM106" s="108"/>
      <c r="SPN106" s="108"/>
      <c r="SPO106" s="108"/>
      <c r="SPP106" s="108"/>
      <c r="SPQ106" s="108"/>
      <c r="SPR106" s="108"/>
      <c r="SPS106" s="108"/>
      <c r="SPT106" s="108"/>
      <c r="SPU106" s="108"/>
      <c r="SPV106" s="108"/>
      <c r="SPW106" s="108"/>
      <c r="SPX106" s="108"/>
      <c r="SPY106" s="108"/>
      <c r="SPZ106" s="108"/>
      <c r="SQA106" s="108"/>
      <c r="SQB106" s="108"/>
      <c r="SQC106" s="108"/>
      <c r="SQD106" s="108"/>
      <c r="SQE106" s="108"/>
      <c r="SQF106" s="108"/>
      <c r="SQG106" s="108"/>
      <c r="SQH106" s="108"/>
      <c r="SQI106" s="108"/>
      <c r="SQJ106" s="108"/>
      <c r="SQK106" s="108"/>
      <c r="SQL106" s="108"/>
      <c r="SQM106" s="108"/>
      <c r="SQN106" s="108"/>
      <c r="SQO106" s="108"/>
      <c r="SQP106" s="108"/>
      <c r="SQQ106" s="108"/>
      <c r="SQR106" s="108"/>
      <c r="SQS106" s="108"/>
      <c r="SQT106" s="108"/>
      <c r="SQU106" s="108"/>
      <c r="SQV106" s="108"/>
      <c r="SQW106" s="108"/>
      <c r="SQX106" s="108"/>
      <c r="SQY106" s="108"/>
      <c r="SQZ106" s="108"/>
      <c r="SRA106" s="108"/>
      <c r="SRB106" s="108"/>
      <c r="SRC106" s="108"/>
      <c r="SRD106" s="108"/>
      <c r="SRE106" s="108"/>
      <c r="SRF106" s="108"/>
      <c r="SRG106" s="108"/>
      <c r="SRH106" s="108"/>
      <c r="SRI106" s="108"/>
      <c r="SRJ106" s="108"/>
      <c r="SRK106" s="108"/>
      <c r="SRL106" s="108"/>
      <c r="SRM106" s="108"/>
      <c r="SRN106" s="108"/>
      <c r="SRO106" s="108"/>
      <c r="SRP106" s="108"/>
      <c r="SRQ106" s="108"/>
      <c r="SRR106" s="108"/>
      <c r="SRS106" s="108"/>
      <c r="SRT106" s="108"/>
      <c r="SRU106" s="108"/>
      <c r="SRV106" s="108"/>
      <c r="SRW106" s="108"/>
      <c r="SRX106" s="108"/>
      <c r="SRY106" s="108"/>
      <c r="SRZ106" s="108"/>
      <c r="SSA106" s="108"/>
      <c r="SSB106" s="108"/>
      <c r="SSC106" s="108"/>
      <c r="SSD106" s="108"/>
      <c r="SSE106" s="108"/>
      <c r="SSF106" s="108"/>
      <c r="SSG106" s="108"/>
      <c r="SSH106" s="108"/>
      <c r="SSI106" s="108"/>
      <c r="SSJ106" s="108"/>
      <c r="SSK106" s="108"/>
      <c r="SSL106" s="108"/>
      <c r="SSM106" s="108"/>
      <c r="SSN106" s="108"/>
      <c r="SSO106" s="108"/>
      <c r="SSP106" s="108"/>
      <c r="SSQ106" s="108"/>
      <c r="SSR106" s="108"/>
      <c r="SSS106" s="108"/>
      <c r="SST106" s="108"/>
      <c r="SSU106" s="108"/>
      <c r="SSV106" s="108"/>
      <c r="SSW106" s="108"/>
      <c r="SSX106" s="108"/>
      <c r="SSY106" s="108"/>
      <c r="SSZ106" s="108"/>
      <c r="STA106" s="108"/>
      <c r="STB106" s="108"/>
      <c r="STC106" s="108"/>
      <c r="STD106" s="108"/>
      <c r="STE106" s="108"/>
      <c r="STF106" s="108"/>
      <c r="STG106" s="108"/>
      <c r="STH106" s="108"/>
      <c r="STI106" s="108"/>
      <c r="STJ106" s="108"/>
      <c r="STK106" s="108"/>
      <c r="STL106" s="108"/>
      <c r="STM106" s="108"/>
      <c r="STN106" s="108"/>
      <c r="STO106" s="108"/>
      <c r="STP106" s="108"/>
      <c r="STQ106" s="108"/>
      <c r="STR106" s="108"/>
      <c r="STS106" s="108"/>
      <c r="STT106" s="108"/>
      <c r="STU106" s="108"/>
      <c r="STV106" s="108"/>
      <c r="STW106" s="108"/>
      <c r="STX106" s="108"/>
      <c r="STY106" s="108"/>
      <c r="STZ106" s="108"/>
      <c r="SUA106" s="108"/>
      <c r="SUB106" s="108"/>
      <c r="SUC106" s="108"/>
      <c r="SUD106" s="108"/>
      <c r="SUE106" s="108"/>
      <c r="SUF106" s="108"/>
      <c r="SUG106" s="108"/>
      <c r="SUH106" s="108"/>
      <c r="SUI106" s="108"/>
      <c r="SUJ106" s="108"/>
      <c r="SUK106" s="108"/>
      <c r="SUL106" s="108"/>
      <c r="SUM106" s="108"/>
      <c r="SUN106" s="108"/>
      <c r="SUO106" s="108"/>
      <c r="SUP106" s="108"/>
      <c r="SUQ106" s="108"/>
      <c r="SUR106" s="108"/>
      <c r="SUS106" s="108"/>
      <c r="SUT106" s="108"/>
      <c r="SUU106" s="108"/>
      <c r="SUV106" s="108"/>
      <c r="SUW106" s="108"/>
      <c r="SUX106" s="108"/>
      <c r="SUY106" s="108"/>
      <c r="SUZ106" s="108"/>
      <c r="SVA106" s="108"/>
      <c r="SVB106" s="108"/>
      <c r="SVC106" s="108"/>
      <c r="SVD106" s="108"/>
      <c r="SVE106" s="108"/>
      <c r="SVF106" s="108"/>
      <c r="SVG106" s="108"/>
      <c r="SVH106" s="108"/>
      <c r="SVI106" s="108"/>
      <c r="SVJ106" s="108"/>
      <c r="SVK106" s="108"/>
      <c r="SVL106" s="108"/>
      <c r="SVM106" s="108"/>
      <c r="SVN106" s="108"/>
      <c r="SVO106" s="108"/>
      <c r="SVP106" s="108"/>
      <c r="SVQ106" s="108"/>
      <c r="SVR106" s="108"/>
      <c r="SVS106" s="108"/>
      <c r="SVT106" s="108"/>
      <c r="SVU106" s="108"/>
      <c r="SVV106" s="108"/>
      <c r="SVW106" s="108"/>
      <c r="SVX106" s="108"/>
      <c r="SVY106" s="108"/>
      <c r="SVZ106" s="108"/>
      <c r="SWA106" s="108"/>
      <c r="SWB106" s="108"/>
      <c r="SWC106" s="108"/>
      <c r="SWD106" s="108"/>
      <c r="SWE106" s="108"/>
      <c r="SWF106" s="108"/>
      <c r="SWG106" s="108"/>
      <c r="SWH106" s="108"/>
      <c r="SWI106" s="108"/>
      <c r="SWJ106" s="108"/>
      <c r="SWK106" s="108"/>
      <c r="SWL106" s="108"/>
      <c r="SWM106" s="108"/>
      <c r="SWN106" s="108"/>
      <c r="SWO106" s="108"/>
      <c r="SWP106" s="108"/>
      <c r="SWQ106" s="108"/>
      <c r="SWR106" s="108"/>
      <c r="SWS106" s="108"/>
      <c r="SWT106" s="108"/>
      <c r="SWU106" s="108"/>
      <c r="SWV106" s="108"/>
      <c r="SWW106" s="108"/>
      <c r="SWX106" s="108"/>
      <c r="SWY106" s="108"/>
      <c r="SWZ106" s="108"/>
      <c r="SXA106" s="108"/>
      <c r="SXB106" s="108"/>
      <c r="SXC106" s="108"/>
      <c r="SXD106" s="108"/>
      <c r="SXE106" s="108"/>
      <c r="SXF106" s="108"/>
      <c r="SXG106" s="108"/>
      <c r="SXH106" s="108"/>
      <c r="SXI106" s="108"/>
      <c r="SXJ106" s="108"/>
      <c r="SXK106" s="108"/>
      <c r="SXL106" s="108"/>
      <c r="SXM106" s="108"/>
      <c r="SXN106" s="108"/>
      <c r="SXO106" s="108"/>
      <c r="SXP106" s="108"/>
      <c r="SXQ106" s="108"/>
      <c r="SXR106" s="108"/>
      <c r="SXS106" s="108"/>
      <c r="SXT106" s="108"/>
      <c r="SXU106" s="108"/>
      <c r="SXV106" s="108"/>
      <c r="SXW106" s="108"/>
      <c r="SXX106" s="108"/>
      <c r="SXY106" s="108"/>
      <c r="SXZ106" s="108"/>
      <c r="SYA106" s="108"/>
      <c r="SYB106" s="108"/>
      <c r="SYC106" s="108"/>
      <c r="SYD106" s="108"/>
      <c r="SYE106" s="108"/>
      <c r="SYF106" s="108"/>
      <c r="SYG106" s="108"/>
      <c r="SYH106" s="108"/>
      <c r="SYI106" s="108"/>
      <c r="SYJ106" s="108"/>
      <c r="SYK106" s="108"/>
      <c r="SYL106" s="108"/>
      <c r="SYM106" s="108"/>
      <c r="SYN106" s="108"/>
      <c r="SYO106" s="108"/>
      <c r="SYP106" s="108"/>
      <c r="SYQ106" s="108"/>
      <c r="SYR106" s="108"/>
      <c r="SYS106" s="108"/>
      <c r="SYT106" s="108"/>
      <c r="SYU106" s="108"/>
      <c r="SYV106" s="108"/>
      <c r="SYW106" s="108"/>
      <c r="SYX106" s="108"/>
      <c r="SYY106" s="108"/>
      <c r="SYZ106" s="108"/>
      <c r="SZA106" s="108"/>
      <c r="SZB106" s="108"/>
      <c r="SZC106" s="108"/>
      <c r="SZD106" s="108"/>
      <c r="SZE106" s="108"/>
      <c r="SZF106" s="108"/>
      <c r="SZG106" s="108"/>
      <c r="SZH106" s="108"/>
      <c r="SZI106" s="108"/>
      <c r="SZJ106" s="108"/>
      <c r="SZK106" s="108"/>
      <c r="SZL106" s="108"/>
      <c r="SZM106" s="108"/>
      <c r="SZN106" s="108"/>
      <c r="SZO106" s="108"/>
      <c r="SZP106" s="108"/>
      <c r="SZQ106" s="108"/>
      <c r="SZR106" s="108"/>
      <c r="SZS106" s="108"/>
      <c r="SZT106" s="108"/>
      <c r="SZU106" s="108"/>
      <c r="SZV106" s="108"/>
      <c r="SZW106" s="108"/>
      <c r="SZX106" s="108"/>
      <c r="SZY106" s="108"/>
      <c r="SZZ106" s="108"/>
      <c r="TAA106" s="108"/>
      <c r="TAB106" s="108"/>
      <c r="TAC106" s="108"/>
      <c r="TAD106" s="108"/>
      <c r="TAE106" s="108"/>
      <c r="TAF106" s="108"/>
      <c r="TAG106" s="108"/>
      <c r="TAH106" s="108"/>
      <c r="TAI106" s="108"/>
      <c r="TAJ106" s="108"/>
      <c r="TAK106" s="108"/>
      <c r="TAL106" s="108"/>
      <c r="TAM106" s="108"/>
      <c r="TAN106" s="108"/>
      <c r="TAO106" s="108"/>
      <c r="TAP106" s="108"/>
      <c r="TAQ106" s="108"/>
      <c r="TAR106" s="108"/>
      <c r="TAS106" s="108"/>
      <c r="TAT106" s="108"/>
      <c r="TAU106" s="108"/>
      <c r="TAV106" s="108"/>
      <c r="TAW106" s="108"/>
      <c r="TAX106" s="108"/>
      <c r="TAY106" s="108"/>
      <c r="TAZ106" s="108"/>
      <c r="TBA106" s="108"/>
      <c r="TBB106" s="108"/>
      <c r="TBC106" s="108"/>
      <c r="TBD106" s="108"/>
      <c r="TBE106" s="108"/>
      <c r="TBF106" s="108"/>
      <c r="TBG106" s="108"/>
      <c r="TBH106" s="108"/>
      <c r="TBI106" s="108"/>
      <c r="TBJ106" s="108"/>
      <c r="TBK106" s="108"/>
      <c r="TBL106" s="108"/>
      <c r="TBM106" s="108"/>
      <c r="TBN106" s="108"/>
      <c r="TBO106" s="108"/>
      <c r="TBP106" s="108"/>
      <c r="TBQ106" s="108"/>
      <c r="TBR106" s="108"/>
      <c r="TBS106" s="108"/>
      <c r="TBT106" s="108"/>
      <c r="TBU106" s="108"/>
      <c r="TBV106" s="108"/>
      <c r="TBW106" s="108"/>
      <c r="TBX106" s="108"/>
      <c r="TBY106" s="108"/>
      <c r="TBZ106" s="108"/>
      <c r="TCA106" s="108"/>
      <c r="TCB106" s="108"/>
      <c r="TCC106" s="108"/>
      <c r="TCD106" s="108"/>
      <c r="TCE106" s="108"/>
      <c r="TCF106" s="108"/>
      <c r="TCG106" s="108"/>
      <c r="TCH106" s="108"/>
      <c r="TCI106" s="108"/>
      <c r="TCJ106" s="108"/>
      <c r="TCK106" s="108"/>
      <c r="TCL106" s="108"/>
      <c r="TCM106" s="108"/>
      <c r="TCN106" s="108"/>
      <c r="TCO106" s="108"/>
      <c r="TCP106" s="108"/>
      <c r="TCQ106" s="108"/>
      <c r="TCR106" s="108"/>
      <c r="TCS106" s="108"/>
      <c r="TCT106" s="108"/>
      <c r="TCU106" s="108"/>
      <c r="TCV106" s="108"/>
      <c r="TCW106" s="108"/>
      <c r="TCX106" s="108"/>
      <c r="TCY106" s="108"/>
      <c r="TCZ106" s="108"/>
      <c r="TDA106" s="108"/>
      <c r="TDB106" s="108"/>
      <c r="TDC106" s="108"/>
      <c r="TDD106" s="108"/>
      <c r="TDE106" s="108"/>
      <c r="TDF106" s="108"/>
      <c r="TDG106" s="108"/>
      <c r="TDH106" s="108"/>
      <c r="TDI106" s="108"/>
      <c r="TDJ106" s="108"/>
      <c r="TDK106" s="108"/>
      <c r="TDL106" s="108"/>
      <c r="TDM106" s="108"/>
      <c r="TDN106" s="108"/>
      <c r="TDO106" s="108"/>
      <c r="TDP106" s="108"/>
      <c r="TDQ106" s="108"/>
      <c r="TDR106" s="108"/>
      <c r="TDS106" s="108"/>
      <c r="TDT106" s="108"/>
      <c r="TDU106" s="108"/>
      <c r="TDV106" s="108"/>
      <c r="TDW106" s="108"/>
      <c r="TDX106" s="108"/>
      <c r="TDY106" s="108"/>
      <c r="TDZ106" s="108"/>
      <c r="TEA106" s="108"/>
      <c r="TEB106" s="108"/>
      <c r="TEC106" s="108"/>
      <c r="TED106" s="108"/>
      <c r="TEE106" s="108"/>
      <c r="TEF106" s="108"/>
      <c r="TEG106" s="108"/>
      <c r="TEH106" s="108"/>
      <c r="TEI106" s="108"/>
      <c r="TEJ106" s="108"/>
      <c r="TEK106" s="108"/>
      <c r="TEL106" s="108"/>
      <c r="TEM106" s="108"/>
      <c r="TEN106" s="108"/>
      <c r="TEO106" s="108"/>
      <c r="TEP106" s="108"/>
      <c r="TEQ106" s="108"/>
      <c r="TER106" s="108"/>
      <c r="TES106" s="108"/>
      <c r="TET106" s="108"/>
      <c r="TEU106" s="108"/>
      <c r="TEV106" s="108"/>
      <c r="TEW106" s="108"/>
      <c r="TEX106" s="108"/>
      <c r="TEY106" s="108"/>
      <c r="TEZ106" s="108"/>
      <c r="TFA106" s="108"/>
      <c r="TFB106" s="108"/>
      <c r="TFC106" s="108"/>
      <c r="TFD106" s="108"/>
      <c r="TFE106" s="108"/>
      <c r="TFF106" s="108"/>
      <c r="TFG106" s="108"/>
      <c r="TFH106" s="108"/>
      <c r="TFI106" s="108"/>
      <c r="TFJ106" s="108"/>
      <c r="TFK106" s="108"/>
      <c r="TFL106" s="108"/>
      <c r="TFM106" s="108"/>
      <c r="TFN106" s="108"/>
      <c r="TFO106" s="108"/>
      <c r="TFP106" s="108"/>
      <c r="TFQ106" s="108"/>
      <c r="TFR106" s="108"/>
      <c r="TFS106" s="108"/>
      <c r="TFT106" s="108"/>
      <c r="TFU106" s="108"/>
      <c r="TFV106" s="108"/>
      <c r="TFW106" s="108"/>
      <c r="TFX106" s="108"/>
      <c r="TFY106" s="108"/>
      <c r="TFZ106" s="108"/>
      <c r="TGA106" s="108"/>
      <c r="TGB106" s="108"/>
      <c r="TGC106" s="108"/>
      <c r="TGD106" s="108"/>
      <c r="TGE106" s="108"/>
      <c r="TGF106" s="108"/>
      <c r="TGG106" s="108"/>
      <c r="TGH106" s="108"/>
      <c r="TGI106" s="108"/>
      <c r="TGJ106" s="108"/>
      <c r="TGK106" s="108"/>
      <c r="TGL106" s="108"/>
      <c r="TGM106" s="108"/>
      <c r="TGN106" s="108"/>
      <c r="TGO106" s="108"/>
      <c r="TGP106" s="108"/>
      <c r="TGQ106" s="108"/>
      <c r="TGR106" s="108"/>
      <c r="TGS106" s="108"/>
      <c r="TGT106" s="108"/>
      <c r="TGU106" s="108"/>
      <c r="TGV106" s="108"/>
      <c r="TGW106" s="108"/>
      <c r="TGX106" s="108"/>
      <c r="TGY106" s="108"/>
      <c r="TGZ106" s="108"/>
      <c r="THA106" s="108"/>
      <c r="THB106" s="108"/>
      <c r="THC106" s="108"/>
      <c r="THD106" s="108"/>
      <c r="THE106" s="108"/>
      <c r="THF106" s="108"/>
      <c r="THG106" s="108"/>
      <c r="THH106" s="108"/>
      <c r="THI106" s="108"/>
      <c r="THJ106" s="108"/>
      <c r="THK106" s="108"/>
      <c r="THL106" s="108"/>
      <c r="THM106" s="108"/>
      <c r="THN106" s="108"/>
      <c r="THO106" s="108"/>
      <c r="THP106" s="108"/>
      <c r="THQ106" s="108"/>
      <c r="THR106" s="108"/>
      <c r="THS106" s="108"/>
      <c r="THT106" s="108"/>
      <c r="THU106" s="108"/>
      <c r="THV106" s="108"/>
      <c r="THW106" s="108"/>
      <c r="THX106" s="108"/>
      <c r="THY106" s="108"/>
      <c r="THZ106" s="108"/>
      <c r="TIA106" s="108"/>
      <c r="TIB106" s="108"/>
      <c r="TIC106" s="108"/>
      <c r="TID106" s="108"/>
      <c r="TIE106" s="108"/>
      <c r="TIF106" s="108"/>
      <c r="TIG106" s="108"/>
      <c r="TIH106" s="108"/>
      <c r="TII106" s="108"/>
      <c r="TIJ106" s="108"/>
      <c r="TIK106" s="108"/>
      <c r="TIL106" s="108"/>
      <c r="TIM106" s="108"/>
      <c r="TIN106" s="108"/>
      <c r="TIO106" s="108"/>
      <c r="TIP106" s="108"/>
      <c r="TIQ106" s="108"/>
      <c r="TIR106" s="108"/>
      <c r="TIS106" s="108"/>
      <c r="TIT106" s="108"/>
      <c r="TIU106" s="108"/>
      <c r="TIV106" s="108"/>
      <c r="TIW106" s="108"/>
      <c r="TIX106" s="108"/>
      <c r="TIY106" s="108"/>
      <c r="TIZ106" s="108"/>
      <c r="TJA106" s="108"/>
      <c r="TJB106" s="108"/>
      <c r="TJC106" s="108"/>
      <c r="TJD106" s="108"/>
      <c r="TJE106" s="108"/>
      <c r="TJF106" s="108"/>
      <c r="TJG106" s="108"/>
      <c r="TJH106" s="108"/>
      <c r="TJI106" s="108"/>
      <c r="TJJ106" s="108"/>
      <c r="TJK106" s="108"/>
      <c r="TJL106" s="108"/>
      <c r="TJM106" s="108"/>
      <c r="TJN106" s="108"/>
      <c r="TJO106" s="108"/>
      <c r="TJP106" s="108"/>
      <c r="TJQ106" s="108"/>
      <c r="TJR106" s="108"/>
      <c r="TJS106" s="108"/>
      <c r="TJT106" s="108"/>
      <c r="TJU106" s="108"/>
      <c r="TJV106" s="108"/>
      <c r="TJW106" s="108"/>
      <c r="TJX106" s="108"/>
      <c r="TJY106" s="108"/>
      <c r="TJZ106" s="108"/>
      <c r="TKA106" s="108"/>
      <c r="TKB106" s="108"/>
      <c r="TKC106" s="108"/>
      <c r="TKD106" s="108"/>
      <c r="TKE106" s="108"/>
      <c r="TKF106" s="108"/>
      <c r="TKG106" s="108"/>
      <c r="TKH106" s="108"/>
      <c r="TKI106" s="108"/>
      <c r="TKJ106" s="108"/>
      <c r="TKK106" s="108"/>
      <c r="TKL106" s="108"/>
      <c r="TKM106" s="108"/>
      <c r="TKN106" s="108"/>
      <c r="TKO106" s="108"/>
      <c r="TKP106" s="108"/>
      <c r="TKQ106" s="108"/>
      <c r="TKR106" s="108"/>
      <c r="TKS106" s="108"/>
      <c r="TKT106" s="108"/>
      <c r="TKU106" s="108"/>
      <c r="TKV106" s="108"/>
      <c r="TKW106" s="108"/>
      <c r="TKX106" s="108"/>
      <c r="TKY106" s="108"/>
      <c r="TKZ106" s="108"/>
      <c r="TLA106" s="108"/>
      <c r="TLB106" s="108"/>
      <c r="TLC106" s="108"/>
      <c r="TLD106" s="108"/>
      <c r="TLE106" s="108"/>
      <c r="TLF106" s="108"/>
      <c r="TLG106" s="108"/>
      <c r="TLH106" s="108"/>
      <c r="TLI106" s="108"/>
      <c r="TLJ106" s="108"/>
      <c r="TLK106" s="108"/>
      <c r="TLL106" s="108"/>
      <c r="TLM106" s="108"/>
      <c r="TLN106" s="108"/>
      <c r="TLO106" s="108"/>
      <c r="TLP106" s="108"/>
      <c r="TLQ106" s="108"/>
      <c r="TLR106" s="108"/>
      <c r="TLS106" s="108"/>
      <c r="TLT106" s="108"/>
      <c r="TLU106" s="108"/>
      <c r="TLV106" s="108"/>
      <c r="TLW106" s="108"/>
      <c r="TLX106" s="108"/>
      <c r="TLY106" s="108"/>
      <c r="TLZ106" s="108"/>
      <c r="TMA106" s="108"/>
      <c r="TMB106" s="108"/>
      <c r="TMC106" s="108"/>
      <c r="TMD106" s="108"/>
      <c r="TME106" s="108"/>
      <c r="TMF106" s="108"/>
      <c r="TMG106" s="108"/>
      <c r="TMH106" s="108"/>
      <c r="TMI106" s="108"/>
      <c r="TMJ106" s="108"/>
      <c r="TMK106" s="108"/>
      <c r="TML106" s="108"/>
      <c r="TMM106" s="108"/>
      <c r="TMN106" s="108"/>
      <c r="TMO106" s="108"/>
      <c r="TMP106" s="108"/>
      <c r="TMQ106" s="108"/>
      <c r="TMR106" s="108"/>
      <c r="TMS106" s="108"/>
      <c r="TMT106" s="108"/>
      <c r="TMU106" s="108"/>
      <c r="TMV106" s="108"/>
      <c r="TMW106" s="108"/>
      <c r="TMX106" s="108"/>
      <c r="TMY106" s="108"/>
      <c r="TMZ106" s="108"/>
      <c r="TNA106" s="108"/>
      <c r="TNB106" s="108"/>
      <c r="TNC106" s="108"/>
      <c r="TND106" s="108"/>
      <c r="TNE106" s="108"/>
      <c r="TNF106" s="108"/>
      <c r="TNG106" s="108"/>
      <c r="TNH106" s="108"/>
      <c r="TNI106" s="108"/>
      <c r="TNJ106" s="108"/>
      <c r="TNK106" s="108"/>
      <c r="TNL106" s="108"/>
      <c r="TNM106" s="108"/>
      <c r="TNN106" s="108"/>
      <c r="TNO106" s="108"/>
      <c r="TNP106" s="108"/>
      <c r="TNQ106" s="108"/>
      <c r="TNR106" s="108"/>
      <c r="TNS106" s="108"/>
      <c r="TNT106" s="108"/>
      <c r="TNU106" s="108"/>
      <c r="TNV106" s="108"/>
      <c r="TNW106" s="108"/>
      <c r="TNX106" s="108"/>
      <c r="TNY106" s="108"/>
      <c r="TNZ106" s="108"/>
      <c r="TOA106" s="108"/>
      <c r="TOB106" s="108"/>
      <c r="TOC106" s="108"/>
      <c r="TOD106" s="108"/>
      <c r="TOE106" s="108"/>
      <c r="TOF106" s="108"/>
      <c r="TOG106" s="108"/>
      <c r="TOH106" s="108"/>
      <c r="TOI106" s="108"/>
      <c r="TOJ106" s="108"/>
      <c r="TOK106" s="108"/>
      <c r="TOL106" s="108"/>
      <c r="TOM106" s="108"/>
      <c r="TON106" s="108"/>
      <c r="TOO106" s="108"/>
      <c r="TOP106" s="108"/>
      <c r="TOQ106" s="108"/>
      <c r="TOR106" s="108"/>
      <c r="TOS106" s="108"/>
      <c r="TOT106" s="108"/>
      <c r="TOU106" s="108"/>
      <c r="TOV106" s="108"/>
      <c r="TOW106" s="108"/>
      <c r="TOX106" s="108"/>
      <c r="TOY106" s="108"/>
      <c r="TOZ106" s="108"/>
      <c r="TPA106" s="108"/>
      <c r="TPB106" s="108"/>
      <c r="TPC106" s="108"/>
      <c r="TPD106" s="108"/>
      <c r="TPE106" s="108"/>
      <c r="TPF106" s="108"/>
      <c r="TPG106" s="108"/>
      <c r="TPH106" s="108"/>
      <c r="TPI106" s="108"/>
      <c r="TPJ106" s="108"/>
      <c r="TPK106" s="108"/>
      <c r="TPL106" s="108"/>
      <c r="TPM106" s="108"/>
      <c r="TPN106" s="108"/>
      <c r="TPO106" s="108"/>
      <c r="TPP106" s="108"/>
      <c r="TPQ106" s="108"/>
      <c r="TPR106" s="108"/>
      <c r="TPS106" s="108"/>
      <c r="TPT106" s="108"/>
      <c r="TPU106" s="108"/>
      <c r="TPV106" s="108"/>
      <c r="TPW106" s="108"/>
      <c r="TPX106" s="108"/>
      <c r="TPY106" s="108"/>
      <c r="TPZ106" s="108"/>
      <c r="TQA106" s="108"/>
      <c r="TQB106" s="108"/>
      <c r="TQC106" s="108"/>
      <c r="TQD106" s="108"/>
      <c r="TQE106" s="108"/>
      <c r="TQF106" s="108"/>
      <c r="TQG106" s="108"/>
      <c r="TQH106" s="108"/>
      <c r="TQI106" s="108"/>
      <c r="TQJ106" s="108"/>
      <c r="TQK106" s="108"/>
      <c r="TQL106" s="108"/>
      <c r="TQM106" s="108"/>
      <c r="TQN106" s="108"/>
      <c r="TQO106" s="108"/>
      <c r="TQP106" s="108"/>
      <c r="TQQ106" s="108"/>
      <c r="TQR106" s="108"/>
      <c r="TQS106" s="108"/>
      <c r="TQT106" s="108"/>
      <c r="TQU106" s="108"/>
      <c r="TQV106" s="108"/>
      <c r="TQW106" s="108"/>
      <c r="TQX106" s="108"/>
      <c r="TQY106" s="108"/>
      <c r="TQZ106" s="108"/>
      <c r="TRA106" s="108"/>
      <c r="TRB106" s="108"/>
      <c r="TRC106" s="108"/>
      <c r="TRD106" s="108"/>
      <c r="TRE106" s="108"/>
      <c r="TRF106" s="108"/>
      <c r="TRG106" s="108"/>
      <c r="TRH106" s="108"/>
      <c r="TRI106" s="108"/>
      <c r="TRJ106" s="108"/>
      <c r="TRK106" s="108"/>
      <c r="TRL106" s="108"/>
      <c r="TRM106" s="108"/>
      <c r="TRN106" s="108"/>
      <c r="TRO106" s="108"/>
      <c r="TRP106" s="108"/>
      <c r="TRQ106" s="108"/>
      <c r="TRR106" s="108"/>
      <c r="TRS106" s="108"/>
      <c r="TRT106" s="108"/>
      <c r="TRU106" s="108"/>
      <c r="TRV106" s="108"/>
      <c r="TRW106" s="108"/>
      <c r="TRX106" s="108"/>
      <c r="TRY106" s="108"/>
      <c r="TRZ106" s="108"/>
      <c r="TSA106" s="108"/>
      <c r="TSB106" s="108"/>
      <c r="TSC106" s="108"/>
      <c r="TSD106" s="108"/>
      <c r="TSE106" s="108"/>
      <c r="TSF106" s="108"/>
      <c r="TSG106" s="108"/>
      <c r="TSH106" s="108"/>
      <c r="TSI106" s="108"/>
      <c r="TSJ106" s="108"/>
      <c r="TSK106" s="108"/>
      <c r="TSL106" s="108"/>
      <c r="TSM106" s="108"/>
      <c r="TSN106" s="108"/>
      <c r="TSO106" s="108"/>
      <c r="TSP106" s="108"/>
      <c r="TSQ106" s="108"/>
      <c r="TSR106" s="108"/>
      <c r="TSS106" s="108"/>
      <c r="TST106" s="108"/>
      <c r="TSU106" s="108"/>
      <c r="TSV106" s="108"/>
      <c r="TSW106" s="108"/>
      <c r="TSX106" s="108"/>
      <c r="TSY106" s="108"/>
      <c r="TSZ106" s="108"/>
      <c r="TTA106" s="108"/>
      <c r="TTB106" s="108"/>
      <c r="TTC106" s="108"/>
      <c r="TTD106" s="108"/>
      <c r="TTE106" s="108"/>
      <c r="TTF106" s="108"/>
      <c r="TTG106" s="108"/>
      <c r="TTH106" s="108"/>
      <c r="TTI106" s="108"/>
      <c r="TTJ106" s="108"/>
      <c r="TTK106" s="108"/>
      <c r="TTL106" s="108"/>
      <c r="TTM106" s="108"/>
      <c r="TTN106" s="108"/>
      <c r="TTO106" s="108"/>
      <c r="TTP106" s="108"/>
      <c r="TTQ106" s="108"/>
      <c r="TTR106" s="108"/>
      <c r="TTS106" s="108"/>
      <c r="TTT106" s="108"/>
      <c r="TTU106" s="108"/>
      <c r="TTV106" s="108"/>
      <c r="TTW106" s="108"/>
      <c r="TTX106" s="108"/>
      <c r="TTY106" s="108"/>
      <c r="TTZ106" s="108"/>
      <c r="TUA106" s="108"/>
      <c r="TUB106" s="108"/>
      <c r="TUC106" s="108"/>
      <c r="TUD106" s="108"/>
      <c r="TUE106" s="108"/>
      <c r="TUF106" s="108"/>
      <c r="TUG106" s="108"/>
      <c r="TUH106" s="108"/>
      <c r="TUI106" s="108"/>
      <c r="TUJ106" s="108"/>
      <c r="TUK106" s="108"/>
      <c r="TUL106" s="108"/>
      <c r="TUM106" s="108"/>
      <c r="TUN106" s="108"/>
      <c r="TUO106" s="108"/>
      <c r="TUP106" s="108"/>
      <c r="TUQ106" s="108"/>
      <c r="TUR106" s="108"/>
      <c r="TUS106" s="108"/>
      <c r="TUT106" s="108"/>
      <c r="TUU106" s="108"/>
      <c r="TUV106" s="108"/>
      <c r="TUW106" s="108"/>
      <c r="TUX106" s="108"/>
      <c r="TUY106" s="108"/>
      <c r="TUZ106" s="108"/>
      <c r="TVA106" s="108"/>
      <c r="TVB106" s="108"/>
      <c r="TVC106" s="108"/>
      <c r="TVD106" s="108"/>
      <c r="TVE106" s="108"/>
      <c r="TVF106" s="108"/>
      <c r="TVG106" s="108"/>
      <c r="TVH106" s="108"/>
      <c r="TVI106" s="108"/>
      <c r="TVJ106" s="108"/>
      <c r="TVK106" s="108"/>
      <c r="TVL106" s="108"/>
      <c r="TVM106" s="108"/>
      <c r="TVN106" s="108"/>
      <c r="TVO106" s="108"/>
      <c r="TVP106" s="108"/>
      <c r="TVQ106" s="108"/>
      <c r="TVR106" s="108"/>
      <c r="TVS106" s="108"/>
      <c r="TVT106" s="108"/>
      <c r="TVU106" s="108"/>
      <c r="TVV106" s="108"/>
      <c r="TVW106" s="108"/>
      <c r="TVX106" s="108"/>
      <c r="TVY106" s="108"/>
      <c r="TVZ106" s="108"/>
      <c r="TWA106" s="108"/>
      <c r="TWB106" s="108"/>
      <c r="TWC106" s="108"/>
      <c r="TWD106" s="108"/>
      <c r="TWE106" s="108"/>
      <c r="TWF106" s="108"/>
      <c r="TWG106" s="108"/>
      <c r="TWH106" s="108"/>
      <c r="TWI106" s="108"/>
      <c r="TWJ106" s="108"/>
      <c r="TWK106" s="108"/>
      <c r="TWL106" s="108"/>
      <c r="TWM106" s="108"/>
      <c r="TWN106" s="108"/>
      <c r="TWO106" s="108"/>
      <c r="TWP106" s="108"/>
      <c r="TWQ106" s="108"/>
      <c r="TWR106" s="108"/>
      <c r="TWS106" s="108"/>
      <c r="TWT106" s="108"/>
      <c r="TWU106" s="108"/>
      <c r="TWV106" s="108"/>
      <c r="TWW106" s="108"/>
      <c r="TWX106" s="108"/>
      <c r="TWY106" s="108"/>
      <c r="TWZ106" s="108"/>
      <c r="TXA106" s="108"/>
      <c r="TXB106" s="108"/>
      <c r="TXC106" s="108"/>
      <c r="TXD106" s="108"/>
      <c r="TXE106" s="108"/>
      <c r="TXF106" s="108"/>
      <c r="TXG106" s="108"/>
      <c r="TXH106" s="108"/>
      <c r="TXI106" s="108"/>
      <c r="TXJ106" s="108"/>
      <c r="TXK106" s="108"/>
      <c r="TXL106" s="108"/>
      <c r="TXM106" s="108"/>
      <c r="TXN106" s="108"/>
      <c r="TXO106" s="108"/>
      <c r="TXP106" s="108"/>
      <c r="TXQ106" s="108"/>
      <c r="TXR106" s="108"/>
      <c r="TXS106" s="108"/>
      <c r="TXT106" s="108"/>
      <c r="TXU106" s="108"/>
      <c r="TXV106" s="108"/>
      <c r="TXW106" s="108"/>
      <c r="TXX106" s="108"/>
      <c r="TXY106" s="108"/>
      <c r="TXZ106" s="108"/>
      <c r="TYA106" s="108"/>
      <c r="TYB106" s="108"/>
      <c r="TYC106" s="108"/>
      <c r="TYD106" s="108"/>
      <c r="TYE106" s="108"/>
      <c r="TYF106" s="108"/>
      <c r="TYG106" s="108"/>
      <c r="TYH106" s="108"/>
      <c r="TYI106" s="108"/>
      <c r="TYJ106" s="108"/>
      <c r="TYK106" s="108"/>
      <c r="TYL106" s="108"/>
      <c r="TYM106" s="108"/>
      <c r="TYN106" s="108"/>
      <c r="TYO106" s="108"/>
      <c r="TYP106" s="108"/>
      <c r="TYQ106" s="108"/>
      <c r="TYR106" s="108"/>
      <c r="TYS106" s="108"/>
      <c r="TYT106" s="108"/>
      <c r="TYU106" s="108"/>
      <c r="TYV106" s="108"/>
      <c r="TYW106" s="108"/>
      <c r="TYX106" s="108"/>
      <c r="TYY106" s="108"/>
      <c r="TYZ106" s="108"/>
      <c r="TZA106" s="108"/>
      <c r="TZB106" s="108"/>
      <c r="TZC106" s="108"/>
      <c r="TZD106" s="108"/>
      <c r="TZE106" s="108"/>
      <c r="TZF106" s="108"/>
      <c r="TZG106" s="108"/>
      <c r="TZH106" s="108"/>
      <c r="TZI106" s="108"/>
      <c r="TZJ106" s="108"/>
      <c r="TZK106" s="108"/>
      <c r="TZL106" s="108"/>
      <c r="TZM106" s="108"/>
      <c r="TZN106" s="108"/>
      <c r="TZO106" s="108"/>
      <c r="TZP106" s="108"/>
      <c r="TZQ106" s="108"/>
      <c r="TZR106" s="108"/>
      <c r="TZS106" s="108"/>
      <c r="TZT106" s="108"/>
      <c r="TZU106" s="108"/>
      <c r="TZV106" s="108"/>
      <c r="TZW106" s="108"/>
      <c r="TZX106" s="108"/>
      <c r="TZY106" s="108"/>
      <c r="TZZ106" s="108"/>
      <c r="UAA106" s="108"/>
      <c r="UAB106" s="108"/>
      <c r="UAC106" s="108"/>
      <c r="UAD106" s="108"/>
      <c r="UAE106" s="108"/>
      <c r="UAF106" s="108"/>
      <c r="UAG106" s="108"/>
      <c r="UAH106" s="108"/>
      <c r="UAI106" s="108"/>
      <c r="UAJ106" s="108"/>
      <c r="UAK106" s="108"/>
      <c r="UAL106" s="108"/>
      <c r="UAM106" s="108"/>
      <c r="UAN106" s="108"/>
      <c r="UAO106" s="108"/>
      <c r="UAP106" s="108"/>
      <c r="UAQ106" s="108"/>
      <c r="UAR106" s="108"/>
      <c r="UAS106" s="108"/>
      <c r="UAT106" s="108"/>
      <c r="UAU106" s="108"/>
      <c r="UAV106" s="108"/>
      <c r="UAW106" s="108"/>
      <c r="UAX106" s="108"/>
      <c r="UAY106" s="108"/>
      <c r="UAZ106" s="108"/>
      <c r="UBA106" s="108"/>
      <c r="UBB106" s="108"/>
      <c r="UBC106" s="108"/>
      <c r="UBD106" s="108"/>
      <c r="UBE106" s="108"/>
      <c r="UBF106" s="108"/>
      <c r="UBG106" s="108"/>
      <c r="UBH106" s="108"/>
      <c r="UBI106" s="108"/>
      <c r="UBJ106" s="108"/>
      <c r="UBK106" s="108"/>
      <c r="UBL106" s="108"/>
      <c r="UBM106" s="108"/>
      <c r="UBN106" s="108"/>
      <c r="UBO106" s="108"/>
      <c r="UBP106" s="108"/>
      <c r="UBQ106" s="108"/>
      <c r="UBR106" s="108"/>
      <c r="UBS106" s="108"/>
      <c r="UBT106" s="108"/>
      <c r="UBU106" s="108"/>
      <c r="UBV106" s="108"/>
      <c r="UBW106" s="108"/>
      <c r="UBX106" s="108"/>
      <c r="UBY106" s="108"/>
      <c r="UBZ106" s="108"/>
      <c r="UCA106" s="108"/>
      <c r="UCB106" s="108"/>
      <c r="UCC106" s="108"/>
      <c r="UCD106" s="108"/>
      <c r="UCE106" s="108"/>
      <c r="UCF106" s="108"/>
      <c r="UCG106" s="108"/>
      <c r="UCH106" s="108"/>
      <c r="UCI106" s="108"/>
      <c r="UCJ106" s="108"/>
      <c r="UCK106" s="108"/>
      <c r="UCL106" s="108"/>
      <c r="UCM106" s="108"/>
      <c r="UCN106" s="108"/>
      <c r="UCO106" s="108"/>
      <c r="UCP106" s="108"/>
      <c r="UCQ106" s="108"/>
      <c r="UCR106" s="108"/>
      <c r="UCS106" s="108"/>
      <c r="UCT106" s="108"/>
      <c r="UCU106" s="108"/>
      <c r="UCV106" s="108"/>
      <c r="UCW106" s="108"/>
      <c r="UCX106" s="108"/>
      <c r="UCY106" s="108"/>
      <c r="UCZ106" s="108"/>
      <c r="UDA106" s="108"/>
      <c r="UDB106" s="108"/>
      <c r="UDC106" s="108"/>
      <c r="UDD106" s="108"/>
      <c r="UDE106" s="108"/>
      <c r="UDF106" s="108"/>
      <c r="UDG106" s="108"/>
      <c r="UDH106" s="108"/>
      <c r="UDI106" s="108"/>
      <c r="UDJ106" s="108"/>
      <c r="UDK106" s="108"/>
      <c r="UDL106" s="108"/>
      <c r="UDM106" s="108"/>
      <c r="UDN106" s="108"/>
      <c r="UDO106" s="108"/>
      <c r="UDP106" s="108"/>
      <c r="UDQ106" s="108"/>
      <c r="UDR106" s="108"/>
      <c r="UDS106" s="108"/>
      <c r="UDT106" s="108"/>
      <c r="UDU106" s="108"/>
      <c r="UDV106" s="108"/>
      <c r="UDW106" s="108"/>
      <c r="UDX106" s="108"/>
      <c r="UDY106" s="108"/>
      <c r="UDZ106" s="108"/>
      <c r="UEA106" s="108"/>
      <c r="UEB106" s="108"/>
      <c r="UEC106" s="108"/>
      <c r="UED106" s="108"/>
      <c r="UEE106" s="108"/>
      <c r="UEF106" s="108"/>
      <c r="UEG106" s="108"/>
      <c r="UEH106" s="108"/>
      <c r="UEI106" s="108"/>
      <c r="UEJ106" s="108"/>
      <c r="UEK106" s="108"/>
      <c r="UEL106" s="108"/>
      <c r="UEM106" s="108"/>
      <c r="UEN106" s="108"/>
      <c r="UEO106" s="108"/>
      <c r="UEP106" s="108"/>
      <c r="UEQ106" s="108"/>
      <c r="UER106" s="108"/>
      <c r="UES106" s="108"/>
      <c r="UET106" s="108"/>
      <c r="UEU106" s="108"/>
      <c r="UEV106" s="108"/>
      <c r="UEW106" s="108"/>
      <c r="UEX106" s="108"/>
      <c r="UEY106" s="108"/>
      <c r="UEZ106" s="108"/>
      <c r="UFA106" s="108"/>
      <c r="UFB106" s="108"/>
      <c r="UFC106" s="108"/>
      <c r="UFD106" s="108"/>
      <c r="UFE106" s="108"/>
      <c r="UFF106" s="108"/>
      <c r="UFG106" s="108"/>
      <c r="UFH106" s="108"/>
      <c r="UFI106" s="108"/>
      <c r="UFJ106" s="108"/>
      <c r="UFK106" s="108"/>
      <c r="UFL106" s="108"/>
      <c r="UFM106" s="108"/>
      <c r="UFN106" s="108"/>
      <c r="UFO106" s="108"/>
      <c r="UFP106" s="108"/>
      <c r="UFQ106" s="108"/>
      <c r="UFR106" s="108"/>
      <c r="UFS106" s="108"/>
      <c r="UFT106" s="108"/>
      <c r="UFU106" s="108"/>
      <c r="UFV106" s="108"/>
      <c r="UFW106" s="108"/>
      <c r="UFX106" s="108"/>
      <c r="UFY106" s="108"/>
      <c r="UFZ106" s="108"/>
      <c r="UGA106" s="108"/>
      <c r="UGB106" s="108"/>
      <c r="UGC106" s="108"/>
      <c r="UGD106" s="108"/>
      <c r="UGE106" s="108"/>
      <c r="UGF106" s="108"/>
      <c r="UGG106" s="108"/>
      <c r="UGH106" s="108"/>
      <c r="UGI106" s="108"/>
      <c r="UGJ106" s="108"/>
      <c r="UGK106" s="108"/>
      <c r="UGL106" s="108"/>
      <c r="UGM106" s="108"/>
      <c r="UGN106" s="108"/>
      <c r="UGO106" s="108"/>
      <c r="UGP106" s="108"/>
      <c r="UGQ106" s="108"/>
      <c r="UGR106" s="108"/>
      <c r="UGS106" s="108"/>
      <c r="UGT106" s="108"/>
      <c r="UGU106" s="108"/>
      <c r="UGV106" s="108"/>
      <c r="UGW106" s="108"/>
      <c r="UGX106" s="108"/>
      <c r="UGY106" s="108"/>
      <c r="UGZ106" s="108"/>
      <c r="UHA106" s="108"/>
      <c r="UHB106" s="108"/>
      <c r="UHC106" s="108"/>
      <c r="UHD106" s="108"/>
      <c r="UHE106" s="108"/>
      <c r="UHF106" s="108"/>
      <c r="UHG106" s="108"/>
      <c r="UHH106" s="108"/>
      <c r="UHI106" s="108"/>
      <c r="UHJ106" s="108"/>
      <c r="UHK106" s="108"/>
      <c r="UHL106" s="108"/>
      <c r="UHM106" s="108"/>
      <c r="UHN106" s="108"/>
      <c r="UHO106" s="108"/>
      <c r="UHP106" s="108"/>
      <c r="UHQ106" s="108"/>
      <c r="UHR106" s="108"/>
      <c r="UHS106" s="108"/>
      <c r="UHT106" s="108"/>
      <c r="UHU106" s="108"/>
      <c r="UHV106" s="108"/>
      <c r="UHW106" s="108"/>
      <c r="UHX106" s="108"/>
      <c r="UHY106" s="108"/>
      <c r="UHZ106" s="108"/>
      <c r="UIA106" s="108"/>
      <c r="UIB106" s="108"/>
      <c r="UIC106" s="108"/>
      <c r="UID106" s="108"/>
      <c r="UIE106" s="108"/>
      <c r="UIF106" s="108"/>
      <c r="UIG106" s="108"/>
      <c r="UIH106" s="108"/>
      <c r="UII106" s="108"/>
      <c r="UIJ106" s="108"/>
      <c r="UIK106" s="108"/>
      <c r="UIL106" s="108"/>
      <c r="UIM106" s="108"/>
      <c r="UIN106" s="108"/>
      <c r="UIO106" s="108"/>
      <c r="UIP106" s="108"/>
      <c r="UIQ106" s="108"/>
      <c r="UIR106" s="108"/>
      <c r="UIS106" s="108"/>
      <c r="UIT106" s="108"/>
      <c r="UIU106" s="108"/>
      <c r="UIV106" s="108"/>
      <c r="UIW106" s="108"/>
      <c r="UIX106" s="108"/>
      <c r="UIY106" s="108"/>
      <c r="UIZ106" s="108"/>
      <c r="UJA106" s="108"/>
      <c r="UJB106" s="108"/>
      <c r="UJC106" s="108"/>
      <c r="UJD106" s="108"/>
      <c r="UJE106" s="108"/>
      <c r="UJF106" s="108"/>
      <c r="UJG106" s="108"/>
      <c r="UJH106" s="108"/>
      <c r="UJI106" s="108"/>
      <c r="UJJ106" s="108"/>
      <c r="UJK106" s="108"/>
      <c r="UJL106" s="108"/>
      <c r="UJM106" s="108"/>
      <c r="UJN106" s="108"/>
      <c r="UJO106" s="108"/>
      <c r="UJP106" s="108"/>
      <c r="UJQ106" s="108"/>
      <c r="UJR106" s="108"/>
      <c r="UJS106" s="108"/>
      <c r="UJT106" s="108"/>
      <c r="UJU106" s="108"/>
      <c r="UJV106" s="108"/>
      <c r="UJW106" s="108"/>
      <c r="UJX106" s="108"/>
      <c r="UJY106" s="108"/>
      <c r="UJZ106" s="108"/>
      <c r="UKA106" s="108"/>
      <c r="UKB106" s="108"/>
      <c r="UKC106" s="108"/>
      <c r="UKD106" s="108"/>
      <c r="UKE106" s="108"/>
      <c r="UKF106" s="108"/>
      <c r="UKG106" s="108"/>
      <c r="UKH106" s="108"/>
      <c r="UKI106" s="108"/>
      <c r="UKJ106" s="108"/>
      <c r="UKK106" s="108"/>
      <c r="UKL106" s="108"/>
      <c r="UKM106" s="108"/>
      <c r="UKN106" s="108"/>
      <c r="UKO106" s="108"/>
      <c r="UKP106" s="108"/>
      <c r="UKQ106" s="108"/>
      <c r="UKR106" s="108"/>
      <c r="UKS106" s="108"/>
      <c r="UKT106" s="108"/>
      <c r="UKU106" s="108"/>
      <c r="UKV106" s="108"/>
      <c r="UKW106" s="108"/>
      <c r="UKX106" s="108"/>
      <c r="UKY106" s="108"/>
      <c r="UKZ106" s="108"/>
      <c r="ULA106" s="108"/>
      <c r="ULB106" s="108"/>
      <c r="ULC106" s="108"/>
      <c r="ULD106" s="108"/>
      <c r="ULE106" s="108"/>
      <c r="ULF106" s="108"/>
      <c r="ULG106" s="108"/>
      <c r="ULH106" s="108"/>
      <c r="ULI106" s="108"/>
      <c r="ULJ106" s="108"/>
      <c r="ULK106" s="108"/>
      <c r="ULL106" s="108"/>
      <c r="ULM106" s="108"/>
      <c r="ULN106" s="108"/>
      <c r="ULO106" s="108"/>
      <c r="ULP106" s="108"/>
      <c r="ULQ106" s="108"/>
      <c r="ULR106" s="108"/>
      <c r="ULS106" s="108"/>
      <c r="ULT106" s="108"/>
      <c r="ULU106" s="108"/>
      <c r="ULV106" s="108"/>
      <c r="ULW106" s="108"/>
      <c r="ULX106" s="108"/>
      <c r="ULY106" s="108"/>
      <c r="ULZ106" s="108"/>
      <c r="UMA106" s="108"/>
      <c r="UMB106" s="108"/>
      <c r="UMC106" s="108"/>
      <c r="UMD106" s="108"/>
      <c r="UME106" s="108"/>
      <c r="UMF106" s="108"/>
      <c r="UMG106" s="108"/>
      <c r="UMH106" s="108"/>
      <c r="UMI106" s="108"/>
      <c r="UMJ106" s="108"/>
      <c r="UMK106" s="108"/>
      <c r="UML106" s="108"/>
      <c r="UMM106" s="108"/>
      <c r="UMN106" s="108"/>
      <c r="UMO106" s="108"/>
      <c r="UMP106" s="108"/>
      <c r="UMQ106" s="108"/>
      <c r="UMR106" s="108"/>
      <c r="UMS106" s="108"/>
      <c r="UMT106" s="108"/>
      <c r="UMU106" s="108"/>
      <c r="UMV106" s="108"/>
      <c r="UMW106" s="108"/>
      <c r="UMX106" s="108"/>
      <c r="UMY106" s="108"/>
      <c r="UMZ106" s="108"/>
      <c r="UNA106" s="108"/>
      <c r="UNB106" s="108"/>
      <c r="UNC106" s="108"/>
      <c r="UND106" s="108"/>
      <c r="UNE106" s="108"/>
      <c r="UNF106" s="108"/>
      <c r="UNG106" s="108"/>
      <c r="UNH106" s="108"/>
      <c r="UNI106" s="108"/>
      <c r="UNJ106" s="108"/>
      <c r="UNK106" s="108"/>
      <c r="UNL106" s="108"/>
      <c r="UNM106" s="108"/>
      <c r="UNN106" s="108"/>
      <c r="UNO106" s="108"/>
      <c r="UNP106" s="108"/>
      <c r="UNQ106" s="108"/>
      <c r="UNR106" s="108"/>
      <c r="UNS106" s="108"/>
      <c r="UNT106" s="108"/>
      <c r="UNU106" s="108"/>
      <c r="UNV106" s="108"/>
      <c r="UNW106" s="108"/>
      <c r="UNX106" s="108"/>
      <c r="UNY106" s="108"/>
      <c r="UNZ106" s="108"/>
      <c r="UOA106" s="108"/>
      <c r="UOB106" s="108"/>
      <c r="UOC106" s="108"/>
      <c r="UOD106" s="108"/>
      <c r="UOE106" s="108"/>
      <c r="UOF106" s="108"/>
      <c r="UOG106" s="108"/>
      <c r="UOH106" s="108"/>
      <c r="UOI106" s="108"/>
      <c r="UOJ106" s="108"/>
      <c r="UOK106" s="108"/>
      <c r="UOL106" s="108"/>
      <c r="UOM106" s="108"/>
      <c r="UON106" s="108"/>
      <c r="UOO106" s="108"/>
      <c r="UOP106" s="108"/>
      <c r="UOQ106" s="108"/>
      <c r="UOR106" s="108"/>
      <c r="UOS106" s="108"/>
      <c r="UOT106" s="108"/>
      <c r="UOU106" s="108"/>
      <c r="UOV106" s="108"/>
      <c r="UOW106" s="108"/>
      <c r="UOX106" s="108"/>
      <c r="UOY106" s="108"/>
      <c r="UOZ106" s="108"/>
      <c r="UPA106" s="108"/>
      <c r="UPB106" s="108"/>
      <c r="UPC106" s="108"/>
      <c r="UPD106" s="108"/>
      <c r="UPE106" s="108"/>
      <c r="UPF106" s="108"/>
      <c r="UPG106" s="108"/>
      <c r="UPH106" s="108"/>
      <c r="UPI106" s="108"/>
      <c r="UPJ106" s="108"/>
      <c r="UPK106" s="108"/>
      <c r="UPL106" s="108"/>
      <c r="UPM106" s="108"/>
      <c r="UPN106" s="108"/>
      <c r="UPO106" s="108"/>
      <c r="UPP106" s="108"/>
      <c r="UPQ106" s="108"/>
      <c r="UPR106" s="108"/>
      <c r="UPS106" s="108"/>
      <c r="UPT106" s="108"/>
      <c r="UPU106" s="108"/>
      <c r="UPV106" s="108"/>
      <c r="UPW106" s="108"/>
      <c r="UPX106" s="108"/>
      <c r="UPY106" s="108"/>
      <c r="UPZ106" s="108"/>
      <c r="UQA106" s="108"/>
      <c r="UQB106" s="108"/>
      <c r="UQC106" s="108"/>
      <c r="UQD106" s="108"/>
      <c r="UQE106" s="108"/>
      <c r="UQF106" s="108"/>
      <c r="UQG106" s="108"/>
      <c r="UQH106" s="108"/>
      <c r="UQI106" s="108"/>
      <c r="UQJ106" s="108"/>
      <c r="UQK106" s="108"/>
      <c r="UQL106" s="108"/>
      <c r="UQM106" s="108"/>
      <c r="UQN106" s="108"/>
      <c r="UQO106" s="108"/>
      <c r="UQP106" s="108"/>
      <c r="UQQ106" s="108"/>
      <c r="UQR106" s="108"/>
      <c r="UQS106" s="108"/>
      <c r="UQT106" s="108"/>
      <c r="UQU106" s="108"/>
      <c r="UQV106" s="108"/>
      <c r="UQW106" s="108"/>
      <c r="UQX106" s="108"/>
      <c r="UQY106" s="108"/>
      <c r="UQZ106" s="108"/>
      <c r="URA106" s="108"/>
      <c r="URB106" s="108"/>
      <c r="URC106" s="108"/>
      <c r="URD106" s="108"/>
      <c r="URE106" s="108"/>
      <c r="URF106" s="108"/>
      <c r="URG106" s="108"/>
      <c r="URH106" s="108"/>
      <c r="URI106" s="108"/>
      <c r="URJ106" s="108"/>
      <c r="URK106" s="108"/>
      <c r="URL106" s="108"/>
      <c r="URM106" s="108"/>
      <c r="URN106" s="108"/>
      <c r="URO106" s="108"/>
      <c r="URP106" s="108"/>
      <c r="URQ106" s="108"/>
      <c r="URR106" s="108"/>
      <c r="URS106" s="108"/>
      <c r="URT106" s="108"/>
      <c r="URU106" s="108"/>
      <c r="URV106" s="108"/>
      <c r="URW106" s="108"/>
      <c r="URX106" s="108"/>
      <c r="URY106" s="108"/>
      <c r="URZ106" s="108"/>
      <c r="USA106" s="108"/>
      <c r="USB106" s="108"/>
      <c r="USC106" s="108"/>
      <c r="USD106" s="108"/>
      <c r="USE106" s="108"/>
      <c r="USF106" s="108"/>
      <c r="USG106" s="108"/>
      <c r="USH106" s="108"/>
      <c r="USI106" s="108"/>
      <c r="USJ106" s="108"/>
      <c r="USK106" s="108"/>
      <c r="USL106" s="108"/>
      <c r="USM106" s="108"/>
      <c r="USN106" s="108"/>
      <c r="USO106" s="108"/>
      <c r="USP106" s="108"/>
      <c r="USQ106" s="108"/>
      <c r="USR106" s="108"/>
      <c r="USS106" s="108"/>
      <c r="UST106" s="108"/>
      <c r="USU106" s="108"/>
      <c r="USV106" s="108"/>
      <c r="USW106" s="108"/>
      <c r="USX106" s="108"/>
      <c r="USY106" s="108"/>
      <c r="USZ106" s="108"/>
      <c r="UTA106" s="108"/>
      <c r="UTB106" s="108"/>
      <c r="UTC106" s="108"/>
      <c r="UTD106" s="108"/>
      <c r="UTE106" s="108"/>
      <c r="UTF106" s="108"/>
      <c r="UTG106" s="108"/>
      <c r="UTH106" s="108"/>
      <c r="UTI106" s="108"/>
      <c r="UTJ106" s="108"/>
      <c r="UTK106" s="108"/>
      <c r="UTL106" s="108"/>
      <c r="UTM106" s="108"/>
      <c r="UTN106" s="108"/>
      <c r="UTO106" s="108"/>
      <c r="UTP106" s="108"/>
      <c r="UTQ106" s="108"/>
      <c r="UTR106" s="108"/>
      <c r="UTS106" s="108"/>
      <c r="UTT106" s="108"/>
      <c r="UTU106" s="108"/>
      <c r="UTV106" s="108"/>
      <c r="UTW106" s="108"/>
      <c r="UTX106" s="108"/>
      <c r="UTY106" s="108"/>
      <c r="UTZ106" s="108"/>
      <c r="UUA106" s="108"/>
      <c r="UUB106" s="108"/>
      <c r="UUC106" s="108"/>
      <c r="UUD106" s="108"/>
      <c r="UUE106" s="108"/>
      <c r="UUF106" s="108"/>
      <c r="UUG106" s="108"/>
      <c r="UUH106" s="108"/>
      <c r="UUI106" s="108"/>
      <c r="UUJ106" s="108"/>
      <c r="UUK106" s="108"/>
      <c r="UUL106" s="108"/>
      <c r="UUM106" s="108"/>
      <c r="UUN106" s="108"/>
      <c r="UUO106" s="108"/>
      <c r="UUP106" s="108"/>
      <c r="UUQ106" s="108"/>
      <c r="UUR106" s="108"/>
      <c r="UUS106" s="108"/>
      <c r="UUT106" s="108"/>
      <c r="UUU106" s="108"/>
      <c r="UUV106" s="108"/>
      <c r="UUW106" s="108"/>
      <c r="UUX106" s="108"/>
      <c r="UUY106" s="108"/>
      <c r="UUZ106" s="108"/>
      <c r="UVA106" s="108"/>
      <c r="UVB106" s="108"/>
      <c r="UVC106" s="108"/>
      <c r="UVD106" s="108"/>
      <c r="UVE106" s="108"/>
      <c r="UVF106" s="108"/>
      <c r="UVG106" s="108"/>
      <c r="UVH106" s="108"/>
      <c r="UVI106" s="108"/>
      <c r="UVJ106" s="108"/>
      <c r="UVK106" s="108"/>
      <c r="UVL106" s="108"/>
      <c r="UVM106" s="108"/>
      <c r="UVN106" s="108"/>
      <c r="UVO106" s="108"/>
      <c r="UVP106" s="108"/>
      <c r="UVQ106" s="108"/>
      <c r="UVR106" s="108"/>
      <c r="UVS106" s="108"/>
      <c r="UVT106" s="108"/>
      <c r="UVU106" s="108"/>
      <c r="UVV106" s="108"/>
      <c r="UVW106" s="108"/>
      <c r="UVX106" s="108"/>
      <c r="UVY106" s="108"/>
      <c r="UVZ106" s="108"/>
      <c r="UWA106" s="108"/>
      <c r="UWB106" s="108"/>
      <c r="UWC106" s="108"/>
      <c r="UWD106" s="108"/>
      <c r="UWE106" s="108"/>
      <c r="UWF106" s="108"/>
      <c r="UWG106" s="108"/>
      <c r="UWH106" s="108"/>
      <c r="UWI106" s="108"/>
      <c r="UWJ106" s="108"/>
      <c r="UWK106" s="108"/>
      <c r="UWL106" s="108"/>
      <c r="UWM106" s="108"/>
      <c r="UWN106" s="108"/>
      <c r="UWO106" s="108"/>
      <c r="UWP106" s="108"/>
      <c r="UWQ106" s="108"/>
      <c r="UWR106" s="108"/>
      <c r="UWS106" s="108"/>
      <c r="UWT106" s="108"/>
      <c r="UWU106" s="108"/>
      <c r="UWV106" s="108"/>
      <c r="UWW106" s="108"/>
      <c r="UWX106" s="108"/>
      <c r="UWY106" s="108"/>
      <c r="UWZ106" s="108"/>
      <c r="UXA106" s="108"/>
      <c r="UXB106" s="108"/>
      <c r="UXC106" s="108"/>
      <c r="UXD106" s="108"/>
      <c r="UXE106" s="108"/>
      <c r="UXF106" s="108"/>
      <c r="UXG106" s="108"/>
      <c r="UXH106" s="108"/>
      <c r="UXI106" s="108"/>
      <c r="UXJ106" s="108"/>
      <c r="UXK106" s="108"/>
      <c r="UXL106" s="108"/>
      <c r="UXM106" s="108"/>
      <c r="UXN106" s="108"/>
      <c r="UXO106" s="108"/>
      <c r="UXP106" s="108"/>
      <c r="UXQ106" s="108"/>
      <c r="UXR106" s="108"/>
      <c r="UXS106" s="108"/>
      <c r="UXT106" s="108"/>
      <c r="UXU106" s="108"/>
      <c r="UXV106" s="108"/>
      <c r="UXW106" s="108"/>
      <c r="UXX106" s="108"/>
      <c r="UXY106" s="108"/>
      <c r="UXZ106" s="108"/>
      <c r="UYA106" s="108"/>
      <c r="UYB106" s="108"/>
      <c r="UYC106" s="108"/>
      <c r="UYD106" s="108"/>
      <c r="UYE106" s="108"/>
      <c r="UYF106" s="108"/>
      <c r="UYG106" s="108"/>
      <c r="UYH106" s="108"/>
      <c r="UYI106" s="108"/>
      <c r="UYJ106" s="108"/>
      <c r="UYK106" s="108"/>
      <c r="UYL106" s="108"/>
      <c r="UYM106" s="108"/>
      <c r="UYN106" s="108"/>
      <c r="UYO106" s="108"/>
      <c r="UYP106" s="108"/>
      <c r="UYQ106" s="108"/>
      <c r="UYR106" s="108"/>
      <c r="UYS106" s="108"/>
      <c r="UYT106" s="108"/>
      <c r="UYU106" s="108"/>
      <c r="UYV106" s="108"/>
      <c r="UYW106" s="108"/>
      <c r="UYX106" s="108"/>
      <c r="UYY106" s="108"/>
      <c r="UYZ106" s="108"/>
      <c r="UZA106" s="108"/>
      <c r="UZB106" s="108"/>
      <c r="UZC106" s="108"/>
      <c r="UZD106" s="108"/>
      <c r="UZE106" s="108"/>
      <c r="UZF106" s="108"/>
      <c r="UZG106" s="108"/>
      <c r="UZH106" s="108"/>
      <c r="UZI106" s="108"/>
      <c r="UZJ106" s="108"/>
      <c r="UZK106" s="108"/>
      <c r="UZL106" s="108"/>
      <c r="UZM106" s="108"/>
      <c r="UZN106" s="108"/>
      <c r="UZO106" s="108"/>
      <c r="UZP106" s="108"/>
      <c r="UZQ106" s="108"/>
      <c r="UZR106" s="108"/>
      <c r="UZS106" s="108"/>
      <c r="UZT106" s="108"/>
      <c r="UZU106" s="108"/>
      <c r="UZV106" s="108"/>
      <c r="UZW106" s="108"/>
      <c r="UZX106" s="108"/>
      <c r="UZY106" s="108"/>
      <c r="UZZ106" s="108"/>
      <c r="VAA106" s="108"/>
      <c r="VAB106" s="108"/>
      <c r="VAC106" s="108"/>
      <c r="VAD106" s="108"/>
      <c r="VAE106" s="108"/>
      <c r="VAF106" s="108"/>
      <c r="VAG106" s="108"/>
      <c r="VAH106" s="108"/>
      <c r="VAI106" s="108"/>
      <c r="VAJ106" s="108"/>
      <c r="VAK106" s="108"/>
      <c r="VAL106" s="108"/>
      <c r="VAM106" s="108"/>
      <c r="VAN106" s="108"/>
      <c r="VAO106" s="108"/>
      <c r="VAP106" s="108"/>
      <c r="VAQ106" s="108"/>
      <c r="VAR106" s="108"/>
      <c r="VAS106" s="108"/>
      <c r="VAT106" s="108"/>
      <c r="VAU106" s="108"/>
      <c r="VAV106" s="108"/>
      <c r="VAW106" s="108"/>
      <c r="VAX106" s="108"/>
      <c r="VAY106" s="108"/>
      <c r="VAZ106" s="108"/>
      <c r="VBA106" s="108"/>
      <c r="VBB106" s="108"/>
      <c r="VBC106" s="108"/>
      <c r="VBD106" s="108"/>
      <c r="VBE106" s="108"/>
      <c r="VBF106" s="108"/>
      <c r="VBG106" s="108"/>
      <c r="VBH106" s="108"/>
      <c r="VBI106" s="108"/>
      <c r="VBJ106" s="108"/>
      <c r="VBK106" s="108"/>
      <c r="VBL106" s="108"/>
      <c r="VBM106" s="108"/>
      <c r="VBN106" s="108"/>
      <c r="VBO106" s="108"/>
      <c r="VBP106" s="108"/>
      <c r="VBQ106" s="108"/>
      <c r="VBR106" s="108"/>
      <c r="VBS106" s="108"/>
      <c r="VBT106" s="108"/>
      <c r="VBU106" s="108"/>
      <c r="VBV106" s="108"/>
      <c r="VBW106" s="108"/>
      <c r="VBX106" s="108"/>
      <c r="VBY106" s="108"/>
      <c r="VBZ106" s="108"/>
      <c r="VCA106" s="108"/>
      <c r="VCB106" s="108"/>
      <c r="VCC106" s="108"/>
      <c r="VCD106" s="108"/>
      <c r="VCE106" s="108"/>
      <c r="VCF106" s="108"/>
      <c r="VCG106" s="108"/>
      <c r="VCH106" s="108"/>
      <c r="VCI106" s="108"/>
      <c r="VCJ106" s="108"/>
      <c r="VCK106" s="108"/>
      <c r="VCL106" s="108"/>
      <c r="VCM106" s="108"/>
      <c r="VCN106" s="108"/>
      <c r="VCO106" s="108"/>
      <c r="VCP106" s="108"/>
      <c r="VCQ106" s="108"/>
      <c r="VCR106" s="108"/>
      <c r="VCS106" s="108"/>
      <c r="VCT106" s="108"/>
      <c r="VCU106" s="108"/>
      <c r="VCV106" s="108"/>
      <c r="VCW106" s="108"/>
      <c r="VCX106" s="108"/>
      <c r="VCY106" s="108"/>
      <c r="VCZ106" s="108"/>
      <c r="VDA106" s="108"/>
      <c r="VDB106" s="108"/>
      <c r="VDC106" s="108"/>
      <c r="VDD106" s="108"/>
      <c r="VDE106" s="108"/>
      <c r="VDF106" s="108"/>
      <c r="VDG106" s="108"/>
      <c r="VDH106" s="108"/>
      <c r="VDI106" s="108"/>
      <c r="VDJ106" s="108"/>
      <c r="VDK106" s="108"/>
      <c r="VDL106" s="108"/>
      <c r="VDM106" s="108"/>
      <c r="VDN106" s="108"/>
      <c r="VDO106" s="108"/>
      <c r="VDP106" s="108"/>
      <c r="VDQ106" s="108"/>
      <c r="VDR106" s="108"/>
      <c r="VDS106" s="108"/>
      <c r="VDT106" s="108"/>
      <c r="VDU106" s="108"/>
      <c r="VDV106" s="108"/>
      <c r="VDW106" s="108"/>
      <c r="VDX106" s="108"/>
      <c r="VDY106" s="108"/>
      <c r="VDZ106" s="108"/>
      <c r="VEA106" s="108"/>
      <c r="VEB106" s="108"/>
      <c r="VEC106" s="108"/>
      <c r="VED106" s="108"/>
      <c r="VEE106" s="108"/>
      <c r="VEF106" s="108"/>
      <c r="VEG106" s="108"/>
      <c r="VEH106" s="108"/>
      <c r="VEI106" s="108"/>
      <c r="VEJ106" s="108"/>
      <c r="VEK106" s="108"/>
      <c r="VEL106" s="108"/>
      <c r="VEM106" s="108"/>
      <c r="VEN106" s="108"/>
      <c r="VEO106" s="108"/>
      <c r="VEP106" s="108"/>
      <c r="VEQ106" s="108"/>
      <c r="VER106" s="108"/>
      <c r="VES106" s="108"/>
      <c r="VET106" s="108"/>
      <c r="VEU106" s="108"/>
      <c r="VEV106" s="108"/>
      <c r="VEW106" s="108"/>
      <c r="VEX106" s="108"/>
      <c r="VEY106" s="108"/>
      <c r="VEZ106" s="108"/>
      <c r="VFA106" s="108"/>
      <c r="VFB106" s="108"/>
      <c r="VFC106" s="108"/>
      <c r="VFD106" s="108"/>
      <c r="VFE106" s="108"/>
      <c r="VFF106" s="108"/>
      <c r="VFG106" s="108"/>
      <c r="VFH106" s="108"/>
      <c r="VFI106" s="108"/>
      <c r="VFJ106" s="108"/>
      <c r="VFK106" s="108"/>
      <c r="VFL106" s="108"/>
      <c r="VFM106" s="108"/>
      <c r="VFN106" s="108"/>
      <c r="VFO106" s="108"/>
      <c r="VFP106" s="108"/>
      <c r="VFQ106" s="108"/>
      <c r="VFR106" s="108"/>
      <c r="VFS106" s="108"/>
      <c r="VFT106" s="108"/>
      <c r="VFU106" s="108"/>
      <c r="VFV106" s="108"/>
      <c r="VFW106" s="108"/>
      <c r="VFX106" s="108"/>
      <c r="VFY106" s="108"/>
      <c r="VFZ106" s="108"/>
      <c r="VGA106" s="108"/>
      <c r="VGB106" s="108"/>
      <c r="VGC106" s="108"/>
      <c r="VGD106" s="108"/>
      <c r="VGE106" s="108"/>
      <c r="VGF106" s="108"/>
      <c r="VGG106" s="108"/>
      <c r="VGH106" s="108"/>
      <c r="VGI106" s="108"/>
      <c r="VGJ106" s="108"/>
      <c r="VGK106" s="108"/>
      <c r="VGL106" s="108"/>
      <c r="VGM106" s="108"/>
      <c r="VGN106" s="108"/>
      <c r="VGO106" s="108"/>
      <c r="VGP106" s="108"/>
      <c r="VGQ106" s="108"/>
      <c r="VGR106" s="108"/>
      <c r="VGS106" s="108"/>
      <c r="VGT106" s="108"/>
      <c r="VGU106" s="108"/>
      <c r="VGV106" s="108"/>
      <c r="VGW106" s="108"/>
      <c r="VGX106" s="108"/>
      <c r="VGY106" s="108"/>
      <c r="VGZ106" s="108"/>
      <c r="VHA106" s="108"/>
      <c r="VHB106" s="108"/>
      <c r="VHC106" s="108"/>
      <c r="VHD106" s="108"/>
      <c r="VHE106" s="108"/>
      <c r="VHF106" s="108"/>
      <c r="VHG106" s="108"/>
      <c r="VHH106" s="108"/>
      <c r="VHI106" s="108"/>
      <c r="VHJ106" s="108"/>
      <c r="VHK106" s="108"/>
      <c r="VHL106" s="108"/>
      <c r="VHM106" s="108"/>
      <c r="VHN106" s="108"/>
      <c r="VHO106" s="108"/>
      <c r="VHP106" s="108"/>
      <c r="VHQ106" s="108"/>
      <c r="VHR106" s="108"/>
      <c r="VHS106" s="108"/>
      <c r="VHT106" s="108"/>
      <c r="VHU106" s="108"/>
      <c r="VHV106" s="108"/>
      <c r="VHW106" s="108"/>
      <c r="VHX106" s="108"/>
      <c r="VHY106" s="108"/>
      <c r="VHZ106" s="108"/>
      <c r="VIA106" s="108"/>
      <c r="VIB106" s="108"/>
      <c r="VIC106" s="108"/>
      <c r="VID106" s="108"/>
      <c r="VIE106" s="108"/>
      <c r="VIF106" s="108"/>
      <c r="VIG106" s="108"/>
      <c r="VIH106" s="108"/>
      <c r="VII106" s="108"/>
      <c r="VIJ106" s="108"/>
      <c r="VIK106" s="108"/>
      <c r="VIL106" s="108"/>
      <c r="VIM106" s="108"/>
      <c r="VIN106" s="108"/>
      <c r="VIO106" s="108"/>
      <c r="VIP106" s="108"/>
      <c r="VIQ106" s="108"/>
      <c r="VIR106" s="108"/>
      <c r="VIS106" s="108"/>
      <c r="VIT106" s="108"/>
      <c r="VIU106" s="108"/>
      <c r="VIV106" s="108"/>
      <c r="VIW106" s="108"/>
      <c r="VIX106" s="108"/>
      <c r="VIY106" s="108"/>
      <c r="VIZ106" s="108"/>
      <c r="VJA106" s="108"/>
      <c r="VJB106" s="108"/>
      <c r="VJC106" s="108"/>
      <c r="VJD106" s="108"/>
      <c r="VJE106" s="108"/>
      <c r="VJF106" s="108"/>
      <c r="VJG106" s="108"/>
      <c r="VJH106" s="108"/>
      <c r="VJI106" s="108"/>
      <c r="VJJ106" s="108"/>
      <c r="VJK106" s="108"/>
      <c r="VJL106" s="108"/>
      <c r="VJM106" s="108"/>
      <c r="VJN106" s="108"/>
      <c r="VJO106" s="108"/>
      <c r="VJP106" s="108"/>
      <c r="VJQ106" s="108"/>
      <c r="VJR106" s="108"/>
      <c r="VJS106" s="108"/>
      <c r="VJT106" s="108"/>
      <c r="VJU106" s="108"/>
      <c r="VJV106" s="108"/>
      <c r="VJW106" s="108"/>
      <c r="VJX106" s="108"/>
      <c r="VJY106" s="108"/>
      <c r="VJZ106" s="108"/>
      <c r="VKA106" s="108"/>
      <c r="VKB106" s="108"/>
      <c r="VKC106" s="108"/>
      <c r="VKD106" s="108"/>
      <c r="VKE106" s="108"/>
      <c r="VKF106" s="108"/>
      <c r="VKG106" s="108"/>
      <c r="VKH106" s="108"/>
      <c r="VKI106" s="108"/>
      <c r="VKJ106" s="108"/>
      <c r="VKK106" s="108"/>
      <c r="VKL106" s="108"/>
      <c r="VKM106" s="108"/>
      <c r="VKN106" s="108"/>
      <c r="VKO106" s="108"/>
      <c r="VKP106" s="108"/>
      <c r="VKQ106" s="108"/>
      <c r="VKR106" s="108"/>
      <c r="VKS106" s="108"/>
      <c r="VKT106" s="108"/>
      <c r="VKU106" s="108"/>
      <c r="VKV106" s="108"/>
      <c r="VKW106" s="108"/>
      <c r="VKX106" s="108"/>
      <c r="VKY106" s="108"/>
      <c r="VKZ106" s="108"/>
      <c r="VLA106" s="108"/>
      <c r="VLB106" s="108"/>
      <c r="VLC106" s="108"/>
      <c r="VLD106" s="108"/>
      <c r="VLE106" s="108"/>
      <c r="VLF106" s="108"/>
      <c r="VLG106" s="108"/>
      <c r="VLH106" s="108"/>
      <c r="VLI106" s="108"/>
      <c r="VLJ106" s="108"/>
      <c r="VLK106" s="108"/>
      <c r="VLL106" s="108"/>
      <c r="VLM106" s="108"/>
      <c r="VLN106" s="108"/>
      <c r="VLO106" s="108"/>
      <c r="VLP106" s="108"/>
      <c r="VLQ106" s="108"/>
      <c r="VLR106" s="108"/>
      <c r="VLS106" s="108"/>
      <c r="VLT106" s="108"/>
      <c r="VLU106" s="108"/>
      <c r="VLV106" s="108"/>
      <c r="VLW106" s="108"/>
      <c r="VLX106" s="108"/>
      <c r="VLY106" s="108"/>
      <c r="VLZ106" s="108"/>
      <c r="VMA106" s="108"/>
      <c r="VMB106" s="108"/>
      <c r="VMC106" s="108"/>
      <c r="VMD106" s="108"/>
      <c r="VME106" s="108"/>
      <c r="VMF106" s="108"/>
      <c r="VMG106" s="108"/>
      <c r="VMH106" s="108"/>
      <c r="VMI106" s="108"/>
      <c r="VMJ106" s="108"/>
      <c r="VMK106" s="108"/>
      <c r="VML106" s="108"/>
      <c r="VMM106" s="108"/>
      <c r="VMN106" s="108"/>
      <c r="VMO106" s="108"/>
      <c r="VMP106" s="108"/>
      <c r="VMQ106" s="108"/>
      <c r="VMR106" s="108"/>
      <c r="VMS106" s="108"/>
      <c r="VMT106" s="108"/>
      <c r="VMU106" s="108"/>
      <c r="VMV106" s="108"/>
      <c r="VMW106" s="108"/>
      <c r="VMX106" s="108"/>
      <c r="VMY106" s="108"/>
      <c r="VMZ106" s="108"/>
      <c r="VNA106" s="108"/>
      <c r="VNB106" s="108"/>
      <c r="VNC106" s="108"/>
      <c r="VND106" s="108"/>
      <c r="VNE106" s="108"/>
      <c r="VNF106" s="108"/>
      <c r="VNG106" s="108"/>
      <c r="VNH106" s="108"/>
      <c r="VNI106" s="108"/>
      <c r="VNJ106" s="108"/>
      <c r="VNK106" s="108"/>
      <c r="VNL106" s="108"/>
      <c r="VNM106" s="108"/>
      <c r="VNN106" s="108"/>
      <c r="VNO106" s="108"/>
      <c r="VNP106" s="108"/>
      <c r="VNQ106" s="108"/>
      <c r="VNR106" s="108"/>
      <c r="VNS106" s="108"/>
      <c r="VNT106" s="108"/>
      <c r="VNU106" s="108"/>
      <c r="VNV106" s="108"/>
      <c r="VNW106" s="108"/>
      <c r="VNX106" s="108"/>
      <c r="VNY106" s="108"/>
      <c r="VNZ106" s="108"/>
      <c r="VOA106" s="108"/>
      <c r="VOB106" s="108"/>
      <c r="VOC106" s="108"/>
      <c r="VOD106" s="108"/>
      <c r="VOE106" s="108"/>
      <c r="VOF106" s="108"/>
      <c r="VOG106" s="108"/>
      <c r="VOH106" s="108"/>
      <c r="VOI106" s="108"/>
      <c r="VOJ106" s="108"/>
      <c r="VOK106" s="108"/>
      <c r="VOL106" s="108"/>
      <c r="VOM106" s="108"/>
      <c r="VON106" s="108"/>
      <c r="VOO106" s="108"/>
      <c r="VOP106" s="108"/>
      <c r="VOQ106" s="108"/>
      <c r="VOR106" s="108"/>
      <c r="VOS106" s="108"/>
      <c r="VOT106" s="108"/>
      <c r="VOU106" s="108"/>
      <c r="VOV106" s="108"/>
      <c r="VOW106" s="108"/>
      <c r="VOX106" s="108"/>
      <c r="VOY106" s="108"/>
      <c r="VOZ106" s="108"/>
      <c r="VPA106" s="108"/>
      <c r="VPB106" s="108"/>
      <c r="VPC106" s="108"/>
      <c r="VPD106" s="108"/>
      <c r="VPE106" s="108"/>
      <c r="VPF106" s="108"/>
      <c r="VPG106" s="108"/>
      <c r="VPH106" s="108"/>
      <c r="VPI106" s="108"/>
      <c r="VPJ106" s="108"/>
      <c r="VPK106" s="108"/>
      <c r="VPL106" s="108"/>
      <c r="VPM106" s="108"/>
      <c r="VPN106" s="108"/>
      <c r="VPO106" s="108"/>
      <c r="VPP106" s="108"/>
      <c r="VPQ106" s="108"/>
      <c r="VPR106" s="108"/>
      <c r="VPS106" s="108"/>
      <c r="VPT106" s="108"/>
      <c r="VPU106" s="108"/>
      <c r="VPV106" s="108"/>
      <c r="VPW106" s="108"/>
      <c r="VPX106" s="108"/>
      <c r="VPY106" s="108"/>
      <c r="VPZ106" s="108"/>
      <c r="VQA106" s="108"/>
      <c r="VQB106" s="108"/>
      <c r="VQC106" s="108"/>
      <c r="VQD106" s="108"/>
      <c r="VQE106" s="108"/>
      <c r="VQF106" s="108"/>
      <c r="VQG106" s="108"/>
      <c r="VQH106" s="108"/>
      <c r="VQI106" s="108"/>
      <c r="VQJ106" s="108"/>
      <c r="VQK106" s="108"/>
      <c r="VQL106" s="108"/>
      <c r="VQM106" s="108"/>
      <c r="VQN106" s="108"/>
      <c r="VQO106" s="108"/>
      <c r="VQP106" s="108"/>
      <c r="VQQ106" s="108"/>
      <c r="VQR106" s="108"/>
      <c r="VQS106" s="108"/>
      <c r="VQT106" s="108"/>
      <c r="VQU106" s="108"/>
      <c r="VQV106" s="108"/>
      <c r="VQW106" s="108"/>
      <c r="VQX106" s="108"/>
      <c r="VQY106" s="108"/>
      <c r="VQZ106" s="108"/>
      <c r="VRA106" s="108"/>
      <c r="VRB106" s="108"/>
      <c r="VRC106" s="108"/>
      <c r="VRD106" s="108"/>
      <c r="VRE106" s="108"/>
      <c r="VRF106" s="108"/>
      <c r="VRG106" s="108"/>
      <c r="VRH106" s="108"/>
      <c r="VRI106" s="108"/>
      <c r="VRJ106" s="108"/>
      <c r="VRK106" s="108"/>
      <c r="VRL106" s="108"/>
      <c r="VRM106" s="108"/>
      <c r="VRN106" s="108"/>
      <c r="VRO106" s="108"/>
      <c r="VRP106" s="108"/>
      <c r="VRQ106" s="108"/>
      <c r="VRR106" s="108"/>
      <c r="VRS106" s="108"/>
      <c r="VRT106" s="108"/>
      <c r="VRU106" s="108"/>
      <c r="VRV106" s="108"/>
      <c r="VRW106" s="108"/>
      <c r="VRX106" s="108"/>
      <c r="VRY106" s="108"/>
      <c r="VRZ106" s="108"/>
      <c r="VSA106" s="108"/>
      <c r="VSB106" s="108"/>
      <c r="VSC106" s="108"/>
      <c r="VSD106" s="108"/>
      <c r="VSE106" s="108"/>
      <c r="VSF106" s="108"/>
      <c r="VSG106" s="108"/>
      <c r="VSH106" s="108"/>
      <c r="VSI106" s="108"/>
      <c r="VSJ106" s="108"/>
      <c r="VSK106" s="108"/>
      <c r="VSL106" s="108"/>
      <c r="VSM106" s="108"/>
      <c r="VSN106" s="108"/>
      <c r="VSO106" s="108"/>
      <c r="VSP106" s="108"/>
      <c r="VSQ106" s="108"/>
      <c r="VSR106" s="108"/>
      <c r="VSS106" s="108"/>
      <c r="VST106" s="108"/>
      <c r="VSU106" s="108"/>
      <c r="VSV106" s="108"/>
      <c r="VSW106" s="108"/>
      <c r="VSX106" s="108"/>
      <c r="VSY106" s="108"/>
      <c r="VSZ106" s="108"/>
      <c r="VTA106" s="108"/>
      <c r="VTB106" s="108"/>
      <c r="VTC106" s="108"/>
      <c r="VTD106" s="108"/>
      <c r="VTE106" s="108"/>
      <c r="VTF106" s="108"/>
      <c r="VTG106" s="108"/>
      <c r="VTH106" s="108"/>
      <c r="VTI106" s="108"/>
      <c r="VTJ106" s="108"/>
      <c r="VTK106" s="108"/>
      <c r="VTL106" s="108"/>
      <c r="VTM106" s="108"/>
      <c r="VTN106" s="108"/>
      <c r="VTO106" s="108"/>
      <c r="VTP106" s="108"/>
      <c r="VTQ106" s="108"/>
      <c r="VTR106" s="108"/>
      <c r="VTS106" s="108"/>
      <c r="VTT106" s="108"/>
      <c r="VTU106" s="108"/>
      <c r="VTV106" s="108"/>
      <c r="VTW106" s="108"/>
      <c r="VTX106" s="108"/>
      <c r="VTY106" s="108"/>
      <c r="VTZ106" s="108"/>
      <c r="VUA106" s="108"/>
      <c r="VUB106" s="108"/>
      <c r="VUC106" s="108"/>
      <c r="VUD106" s="108"/>
      <c r="VUE106" s="108"/>
      <c r="VUF106" s="108"/>
      <c r="VUG106" s="108"/>
      <c r="VUH106" s="108"/>
      <c r="VUI106" s="108"/>
      <c r="VUJ106" s="108"/>
      <c r="VUK106" s="108"/>
      <c r="VUL106" s="108"/>
      <c r="VUM106" s="108"/>
      <c r="VUN106" s="108"/>
      <c r="VUO106" s="108"/>
      <c r="VUP106" s="108"/>
      <c r="VUQ106" s="108"/>
      <c r="VUR106" s="108"/>
      <c r="VUS106" s="108"/>
      <c r="VUT106" s="108"/>
      <c r="VUU106" s="108"/>
      <c r="VUV106" s="108"/>
      <c r="VUW106" s="108"/>
      <c r="VUX106" s="108"/>
      <c r="VUY106" s="108"/>
      <c r="VUZ106" s="108"/>
      <c r="VVA106" s="108"/>
      <c r="VVB106" s="108"/>
      <c r="VVC106" s="108"/>
      <c r="VVD106" s="108"/>
      <c r="VVE106" s="108"/>
      <c r="VVF106" s="108"/>
      <c r="VVG106" s="108"/>
      <c r="VVH106" s="108"/>
      <c r="VVI106" s="108"/>
      <c r="VVJ106" s="108"/>
      <c r="VVK106" s="108"/>
      <c r="VVL106" s="108"/>
      <c r="VVM106" s="108"/>
      <c r="VVN106" s="108"/>
      <c r="VVO106" s="108"/>
      <c r="VVP106" s="108"/>
      <c r="VVQ106" s="108"/>
      <c r="VVR106" s="108"/>
      <c r="VVS106" s="108"/>
      <c r="VVT106" s="108"/>
      <c r="VVU106" s="108"/>
      <c r="VVV106" s="108"/>
      <c r="VVW106" s="108"/>
      <c r="VVX106" s="108"/>
      <c r="VVY106" s="108"/>
      <c r="VVZ106" s="108"/>
      <c r="VWA106" s="108"/>
      <c r="VWB106" s="108"/>
      <c r="VWC106" s="108"/>
      <c r="VWD106" s="108"/>
      <c r="VWE106" s="108"/>
      <c r="VWF106" s="108"/>
      <c r="VWG106" s="108"/>
      <c r="VWH106" s="108"/>
      <c r="VWI106" s="108"/>
      <c r="VWJ106" s="108"/>
      <c r="VWK106" s="108"/>
      <c r="VWL106" s="108"/>
      <c r="VWM106" s="108"/>
      <c r="VWN106" s="108"/>
      <c r="VWO106" s="108"/>
      <c r="VWP106" s="108"/>
      <c r="VWQ106" s="108"/>
      <c r="VWR106" s="108"/>
      <c r="VWS106" s="108"/>
      <c r="VWT106" s="108"/>
      <c r="VWU106" s="108"/>
      <c r="VWV106" s="108"/>
      <c r="VWW106" s="108"/>
      <c r="VWX106" s="108"/>
      <c r="VWY106" s="108"/>
      <c r="VWZ106" s="108"/>
      <c r="VXA106" s="108"/>
      <c r="VXB106" s="108"/>
      <c r="VXC106" s="108"/>
      <c r="VXD106" s="108"/>
      <c r="VXE106" s="108"/>
      <c r="VXF106" s="108"/>
      <c r="VXG106" s="108"/>
      <c r="VXH106" s="108"/>
      <c r="VXI106" s="108"/>
      <c r="VXJ106" s="108"/>
      <c r="VXK106" s="108"/>
      <c r="VXL106" s="108"/>
      <c r="VXM106" s="108"/>
      <c r="VXN106" s="108"/>
      <c r="VXO106" s="108"/>
      <c r="VXP106" s="108"/>
      <c r="VXQ106" s="108"/>
      <c r="VXR106" s="108"/>
      <c r="VXS106" s="108"/>
      <c r="VXT106" s="108"/>
      <c r="VXU106" s="108"/>
      <c r="VXV106" s="108"/>
      <c r="VXW106" s="108"/>
      <c r="VXX106" s="108"/>
      <c r="VXY106" s="108"/>
      <c r="VXZ106" s="108"/>
      <c r="VYA106" s="108"/>
      <c r="VYB106" s="108"/>
      <c r="VYC106" s="108"/>
      <c r="VYD106" s="108"/>
      <c r="VYE106" s="108"/>
      <c r="VYF106" s="108"/>
      <c r="VYG106" s="108"/>
      <c r="VYH106" s="108"/>
      <c r="VYI106" s="108"/>
      <c r="VYJ106" s="108"/>
      <c r="VYK106" s="108"/>
      <c r="VYL106" s="108"/>
      <c r="VYM106" s="108"/>
      <c r="VYN106" s="108"/>
      <c r="VYO106" s="108"/>
      <c r="VYP106" s="108"/>
      <c r="VYQ106" s="108"/>
      <c r="VYR106" s="108"/>
      <c r="VYS106" s="108"/>
      <c r="VYT106" s="108"/>
      <c r="VYU106" s="108"/>
      <c r="VYV106" s="108"/>
      <c r="VYW106" s="108"/>
      <c r="VYX106" s="108"/>
      <c r="VYY106" s="108"/>
      <c r="VYZ106" s="108"/>
      <c r="VZA106" s="108"/>
      <c r="VZB106" s="108"/>
      <c r="VZC106" s="108"/>
      <c r="VZD106" s="108"/>
      <c r="VZE106" s="108"/>
      <c r="VZF106" s="108"/>
      <c r="VZG106" s="108"/>
      <c r="VZH106" s="108"/>
      <c r="VZI106" s="108"/>
      <c r="VZJ106" s="108"/>
      <c r="VZK106" s="108"/>
      <c r="VZL106" s="108"/>
      <c r="VZM106" s="108"/>
      <c r="VZN106" s="108"/>
      <c r="VZO106" s="108"/>
      <c r="VZP106" s="108"/>
      <c r="VZQ106" s="108"/>
      <c r="VZR106" s="108"/>
      <c r="VZS106" s="108"/>
      <c r="VZT106" s="108"/>
      <c r="VZU106" s="108"/>
      <c r="VZV106" s="108"/>
      <c r="VZW106" s="108"/>
      <c r="VZX106" s="108"/>
      <c r="VZY106" s="108"/>
      <c r="VZZ106" s="108"/>
      <c r="WAA106" s="108"/>
      <c r="WAB106" s="108"/>
      <c r="WAC106" s="108"/>
      <c r="WAD106" s="108"/>
      <c r="WAE106" s="108"/>
      <c r="WAF106" s="108"/>
      <c r="WAG106" s="108"/>
      <c r="WAH106" s="108"/>
      <c r="WAI106" s="108"/>
      <c r="WAJ106" s="108"/>
      <c r="WAK106" s="108"/>
      <c r="WAL106" s="108"/>
      <c r="WAM106" s="108"/>
      <c r="WAN106" s="108"/>
      <c r="WAO106" s="108"/>
      <c r="WAP106" s="108"/>
      <c r="WAQ106" s="108"/>
      <c r="WAR106" s="108"/>
      <c r="WAS106" s="108"/>
      <c r="WAT106" s="108"/>
      <c r="WAU106" s="108"/>
      <c r="WAV106" s="108"/>
      <c r="WAW106" s="108"/>
      <c r="WAX106" s="108"/>
      <c r="WAY106" s="108"/>
      <c r="WAZ106" s="108"/>
      <c r="WBA106" s="108"/>
      <c r="WBB106" s="108"/>
      <c r="WBC106" s="108"/>
      <c r="WBD106" s="108"/>
      <c r="WBE106" s="108"/>
      <c r="WBF106" s="108"/>
      <c r="WBG106" s="108"/>
      <c r="WBH106" s="108"/>
      <c r="WBI106" s="108"/>
      <c r="WBJ106" s="108"/>
      <c r="WBK106" s="108"/>
      <c r="WBL106" s="108"/>
      <c r="WBM106" s="108"/>
      <c r="WBN106" s="108"/>
      <c r="WBO106" s="108"/>
      <c r="WBP106" s="108"/>
      <c r="WBQ106" s="108"/>
      <c r="WBR106" s="108"/>
      <c r="WBS106" s="108"/>
      <c r="WBT106" s="108"/>
      <c r="WBU106" s="108"/>
      <c r="WBV106" s="108"/>
      <c r="WBW106" s="108"/>
      <c r="WBX106" s="108"/>
      <c r="WBY106" s="108"/>
      <c r="WBZ106" s="108"/>
      <c r="WCA106" s="108"/>
      <c r="WCB106" s="108"/>
      <c r="WCC106" s="108"/>
      <c r="WCD106" s="108"/>
      <c r="WCE106" s="108"/>
      <c r="WCF106" s="108"/>
      <c r="WCG106" s="108"/>
      <c r="WCH106" s="108"/>
      <c r="WCI106" s="108"/>
      <c r="WCJ106" s="108"/>
      <c r="WCK106" s="108"/>
      <c r="WCL106" s="108"/>
      <c r="WCM106" s="108"/>
      <c r="WCN106" s="108"/>
      <c r="WCO106" s="108"/>
      <c r="WCP106" s="108"/>
      <c r="WCQ106" s="108"/>
      <c r="WCR106" s="108"/>
      <c r="WCS106" s="108"/>
      <c r="WCT106" s="108"/>
      <c r="WCU106" s="108"/>
      <c r="WCV106" s="108"/>
      <c r="WCW106" s="108"/>
      <c r="WCX106" s="108"/>
      <c r="WCY106" s="108"/>
      <c r="WCZ106" s="108"/>
      <c r="WDA106" s="108"/>
      <c r="WDB106" s="108"/>
      <c r="WDC106" s="108"/>
      <c r="WDD106" s="108"/>
      <c r="WDE106" s="108"/>
      <c r="WDF106" s="108"/>
      <c r="WDG106" s="108"/>
      <c r="WDH106" s="108"/>
      <c r="WDI106" s="108"/>
      <c r="WDJ106" s="108"/>
      <c r="WDK106" s="108"/>
      <c r="WDL106" s="108"/>
      <c r="WDM106" s="108"/>
      <c r="WDN106" s="108"/>
      <c r="WDO106" s="108"/>
      <c r="WDP106" s="108"/>
      <c r="WDQ106" s="108"/>
      <c r="WDR106" s="108"/>
      <c r="WDS106" s="108"/>
      <c r="WDT106" s="108"/>
      <c r="WDU106" s="108"/>
      <c r="WDV106" s="108"/>
      <c r="WDW106" s="108"/>
      <c r="WDX106" s="108"/>
      <c r="WDY106" s="108"/>
      <c r="WDZ106" s="108"/>
      <c r="WEA106" s="108"/>
      <c r="WEB106" s="108"/>
      <c r="WEC106" s="108"/>
      <c r="WED106" s="108"/>
      <c r="WEE106" s="108"/>
      <c r="WEF106" s="108"/>
      <c r="WEG106" s="108"/>
      <c r="WEH106" s="108"/>
      <c r="WEI106" s="108"/>
      <c r="WEJ106" s="108"/>
      <c r="WEK106" s="108"/>
      <c r="WEL106" s="108"/>
      <c r="WEM106" s="108"/>
      <c r="WEN106" s="108"/>
      <c r="WEO106" s="108"/>
      <c r="WEP106" s="108"/>
      <c r="WEQ106" s="108"/>
      <c r="WER106" s="108"/>
      <c r="WES106" s="108"/>
      <c r="WET106" s="108"/>
      <c r="WEU106" s="108"/>
      <c r="WEV106" s="108"/>
      <c r="WEW106" s="108"/>
      <c r="WEX106" s="108"/>
      <c r="WEY106" s="108"/>
      <c r="WEZ106" s="108"/>
      <c r="WFA106" s="108"/>
      <c r="WFB106" s="108"/>
      <c r="WFC106" s="108"/>
      <c r="WFD106" s="108"/>
      <c r="WFE106" s="108"/>
      <c r="WFF106" s="108"/>
      <c r="WFG106" s="108"/>
      <c r="WFH106" s="108"/>
      <c r="WFI106" s="108"/>
      <c r="WFJ106" s="108"/>
      <c r="WFK106" s="108"/>
      <c r="WFL106" s="108"/>
      <c r="WFM106" s="108"/>
      <c r="WFN106" s="108"/>
      <c r="WFO106" s="108"/>
      <c r="WFP106" s="108"/>
      <c r="WFQ106" s="108"/>
      <c r="WFR106" s="108"/>
      <c r="WFS106" s="108"/>
      <c r="WFT106" s="108"/>
      <c r="WFU106" s="108"/>
      <c r="WFV106" s="108"/>
      <c r="WFW106" s="108"/>
      <c r="WFX106" s="108"/>
      <c r="WFY106" s="108"/>
      <c r="WFZ106" s="108"/>
      <c r="WGA106" s="108"/>
      <c r="WGB106" s="108"/>
      <c r="WGC106" s="108"/>
      <c r="WGD106" s="108"/>
      <c r="WGE106" s="108"/>
      <c r="WGF106" s="108"/>
      <c r="WGG106" s="108"/>
      <c r="WGH106" s="108"/>
      <c r="WGI106" s="108"/>
      <c r="WGJ106" s="108"/>
      <c r="WGK106" s="108"/>
      <c r="WGL106" s="108"/>
      <c r="WGM106" s="108"/>
      <c r="WGN106" s="108"/>
      <c r="WGO106" s="108"/>
      <c r="WGP106" s="108"/>
      <c r="WGQ106" s="108"/>
      <c r="WGR106" s="108"/>
      <c r="WGS106" s="108"/>
      <c r="WGT106" s="108"/>
      <c r="WGU106" s="108"/>
      <c r="WGV106" s="108"/>
      <c r="WGW106" s="108"/>
      <c r="WGX106" s="108"/>
      <c r="WGY106" s="108"/>
      <c r="WGZ106" s="108"/>
      <c r="WHA106" s="108"/>
      <c r="WHB106" s="108"/>
      <c r="WHC106" s="108"/>
      <c r="WHD106" s="108"/>
      <c r="WHE106" s="108"/>
      <c r="WHF106" s="108"/>
      <c r="WHG106" s="108"/>
      <c r="WHH106" s="108"/>
      <c r="WHI106" s="108"/>
      <c r="WHJ106" s="108"/>
      <c r="WHK106" s="108"/>
      <c r="WHL106" s="108"/>
      <c r="WHM106" s="108"/>
      <c r="WHN106" s="108"/>
      <c r="WHO106" s="108"/>
      <c r="WHP106" s="108"/>
      <c r="WHQ106" s="108"/>
      <c r="WHR106" s="108"/>
      <c r="WHS106" s="108"/>
      <c r="WHT106" s="108"/>
      <c r="WHU106" s="108"/>
      <c r="WHV106" s="108"/>
      <c r="WHW106" s="108"/>
      <c r="WHX106" s="108"/>
      <c r="WHY106" s="108"/>
      <c r="WHZ106" s="108"/>
      <c r="WIA106" s="108"/>
      <c r="WIB106" s="108"/>
      <c r="WIC106" s="108"/>
      <c r="WID106" s="108"/>
      <c r="WIE106" s="108"/>
      <c r="WIF106" s="108"/>
      <c r="WIG106" s="108"/>
      <c r="WIH106" s="108"/>
      <c r="WII106" s="108"/>
      <c r="WIJ106" s="108"/>
      <c r="WIK106" s="108"/>
      <c r="WIL106" s="108"/>
      <c r="WIM106" s="108"/>
      <c r="WIN106" s="108"/>
      <c r="WIO106" s="108"/>
      <c r="WIP106" s="108"/>
      <c r="WIQ106" s="108"/>
      <c r="WIR106" s="108"/>
      <c r="WIS106" s="108"/>
      <c r="WIT106" s="108"/>
      <c r="WIU106" s="108"/>
      <c r="WIV106" s="108"/>
      <c r="WIW106" s="108"/>
      <c r="WIX106" s="108"/>
      <c r="WIY106" s="108"/>
      <c r="WIZ106" s="108"/>
      <c r="WJA106" s="108"/>
      <c r="WJB106" s="108"/>
      <c r="WJC106" s="108"/>
      <c r="WJD106" s="108"/>
      <c r="WJE106" s="108"/>
      <c r="WJF106" s="108"/>
      <c r="WJG106" s="108"/>
      <c r="WJH106" s="108"/>
      <c r="WJI106" s="108"/>
      <c r="WJJ106" s="108"/>
      <c r="WJK106" s="108"/>
      <c r="WJL106" s="108"/>
      <c r="WJM106" s="108"/>
      <c r="WJN106" s="108"/>
      <c r="WJO106" s="108"/>
      <c r="WJP106" s="108"/>
      <c r="WJQ106" s="108"/>
      <c r="WJR106" s="108"/>
      <c r="WJS106" s="108"/>
      <c r="WJT106" s="108"/>
      <c r="WJU106" s="108"/>
      <c r="WJV106" s="108"/>
      <c r="WJW106" s="108"/>
      <c r="WJX106" s="108"/>
      <c r="WJY106" s="108"/>
      <c r="WJZ106" s="108"/>
      <c r="WKA106" s="108"/>
      <c r="WKB106" s="108"/>
      <c r="WKC106" s="108"/>
      <c r="WKD106" s="108"/>
      <c r="WKE106" s="108"/>
      <c r="WKF106" s="108"/>
      <c r="WKG106" s="108"/>
      <c r="WKH106" s="108"/>
      <c r="WKI106" s="108"/>
      <c r="WKJ106" s="108"/>
      <c r="WKK106" s="108"/>
      <c r="WKL106" s="108"/>
      <c r="WKM106" s="108"/>
      <c r="WKN106" s="108"/>
      <c r="WKO106" s="108"/>
      <c r="WKP106" s="108"/>
      <c r="WKQ106" s="108"/>
      <c r="WKR106" s="108"/>
      <c r="WKS106" s="108"/>
      <c r="WKT106" s="108"/>
      <c r="WKU106" s="108"/>
      <c r="WKV106" s="108"/>
      <c r="WKW106" s="108"/>
      <c r="WKX106" s="108"/>
      <c r="WKY106" s="108"/>
      <c r="WKZ106" s="108"/>
      <c r="WLA106" s="108"/>
      <c r="WLB106" s="108"/>
      <c r="WLC106" s="108"/>
      <c r="WLD106" s="108"/>
      <c r="WLE106" s="108"/>
      <c r="WLF106" s="108"/>
      <c r="WLG106" s="108"/>
      <c r="WLH106" s="108"/>
      <c r="WLI106" s="108"/>
      <c r="WLJ106" s="108"/>
      <c r="WLK106" s="108"/>
      <c r="WLL106" s="108"/>
      <c r="WLM106" s="108"/>
      <c r="WLN106" s="108"/>
      <c r="WLO106" s="108"/>
      <c r="WLP106" s="108"/>
      <c r="WLQ106" s="108"/>
      <c r="WLR106" s="108"/>
      <c r="WLS106" s="108"/>
      <c r="WLT106" s="108"/>
      <c r="WLU106" s="108"/>
      <c r="WLV106" s="108"/>
      <c r="WLW106" s="108"/>
      <c r="WLX106" s="108"/>
      <c r="WLY106" s="108"/>
      <c r="WLZ106" s="108"/>
      <c r="WMA106" s="108"/>
      <c r="WMB106" s="108"/>
      <c r="WMC106" s="108"/>
      <c r="WMD106" s="108"/>
      <c r="WME106" s="108"/>
      <c r="WMF106" s="108"/>
      <c r="WMG106" s="108"/>
      <c r="WMH106" s="108"/>
      <c r="WMI106" s="108"/>
      <c r="WMJ106" s="108"/>
      <c r="WMK106" s="108"/>
      <c r="WML106" s="108"/>
      <c r="WMM106" s="108"/>
      <c r="WMN106" s="108"/>
      <c r="WMO106" s="108"/>
      <c r="WMP106" s="108"/>
      <c r="WMQ106" s="108"/>
      <c r="WMR106" s="108"/>
      <c r="WMS106" s="108"/>
      <c r="WMT106" s="108"/>
      <c r="WMU106" s="108"/>
      <c r="WMV106" s="108"/>
      <c r="WMW106" s="108"/>
      <c r="WMX106" s="108"/>
      <c r="WMY106" s="108"/>
      <c r="WMZ106" s="108"/>
      <c r="WNA106" s="108"/>
      <c r="WNB106" s="108"/>
      <c r="WNC106" s="108"/>
      <c r="WND106" s="108"/>
      <c r="WNE106" s="108"/>
      <c r="WNF106" s="108"/>
      <c r="WNG106" s="108"/>
      <c r="WNH106" s="108"/>
      <c r="WNI106" s="108"/>
      <c r="WNJ106" s="108"/>
      <c r="WNK106" s="108"/>
      <c r="WNL106" s="108"/>
      <c r="WNM106" s="108"/>
      <c r="WNN106" s="108"/>
      <c r="WNO106" s="108"/>
      <c r="WNP106" s="108"/>
      <c r="WNQ106" s="108"/>
      <c r="WNR106" s="108"/>
      <c r="WNS106" s="108"/>
      <c r="WNT106" s="108"/>
      <c r="WNU106" s="108"/>
      <c r="WNV106" s="108"/>
      <c r="WNW106" s="108"/>
      <c r="WNX106" s="108"/>
      <c r="WNY106" s="108"/>
      <c r="WNZ106" s="108"/>
      <c r="WOA106" s="108"/>
      <c r="WOB106" s="108"/>
      <c r="WOC106" s="108"/>
      <c r="WOD106" s="108"/>
      <c r="WOE106" s="108"/>
      <c r="WOF106" s="108"/>
      <c r="WOG106" s="108"/>
      <c r="WOH106" s="108"/>
      <c r="WOI106" s="108"/>
      <c r="WOJ106" s="108"/>
      <c r="WOK106" s="108"/>
      <c r="WOL106" s="108"/>
      <c r="WOM106" s="108"/>
      <c r="WON106" s="108"/>
      <c r="WOO106" s="108"/>
      <c r="WOP106" s="108"/>
      <c r="WOQ106" s="108"/>
      <c r="WOR106" s="108"/>
      <c r="WOS106" s="108"/>
      <c r="WOT106" s="108"/>
      <c r="WOU106" s="108"/>
      <c r="WOV106" s="108"/>
      <c r="WOW106" s="108"/>
      <c r="WOX106" s="108"/>
      <c r="WOY106" s="108"/>
      <c r="WOZ106" s="108"/>
      <c r="WPA106" s="108"/>
      <c r="WPB106" s="108"/>
      <c r="WPC106" s="108"/>
      <c r="WPD106" s="108"/>
      <c r="WPE106" s="108"/>
      <c r="WPF106" s="108"/>
      <c r="WPG106" s="108"/>
      <c r="WPH106" s="108"/>
      <c r="WPI106" s="108"/>
      <c r="WPJ106" s="108"/>
      <c r="WPK106" s="108"/>
      <c r="WPL106" s="108"/>
      <c r="WPM106" s="108"/>
      <c r="WPN106" s="108"/>
      <c r="WPO106" s="108"/>
      <c r="WPP106" s="108"/>
      <c r="WPQ106" s="108"/>
      <c r="WPR106" s="108"/>
      <c r="WPS106" s="108"/>
      <c r="WPT106" s="108"/>
      <c r="WPU106" s="108"/>
      <c r="WPV106" s="108"/>
      <c r="WPW106" s="108"/>
      <c r="WPX106" s="108"/>
      <c r="WPY106" s="108"/>
      <c r="WPZ106" s="108"/>
      <c r="WQA106" s="108"/>
      <c r="WQB106" s="108"/>
      <c r="WQC106" s="108"/>
      <c r="WQD106" s="108"/>
      <c r="WQE106" s="108"/>
      <c r="WQF106" s="108"/>
      <c r="WQG106" s="108"/>
      <c r="WQH106" s="108"/>
      <c r="WQI106" s="108"/>
      <c r="WQJ106" s="108"/>
      <c r="WQK106" s="108"/>
      <c r="WQL106" s="108"/>
      <c r="WQM106" s="108"/>
      <c r="WQN106" s="108"/>
      <c r="WQO106" s="108"/>
      <c r="WQP106" s="108"/>
      <c r="WQQ106" s="108"/>
      <c r="WQR106" s="108"/>
      <c r="WQS106" s="108"/>
      <c r="WQT106" s="108"/>
      <c r="WQU106" s="108"/>
      <c r="WQV106" s="108"/>
      <c r="WQW106" s="108"/>
      <c r="WQX106" s="108"/>
      <c r="WQY106" s="108"/>
      <c r="WQZ106" s="108"/>
      <c r="WRA106" s="108"/>
      <c r="WRB106" s="108"/>
      <c r="WRC106" s="108"/>
      <c r="WRD106" s="108"/>
      <c r="WRE106" s="108"/>
      <c r="WRF106" s="108"/>
      <c r="WRG106" s="108"/>
      <c r="WRH106" s="108"/>
      <c r="WRI106" s="108"/>
      <c r="WRJ106" s="108"/>
      <c r="WRK106" s="108"/>
      <c r="WRL106" s="108"/>
      <c r="WRM106" s="108"/>
      <c r="WRN106" s="108"/>
      <c r="WRO106" s="108"/>
      <c r="WRP106" s="108"/>
      <c r="WRQ106" s="108"/>
      <c r="WRR106" s="108"/>
      <c r="WRS106" s="108"/>
      <c r="WRT106" s="108"/>
      <c r="WRU106" s="108"/>
      <c r="WRV106" s="108"/>
      <c r="WRW106" s="108"/>
      <c r="WRX106" s="108"/>
      <c r="WRY106" s="108"/>
      <c r="WRZ106" s="108"/>
      <c r="WSA106" s="108"/>
      <c r="WSB106" s="108"/>
      <c r="WSC106" s="108"/>
      <c r="WSD106" s="108"/>
      <c r="WSE106" s="108"/>
      <c r="WSF106" s="108"/>
      <c r="WSG106" s="108"/>
      <c r="WSH106" s="108"/>
      <c r="WSI106" s="108"/>
      <c r="WSJ106" s="108"/>
      <c r="WSK106" s="108"/>
      <c r="WSL106" s="108"/>
      <c r="WSM106" s="108"/>
      <c r="WSN106" s="108"/>
      <c r="WSO106" s="108"/>
      <c r="WSP106" s="108"/>
      <c r="WSQ106" s="108"/>
      <c r="WSR106" s="108"/>
      <c r="WSS106" s="108"/>
      <c r="WST106" s="108"/>
      <c r="WSU106" s="108"/>
      <c r="WSV106" s="108"/>
      <c r="WSW106" s="108"/>
      <c r="WSX106" s="108"/>
      <c r="WSY106" s="108"/>
      <c r="WSZ106" s="108"/>
      <c r="WTA106" s="108"/>
      <c r="WTB106" s="108"/>
      <c r="WTC106" s="108"/>
      <c r="WTD106" s="108"/>
      <c r="WTE106" s="108"/>
      <c r="WTF106" s="108"/>
      <c r="WTG106" s="108"/>
      <c r="WTH106" s="108"/>
      <c r="WTI106" s="108"/>
      <c r="WTJ106" s="108"/>
      <c r="WTK106" s="108"/>
      <c r="WTL106" s="108"/>
      <c r="WTM106" s="108"/>
      <c r="WTN106" s="108"/>
      <c r="WTO106" s="108"/>
      <c r="WTP106" s="108"/>
      <c r="WTQ106" s="108"/>
      <c r="WTR106" s="108"/>
      <c r="WTS106" s="108"/>
      <c r="WTT106" s="108"/>
      <c r="WTU106" s="108"/>
      <c r="WTV106" s="108"/>
      <c r="WTW106" s="108"/>
      <c r="WTX106" s="108"/>
      <c r="WTY106" s="108"/>
      <c r="WTZ106" s="108"/>
      <c r="WUA106" s="108"/>
      <c r="WUB106" s="108"/>
      <c r="WUC106" s="108"/>
      <c r="WUD106" s="108"/>
      <c r="WUE106" s="108"/>
      <c r="WUF106" s="108"/>
      <c r="WUG106" s="108"/>
      <c r="WUH106" s="108"/>
      <c r="WUI106" s="108"/>
      <c r="WUJ106" s="108"/>
      <c r="WUK106" s="108"/>
      <c r="WUL106" s="108"/>
      <c r="WUM106" s="108"/>
      <c r="WUN106" s="108"/>
      <c r="WUO106" s="108"/>
      <c r="WUP106" s="108"/>
      <c r="WUQ106" s="108"/>
      <c r="WUR106" s="108"/>
      <c r="WUS106" s="108"/>
      <c r="WUT106" s="108"/>
      <c r="WUU106" s="108"/>
      <c r="WUV106" s="108"/>
      <c r="WUW106" s="108"/>
      <c r="WUX106" s="108"/>
      <c r="WUY106" s="108"/>
      <c r="WUZ106" s="108"/>
      <c r="WVA106" s="108"/>
      <c r="WVB106" s="108"/>
      <c r="WVC106" s="108"/>
      <c r="WVD106" s="108"/>
      <c r="WVE106" s="108"/>
      <c r="WVF106" s="108"/>
      <c r="WVG106" s="108"/>
      <c r="WVH106" s="108"/>
      <c r="WVI106" s="108"/>
      <c r="WVJ106" s="108"/>
      <c r="WVK106" s="108"/>
      <c r="WVL106" s="108"/>
      <c r="WVM106" s="108"/>
      <c r="WVN106" s="108"/>
      <c r="WVO106" s="108"/>
      <c r="WVP106" s="108"/>
      <c r="WVQ106" s="108"/>
      <c r="WVR106" s="108"/>
      <c r="WVS106" s="108"/>
      <c r="WVT106" s="108"/>
      <c r="WVU106" s="108"/>
      <c r="WVV106" s="108"/>
      <c r="WVW106" s="108"/>
      <c r="WVX106" s="108"/>
      <c r="WVY106" s="108"/>
      <c r="WVZ106" s="108"/>
      <c r="WWA106" s="108"/>
      <c r="WWB106" s="108"/>
      <c r="WWC106" s="108"/>
      <c r="WWD106" s="108"/>
      <c r="WWE106" s="108"/>
      <c r="WWF106" s="108"/>
      <c r="WWG106" s="108"/>
      <c r="WWH106" s="108"/>
      <c r="WWI106" s="108"/>
      <c r="WWJ106" s="108"/>
      <c r="WWK106" s="108"/>
      <c r="WWL106" s="108"/>
      <c r="WWM106" s="108"/>
      <c r="WWN106" s="108"/>
      <c r="WWO106" s="108"/>
      <c r="WWP106" s="108"/>
      <c r="WWQ106" s="108"/>
      <c r="WWR106" s="108"/>
      <c r="WWS106" s="108"/>
      <c r="WWT106" s="108"/>
      <c r="WWU106" s="108"/>
      <c r="WWV106" s="108"/>
      <c r="WWW106" s="108"/>
      <c r="WWX106" s="108"/>
      <c r="WWY106" s="108"/>
      <c r="WWZ106" s="108"/>
      <c r="WXA106" s="108"/>
      <c r="WXB106" s="108"/>
      <c r="WXC106" s="108"/>
      <c r="WXD106" s="108"/>
      <c r="WXE106" s="108"/>
      <c r="WXF106" s="108"/>
      <c r="WXG106" s="108"/>
      <c r="WXH106" s="108"/>
      <c r="WXI106" s="108"/>
      <c r="WXJ106" s="108"/>
      <c r="WXK106" s="108"/>
      <c r="WXL106" s="108"/>
      <c r="WXM106" s="108"/>
      <c r="WXN106" s="108"/>
      <c r="WXO106" s="108"/>
      <c r="WXP106" s="108"/>
      <c r="WXQ106" s="108"/>
      <c r="WXR106" s="108"/>
      <c r="WXS106" s="108"/>
      <c r="WXT106" s="108"/>
      <c r="WXU106" s="108"/>
      <c r="WXV106" s="108"/>
      <c r="WXW106" s="108"/>
      <c r="WXX106" s="108"/>
      <c r="WXY106" s="108"/>
      <c r="WXZ106" s="108"/>
      <c r="WYA106" s="108"/>
      <c r="WYB106" s="108"/>
      <c r="WYC106" s="108"/>
      <c r="WYD106" s="108"/>
      <c r="WYE106" s="108"/>
      <c r="WYF106" s="108"/>
      <c r="WYG106" s="108"/>
      <c r="WYH106" s="108"/>
      <c r="WYI106" s="108"/>
      <c r="WYJ106" s="108"/>
      <c r="WYK106" s="108"/>
      <c r="WYL106" s="108"/>
      <c r="WYM106" s="108"/>
      <c r="WYN106" s="108"/>
      <c r="WYO106" s="108"/>
      <c r="WYP106" s="108"/>
      <c r="WYQ106" s="108"/>
      <c r="WYR106" s="108"/>
      <c r="WYS106" s="108"/>
      <c r="WYT106" s="108"/>
      <c r="WYU106" s="108"/>
      <c r="WYV106" s="108"/>
      <c r="WYW106" s="108"/>
      <c r="WYX106" s="108"/>
      <c r="WYY106" s="108"/>
      <c r="WYZ106" s="108"/>
      <c r="WZA106" s="108"/>
      <c r="WZB106" s="108"/>
      <c r="WZC106" s="108"/>
      <c r="WZD106" s="108"/>
      <c r="WZE106" s="108"/>
      <c r="WZF106" s="108"/>
      <c r="WZG106" s="108"/>
      <c r="WZH106" s="108"/>
      <c r="WZI106" s="108"/>
      <c r="WZJ106" s="108"/>
      <c r="WZK106" s="108"/>
      <c r="WZL106" s="108"/>
      <c r="WZM106" s="108"/>
      <c r="WZN106" s="108"/>
      <c r="WZO106" s="108"/>
      <c r="WZP106" s="108"/>
      <c r="WZQ106" s="108"/>
      <c r="WZR106" s="108"/>
      <c r="WZS106" s="108"/>
      <c r="WZT106" s="108"/>
      <c r="WZU106" s="108"/>
      <c r="WZV106" s="108"/>
      <c r="WZW106" s="108"/>
      <c r="WZX106" s="108"/>
      <c r="WZY106" s="108"/>
      <c r="WZZ106" s="108"/>
      <c r="XAA106" s="108"/>
      <c r="XAB106" s="108"/>
      <c r="XAC106" s="108"/>
      <c r="XAD106" s="108"/>
      <c r="XAE106" s="108"/>
      <c r="XAF106" s="108"/>
      <c r="XAG106" s="108"/>
      <c r="XAH106" s="108"/>
      <c r="XAI106" s="108"/>
      <c r="XAJ106" s="108"/>
      <c r="XAK106" s="108"/>
      <c r="XAL106" s="108"/>
      <c r="XAM106" s="108"/>
      <c r="XAN106" s="108"/>
      <c r="XAO106" s="108"/>
      <c r="XAP106" s="108"/>
      <c r="XAQ106" s="108"/>
      <c r="XAR106" s="108"/>
      <c r="XAS106" s="108"/>
      <c r="XAT106" s="108"/>
      <c r="XAU106" s="108"/>
      <c r="XAV106" s="108"/>
      <c r="XAW106" s="108"/>
      <c r="XAX106" s="108"/>
      <c r="XAY106" s="108"/>
      <c r="XAZ106" s="108"/>
      <c r="XBA106" s="108"/>
      <c r="XBB106" s="108"/>
      <c r="XBC106" s="108"/>
      <c r="XBD106" s="108"/>
      <c r="XBE106" s="108"/>
      <c r="XBF106" s="108"/>
      <c r="XBG106" s="108"/>
      <c r="XBH106" s="108"/>
      <c r="XBI106" s="108"/>
      <c r="XBJ106" s="108"/>
      <c r="XBK106" s="108"/>
      <c r="XBL106" s="108"/>
      <c r="XBM106" s="108"/>
      <c r="XBN106" s="108"/>
      <c r="XBO106" s="108"/>
      <c r="XBP106" s="108"/>
      <c r="XBQ106" s="108"/>
      <c r="XBR106" s="108"/>
      <c r="XBS106" s="108"/>
      <c r="XBT106" s="108"/>
      <c r="XBU106" s="108"/>
      <c r="XBV106" s="108"/>
      <c r="XBW106" s="108"/>
      <c r="XBX106" s="108"/>
      <c r="XBY106" s="108"/>
      <c r="XBZ106" s="108"/>
      <c r="XCA106" s="108"/>
      <c r="XCB106" s="108"/>
      <c r="XCC106" s="108"/>
      <c r="XCD106" s="108"/>
      <c r="XCE106" s="108"/>
      <c r="XCF106" s="108"/>
      <c r="XCG106" s="108"/>
      <c r="XCH106" s="108"/>
      <c r="XCI106" s="108"/>
      <c r="XCJ106" s="108"/>
      <c r="XCK106" s="108"/>
      <c r="XCL106" s="108"/>
      <c r="XCM106" s="108"/>
      <c r="XCN106" s="108"/>
      <c r="XCO106" s="108"/>
      <c r="XCP106" s="108"/>
      <c r="XCQ106" s="108"/>
      <c r="XCR106" s="108"/>
      <c r="XCS106" s="108"/>
      <c r="XCT106" s="108"/>
      <c r="XCU106" s="108"/>
      <c r="XCV106" s="108"/>
      <c r="XCW106" s="108"/>
      <c r="XCX106" s="108"/>
      <c r="XCY106" s="108"/>
      <c r="XCZ106" s="108"/>
      <c r="XDA106" s="108"/>
      <c r="XDB106" s="108"/>
      <c r="XDC106" s="108"/>
      <c r="XDD106" s="108"/>
      <c r="XDE106" s="108"/>
      <c r="XDF106" s="108"/>
      <c r="XDG106" s="108"/>
      <c r="XDH106" s="108"/>
      <c r="XDI106" s="108"/>
      <c r="XDJ106" s="108"/>
      <c r="XDK106" s="108"/>
      <c r="XDL106" s="108"/>
      <c r="XDM106" s="108"/>
      <c r="XDN106" s="108"/>
      <c r="XDO106" s="108"/>
      <c r="XDP106" s="108"/>
      <c r="XDQ106" s="108"/>
      <c r="XDR106" s="108"/>
      <c r="XDS106" s="108"/>
      <c r="XDT106" s="108"/>
      <c r="XDU106" s="108"/>
      <c r="XDV106" s="108"/>
      <c r="XDW106" s="108"/>
      <c r="XDX106" s="108"/>
      <c r="XDY106" s="108"/>
      <c r="XDZ106" s="108"/>
      <c r="XEA106" s="108"/>
      <c r="XEB106" s="108"/>
      <c r="XEC106" s="108"/>
      <c r="XED106" s="108"/>
      <c r="XEE106" s="108"/>
      <c r="XEF106" s="108"/>
      <c r="XEG106" s="108"/>
      <c r="XEH106" s="108"/>
      <c r="XEI106" s="108"/>
      <c r="XEJ106" s="108"/>
      <c r="XEK106" s="108"/>
      <c r="XEL106" s="108"/>
      <c r="XEM106" s="108"/>
      <c r="XEN106" s="108"/>
      <c r="XEO106" s="108"/>
      <c r="XEP106" s="108"/>
    </row>
    <row r="107" spans="1:16370" hidden="1" outlineLevel="1">
      <c r="A107" s="70" t="s">
        <v>123</v>
      </c>
      <c r="B107" s="85" t="s">
        <v>85</v>
      </c>
      <c r="C107" s="72"/>
      <c r="D107" s="77">
        <f>'0'!D20</f>
        <v>23</v>
      </c>
      <c r="E107" s="77">
        <f>'0'!E20</f>
        <v>23</v>
      </c>
      <c r="F107" s="77">
        <f>'0'!F20</f>
        <v>24</v>
      </c>
      <c r="G107" s="77">
        <f>'0'!G20</f>
        <v>24</v>
      </c>
      <c r="H107" s="77">
        <f>'0'!H20</f>
        <v>25</v>
      </c>
      <c r="I107" s="77">
        <f>'0'!I20</f>
        <v>25</v>
      </c>
      <c r="J107" s="77">
        <f>'0'!J20</f>
        <v>27</v>
      </c>
      <c r="K107" s="77">
        <f>'0'!K20</f>
        <v>28</v>
      </c>
      <c r="L107" s="77">
        <f>'0'!L20</f>
        <v>28</v>
      </c>
      <c r="M107" s="77">
        <f>'0'!M20</f>
        <v>29</v>
      </c>
      <c r="N107" s="77">
        <f>'0'!N20</f>
        <v>29</v>
      </c>
      <c r="O107" s="77">
        <f>'0'!O20</f>
        <v>30</v>
      </c>
      <c r="P107" s="77">
        <f>'0'!P20</f>
        <v>30</v>
      </c>
      <c r="Q107" s="77">
        <f>'0'!Q20</f>
        <v>30</v>
      </c>
      <c r="R107" s="77">
        <f>'0'!R20</f>
        <v>30</v>
      </c>
      <c r="S107" s="77">
        <f>'0'!S20</f>
        <v>30</v>
      </c>
      <c r="T107" s="77">
        <f>'0'!T20</f>
        <v>30</v>
      </c>
      <c r="U107" s="77">
        <f>'0'!U20</f>
        <v>30</v>
      </c>
      <c r="V107" s="77">
        <f>'0'!V20</f>
        <v>30</v>
      </c>
      <c r="W107" s="77">
        <f>'0'!W20</f>
        <v>30</v>
      </c>
      <c r="X107" s="77">
        <f>'0'!X20</f>
        <v>30</v>
      </c>
      <c r="Y107" s="77">
        <f>'0'!Y20</f>
        <v>30</v>
      </c>
      <c r="Z107" s="77">
        <f>'0'!Z20</f>
        <v>30</v>
      </c>
      <c r="AA107" s="77">
        <f>'0'!AA20</f>
        <v>30</v>
      </c>
      <c r="AB107" s="77">
        <f>'0'!AB20</f>
        <v>30</v>
      </c>
      <c r="AC107" s="77">
        <f>'0'!AC20</f>
        <v>30</v>
      </c>
      <c r="AD107" s="77">
        <f>'0'!AD20</f>
        <v>30</v>
      </c>
      <c r="AE107" s="77">
        <f>'0'!AE20</f>
        <v>30</v>
      </c>
      <c r="AF107" s="77">
        <f>'0'!AF20</f>
        <v>30</v>
      </c>
      <c r="AG107" s="77">
        <f>'0'!AG20</f>
        <v>30</v>
      </c>
      <c r="AH107" s="77">
        <f>'0'!AH20</f>
        <v>30</v>
      </c>
      <c r="AI107" s="77">
        <f>'0'!AI20</f>
        <v>30</v>
      </c>
      <c r="AJ107" s="77">
        <f>'0'!AJ20</f>
        <v>30</v>
      </c>
      <c r="AK107" s="77">
        <f>'0'!AK20</f>
        <v>30</v>
      </c>
      <c r="AL107" s="77">
        <f>'0'!AL20</f>
        <v>30</v>
      </c>
      <c r="AM107" s="77">
        <f>'0'!AM20</f>
        <v>30</v>
      </c>
      <c r="AN107" s="81"/>
      <c r="AO107" s="75">
        <f>O107</f>
        <v>30</v>
      </c>
      <c r="AP107" s="75">
        <f>AA107</f>
        <v>30</v>
      </c>
      <c r="AQ107" s="75">
        <f>AM107</f>
        <v>30</v>
      </c>
    </row>
    <row r="108" spans="1:16370" hidden="1" outlineLevel="1">
      <c r="A108" s="70" t="s">
        <v>223</v>
      </c>
      <c r="B108" s="85" t="s">
        <v>78</v>
      </c>
      <c r="C108" s="72"/>
      <c r="D108" s="86">
        <v>100000</v>
      </c>
      <c r="E108" s="86">
        <v>100000</v>
      </c>
      <c r="F108" s="86">
        <v>100000</v>
      </c>
      <c r="G108" s="86">
        <v>100000</v>
      </c>
      <c r="H108" s="86">
        <v>100000</v>
      </c>
      <c r="I108" s="86">
        <v>100000</v>
      </c>
      <c r="J108" s="86">
        <v>100000</v>
      </c>
      <c r="K108" s="86">
        <v>100000</v>
      </c>
      <c r="L108" s="86">
        <v>100000</v>
      </c>
      <c r="M108" s="86">
        <v>100000</v>
      </c>
      <c r="N108" s="86">
        <v>100000</v>
      </c>
      <c r="O108" s="86">
        <v>100000</v>
      </c>
      <c r="P108" s="86">
        <v>100000</v>
      </c>
      <c r="Q108" s="86">
        <v>100000</v>
      </c>
      <c r="R108" s="86">
        <v>100000</v>
      </c>
      <c r="S108" s="86">
        <v>100000</v>
      </c>
      <c r="T108" s="86">
        <v>100000</v>
      </c>
      <c r="U108" s="86">
        <v>100000</v>
      </c>
      <c r="V108" s="86">
        <v>100000</v>
      </c>
      <c r="W108" s="86">
        <v>100000</v>
      </c>
      <c r="X108" s="86">
        <v>100000</v>
      </c>
      <c r="Y108" s="86">
        <v>100000</v>
      </c>
      <c r="Z108" s="86">
        <v>100000</v>
      </c>
      <c r="AA108" s="86">
        <v>100000</v>
      </c>
      <c r="AB108" s="86">
        <v>100000</v>
      </c>
      <c r="AC108" s="86">
        <v>100000</v>
      </c>
      <c r="AD108" s="86">
        <v>100000</v>
      </c>
      <c r="AE108" s="86">
        <v>100000</v>
      </c>
      <c r="AF108" s="86">
        <v>100000</v>
      </c>
      <c r="AG108" s="86">
        <v>100000</v>
      </c>
      <c r="AH108" s="86">
        <v>100000</v>
      </c>
      <c r="AI108" s="86">
        <v>100000</v>
      </c>
      <c r="AJ108" s="86">
        <v>100000</v>
      </c>
      <c r="AK108" s="86">
        <v>100000</v>
      </c>
      <c r="AL108" s="86">
        <v>100000</v>
      </c>
      <c r="AM108" s="86">
        <v>100000</v>
      </c>
      <c r="AN108" s="81"/>
      <c r="AO108" s="75">
        <f>AVERAGE(D108:O108)</f>
        <v>100000</v>
      </c>
      <c r="AP108" s="75">
        <f>AVERAGE(P108:AA108)</f>
        <v>100000</v>
      </c>
      <c r="AQ108" s="75">
        <f>AVERAGE(AB108:AM108)</f>
        <v>100000</v>
      </c>
    </row>
    <row r="109" spans="1:16370" hidden="1" outlineLevel="1">
      <c r="A109" s="80" t="s">
        <v>224</v>
      </c>
      <c r="B109" s="85" t="s">
        <v>78</v>
      </c>
      <c r="D109" s="110">
        <f>D108*D107</f>
        <v>2300000</v>
      </c>
      <c r="E109" s="110">
        <f t="shared" ref="E109:AM109" si="115">E108*E107</f>
        <v>2300000</v>
      </c>
      <c r="F109" s="110">
        <f t="shared" si="115"/>
        <v>2400000</v>
      </c>
      <c r="G109" s="110">
        <f t="shared" si="115"/>
        <v>2400000</v>
      </c>
      <c r="H109" s="110">
        <f t="shared" si="115"/>
        <v>2500000</v>
      </c>
      <c r="I109" s="110">
        <f t="shared" si="115"/>
        <v>2500000</v>
      </c>
      <c r="J109" s="110">
        <f t="shared" si="115"/>
        <v>2700000</v>
      </c>
      <c r="K109" s="110">
        <f t="shared" si="115"/>
        <v>2800000</v>
      </c>
      <c r="L109" s="110">
        <f t="shared" si="115"/>
        <v>2800000</v>
      </c>
      <c r="M109" s="110">
        <f t="shared" si="115"/>
        <v>2900000</v>
      </c>
      <c r="N109" s="110">
        <f t="shared" si="115"/>
        <v>2900000</v>
      </c>
      <c r="O109" s="110">
        <f t="shared" si="115"/>
        <v>3000000</v>
      </c>
      <c r="P109" s="110">
        <f t="shared" si="115"/>
        <v>3000000</v>
      </c>
      <c r="Q109" s="110">
        <f t="shared" si="115"/>
        <v>3000000</v>
      </c>
      <c r="R109" s="110">
        <f t="shared" si="115"/>
        <v>3000000</v>
      </c>
      <c r="S109" s="110">
        <f t="shared" si="115"/>
        <v>3000000</v>
      </c>
      <c r="T109" s="110">
        <f t="shared" si="115"/>
        <v>3000000</v>
      </c>
      <c r="U109" s="110">
        <f t="shared" si="115"/>
        <v>3000000</v>
      </c>
      <c r="V109" s="110">
        <f t="shared" si="115"/>
        <v>3000000</v>
      </c>
      <c r="W109" s="110">
        <f t="shared" si="115"/>
        <v>3000000</v>
      </c>
      <c r="X109" s="110">
        <f t="shared" si="115"/>
        <v>3000000</v>
      </c>
      <c r="Y109" s="110">
        <f t="shared" si="115"/>
        <v>3000000</v>
      </c>
      <c r="Z109" s="110">
        <f t="shared" si="115"/>
        <v>3000000</v>
      </c>
      <c r="AA109" s="110">
        <f t="shared" si="115"/>
        <v>3000000</v>
      </c>
      <c r="AB109" s="110">
        <f t="shared" si="115"/>
        <v>3000000</v>
      </c>
      <c r="AC109" s="110">
        <f t="shared" si="115"/>
        <v>3000000</v>
      </c>
      <c r="AD109" s="110">
        <f t="shared" si="115"/>
        <v>3000000</v>
      </c>
      <c r="AE109" s="110">
        <f t="shared" si="115"/>
        <v>3000000</v>
      </c>
      <c r="AF109" s="110">
        <f t="shared" si="115"/>
        <v>3000000</v>
      </c>
      <c r="AG109" s="110">
        <f t="shared" si="115"/>
        <v>3000000</v>
      </c>
      <c r="AH109" s="110">
        <f t="shared" si="115"/>
        <v>3000000</v>
      </c>
      <c r="AI109" s="110">
        <f t="shared" si="115"/>
        <v>3000000</v>
      </c>
      <c r="AJ109" s="110">
        <f t="shared" si="115"/>
        <v>3000000</v>
      </c>
      <c r="AK109" s="110">
        <f t="shared" si="115"/>
        <v>3000000</v>
      </c>
      <c r="AL109" s="110">
        <f t="shared" si="115"/>
        <v>3000000</v>
      </c>
      <c r="AM109" s="110">
        <f t="shared" si="115"/>
        <v>3000000</v>
      </c>
      <c r="AO109" s="75">
        <f>SUM(D109:O109)</f>
        <v>31500000</v>
      </c>
      <c r="AP109" s="75">
        <f>SUM(P109:AA109)</f>
        <v>36000000</v>
      </c>
      <c r="AQ109" s="75">
        <f>SUM(AB109:AM109)</f>
        <v>36000000</v>
      </c>
    </row>
    <row r="110" spans="1:16370" hidden="1" outlineLevel="1">
      <c r="A110" s="80" t="s">
        <v>225</v>
      </c>
      <c r="B110" s="71" t="s">
        <v>79</v>
      </c>
      <c r="D110" s="92">
        <v>2E-3</v>
      </c>
      <c r="E110" s="92">
        <v>2E-3</v>
      </c>
      <c r="F110" s="92">
        <v>2E-3</v>
      </c>
      <c r="G110" s="92">
        <v>2E-3</v>
      </c>
      <c r="H110" s="92">
        <v>2E-3</v>
      </c>
      <c r="I110" s="92">
        <v>2E-3</v>
      </c>
      <c r="J110" s="92">
        <v>2E-3</v>
      </c>
      <c r="K110" s="92">
        <v>2E-3</v>
      </c>
      <c r="L110" s="92">
        <v>2E-3</v>
      </c>
      <c r="M110" s="92">
        <v>2E-3</v>
      </c>
      <c r="N110" s="92">
        <v>2E-3</v>
      </c>
      <c r="O110" s="92">
        <v>2E-3</v>
      </c>
      <c r="P110" s="92">
        <v>2E-3</v>
      </c>
      <c r="Q110" s="92">
        <v>2E-3</v>
      </c>
      <c r="R110" s="92">
        <v>2E-3</v>
      </c>
      <c r="S110" s="92">
        <v>2E-3</v>
      </c>
      <c r="T110" s="92">
        <v>2E-3</v>
      </c>
      <c r="U110" s="92">
        <v>2E-3</v>
      </c>
      <c r="V110" s="92">
        <v>2E-3</v>
      </c>
      <c r="W110" s="92">
        <v>2E-3</v>
      </c>
      <c r="X110" s="92">
        <v>2E-3</v>
      </c>
      <c r="Y110" s="92">
        <v>2E-3</v>
      </c>
      <c r="Z110" s="92">
        <v>2E-3</v>
      </c>
      <c r="AA110" s="92">
        <v>2E-3</v>
      </c>
      <c r="AB110" s="92">
        <v>2E-3</v>
      </c>
      <c r="AC110" s="92">
        <v>2E-3</v>
      </c>
      <c r="AD110" s="92">
        <v>2E-3</v>
      </c>
      <c r="AE110" s="92">
        <v>2E-3</v>
      </c>
      <c r="AF110" s="92">
        <v>2E-3</v>
      </c>
      <c r="AG110" s="92">
        <v>2E-3</v>
      </c>
      <c r="AH110" s="92">
        <v>2E-3</v>
      </c>
      <c r="AI110" s="92">
        <v>2E-3</v>
      </c>
      <c r="AJ110" s="92">
        <v>2E-3</v>
      </c>
      <c r="AK110" s="92">
        <v>2E-3</v>
      </c>
      <c r="AL110" s="92">
        <v>2E-3</v>
      </c>
      <c r="AM110" s="92">
        <v>2E-3</v>
      </c>
      <c r="AO110" s="96">
        <f>AVERAGE(D110:O110)</f>
        <v>2.0000000000000005E-3</v>
      </c>
      <c r="AP110" s="96">
        <f>AVERAGE(P110:AA110)</f>
        <v>2.0000000000000005E-3</v>
      </c>
      <c r="AQ110" s="96">
        <f>AVERAGE(AB110:AM110)</f>
        <v>2.0000000000000005E-3</v>
      </c>
    </row>
    <row r="111" spans="1:16370" hidden="1" outlineLevel="1">
      <c r="A111" s="80" t="s">
        <v>226</v>
      </c>
      <c r="B111" s="85" t="s">
        <v>78</v>
      </c>
      <c r="D111" s="112">
        <f>D109*D110</f>
        <v>4600</v>
      </c>
      <c r="E111" s="112">
        <f t="shared" ref="E111:AM111" si="116">E109*E110</f>
        <v>4600</v>
      </c>
      <c r="F111" s="112">
        <f t="shared" si="116"/>
        <v>4800</v>
      </c>
      <c r="G111" s="112">
        <f t="shared" si="116"/>
        <v>4800</v>
      </c>
      <c r="H111" s="112">
        <f t="shared" si="116"/>
        <v>5000</v>
      </c>
      <c r="I111" s="112">
        <f t="shared" si="116"/>
        <v>5000</v>
      </c>
      <c r="J111" s="112">
        <f t="shared" si="116"/>
        <v>5400</v>
      </c>
      <c r="K111" s="112">
        <f t="shared" si="116"/>
        <v>5600</v>
      </c>
      <c r="L111" s="112">
        <f t="shared" si="116"/>
        <v>5600</v>
      </c>
      <c r="M111" s="112">
        <f t="shared" si="116"/>
        <v>5800</v>
      </c>
      <c r="N111" s="112">
        <f t="shared" si="116"/>
        <v>5800</v>
      </c>
      <c r="O111" s="112">
        <f t="shared" si="116"/>
        <v>6000</v>
      </c>
      <c r="P111" s="112">
        <f t="shared" si="116"/>
        <v>6000</v>
      </c>
      <c r="Q111" s="112">
        <f t="shared" si="116"/>
        <v>6000</v>
      </c>
      <c r="R111" s="112">
        <f t="shared" si="116"/>
        <v>6000</v>
      </c>
      <c r="S111" s="112">
        <f t="shared" si="116"/>
        <v>6000</v>
      </c>
      <c r="T111" s="112">
        <f t="shared" si="116"/>
        <v>6000</v>
      </c>
      <c r="U111" s="112">
        <f t="shared" si="116"/>
        <v>6000</v>
      </c>
      <c r="V111" s="112">
        <f t="shared" si="116"/>
        <v>6000</v>
      </c>
      <c r="W111" s="112">
        <f t="shared" si="116"/>
        <v>6000</v>
      </c>
      <c r="X111" s="112">
        <f t="shared" si="116"/>
        <v>6000</v>
      </c>
      <c r="Y111" s="112">
        <f t="shared" si="116"/>
        <v>6000</v>
      </c>
      <c r="Z111" s="112">
        <f t="shared" si="116"/>
        <v>6000</v>
      </c>
      <c r="AA111" s="112">
        <f t="shared" si="116"/>
        <v>6000</v>
      </c>
      <c r="AB111" s="112">
        <f t="shared" si="116"/>
        <v>6000</v>
      </c>
      <c r="AC111" s="112">
        <f t="shared" si="116"/>
        <v>6000</v>
      </c>
      <c r="AD111" s="112">
        <f t="shared" si="116"/>
        <v>6000</v>
      </c>
      <c r="AE111" s="112">
        <f t="shared" si="116"/>
        <v>6000</v>
      </c>
      <c r="AF111" s="112">
        <f t="shared" si="116"/>
        <v>6000</v>
      </c>
      <c r="AG111" s="112">
        <f t="shared" si="116"/>
        <v>6000</v>
      </c>
      <c r="AH111" s="112">
        <f t="shared" si="116"/>
        <v>6000</v>
      </c>
      <c r="AI111" s="112">
        <f t="shared" si="116"/>
        <v>6000</v>
      </c>
      <c r="AJ111" s="112">
        <f t="shared" si="116"/>
        <v>6000</v>
      </c>
      <c r="AK111" s="112">
        <f t="shared" si="116"/>
        <v>6000</v>
      </c>
      <c r="AL111" s="112">
        <f t="shared" si="116"/>
        <v>6000</v>
      </c>
      <c r="AM111" s="112">
        <f t="shared" si="116"/>
        <v>6000</v>
      </c>
      <c r="AO111" s="75">
        <f>SUM(D111:O111)</f>
        <v>63000</v>
      </c>
      <c r="AP111" s="75">
        <f>SUM(P111:AA111)</f>
        <v>72000</v>
      </c>
      <c r="AQ111" s="75">
        <f>SUM(AB111:AM111)</f>
        <v>72000</v>
      </c>
    </row>
    <row r="112" spans="1:16370" hidden="1" outlineLevel="1">
      <c r="A112" s="70" t="s">
        <v>206</v>
      </c>
      <c r="B112" s="71" t="s">
        <v>79</v>
      </c>
      <c r="C112" s="72"/>
      <c r="D112" s="92">
        <v>5.0000000000000001E-4</v>
      </c>
      <c r="E112" s="92">
        <v>5.0000000000000001E-4</v>
      </c>
      <c r="F112" s="92">
        <v>5.0000000000000001E-4</v>
      </c>
      <c r="G112" s="92">
        <v>5.0000000000000001E-4</v>
      </c>
      <c r="H112" s="92">
        <v>5.0000000000000001E-4</v>
      </c>
      <c r="I112" s="92">
        <v>5.0000000000000001E-4</v>
      </c>
      <c r="J112" s="92">
        <v>5.0000000000000001E-4</v>
      </c>
      <c r="K112" s="92">
        <v>5.0000000000000001E-4</v>
      </c>
      <c r="L112" s="92">
        <v>5.0000000000000001E-4</v>
      </c>
      <c r="M112" s="92">
        <v>5.0000000000000001E-4</v>
      </c>
      <c r="N112" s="92">
        <v>5.0000000000000001E-4</v>
      </c>
      <c r="O112" s="92">
        <v>5.0000000000000001E-4</v>
      </c>
      <c r="P112" s="92">
        <v>5.0000000000000001E-4</v>
      </c>
      <c r="Q112" s="92">
        <v>5.0000000000000001E-4</v>
      </c>
      <c r="R112" s="92">
        <v>5.0000000000000001E-4</v>
      </c>
      <c r="S112" s="92">
        <v>5.0000000000000001E-4</v>
      </c>
      <c r="T112" s="92">
        <v>5.0000000000000001E-4</v>
      </c>
      <c r="U112" s="92">
        <v>5.0000000000000001E-4</v>
      </c>
      <c r="V112" s="92">
        <v>5.0000000000000001E-4</v>
      </c>
      <c r="W112" s="92">
        <v>5.0000000000000001E-4</v>
      </c>
      <c r="X112" s="92">
        <v>5.0000000000000001E-4</v>
      </c>
      <c r="Y112" s="92">
        <v>5.0000000000000001E-4</v>
      </c>
      <c r="Z112" s="92">
        <v>5.0000000000000001E-4</v>
      </c>
      <c r="AA112" s="92">
        <v>5.0000000000000001E-4</v>
      </c>
      <c r="AB112" s="92">
        <v>5.0000000000000001E-4</v>
      </c>
      <c r="AC112" s="92">
        <v>5.0000000000000001E-4</v>
      </c>
      <c r="AD112" s="92">
        <v>5.0000000000000001E-4</v>
      </c>
      <c r="AE112" s="92">
        <v>5.0000000000000001E-4</v>
      </c>
      <c r="AF112" s="92">
        <v>5.0000000000000001E-4</v>
      </c>
      <c r="AG112" s="92">
        <v>5.0000000000000001E-4</v>
      </c>
      <c r="AH112" s="92">
        <v>5.0000000000000001E-4</v>
      </c>
      <c r="AI112" s="92">
        <v>5.0000000000000001E-4</v>
      </c>
      <c r="AJ112" s="92">
        <v>5.0000000000000001E-4</v>
      </c>
      <c r="AK112" s="92">
        <v>5.0000000000000001E-4</v>
      </c>
      <c r="AL112" s="92">
        <v>5.0000000000000001E-4</v>
      </c>
      <c r="AM112" s="92">
        <v>5.0000000000000001E-4</v>
      </c>
      <c r="AN112" s="81"/>
      <c r="AO112" s="96">
        <f>AVERAGE(D112:O112)</f>
        <v>5.0000000000000012E-4</v>
      </c>
      <c r="AP112" s="96">
        <f>AVERAGE(P112:AA112)</f>
        <v>5.0000000000000012E-4</v>
      </c>
      <c r="AQ112" s="96">
        <f>AVERAGE(AB112:AM112)</f>
        <v>5.0000000000000012E-4</v>
      </c>
    </row>
    <row r="113" spans="1:16370" hidden="1" outlineLevel="1">
      <c r="A113" s="70" t="s">
        <v>206</v>
      </c>
      <c r="B113" s="85" t="s">
        <v>78</v>
      </c>
      <c r="D113" s="73">
        <f>-D109*D112</f>
        <v>-1150</v>
      </c>
      <c r="E113" s="73">
        <f t="shared" ref="E113:AM113" si="117">-E109*E112</f>
        <v>-1150</v>
      </c>
      <c r="F113" s="73">
        <f t="shared" si="117"/>
        <v>-1200</v>
      </c>
      <c r="G113" s="73">
        <f t="shared" si="117"/>
        <v>-1200</v>
      </c>
      <c r="H113" s="73">
        <f t="shared" si="117"/>
        <v>-1250</v>
      </c>
      <c r="I113" s="73">
        <f t="shared" si="117"/>
        <v>-1250</v>
      </c>
      <c r="J113" s="73">
        <f t="shared" si="117"/>
        <v>-1350</v>
      </c>
      <c r="K113" s="73">
        <f t="shared" si="117"/>
        <v>-1400</v>
      </c>
      <c r="L113" s="73">
        <f t="shared" si="117"/>
        <v>-1400</v>
      </c>
      <c r="M113" s="73">
        <f t="shared" si="117"/>
        <v>-1450</v>
      </c>
      <c r="N113" s="73">
        <f t="shared" si="117"/>
        <v>-1450</v>
      </c>
      <c r="O113" s="73">
        <f t="shared" si="117"/>
        <v>-1500</v>
      </c>
      <c r="P113" s="73">
        <f t="shared" si="117"/>
        <v>-1500</v>
      </c>
      <c r="Q113" s="73">
        <f t="shared" si="117"/>
        <v>-1500</v>
      </c>
      <c r="R113" s="73">
        <f t="shared" si="117"/>
        <v>-1500</v>
      </c>
      <c r="S113" s="73">
        <f t="shared" si="117"/>
        <v>-1500</v>
      </c>
      <c r="T113" s="73">
        <f t="shared" si="117"/>
        <v>-1500</v>
      </c>
      <c r="U113" s="73">
        <f t="shared" si="117"/>
        <v>-1500</v>
      </c>
      <c r="V113" s="73">
        <f t="shared" si="117"/>
        <v>-1500</v>
      </c>
      <c r="W113" s="73">
        <f t="shared" si="117"/>
        <v>-1500</v>
      </c>
      <c r="X113" s="73">
        <f t="shared" si="117"/>
        <v>-1500</v>
      </c>
      <c r="Y113" s="73">
        <f t="shared" si="117"/>
        <v>-1500</v>
      </c>
      <c r="Z113" s="73">
        <f t="shared" si="117"/>
        <v>-1500</v>
      </c>
      <c r="AA113" s="73">
        <f t="shared" si="117"/>
        <v>-1500</v>
      </c>
      <c r="AB113" s="73">
        <f t="shared" si="117"/>
        <v>-1500</v>
      </c>
      <c r="AC113" s="73">
        <f t="shared" si="117"/>
        <v>-1500</v>
      </c>
      <c r="AD113" s="73">
        <f t="shared" si="117"/>
        <v>-1500</v>
      </c>
      <c r="AE113" s="73">
        <f t="shared" si="117"/>
        <v>-1500</v>
      </c>
      <c r="AF113" s="73">
        <f t="shared" si="117"/>
        <v>-1500</v>
      </c>
      <c r="AG113" s="73">
        <f t="shared" si="117"/>
        <v>-1500</v>
      </c>
      <c r="AH113" s="73">
        <f t="shared" si="117"/>
        <v>-1500</v>
      </c>
      <c r="AI113" s="73">
        <f t="shared" si="117"/>
        <v>-1500</v>
      </c>
      <c r="AJ113" s="73">
        <f t="shared" si="117"/>
        <v>-1500</v>
      </c>
      <c r="AK113" s="73">
        <f t="shared" si="117"/>
        <v>-1500</v>
      </c>
      <c r="AL113" s="73">
        <f t="shared" si="117"/>
        <v>-1500</v>
      </c>
      <c r="AM113" s="73">
        <f t="shared" si="117"/>
        <v>-1500</v>
      </c>
      <c r="AN113" s="81"/>
      <c r="AO113" s="75">
        <f>SUM(D113:O113)</f>
        <v>-15750</v>
      </c>
      <c r="AP113" s="75">
        <f>SUM(P113:AA113)</f>
        <v>-18000</v>
      </c>
      <c r="AQ113" s="75">
        <f>SUM(AB113:AM113)</f>
        <v>-18000</v>
      </c>
    </row>
    <row r="114" spans="1:16370" hidden="1" outlineLevel="1">
      <c r="A114" s="70" t="s">
        <v>205</v>
      </c>
      <c r="B114" s="85" t="s">
        <v>78</v>
      </c>
      <c r="C114" s="72"/>
      <c r="D114" s="77">
        <f>-('OPEX+CAPEX'!E98+'OPEX+CAPEX'!E101)</f>
        <v>-107.14285714285714</v>
      </c>
      <c r="E114" s="77">
        <f>-('OPEX+CAPEX'!F98+'OPEX+CAPEX'!F101)</f>
        <v>-107.14285714285714</v>
      </c>
      <c r="F114" s="77">
        <f>-('OPEX+CAPEX'!G98+'OPEX+CAPEX'!G101)</f>
        <v>-139.01785714285714</v>
      </c>
      <c r="G114" s="77">
        <f>-('OPEX+CAPEX'!H98+'OPEX+CAPEX'!H101)</f>
        <v>-139.01785714285714</v>
      </c>
      <c r="H114" s="77">
        <f>-('OPEX+CAPEX'!I98+'OPEX+CAPEX'!I101)</f>
        <v>-139.01785714285714</v>
      </c>
      <c r="I114" s="77">
        <f>-('OPEX+CAPEX'!J98+'OPEX+CAPEX'!J101)</f>
        <v>-139.01785714285714</v>
      </c>
      <c r="J114" s="77">
        <f>-('OPEX+CAPEX'!K98+'OPEX+CAPEX'!K101)</f>
        <v>-139.01785714285714</v>
      </c>
      <c r="K114" s="77">
        <f>-('OPEX+CAPEX'!L98+'OPEX+CAPEX'!L101)</f>
        <v>-139.01785714285714</v>
      </c>
      <c r="L114" s="77">
        <f>-('OPEX+CAPEX'!M98+'OPEX+CAPEX'!M101)</f>
        <v>-139.01785714285714</v>
      </c>
      <c r="M114" s="77">
        <f>-('OPEX+CAPEX'!N98+'OPEX+CAPEX'!N101)</f>
        <v>-139.01785714285714</v>
      </c>
      <c r="N114" s="77">
        <f>-('OPEX+CAPEX'!O98+'OPEX+CAPEX'!O101)</f>
        <v>-139.01785714285714</v>
      </c>
      <c r="O114" s="77">
        <f>-('OPEX+CAPEX'!P98+'OPEX+CAPEX'!P101)</f>
        <v>-139.01785714285714</v>
      </c>
      <c r="P114" s="77">
        <f>-('OPEX+CAPEX'!Q98+'OPEX+CAPEX'!Q101)</f>
        <v>-139.01785714285714</v>
      </c>
      <c r="Q114" s="77">
        <f>-('OPEX+CAPEX'!R98+'OPEX+CAPEX'!R101)</f>
        <v>-139.01785714285714</v>
      </c>
      <c r="R114" s="77">
        <f>-('OPEX+CAPEX'!S98+'OPEX+CAPEX'!S101)</f>
        <v>-139.01785714285714</v>
      </c>
      <c r="S114" s="77">
        <f>-('OPEX+CAPEX'!T98+'OPEX+CAPEX'!T101)</f>
        <v>-139.01785714285714</v>
      </c>
      <c r="T114" s="77">
        <f>-('OPEX+CAPEX'!U98+'OPEX+CAPEX'!U101)</f>
        <v>-139.01785714285714</v>
      </c>
      <c r="U114" s="77">
        <f>-('OPEX+CAPEX'!V98+'OPEX+CAPEX'!V101)</f>
        <v>-139.01785714285714</v>
      </c>
      <c r="V114" s="77">
        <f>-('OPEX+CAPEX'!W98+'OPEX+CAPEX'!W101)</f>
        <v>-139.01785714285714</v>
      </c>
      <c r="W114" s="77">
        <f>-('OPEX+CAPEX'!X98+'OPEX+CAPEX'!X101)</f>
        <v>-139.01785714285714</v>
      </c>
      <c r="X114" s="77">
        <f>-('OPEX+CAPEX'!Y98+'OPEX+CAPEX'!Y101)</f>
        <v>-139.01785714285714</v>
      </c>
      <c r="Y114" s="77">
        <f>-('OPEX+CAPEX'!Z98+'OPEX+CAPEX'!Z101)</f>
        <v>-139.01785714285714</v>
      </c>
      <c r="Z114" s="77">
        <f>-('OPEX+CAPEX'!AA98+'OPEX+CAPEX'!AA101)</f>
        <v>-139.01785714285714</v>
      </c>
      <c r="AA114" s="77">
        <f>-('OPEX+CAPEX'!AB98+'OPEX+CAPEX'!AB101)</f>
        <v>-139.01785714285714</v>
      </c>
      <c r="AB114" s="77">
        <f>-('OPEX+CAPEX'!AC98+'OPEX+CAPEX'!AC101)</f>
        <v>-139.01785714285714</v>
      </c>
      <c r="AC114" s="77">
        <f>-('OPEX+CAPEX'!AD98+'OPEX+CAPEX'!AD101)</f>
        <v>-139.01785714285714</v>
      </c>
      <c r="AD114" s="77">
        <f>-('OPEX+CAPEX'!AE98+'OPEX+CAPEX'!AE101)</f>
        <v>-139.01785714285714</v>
      </c>
      <c r="AE114" s="77">
        <f>-('OPEX+CAPEX'!AF98+'OPEX+CAPEX'!AF101)</f>
        <v>-139.01785714285714</v>
      </c>
      <c r="AF114" s="77">
        <f>-('OPEX+CAPEX'!AG98+'OPEX+CAPEX'!AG101)</f>
        <v>-139.01785714285714</v>
      </c>
      <c r="AG114" s="77">
        <f>-('OPEX+CAPEX'!AH98+'OPEX+CAPEX'!AH101)</f>
        <v>-139.01785714285714</v>
      </c>
      <c r="AH114" s="77">
        <f>-('OPEX+CAPEX'!AI98+'OPEX+CAPEX'!AI101)</f>
        <v>-139.01785714285714</v>
      </c>
      <c r="AI114" s="77">
        <f>-('OPEX+CAPEX'!AJ98+'OPEX+CAPEX'!AJ101)</f>
        <v>-139.01785714285714</v>
      </c>
      <c r="AJ114" s="77">
        <f>-('OPEX+CAPEX'!AK98+'OPEX+CAPEX'!AK101)</f>
        <v>-139.01785714285714</v>
      </c>
      <c r="AK114" s="77">
        <f>-('OPEX+CAPEX'!AL98+'OPEX+CAPEX'!AL101)</f>
        <v>-139.01785714285714</v>
      </c>
      <c r="AL114" s="77">
        <f>-('OPEX+CAPEX'!AM98+'OPEX+CAPEX'!AM101)</f>
        <v>-139.01785714285714</v>
      </c>
      <c r="AM114" s="77">
        <f>-('OPEX+CAPEX'!AN98+'OPEX+CAPEX'!AN101)</f>
        <v>-139.01785714285714</v>
      </c>
      <c r="AN114" s="81"/>
      <c r="AO114" s="75">
        <f>SUM(D114:O114)</f>
        <v>-1604.4642857142856</v>
      </c>
      <c r="AP114" s="75">
        <f>SUM(P114:AA114)</f>
        <v>-1668.2142857142856</v>
      </c>
      <c r="AQ114" s="75">
        <f>SUM(AB114:AM114)</f>
        <v>-1668.2142857142856</v>
      </c>
    </row>
    <row r="115" spans="1:16370" hidden="1" outlineLevel="1">
      <c r="A115" s="80" t="s">
        <v>177</v>
      </c>
      <c r="B115" s="85" t="s">
        <v>78</v>
      </c>
      <c r="D115" s="73">
        <f>D111+D113+D114</f>
        <v>3342.8571428571427</v>
      </c>
      <c r="E115" s="73">
        <f t="shared" ref="E115:AM115" si="118">E111+E113+E114</f>
        <v>3342.8571428571427</v>
      </c>
      <c r="F115" s="73">
        <f t="shared" si="118"/>
        <v>3460.9821428571427</v>
      </c>
      <c r="G115" s="73">
        <f t="shared" si="118"/>
        <v>3460.9821428571427</v>
      </c>
      <c r="H115" s="73">
        <f t="shared" si="118"/>
        <v>3610.9821428571427</v>
      </c>
      <c r="I115" s="73">
        <f t="shared" si="118"/>
        <v>3610.9821428571427</v>
      </c>
      <c r="J115" s="73">
        <f t="shared" si="118"/>
        <v>3910.9821428571427</v>
      </c>
      <c r="K115" s="73">
        <f t="shared" si="118"/>
        <v>4060.9821428571427</v>
      </c>
      <c r="L115" s="73">
        <f t="shared" si="118"/>
        <v>4060.9821428571427</v>
      </c>
      <c r="M115" s="73">
        <f t="shared" si="118"/>
        <v>4210.9821428571431</v>
      </c>
      <c r="N115" s="73">
        <f t="shared" si="118"/>
        <v>4210.9821428571431</v>
      </c>
      <c r="O115" s="73">
        <f t="shared" si="118"/>
        <v>4360.9821428571431</v>
      </c>
      <c r="P115" s="73">
        <f t="shared" si="118"/>
        <v>4360.9821428571431</v>
      </c>
      <c r="Q115" s="73">
        <f t="shared" si="118"/>
        <v>4360.9821428571431</v>
      </c>
      <c r="R115" s="73">
        <f t="shared" si="118"/>
        <v>4360.9821428571431</v>
      </c>
      <c r="S115" s="73">
        <f t="shared" si="118"/>
        <v>4360.9821428571431</v>
      </c>
      <c r="T115" s="73">
        <f t="shared" si="118"/>
        <v>4360.9821428571431</v>
      </c>
      <c r="U115" s="73">
        <f t="shared" si="118"/>
        <v>4360.9821428571431</v>
      </c>
      <c r="V115" s="73">
        <f t="shared" si="118"/>
        <v>4360.9821428571431</v>
      </c>
      <c r="W115" s="73">
        <f t="shared" si="118"/>
        <v>4360.9821428571431</v>
      </c>
      <c r="X115" s="73">
        <f t="shared" si="118"/>
        <v>4360.9821428571431</v>
      </c>
      <c r="Y115" s="73">
        <f t="shared" si="118"/>
        <v>4360.9821428571431</v>
      </c>
      <c r="Z115" s="73">
        <f t="shared" si="118"/>
        <v>4360.9821428571431</v>
      </c>
      <c r="AA115" s="73">
        <f t="shared" si="118"/>
        <v>4360.9821428571431</v>
      </c>
      <c r="AB115" s="73">
        <f t="shared" si="118"/>
        <v>4360.9821428571431</v>
      </c>
      <c r="AC115" s="73">
        <f t="shared" si="118"/>
        <v>4360.9821428571431</v>
      </c>
      <c r="AD115" s="73">
        <f t="shared" si="118"/>
        <v>4360.9821428571431</v>
      </c>
      <c r="AE115" s="73">
        <f t="shared" si="118"/>
        <v>4360.9821428571431</v>
      </c>
      <c r="AF115" s="73">
        <f t="shared" si="118"/>
        <v>4360.9821428571431</v>
      </c>
      <c r="AG115" s="73">
        <f t="shared" si="118"/>
        <v>4360.9821428571431</v>
      </c>
      <c r="AH115" s="73">
        <f t="shared" si="118"/>
        <v>4360.9821428571431</v>
      </c>
      <c r="AI115" s="73">
        <f t="shared" si="118"/>
        <v>4360.9821428571431</v>
      </c>
      <c r="AJ115" s="73">
        <f t="shared" si="118"/>
        <v>4360.9821428571431</v>
      </c>
      <c r="AK115" s="73">
        <f t="shared" si="118"/>
        <v>4360.9821428571431</v>
      </c>
      <c r="AL115" s="73">
        <f t="shared" si="118"/>
        <v>4360.9821428571431</v>
      </c>
      <c r="AM115" s="73">
        <f t="shared" si="118"/>
        <v>4360.9821428571431</v>
      </c>
      <c r="AO115" s="75">
        <f>SUM(D115:O115)</f>
        <v>45645.535714285717</v>
      </c>
      <c r="AP115" s="75">
        <f>SUM(P115:AA115)</f>
        <v>52331.785714285732</v>
      </c>
      <c r="AQ115" s="75">
        <f>SUM(AB115:AM115)</f>
        <v>52331.785714285732</v>
      </c>
    </row>
    <row r="116" spans="1:16370" collapsed="1"/>
    <row r="117" spans="1:16370" s="90" customFormat="1">
      <c r="A117" s="83" t="s">
        <v>274</v>
      </c>
      <c r="B117" s="66"/>
      <c r="C117" s="101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8"/>
      <c r="AO117" s="102"/>
      <c r="AP117" s="107"/>
      <c r="AQ117" s="107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  <c r="BW117" s="108"/>
      <c r="BX117" s="108"/>
      <c r="BY117" s="108"/>
      <c r="BZ117" s="108"/>
      <c r="CA117" s="108"/>
      <c r="CB117" s="108"/>
      <c r="CC117" s="108"/>
      <c r="CD117" s="108"/>
      <c r="CE117" s="108"/>
      <c r="CF117" s="108"/>
      <c r="CG117" s="108"/>
      <c r="CH117" s="108"/>
      <c r="CI117" s="108"/>
      <c r="CJ117" s="108"/>
      <c r="CK117" s="108"/>
      <c r="CL117" s="108"/>
      <c r="CM117" s="108"/>
      <c r="CN117" s="108"/>
      <c r="CO117" s="108"/>
      <c r="CP117" s="108"/>
      <c r="CQ117" s="108"/>
      <c r="CR117" s="108"/>
      <c r="CS117" s="108"/>
      <c r="CT117" s="108"/>
      <c r="CU117" s="108"/>
      <c r="CV117" s="108"/>
      <c r="CW117" s="108"/>
      <c r="CX117" s="108"/>
      <c r="CY117" s="108"/>
      <c r="CZ117" s="108"/>
      <c r="DA117" s="108"/>
      <c r="DB117" s="108"/>
      <c r="DC117" s="108"/>
      <c r="DD117" s="108"/>
      <c r="DE117" s="108"/>
      <c r="DF117" s="108"/>
      <c r="DG117" s="108"/>
      <c r="DH117" s="108"/>
      <c r="DI117" s="108"/>
      <c r="DJ117" s="108"/>
      <c r="DK117" s="108"/>
      <c r="DL117" s="108"/>
      <c r="DM117" s="108"/>
      <c r="DN117" s="108"/>
      <c r="DO117" s="108"/>
      <c r="DP117" s="108"/>
      <c r="DQ117" s="108"/>
      <c r="DR117" s="108"/>
      <c r="DS117" s="108"/>
      <c r="DT117" s="108"/>
      <c r="DU117" s="108"/>
      <c r="DV117" s="108"/>
      <c r="DW117" s="108"/>
      <c r="DX117" s="108"/>
      <c r="DY117" s="108"/>
      <c r="DZ117" s="108"/>
      <c r="EA117" s="108"/>
      <c r="EB117" s="108"/>
      <c r="EC117" s="108"/>
      <c r="ED117" s="108"/>
      <c r="EE117" s="108"/>
      <c r="EF117" s="108"/>
      <c r="EG117" s="108"/>
      <c r="EH117" s="108"/>
      <c r="EI117" s="108"/>
      <c r="EJ117" s="108"/>
      <c r="EK117" s="108"/>
      <c r="EL117" s="108"/>
      <c r="EM117" s="108"/>
      <c r="EN117" s="108"/>
      <c r="EO117" s="108"/>
      <c r="EP117" s="108"/>
      <c r="EQ117" s="108"/>
      <c r="ER117" s="108"/>
      <c r="ES117" s="108"/>
      <c r="ET117" s="108"/>
      <c r="EU117" s="108"/>
      <c r="EV117" s="108"/>
      <c r="EW117" s="108"/>
      <c r="EX117" s="108"/>
      <c r="EY117" s="108"/>
      <c r="EZ117" s="108"/>
      <c r="FA117" s="108"/>
      <c r="FB117" s="108"/>
      <c r="FC117" s="108"/>
      <c r="FD117" s="108"/>
      <c r="FE117" s="108"/>
      <c r="FF117" s="108"/>
      <c r="FG117" s="108"/>
      <c r="FH117" s="108"/>
      <c r="FI117" s="108"/>
      <c r="FJ117" s="108"/>
      <c r="FK117" s="108"/>
      <c r="FL117" s="108"/>
      <c r="FM117" s="108"/>
      <c r="FN117" s="108"/>
      <c r="FO117" s="108"/>
      <c r="FP117" s="108"/>
      <c r="FQ117" s="108"/>
      <c r="FR117" s="108"/>
      <c r="FS117" s="108"/>
      <c r="FT117" s="108"/>
      <c r="FU117" s="108"/>
      <c r="FV117" s="108"/>
      <c r="FW117" s="108"/>
      <c r="FX117" s="108"/>
      <c r="FY117" s="108"/>
      <c r="FZ117" s="108"/>
      <c r="GA117" s="108"/>
      <c r="GB117" s="108"/>
      <c r="GC117" s="108"/>
      <c r="GD117" s="108"/>
      <c r="GE117" s="108"/>
      <c r="GF117" s="108"/>
      <c r="GG117" s="108"/>
      <c r="GH117" s="108"/>
      <c r="GI117" s="108"/>
      <c r="GJ117" s="108"/>
      <c r="GK117" s="108"/>
      <c r="GL117" s="108"/>
      <c r="GM117" s="108"/>
      <c r="GN117" s="108"/>
      <c r="GO117" s="108"/>
      <c r="GP117" s="108"/>
      <c r="GQ117" s="108"/>
      <c r="GR117" s="108"/>
      <c r="GS117" s="108"/>
      <c r="GT117" s="108"/>
      <c r="GU117" s="108"/>
      <c r="GV117" s="108"/>
      <c r="GW117" s="108"/>
      <c r="GX117" s="108"/>
      <c r="GY117" s="108"/>
      <c r="GZ117" s="108"/>
      <c r="HA117" s="108"/>
      <c r="HB117" s="108"/>
      <c r="HC117" s="108"/>
      <c r="HD117" s="108"/>
      <c r="HE117" s="108"/>
      <c r="HF117" s="108"/>
      <c r="HG117" s="108"/>
      <c r="HH117" s="108"/>
      <c r="HI117" s="108"/>
      <c r="HJ117" s="108"/>
      <c r="HK117" s="108"/>
      <c r="HL117" s="108"/>
      <c r="HM117" s="108"/>
      <c r="HN117" s="108"/>
      <c r="HO117" s="108"/>
      <c r="HP117" s="108"/>
      <c r="HQ117" s="108"/>
      <c r="HR117" s="108"/>
      <c r="HS117" s="108"/>
      <c r="HT117" s="108"/>
      <c r="HU117" s="108"/>
      <c r="HV117" s="108"/>
      <c r="HW117" s="108"/>
      <c r="HX117" s="108"/>
      <c r="HY117" s="108"/>
      <c r="HZ117" s="108"/>
      <c r="IA117" s="108"/>
      <c r="IB117" s="108"/>
      <c r="IC117" s="108"/>
      <c r="ID117" s="108"/>
      <c r="IE117" s="108"/>
      <c r="IF117" s="108"/>
      <c r="IG117" s="108"/>
      <c r="IH117" s="108"/>
      <c r="II117" s="108"/>
      <c r="IJ117" s="108"/>
      <c r="IK117" s="108"/>
      <c r="IL117" s="108"/>
      <c r="IM117" s="108"/>
      <c r="IN117" s="108"/>
      <c r="IO117" s="108"/>
      <c r="IP117" s="108"/>
      <c r="IQ117" s="108"/>
      <c r="IR117" s="108"/>
      <c r="IS117" s="108"/>
      <c r="IT117" s="108"/>
      <c r="IU117" s="108"/>
      <c r="IV117" s="108"/>
      <c r="IW117" s="108"/>
      <c r="IX117" s="108"/>
      <c r="IY117" s="108"/>
      <c r="IZ117" s="108"/>
      <c r="JA117" s="108"/>
      <c r="JB117" s="108"/>
      <c r="JC117" s="108"/>
      <c r="JD117" s="108"/>
      <c r="JE117" s="108"/>
      <c r="JF117" s="108"/>
      <c r="JG117" s="108"/>
      <c r="JH117" s="108"/>
      <c r="JI117" s="108"/>
      <c r="JJ117" s="108"/>
      <c r="JK117" s="108"/>
      <c r="JL117" s="108"/>
      <c r="JM117" s="108"/>
      <c r="JN117" s="108"/>
      <c r="JO117" s="108"/>
      <c r="JP117" s="108"/>
      <c r="JQ117" s="108"/>
      <c r="JR117" s="108"/>
      <c r="JS117" s="108"/>
      <c r="JT117" s="108"/>
      <c r="JU117" s="108"/>
      <c r="JV117" s="108"/>
      <c r="JW117" s="108"/>
      <c r="JX117" s="108"/>
      <c r="JY117" s="108"/>
      <c r="JZ117" s="108"/>
      <c r="KA117" s="108"/>
      <c r="KB117" s="108"/>
      <c r="KC117" s="108"/>
      <c r="KD117" s="108"/>
      <c r="KE117" s="108"/>
      <c r="KF117" s="108"/>
      <c r="KG117" s="108"/>
      <c r="KH117" s="108"/>
      <c r="KI117" s="108"/>
      <c r="KJ117" s="108"/>
      <c r="KK117" s="108"/>
      <c r="KL117" s="108"/>
      <c r="KM117" s="108"/>
      <c r="KN117" s="108"/>
      <c r="KO117" s="108"/>
      <c r="KP117" s="108"/>
      <c r="KQ117" s="108"/>
      <c r="KR117" s="108"/>
      <c r="KS117" s="108"/>
      <c r="KT117" s="108"/>
      <c r="KU117" s="108"/>
      <c r="KV117" s="108"/>
      <c r="KW117" s="108"/>
      <c r="KX117" s="108"/>
      <c r="KY117" s="108"/>
      <c r="KZ117" s="108"/>
      <c r="LA117" s="108"/>
      <c r="LB117" s="108"/>
      <c r="LC117" s="108"/>
      <c r="LD117" s="108"/>
      <c r="LE117" s="108"/>
      <c r="LF117" s="108"/>
      <c r="LG117" s="108"/>
      <c r="LH117" s="108"/>
      <c r="LI117" s="108"/>
      <c r="LJ117" s="108"/>
      <c r="LK117" s="108"/>
      <c r="LL117" s="108"/>
      <c r="LM117" s="108"/>
      <c r="LN117" s="108"/>
      <c r="LO117" s="108"/>
      <c r="LP117" s="108"/>
      <c r="LQ117" s="108"/>
      <c r="LR117" s="108"/>
      <c r="LS117" s="108"/>
      <c r="LT117" s="108"/>
      <c r="LU117" s="108"/>
      <c r="LV117" s="108"/>
      <c r="LW117" s="108"/>
      <c r="LX117" s="108"/>
      <c r="LY117" s="108"/>
      <c r="LZ117" s="108"/>
      <c r="MA117" s="108"/>
      <c r="MB117" s="108"/>
      <c r="MC117" s="108"/>
      <c r="MD117" s="108"/>
      <c r="ME117" s="108"/>
      <c r="MF117" s="108"/>
      <c r="MG117" s="108"/>
      <c r="MH117" s="108"/>
      <c r="MI117" s="108"/>
      <c r="MJ117" s="108"/>
      <c r="MK117" s="108"/>
      <c r="ML117" s="108"/>
      <c r="MM117" s="108"/>
      <c r="MN117" s="108"/>
      <c r="MO117" s="108"/>
      <c r="MP117" s="108"/>
      <c r="MQ117" s="108"/>
      <c r="MR117" s="108"/>
      <c r="MS117" s="108"/>
      <c r="MT117" s="108"/>
      <c r="MU117" s="108"/>
      <c r="MV117" s="108"/>
      <c r="MW117" s="108"/>
      <c r="MX117" s="108"/>
      <c r="MY117" s="108"/>
      <c r="MZ117" s="108"/>
      <c r="NA117" s="108"/>
      <c r="NB117" s="108"/>
      <c r="NC117" s="108"/>
      <c r="ND117" s="108"/>
      <c r="NE117" s="108"/>
      <c r="NF117" s="108"/>
      <c r="NG117" s="108"/>
      <c r="NH117" s="108"/>
      <c r="NI117" s="108"/>
      <c r="NJ117" s="108"/>
      <c r="NK117" s="108"/>
      <c r="NL117" s="108"/>
      <c r="NM117" s="108"/>
      <c r="NN117" s="108"/>
      <c r="NO117" s="108"/>
      <c r="NP117" s="108"/>
      <c r="NQ117" s="108"/>
      <c r="NR117" s="108"/>
      <c r="NS117" s="108"/>
      <c r="NT117" s="108"/>
      <c r="NU117" s="108"/>
      <c r="NV117" s="108"/>
      <c r="NW117" s="108"/>
      <c r="NX117" s="108"/>
      <c r="NY117" s="108"/>
      <c r="NZ117" s="108"/>
      <c r="OA117" s="108"/>
      <c r="OB117" s="108"/>
      <c r="OC117" s="108"/>
      <c r="OD117" s="108"/>
      <c r="OE117" s="108"/>
      <c r="OF117" s="108"/>
      <c r="OG117" s="108"/>
      <c r="OH117" s="108"/>
      <c r="OI117" s="108"/>
      <c r="OJ117" s="108"/>
      <c r="OK117" s="108"/>
      <c r="OL117" s="108"/>
      <c r="OM117" s="108"/>
      <c r="ON117" s="108"/>
      <c r="OO117" s="108"/>
      <c r="OP117" s="108"/>
      <c r="OQ117" s="108"/>
      <c r="OR117" s="108"/>
      <c r="OS117" s="108"/>
      <c r="OT117" s="108"/>
      <c r="OU117" s="108"/>
      <c r="OV117" s="108"/>
      <c r="OW117" s="108"/>
      <c r="OX117" s="108"/>
      <c r="OY117" s="108"/>
      <c r="OZ117" s="108"/>
      <c r="PA117" s="108"/>
      <c r="PB117" s="108"/>
      <c r="PC117" s="108"/>
      <c r="PD117" s="108"/>
      <c r="PE117" s="108"/>
      <c r="PF117" s="108"/>
      <c r="PG117" s="108"/>
      <c r="PH117" s="108"/>
      <c r="PI117" s="108"/>
      <c r="PJ117" s="108"/>
      <c r="PK117" s="108"/>
      <c r="PL117" s="108"/>
      <c r="PM117" s="108"/>
      <c r="PN117" s="108"/>
      <c r="PO117" s="108"/>
      <c r="PP117" s="108"/>
      <c r="PQ117" s="108"/>
      <c r="PR117" s="108"/>
      <c r="PS117" s="108"/>
      <c r="PT117" s="108"/>
      <c r="PU117" s="108"/>
      <c r="PV117" s="108"/>
      <c r="PW117" s="108"/>
      <c r="PX117" s="108"/>
      <c r="PY117" s="108"/>
      <c r="PZ117" s="108"/>
      <c r="QA117" s="108"/>
      <c r="QB117" s="108"/>
      <c r="QC117" s="108"/>
      <c r="QD117" s="108"/>
      <c r="QE117" s="108"/>
      <c r="QF117" s="108"/>
      <c r="QG117" s="108"/>
      <c r="QH117" s="108"/>
      <c r="QI117" s="108"/>
      <c r="QJ117" s="108"/>
      <c r="QK117" s="108"/>
      <c r="QL117" s="108"/>
      <c r="QM117" s="108"/>
      <c r="QN117" s="108"/>
      <c r="QO117" s="108"/>
      <c r="QP117" s="108"/>
      <c r="QQ117" s="108"/>
      <c r="QR117" s="108"/>
      <c r="QS117" s="108"/>
      <c r="QT117" s="108"/>
      <c r="QU117" s="108"/>
      <c r="QV117" s="108"/>
      <c r="QW117" s="108"/>
      <c r="QX117" s="108"/>
      <c r="QY117" s="108"/>
      <c r="QZ117" s="108"/>
      <c r="RA117" s="108"/>
      <c r="RB117" s="108"/>
      <c r="RC117" s="108"/>
      <c r="RD117" s="108"/>
      <c r="RE117" s="108"/>
      <c r="RF117" s="108"/>
      <c r="RG117" s="108"/>
      <c r="RH117" s="108"/>
      <c r="RI117" s="108"/>
      <c r="RJ117" s="108"/>
      <c r="RK117" s="108"/>
      <c r="RL117" s="108"/>
      <c r="RM117" s="108"/>
      <c r="RN117" s="108"/>
      <c r="RO117" s="108"/>
      <c r="RP117" s="108"/>
      <c r="RQ117" s="108"/>
      <c r="RR117" s="108"/>
      <c r="RS117" s="108"/>
      <c r="RT117" s="108"/>
      <c r="RU117" s="108"/>
      <c r="RV117" s="108"/>
      <c r="RW117" s="108"/>
      <c r="RX117" s="108"/>
      <c r="RY117" s="108"/>
      <c r="RZ117" s="108"/>
      <c r="SA117" s="108"/>
      <c r="SB117" s="108"/>
      <c r="SC117" s="108"/>
      <c r="SD117" s="108"/>
      <c r="SE117" s="108"/>
      <c r="SF117" s="108"/>
      <c r="SG117" s="108"/>
      <c r="SH117" s="108"/>
      <c r="SI117" s="108"/>
      <c r="SJ117" s="108"/>
      <c r="SK117" s="108"/>
      <c r="SL117" s="108"/>
      <c r="SM117" s="108"/>
      <c r="SN117" s="108"/>
      <c r="SO117" s="108"/>
      <c r="SP117" s="108"/>
      <c r="SQ117" s="108"/>
      <c r="SR117" s="108"/>
      <c r="SS117" s="108"/>
      <c r="ST117" s="108"/>
      <c r="SU117" s="108"/>
      <c r="SV117" s="108"/>
      <c r="SW117" s="108"/>
      <c r="SX117" s="108"/>
      <c r="SY117" s="108"/>
      <c r="SZ117" s="108"/>
      <c r="TA117" s="108"/>
      <c r="TB117" s="108"/>
      <c r="TC117" s="108"/>
      <c r="TD117" s="108"/>
      <c r="TE117" s="108"/>
      <c r="TF117" s="108"/>
      <c r="TG117" s="108"/>
      <c r="TH117" s="108"/>
      <c r="TI117" s="108"/>
      <c r="TJ117" s="108"/>
      <c r="TK117" s="108"/>
      <c r="TL117" s="108"/>
      <c r="TM117" s="108"/>
      <c r="TN117" s="108"/>
      <c r="TO117" s="108"/>
      <c r="TP117" s="108"/>
      <c r="TQ117" s="108"/>
      <c r="TR117" s="108"/>
      <c r="TS117" s="108"/>
      <c r="TT117" s="108"/>
      <c r="TU117" s="108"/>
      <c r="TV117" s="108"/>
      <c r="TW117" s="108"/>
      <c r="TX117" s="108"/>
      <c r="TY117" s="108"/>
      <c r="TZ117" s="108"/>
      <c r="UA117" s="108"/>
      <c r="UB117" s="108"/>
      <c r="UC117" s="108"/>
      <c r="UD117" s="108"/>
      <c r="UE117" s="108"/>
      <c r="UF117" s="108"/>
      <c r="UG117" s="108"/>
      <c r="UH117" s="108"/>
      <c r="UI117" s="108"/>
      <c r="UJ117" s="108"/>
      <c r="UK117" s="108"/>
      <c r="UL117" s="108"/>
      <c r="UM117" s="108"/>
      <c r="UN117" s="108"/>
      <c r="UO117" s="108"/>
      <c r="UP117" s="108"/>
      <c r="UQ117" s="108"/>
      <c r="UR117" s="108"/>
      <c r="US117" s="108"/>
      <c r="UT117" s="108"/>
      <c r="UU117" s="108"/>
      <c r="UV117" s="108"/>
      <c r="UW117" s="108"/>
      <c r="UX117" s="108"/>
      <c r="UY117" s="108"/>
      <c r="UZ117" s="108"/>
      <c r="VA117" s="108"/>
      <c r="VB117" s="108"/>
      <c r="VC117" s="108"/>
      <c r="VD117" s="108"/>
      <c r="VE117" s="108"/>
      <c r="VF117" s="108"/>
      <c r="VG117" s="108"/>
      <c r="VH117" s="108"/>
      <c r="VI117" s="108"/>
      <c r="VJ117" s="108"/>
      <c r="VK117" s="108"/>
      <c r="VL117" s="108"/>
      <c r="VM117" s="108"/>
      <c r="VN117" s="108"/>
      <c r="VO117" s="108"/>
      <c r="VP117" s="108"/>
      <c r="VQ117" s="108"/>
      <c r="VR117" s="108"/>
      <c r="VS117" s="108"/>
      <c r="VT117" s="108"/>
      <c r="VU117" s="108"/>
      <c r="VV117" s="108"/>
      <c r="VW117" s="108"/>
      <c r="VX117" s="108"/>
      <c r="VY117" s="108"/>
      <c r="VZ117" s="108"/>
      <c r="WA117" s="108"/>
      <c r="WB117" s="108"/>
      <c r="WC117" s="108"/>
      <c r="WD117" s="108"/>
      <c r="WE117" s="108"/>
      <c r="WF117" s="108"/>
      <c r="WG117" s="108"/>
      <c r="WH117" s="108"/>
      <c r="WI117" s="108"/>
      <c r="WJ117" s="108"/>
      <c r="WK117" s="108"/>
      <c r="WL117" s="108"/>
      <c r="WM117" s="108"/>
      <c r="WN117" s="108"/>
      <c r="WO117" s="108"/>
      <c r="WP117" s="108"/>
      <c r="WQ117" s="108"/>
      <c r="WR117" s="108"/>
      <c r="WS117" s="108"/>
      <c r="WT117" s="108"/>
      <c r="WU117" s="108"/>
      <c r="WV117" s="108"/>
      <c r="WW117" s="108"/>
      <c r="WX117" s="108"/>
      <c r="WY117" s="108"/>
      <c r="WZ117" s="108"/>
      <c r="XA117" s="108"/>
      <c r="XB117" s="108"/>
      <c r="XC117" s="108"/>
      <c r="XD117" s="108"/>
      <c r="XE117" s="108"/>
      <c r="XF117" s="108"/>
      <c r="XG117" s="108"/>
      <c r="XH117" s="108"/>
      <c r="XI117" s="108"/>
      <c r="XJ117" s="108"/>
      <c r="XK117" s="108"/>
      <c r="XL117" s="108"/>
      <c r="XM117" s="108"/>
      <c r="XN117" s="108"/>
      <c r="XO117" s="108"/>
      <c r="XP117" s="108"/>
      <c r="XQ117" s="108"/>
      <c r="XR117" s="108"/>
      <c r="XS117" s="108"/>
      <c r="XT117" s="108"/>
      <c r="XU117" s="108"/>
      <c r="XV117" s="108"/>
      <c r="XW117" s="108"/>
      <c r="XX117" s="108"/>
      <c r="XY117" s="108"/>
      <c r="XZ117" s="108"/>
      <c r="YA117" s="108"/>
      <c r="YB117" s="108"/>
      <c r="YC117" s="108"/>
      <c r="YD117" s="108"/>
      <c r="YE117" s="108"/>
      <c r="YF117" s="108"/>
      <c r="YG117" s="108"/>
      <c r="YH117" s="108"/>
      <c r="YI117" s="108"/>
      <c r="YJ117" s="108"/>
      <c r="YK117" s="108"/>
      <c r="YL117" s="108"/>
      <c r="YM117" s="108"/>
      <c r="YN117" s="108"/>
      <c r="YO117" s="108"/>
      <c r="YP117" s="108"/>
      <c r="YQ117" s="108"/>
      <c r="YR117" s="108"/>
      <c r="YS117" s="108"/>
      <c r="YT117" s="108"/>
      <c r="YU117" s="108"/>
      <c r="YV117" s="108"/>
      <c r="YW117" s="108"/>
      <c r="YX117" s="108"/>
      <c r="YY117" s="108"/>
      <c r="YZ117" s="108"/>
      <c r="ZA117" s="108"/>
      <c r="ZB117" s="108"/>
      <c r="ZC117" s="108"/>
      <c r="ZD117" s="108"/>
      <c r="ZE117" s="108"/>
      <c r="ZF117" s="108"/>
      <c r="ZG117" s="108"/>
      <c r="ZH117" s="108"/>
      <c r="ZI117" s="108"/>
      <c r="ZJ117" s="108"/>
      <c r="ZK117" s="108"/>
      <c r="ZL117" s="108"/>
      <c r="ZM117" s="108"/>
      <c r="ZN117" s="108"/>
      <c r="ZO117" s="108"/>
      <c r="ZP117" s="108"/>
      <c r="ZQ117" s="108"/>
      <c r="ZR117" s="108"/>
      <c r="ZS117" s="108"/>
      <c r="ZT117" s="108"/>
      <c r="ZU117" s="108"/>
      <c r="ZV117" s="108"/>
      <c r="ZW117" s="108"/>
      <c r="ZX117" s="108"/>
      <c r="ZY117" s="108"/>
      <c r="ZZ117" s="108"/>
      <c r="AAA117" s="108"/>
      <c r="AAB117" s="108"/>
      <c r="AAC117" s="108"/>
      <c r="AAD117" s="108"/>
      <c r="AAE117" s="108"/>
      <c r="AAF117" s="108"/>
      <c r="AAG117" s="108"/>
      <c r="AAH117" s="108"/>
      <c r="AAI117" s="108"/>
      <c r="AAJ117" s="108"/>
      <c r="AAK117" s="108"/>
      <c r="AAL117" s="108"/>
      <c r="AAM117" s="108"/>
      <c r="AAN117" s="108"/>
      <c r="AAO117" s="108"/>
      <c r="AAP117" s="108"/>
      <c r="AAQ117" s="108"/>
      <c r="AAR117" s="108"/>
      <c r="AAS117" s="108"/>
      <c r="AAT117" s="108"/>
      <c r="AAU117" s="108"/>
      <c r="AAV117" s="108"/>
      <c r="AAW117" s="108"/>
      <c r="AAX117" s="108"/>
      <c r="AAY117" s="108"/>
      <c r="AAZ117" s="108"/>
      <c r="ABA117" s="108"/>
      <c r="ABB117" s="108"/>
      <c r="ABC117" s="108"/>
      <c r="ABD117" s="108"/>
      <c r="ABE117" s="108"/>
      <c r="ABF117" s="108"/>
      <c r="ABG117" s="108"/>
      <c r="ABH117" s="108"/>
      <c r="ABI117" s="108"/>
      <c r="ABJ117" s="108"/>
      <c r="ABK117" s="108"/>
      <c r="ABL117" s="108"/>
      <c r="ABM117" s="108"/>
      <c r="ABN117" s="108"/>
      <c r="ABO117" s="108"/>
      <c r="ABP117" s="108"/>
      <c r="ABQ117" s="108"/>
      <c r="ABR117" s="108"/>
      <c r="ABS117" s="108"/>
      <c r="ABT117" s="108"/>
      <c r="ABU117" s="108"/>
      <c r="ABV117" s="108"/>
      <c r="ABW117" s="108"/>
      <c r="ABX117" s="108"/>
      <c r="ABY117" s="108"/>
      <c r="ABZ117" s="108"/>
      <c r="ACA117" s="108"/>
      <c r="ACB117" s="108"/>
      <c r="ACC117" s="108"/>
      <c r="ACD117" s="108"/>
      <c r="ACE117" s="108"/>
      <c r="ACF117" s="108"/>
      <c r="ACG117" s="108"/>
      <c r="ACH117" s="108"/>
      <c r="ACI117" s="108"/>
      <c r="ACJ117" s="108"/>
      <c r="ACK117" s="108"/>
      <c r="ACL117" s="108"/>
      <c r="ACM117" s="108"/>
      <c r="ACN117" s="108"/>
      <c r="ACO117" s="108"/>
      <c r="ACP117" s="108"/>
      <c r="ACQ117" s="108"/>
      <c r="ACR117" s="108"/>
      <c r="ACS117" s="108"/>
      <c r="ACT117" s="108"/>
      <c r="ACU117" s="108"/>
      <c r="ACV117" s="108"/>
      <c r="ACW117" s="108"/>
      <c r="ACX117" s="108"/>
      <c r="ACY117" s="108"/>
      <c r="ACZ117" s="108"/>
      <c r="ADA117" s="108"/>
      <c r="ADB117" s="108"/>
      <c r="ADC117" s="108"/>
      <c r="ADD117" s="108"/>
      <c r="ADE117" s="108"/>
      <c r="ADF117" s="108"/>
      <c r="ADG117" s="108"/>
      <c r="ADH117" s="108"/>
      <c r="ADI117" s="108"/>
      <c r="ADJ117" s="108"/>
      <c r="ADK117" s="108"/>
      <c r="ADL117" s="108"/>
      <c r="ADM117" s="108"/>
      <c r="ADN117" s="108"/>
      <c r="ADO117" s="108"/>
      <c r="ADP117" s="108"/>
      <c r="ADQ117" s="108"/>
      <c r="ADR117" s="108"/>
      <c r="ADS117" s="108"/>
      <c r="ADT117" s="108"/>
      <c r="ADU117" s="108"/>
      <c r="ADV117" s="108"/>
      <c r="ADW117" s="108"/>
      <c r="ADX117" s="108"/>
      <c r="ADY117" s="108"/>
      <c r="ADZ117" s="108"/>
      <c r="AEA117" s="108"/>
      <c r="AEB117" s="108"/>
      <c r="AEC117" s="108"/>
      <c r="AED117" s="108"/>
      <c r="AEE117" s="108"/>
      <c r="AEF117" s="108"/>
      <c r="AEG117" s="108"/>
      <c r="AEH117" s="108"/>
      <c r="AEI117" s="108"/>
      <c r="AEJ117" s="108"/>
      <c r="AEK117" s="108"/>
      <c r="AEL117" s="108"/>
      <c r="AEM117" s="108"/>
      <c r="AEN117" s="108"/>
      <c r="AEO117" s="108"/>
      <c r="AEP117" s="108"/>
      <c r="AEQ117" s="108"/>
      <c r="AER117" s="108"/>
      <c r="AES117" s="108"/>
      <c r="AET117" s="108"/>
      <c r="AEU117" s="108"/>
      <c r="AEV117" s="108"/>
      <c r="AEW117" s="108"/>
      <c r="AEX117" s="108"/>
      <c r="AEY117" s="108"/>
      <c r="AEZ117" s="108"/>
      <c r="AFA117" s="108"/>
      <c r="AFB117" s="108"/>
      <c r="AFC117" s="108"/>
      <c r="AFD117" s="108"/>
      <c r="AFE117" s="108"/>
      <c r="AFF117" s="108"/>
      <c r="AFG117" s="108"/>
      <c r="AFH117" s="108"/>
      <c r="AFI117" s="108"/>
      <c r="AFJ117" s="108"/>
      <c r="AFK117" s="108"/>
      <c r="AFL117" s="108"/>
      <c r="AFM117" s="108"/>
      <c r="AFN117" s="108"/>
      <c r="AFO117" s="108"/>
      <c r="AFP117" s="108"/>
      <c r="AFQ117" s="108"/>
      <c r="AFR117" s="108"/>
      <c r="AFS117" s="108"/>
      <c r="AFT117" s="108"/>
      <c r="AFU117" s="108"/>
      <c r="AFV117" s="108"/>
      <c r="AFW117" s="108"/>
      <c r="AFX117" s="108"/>
      <c r="AFY117" s="108"/>
      <c r="AFZ117" s="108"/>
      <c r="AGA117" s="108"/>
      <c r="AGB117" s="108"/>
      <c r="AGC117" s="108"/>
      <c r="AGD117" s="108"/>
      <c r="AGE117" s="108"/>
      <c r="AGF117" s="108"/>
      <c r="AGG117" s="108"/>
      <c r="AGH117" s="108"/>
      <c r="AGI117" s="108"/>
      <c r="AGJ117" s="108"/>
      <c r="AGK117" s="108"/>
      <c r="AGL117" s="108"/>
      <c r="AGM117" s="108"/>
      <c r="AGN117" s="108"/>
      <c r="AGO117" s="108"/>
      <c r="AGP117" s="108"/>
      <c r="AGQ117" s="108"/>
      <c r="AGR117" s="108"/>
      <c r="AGS117" s="108"/>
      <c r="AGT117" s="108"/>
      <c r="AGU117" s="108"/>
      <c r="AGV117" s="108"/>
      <c r="AGW117" s="108"/>
      <c r="AGX117" s="108"/>
      <c r="AGY117" s="108"/>
      <c r="AGZ117" s="108"/>
      <c r="AHA117" s="108"/>
      <c r="AHB117" s="108"/>
      <c r="AHC117" s="108"/>
      <c r="AHD117" s="108"/>
      <c r="AHE117" s="108"/>
      <c r="AHF117" s="108"/>
      <c r="AHG117" s="108"/>
      <c r="AHH117" s="108"/>
      <c r="AHI117" s="108"/>
      <c r="AHJ117" s="108"/>
      <c r="AHK117" s="108"/>
      <c r="AHL117" s="108"/>
      <c r="AHM117" s="108"/>
      <c r="AHN117" s="108"/>
      <c r="AHO117" s="108"/>
      <c r="AHP117" s="108"/>
      <c r="AHQ117" s="108"/>
      <c r="AHR117" s="108"/>
      <c r="AHS117" s="108"/>
      <c r="AHT117" s="108"/>
      <c r="AHU117" s="108"/>
      <c r="AHV117" s="108"/>
      <c r="AHW117" s="108"/>
      <c r="AHX117" s="108"/>
      <c r="AHY117" s="108"/>
      <c r="AHZ117" s="108"/>
      <c r="AIA117" s="108"/>
      <c r="AIB117" s="108"/>
      <c r="AIC117" s="108"/>
      <c r="AID117" s="108"/>
      <c r="AIE117" s="108"/>
      <c r="AIF117" s="108"/>
      <c r="AIG117" s="108"/>
      <c r="AIH117" s="108"/>
      <c r="AII117" s="108"/>
      <c r="AIJ117" s="108"/>
      <c r="AIK117" s="108"/>
      <c r="AIL117" s="108"/>
      <c r="AIM117" s="108"/>
      <c r="AIN117" s="108"/>
      <c r="AIO117" s="108"/>
      <c r="AIP117" s="108"/>
      <c r="AIQ117" s="108"/>
      <c r="AIR117" s="108"/>
      <c r="AIS117" s="108"/>
      <c r="AIT117" s="108"/>
      <c r="AIU117" s="108"/>
      <c r="AIV117" s="108"/>
      <c r="AIW117" s="108"/>
      <c r="AIX117" s="108"/>
      <c r="AIY117" s="108"/>
      <c r="AIZ117" s="108"/>
      <c r="AJA117" s="108"/>
      <c r="AJB117" s="108"/>
      <c r="AJC117" s="108"/>
      <c r="AJD117" s="108"/>
      <c r="AJE117" s="108"/>
      <c r="AJF117" s="108"/>
      <c r="AJG117" s="108"/>
      <c r="AJH117" s="108"/>
      <c r="AJI117" s="108"/>
      <c r="AJJ117" s="108"/>
      <c r="AJK117" s="108"/>
      <c r="AJL117" s="108"/>
      <c r="AJM117" s="108"/>
      <c r="AJN117" s="108"/>
      <c r="AJO117" s="108"/>
      <c r="AJP117" s="108"/>
      <c r="AJQ117" s="108"/>
      <c r="AJR117" s="108"/>
      <c r="AJS117" s="108"/>
      <c r="AJT117" s="108"/>
      <c r="AJU117" s="108"/>
      <c r="AJV117" s="108"/>
      <c r="AJW117" s="108"/>
      <c r="AJX117" s="108"/>
      <c r="AJY117" s="108"/>
      <c r="AJZ117" s="108"/>
      <c r="AKA117" s="108"/>
      <c r="AKB117" s="108"/>
      <c r="AKC117" s="108"/>
      <c r="AKD117" s="108"/>
      <c r="AKE117" s="108"/>
      <c r="AKF117" s="108"/>
      <c r="AKG117" s="108"/>
      <c r="AKH117" s="108"/>
      <c r="AKI117" s="108"/>
      <c r="AKJ117" s="108"/>
      <c r="AKK117" s="108"/>
      <c r="AKL117" s="108"/>
      <c r="AKM117" s="108"/>
      <c r="AKN117" s="108"/>
      <c r="AKO117" s="108"/>
      <c r="AKP117" s="108"/>
      <c r="AKQ117" s="108"/>
      <c r="AKR117" s="108"/>
      <c r="AKS117" s="108"/>
      <c r="AKT117" s="108"/>
      <c r="AKU117" s="108"/>
      <c r="AKV117" s="108"/>
      <c r="AKW117" s="108"/>
      <c r="AKX117" s="108"/>
      <c r="AKY117" s="108"/>
      <c r="AKZ117" s="108"/>
      <c r="ALA117" s="108"/>
      <c r="ALB117" s="108"/>
      <c r="ALC117" s="108"/>
      <c r="ALD117" s="108"/>
      <c r="ALE117" s="108"/>
      <c r="ALF117" s="108"/>
      <c r="ALG117" s="108"/>
      <c r="ALH117" s="108"/>
      <c r="ALI117" s="108"/>
      <c r="ALJ117" s="108"/>
      <c r="ALK117" s="108"/>
      <c r="ALL117" s="108"/>
      <c r="ALM117" s="108"/>
      <c r="ALN117" s="108"/>
      <c r="ALO117" s="108"/>
      <c r="ALP117" s="108"/>
      <c r="ALQ117" s="108"/>
      <c r="ALR117" s="108"/>
      <c r="ALS117" s="108"/>
      <c r="ALT117" s="108"/>
      <c r="ALU117" s="108"/>
      <c r="ALV117" s="108"/>
      <c r="ALW117" s="108"/>
      <c r="ALX117" s="108"/>
      <c r="ALY117" s="108"/>
      <c r="ALZ117" s="108"/>
      <c r="AMA117" s="108"/>
      <c r="AMB117" s="108"/>
      <c r="AMC117" s="108"/>
      <c r="AMD117" s="108"/>
      <c r="AME117" s="108"/>
      <c r="AMF117" s="108"/>
      <c r="AMG117" s="108"/>
      <c r="AMH117" s="108"/>
      <c r="AMI117" s="108"/>
      <c r="AMJ117" s="108"/>
      <c r="AMK117" s="108"/>
      <c r="AML117" s="108"/>
      <c r="AMM117" s="108"/>
      <c r="AMN117" s="108"/>
      <c r="AMO117" s="108"/>
      <c r="AMP117" s="108"/>
      <c r="AMQ117" s="108"/>
      <c r="AMR117" s="108"/>
      <c r="AMS117" s="108"/>
      <c r="AMT117" s="108"/>
      <c r="AMU117" s="108"/>
      <c r="AMV117" s="108"/>
      <c r="AMW117" s="108"/>
      <c r="AMX117" s="108"/>
      <c r="AMY117" s="108"/>
      <c r="AMZ117" s="108"/>
      <c r="ANA117" s="108"/>
      <c r="ANB117" s="108"/>
      <c r="ANC117" s="108"/>
      <c r="AND117" s="108"/>
      <c r="ANE117" s="108"/>
      <c r="ANF117" s="108"/>
      <c r="ANG117" s="108"/>
      <c r="ANH117" s="108"/>
      <c r="ANI117" s="108"/>
      <c r="ANJ117" s="108"/>
      <c r="ANK117" s="108"/>
      <c r="ANL117" s="108"/>
      <c r="ANM117" s="108"/>
      <c r="ANN117" s="108"/>
      <c r="ANO117" s="108"/>
      <c r="ANP117" s="108"/>
      <c r="ANQ117" s="108"/>
      <c r="ANR117" s="108"/>
      <c r="ANS117" s="108"/>
      <c r="ANT117" s="108"/>
      <c r="ANU117" s="108"/>
      <c r="ANV117" s="108"/>
      <c r="ANW117" s="108"/>
      <c r="ANX117" s="108"/>
      <c r="ANY117" s="108"/>
      <c r="ANZ117" s="108"/>
      <c r="AOA117" s="108"/>
      <c r="AOB117" s="108"/>
      <c r="AOC117" s="108"/>
      <c r="AOD117" s="108"/>
      <c r="AOE117" s="108"/>
      <c r="AOF117" s="108"/>
      <c r="AOG117" s="108"/>
      <c r="AOH117" s="108"/>
      <c r="AOI117" s="108"/>
      <c r="AOJ117" s="108"/>
      <c r="AOK117" s="108"/>
      <c r="AOL117" s="108"/>
      <c r="AOM117" s="108"/>
      <c r="AON117" s="108"/>
      <c r="AOO117" s="108"/>
      <c r="AOP117" s="108"/>
      <c r="AOQ117" s="108"/>
      <c r="AOR117" s="108"/>
      <c r="AOS117" s="108"/>
      <c r="AOT117" s="108"/>
      <c r="AOU117" s="108"/>
      <c r="AOV117" s="108"/>
      <c r="AOW117" s="108"/>
      <c r="AOX117" s="108"/>
      <c r="AOY117" s="108"/>
      <c r="AOZ117" s="108"/>
      <c r="APA117" s="108"/>
      <c r="APB117" s="108"/>
      <c r="APC117" s="108"/>
      <c r="APD117" s="108"/>
      <c r="APE117" s="108"/>
      <c r="APF117" s="108"/>
      <c r="APG117" s="108"/>
      <c r="APH117" s="108"/>
      <c r="API117" s="108"/>
      <c r="APJ117" s="108"/>
      <c r="APK117" s="108"/>
      <c r="APL117" s="108"/>
      <c r="APM117" s="108"/>
      <c r="APN117" s="108"/>
      <c r="APO117" s="108"/>
      <c r="APP117" s="108"/>
      <c r="APQ117" s="108"/>
      <c r="APR117" s="108"/>
      <c r="APS117" s="108"/>
      <c r="APT117" s="108"/>
      <c r="APU117" s="108"/>
      <c r="APV117" s="108"/>
      <c r="APW117" s="108"/>
      <c r="APX117" s="108"/>
      <c r="APY117" s="108"/>
      <c r="APZ117" s="108"/>
      <c r="AQA117" s="108"/>
      <c r="AQB117" s="108"/>
      <c r="AQC117" s="108"/>
      <c r="AQD117" s="108"/>
      <c r="AQE117" s="108"/>
      <c r="AQF117" s="108"/>
      <c r="AQG117" s="108"/>
      <c r="AQH117" s="108"/>
      <c r="AQI117" s="108"/>
      <c r="AQJ117" s="108"/>
      <c r="AQK117" s="108"/>
      <c r="AQL117" s="108"/>
      <c r="AQM117" s="108"/>
      <c r="AQN117" s="108"/>
      <c r="AQO117" s="108"/>
      <c r="AQP117" s="108"/>
      <c r="AQQ117" s="108"/>
      <c r="AQR117" s="108"/>
      <c r="AQS117" s="108"/>
      <c r="AQT117" s="108"/>
      <c r="AQU117" s="108"/>
      <c r="AQV117" s="108"/>
      <c r="AQW117" s="108"/>
      <c r="AQX117" s="108"/>
      <c r="AQY117" s="108"/>
      <c r="AQZ117" s="108"/>
      <c r="ARA117" s="108"/>
      <c r="ARB117" s="108"/>
      <c r="ARC117" s="108"/>
      <c r="ARD117" s="108"/>
      <c r="ARE117" s="108"/>
      <c r="ARF117" s="108"/>
      <c r="ARG117" s="108"/>
      <c r="ARH117" s="108"/>
      <c r="ARI117" s="108"/>
      <c r="ARJ117" s="108"/>
      <c r="ARK117" s="108"/>
      <c r="ARL117" s="108"/>
      <c r="ARM117" s="108"/>
      <c r="ARN117" s="108"/>
      <c r="ARO117" s="108"/>
      <c r="ARP117" s="108"/>
      <c r="ARQ117" s="108"/>
      <c r="ARR117" s="108"/>
      <c r="ARS117" s="108"/>
      <c r="ART117" s="108"/>
      <c r="ARU117" s="108"/>
      <c r="ARV117" s="108"/>
      <c r="ARW117" s="108"/>
      <c r="ARX117" s="108"/>
      <c r="ARY117" s="108"/>
      <c r="ARZ117" s="108"/>
      <c r="ASA117" s="108"/>
      <c r="ASB117" s="108"/>
      <c r="ASC117" s="108"/>
      <c r="ASD117" s="108"/>
      <c r="ASE117" s="108"/>
      <c r="ASF117" s="108"/>
      <c r="ASG117" s="108"/>
      <c r="ASH117" s="108"/>
      <c r="ASI117" s="108"/>
      <c r="ASJ117" s="108"/>
      <c r="ASK117" s="108"/>
      <c r="ASL117" s="108"/>
      <c r="ASM117" s="108"/>
      <c r="ASN117" s="108"/>
      <c r="ASO117" s="108"/>
      <c r="ASP117" s="108"/>
      <c r="ASQ117" s="108"/>
      <c r="ASR117" s="108"/>
      <c r="ASS117" s="108"/>
      <c r="AST117" s="108"/>
      <c r="ASU117" s="108"/>
      <c r="ASV117" s="108"/>
      <c r="ASW117" s="108"/>
      <c r="ASX117" s="108"/>
      <c r="ASY117" s="108"/>
      <c r="ASZ117" s="108"/>
      <c r="ATA117" s="108"/>
      <c r="ATB117" s="108"/>
      <c r="ATC117" s="108"/>
      <c r="ATD117" s="108"/>
      <c r="ATE117" s="108"/>
      <c r="ATF117" s="108"/>
      <c r="ATG117" s="108"/>
      <c r="ATH117" s="108"/>
      <c r="ATI117" s="108"/>
      <c r="ATJ117" s="108"/>
      <c r="ATK117" s="108"/>
      <c r="ATL117" s="108"/>
      <c r="ATM117" s="108"/>
      <c r="ATN117" s="108"/>
      <c r="ATO117" s="108"/>
      <c r="ATP117" s="108"/>
      <c r="ATQ117" s="108"/>
      <c r="ATR117" s="108"/>
      <c r="ATS117" s="108"/>
      <c r="ATT117" s="108"/>
      <c r="ATU117" s="108"/>
      <c r="ATV117" s="108"/>
      <c r="ATW117" s="108"/>
      <c r="ATX117" s="108"/>
      <c r="ATY117" s="108"/>
      <c r="ATZ117" s="108"/>
      <c r="AUA117" s="108"/>
      <c r="AUB117" s="108"/>
      <c r="AUC117" s="108"/>
      <c r="AUD117" s="108"/>
      <c r="AUE117" s="108"/>
      <c r="AUF117" s="108"/>
      <c r="AUG117" s="108"/>
      <c r="AUH117" s="108"/>
      <c r="AUI117" s="108"/>
      <c r="AUJ117" s="108"/>
      <c r="AUK117" s="108"/>
      <c r="AUL117" s="108"/>
      <c r="AUM117" s="108"/>
      <c r="AUN117" s="108"/>
      <c r="AUO117" s="108"/>
      <c r="AUP117" s="108"/>
      <c r="AUQ117" s="108"/>
      <c r="AUR117" s="108"/>
      <c r="AUS117" s="108"/>
      <c r="AUT117" s="108"/>
      <c r="AUU117" s="108"/>
      <c r="AUV117" s="108"/>
      <c r="AUW117" s="108"/>
      <c r="AUX117" s="108"/>
      <c r="AUY117" s="108"/>
      <c r="AUZ117" s="108"/>
      <c r="AVA117" s="108"/>
      <c r="AVB117" s="108"/>
      <c r="AVC117" s="108"/>
      <c r="AVD117" s="108"/>
      <c r="AVE117" s="108"/>
      <c r="AVF117" s="108"/>
      <c r="AVG117" s="108"/>
      <c r="AVH117" s="108"/>
      <c r="AVI117" s="108"/>
      <c r="AVJ117" s="108"/>
      <c r="AVK117" s="108"/>
      <c r="AVL117" s="108"/>
      <c r="AVM117" s="108"/>
      <c r="AVN117" s="108"/>
      <c r="AVO117" s="108"/>
      <c r="AVP117" s="108"/>
      <c r="AVQ117" s="108"/>
      <c r="AVR117" s="108"/>
      <c r="AVS117" s="108"/>
      <c r="AVT117" s="108"/>
      <c r="AVU117" s="108"/>
      <c r="AVV117" s="108"/>
      <c r="AVW117" s="108"/>
      <c r="AVX117" s="108"/>
      <c r="AVY117" s="108"/>
      <c r="AVZ117" s="108"/>
      <c r="AWA117" s="108"/>
      <c r="AWB117" s="108"/>
      <c r="AWC117" s="108"/>
      <c r="AWD117" s="108"/>
      <c r="AWE117" s="108"/>
      <c r="AWF117" s="108"/>
      <c r="AWG117" s="108"/>
      <c r="AWH117" s="108"/>
      <c r="AWI117" s="108"/>
      <c r="AWJ117" s="108"/>
      <c r="AWK117" s="108"/>
      <c r="AWL117" s="108"/>
      <c r="AWM117" s="108"/>
      <c r="AWN117" s="108"/>
      <c r="AWO117" s="108"/>
      <c r="AWP117" s="108"/>
      <c r="AWQ117" s="108"/>
      <c r="AWR117" s="108"/>
      <c r="AWS117" s="108"/>
      <c r="AWT117" s="108"/>
      <c r="AWU117" s="108"/>
      <c r="AWV117" s="108"/>
      <c r="AWW117" s="108"/>
      <c r="AWX117" s="108"/>
      <c r="AWY117" s="108"/>
      <c r="AWZ117" s="108"/>
      <c r="AXA117" s="108"/>
      <c r="AXB117" s="108"/>
      <c r="AXC117" s="108"/>
      <c r="AXD117" s="108"/>
      <c r="AXE117" s="108"/>
      <c r="AXF117" s="108"/>
      <c r="AXG117" s="108"/>
      <c r="AXH117" s="108"/>
      <c r="AXI117" s="108"/>
      <c r="AXJ117" s="108"/>
      <c r="AXK117" s="108"/>
      <c r="AXL117" s="108"/>
      <c r="AXM117" s="108"/>
      <c r="AXN117" s="108"/>
      <c r="AXO117" s="108"/>
      <c r="AXP117" s="108"/>
      <c r="AXQ117" s="108"/>
      <c r="AXR117" s="108"/>
      <c r="AXS117" s="108"/>
      <c r="AXT117" s="108"/>
      <c r="AXU117" s="108"/>
      <c r="AXV117" s="108"/>
      <c r="AXW117" s="108"/>
      <c r="AXX117" s="108"/>
      <c r="AXY117" s="108"/>
      <c r="AXZ117" s="108"/>
      <c r="AYA117" s="108"/>
      <c r="AYB117" s="108"/>
      <c r="AYC117" s="108"/>
      <c r="AYD117" s="108"/>
      <c r="AYE117" s="108"/>
      <c r="AYF117" s="108"/>
      <c r="AYG117" s="108"/>
      <c r="AYH117" s="108"/>
      <c r="AYI117" s="108"/>
      <c r="AYJ117" s="108"/>
      <c r="AYK117" s="108"/>
      <c r="AYL117" s="108"/>
      <c r="AYM117" s="108"/>
      <c r="AYN117" s="108"/>
      <c r="AYO117" s="108"/>
      <c r="AYP117" s="108"/>
      <c r="AYQ117" s="108"/>
      <c r="AYR117" s="108"/>
      <c r="AYS117" s="108"/>
      <c r="AYT117" s="108"/>
      <c r="AYU117" s="108"/>
      <c r="AYV117" s="108"/>
      <c r="AYW117" s="108"/>
      <c r="AYX117" s="108"/>
      <c r="AYY117" s="108"/>
      <c r="AYZ117" s="108"/>
      <c r="AZA117" s="108"/>
      <c r="AZB117" s="108"/>
      <c r="AZC117" s="108"/>
      <c r="AZD117" s="108"/>
      <c r="AZE117" s="108"/>
      <c r="AZF117" s="108"/>
      <c r="AZG117" s="108"/>
      <c r="AZH117" s="108"/>
      <c r="AZI117" s="108"/>
      <c r="AZJ117" s="108"/>
      <c r="AZK117" s="108"/>
      <c r="AZL117" s="108"/>
      <c r="AZM117" s="108"/>
      <c r="AZN117" s="108"/>
      <c r="AZO117" s="108"/>
      <c r="AZP117" s="108"/>
      <c r="AZQ117" s="108"/>
      <c r="AZR117" s="108"/>
      <c r="AZS117" s="108"/>
      <c r="AZT117" s="108"/>
      <c r="AZU117" s="108"/>
      <c r="AZV117" s="108"/>
      <c r="AZW117" s="108"/>
      <c r="AZX117" s="108"/>
      <c r="AZY117" s="108"/>
      <c r="AZZ117" s="108"/>
      <c r="BAA117" s="108"/>
      <c r="BAB117" s="108"/>
      <c r="BAC117" s="108"/>
      <c r="BAD117" s="108"/>
      <c r="BAE117" s="108"/>
      <c r="BAF117" s="108"/>
      <c r="BAG117" s="108"/>
      <c r="BAH117" s="108"/>
      <c r="BAI117" s="108"/>
      <c r="BAJ117" s="108"/>
      <c r="BAK117" s="108"/>
      <c r="BAL117" s="108"/>
      <c r="BAM117" s="108"/>
      <c r="BAN117" s="108"/>
      <c r="BAO117" s="108"/>
      <c r="BAP117" s="108"/>
      <c r="BAQ117" s="108"/>
      <c r="BAR117" s="108"/>
      <c r="BAS117" s="108"/>
      <c r="BAT117" s="108"/>
      <c r="BAU117" s="108"/>
      <c r="BAV117" s="108"/>
      <c r="BAW117" s="108"/>
      <c r="BAX117" s="108"/>
      <c r="BAY117" s="108"/>
      <c r="BAZ117" s="108"/>
      <c r="BBA117" s="108"/>
      <c r="BBB117" s="108"/>
      <c r="BBC117" s="108"/>
      <c r="BBD117" s="108"/>
      <c r="BBE117" s="108"/>
      <c r="BBF117" s="108"/>
      <c r="BBG117" s="108"/>
      <c r="BBH117" s="108"/>
      <c r="BBI117" s="108"/>
      <c r="BBJ117" s="108"/>
      <c r="BBK117" s="108"/>
      <c r="BBL117" s="108"/>
      <c r="BBM117" s="108"/>
      <c r="BBN117" s="108"/>
      <c r="BBO117" s="108"/>
      <c r="BBP117" s="108"/>
      <c r="BBQ117" s="108"/>
      <c r="BBR117" s="108"/>
      <c r="BBS117" s="108"/>
      <c r="BBT117" s="108"/>
      <c r="BBU117" s="108"/>
      <c r="BBV117" s="108"/>
      <c r="BBW117" s="108"/>
      <c r="BBX117" s="108"/>
      <c r="BBY117" s="108"/>
      <c r="BBZ117" s="108"/>
      <c r="BCA117" s="108"/>
      <c r="BCB117" s="108"/>
      <c r="BCC117" s="108"/>
      <c r="BCD117" s="108"/>
      <c r="BCE117" s="108"/>
      <c r="BCF117" s="108"/>
      <c r="BCG117" s="108"/>
      <c r="BCH117" s="108"/>
      <c r="BCI117" s="108"/>
      <c r="BCJ117" s="108"/>
      <c r="BCK117" s="108"/>
      <c r="BCL117" s="108"/>
      <c r="BCM117" s="108"/>
      <c r="BCN117" s="108"/>
      <c r="BCO117" s="108"/>
      <c r="BCP117" s="108"/>
      <c r="BCQ117" s="108"/>
      <c r="BCR117" s="108"/>
      <c r="BCS117" s="108"/>
      <c r="BCT117" s="108"/>
      <c r="BCU117" s="108"/>
      <c r="BCV117" s="108"/>
      <c r="BCW117" s="108"/>
      <c r="BCX117" s="108"/>
      <c r="BCY117" s="108"/>
      <c r="BCZ117" s="108"/>
      <c r="BDA117" s="108"/>
      <c r="BDB117" s="108"/>
      <c r="BDC117" s="108"/>
      <c r="BDD117" s="108"/>
      <c r="BDE117" s="108"/>
      <c r="BDF117" s="108"/>
      <c r="BDG117" s="108"/>
      <c r="BDH117" s="108"/>
      <c r="BDI117" s="108"/>
      <c r="BDJ117" s="108"/>
      <c r="BDK117" s="108"/>
      <c r="BDL117" s="108"/>
      <c r="BDM117" s="108"/>
      <c r="BDN117" s="108"/>
      <c r="BDO117" s="108"/>
      <c r="BDP117" s="108"/>
      <c r="BDQ117" s="108"/>
      <c r="BDR117" s="108"/>
      <c r="BDS117" s="108"/>
      <c r="BDT117" s="108"/>
      <c r="BDU117" s="108"/>
      <c r="BDV117" s="108"/>
      <c r="BDW117" s="108"/>
      <c r="BDX117" s="108"/>
      <c r="BDY117" s="108"/>
      <c r="BDZ117" s="108"/>
      <c r="BEA117" s="108"/>
      <c r="BEB117" s="108"/>
      <c r="BEC117" s="108"/>
      <c r="BED117" s="108"/>
      <c r="BEE117" s="108"/>
      <c r="BEF117" s="108"/>
      <c r="BEG117" s="108"/>
      <c r="BEH117" s="108"/>
      <c r="BEI117" s="108"/>
      <c r="BEJ117" s="108"/>
      <c r="BEK117" s="108"/>
      <c r="BEL117" s="108"/>
      <c r="BEM117" s="108"/>
      <c r="BEN117" s="108"/>
      <c r="BEO117" s="108"/>
      <c r="BEP117" s="108"/>
      <c r="BEQ117" s="108"/>
      <c r="BER117" s="108"/>
      <c r="BES117" s="108"/>
      <c r="BET117" s="108"/>
      <c r="BEU117" s="108"/>
      <c r="BEV117" s="108"/>
      <c r="BEW117" s="108"/>
      <c r="BEX117" s="108"/>
      <c r="BEY117" s="108"/>
      <c r="BEZ117" s="108"/>
      <c r="BFA117" s="108"/>
      <c r="BFB117" s="108"/>
      <c r="BFC117" s="108"/>
      <c r="BFD117" s="108"/>
      <c r="BFE117" s="108"/>
      <c r="BFF117" s="108"/>
      <c r="BFG117" s="108"/>
      <c r="BFH117" s="108"/>
      <c r="BFI117" s="108"/>
      <c r="BFJ117" s="108"/>
      <c r="BFK117" s="108"/>
      <c r="BFL117" s="108"/>
      <c r="BFM117" s="108"/>
      <c r="BFN117" s="108"/>
      <c r="BFO117" s="108"/>
      <c r="BFP117" s="108"/>
      <c r="BFQ117" s="108"/>
      <c r="BFR117" s="108"/>
      <c r="BFS117" s="108"/>
      <c r="BFT117" s="108"/>
      <c r="BFU117" s="108"/>
      <c r="BFV117" s="108"/>
      <c r="BFW117" s="108"/>
      <c r="BFX117" s="108"/>
      <c r="BFY117" s="108"/>
      <c r="BFZ117" s="108"/>
      <c r="BGA117" s="108"/>
      <c r="BGB117" s="108"/>
      <c r="BGC117" s="108"/>
      <c r="BGD117" s="108"/>
      <c r="BGE117" s="108"/>
      <c r="BGF117" s="108"/>
      <c r="BGG117" s="108"/>
      <c r="BGH117" s="108"/>
      <c r="BGI117" s="108"/>
      <c r="BGJ117" s="108"/>
      <c r="BGK117" s="108"/>
      <c r="BGL117" s="108"/>
      <c r="BGM117" s="108"/>
      <c r="BGN117" s="108"/>
      <c r="BGO117" s="108"/>
      <c r="BGP117" s="108"/>
      <c r="BGQ117" s="108"/>
      <c r="BGR117" s="108"/>
      <c r="BGS117" s="108"/>
      <c r="BGT117" s="108"/>
      <c r="BGU117" s="108"/>
      <c r="BGV117" s="108"/>
      <c r="BGW117" s="108"/>
      <c r="BGX117" s="108"/>
      <c r="BGY117" s="108"/>
      <c r="BGZ117" s="108"/>
      <c r="BHA117" s="108"/>
      <c r="BHB117" s="108"/>
      <c r="BHC117" s="108"/>
      <c r="BHD117" s="108"/>
      <c r="BHE117" s="108"/>
      <c r="BHF117" s="108"/>
      <c r="BHG117" s="108"/>
      <c r="BHH117" s="108"/>
      <c r="BHI117" s="108"/>
      <c r="BHJ117" s="108"/>
      <c r="BHK117" s="108"/>
      <c r="BHL117" s="108"/>
      <c r="BHM117" s="108"/>
      <c r="BHN117" s="108"/>
      <c r="BHO117" s="108"/>
      <c r="BHP117" s="108"/>
      <c r="BHQ117" s="108"/>
      <c r="BHR117" s="108"/>
      <c r="BHS117" s="108"/>
      <c r="BHT117" s="108"/>
      <c r="BHU117" s="108"/>
      <c r="BHV117" s="108"/>
      <c r="BHW117" s="108"/>
      <c r="BHX117" s="108"/>
      <c r="BHY117" s="108"/>
      <c r="BHZ117" s="108"/>
      <c r="BIA117" s="108"/>
      <c r="BIB117" s="108"/>
      <c r="BIC117" s="108"/>
      <c r="BID117" s="108"/>
      <c r="BIE117" s="108"/>
      <c r="BIF117" s="108"/>
      <c r="BIG117" s="108"/>
      <c r="BIH117" s="108"/>
      <c r="BII117" s="108"/>
      <c r="BIJ117" s="108"/>
      <c r="BIK117" s="108"/>
      <c r="BIL117" s="108"/>
      <c r="BIM117" s="108"/>
      <c r="BIN117" s="108"/>
      <c r="BIO117" s="108"/>
      <c r="BIP117" s="108"/>
      <c r="BIQ117" s="108"/>
      <c r="BIR117" s="108"/>
      <c r="BIS117" s="108"/>
      <c r="BIT117" s="108"/>
      <c r="BIU117" s="108"/>
      <c r="BIV117" s="108"/>
      <c r="BIW117" s="108"/>
      <c r="BIX117" s="108"/>
      <c r="BIY117" s="108"/>
      <c r="BIZ117" s="108"/>
      <c r="BJA117" s="108"/>
      <c r="BJB117" s="108"/>
      <c r="BJC117" s="108"/>
      <c r="BJD117" s="108"/>
      <c r="BJE117" s="108"/>
      <c r="BJF117" s="108"/>
      <c r="BJG117" s="108"/>
      <c r="BJH117" s="108"/>
      <c r="BJI117" s="108"/>
      <c r="BJJ117" s="108"/>
      <c r="BJK117" s="108"/>
      <c r="BJL117" s="108"/>
      <c r="BJM117" s="108"/>
      <c r="BJN117" s="108"/>
      <c r="BJO117" s="108"/>
      <c r="BJP117" s="108"/>
      <c r="BJQ117" s="108"/>
      <c r="BJR117" s="108"/>
      <c r="BJS117" s="108"/>
      <c r="BJT117" s="108"/>
      <c r="BJU117" s="108"/>
      <c r="BJV117" s="108"/>
      <c r="BJW117" s="108"/>
      <c r="BJX117" s="108"/>
      <c r="BJY117" s="108"/>
      <c r="BJZ117" s="108"/>
      <c r="BKA117" s="108"/>
      <c r="BKB117" s="108"/>
      <c r="BKC117" s="108"/>
      <c r="BKD117" s="108"/>
      <c r="BKE117" s="108"/>
      <c r="BKF117" s="108"/>
      <c r="BKG117" s="108"/>
      <c r="BKH117" s="108"/>
      <c r="BKI117" s="108"/>
      <c r="BKJ117" s="108"/>
      <c r="BKK117" s="108"/>
      <c r="BKL117" s="108"/>
      <c r="BKM117" s="108"/>
      <c r="BKN117" s="108"/>
      <c r="BKO117" s="108"/>
      <c r="BKP117" s="108"/>
      <c r="BKQ117" s="108"/>
      <c r="BKR117" s="108"/>
      <c r="BKS117" s="108"/>
      <c r="BKT117" s="108"/>
      <c r="BKU117" s="108"/>
      <c r="BKV117" s="108"/>
      <c r="BKW117" s="108"/>
      <c r="BKX117" s="108"/>
      <c r="BKY117" s="108"/>
      <c r="BKZ117" s="108"/>
      <c r="BLA117" s="108"/>
      <c r="BLB117" s="108"/>
      <c r="BLC117" s="108"/>
      <c r="BLD117" s="108"/>
      <c r="BLE117" s="108"/>
      <c r="BLF117" s="108"/>
      <c r="BLG117" s="108"/>
      <c r="BLH117" s="108"/>
      <c r="BLI117" s="108"/>
      <c r="BLJ117" s="108"/>
      <c r="BLK117" s="108"/>
      <c r="BLL117" s="108"/>
      <c r="BLM117" s="108"/>
      <c r="BLN117" s="108"/>
      <c r="BLO117" s="108"/>
      <c r="BLP117" s="108"/>
      <c r="BLQ117" s="108"/>
      <c r="BLR117" s="108"/>
      <c r="BLS117" s="108"/>
      <c r="BLT117" s="108"/>
      <c r="BLU117" s="108"/>
      <c r="BLV117" s="108"/>
      <c r="BLW117" s="108"/>
      <c r="BLX117" s="108"/>
      <c r="BLY117" s="108"/>
      <c r="BLZ117" s="108"/>
      <c r="BMA117" s="108"/>
      <c r="BMB117" s="108"/>
      <c r="BMC117" s="108"/>
      <c r="BMD117" s="108"/>
      <c r="BME117" s="108"/>
      <c r="BMF117" s="108"/>
      <c r="BMG117" s="108"/>
      <c r="BMH117" s="108"/>
      <c r="BMI117" s="108"/>
      <c r="BMJ117" s="108"/>
      <c r="BMK117" s="108"/>
      <c r="BML117" s="108"/>
      <c r="BMM117" s="108"/>
      <c r="BMN117" s="108"/>
      <c r="BMO117" s="108"/>
      <c r="BMP117" s="108"/>
      <c r="BMQ117" s="108"/>
      <c r="BMR117" s="108"/>
      <c r="BMS117" s="108"/>
      <c r="BMT117" s="108"/>
      <c r="BMU117" s="108"/>
      <c r="BMV117" s="108"/>
      <c r="BMW117" s="108"/>
      <c r="BMX117" s="108"/>
      <c r="BMY117" s="108"/>
      <c r="BMZ117" s="108"/>
      <c r="BNA117" s="108"/>
      <c r="BNB117" s="108"/>
      <c r="BNC117" s="108"/>
      <c r="BND117" s="108"/>
      <c r="BNE117" s="108"/>
      <c r="BNF117" s="108"/>
      <c r="BNG117" s="108"/>
      <c r="BNH117" s="108"/>
      <c r="BNI117" s="108"/>
      <c r="BNJ117" s="108"/>
      <c r="BNK117" s="108"/>
      <c r="BNL117" s="108"/>
      <c r="BNM117" s="108"/>
      <c r="BNN117" s="108"/>
      <c r="BNO117" s="108"/>
      <c r="BNP117" s="108"/>
      <c r="BNQ117" s="108"/>
      <c r="BNR117" s="108"/>
      <c r="BNS117" s="108"/>
      <c r="BNT117" s="108"/>
      <c r="BNU117" s="108"/>
      <c r="BNV117" s="108"/>
      <c r="BNW117" s="108"/>
      <c r="BNX117" s="108"/>
      <c r="BNY117" s="108"/>
      <c r="BNZ117" s="108"/>
      <c r="BOA117" s="108"/>
      <c r="BOB117" s="108"/>
      <c r="BOC117" s="108"/>
      <c r="BOD117" s="108"/>
      <c r="BOE117" s="108"/>
      <c r="BOF117" s="108"/>
      <c r="BOG117" s="108"/>
      <c r="BOH117" s="108"/>
      <c r="BOI117" s="108"/>
      <c r="BOJ117" s="108"/>
      <c r="BOK117" s="108"/>
      <c r="BOL117" s="108"/>
      <c r="BOM117" s="108"/>
      <c r="BON117" s="108"/>
      <c r="BOO117" s="108"/>
      <c r="BOP117" s="108"/>
      <c r="BOQ117" s="108"/>
      <c r="BOR117" s="108"/>
      <c r="BOS117" s="108"/>
      <c r="BOT117" s="108"/>
      <c r="BOU117" s="108"/>
      <c r="BOV117" s="108"/>
      <c r="BOW117" s="108"/>
      <c r="BOX117" s="108"/>
      <c r="BOY117" s="108"/>
      <c r="BOZ117" s="108"/>
      <c r="BPA117" s="108"/>
      <c r="BPB117" s="108"/>
      <c r="BPC117" s="108"/>
      <c r="BPD117" s="108"/>
      <c r="BPE117" s="108"/>
      <c r="BPF117" s="108"/>
      <c r="BPG117" s="108"/>
      <c r="BPH117" s="108"/>
      <c r="BPI117" s="108"/>
      <c r="BPJ117" s="108"/>
      <c r="BPK117" s="108"/>
      <c r="BPL117" s="108"/>
      <c r="BPM117" s="108"/>
      <c r="BPN117" s="108"/>
      <c r="BPO117" s="108"/>
      <c r="BPP117" s="108"/>
      <c r="BPQ117" s="108"/>
      <c r="BPR117" s="108"/>
      <c r="BPS117" s="108"/>
      <c r="BPT117" s="108"/>
      <c r="BPU117" s="108"/>
      <c r="BPV117" s="108"/>
      <c r="BPW117" s="108"/>
      <c r="BPX117" s="108"/>
      <c r="BPY117" s="108"/>
      <c r="BPZ117" s="108"/>
      <c r="BQA117" s="108"/>
      <c r="BQB117" s="108"/>
      <c r="BQC117" s="108"/>
      <c r="BQD117" s="108"/>
      <c r="BQE117" s="108"/>
      <c r="BQF117" s="108"/>
      <c r="BQG117" s="108"/>
      <c r="BQH117" s="108"/>
      <c r="BQI117" s="108"/>
      <c r="BQJ117" s="108"/>
      <c r="BQK117" s="108"/>
      <c r="BQL117" s="108"/>
      <c r="BQM117" s="108"/>
      <c r="BQN117" s="108"/>
      <c r="BQO117" s="108"/>
      <c r="BQP117" s="108"/>
      <c r="BQQ117" s="108"/>
      <c r="BQR117" s="108"/>
      <c r="BQS117" s="108"/>
      <c r="BQT117" s="108"/>
      <c r="BQU117" s="108"/>
      <c r="BQV117" s="108"/>
      <c r="BQW117" s="108"/>
      <c r="BQX117" s="108"/>
      <c r="BQY117" s="108"/>
      <c r="BQZ117" s="108"/>
      <c r="BRA117" s="108"/>
      <c r="BRB117" s="108"/>
      <c r="BRC117" s="108"/>
      <c r="BRD117" s="108"/>
      <c r="BRE117" s="108"/>
      <c r="BRF117" s="108"/>
      <c r="BRG117" s="108"/>
      <c r="BRH117" s="108"/>
      <c r="BRI117" s="108"/>
      <c r="BRJ117" s="108"/>
      <c r="BRK117" s="108"/>
      <c r="BRL117" s="108"/>
      <c r="BRM117" s="108"/>
      <c r="BRN117" s="108"/>
      <c r="BRO117" s="108"/>
      <c r="BRP117" s="108"/>
      <c r="BRQ117" s="108"/>
      <c r="BRR117" s="108"/>
      <c r="BRS117" s="108"/>
      <c r="BRT117" s="108"/>
      <c r="BRU117" s="108"/>
      <c r="BRV117" s="108"/>
      <c r="BRW117" s="108"/>
      <c r="BRX117" s="108"/>
      <c r="BRY117" s="108"/>
      <c r="BRZ117" s="108"/>
      <c r="BSA117" s="108"/>
      <c r="BSB117" s="108"/>
      <c r="BSC117" s="108"/>
      <c r="BSD117" s="108"/>
      <c r="BSE117" s="108"/>
      <c r="BSF117" s="108"/>
      <c r="BSG117" s="108"/>
      <c r="BSH117" s="108"/>
      <c r="BSI117" s="108"/>
      <c r="BSJ117" s="108"/>
      <c r="BSK117" s="108"/>
      <c r="BSL117" s="108"/>
      <c r="BSM117" s="108"/>
      <c r="BSN117" s="108"/>
      <c r="BSO117" s="108"/>
      <c r="BSP117" s="108"/>
      <c r="BSQ117" s="108"/>
      <c r="BSR117" s="108"/>
      <c r="BSS117" s="108"/>
      <c r="BST117" s="108"/>
      <c r="BSU117" s="108"/>
      <c r="BSV117" s="108"/>
      <c r="BSW117" s="108"/>
      <c r="BSX117" s="108"/>
      <c r="BSY117" s="108"/>
      <c r="BSZ117" s="108"/>
      <c r="BTA117" s="108"/>
      <c r="BTB117" s="108"/>
      <c r="BTC117" s="108"/>
      <c r="BTD117" s="108"/>
      <c r="BTE117" s="108"/>
      <c r="BTF117" s="108"/>
      <c r="BTG117" s="108"/>
      <c r="BTH117" s="108"/>
      <c r="BTI117" s="108"/>
      <c r="BTJ117" s="108"/>
      <c r="BTK117" s="108"/>
      <c r="BTL117" s="108"/>
      <c r="BTM117" s="108"/>
      <c r="BTN117" s="108"/>
      <c r="BTO117" s="108"/>
      <c r="BTP117" s="108"/>
      <c r="BTQ117" s="108"/>
      <c r="BTR117" s="108"/>
      <c r="BTS117" s="108"/>
      <c r="BTT117" s="108"/>
      <c r="BTU117" s="108"/>
      <c r="BTV117" s="108"/>
      <c r="BTW117" s="108"/>
      <c r="BTX117" s="108"/>
      <c r="BTY117" s="108"/>
      <c r="BTZ117" s="108"/>
      <c r="BUA117" s="108"/>
      <c r="BUB117" s="108"/>
      <c r="BUC117" s="108"/>
      <c r="BUD117" s="108"/>
      <c r="BUE117" s="108"/>
      <c r="BUF117" s="108"/>
      <c r="BUG117" s="108"/>
      <c r="BUH117" s="108"/>
      <c r="BUI117" s="108"/>
      <c r="BUJ117" s="108"/>
      <c r="BUK117" s="108"/>
      <c r="BUL117" s="108"/>
      <c r="BUM117" s="108"/>
      <c r="BUN117" s="108"/>
      <c r="BUO117" s="108"/>
      <c r="BUP117" s="108"/>
      <c r="BUQ117" s="108"/>
      <c r="BUR117" s="108"/>
      <c r="BUS117" s="108"/>
      <c r="BUT117" s="108"/>
      <c r="BUU117" s="108"/>
      <c r="BUV117" s="108"/>
      <c r="BUW117" s="108"/>
      <c r="BUX117" s="108"/>
      <c r="BUY117" s="108"/>
      <c r="BUZ117" s="108"/>
      <c r="BVA117" s="108"/>
      <c r="BVB117" s="108"/>
      <c r="BVC117" s="108"/>
      <c r="BVD117" s="108"/>
      <c r="BVE117" s="108"/>
      <c r="BVF117" s="108"/>
      <c r="BVG117" s="108"/>
      <c r="BVH117" s="108"/>
      <c r="BVI117" s="108"/>
      <c r="BVJ117" s="108"/>
      <c r="BVK117" s="108"/>
      <c r="BVL117" s="108"/>
      <c r="BVM117" s="108"/>
      <c r="BVN117" s="108"/>
      <c r="BVO117" s="108"/>
      <c r="BVP117" s="108"/>
      <c r="BVQ117" s="108"/>
      <c r="BVR117" s="108"/>
      <c r="BVS117" s="108"/>
      <c r="BVT117" s="108"/>
      <c r="BVU117" s="108"/>
      <c r="BVV117" s="108"/>
      <c r="BVW117" s="108"/>
      <c r="BVX117" s="108"/>
      <c r="BVY117" s="108"/>
      <c r="BVZ117" s="108"/>
      <c r="BWA117" s="108"/>
      <c r="BWB117" s="108"/>
      <c r="BWC117" s="108"/>
      <c r="BWD117" s="108"/>
      <c r="BWE117" s="108"/>
      <c r="BWF117" s="108"/>
      <c r="BWG117" s="108"/>
      <c r="BWH117" s="108"/>
      <c r="BWI117" s="108"/>
      <c r="BWJ117" s="108"/>
      <c r="BWK117" s="108"/>
      <c r="BWL117" s="108"/>
      <c r="BWM117" s="108"/>
      <c r="BWN117" s="108"/>
      <c r="BWO117" s="108"/>
      <c r="BWP117" s="108"/>
      <c r="BWQ117" s="108"/>
      <c r="BWR117" s="108"/>
      <c r="BWS117" s="108"/>
      <c r="BWT117" s="108"/>
      <c r="BWU117" s="108"/>
      <c r="BWV117" s="108"/>
      <c r="BWW117" s="108"/>
      <c r="BWX117" s="108"/>
      <c r="BWY117" s="108"/>
      <c r="BWZ117" s="108"/>
      <c r="BXA117" s="108"/>
      <c r="BXB117" s="108"/>
      <c r="BXC117" s="108"/>
      <c r="BXD117" s="108"/>
      <c r="BXE117" s="108"/>
      <c r="BXF117" s="108"/>
      <c r="BXG117" s="108"/>
      <c r="BXH117" s="108"/>
      <c r="BXI117" s="108"/>
      <c r="BXJ117" s="108"/>
      <c r="BXK117" s="108"/>
      <c r="BXL117" s="108"/>
      <c r="BXM117" s="108"/>
      <c r="BXN117" s="108"/>
      <c r="BXO117" s="108"/>
      <c r="BXP117" s="108"/>
      <c r="BXQ117" s="108"/>
      <c r="BXR117" s="108"/>
      <c r="BXS117" s="108"/>
      <c r="BXT117" s="108"/>
      <c r="BXU117" s="108"/>
      <c r="BXV117" s="108"/>
      <c r="BXW117" s="108"/>
      <c r="BXX117" s="108"/>
      <c r="BXY117" s="108"/>
      <c r="BXZ117" s="108"/>
      <c r="BYA117" s="108"/>
      <c r="BYB117" s="108"/>
      <c r="BYC117" s="108"/>
      <c r="BYD117" s="108"/>
      <c r="BYE117" s="108"/>
      <c r="BYF117" s="108"/>
      <c r="BYG117" s="108"/>
      <c r="BYH117" s="108"/>
      <c r="BYI117" s="108"/>
      <c r="BYJ117" s="108"/>
      <c r="BYK117" s="108"/>
      <c r="BYL117" s="108"/>
      <c r="BYM117" s="108"/>
      <c r="BYN117" s="108"/>
      <c r="BYO117" s="108"/>
      <c r="BYP117" s="108"/>
      <c r="BYQ117" s="108"/>
      <c r="BYR117" s="108"/>
      <c r="BYS117" s="108"/>
      <c r="BYT117" s="108"/>
      <c r="BYU117" s="108"/>
      <c r="BYV117" s="108"/>
      <c r="BYW117" s="108"/>
      <c r="BYX117" s="108"/>
      <c r="BYY117" s="108"/>
      <c r="BYZ117" s="108"/>
      <c r="BZA117" s="108"/>
      <c r="BZB117" s="108"/>
      <c r="BZC117" s="108"/>
      <c r="BZD117" s="108"/>
      <c r="BZE117" s="108"/>
      <c r="BZF117" s="108"/>
      <c r="BZG117" s="108"/>
      <c r="BZH117" s="108"/>
      <c r="BZI117" s="108"/>
      <c r="BZJ117" s="108"/>
      <c r="BZK117" s="108"/>
      <c r="BZL117" s="108"/>
      <c r="BZM117" s="108"/>
      <c r="BZN117" s="108"/>
      <c r="BZO117" s="108"/>
      <c r="BZP117" s="108"/>
      <c r="BZQ117" s="108"/>
      <c r="BZR117" s="108"/>
      <c r="BZS117" s="108"/>
      <c r="BZT117" s="108"/>
      <c r="BZU117" s="108"/>
      <c r="BZV117" s="108"/>
      <c r="BZW117" s="108"/>
      <c r="BZX117" s="108"/>
      <c r="BZY117" s="108"/>
      <c r="BZZ117" s="108"/>
      <c r="CAA117" s="108"/>
      <c r="CAB117" s="108"/>
      <c r="CAC117" s="108"/>
      <c r="CAD117" s="108"/>
      <c r="CAE117" s="108"/>
      <c r="CAF117" s="108"/>
      <c r="CAG117" s="108"/>
      <c r="CAH117" s="108"/>
      <c r="CAI117" s="108"/>
      <c r="CAJ117" s="108"/>
      <c r="CAK117" s="108"/>
      <c r="CAL117" s="108"/>
      <c r="CAM117" s="108"/>
      <c r="CAN117" s="108"/>
      <c r="CAO117" s="108"/>
      <c r="CAP117" s="108"/>
      <c r="CAQ117" s="108"/>
      <c r="CAR117" s="108"/>
      <c r="CAS117" s="108"/>
      <c r="CAT117" s="108"/>
      <c r="CAU117" s="108"/>
      <c r="CAV117" s="108"/>
      <c r="CAW117" s="108"/>
      <c r="CAX117" s="108"/>
      <c r="CAY117" s="108"/>
      <c r="CAZ117" s="108"/>
      <c r="CBA117" s="108"/>
      <c r="CBB117" s="108"/>
      <c r="CBC117" s="108"/>
      <c r="CBD117" s="108"/>
      <c r="CBE117" s="108"/>
      <c r="CBF117" s="108"/>
      <c r="CBG117" s="108"/>
      <c r="CBH117" s="108"/>
      <c r="CBI117" s="108"/>
      <c r="CBJ117" s="108"/>
      <c r="CBK117" s="108"/>
      <c r="CBL117" s="108"/>
      <c r="CBM117" s="108"/>
      <c r="CBN117" s="108"/>
      <c r="CBO117" s="108"/>
      <c r="CBP117" s="108"/>
      <c r="CBQ117" s="108"/>
      <c r="CBR117" s="108"/>
      <c r="CBS117" s="108"/>
      <c r="CBT117" s="108"/>
      <c r="CBU117" s="108"/>
      <c r="CBV117" s="108"/>
      <c r="CBW117" s="108"/>
      <c r="CBX117" s="108"/>
      <c r="CBY117" s="108"/>
      <c r="CBZ117" s="108"/>
      <c r="CCA117" s="108"/>
      <c r="CCB117" s="108"/>
      <c r="CCC117" s="108"/>
      <c r="CCD117" s="108"/>
      <c r="CCE117" s="108"/>
      <c r="CCF117" s="108"/>
      <c r="CCG117" s="108"/>
      <c r="CCH117" s="108"/>
      <c r="CCI117" s="108"/>
      <c r="CCJ117" s="108"/>
      <c r="CCK117" s="108"/>
      <c r="CCL117" s="108"/>
      <c r="CCM117" s="108"/>
      <c r="CCN117" s="108"/>
      <c r="CCO117" s="108"/>
      <c r="CCP117" s="108"/>
      <c r="CCQ117" s="108"/>
      <c r="CCR117" s="108"/>
      <c r="CCS117" s="108"/>
      <c r="CCT117" s="108"/>
      <c r="CCU117" s="108"/>
      <c r="CCV117" s="108"/>
      <c r="CCW117" s="108"/>
      <c r="CCX117" s="108"/>
      <c r="CCY117" s="108"/>
      <c r="CCZ117" s="108"/>
      <c r="CDA117" s="108"/>
      <c r="CDB117" s="108"/>
      <c r="CDC117" s="108"/>
      <c r="CDD117" s="108"/>
      <c r="CDE117" s="108"/>
      <c r="CDF117" s="108"/>
      <c r="CDG117" s="108"/>
      <c r="CDH117" s="108"/>
      <c r="CDI117" s="108"/>
      <c r="CDJ117" s="108"/>
      <c r="CDK117" s="108"/>
      <c r="CDL117" s="108"/>
      <c r="CDM117" s="108"/>
      <c r="CDN117" s="108"/>
      <c r="CDO117" s="108"/>
      <c r="CDP117" s="108"/>
      <c r="CDQ117" s="108"/>
      <c r="CDR117" s="108"/>
      <c r="CDS117" s="108"/>
      <c r="CDT117" s="108"/>
      <c r="CDU117" s="108"/>
      <c r="CDV117" s="108"/>
      <c r="CDW117" s="108"/>
      <c r="CDX117" s="108"/>
      <c r="CDY117" s="108"/>
      <c r="CDZ117" s="108"/>
      <c r="CEA117" s="108"/>
      <c r="CEB117" s="108"/>
      <c r="CEC117" s="108"/>
      <c r="CED117" s="108"/>
      <c r="CEE117" s="108"/>
      <c r="CEF117" s="108"/>
      <c r="CEG117" s="108"/>
      <c r="CEH117" s="108"/>
      <c r="CEI117" s="108"/>
      <c r="CEJ117" s="108"/>
      <c r="CEK117" s="108"/>
      <c r="CEL117" s="108"/>
      <c r="CEM117" s="108"/>
      <c r="CEN117" s="108"/>
      <c r="CEO117" s="108"/>
      <c r="CEP117" s="108"/>
      <c r="CEQ117" s="108"/>
      <c r="CER117" s="108"/>
      <c r="CES117" s="108"/>
      <c r="CET117" s="108"/>
      <c r="CEU117" s="108"/>
      <c r="CEV117" s="108"/>
      <c r="CEW117" s="108"/>
      <c r="CEX117" s="108"/>
      <c r="CEY117" s="108"/>
      <c r="CEZ117" s="108"/>
      <c r="CFA117" s="108"/>
      <c r="CFB117" s="108"/>
      <c r="CFC117" s="108"/>
      <c r="CFD117" s="108"/>
      <c r="CFE117" s="108"/>
      <c r="CFF117" s="108"/>
      <c r="CFG117" s="108"/>
      <c r="CFH117" s="108"/>
      <c r="CFI117" s="108"/>
      <c r="CFJ117" s="108"/>
      <c r="CFK117" s="108"/>
      <c r="CFL117" s="108"/>
      <c r="CFM117" s="108"/>
      <c r="CFN117" s="108"/>
      <c r="CFO117" s="108"/>
      <c r="CFP117" s="108"/>
      <c r="CFQ117" s="108"/>
      <c r="CFR117" s="108"/>
      <c r="CFS117" s="108"/>
      <c r="CFT117" s="108"/>
      <c r="CFU117" s="108"/>
      <c r="CFV117" s="108"/>
      <c r="CFW117" s="108"/>
      <c r="CFX117" s="108"/>
      <c r="CFY117" s="108"/>
      <c r="CFZ117" s="108"/>
      <c r="CGA117" s="108"/>
      <c r="CGB117" s="108"/>
      <c r="CGC117" s="108"/>
      <c r="CGD117" s="108"/>
      <c r="CGE117" s="108"/>
      <c r="CGF117" s="108"/>
      <c r="CGG117" s="108"/>
      <c r="CGH117" s="108"/>
      <c r="CGI117" s="108"/>
      <c r="CGJ117" s="108"/>
      <c r="CGK117" s="108"/>
      <c r="CGL117" s="108"/>
      <c r="CGM117" s="108"/>
      <c r="CGN117" s="108"/>
      <c r="CGO117" s="108"/>
      <c r="CGP117" s="108"/>
      <c r="CGQ117" s="108"/>
      <c r="CGR117" s="108"/>
      <c r="CGS117" s="108"/>
      <c r="CGT117" s="108"/>
      <c r="CGU117" s="108"/>
      <c r="CGV117" s="108"/>
      <c r="CGW117" s="108"/>
      <c r="CGX117" s="108"/>
      <c r="CGY117" s="108"/>
      <c r="CGZ117" s="108"/>
      <c r="CHA117" s="108"/>
      <c r="CHB117" s="108"/>
      <c r="CHC117" s="108"/>
      <c r="CHD117" s="108"/>
      <c r="CHE117" s="108"/>
      <c r="CHF117" s="108"/>
      <c r="CHG117" s="108"/>
      <c r="CHH117" s="108"/>
      <c r="CHI117" s="108"/>
      <c r="CHJ117" s="108"/>
      <c r="CHK117" s="108"/>
      <c r="CHL117" s="108"/>
      <c r="CHM117" s="108"/>
      <c r="CHN117" s="108"/>
      <c r="CHO117" s="108"/>
      <c r="CHP117" s="108"/>
      <c r="CHQ117" s="108"/>
      <c r="CHR117" s="108"/>
      <c r="CHS117" s="108"/>
      <c r="CHT117" s="108"/>
      <c r="CHU117" s="108"/>
      <c r="CHV117" s="108"/>
      <c r="CHW117" s="108"/>
      <c r="CHX117" s="108"/>
      <c r="CHY117" s="108"/>
      <c r="CHZ117" s="108"/>
      <c r="CIA117" s="108"/>
      <c r="CIB117" s="108"/>
      <c r="CIC117" s="108"/>
      <c r="CID117" s="108"/>
      <c r="CIE117" s="108"/>
      <c r="CIF117" s="108"/>
      <c r="CIG117" s="108"/>
      <c r="CIH117" s="108"/>
      <c r="CII117" s="108"/>
      <c r="CIJ117" s="108"/>
      <c r="CIK117" s="108"/>
      <c r="CIL117" s="108"/>
      <c r="CIM117" s="108"/>
      <c r="CIN117" s="108"/>
      <c r="CIO117" s="108"/>
      <c r="CIP117" s="108"/>
      <c r="CIQ117" s="108"/>
      <c r="CIR117" s="108"/>
      <c r="CIS117" s="108"/>
      <c r="CIT117" s="108"/>
      <c r="CIU117" s="108"/>
      <c r="CIV117" s="108"/>
      <c r="CIW117" s="108"/>
      <c r="CIX117" s="108"/>
      <c r="CIY117" s="108"/>
      <c r="CIZ117" s="108"/>
      <c r="CJA117" s="108"/>
      <c r="CJB117" s="108"/>
      <c r="CJC117" s="108"/>
      <c r="CJD117" s="108"/>
      <c r="CJE117" s="108"/>
      <c r="CJF117" s="108"/>
      <c r="CJG117" s="108"/>
      <c r="CJH117" s="108"/>
      <c r="CJI117" s="108"/>
      <c r="CJJ117" s="108"/>
      <c r="CJK117" s="108"/>
      <c r="CJL117" s="108"/>
      <c r="CJM117" s="108"/>
      <c r="CJN117" s="108"/>
      <c r="CJO117" s="108"/>
      <c r="CJP117" s="108"/>
      <c r="CJQ117" s="108"/>
      <c r="CJR117" s="108"/>
      <c r="CJS117" s="108"/>
      <c r="CJT117" s="108"/>
      <c r="CJU117" s="108"/>
      <c r="CJV117" s="108"/>
      <c r="CJW117" s="108"/>
      <c r="CJX117" s="108"/>
      <c r="CJY117" s="108"/>
      <c r="CJZ117" s="108"/>
      <c r="CKA117" s="108"/>
      <c r="CKB117" s="108"/>
      <c r="CKC117" s="108"/>
      <c r="CKD117" s="108"/>
      <c r="CKE117" s="108"/>
      <c r="CKF117" s="108"/>
      <c r="CKG117" s="108"/>
      <c r="CKH117" s="108"/>
      <c r="CKI117" s="108"/>
      <c r="CKJ117" s="108"/>
      <c r="CKK117" s="108"/>
      <c r="CKL117" s="108"/>
      <c r="CKM117" s="108"/>
      <c r="CKN117" s="108"/>
      <c r="CKO117" s="108"/>
      <c r="CKP117" s="108"/>
      <c r="CKQ117" s="108"/>
      <c r="CKR117" s="108"/>
      <c r="CKS117" s="108"/>
      <c r="CKT117" s="108"/>
      <c r="CKU117" s="108"/>
      <c r="CKV117" s="108"/>
      <c r="CKW117" s="108"/>
      <c r="CKX117" s="108"/>
      <c r="CKY117" s="108"/>
      <c r="CKZ117" s="108"/>
      <c r="CLA117" s="108"/>
      <c r="CLB117" s="108"/>
      <c r="CLC117" s="108"/>
      <c r="CLD117" s="108"/>
      <c r="CLE117" s="108"/>
      <c r="CLF117" s="108"/>
      <c r="CLG117" s="108"/>
      <c r="CLH117" s="108"/>
      <c r="CLI117" s="108"/>
      <c r="CLJ117" s="108"/>
      <c r="CLK117" s="108"/>
      <c r="CLL117" s="108"/>
      <c r="CLM117" s="108"/>
      <c r="CLN117" s="108"/>
      <c r="CLO117" s="108"/>
      <c r="CLP117" s="108"/>
      <c r="CLQ117" s="108"/>
      <c r="CLR117" s="108"/>
      <c r="CLS117" s="108"/>
      <c r="CLT117" s="108"/>
      <c r="CLU117" s="108"/>
      <c r="CLV117" s="108"/>
      <c r="CLW117" s="108"/>
      <c r="CLX117" s="108"/>
      <c r="CLY117" s="108"/>
      <c r="CLZ117" s="108"/>
      <c r="CMA117" s="108"/>
      <c r="CMB117" s="108"/>
      <c r="CMC117" s="108"/>
      <c r="CMD117" s="108"/>
      <c r="CME117" s="108"/>
      <c r="CMF117" s="108"/>
      <c r="CMG117" s="108"/>
      <c r="CMH117" s="108"/>
      <c r="CMI117" s="108"/>
      <c r="CMJ117" s="108"/>
      <c r="CMK117" s="108"/>
      <c r="CML117" s="108"/>
      <c r="CMM117" s="108"/>
      <c r="CMN117" s="108"/>
      <c r="CMO117" s="108"/>
      <c r="CMP117" s="108"/>
      <c r="CMQ117" s="108"/>
      <c r="CMR117" s="108"/>
      <c r="CMS117" s="108"/>
      <c r="CMT117" s="108"/>
      <c r="CMU117" s="108"/>
      <c r="CMV117" s="108"/>
      <c r="CMW117" s="108"/>
      <c r="CMX117" s="108"/>
      <c r="CMY117" s="108"/>
      <c r="CMZ117" s="108"/>
      <c r="CNA117" s="108"/>
      <c r="CNB117" s="108"/>
      <c r="CNC117" s="108"/>
      <c r="CND117" s="108"/>
      <c r="CNE117" s="108"/>
      <c r="CNF117" s="108"/>
      <c r="CNG117" s="108"/>
      <c r="CNH117" s="108"/>
      <c r="CNI117" s="108"/>
      <c r="CNJ117" s="108"/>
      <c r="CNK117" s="108"/>
      <c r="CNL117" s="108"/>
      <c r="CNM117" s="108"/>
      <c r="CNN117" s="108"/>
      <c r="CNO117" s="108"/>
      <c r="CNP117" s="108"/>
      <c r="CNQ117" s="108"/>
      <c r="CNR117" s="108"/>
      <c r="CNS117" s="108"/>
      <c r="CNT117" s="108"/>
      <c r="CNU117" s="108"/>
      <c r="CNV117" s="108"/>
      <c r="CNW117" s="108"/>
      <c r="CNX117" s="108"/>
      <c r="CNY117" s="108"/>
      <c r="CNZ117" s="108"/>
      <c r="COA117" s="108"/>
      <c r="COB117" s="108"/>
      <c r="COC117" s="108"/>
      <c r="COD117" s="108"/>
      <c r="COE117" s="108"/>
      <c r="COF117" s="108"/>
      <c r="COG117" s="108"/>
      <c r="COH117" s="108"/>
      <c r="COI117" s="108"/>
      <c r="COJ117" s="108"/>
      <c r="COK117" s="108"/>
      <c r="COL117" s="108"/>
      <c r="COM117" s="108"/>
      <c r="CON117" s="108"/>
      <c r="COO117" s="108"/>
      <c r="COP117" s="108"/>
      <c r="COQ117" s="108"/>
      <c r="COR117" s="108"/>
      <c r="COS117" s="108"/>
      <c r="COT117" s="108"/>
      <c r="COU117" s="108"/>
      <c r="COV117" s="108"/>
      <c r="COW117" s="108"/>
      <c r="COX117" s="108"/>
      <c r="COY117" s="108"/>
      <c r="COZ117" s="108"/>
      <c r="CPA117" s="108"/>
      <c r="CPB117" s="108"/>
      <c r="CPC117" s="108"/>
      <c r="CPD117" s="108"/>
      <c r="CPE117" s="108"/>
      <c r="CPF117" s="108"/>
      <c r="CPG117" s="108"/>
      <c r="CPH117" s="108"/>
      <c r="CPI117" s="108"/>
      <c r="CPJ117" s="108"/>
      <c r="CPK117" s="108"/>
      <c r="CPL117" s="108"/>
      <c r="CPM117" s="108"/>
      <c r="CPN117" s="108"/>
      <c r="CPO117" s="108"/>
      <c r="CPP117" s="108"/>
      <c r="CPQ117" s="108"/>
      <c r="CPR117" s="108"/>
      <c r="CPS117" s="108"/>
      <c r="CPT117" s="108"/>
      <c r="CPU117" s="108"/>
      <c r="CPV117" s="108"/>
      <c r="CPW117" s="108"/>
      <c r="CPX117" s="108"/>
      <c r="CPY117" s="108"/>
      <c r="CPZ117" s="108"/>
      <c r="CQA117" s="108"/>
      <c r="CQB117" s="108"/>
      <c r="CQC117" s="108"/>
      <c r="CQD117" s="108"/>
      <c r="CQE117" s="108"/>
      <c r="CQF117" s="108"/>
      <c r="CQG117" s="108"/>
      <c r="CQH117" s="108"/>
      <c r="CQI117" s="108"/>
      <c r="CQJ117" s="108"/>
      <c r="CQK117" s="108"/>
      <c r="CQL117" s="108"/>
      <c r="CQM117" s="108"/>
      <c r="CQN117" s="108"/>
      <c r="CQO117" s="108"/>
      <c r="CQP117" s="108"/>
      <c r="CQQ117" s="108"/>
      <c r="CQR117" s="108"/>
      <c r="CQS117" s="108"/>
      <c r="CQT117" s="108"/>
      <c r="CQU117" s="108"/>
      <c r="CQV117" s="108"/>
      <c r="CQW117" s="108"/>
      <c r="CQX117" s="108"/>
      <c r="CQY117" s="108"/>
      <c r="CQZ117" s="108"/>
      <c r="CRA117" s="108"/>
      <c r="CRB117" s="108"/>
      <c r="CRC117" s="108"/>
      <c r="CRD117" s="108"/>
      <c r="CRE117" s="108"/>
      <c r="CRF117" s="108"/>
      <c r="CRG117" s="108"/>
      <c r="CRH117" s="108"/>
      <c r="CRI117" s="108"/>
      <c r="CRJ117" s="108"/>
      <c r="CRK117" s="108"/>
      <c r="CRL117" s="108"/>
      <c r="CRM117" s="108"/>
      <c r="CRN117" s="108"/>
      <c r="CRO117" s="108"/>
      <c r="CRP117" s="108"/>
      <c r="CRQ117" s="108"/>
      <c r="CRR117" s="108"/>
      <c r="CRS117" s="108"/>
      <c r="CRT117" s="108"/>
      <c r="CRU117" s="108"/>
      <c r="CRV117" s="108"/>
      <c r="CRW117" s="108"/>
      <c r="CRX117" s="108"/>
      <c r="CRY117" s="108"/>
      <c r="CRZ117" s="108"/>
      <c r="CSA117" s="108"/>
      <c r="CSB117" s="108"/>
      <c r="CSC117" s="108"/>
      <c r="CSD117" s="108"/>
      <c r="CSE117" s="108"/>
      <c r="CSF117" s="108"/>
      <c r="CSG117" s="108"/>
      <c r="CSH117" s="108"/>
      <c r="CSI117" s="108"/>
      <c r="CSJ117" s="108"/>
      <c r="CSK117" s="108"/>
      <c r="CSL117" s="108"/>
      <c r="CSM117" s="108"/>
      <c r="CSN117" s="108"/>
      <c r="CSO117" s="108"/>
      <c r="CSP117" s="108"/>
      <c r="CSQ117" s="108"/>
      <c r="CSR117" s="108"/>
      <c r="CSS117" s="108"/>
      <c r="CST117" s="108"/>
      <c r="CSU117" s="108"/>
      <c r="CSV117" s="108"/>
      <c r="CSW117" s="108"/>
      <c r="CSX117" s="108"/>
      <c r="CSY117" s="108"/>
      <c r="CSZ117" s="108"/>
      <c r="CTA117" s="108"/>
      <c r="CTB117" s="108"/>
      <c r="CTC117" s="108"/>
      <c r="CTD117" s="108"/>
      <c r="CTE117" s="108"/>
      <c r="CTF117" s="108"/>
      <c r="CTG117" s="108"/>
      <c r="CTH117" s="108"/>
      <c r="CTI117" s="108"/>
      <c r="CTJ117" s="108"/>
      <c r="CTK117" s="108"/>
      <c r="CTL117" s="108"/>
      <c r="CTM117" s="108"/>
      <c r="CTN117" s="108"/>
      <c r="CTO117" s="108"/>
      <c r="CTP117" s="108"/>
      <c r="CTQ117" s="108"/>
      <c r="CTR117" s="108"/>
      <c r="CTS117" s="108"/>
      <c r="CTT117" s="108"/>
      <c r="CTU117" s="108"/>
      <c r="CTV117" s="108"/>
      <c r="CTW117" s="108"/>
      <c r="CTX117" s="108"/>
      <c r="CTY117" s="108"/>
      <c r="CTZ117" s="108"/>
      <c r="CUA117" s="108"/>
      <c r="CUB117" s="108"/>
      <c r="CUC117" s="108"/>
      <c r="CUD117" s="108"/>
      <c r="CUE117" s="108"/>
      <c r="CUF117" s="108"/>
      <c r="CUG117" s="108"/>
      <c r="CUH117" s="108"/>
      <c r="CUI117" s="108"/>
      <c r="CUJ117" s="108"/>
      <c r="CUK117" s="108"/>
      <c r="CUL117" s="108"/>
      <c r="CUM117" s="108"/>
      <c r="CUN117" s="108"/>
      <c r="CUO117" s="108"/>
      <c r="CUP117" s="108"/>
      <c r="CUQ117" s="108"/>
      <c r="CUR117" s="108"/>
      <c r="CUS117" s="108"/>
      <c r="CUT117" s="108"/>
      <c r="CUU117" s="108"/>
      <c r="CUV117" s="108"/>
      <c r="CUW117" s="108"/>
      <c r="CUX117" s="108"/>
      <c r="CUY117" s="108"/>
      <c r="CUZ117" s="108"/>
      <c r="CVA117" s="108"/>
      <c r="CVB117" s="108"/>
      <c r="CVC117" s="108"/>
      <c r="CVD117" s="108"/>
      <c r="CVE117" s="108"/>
      <c r="CVF117" s="108"/>
      <c r="CVG117" s="108"/>
      <c r="CVH117" s="108"/>
      <c r="CVI117" s="108"/>
      <c r="CVJ117" s="108"/>
      <c r="CVK117" s="108"/>
      <c r="CVL117" s="108"/>
      <c r="CVM117" s="108"/>
      <c r="CVN117" s="108"/>
      <c r="CVO117" s="108"/>
      <c r="CVP117" s="108"/>
      <c r="CVQ117" s="108"/>
      <c r="CVR117" s="108"/>
      <c r="CVS117" s="108"/>
      <c r="CVT117" s="108"/>
      <c r="CVU117" s="108"/>
      <c r="CVV117" s="108"/>
      <c r="CVW117" s="108"/>
      <c r="CVX117" s="108"/>
      <c r="CVY117" s="108"/>
      <c r="CVZ117" s="108"/>
      <c r="CWA117" s="108"/>
      <c r="CWB117" s="108"/>
      <c r="CWC117" s="108"/>
      <c r="CWD117" s="108"/>
      <c r="CWE117" s="108"/>
      <c r="CWF117" s="108"/>
      <c r="CWG117" s="108"/>
      <c r="CWH117" s="108"/>
      <c r="CWI117" s="108"/>
      <c r="CWJ117" s="108"/>
      <c r="CWK117" s="108"/>
      <c r="CWL117" s="108"/>
      <c r="CWM117" s="108"/>
      <c r="CWN117" s="108"/>
      <c r="CWO117" s="108"/>
      <c r="CWP117" s="108"/>
      <c r="CWQ117" s="108"/>
      <c r="CWR117" s="108"/>
      <c r="CWS117" s="108"/>
      <c r="CWT117" s="108"/>
      <c r="CWU117" s="108"/>
      <c r="CWV117" s="108"/>
      <c r="CWW117" s="108"/>
      <c r="CWX117" s="108"/>
      <c r="CWY117" s="108"/>
      <c r="CWZ117" s="108"/>
      <c r="CXA117" s="108"/>
      <c r="CXB117" s="108"/>
      <c r="CXC117" s="108"/>
      <c r="CXD117" s="108"/>
      <c r="CXE117" s="108"/>
      <c r="CXF117" s="108"/>
      <c r="CXG117" s="108"/>
      <c r="CXH117" s="108"/>
      <c r="CXI117" s="108"/>
      <c r="CXJ117" s="108"/>
      <c r="CXK117" s="108"/>
      <c r="CXL117" s="108"/>
      <c r="CXM117" s="108"/>
      <c r="CXN117" s="108"/>
      <c r="CXO117" s="108"/>
      <c r="CXP117" s="108"/>
      <c r="CXQ117" s="108"/>
      <c r="CXR117" s="108"/>
      <c r="CXS117" s="108"/>
      <c r="CXT117" s="108"/>
      <c r="CXU117" s="108"/>
      <c r="CXV117" s="108"/>
      <c r="CXW117" s="108"/>
      <c r="CXX117" s="108"/>
      <c r="CXY117" s="108"/>
      <c r="CXZ117" s="108"/>
      <c r="CYA117" s="108"/>
      <c r="CYB117" s="108"/>
      <c r="CYC117" s="108"/>
      <c r="CYD117" s="108"/>
      <c r="CYE117" s="108"/>
      <c r="CYF117" s="108"/>
      <c r="CYG117" s="108"/>
      <c r="CYH117" s="108"/>
      <c r="CYI117" s="108"/>
      <c r="CYJ117" s="108"/>
      <c r="CYK117" s="108"/>
      <c r="CYL117" s="108"/>
      <c r="CYM117" s="108"/>
      <c r="CYN117" s="108"/>
      <c r="CYO117" s="108"/>
      <c r="CYP117" s="108"/>
      <c r="CYQ117" s="108"/>
      <c r="CYR117" s="108"/>
      <c r="CYS117" s="108"/>
      <c r="CYT117" s="108"/>
      <c r="CYU117" s="108"/>
      <c r="CYV117" s="108"/>
      <c r="CYW117" s="108"/>
      <c r="CYX117" s="108"/>
      <c r="CYY117" s="108"/>
      <c r="CYZ117" s="108"/>
      <c r="CZA117" s="108"/>
      <c r="CZB117" s="108"/>
      <c r="CZC117" s="108"/>
      <c r="CZD117" s="108"/>
      <c r="CZE117" s="108"/>
      <c r="CZF117" s="108"/>
      <c r="CZG117" s="108"/>
      <c r="CZH117" s="108"/>
      <c r="CZI117" s="108"/>
      <c r="CZJ117" s="108"/>
      <c r="CZK117" s="108"/>
      <c r="CZL117" s="108"/>
      <c r="CZM117" s="108"/>
      <c r="CZN117" s="108"/>
      <c r="CZO117" s="108"/>
      <c r="CZP117" s="108"/>
      <c r="CZQ117" s="108"/>
      <c r="CZR117" s="108"/>
      <c r="CZS117" s="108"/>
      <c r="CZT117" s="108"/>
      <c r="CZU117" s="108"/>
      <c r="CZV117" s="108"/>
      <c r="CZW117" s="108"/>
      <c r="CZX117" s="108"/>
      <c r="CZY117" s="108"/>
      <c r="CZZ117" s="108"/>
      <c r="DAA117" s="108"/>
      <c r="DAB117" s="108"/>
      <c r="DAC117" s="108"/>
      <c r="DAD117" s="108"/>
      <c r="DAE117" s="108"/>
      <c r="DAF117" s="108"/>
      <c r="DAG117" s="108"/>
      <c r="DAH117" s="108"/>
      <c r="DAI117" s="108"/>
      <c r="DAJ117" s="108"/>
      <c r="DAK117" s="108"/>
      <c r="DAL117" s="108"/>
      <c r="DAM117" s="108"/>
      <c r="DAN117" s="108"/>
      <c r="DAO117" s="108"/>
      <c r="DAP117" s="108"/>
      <c r="DAQ117" s="108"/>
      <c r="DAR117" s="108"/>
      <c r="DAS117" s="108"/>
      <c r="DAT117" s="108"/>
      <c r="DAU117" s="108"/>
      <c r="DAV117" s="108"/>
      <c r="DAW117" s="108"/>
      <c r="DAX117" s="108"/>
      <c r="DAY117" s="108"/>
      <c r="DAZ117" s="108"/>
      <c r="DBA117" s="108"/>
      <c r="DBB117" s="108"/>
      <c r="DBC117" s="108"/>
      <c r="DBD117" s="108"/>
      <c r="DBE117" s="108"/>
      <c r="DBF117" s="108"/>
      <c r="DBG117" s="108"/>
      <c r="DBH117" s="108"/>
      <c r="DBI117" s="108"/>
      <c r="DBJ117" s="108"/>
      <c r="DBK117" s="108"/>
      <c r="DBL117" s="108"/>
      <c r="DBM117" s="108"/>
      <c r="DBN117" s="108"/>
      <c r="DBO117" s="108"/>
      <c r="DBP117" s="108"/>
      <c r="DBQ117" s="108"/>
      <c r="DBR117" s="108"/>
      <c r="DBS117" s="108"/>
      <c r="DBT117" s="108"/>
      <c r="DBU117" s="108"/>
      <c r="DBV117" s="108"/>
      <c r="DBW117" s="108"/>
      <c r="DBX117" s="108"/>
      <c r="DBY117" s="108"/>
      <c r="DBZ117" s="108"/>
      <c r="DCA117" s="108"/>
      <c r="DCB117" s="108"/>
      <c r="DCC117" s="108"/>
      <c r="DCD117" s="108"/>
      <c r="DCE117" s="108"/>
      <c r="DCF117" s="108"/>
      <c r="DCG117" s="108"/>
      <c r="DCH117" s="108"/>
      <c r="DCI117" s="108"/>
      <c r="DCJ117" s="108"/>
      <c r="DCK117" s="108"/>
      <c r="DCL117" s="108"/>
      <c r="DCM117" s="108"/>
      <c r="DCN117" s="108"/>
      <c r="DCO117" s="108"/>
      <c r="DCP117" s="108"/>
      <c r="DCQ117" s="108"/>
      <c r="DCR117" s="108"/>
      <c r="DCS117" s="108"/>
      <c r="DCT117" s="108"/>
      <c r="DCU117" s="108"/>
      <c r="DCV117" s="108"/>
      <c r="DCW117" s="108"/>
      <c r="DCX117" s="108"/>
      <c r="DCY117" s="108"/>
      <c r="DCZ117" s="108"/>
      <c r="DDA117" s="108"/>
      <c r="DDB117" s="108"/>
      <c r="DDC117" s="108"/>
      <c r="DDD117" s="108"/>
      <c r="DDE117" s="108"/>
      <c r="DDF117" s="108"/>
      <c r="DDG117" s="108"/>
      <c r="DDH117" s="108"/>
      <c r="DDI117" s="108"/>
      <c r="DDJ117" s="108"/>
      <c r="DDK117" s="108"/>
      <c r="DDL117" s="108"/>
      <c r="DDM117" s="108"/>
      <c r="DDN117" s="108"/>
      <c r="DDO117" s="108"/>
      <c r="DDP117" s="108"/>
      <c r="DDQ117" s="108"/>
      <c r="DDR117" s="108"/>
      <c r="DDS117" s="108"/>
      <c r="DDT117" s="108"/>
      <c r="DDU117" s="108"/>
      <c r="DDV117" s="108"/>
      <c r="DDW117" s="108"/>
      <c r="DDX117" s="108"/>
      <c r="DDY117" s="108"/>
      <c r="DDZ117" s="108"/>
      <c r="DEA117" s="108"/>
      <c r="DEB117" s="108"/>
      <c r="DEC117" s="108"/>
      <c r="DED117" s="108"/>
      <c r="DEE117" s="108"/>
      <c r="DEF117" s="108"/>
      <c r="DEG117" s="108"/>
      <c r="DEH117" s="108"/>
      <c r="DEI117" s="108"/>
      <c r="DEJ117" s="108"/>
      <c r="DEK117" s="108"/>
      <c r="DEL117" s="108"/>
      <c r="DEM117" s="108"/>
      <c r="DEN117" s="108"/>
      <c r="DEO117" s="108"/>
      <c r="DEP117" s="108"/>
      <c r="DEQ117" s="108"/>
      <c r="DER117" s="108"/>
      <c r="DES117" s="108"/>
      <c r="DET117" s="108"/>
      <c r="DEU117" s="108"/>
      <c r="DEV117" s="108"/>
      <c r="DEW117" s="108"/>
      <c r="DEX117" s="108"/>
      <c r="DEY117" s="108"/>
      <c r="DEZ117" s="108"/>
      <c r="DFA117" s="108"/>
      <c r="DFB117" s="108"/>
      <c r="DFC117" s="108"/>
      <c r="DFD117" s="108"/>
      <c r="DFE117" s="108"/>
      <c r="DFF117" s="108"/>
      <c r="DFG117" s="108"/>
      <c r="DFH117" s="108"/>
      <c r="DFI117" s="108"/>
      <c r="DFJ117" s="108"/>
      <c r="DFK117" s="108"/>
      <c r="DFL117" s="108"/>
      <c r="DFM117" s="108"/>
      <c r="DFN117" s="108"/>
      <c r="DFO117" s="108"/>
      <c r="DFP117" s="108"/>
      <c r="DFQ117" s="108"/>
      <c r="DFR117" s="108"/>
      <c r="DFS117" s="108"/>
      <c r="DFT117" s="108"/>
      <c r="DFU117" s="108"/>
      <c r="DFV117" s="108"/>
      <c r="DFW117" s="108"/>
      <c r="DFX117" s="108"/>
      <c r="DFY117" s="108"/>
      <c r="DFZ117" s="108"/>
      <c r="DGA117" s="108"/>
      <c r="DGB117" s="108"/>
      <c r="DGC117" s="108"/>
      <c r="DGD117" s="108"/>
      <c r="DGE117" s="108"/>
      <c r="DGF117" s="108"/>
      <c r="DGG117" s="108"/>
      <c r="DGH117" s="108"/>
      <c r="DGI117" s="108"/>
      <c r="DGJ117" s="108"/>
      <c r="DGK117" s="108"/>
      <c r="DGL117" s="108"/>
      <c r="DGM117" s="108"/>
      <c r="DGN117" s="108"/>
      <c r="DGO117" s="108"/>
      <c r="DGP117" s="108"/>
      <c r="DGQ117" s="108"/>
      <c r="DGR117" s="108"/>
      <c r="DGS117" s="108"/>
      <c r="DGT117" s="108"/>
      <c r="DGU117" s="108"/>
      <c r="DGV117" s="108"/>
      <c r="DGW117" s="108"/>
      <c r="DGX117" s="108"/>
      <c r="DGY117" s="108"/>
      <c r="DGZ117" s="108"/>
      <c r="DHA117" s="108"/>
      <c r="DHB117" s="108"/>
      <c r="DHC117" s="108"/>
      <c r="DHD117" s="108"/>
      <c r="DHE117" s="108"/>
      <c r="DHF117" s="108"/>
      <c r="DHG117" s="108"/>
      <c r="DHH117" s="108"/>
      <c r="DHI117" s="108"/>
      <c r="DHJ117" s="108"/>
      <c r="DHK117" s="108"/>
      <c r="DHL117" s="108"/>
      <c r="DHM117" s="108"/>
      <c r="DHN117" s="108"/>
      <c r="DHO117" s="108"/>
      <c r="DHP117" s="108"/>
      <c r="DHQ117" s="108"/>
      <c r="DHR117" s="108"/>
      <c r="DHS117" s="108"/>
      <c r="DHT117" s="108"/>
      <c r="DHU117" s="108"/>
      <c r="DHV117" s="108"/>
      <c r="DHW117" s="108"/>
      <c r="DHX117" s="108"/>
      <c r="DHY117" s="108"/>
      <c r="DHZ117" s="108"/>
      <c r="DIA117" s="108"/>
      <c r="DIB117" s="108"/>
      <c r="DIC117" s="108"/>
      <c r="DID117" s="108"/>
      <c r="DIE117" s="108"/>
      <c r="DIF117" s="108"/>
      <c r="DIG117" s="108"/>
      <c r="DIH117" s="108"/>
      <c r="DII117" s="108"/>
      <c r="DIJ117" s="108"/>
      <c r="DIK117" s="108"/>
      <c r="DIL117" s="108"/>
      <c r="DIM117" s="108"/>
      <c r="DIN117" s="108"/>
      <c r="DIO117" s="108"/>
      <c r="DIP117" s="108"/>
      <c r="DIQ117" s="108"/>
      <c r="DIR117" s="108"/>
      <c r="DIS117" s="108"/>
      <c r="DIT117" s="108"/>
      <c r="DIU117" s="108"/>
      <c r="DIV117" s="108"/>
      <c r="DIW117" s="108"/>
      <c r="DIX117" s="108"/>
      <c r="DIY117" s="108"/>
      <c r="DIZ117" s="108"/>
      <c r="DJA117" s="108"/>
      <c r="DJB117" s="108"/>
      <c r="DJC117" s="108"/>
      <c r="DJD117" s="108"/>
      <c r="DJE117" s="108"/>
      <c r="DJF117" s="108"/>
      <c r="DJG117" s="108"/>
      <c r="DJH117" s="108"/>
      <c r="DJI117" s="108"/>
      <c r="DJJ117" s="108"/>
      <c r="DJK117" s="108"/>
      <c r="DJL117" s="108"/>
      <c r="DJM117" s="108"/>
      <c r="DJN117" s="108"/>
      <c r="DJO117" s="108"/>
      <c r="DJP117" s="108"/>
      <c r="DJQ117" s="108"/>
      <c r="DJR117" s="108"/>
      <c r="DJS117" s="108"/>
      <c r="DJT117" s="108"/>
      <c r="DJU117" s="108"/>
      <c r="DJV117" s="108"/>
      <c r="DJW117" s="108"/>
      <c r="DJX117" s="108"/>
      <c r="DJY117" s="108"/>
      <c r="DJZ117" s="108"/>
      <c r="DKA117" s="108"/>
      <c r="DKB117" s="108"/>
      <c r="DKC117" s="108"/>
      <c r="DKD117" s="108"/>
      <c r="DKE117" s="108"/>
      <c r="DKF117" s="108"/>
      <c r="DKG117" s="108"/>
      <c r="DKH117" s="108"/>
      <c r="DKI117" s="108"/>
      <c r="DKJ117" s="108"/>
      <c r="DKK117" s="108"/>
      <c r="DKL117" s="108"/>
      <c r="DKM117" s="108"/>
      <c r="DKN117" s="108"/>
      <c r="DKO117" s="108"/>
      <c r="DKP117" s="108"/>
      <c r="DKQ117" s="108"/>
      <c r="DKR117" s="108"/>
      <c r="DKS117" s="108"/>
      <c r="DKT117" s="108"/>
      <c r="DKU117" s="108"/>
      <c r="DKV117" s="108"/>
      <c r="DKW117" s="108"/>
      <c r="DKX117" s="108"/>
      <c r="DKY117" s="108"/>
      <c r="DKZ117" s="108"/>
      <c r="DLA117" s="108"/>
      <c r="DLB117" s="108"/>
      <c r="DLC117" s="108"/>
      <c r="DLD117" s="108"/>
      <c r="DLE117" s="108"/>
      <c r="DLF117" s="108"/>
      <c r="DLG117" s="108"/>
      <c r="DLH117" s="108"/>
      <c r="DLI117" s="108"/>
      <c r="DLJ117" s="108"/>
      <c r="DLK117" s="108"/>
      <c r="DLL117" s="108"/>
      <c r="DLM117" s="108"/>
      <c r="DLN117" s="108"/>
      <c r="DLO117" s="108"/>
      <c r="DLP117" s="108"/>
      <c r="DLQ117" s="108"/>
      <c r="DLR117" s="108"/>
      <c r="DLS117" s="108"/>
      <c r="DLT117" s="108"/>
      <c r="DLU117" s="108"/>
      <c r="DLV117" s="108"/>
      <c r="DLW117" s="108"/>
      <c r="DLX117" s="108"/>
      <c r="DLY117" s="108"/>
      <c r="DLZ117" s="108"/>
      <c r="DMA117" s="108"/>
      <c r="DMB117" s="108"/>
      <c r="DMC117" s="108"/>
      <c r="DMD117" s="108"/>
      <c r="DME117" s="108"/>
      <c r="DMF117" s="108"/>
      <c r="DMG117" s="108"/>
      <c r="DMH117" s="108"/>
      <c r="DMI117" s="108"/>
      <c r="DMJ117" s="108"/>
      <c r="DMK117" s="108"/>
      <c r="DML117" s="108"/>
      <c r="DMM117" s="108"/>
      <c r="DMN117" s="108"/>
      <c r="DMO117" s="108"/>
      <c r="DMP117" s="108"/>
      <c r="DMQ117" s="108"/>
      <c r="DMR117" s="108"/>
      <c r="DMS117" s="108"/>
      <c r="DMT117" s="108"/>
      <c r="DMU117" s="108"/>
      <c r="DMV117" s="108"/>
      <c r="DMW117" s="108"/>
      <c r="DMX117" s="108"/>
      <c r="DMY117" s="108"/>
      <c r="DMZ117" s="108"/>
      <c r="DNA117" s="108"/>
      <c r="DNB117" s="108"/>
      <c r="DNC117" s="108"/>
      <c r="DND117" s="108"/>
      <c r="DNE117" s="108"/>
      <c r="DNF117" s="108"/>
      <c r="DNG117" s="108"/>
      <c r="DNH117" s="108"/>
      <c r="DNI117" s="108"/>
      <c r="DNJ117" s="108"/>
      <c r="DNK117" s="108"/>
      <c r="DNL117" s="108"/>
      <c r="DNM117" s="108"/>
      <c r="DNN117" s="108"/>
      <c r="DNO117" s="108"/>
      <c r="DNP117" s="108"/>
      <c r="DNQ117" s="108"/>
      <c r="DNR117" s="108"/>
      <c r="DNS117" s="108"/>
      <c r="DNT117" s="108"/>
      <c r="DNU117" s="108"/>
      <c r="DNV117" s="108"/>
      <c r="DNW117" s="108"/>
      <c r="DNX117" s="108"/>
      <c r="DNY117" s="108"/>
      <c r="DNZ117" s="108"/>
      <c r="DOA117" s="108"/>
      <c r="DOB117" s="108"/>
      <c r="DOC117" s="108"/>
      <c r="DOD117" s="108"/>
      <c r="DOE117" s="108"/>
      <c r="DOF117" s="108"/>
      <c r="DOG117" s="108"/>
      <c r="DOH117" s="108"/>
      <c r="DOI117" s="108"/>
      <c r="DOJ117" s="108"/>
      <c r="DOK117" s="108"/>
      <c r="DOL117" s="108"/>
      <c r="DOM117" s="108"/>
      <c r="DON117" s="108"/>
      <c r="DOO117" s="108"/>
      <c r="DOP117" s="108"/>
      <c r="DOQ117" s="108"/>
      <c r="DOR117" s="108"/>
      <c r="DOS117" s="108"/>
      <c r="DOT117" s="108"/>
      <c r="DOU117" s="108"/>
      <c r="DOV117" s="108"/>
      <c r="DOW117" s="108"/>
      <c r="DOX117" s="108"/>
      <c r="DOY117" s="108"/>
      <c r="DOZ117" s="108"/>
      <c r="DPA117" s="108"/>
      <c r="DPB117" s="108"/>
      <c r="DPC117" s="108"/>
      <c r="DPD117" s="108"/>
      <c r="DPE117" s="108"/>
      <c r="DPF117" s="108"/>
      <c r="DPG117" s="108"/>
      <c r="DPH117" s="108"/>
      <c r="DPI117" s="108"/>
      <c r="DPJ117" s="108"/>
      <c r="DPK117" s="108"/>
      <c r="DPL117" s="108"/>
      <c r="DPM117" s="108"/>
      <c r="DPN117" s="108"/>
      <c r="DPO117" s="108"/>
      <c r="DPP117" s="108"/>
      <c r="DPQ117" s="108"/>
      <c r="DPR117" s="108"/>
      <c r="DPS117" s="108"/>
      <c r="DPT117" s="108"/>
      <c r="DPU117" s="108"/>
      <c r="DPV117" s="108"/>
      <c r="DPW117" s="108"/>
      <c r="DPX117" s="108"/>
      <c r="DPY117" s="108"/>
      <c r="DPZ117" s="108"/>
      <c r="DQA117" s="108"/>
      <c r="DQB117" s="108"/>
      <c r="DQC117" s="108"/>
      <c r="DQD117" s="108"/>
      <c r="DQE117" s="108"/>
      <c r="DQF117" s="108"/>
      <c r="DQG117" s="108"/>
      <c r="DQH117" s="108"/>
      <c r="DQI117" s="108"/>
      <c r="DQJ117" s="108"/>
      <c r="DQK117" s="108"/>
      <c r="DQL117" s="108"/>
      <c r="DQM117" s="108"/>
      <c r="DQN117" s="108"/>
      <c r="DQO117" s="108"/>
      <c r="DQP117" s="108"/>
      <c r="DQQ117" s="108"/>
      <c r="DQR117" s="108"/>
      <c r="DQS117" s="108"/>
      <c r="DQT117" s="108"/>
      <c r="DQU117" s="108"/>
      <c r="DQV117" s="108"/>
      <c r="DQW117" s="108"/>
      <c r="DQX117" s="108"/>
      <c r="DQY117" s="108"/>
      <c r="DQZ117" s="108"/>
      <c r="DRA117" s="108"/>
      <c r="DRB117" s="108"/>
      <c r="DRC117" s="108"/>
      <c r="DRD117" s="108"/>
      <c r="DRE117" s="108"/>
      <c r="DRF117" s="108"/>
      <c r="DRG117" s="108"/>
      <c r="DRH117" s="108"/>
      <c r="DRI117" s="108"/>
      <c r="DRJ117" s="108"/>
      <c r="DRK117" s="108"/>
      <c r="DRL117" s="108"/>
      <c r="DRM117" s="108"/>
      <c r="DRN117" s="108"/>
      <c r="DRO117" s="108"/>
      <c r="DRP117" s="108"/>
      <c r="DRQ117" s="108"/>
      <c r="DRR117" s="108"/>
      <c r="DRS117" s="108"/>
      <c r="DRT117" s="108"/>
      <c r="DRU117" s="108"/>
      <c r="DRV117" s="108"/>
      <c r="DRW117" s="108"/>
      <c r="DRX117" s="108"/>
      <c r="DRY117" s="108"/>
      <c r="DRZ117" s="108"/>
      <c r="DSA117" s="108"/>
      <c r="DSB117" s="108"/>
      <c r="DSC117" s="108"/>
      <c r="DSD117" s="108"/>
      <c r="DSE117" s="108"/>
      <c r="DSF117" s="108"/>
      <c r="DSG117" s="108"/>
      <c r="DSH117" s="108"/>
      <c r="DSI117" s="108"/>
      <c r="DSJ117" s="108"/>
      <c r="DSK117" s="108"/>
      <c r="DSL117" s="108"/>
      <c r="DSM117" s="108"/>
      <c r="DSN117" s="108"/>
      <c r="DSO117" s="108"/>
      <c r="DSP117" s="108"/>
      <c r="DSQ117" s="108"/>
      <c r="DSR117" s="108"/>
      <c r="DSS117" s="108"/>
      <c r="DST117" s="108"/>
      <c r="DSU117" s="108"/>
      <c r="DSV117" s="108"/>
      <c r="DSW117" s="108"/>
      <c r="DSX117" s="108"/>
      <c r="DSY117" s="108"/>
      <c r="DSZ117" s="108"/>
      <c r="DTA117" s="108"/>
      <c r="DTB117" s="108"/>
      <c r="DTC117" s="108"/>
      <c r="DTD117" s="108"/>
      <c r="DTE117" s="108"/>
      <c r="DTF117" s="108"/>
      <c r="DTG117" s="108"/>
      <c r="DTH117" s="108"/>
      <c r="DTI117" s="108"/>
      <c r="DTJ117" s="108"/>
      <c r="DTK117" s="108"/>
      <c r="DTL117" s="108"/>
      <c r="DTM117" s="108"/>
      <c r="DTN117" s="108"/>
      <c r="DTO117" s="108"/>
      <c r="DTP117" s="108"/>
      <c r="DTQ117" s="108"/>
      <c r="DTR117" s="108"/>
      <c r="DTS117" s="108"/>
      <c r="DTT117" s="108"/>
      <c r="DTU117" s="108"/>
      <c r="DTV117" s="108"/>
      <c r="DTW117" s="108"/>
      <c r="DTX117" s="108"/>
      <c r="DTY117" s="108"/>
      <c r="DTZ117" s="108"/>
      <c r="DUA117" s="108"/>
      <c r="DUB117" s="108"/>
      <c r="DUC117" s="108"/>
      <c r="DUD117" s="108"/>
      <c r="DUE117" s="108"/>
      <c r="DUF117" s="108"/>
      <c r="DUG117" s="108"/>
      <c r="DUH117" s="108"/>
      <c r="DUI117" s="108"/>
      <c r="DUJ117" s="108"/>
      <c r="DUK117" s="108"/>
      <c r="DUL117" s="108"/>
      <c r="DUM117" s="108"/>
      <c r="DUN117" s="108"/>
      <c r="DUO117" s="108"/>
      <c r="DUP117" s="108"/>
      <c r="DUQ117" s="108"/>
      <c r="DUR117" s="108"/>
      <c r="DUS117" s="108"/>
      <c r="DUT117" s="108"/>
      <c r="DUU117" s="108"/>
      <c r="DUV117" s="108"/>
      <c r="DUW117" s="108"/>
      <c r="DUX117" s="108"/>
      <c r="DUY117" s="108"/>
      <c r="DUZ117" s="108"/>
      <c r="DVA117" s="108"/>
      <c r="DVB117" s="108"/>
      <c r="DVC117" s="108"/>
      <c r="DVD117" s="108"/>
      <c r="DVE117" s="108"/>
      <c r="DVF117" s="108"/>
      <c r="DVG117" s="108"/>
      <c r="DVH117" s="108"/>
      <c r="DVI117" s="108"/>
      <c r="DVJ117" s="108"/>
      <c r="DVK117" s="108"/>
      <c r="DVL117" s="108"/>
      <c r="DVM117" s="108"/>
      <c r="DVN117" s="108"/>
      <c r="DVO117" s="108"/>
      <c r="DVP117" s="108"/>
      <c r="DVQ117" s="108"/>
      <c r="DVR117" s="108"/>
      <c r="DVS117" s="108"/>
      <c r="DVT117" s="108"/>
      <c r="DVU117" s="108"/>
      <c r="DVV117" s="108"/>
      <c r="DVW117" s="108"/>
      <c r="DVX117" s="108"/>
      <c r="DVY117" s="108"/>
      <c r="DVZ117" s="108"/>
      <c r="DWA117" s="108"/>
      <c r="DWB117" s="108"/>
      <c r="DWC117" s="108"/>
      <c r="DWD117" s="108"/>
      <c r="DWE117" s="108"/>
      <c r="DWF117" s="108"/>
      <c r="DWG117" s="108"/>
      <c r="DWH117" s="108"/>
      <c r="DWI117" s="108"/>
      <c r="DWJ117" s="108"/>
      <c r="DWK117" s="108"/>
      <c r="DWL117" s="108"/>
      <c r="DWM117" s="108"/>
      <c r="DWN117" s="108"/>
      <c r="DWO117" s="108"/>
      <c r="DWP117" s="108"/>
      <c r="DWQ117" s="108"/>
      <c r="DWR117" s="108"/>
      <c r="DWS117" s="108"/>
      <c r="DWT117" s="108"/>
      <c r="DWU117" s="108"/>
      <c r="DWV117" s="108"/>
      <c r="DWW117" s="108"/>
      <c r="DWX117" s="108"/>
      <c r="DWY117" s="108"/>
      <c r="DWZ117" s="108"/>
      <c r="DXA117" s="108"/>
      <c r="DXB117" s="108"/>
      <c r="DXC117" s="108"/>
      <c r="DXD117" s="108"/>
      <c r="DXE117" s="108"/>
      <c r="DXF117" s="108"/>
      <c r="DXG117" s="108"/>
      <c r="DXH117" s="108"/>
      <c r="DXI117" s="108"/>
      <c r="DXJ117" s="108"/>
      <c r="DXK117" s="108"/>
      <c r="DXL117" s="108"/>
      <c r="DXM117" s="108"/>
      <c r="DXN117" s="108"/>
      <c r="DXO117" s="108"/>
      <c r="DXP117" s="108"/>
      <c r="DXQ117" s="108"/>
      <c r="DXR117" s="108"/>
      <c r="DXS117" s="108"/>
      <c r="DXT117" s="108"/>
      <c r="DXU117" s="108"/>
      <c r="DXV117" s="108"/>
      <c r="DXW117" s="108"/>
      <c r="DXX117" s="108"/>
      <c r="DXY117" s="108"/>
      <c r="DXZ117" s="108"/>
      <c r="DYA117" s="108"/>
      <c r="DYB117" s="108"/>
      <c r="DYC117" s="108"/>
      <c r="DYD117" s="108"/>
      <c r="DYE117" s="108"/>
      <c r="DYF117" s="108"/>
      <c r="DYG117" s="108"/>
      <c r="DYH117" s="108"/>
      <c r="DYI117" s="108"/>
      <c r="DYJ117" s="108"/>
      <c r="DYK117" s="108"/>
      <c r="DYL117" s="108"/>
      <c r="DYM117" s="108"/>
      <c r="DYN117" s="108"/>
      <c r="DYO117" s="108"/>
      <c r="DYP117" s="108"/>
      <c r="DYQ117" s="108"/>
      <c r="DYR117" s="108"/>
      <c r="DYS117" s="108"/>
      <c r="DYT117" s="108"/>
      <c r="DYU117" s="108"/>
      <c r="DYV117" s="108"/>
      <c r="DYW117" s="108"/>
      <c r="DYX117" s="108"/>
      <c r="DYY117" s="108"/>
      <c r="DYZ117" s="108"/>
      <c r="DZA117" s="108"/>
      <c r="DZB117" s="108"/>
      <c r="DZC117" s="108"/>
      <c r="DZD117" s="108"/>
      <c r="DZE117" s="108"/>
      <c r="DZF117" s="108"/>
      <c r="DZG117" s="108"/>
      <c r="DZH117" s="108"/>
      <c r="DZI117" s="108"/>
      <c r="DZJ117" s="108"/>
      <c r="DZK117" s="108"/>
      <c r="DZL117" s="108"/>
      <c r="DZM117" s="108"/>
      <c r="DZN117" s="108"/>
      <c r="DZO117" s="108"/>
      <c r="DZP117" s="108"/>
      <c r="DZQ117" s="108"/>
      <c r="DZR117" s="108"/>
      <c r="DZS117" s="108"/>
      <c r="DZT117" s="108"/>
      <c r="DZU117" s="108"/>
      <c r="DZV117" s="108"/>
      <c r="DZW117" s="108"/>
      <c r="DZX117" s="108"/>
      <c r="DZY117" s="108"/>
      <c r="DZZ117" s="108"/>
      <c r="EAA117" s="108"/>
      <c r="EAB117" s="108"/>
      <c r="EAC117" s="108"/>
      <c r="EAD117" s="108"/>
      <c r="EAE117" s="108"/>
      <c r="EAF117" s="108"/>
      <c r="EAG117" s="108"/>
      <c r="EAH117" s="108"/>
      <c r="EAI117" s="108"/>
      <c r="EAJ117" s="108"/>
      <c r="EAK117" s="108"/>
      <c r="EAL117" s="108"/>
      <c r="EAM117" s="108"/>
      <c r="EAN117" s="108"/>
      <c r="EAO117" s="108"/>
      <c r="EAP117" s="108"/>
      <c r="EAQ117" s="108"/>
      <c r="EAR117" s="108"/>
      <c r="EAS117" s="108"/>
      <c r="EAT117" s="108"/>
      <c r="EAU117" s="108"/>
      <c r="EAV117" s="108"/>
      <c r="EAW117" s="108"/>
      <c r="EAX117" s="108"/>
      <c r="EAY117" s="108"/>
      <c r="EAZ117" s="108"/>
      <c r="EBA117" s="108"/>
      <c r="EBB117" s="108"/>
      <c r="EBC117" s="108"/>
      <c r="EBD117" s="108"/>
      <c r="EBE117" s="108"/>
      <c r="EBF117" s="108"/>
      <c r="EBG117" s="108"/>
      <c r="EBH117" s="108"/>
      <c r="EBI117" s="108"/>
      <c r="EBJ117" s="108"/>
      <c r="EBK117" s="108"/>
      <c r="EBL117" s="108"/>
      <c r="EBM117" s="108"/>
      <c r="EBN117" s="108"/>
      <c r="EBO117" s="108"/>
      <c r="EBP117" s="108"/>
      <c r="EBQ117" s="108"/>
      <c r="EBR117" s="108"/>
      <c r="EBS117" s="108"/>
      <c r="EBT117" s="108"/>
      <c r="EBU117" s="108"/>
      <c r="EBV117" s="108"/>
      <c r="EBW117" s="108"/>
      <c r="EBX117" s="108"/>
      <c r="EBY117" s="108"/>
      <c r="EBZ117" s="108"/>
      <c r="ECA117" s="108"/>
      <c r="ECB117" s="108"/>
      <c r="ECC117" s="108"/>
      <c r="ECD117" s="108"/>
      <c r="ECE117" s="108"/>
      <c r="ECF117" s="108"/>
      <c r="ECG117" s="108"/>
      <c r="ECH117" s="108"/>
      <c r="ECI117" s="108"/>
      <c r="ECJ117" s="108"/>
      <c r="ECK117" s="108"/>
      <c r="ECL117" s="108"/>
      <c r="ECM117" s="108"/>
      <c r="ECN117" s="108"/>
      <c r="ECO117" s="108"/>
      <c r="ECP117" s="108"/>
      <c r="ECQ117" s="108"/>
      <c r="ECR117" s="108"/>
      <c r="ECS117" s="108"/>
      <c r="ECT117" s="108"/>
      <c r="ECU117" s="108"/>
      <c r="ECV117" s="108"/>
      <c r="ECW117" s="108"/>
      <c r="ECX117" s="108"/>
      <c r="ECY117" s="108"/>
      <c r="ECZ117" s="108"/>
      <c r="EDA117" s="108"/>
      <c r="EDB117" s="108"/>
      <c r="EDC117" s="108"/>
      <c r="EDD117" s="108"/>
      <c r="EDE117" s="108"/>
      <c r="EDF117" s="108"/>
      <c r="EDG117" s="108"/>
      <c r="EDH117" s="108"/>
      <c r="EDI117" s="108"/>
      <c r="EDJ117" s="108"/>
      <c r="EDK117" s="108"/>
      <c r="EDL117" s="108"/>
      <c r="EDM117" s="108"/>
      <c r="EDN117" s="108"/>
      <c r="EDO117" s="108"/>
      <c r="EDP117" s="108"/>
      <c r="EDQ117" s="108"/>
      <c r="EDR117" s="108"/>
      <c r="EDS117" s="108"/>
      <c r="EDT117" s="108"/>
      <c r="EDU117" s="108"/>
      <c r="EDV117" s="108"/>
      <c r="EDW117" s="108"/>
      <c r="EDX117" s="108"/>
      <c r="EDY117" s="108"/>
      <c r="EDZ117" s="108"/>
      <c r="EEA117" s="108"/>
      <c r="EEB117" s="108"/>
      <c r="EEC117" s="108"/>
      <c r="EED117" s="108"/>
      <c r="EEE117" s="108"/>
      <c r="EEF117" s="108"/>
      <c r="EEG117" s="108"/>
      <c r="EEH117" s="108"/>
      <c r="EEI117" s="108"/>
      <c r="EEJ117" s="108"/>
      <c r="EEK117" s="108"/>
      <c r="EEL117" s="108"/>
      <c r="EEM117" s="108"/>
      <c r="EEN117" s="108"/>
      <c r="EEO117" s="108"/>
      <c r="EEP117" s="108"/>
      <c r="EEQ117" s="108"/>
      <c r="EER117" s="108"/>
      <c r="EES117" s="108"/>
      <c r="EET117" s="108"/>
      <c r="EEU117" s="108"/>
      <c r="EEV117" s="108"/>
      <c r="EEW117" s="108"/>
      <c r="EEX117" s="108"/>
      <c r="EEY117" s="108"/>
      <c r="EEZ117" s="108"/>
      <c r="EFA117" s="108"/>
      <c r="EFB117" s="108"/>
      <c r="EFC117" s="108"/>
      <c r="EFD117" s="108"/>
      <c r="EFE117" s="108"/>
      <c r="EFF117" s="108"/>
      <c r="EFG117" s="108"/>
      <c r="EFH117" s="108"/>
      <c r="EFI117" s="108"/>
      <c r="EFJ117" s="108"/>
      <c r="EFK117" s="108"/>
      <c r="EFL117" s="108"/>
      <c r="EFM117" s="108"/>
      <c r="EFN117" s="108"/>
      <c r="EFO117" s="108"/>
      <c r="EFP117" s="108"/>
      <c r="EFQ117" s="108"/>
      <c r="EFR117" s="108"/>
      <c r="EFS117" s="108"/>
      <c r="EFT117" s="108"/>
      <c r="EFU117" s="108"/>
      <c r="EFV117" s="108"/>
      <c r="EFW117" s="108"/>
      <c r="EFX117" s="108"/>
      <c r="EFY117" s="108"/>
      <c r="EFZ117" s="108"/>
      <c r="EGA117" s="108"/>
      <c r="EGB117" s="108"/>
      <c r="EGC117" s="108"/>
      <c r="EGD117" s="108"/>
      <c r="EGE117" s="108"/>
      <c r="EGF117" s="108"/>
      <c r="EGG117" s="108"/>
      <c r="EGH117" s="108"/>
      <c r="EGI117" s="108"/>
      <c r="EGJ117" s="108"/>
      <c r="EGK117" s="108"/>
      <c r="EGL117" s="108"/>
      <c r="EGM117" s="108"/>
      <c r="EGN117" s="108"/>
      <c r="EGO117" s="108"/>
      <c r="EGP117" s="108"/>
      <c r="EGQ117" s="108"/>
      <c r="EGR117" s="108"/>
      <c r="EGS117" s="108"/>
      <c r="EGT117" s="108"/>
      <c r="EGU117" s="108"/>
      <c r="EGV117" s="108"/>
      <c r="EGW117" s="108"/>
      <c r="EGX117" s="108"/>
      <c r="EGY117" s="108"/>
      <c r="EGZ117" s="108"/>
      <c r="EHA117" s="108"/>
      <c r="EHB117" s="108"/>
      <c r="EHC117" s="108"/>
      <c r="EHD117" s="108"/>
      <c r="EHE117" s="108"/>
      <c r="EHF117" s="108"/>
      <c r="EHG117" s="108"/>
      <c r="EHH117" s="108"/>
      <c r="EHI117" s="108"/>
      <c r="EHJ117" s="108"/>
      <c r="EHK117" s="108"/>
      <c r="EHL117" s="108"/>
      <c r="EHM117" s="108"/>
      <c r="EHN117" s="108"/>
      <c r="EHO117" s="108"/>
      <c r="EHP117" s="108"/>
      <c r="EHQ117" s="108"/>
      <c r="EHR117" s="108"/>
      <c r="EHS117" s="108"/>
      <c r="EHT117" s="108"/>
      <c r="EHU117" s="108"/>
      <c r="EHV117" s="108"/>
      <c r="EHW117" s="108"/>
      <c r="EHX117" s="108"/>
      <c r="EHY117" s="108"/>
      <c r="EHZ117" s="108"/>
      <c r="EIA117" s="108"/>
      <c r="EIB117" s="108"/>
      <c r="EIC117" s="108"/>
      <c r="EID117" s="108"/>
      <c r="EIE117" s="108"/>
      <c r="EIF117" s="108"/>
      <c r="EIG117" s="108"/>
      <c r="EIH117" s="108"/>
      <c r="EII117" s="108"/>
      <c r="EIJ117" s="108"/>
      <c r="EIK117" s="108"/>
      <c r="EIL117" s="108"/>
      <c r="EIM117" s="108"/>
      <c r="EIN117" s="108"/>
      <c r="EIO117" s="108"/>
      <c r="EIP117" s="108"/>
      <c r="EIQ117" s="108"/>
      <c r="EIR117" s="108"/>
      <c r="EIS117" s="108"/>
      <c r="EIT117" s="108"/>
      <c r="EIU117" s="108"/>
      <c r="EIV117" s="108"/>
      <c r="EIW117" s="108"/>
      <c r="EIX117" s="108"/>
      <c r="EIY117" s="108"/>
      <c r="EIZ117" s="108"/>
      <c r="EJA117" s="108"/>
      <c r="EJB117" s="108"/>
      <c r="EJC117" s="108"/>
      <c r="EJD117" s="108"/>
      <c r="EJE117" s="108"/>
      <c r="EJF117" s="108"/>
      <c r="EJG117" s="108"/>
      <c r="EJH117" s="108"/>
      <c r="EJI117" s="108"/>
      <c r="EJJ117" s="108"/>
      <c r="EJK117" s="108"/>
      <c r="EJL117" s="108"/>
      <c r="EJM117" s="108"/>
      <c r="EJN117" s="108"/>
      <c r="EJO117" s="108"/>
      <c r="EJP117" s="108"/>
      <c r="EJQ117" s="108"/>
      <c r="EJR117" s="108"/>
      <c r="EJS117" s="108"/>
      <c r="EJT117" s="108"/>
      <c r="EJU117" s="108"/>
      <c r="EJV117" s="108"/>
      <c r="EJW117" s="108"/>
      <c r="EJX117" s="108"/>
      <c r="EJY117" s="108"/>
      <c r="EJZ117" s="108"/>
      <c r="EKA117" s="108"/>
      <c r="EKB117" s="108"/>
      <c r="EKC117" s="108"/>
      <c r="EKD117" s="108"/>
      <c r="EKE117" s="108"/>
      <c r="EKF117" s="108"/>
      <c r="EKG117" s="108"/>
      <c r="EKH117" s="108"/>
      <c r="EKI117" s="108"/>
      <c r="EKJ117" s="108"/>
      <c r="EKK117" s="108"/>
      <c r="EKL117" s="108"/>
      <c r="EKM117" s="108"/>
      <c r="EKN117" s="108"/>
      <c r="EKO117" s="108"/>
      <c r="EKP117" s="108"/>
      <c r="EKQ117" s="108"/>
      <c r="EKR117" s="108"/>
      <c r="EKS117" s="108"/>
      <c r="EKT117" s="108"/>
      <c r="EKU117" s="108"/>
      <c r="EKV117" s="108"/>
      <c r="EKW117" s="108"/>
      <c r="EKX117" s="108"/>
      <c r="EKY117" s="108"/>
      <c r="EKZ117" s="108"/>
      <c r="ELA117" s="108"/>
      <c r="ELB117" s="108"/>
      <c r="ELC117" s="108"/>
      <c r="ELD117" s="108"/>
      <c r="ELE117" s="108"/>
      <c r="ELF117" s="108"/>
      <c r="ELG117" s="108"/>
      <c r="ELH117" s="108"/>
      <c r="ELI117" s="108"/>
      <c r="ELJ117" s="108"/>
      <c r="ELK117" s="108"/>
      <c r="ELL117" s="108"/>
      <c r="ELM117" s="108"/>
      <c r="ELN117" s="108"/>
      <c r="ELO117" s="108"/>
      <c r="ELP117" s="108"/>
      <c r="ELQ117" s="108"/>
      <c r="ELR117" s="108"/>
      <c r="ELS117" s="108"/>
      <c r="ELT117" s="108"/>
      <c r="ELU117" s="108"/>
      <c r="ELV117" s="108"/>
      <c r="ELW117" s="108"/>
      <c r="ELX117" s="108"/>
      <c r="ELY117" s="108"/>
      <c r="ELZ117" s="108"/>
      <c r="EMA117" s="108"/>
      <c r="EMB117" s="108"/>
      <c r="EMC117" s="108"/>
      <c r="EMD117" s="108"/>
      <c r="EME117" s="108"/>
      <c r="EMF117" s="108"/>
      <c r="EMG117" s="108"/>
      <c r="EMH117" s="108"/>
      <c r="EMI117" s="108"/>
      <c r="EMJ117" s="108"/>
      <c r="EMK117" s="108"/>
      <c r="EML117" s="108"/>
      <c r="EMM117" s="108"/>
      <c r="EMN117" s="108"/>
      <c r="EMO117" s="108"/>
      <c r="EMP117" s="108"/>
      <c r="EMQ117" s="108"/>
      <c r="EMR117" s="108"/>
      <c r="EMS117" s="108"/>
      <c r="EMT117" s="108"/>
      <c r="EMU117" s="108"/>
      <c r="EMV117" s="108"/>
      <c r="EMW117" s="108"/>
      <c r="EMX117" s="108"/>
      <c r="EMY117" s="108"/>
      <c r="EMZ117" s="108"/>
      <c r="ENA117" s="108"/>
      <c r="ENB117" s="108"/>
      <c r="ENC117" s="108"/>
      <c r="END117" s="108"/>
      <c r="ENE117" s="108"/>
      <c r="ENF117" s="108"/>
      <c r="ENG117" s="108"/>
      <c r="ENH117" s="108"/>
      <c r="ENI117" s="108"/>
      <c r="ENJ117" s="108"/>
      <c r="ENK117" s="108"/>
      <c r="ENL117" s="108"/>
      <c r="ENM117" s="108"/>
      <c r="ENN117" s="108"/>
      <c r="ENO117" s="108"/>
      <c r="ENP117" s="108"/>
      <c r="ENQ117" s="108"/>
      <c r="ENR117" s="108"/>
      <c r="ENS117" s="108"/>
      <c r="ENT117" s="108"/>
      <c r="ENU117" s="108"/>
      <c r="ENV117" s="108"/>
      <c r="ENW117" s="108"/>
      <c r="ENX117" s="108"/>
      <c r="ENY117" s="108"/>
      <c r="ENZ117" s="108"/>
      <c r="EOA117" s="108"/>
      <c r="EOB117" s="108"/>
      <c r="EOC117" s="108"/>
      <c r="EOD117" s="108"/>
      <c r="EOE117" s="108"/>
      <c r="EOF117" s="108"/>
      <c r="EOG117" s="108"/>
      <c r="EOH117" s="108"/>
      <c r="EOI117" s="108"/>
      <c r="EOJ117" s="108"/>
      <c r="EOK117" s="108"/>
      <c r="EOL117" s="108"/>
      <c r="EOM117" s="108"/>
      <c r="EON117" s="108"/>
      <c r="EOO117" s="108"/>
      <c r="EOP117" s="108"/>
      <c r="EOQ117" s="108"/>
      <c r="EOR117" s="108"/>
      <c r="EOS117" s="108"/>
      <c r="EOT117" s="108"/>
      <c r="EOU117" s="108"/>
      <c r="EOV117" s="108"/>
      <c r="EOW117" s="108"/>
      <c r="EOX117" s="108"/>
      <c r="EOY117" s="108"/>
      <c r="EOZ117" s="108"/>
      <c r="EPA117" s="108"/>
      <c r="EPB117" s="108"/>
      <c r="EPC117" s="108"/>
      <c r="EPD117" s="108"/>
      <c r="EPE117" s="108"/>
      <c r="EPF117" s="108"/>
      <c r="EPG117" s="108"/>
      <c r="EPH117" s="108"/>
      <c r="EPI117" s="108"/>
      <c r="EPJ117" s="108"/>
      <c r="EPK117" s="108"/>
      <c r="EPL117" s="108"/>
      <c r="EPM117" s="108"/>
      <c r="EPN117" s="108"/>
      <c r="EPO117" s="108"/>
      <c r="EPP117" s="108"/>
      <c r="EPQ117" s="108"/>
      <c r="EPR117" s="108"/>
      <c r="EPS117" s="108"/>
      <c r="EPT117" s="108"/>
      <c r="EPU117" s="108"/>
      <c r="EPV117" s="108"/>
      <c r="EPW117" s="108"/>
      <c r="EPX117" s="108"/>
      <c r="EPY117" s="108"/>
      <c r="EPZ117" s="108"/>
      <c r="EQA117" s="108"/>
      <c r="EQB117" s="108"/>
      <c r="EQC117" s="108"/>
      <c r="EQD117" s="108"/>
      <c r="EQE117" s="108"/>
      <c r="EQF117" s="108"/>
      <c r="EQG117" s="108"/>
      <c r="EQH117" s="108"/>
      <c r="EQI117" s="108"/>
      <c r="EQJ117" s="108"/>
      <c r="EQK117" s="108"/>
      <c r="EQL117" s="108"/>
      <c r="EQM117" s="108"/>
      <c r="EQN117" s="108"/>
      <c r="EQO117" s="108"/>
      <c r="EQP117" s="108"/>
      <c r="EQQ117" s="108"/>
      <c r="EQR117" s="108"/>
      <c r="EQS117" s="108"/>
      <c r="EQT117" s="108"/>
      <c r="EQU117" s="108"/>
      <c r="EQV117" s="108"/>
      <c r="EQW117" s="108"/>
      <c r="EQX117" s="108"/>
      <c r="EQY117" s="108"/>
      <c r="EQZ117" s="108"/>
      <c r="ERA117" s="108"/>
      <c r="ERB117" s="108"/>
      <c r="ERC117" s="108"/>
      <c r="ERD117" s="108"/>
      <c r="ERE117" s="108"/>
      <c r="ERF117" s="108"/>
      <c r="ERG117" s="108"/>
      <c r="ERH117" s="108"/>
      <c r="ERI117" s="108"/>
      <c r="ERJ117" s="108"/>
      <c r="ERK117" s="108"/>
      <c r="ERL117" s="108"/>
      <c r="ERM117" s="108"/>
      <c r="ERN117" s="108"/>
      <c r="ERO117" s="108"/>
      <c r="ERP117" s="108"/>
      <c r="ERQ117" s="108"/>
      <c r="ERR117" s="108"/>
      <c r="ERS117" s="108"/>
      <c r="ERT117" s="108"/>
      <c r="ERU117" s="108"/>
      <c r="ERV117" s="108"/>
      <c r="ERW117" s="108"/>
      <c r="ERX117" s="108"/>
      <c r="ERY117" s="108"/>
      <c r="ERZ117" s="108"/>
      <c r="ESA117" s="108"/>
      <c r="ESB117" s="108"/>
      <c r="ESC117" s="108"/>
      <c r="ESD117" s="108"/>
      <c r="ESE117" s="108"/>
      <c r="ESF117" s="108"/>
      <c r="ESG117" s="108"/>
      <c r="ESH117" s="108"/>
      <c r="ESI117" s="108"/>
      <c r="ESJ117" s="108"/>
      <c r="ESK117" s="108"/>
      <c r="ESL117" s="108"/>
      <c r="ESM117" s="108"/>
      <c r="ESN117" s="108"/>
      <c r="ESO117" s="108"/>
      <c r="ESP117" s="108"/>
      <c r="ESQ117" s="108"/>
      <c r="ESR117" s="108"/>
      <c r="ESS117" s="108"/>
      <c r="EST117" s="108"/>
      <c r="ESU117" s="108"/>
      <c r="ESV117" s="108"/>
      <c r="ESW117" s="108"/>
      <c r="ESX117" s="108"/>
      <c r="ESY117" s="108"/>
      <c r="ESZ117" s="108"/>
      <c r="ETA117" s="108"/>
      <c r="ETB117" s="108"/>
      <c r="ETC117" s="108"/>
      <c r="ETD117" s="108"/>
      <c r="ETE117" s="108"/>
      <c r="ETF117" s="108"/>
      <c r="ETG117" s="108"/>
      <c r="ETH117" s="108"/>
      <c r="ETI117" s="108"/>
      <c r="ETJ117" s="108"/>
      <c r="ETK117" s="108"/>
      <c r="ETL117" s="108"/>
      <c r="ETM117" s="108"/>
      <c r="ETN117" s="108"/>
      <c r="ETO117" s="108"/>
      <c r="ETP117" s="108"/>
      <c r="ETQ117" s="108"/>
      <c r="ETR117" s="108"/>
      <c r="ETS117" s="108"/>
      <c r="ETT117" s="108"/>
      <c r="ETU117" s="108"/>
      <c r="ETV117" s="108"/>
      <c r="ETW117" s="108"/>
      <c r="ETX117" s="108"/>
      <c r="ETY117" s="108"/>
      <c r="ETZ117" s="108"/>
      <c r="EUA117" s="108"/>
      <c r="EUB117" s="108"/>
      <c r="EUC117" s="108"/>
      <c r="EUD117" s="108"/>
      <c r="EUE117" s="108"/>
      <c r="EUF117" s="108"/>
      <c r="EUG117" s="108"/>
      <c r="EUH117" s="108"/>
      <c r="EUI117" s="108"/>
      <c r="EUJ117" s="108"/>
      <c r="EUK117" s="108"/>
      <c r="EUL117" s="108"/>
      <c r="EUM117" s="108"/>
      <c r="EUN117" s="108"/>
      <c r="EUO117" s="108"/>
      <c r="EUP117" s="108"/>
      <c r="EUQ117" s="108"/>
      <c r="EUR117" s="108"/>
      <c r="EUS117" s="108"/>
      <c r="EUT117" s="108"/>
      <c r="EUU117" s="108"/>
      <c r="EUV117" s="108"/>
      <c r="EUW117" s="108"/>
      <c r="EUX117" s="108"/>
      <c r="EUY117" s="108"/>
      <c r="EUZ117" s="108"/>
      <c r="EVA117" s="108"/>
      <c r="EVB117" s="108"/>
      <c r="EVC117" s="108"/>
      <c r="EVD117" s="108"/>
      <c r="EVE117" s="108"/>
      <c r="EVF117" s="108"/>
      <c r="EVG117" s="108"/>
      <c r="EVH117" s="108"/>
      <c r="EVI117" s="108"/>
      <c r="EVJ117" s="108"/>
      <c r="EVK117" s="108"/>
      <c r="EVL117" s="108"/>
      <c r="EVM117" s="108"/>
      <c r="EVN117" s="108"/>
      <c r="EVO117" s="108"/>
      <c r="EVP117" s="108"/>
      <c r="EVQ117" s="108"/>
      <c r="EVR117" s="108"/>
      <c r="EVS117" s="108"/>
      <c r="EVT117" s="108"/>
      <c r="EVU117" s="108"/>
      <c r="EVV117" s="108"/>
      <c r="EVW117" s="108"/>
      <c r="EVX117" s="108"/>
      <c r="EVY117" s="108"/>
      <c r="EVZ117" s="108"/>
      <c r="EWA117" s="108"/>
      <c r="EWB117" s="108"/>
      <c r="EWC117" s="108"/>
      <c r="EWD117" s="108"/>
      <c r="EWE117" s="108"/>
      <c r="EWF117" s="108"/>
      <c r="EWG117" s="108"/>
      <c r="EWH117" s="108"/>
      <c r="EWI117" s="108"/>
      <c r="EWJ117" s="108"/>
      <c r="EWK117" s="108"/>
      <c r="EWL117" s="108"/>
      <c r="EWM117" s="108"/>
      <c r="EWN117" s="108"/>
      <c r="EWO117" s="108"/>
      <c r="EWP117" s="108"/>
      <c r="EWQ117" s="108"/>
      <c r="EWR117" s="108"/>
      <c r="EWS117" s="108"/>
      <c r="EWT117" s="108"/>
      <c r="EWU117" s="108"/>
      <c r="EWV117" s="108"/>
      <c r="EWW117" s="108"/>
      <c r="EWX117" s="108"/>
      <c r="EWY117" s="108"/>
      <c r="EWZ117" s="108"/>
      <c r="EXA117" s="108"/>
      <c r="EXB117" s="108"/>
      <c r="EXC117" s="108"/>
      <c r="EXD117" s="108"/>
      <c r="EXE117" s="108"/>
      <c r="EXF117" s="108"/>
      <c r="EXG117" s="108"/>
      <c r="EXH117" s="108"/>
      <c r="EXI117" s="108"/>
      <c r="EXJ117" s="108"/>
      <c r="EXK117" s="108"/>
      <c r="EXL117" s="108"/>
      <c r="EXM117" s="108"/>
      <c r="EXN117" s="108"/>
      <c r="EXO117" s="108"/>
      <c r="EXP117" s="108"/>
      <c r="EXQ117" s="108"/>
      <c r="EXR117" s="108"/>
      <c r="EXS117" s="108"/>
      <c r="EXT117" s="108"/>
      <c r="EXU117" s="108"/>
      <c r="EXV117" s="108"/>
      <c r="EXW117" s="108"/>
      <c r="EXX117" s="108"/>
      <c r="EXY117" s="108"/>
      <c r="EXZ117" s="108"/>
      <c r="EYA117" s="108"/>
      <c r="EYB117" s="108"/>
      <c r="EYC117" s="108"/>
      <c r="EYD117" s="108"/>
      <c r="EYE117" s="108"/>
      <c r="EYF117" s="108"/>
      <c r="EYG117" s="108"/>
      <c r="EYH117" s="108"/>
      <c r="EYI117" s="108"/>
      <c r="EYJ117" s="108"/>
      <c r="EYK117" s="108"/>
      <c r="EYL117" s="108"/>
      <c r="EYM117" s="108"/>
      <c r="EYN117" s="108"/>
      <c r="EYO117" s="108"/>
      <c r="EYP117" s="108"/>
      <c r="EYQ117" s="108"/>
      <c r="EYR117" s="108"/>
      <c r="EYS117" s="108"/>
      <c r="EYT117" s="108"/>
      <c r="EYU117" s="108"/>
      <c r="EYV117" s="108"/>
      <c r="EYW117" s="108"/>
      <c r="EYX117" s="108"/>
      <c r="EYY117" s="108"/>
      <c r="EYZ117" s="108"/>
      <c r="EZA117" s="108"/>
      <c r="EZB117" s="108"/>
      <c r="EZC117" s="108"/>
      <c r="EZD117" s="108"/>
      <c r="EZE117" s="108"/>
      <c r="EZF117" s="108"/>
      <c r="EZG117" s="108"/>
      <c r="EZH117" s="108"/>
      <c r="EZI117" s="108"/>
      <c r="EZJ117" s="108"/>
      <c r="EZK117" s="108"/>
      <c r="EZL117" s="108"/>
      <c r="EZM117" s="108"/>
      <c r="EZN117" s="108"/>
      <c r="EZO117" s="108"/>
      <c r="EZP117" s="108"/>
      <c r="EZQ117" s="108"/>
      <c r="EZR117" s="108"/>
      <c r="EZS117" s="108"/>
      <c r="EZT117" s="108"/>
      <c r="EZU117" s="108"/>
      <c r="EZV117" s="108"/>
      <c r="EZW117" s="108"/>
      <c r="EZX117" s="108"/>
      <c r="EZY117" s="108"/>
      <c r="EZZ117" s="108"/>
      <c r="FAA117" s="108"/>
      <c r="FAB117" s="108"/>
      <c r="FAC117" s="108"/>
      <c r="FAD117" s="108"/>
      <c r="FAE117" s="108"/>
      <c r="FAF117" s="108"/>
      <c r="FAG117" s="108"/>
      <c r="FAH117" s="108"/>
      <c r="FAI117" s="108"/>
      <c r="FAJ117" s="108"/>
      <c r="FAK117" s="108"/>
      <c r="FAL117" s="108"/>
      <c r="FAM117" s="108"/>
      <c r="FAN117" s="108"/>
      <c r="FAO117" s="108"/>
      <c r="FAP117" s="108"/>
      <c r="FAQ117" s="108"/>
      <c r="FAR117" s="108"/>
      <c r="FAS117" s="108"/>
      <c r="FAT117" s="108"/>
      <c r="FAU117" s="108"/>
      <c r="FAV117" s="108"/>
      <c r="FAW117" s="108"/>
      <c r="FAX117" s="108"/>
      <c r="FAY117" s="108"/>
      <c r="FAZ117" s="108"/>
      <c r="FBA117" s="108"/>
      <c r="FBB117" s="108"/>
      <c r="FBC117" s="108"/>
      <c r="FBD117" s="108"/>
      <c r="FBE117" s="108"/>
      <c r="FBF117" s="108"/>
      <c r="FBG117" s="108"/>
      <c r="FBH117" s="108"/>
      <c r="FBI117" s="108"/>
      <c r="FBJ117" s="108"/>
      <c r="FBK117" s="108"/>
      <c r="FBL117" s="108"/>
      <c r="FBM117" s="108"/>
      <c r="FBN117" s="108"/>
      <c r="FBO117" s="108"/>
      <c r="FBP117" s="108"/>
      <c r="FBQ117" s="108"/>
      <c r="FBR117" s="108"/>
      <c r="FBS117" s="108"/>
      <c r="FBT117" s="108"/>
      <c r="FBU117" s="108"/>
      <c r="FBV117" s="108"/>
      <c r="FBW117" s="108"/>
      <c r="FBX117" s="108"/>
      <c r="FBY117" s="108"/>
      <c r="FBZ117" s="108"/>
      <c r="FCA117" s="108"/>
      <c r="FCB117" s="108"/>
      <c r="FCC117" s="108"/>
      <c r="FCD117" s="108"/>
      <c r="FCE117" s="108"/>
      <c r="FCF117" s="108"/>
      <c r="FCG117" s="108"/>
      <c r="FCH117" s="108"/>
      <c r="FCI117" s="108"/>
      <c r="FCJ117" s="108"/>
      <c r="FCK117" s="108"/>
      <c r="FCL117" s="108"/>
      <c r="FCM117" s="108"/>
      <c r="FCN117" s="108"/>
      <c r="FCO117" s="108"/>
      <c r="FCP117" s="108"/>
      <c r="FCQ117" s="108"/>
      <c r="FCR117" s="108"/>
      <c r="FCS117" s="108"/>
      <c r="FCT117" s="108"/>
      <c r="FCU117" s="108"/>
      <c r="FCV117" s="108"/>
      <c r="FCW117" s="108"/>
      <c r="FCX117" s="108"/>
      <c r="FCY117" s="108"/>
      <c r="FCZ117" s="108"/>
      <c r="FDA117" s="108"/>
      <c r="FDB117" s="108"/>
      <c r="FDC117" s="108"/>
      <c r="FDD117" s="108"/>
      <c r="FDE117" s="108"/>
      <c r="FDF117" s="108"/>
      <c r="FDG117" s="108"/>
      <c r="FDH117" s="108"/>
      <c r="FDI117" s="108"/>
      <c r="FDJ117" s="108"/>
      <c r="FDK117" s="108"/>
      <c r="FDL117" s="108"/>
      <c r="FDM117" s="108"/>
      <c r="FDN117" s="108"/>
      <c r="FDO117" s="108"/>
      <c r="FDP117" s="108"/>
      <c r="FDQ117" s="108"/>
      <c r="FDR117" s="108"/>
      <c r="FDS117" s="108"/>
      <c r="FDT117" s="108"/>
      <c r="FDU117" s="108"/>
      <c r="FDV117" s="108"/>
      <c r="FDW117" s="108"/>
      <c r="FDX117" s="108"/>
      <c r="FDY117" s="108"/>
      <c r="FDZ117" s="108"/>
      <c r="FEA117" s="108"/>
      <c r="FEB117" s="108"/>
      <c r="FEC117" s="108"/>
      <c r="FED117" s="108"/>
      <c r="FEE117" s="108"/>
      <c r="FEF117" s="108"/>
      <c r="FEG117" s="108"/>
      <c r="FEH117" s="108"/>
      <c r="FEI117" s="108"/>
      <c r="FEJ117" s="108"/>
      <c r="FEK117" s="108"/>
      <c r="FEL117" s="108"/>
      <c r="FEM117" s="108"/>
      <c r="FEN117" s="108"/>
      <c r="FEO117" s="108"/>
      <c r="FEP117" s="108"/>
      <c r="FEQ117" s="108"/>
      <c r="FER117" s="108"/>
      <c r="FES117" s="108"/>
      <c r="FET117" s="108"/>
      <c r="FEU117" s="108"/>
      <c r="FEV117" s="108"/>
      <c r="FEW117" s="108"/>
      <c r="FEX117" s="108"/>
      <c r="FEY117" s="108"/>
      <c r="FEZ117" s="108"/>
      <c r="FFA117" s="108"/>
      <c r="FFB117" s="108"/>
      <c r="FFC117" s="108"/>
      <c r="FFD117" s="108"/>
      <c r="FFE117" s="108"/>
      <c r="FFF117" s="108"/>
      <c r="FFG117" s="108"/>
      <c r="FFH117" s="108"/>
      <c r="FFI117" s="108"/>
      <c r="FFJ117" s="108"/>
      <c r="FFK117" s="108"/>
      <c r="FFL117" s="108"/>
      <c r="FFM117" s="108"/>
      <c r="FFN117" s="108"/>
      <c r="FFO117" s="108"/>
      <c r="FFP117" s="108"/>
      <c r="FFQ117" s="108"/>
      <c r="FFR117" s="108"/>
      <c r="FFS117" s="108"/>
      <c r="FFT117" s="108"/>
      <c r="FFU117" s="108"/>
      <c r="FFV117" s="108"/>
      <c r="FFW117" s="108"/>
      <c r="FFX117" s="108"/>
      <c r="FFY117" s="108"/>
      <c r="FFZ117" s="108"/>
      <c r="FGA117" s="108"/>
      <c r="FGB117" s="108"/>
      <c r="FGC117" s="108"/>
      <c r="FGD117" s="108"/>
      <c r="FGE117" s="108"/>
      <c r="FGF117" s="108"/>
      <c r="FGG117" s="108"/>
      <c r="FGH117" s="108"/>
      <c r="FGI117" s="108"/>
      <c r="FGJ117" s="108"/>
      <c r="FGK117" s="108"/>
      <c r="FGL117" s="108"/>
      <c r="FGM117" s="108"/>
      <c r="FGN117" s="108"/>
      <c r="FGO117" s="108"/>
      <c r="FGP117" s="108"/>
      <c r="FGQ117" s="108"/>
      <c r="FGR117" s="108"/>
      <c r="FGS117" s="108"/>
      <c r="FGT117" s="108"/>
      <c r="FGU117" s="108"/>
      <c r="FGV117" s="108"/>
      <c r="FGW117" s="108"/>
      <c r="FGX117" s="108"/>
      <c r="FGY117" s="108"/>
      <c r="FGZ117" s="108"/>
      <c r="FHA117" s="108"/>
      <c r="FHB117" s="108"/>
      <c r="FHC117" s="108"/>
      <c r="FHD117" s="108"/>
      <c r="FHE117" s="108"/>
      <c r="FHF117" s="108"/>
      <c r="FHG117" s="108"/>
      <c r="FHH117" s="108"/>
      <c r="FHI117" s="108"/>
      <c r="FHJ117" s="108"/>
      <c r="FHK117" s="108"/>
      <c r="FHL117" s="108"/>
      <c r="FHM117" s="108"/>
      <c r="FHN117" s="108"/>
      <c r="FHO117" s="108"/>
      <c r="FHP117" s="108"/>
      <c r="FHQ117" s="108"/>
      <c r="FHR117" s="108"/>
      <c r="FHS117" s="108"/>
      <c r="FHT117" s="108"/>
      <c r="FHU117" s="108"/>
      <c r="FHV117" s="108"/>
      <c r="FHW117" s="108"/>
      <c r="FHX117" s="108"/>
      <c r="FHY117" s="108"/>
      <c r="FHZ117" s="108"/>
      <c r="FIA117" s="108"/>
      <c r="FIB117" s="108"/>
      <c r="FIC117" s="108"/>
      <c r="FID117" s="108"/>
      <c r="FIE117" s="108"/>
      <c r="FIF117" s="108"/>
      <c r="FIG117" s="108"/>
      <c r="FIH117" s="108"/>
      <c r="FII117" s="108"/>
      <c r="FIJ117" s="108"/>
      <c r="FIK117" s="108"/>
      <c r="FIL117" s="108"/>
      <c r="FIM117" s="108"/>
      <c r="FIN117" s="108"/>
      <c r="FIO117" s="108"/>
      <c r="FIP117" s="108"/>
      <c r="FIQ117" s="108"/>
      <c r="FIR117" s="108"/>
      <c r="FIS117" s="108"/>
      <c r="FIT117" s="108"/>
      <c r="FIU117" s="108"/>
      <c r="FIV117" s="108"/>
      <c r="FIW117" s="108"/>
      <c r="FIX117" s="108"/>
      <c r="FIY117" s="108"/>
      <c r="FIZ117" s="108"/>
      <c r="FJA117" s="108"/>
      <c r="FJB117" s="108"/>
      <c r="FJC117" s="108"/>
      <c r="FJD117" s="108"/>
      <c r="FJE117" s="108"/>
      <c r="FJF117" s="108"/>
      <c r="FJG117" s="108"/>
      <c r="FJH117" s="108"/>
      <c r="FJI117" s="108"/>
      <c r="FJJ117" s="108"/>
      <c r="FJK117" s="108"/>
      <c r="FJL117" s="108"/>
      <c r="FJM117" s="108"/>
      <c r="FJN117" s="108"/>
      <c r="FJO117" s="108"/>
      <c r="FJP117" s="108"/>
      <c r="FJQ117" s="108"/>
      <c r="FJR117" s="108"/>
      <c r="FJS117" s="108"/>
      <c r="FJT117" s="108"/>
      <c r="FJU117" s="108"/>
      <c r="FJV117" s="108"/>
      <c r="FJW117" s="108"/>
      <c r="FJX117" s="108"/>
      <c r="FJY117" s="108"/>
      <c r="FJZ117" s="108"/>
      <c r="FKA117" s="108"/>
      <c r="FKB117" s="108"/>
      <c r="FKC117" s="108"/>
      <c r="FKD117" s="108"/>
      <c r="FKE117" s="108"/>
      <c r="FKF117" s="108"/>
      <c r="FKG117" s="108"/>
      <c r="FKH117" s="108"/>
      <c r="FKI117" s="108"/>
      <c r="FKJ117" s="108"/>
      <c r="FKK117" s="108"/>
      <c r="FKL117" s="108"/>
      <c r="FKM117" s="108"/>
      <c r="FKN117" s="108"/>
      <c r="FKO117" s="108"/>
      <c r="FKP117" s="108"/>
      <c r="FKQ117" s="108"/>
      <c r="FKR117" s="108"/>
      <c r="FKS117" s="108"/>
      <c r="FKT117" s="108"/>
      <c r="FKU117" s="108"/>
      <c r="FKV117" s="108"/>
      <c r="FKW117" s="108"/>
      <c r="FKX117" s="108"/>
      <c r="FKY117" s="108"/>
      <c r="FKZ117" s="108"/>
      <c r="FLA117" s="108"/>
      <c r="FLB117" s="108"/>
      <c r="FLC117" s="108"/>
      <c r="FLD117" s="108"/>
      <c r="FLE117" s="108"/>
      <c r="FLF117" s="108"/>
      <c r="FLG117" s="108"/>
      <c r="FLH117" s="108"/>
      <c r="FLI117" s="108"/>
      <c r="FLJ117" s="108"/>
      <c r="FLK117" s="108"/>
      <c r="FLL117" s="108"/>
      <c r="FLM117" s="108"/>
      <c r="FLN117" s="108"/>
      <c r="FLO117" s="108"/>
      <c r="FLP117" s="108"/>
      <c r="FLQ117" s="108"/>
      <c r="FLR117" s="108"/>
      <c r="FLS117" s="108"/>
      <c r="FLT117" s="108"/>
      <c r="FLU117" s="108"/>
      <c r="FLV117" s="108"/>
      <c r="FLW117" s="108"/>
      <c r="FLX117" s="108"/>
      <c r="FLY117" s="108"/>
      <c r="FLZ117" s="108"/>
      <c r="FMA117" s="108"/>
      <c r="FMB117" s="108"/>
      <c r="FMC117" s="108"/>
      <c r="FMD117" s="108"/>
      <c r="FME117" s="108"/>
      <c r="FMF117" s="108"/>
      <c r="FMG117" s="108"/>
      <c r="FMH117" s="108"/>
      <c r="FMI117" s="108"/>
      <c r="FMJ117" s="108"/>
      <c r="FMK117" s="108"/>
      <c r="FML117" s="108"/>
      <c r="FMM117" s="108"/>
      <c r="FMN117" s="108"/>
      <c r="FMO117" s="108"/>
      <c r="FMP117" s="108"/>
      <c r="FMQ117" s="108"/>
      <c r="FMR117" s="108"/>
      <c r="FMS117" s="108"/>
      <c r="FMT117" s="108"/>
      <c r="FMU117" s="108"/>
      <c r="FMV117" s="108"/>
      <c r="FMW117" s="108"/>
      <c r="FMX117" s="108"/>
      <c r="FMY117" s="108"/>
      <c r="FMZ117" s="108"/>
      <c r="FNA117" s="108"/>
      <c r="FNB117" s="108"/>
      <c r="FNC117" s="108"/>
      <c r="FND117" s="108"/>
      <c r="FNE117" s="108"/>
      <c r="FNF117" s="108"/>
      <c r="FNG117" s="108"/>
      <c r="FNH117" s="108"/>
      <c r="FNI117" s="108"/>
      <c r="FNJ117" s="108"/>
      <c r="FNK117" s="108"/>
      <c r="FNL117" s="108"/>
      <c r="FNM117" s="108"/>
      <c r="FNN117" s="108"/>
      <c r="FNO117" s="108"/>
      <c r="FNP117" s="108"/>
      <c r="FNQ117" s="108"/>
      <c r="FNR117" s="108"/>
      <c r="FNS117" s="108"/>
      <c r="FNT117" s="108"/>
      <c r="FNU117" s="108"/>
      <c r="FNV117" s="108"/>
      <c r="FNW117" s="108"/>
      <c r="FNX117" s="108"/>
      <c r="FNY117" s="108"/>
      <c r="FNZ117" s="108"/>
      <c r="FOA117" s="108"/>
      <c r="FOB117" s="108"/>
      <c r="FOC117" s="108"/>
      <c r="FOD117" s="108"/>
      <c r="FOE117" s="108"/>
      <c r="FOF117" s="108"/>
      <c r="FOG117" s="108"/>
      <c r="FOH117" s="108"/>
      <c r="FOI117" s="108"/>
      <c r="FOJ117" s="108"/>
      <c r="FOK117" s="108"/>
      <c r="FOL117" s="108"/>
      <c r="FOM117" s="108"/>
      <c r="FON117" s="108"/>
      <c r="FOO117" s="108"/>
      <c r="FOP117" s="108"/>
      <c r="FOQ117" s="108"/>
      <c r="FOR117" s="108"/>
      <c r="FOS117" s="108"/>
      <c r="FOT117" s="108"/>
      <c r="FOU117" s="108"/>
      <c r="FOV117" s="108"/>
      <c r="FOW117" s="108"/>
      <c r="FOX117" s="108"/>
      <c r="FOY117" s="108"/>
      <c r="FOZ117" s="108"/>
      <c r="FPA117" s="108"/>
      <c r="FPB117" s="108"/>
      <c r="FPC117" s="108"/>
      <c r="FPD117" s="108"/>
      <c r="FPE117" s="108"/>
      <c r="FPF117" s="108"/>
      <c r="FPG117" s="108"/>
      <c r="FPH117" s="108"/>
      <c r="FPI117" s="108"/>
      <c r="FPJ117" s="108"/>
      <c r="FPK117" s="108"/>
      <c r="FPL117" s="108"/>
      <c r="FPM117" s="108"/>
      <c r="FPN117" s="108"/>
      <c r="FPO117" s="108"/>
      <c r="FPP117" s="108"/>
      <c r="FPQ117" s="108"/>
      <c r="FPR117" s="108"/>
      <c r="FPS117" s="108"/>
      <c r="FPT117" s="108"/>
      <c r="FPU117" s="108"/>
      <c r="FPV117" s="108"/>
      <c r="FPW117" s="108"/>
      <c r="FPX117" s="108"/>
      <c r="FPY117" s="108"/>
      <c r="FPZ117" s="108"/>
      <c r="FQA117" s="108"/>
      <c r="FQB117" s="108"/>
      <c r="FQC117" s="108"/>
      <c r="FQD117" s="108"/>
      <c r="FQE117" s="108"/>
      <c r="FQF117" s="108"/>
      <c r="FQG117" s="108"/>
      <c r="FQH117" s="108"/>
      <c r="FQI117" s="108"/>
      <c r="FQJ117" s="108"/>
      <c r="FQK117" s="108"/>
      <c r="FQL117" s="108"/>
      <c r="FQM117" s="108"/>
      <c r="FQN117" s="108"/>
      <c r="FQO117" s="108"/>
      <c r="FQP117" s="108"/>
      <c r="FQQ117" s="108"/>
      <c r="FQR117" s="108"/>
      <c r="FQS117" s="108"/>
      <c r="FQT117" s="108"/>
      <c r="FQU117" s="108"/>
      <c r="FQV117" s="108"/>
      <c r="FQW117" s="108"/>
      <c r="FQX117" s="108"/>
      <c r="FQY117" s="108"/>
      <c r="FQZ117" s="108"/>
      <c r="FRA117" s="108"/>
      <c r="FRB117" s="108"/>
      <c r="FRC117" s="108"/>
      <c r="FRD117" s="108"/>
      <c r="FRE117" s="108"/>
      <c r="FRF117" s="108"/>
      <c r="FRG117" s="108"/>
      <c r="FRH117" s="108"/>
      <c r="FRI117" s="108"/>
      <c r="FRJ117" s="108"/>
      <c r="FRK117" s="108"/>
      <c r="FRL117" s="108"/>
      <c r="FRM117" s="108"/>
      <c r="FRN117" s="108"/>
      <c r="FRO117" s="108"/>
      <c r="FRP117" s="108"/>
      <c r="FRQ117" s="108"/>
      <c r="FRR117" s="108"/>
      <c r="FRS117" s="108"/>
      <c r="FRT117" s="108"/>
      <c r="FRU117" s="108"/>
      <c r="FRV117" s="108"/>
      <c r="FRW117" s="108"/>
      <c r="FRX117" s="108"/>
      <c r="FRY117" s="108"/>
      <c r="FRZ117" s="108"/>
      <c r="FSA117" s="108"/>
      <c r="FSB117" s="108"/>
      <c r="FSC117" s="108"/>
      <c r="FSD117" s="108"/>
      <c r="FSE117" s="108"/>
      <c r="FSF117" s="108"/>
      <c r="FSG117" s="108"/>
      <c r="FSH117" s="108"/>
      <c r="FSI117" s="108"/>
      <c r="FSJ117" s="108"/>
      <c r="FSK117" s="108"/>
      <c r="FSL117" s="108"/>
      <c r="FSM117" s="108"/>
      <c r="FSN117" s="108"/>
      <c r="FSO117" s="108"/>
      <c r="FSP117" s="108"/>
      <c r="FSQ117" s="108"/>
      <c r="FSR117" s="108"/>
      <c r="FSS117" s="108"/>
      <c r="FST117" s="108"/>
      <c r="FSU117" s="108"/>
      <c r="FSV117" s="108"/>
      <c r="FSW117" s="108"/>
      <c r="FSX117" s="108"/>
      <c r="FSY117" s="108"/>
      <c r="FSZ117" s="108"/>
      <c r="FTA117" s="108"/>
      <c r="FTB117" s="108"/>
      <c r="FTC117" s="108"/>
      <c r="FTD117" s="108"/>
      <c r="FTE117" s="108"/>
      <c r="FTF117" s="108"/>
      <c r="FTG117" s="108"/>
      <c r="FTH117" s="108"/>
      <c r="FTI117" s="108"/>
      <c r="FTJ117" s="108"/>
      <c r="FTK117" s="108"/>
      <c r="FTL117" s="108"/>
      <c r="FTM117" s="108"/>
      <c r="FTN117" s="108"/>
      <c r="FTO117" s="108"/>
      <c r="FTP117" s="108"/>
      <c r="FTQ117" s="108"/>
      <c r="FTR117" s="108"/>
      <c r="FTS117" s="108"/>
      <c r="FTT117" s="108"/>
      <c r="FTU117" s="108"/>
      <c r="FTV117" s="108"/>
      <c r="FTW117" s="108"/>
      <c r="FTX117" s="108"/>
      <c r="FTY117" s="108"/>
      <c r="FTZ117" s="108"/>
      <c r="FUA117" s="108"/>
      <c r="FUB117" s="108"/>
      <c r="FUC117" s="108"/>
      <c r="FUD117" s="108"/>
      <c r="FUE117" s="108"/>
      <c r="FUF117" s="108"/>
      <c r="FUG117" s="108"/>
      <c r="FUH117" s="108"/>
      <c r="FUI117" s="108"/>
      <c r="FUJ117" s="108"/>
      <c r="FUK117" s="108"/>
      <c r="FUL117" s="108"/>
      <c r="FUM117" s="108"/>
      <c r="FUN117" s="108"/>
      <c r="FUO117" s="108"/>
      <c r="FUP117" s="108"/>
      <c r="FUQ117" s="108"/>
      <c r="FUR117" s="108"/>
      <c r="FUS117" s="108"/>
      <c r="FUT117" s="108"/>
      <c r="FUU117" s="108"/>
      <c r="FUV117" s="108"/>
      <c r="FUW117" s="108"/>
      <c r="FUX117" s="108"/>
      <c r="FUY117" s="108"/>
      <c r="FUZ117" s="108"/>
      <c r="FVA117" s="108"/>
      <c r="FVB117" s="108"/>
      <c r="FVC117" s="108"/>
      <c r="FVD117" s="108"/>
      <c r="FVE117" s="108"/>
      <c r="FVF117" s="108"/>
      <c r="FVG117" s="108"/>
      <c r="FVH117" s="108"/>
      <c r="FVI117" s="108"/>
      <c r="FVJ117" s="108"/>
      <c r="FVK117" s="108"/>
      <c r="FVL117" s="108"/>
      <c r="FVM117" s="108"/>
      <c r="FVN117" s="108"/>
      <c r="FVO117" s="108"/>
      <c r="FVP117" s="108"/>
      <c r="FVQ117" s="108"/>
      <c r="FVR117" s="108"/>
      <c r="FVS117" s="108"/>
      <c r="FVT117" s="108"/>
      <c r="FVU117" s="108"/>
      <c r="FVV117" s="108"/>
      <c r="FVW117" s="108"/>
      <c r="FVX117" s="108"/>
      <c r="FVY117" s="108"/>
      <c r="FVZ117" s="108"/>
      <c r="FWA117" s="108"/>
      <c r="FWB117" s="108"/>
      <c r="FWC117" s="108"/>
      <c r="FWD117" s="108"/>
      <c r="FWE117" s="108"/>
      <c r="FWF117" s="108"/>
      <c r="FWG117" s="108"/>
      <c r="FWH117" s="108"/>
      <c r="FWI117" s="108"/>
      <c r="FWJ117" s="108"/>
      <c r="FWK117" s="108"/>
      <c r="FWL117" s="108"/>
      <c r="FWM117" s="108"/>
      <c r="FWN117" s="108"/>
      <c r="FWO117" s="108"/>
      <c r="FWP117" s="108"/>
      <c r="FWQ117" s="108"/>
      <c r="FWR117" s="108"/>
      <c r="FWS117" s="108"/>
      <c r="FWT117" s="108"/>
      <c r="FWU117" s="108"/>
      <c r="FWV117" s="108"/>
      <c r="FWW117" s="108"/>
      <c r="FWX117" s="108"/>
      <c r="FWY117" s="108"/>
      <c r="FWZ117" s="108"/>
      <c r="FXA117" s="108"/>
      <c r="FXB117" s="108"/>
      <c r="FXC117" s="108"/>
      <c r="FXD117" s="108"/>
      <c r="FXE117" s="108"/>
      <c r="FXF117" s="108"/>
      <c r="FXG117" s="108"/>
      <c r="FXH117" s="108"/>
      <c r="FXI117" s="108"/>
      <c r="FXJ117" s="108"/>
      <c r="FXK117" s="108"/>
      <c r="FXL117" s="108"/>
      <c r="FXM117" s="108"/>
      <c r="FXN117" s="108"/>
      <c r="FXO117" s="108"/>
      <c r="FXP117" s="108"/>
      <c r="FXQ117" s="108"/>
      <c r="FXR117" s="108"/>
      <c r="FXS117" s="108"/>
      <c r="FXT117" s="108"/>
      <c r="FXU117" s="108"/>
      <c r="FXV117" s="108"/>
      <c r="FXW117" s="108"/>
      <c r="FXX117" s="108"/>
      <c r="FXY117" s="108"/>
      <c r="FXZ117" s="108"/>
      <c r="FYA117" s="108"/>
      <c r="FYB117" s="108"/>
      <c r="FYC117" s="108"/>
      <c r="FYD117" s="108"/>
      <c r="FYE117" s="108"/>
      <c r="FYF117" s="108"/>
      <c r="FYG117" s="108"/>
      <c r="FYH117" s="108"/>
      <c r="FYI117" s="108"/>
      <c r="FYJ117" s="108"/>
      <c r="FYK117" s="108"/>
      <c r="FYL117" s="108"/>
      <c r="FYM117" s="108"/>
      <c r="FYN117" s="108"/>
      <c r="FYO117" s="108"/>
      <c r="FYP117" s="108"/>
      <c r="FYQ117" s="108"/>
      <c r="FYR117" s="108"/>
      <c r="FYS117" s="108"/>
      <c r="FYT117" s="108"/>
      <c r="FYU117" s="108"/>
      <c r="FYV117" s="108"/>
      <c r="FYW117" s="108"/>
      <c r="FYX117" s="108"/>
      <c r="FYY117" s="108"/>
      <c r="FYZ117" s="108"/>
      <c r="FZA117" s="108"/>
      <c r="FZB117" s="108"/>
      <c r="FZC117" s="108"/>
      <c r="FZD117" s="108"/>
      <c r="FZE117" s="108"/>
      <c r="FZF117" s="108"/>
      <c r="FZG117" s="108"/>
      <c r="FZH117" s="108"/>
      <c r="FZI117" s="108"/>
      <c r="FZJ117" s="108"/>
      <c r="FZK117" s="108"/>
      <c r="FZL117" s="108"/>
      <c r="FZM117" s="108"/>
      <c r="FZN117" s="108"/>
      <c r="FZO117" s="108"/>
      <c r="FZP117" s="108"/>
      <c r="FZQ117" s="108"/>
      <c r="FZR117" s="108"/>
      <c r="FZS117" s="108"/>
      <c r="FZT117" s="108"/>
      <c r="FZU117" s="108"/>
      <c r="FZV117" s="108"/>
      <c r="FZW117" s="108"/>
      <c r="FZX117" s="108"/>
      <c r="FZY117" s="108"/>
      <c r="FZZ117" s="108"/>
      <c r="GAA117" s="108"/>
      <c r="GAB117" s="108"/>
      <c r="GAC117" s="108"/>
      <c r="GAD117" s="108"/>
      <c r="GAE117" s="108"/>
      <c r="GAF117" s="108"/>
      <c r="GAG117" s="108"/>
      <c r="GAH117" s="108"/>
      <c r="GAI117" s="108"/>
      <c r="GAJ117" s="108"/>
      <c r="GAK117" s="108"/>
      <c r="GAL117" s="108"/>
      <c r="GAM117" s="108"/>
      <c r="GAN117" s="108"/>
      <c r="GAO117" s="108"/>
      <c r="GAP117" s="108"/>
      <c r="GAQ117" s="108"/>
      <c r="GAR117" s="108"/>
      <c r="GAS117" s="108"/>
      <c r="GAT117" s="108"/>
      <c r="GAU117" s="108"/>
      <c r="GAV117" s="108"/>
      <c r="GAW117" s="108"/>
      <c r="GAX117" s="108"/>
      <c r="GAY117" s="108"/>
      <c r="GAZ117" s="108"/>
      <c r="GBA117" s="108"/>
      <c r="GBB117" s="108"/>
      <c r="GBC117" s="108"/>
      <c r="GBD117" s="108"/>
      <c r="GBE117" s="108"/>
      <c r="GBF117" s="108"/>
      <c r="GBG117" s="108"/>
      <c r="GBH117" s="108"/>
      <c r="GBI117" s="108"/>
      <c r="GBJ117" s="108"/>
      <c r="GBK117" s="108"/>
      <c r="GBL117" s="108"/>
      <c r="GBM117" s="108"/>
      <c r="GBN117" s="108"/>
      <c r="GBO117" s="108"/>
      <c r="GBP117" s="108"/>
      <c r="GBQ117" s="108"/>
      <c r="GBR117" s="108"/>
      <c r="GBS117" s="108"/>
      <c r="GBT117" s="108"/>
      <c r="GBU117" s="108"/>
      <c r="GBV117" s="108"/>
      <c r="GBW117" s="108"/>
      <c r="GBX117" s="108"/>
      <c r="GBY117" s="108"/>
      <c r="GBZ117" s="108"/>
      <c r="GCA117" s="108"/>
      <c r="GCB117" s="108"/>
      <c r="GCC117" s="108"/>
      <c r="GCD117" s="108"/>
      <c r="GCE117" s="108"/>
      <c r="GCF117" s="108"/>
      <c r="GCG117" s="108"/>
      <c r="GCH117" s="108"/>
      <c r="GCI117" s="108"/>
      <c r="GCJ117" s="108"/>
      <c r="GCK117" s="108"/>
      <c r="GCL117" s="108"/>
      <c r="GCM117" s="108"/>
      <c r="GCN117" s="108"/>
      <c r="GCO117" s="108"/>
      <c r="GCP117" s="108"/>
      <c r="GCQ117" s="108"/>
      <c r="GCR117" s="108"/>
      <c r="GCS117" s="108"/>
      <c r="GCT117" s="108"/>
      <c r="GCU117" s="108"/>
      <c r="GCV117" s="108"/>
      <c r="GCW117" s="108"/>
      <c r="GCX117" s="108"/>
      <c r="GCY117" s="108"/>
      <c r="GCZ117" s="108"/>
      <c r="GDA117" s="108"/>
      <c r="GDB117" s="108"/>
      <c r="GDC117" s="108"/>
      <c r="GDD117" s="108"/>
      <c r="GDE117" s="108"/>
      <c r="GDF117" s="108"/>
      <c r="GDG117" s="108"/>
      <c r="GDH117" s="108"/>
      <c r="GDI117" s="108"/>
      <c r="GDJ117" s="108"/>
      <c r="GDK117" s="108"/>
      <c r="GDL117" s="108"/>
      <c r="GDM117" s="108"/>
      <c r="GDN117" s="108"/>
      <c r="GDO117" s="108"/>
      <c r="GDP117" s="108"/>
      <c r="GDQ117" s="108"/>
      <c r="GDR117" s="108"/>
      <c r="GDS117" s="108"/>
      <c r="GDT117" s="108"/>
      <c r="GDU117" s="108"/>
      <c r="GDV117" s="108"/>
      <c r="GDW117" s="108"/>
      <c r="GDX117" s="108"/>
      <c r="GDY117" s="108"/>
      <c r="GDZ117" s="108"/>
      <c r="GEA117" s="108"/>
      <c r="GEB117" s="108"/>
      <c r="GEC117" s="108"/>
      <c r="GED117" s="108"/>
      <c r="GEE117" s="108"/>
      <c r="GEF117" s="108"/>
      <c r="GEG117" s="108"/>
      <c r="GEH117" s="108"/>
      <c r="GEI117" s="108"/>
      <c r="GEJ117" s="108"/>
      <c r="GEK117" s="108"/>
      <c r="GEL117" s="108"/>
      <c r="GEM117" s="108"/>
      <c r="GEN117" s="108"/>
      <c r="GEO117" s="108"/>
      <c r="GEP117" s="108"/>
      <c r="GEQ117" s="108"/>
      <c r="GER117" s="108"/>
      <c r="GES117" s="108"/>
      <c r="GET117" s="108"/>
      <c r="GEU117" s="108"/>
      <c r="GEV117" s="108"/>
      <c r="GEW117" s="108"/>
      <c r="GEX117" s="108"/>
      <c r="GEY117" s="108"/>
      <c r="GEZ117" s="108"/>
      <c r="GFA117" s="108"/>
      <c r="GFB117" s="108"/>
      <c r="GFC117" s="108"/>
      <c r="GFD117" s="108"/>
      <c r="GFE117" s="108"/>
      <c r="GFF117" s="108"/>
      <c r="GFG117" s="108"/>
      <c r="GFH117" s="108"/>
      <c r="GFI117" s="108"/>
      <c r="GFJ117" s="108"/>
      <c r="GFK117" s="108"/>
      <c r="GFL117" s="108"/>
      <c r="GFM117" s="108"/>
      <c r="GFN117" s="108"/>
      <c r="GFO117" s="108"/>
      <c r="GFP117" s="108"/>
      <c r="GFQ117" s="108"/>
      <c r="GFR117" s="108"/>
      <c r="GFS117" s="108"/>
      <c r="GFT117" s="108"/>
      <c r="GFU117" s="108"/>
      <c r="GFV117" s="108"/>
      <c r="GFW117" s="108"/>
      <c r="GFX117" s="108"/>
      <c r="GFY117" s="108"/>
      <c r="GFZ117" s="108"/>
      <c r="GGA117" s="108"/>
      <c r="GGB117" s="108"/>
      <c r="GGC117" s="108"/>
      <c r="GGD117" s="108"/>
      <c r="GGE117" s="108"/>
      <c r="GGF117" s="108"/>
      <c r="GGG117" s="108"/>
      <c r="GGH117" s="108"/>
      <c r="GGI117" s="108"/>
      <c r="GGJ117" s="108"/>
      <c r="GGK117" s="108"/>
      <c r="GGL117" s="108"/>
      <c r="GGM117" s="108"/>
      <c r="GGN117" s="108"/>
      <c r="GGO117" s="108"/>
      <c r="GGP117" s="108"/>
      <c r="GGQ117" s="108"/>
      <c r="GGR117" s="108"/>
      <c r="GGS117" s="108"/>
      <c r="GGT117" s="108"/>
      <c r="GGU117" s="108"/>
      <c r="GGV117" s="108"/>
      <c r="GGW117" s="108"/>
      <c r="GGX117" s="108"/>
      <c r="GGY117" s="108"/>
      <c r="GGZ117" s="108"/>
      <c r="GHA117" s="108"/>
      <c r="GHB117" s="108"/>
      <c r="GHC117" s="108"/>
      <c r="GHD117" s="108"/>
      <c r="GHE117" s="108"/>
      <c r="GHF117" s="108"/>
      <c r="GHG117" s="108"/>
      <c r="GHH117" s="108"/>
      <c r="GHI117" s="108"/>
      <c r="GHJ117" s="108"/>
      <c r="GHK117" s="108"/>
      <c r="GHL117" s="108"/>
      <c r="GHM117" s="108"/>
      <c r="GHN117" s="108"/>
      <c r="GHO117" s="108"/>
      <c r="GHP117" s="108"/>
      <c r="GHQ117" s="108"/>
      <c r="GHR117" s="108"/>
      <c r="GHS117" s="108"/>
      <c r="GHT117" s="108"/>
      <c r="GHU117" s="108"/>
      <c r="GHV117" s="108"/>
      <c r="GHW117" s="108"/>
      <c r="GHX117" s="108"/>
      <c r="GHY117" s="108"/>
      <c r="GHZ117" s="108"/>
      <c r="GIA117" s="108"/>
      <c r="GIB117" s="108"/>
      <c r="GIC117" s="108"/>
      <c r="GID117" s="108"/>
      <c r="GIE117" s="108"/>
      <c r="GIF117" s="108"/>
      <c r="GIG117" s="108"/>
      <c r="GIH117" s="108"/>
      <c r="GII117" s="108"/>
      <c r="GIJ117" s="108"/>
      <c r="GIK117" s="108"/>
      <c r="GIL117" s="108"/>
      <c r="GIM117" s="108"/>
      <c r="GIN117" s="108"/>
      <c r="GIO117" s="108"/>
      <c r="GIP117" s="108"/>
      <c r="GIQ117" s="108"/>
      <c r="GIR117" s="108"/>
      <c r="GIS117" s="108"/>
      <c r="GIT117" s="108"/>
      <c r="GIU117" s="108"/>
      <c r="GIV117" s="108"/>
      <c r="GIW117" s="108"/>
      <c r="GIX117" s="108"/>
      <c r="GIY117" s="108"/>
      <c r="GIZ117" s="108"/>
      <c r="GJA117" s="108"/>
      <c r="GJB117" s="108"/>
      <c r="GJC117" s="108"/>
      <c r="GJD117" s="108"/>
      <c r="GJE117" s="108"/>
      <c r="GJF117" s="108"/>
      <c r="GJG117" s="108"/>
      <c r="GJH117" s="108"/>
      <c r="GJI117" s="108"/>
      <c r="GJJ117" s="108"/>
      <c r="GJK117" s="108"/>
      <c r="GJL117" s="108"/>
      <c r="GJM117" s="108"/>
      <c r="GJN117" s="108"/>
      <c r="GJO117" s="108"/>
      <c r="GJP117" s="108"/>
      <c r="GJQ117" s="108"/>
      <c r="GJR117" s="108"/>
      <c r="GJS117" s="108"/>
      <c r="GJT117" s="108"/>
      <c r="GJU117" s="108"/>
      <c r="GJV117" s="108"/>
      <c r="GJW117" s="108"/>
      <c r="GJX117" s="108"/>
      <c r="GJY117" s="108"/>
      <c r="GJZ117" s="108"/>
      <c r="GKA117" s="108"/>
      <c r="GKB117" s="108"/>
      <c r="GKC117" s="108"/>
      <c r="GKD117" s="108"/>
      <c r="GKE117" s="108"/>
      <c r="GKF117" s="108"/>
      <c r="GKG117" s="108"/>
      <c r="GKH117" s="108"/>
      <c r="GKI117" s="108"/>
      <c r="GKJ117" s="108"/>
      <c r="GKK117" s="108"/>
      <c r="GKL117" s="108"/>
      <c r="GKM117" s="108"/>
      <c r="GKN117" s="108"/>
      <c r="GKO117" s="108"/>
      <c r="GKP117" s="108"/>
      <c r="GKQ117" s="108"/>
      <c r="GKR117" s="108"/>
      <c r="GKS117" s="108"/>
      <c r="GKT117" s="108"/>
      <c r="GKU117" s="108"/>
      <c r="GKV117" s="108"/>
      <c r="GKW117" s="108"/>
      <c r="GKX117" s="108"/>
      <c r="GKY117" s="108"/>
      <c r="GKZ117" s="108"/>
      <c r="GLA117" s="108"/>
      <c r="GLB117" s="108"/>
      <c r="GLC117" s="108"/>
      <c r="GLD117" s="108"/>
      <c r="GLE117" s="108"/>
      <c r="GLF117" s="108"/>
      <c r="GLG117" s="108"/>
      <c r="GLH117" s="108"/>
      <c r="GLI117" s="108"/>
      <c r="GLJ117" s="108"/>
      <c r="GLK117" s="108"/>
      <c r="GLL117" s="108"/>
      <c r="GLM117" s="108"/>
      <c r="GLN117" s="108"/>
      <c r="GLO117" s="108"/>
      <c r="GLP117" s="108"/>
      <c r="GLQ117" s="108"/>
      <c r="GLR117" s="108"/>
      <c r="GLS117" s="108"/>
      <c r="GLT117" s="108"/>
      <c r="GLU117" s="108"/>
      <c r="GLV117" s="108"/>
      <c r="GLW117" s="108"/>
      <c r="GLX117" s="108"/>
      <c r="GLY117" s="108"/>
      <c r="GLZ117" s="108"/>
      <c r="GMA117" s="108"/>
      <c r="GMB117" s="108"/>
      <c r="GMC117" s="108"/>
      <c r="GMD117" s="108"/>
      <c r="GME117" s="108"/>
      <c r="GMF117" s="108"/>
      <c r="GMG117" s="108"/>
      <c r="GMH117" s="108"/>
      <c r="GMI117" s="108"/>
      <c r="GMJ117" s="108"/>
      <c r="GMK117" s="108"/>
      <c r="GML117" s="108"/>
      <c r="GMM117" s="108"/>
      <c r="GMN117" s="108"/>
      <c r="GMO117" s="108"/>
      <c r="GMP117" s="108"/>
      <c r="GMQ117" s="108"/>
      <c r="GMR117" s="108"/>
      <c r="GMS117" s="108"/>
      <c r="GMT117" s="108"/>
      <c r="GMU117" s="108"/>
      <c r="GMV117" s="108"/>
      <c r="GMW117" s="108"/>
      <c r="GMX117" s="108"/>
      <c r="GMY117" s="108"/>
      <c r="GMZ117" s="108"/>
      <c r="GNA117" s="108"/>
      <c r="GNB117" s="108"/>
      <c r="GNC117" s="108"/>
      <c r="GND117" s="108"/>
      <c r="GNE117" s="108"/>
      <c r="GNF117" s="108"/>
      <c r="GNG117" s="108"/>
      <c r="GNH117" s="108"/>
      <c r="GNI117" s="108"/>
      <c r="GNJ117" s="108"/>
      <c r="GNK117" s="108"/>
      <c r="GNL117" s="108"/>
      <c r="GNM117" s="108"/>
      <c r="GNN117" s="108"/>
      <c r="GNO117" s="108"/>
      <c r="GNP117" s="108"/>
      <c r="GNQ117" s="108"/>
      <c r="GNR117" s="108"/>
      <c r="GNS117" s="108"/>
      <c r="GNT117" s="108"/>
      <c r="GNU117" s="108"/>
      <c r="GNV117" s="108"/>
      <c r="GNW117" s="108"/>
      <c r="GNX117" s="108"/>
      <c r="GNY117" s="108"/>
      <c r="GNZ117" s="108"/>
      <c r="GOA117" s="108"/>
      <c r="GOB117" s="108"/>
      <c r="GOC117" s="108"/>
      <c r="GOD117" s="108"/>
      <c r="GOE117" s="108"/>
      <c r="GOF117" s="108"/>
      <c r="GOG117" s="108"/>
      <c r="GOH117" s="108"/>
      <c r="GOI117" s="108"/>
      <c r="GOJ117" s="108"/>
      <c r="GOK117" s="108"/>
      <c r="GOL117" s="108"/>
      <c r="GOM117" s="108"/>
      <c r="GON117" s="108"/>
      <c r="GOO117" s="108"/>
      <c r="GOP117" s="108"/>
      <c r="GOQ117" s="108"/>
      <c r="GOR117" s="108"/>
      <c r="GOS117" s="108"/>
      <c r="GOT117" s="108"/>
      <c r="GOU117" s="108"/>
      <c r="GOV117" s="108"/>
      <c r="GOW117" s="108"/>
      <c r="GOX117" s="108"/>
      <c r="GOY117" s="108"/>
      <c r="GOZ117" s="108"/>
      <c r="GPA117" s="108"/>
      <c r="GPB117" s="108"/>
      <c r="GPC117" s="108"/>
      <c r="GPD117" s="108"/>
      <c r="GPE117" s="108"/>
      <c r="GPF117" s="108"/>
      <c r="GPG117" s="108"/>
      <c r="GPH117" s="108"/>
      <c r="GPI117" s="108"/>
      <c r="GPJ117" s="108"/>
      <c r="GPK117" s="108"/>
      <c r="GPL117" s="108"/>
      <c r="GPM117" s="108"/>
      <c r="GPN117" s="108"/>
      <c r="GPO117" s="108"/>
      <c r="GPP117" s="108"/>
      <c r="GPQ117" s="108"/>
      <c r="GPR117" s="108"/>
      <c r="GPS117" s="108"/>
      <c r="GPT117" s="108"/>
      <c r="GPU117" s="108"/>
      <c r="GPV117" s="108"/>
      <c r="GPW117" s="108"/>
      <c r="GPX117" s="108"/>
      <c r="GPY117" s="108"/>
      <c r="GPZ117" s="108"/>
      <c r="GQA117" s="108"/>
      <c r="GQB117" s="108"/>
      <c r="GQC117" s="108"/>
      <c r="GQD117" s="108"/>
      <c r="GQE117" s="108"/>
      <c r="GQF117" s="108"/>
      <c r="GQG117" s="108"/>
      <c r="GQH117" s="108"/>
      <c r="GQI117" s="108"/>
      <c r="GQJ117" s="108"/>
      <c r="GQK117" s="108"/>
      <c r="GQL117" s="108"/>
      <c r="GQM117" s="108"/>
      <c r="GQN117" s="108"/>
      <c r="GQO117" s="108"/>
      <c r="GQP117" s="108"/>
      <c r="GQQ117" s="108"/>
      <c r="GQR117" s="108"/>
      <c r="GQS117" s="108"/>
      <c r="GQT117" s="108"/>
      <c r="GQU117" s="108"/>
      <c r="GQV117" s="108"/>
      <c r="GQW117" s="108"/>
      <c r="GQX117" s="108"/>
      <c r="GQY117" s="108"/>
      <c r="GQZ117" s="108"/>
      <c r="GRA117" s="108"/>
      <c r="GRB117" s="108"/>
      <c r="GRC117" s="108"/>
      <c r="GRD117" s="108"/>
      <c r="GRE117" s="108"/>
      <c r="GRF117" s="108"/>
      <c r="GRG117" s="108"/>
      <c r="GRH117" s="108"/>
      <c r="GRI117" s="108"/>
      <c r="GRJ117" s="108"/>
      <c r="GRK117" s="108"/>
      <c r="GRL117" s="108"/>
      <c r="GRM117" s="108"/>
      <c r="GRN117" s="108"/>
      <c r="GRO117" s="108"/>
      <c r="GRP117" s="108"/>
      <c r="GRQ117" s="108"/>
      <c r="GRR117" s="108"/>
      <c r="GRS117" s="108"/>
      <c r="GRT117" s="108"/>
      <c r="GRU117" s="108"/>
      <c r="GRV117" s="108"/>
      <c r="GRW117" s="108"/>
      <c r="GRX117" s="108"/>
      <c r="GRY117" s="108"/>
      <c r="GRZ117" s="108"/>
      <c r="GSA117" s="108"/>
      <c r="GSB117" s="108"/>
      <c r="GSC117" s="108"/>
      <c r="GSD117" s="108"/>
      <c r="GSE117" s="108"/>
      <c r="GSF117" s="108"/>
      <c r="GSG117" s="108"/>
      <c r="GSH117" s="108"/>
      <c r="GSI117" s="108"/>
      <c r="GSJ117" s="108"/>
      <c r="GSK117" s="108"/>
      <c r="GSL117" s="108"/>
      <c r="GSM117" s="108"/>
      <c r="GSN117" s="108"/>
      <c r="GSO117" s="108"/>
      <c r="GSP117" s="108"/>
      <c r="GSQ117" s="108"/>
      <c r="GSR117" s="108"/>
      <c r="GSS117" s="108"/>
      <c r="GST117" s="108"/>
      <c r="GSU117" s="108"/>
      <c r="GSV117" s="108"/>
      <c r="GSW117" s="108"/>
      <c r="GSX117" s="108"/>
      <c r="GSY117" s="108"/>
      <c r="GSZ117" s="108"/>
      <c r="GTA117" s="108"/>
      <c r="GTB117" s="108"/>
      <c r="GTC117" s="108"/>
      <c r="GTD117" s="108"/>
      <c r="GTE117" s="108"/>
      <c r="GTF117" s="108"/>
      <c r="GTG117" s="108"/>
      <c r="GTH117" s="108"/>
      <c r="GTI117" s="108"/>
      <c r="GTJ117" s="108"/>
      <c r="GTK117" s="108"/>
      <c r="GTL117" s="108"/>
      <c r="GTM117" s="108"/>
      <c r="GTN117" s="108"/>
      <c r="GTO117" s="108"/>
      <c r="GTP117" s="108"/>
      <c r="GTQ117" s="108"/>
      <c r="GTR117" s="108"/>
      <c r="GTS117" s="108"/>
      <c r="GTT117" s="108"/>
      <c r="GTU117" s="108"/>
      <c r="GTV117" s="108"/>
      <c r="GTW117" s="108"/>
      <c r="GTX117" s="108"/>
      <c r="GTY117" s="108"/>
      <c r="GTZ117" s="108"/>
      <c r="GUA117" s="108"/>
      <c r="GUB117" s="108"/>
      <c r="GUC117" s="108"/>
      <c r="GUD117" s="108"/>
      <c r="GUE117" s="108"/>
      <c r="GUF117" s="108"/>
      <c r="GUG117" s="108"/>
      <c r="GUH117" s="108"/>
      <c r="GUI117" s="108"/>
      <c r="GUJ117" s="108"/>
      <c r="GUK117" s="108"/>
      <c r="GUL117" s="108"/>
      <c r="GUM117" s="108"/>
      <c r="GUN117" s="108"/>
      <c r="GUO117" s="108"/>
      <c r="GUP117" s="108"/>
      <c r="GUQ117" s="108"/>
      <c r="GUR117" s="108"/>
      <c r="GUS117" s="108"/>
      <c r="GUT117" s="108"/>
      <c r="GUU117" s="108"/>
      <c r="GUV117" s="108"/>
      <c r="GUW117" s="108"/>
      <c r="GUX117" s="108"/>
      <c r="GUY117" s="108"/>
      <c r="GUZ117" s="108"/>
      <c r="GVA117" s="108"/>
      <c r="GVB117" s="108"/>
      <c r="GVC117" s="108"/>
      <c r="GVD117" s="108"/>
      <c r="GVE117" s="108"/>
      <c r="GVF117" s="108"/>
      <c r="GVG117" s="108"/>
      <c r="GVH117" s="108"/>
      <c r="GVI117" s="108"/>
      <c r="GVJ117" s="108"/>
      <c r="GVK117" s="108"/>
      <c r="GVL117" s="108"/>
      <c r="GVM117" s="108"/>
      <c r="GVN117" s="108"/>
      <c r="GVO117" s="108"/>
      <c r="GVP117" s="108"/>
      <c r="GVQ117" s="108"/>
      <c r="GVR117" s="108"/>
      <c r="GVS117" s="108"/>
      <c r="GVT117" s="108"/>
      <c r="GVU117" s="108"/>
      <c r="GVV117" s="108"/>
      <c r="GVW117" s="108"/>
      <c r="GVX117" s="108"/>
      <c r="GVY117" s="108"/>
      <c r="GVZ117" s="108"/>
      <c r="GWA117" s="108"/>
      <c r="GWB117" s="108"/>
      <c r="GWC117" s="108"/>
      <c r="GWD117" s="108"/>
      <c r="GWE117" s="108"/>
      <c r="GWF117" s="108"/>
      <c r="GWG117" s="108"/>
      <c r="GWH117" s="108"/>
      <c r="GWI117" s="108"/>
      <c r="GWJ117" s="108"/>
      <c r="GWK117" s="108"/>
      <c r="GWL117" s="108"/>
      <c r="GWM117" s="108"/>
      <c r="GWN117" s="108"/>
      <c r="GWO117" s="108"/>
      <c r="GWP117" s="108"/>
      <c r="GWQ117" s="108"/>
      <c r="GWR117" s="108"/>
      <c r="GWS117" s="108"/>
      <c r="GWT117" s="108"/>
      <c r="GWU117" s="108"/>
      <c r="GWV117" s="108"/>
      <c r="GWW117" s="108"/>
      <c r="GWX117" s="108"/>
      <c r="GWY117" s="108"/>
      <c r="GWZ117" s="108"/>
      <c r="GXA117" s="108"/>
      <c r="GXB117" s="108"/>
      <c r="GXC117" s="108"/>
      <c r="GXD117" s="108"/>
      <c r="GXE117" s="108"/>
      <c r="GXF117" s="108"/>
      <c r="GXG117" s="108"/>
      <c r="GXH117" s="108"/>
      <c r="GXI117" s="108"/>
      <c r="GXJ117" s="108"/>
      <c r="GXK117" s="108"/>
      <c r="GXL117" s="108"/>
      <c r="GXM117" s="108"/>
      <c r="GXN117" s="108"/>
      <c r="GXO117" s="108"/>
      <c r="GXP117" s="108"/>
      <c r="GXQ117" s="108"/>
      <c r="GXR117" s="108"/>
      <c r="GXS117" s="108"/>
      <c r="GXT117" s="108"/>
      <c r="GXU117" s="108"/>
      <c r="GXV117" s="108"/>
      <c r="GXW117" s="108"/>
      <c r="GXX117" s="108"/>
      <c r="GXY117" s="108"/>
      <c r="GXZ117" s="108"/>
      <c r="GYA117" s="108"/>
      <c r="GYB117" s="108"/>
      <c r="GYC117" s="108"/>
      <c r="GYD117" s="108"/>
      <c r="GYE117" s="108"/>
      <c r="GYF117" s="108"/>
      <c r="GYG117" s="108"/>
      <c r="GYH117" s="108"/>
      <c r="GYI117" s="108"/>
      <c r="GYJ117" s="108"/>
      <c r="GYK117" s="108"/>
      <c r="GYL117" s="108"/>
      <c r="GYM117" s="108"/>
      <c r="GYN117" s="108"/>
      <c r="GYO117" s="108"/>
      <c r="GYP117" s="108"/>
      <c r="GYQ117" s="108"/>
      <c r="GYR117" s="108"/>
      <c r="GYS117" s="108"/>
      <c r="GYT117" s="108"/>
      <c r="GYU117" s="108"/>
      <c r="GYV117" s="108"/>
      <c r="GYW117" s="108"/>
      <c r="GYX117" s="108"/>
      <c r="GYY117" s="108"/>
      <c r="GYZ117" s="108"/>
      <c r="GZA117" s="108"/>
      <c r="GZB117" s="108"/>
      <c r="GZC117" s="108"/>
      <c r="GZD117" s="108"/>
      <c r="GZE117" s="108"/>
      <c r="GZF117" s="108"/>
      <c r="GZG117" s="108"/>
      <c r="GZH117" s="108"/>
      <c r="GZI117" s="108"/>
      <c r="GZJ117" s="108"/>
      <c r="GZK117" s="108"/>
      <c r="GZL117" s="108"/>
      <c r="GZM117" s="108"/>
      <c r="GZN117" s="108"/>
      <c r="GZO117" s="108"/>
      <c r="GZP117" s="108"/>
      <c r="GZQ117" s="108"/>
      <c r="GZR117" s="108"/>
      <c r="GZS117" s="108"/>
      <c r="GZT117" s="108"/>
      <c r="GZU117" s="108"/>
      <c r="GZV117" s="108"/>
      <c r="GZW117" s="108"/>
      <c r="GZX117" s="108"/>
      <c r="GZY117" s="108"/>
      <c r="GZZ117" s="108"/>
      <c r="HAA117" s="108"/>
      <c r="HAB117" s="108"/>
      <c r="HAC117" s="108"/>
      <c r="HAD117" s="108"/>
      <c r="HAE117" s="108"/>
      <c r="HAF117" s="108"/>
      <c r="HAG117" s="108"/>
      <c r="HAH117" s="108"/>
      <c r="HAI117" s="108"/>
      <c r="HAJ117" s="108"/>
      <c r="HAK117" s="108"/>
      <c r="HAL117" s="108"/>
      <c r="HAM117" s="108"/>
      <c r="HAN117" s="108"/>
      <c r="HAO117" s="108"/>
      <c r="HAP117" s="108"/>
      <c r="HAQ117" s="108"/>
      <c r="HAR117" s="108"/>
      <c r="HAS117" s="108"/>
      <c r="HAT117" s="108"/>
      <c r="HAU117" s="108"/>
      <c r="HAV117" s="108"/>
      <c r="HAW117" s="108"/>
      <c r="HAX117" s="108"/>
      <c r="HAY117" s="108"/>
      <c r="HAZ117" s="108"/>
      <c r="HBA117" s="108"/>
      <c r="HBB117" s="108"/>
      <c r="HBC117" s="108"/>
      <c r="HBD117" s="108"/>
      <c r="HBE117" s="108"/>
      <c r="HBF117" s="108"/>
      <c r="HBG117" s="108"/>
      <c r="HBH117" s="108"/>
      <c r="HBI117" s="108"/>
      <c r="HBJ117" s="108"/>
      <c r="HBK117" s="108"/>
      <c r="HBL117" s="108"/>
      <c r="HBM117" s="108"/>
      <c r="HBN117" s="108"/>
      <c r="HBO117" s="108"/>
      <c r="HBP117" s="108"/>
      <c r="HBQ117" s="108"/>
      <c r="HBR117" s="108"/>
      <c r="HBS117" s="108"/>
      <c r="HBT117" s="108"/>
      <c r="HBU117" s="108"/>
      <c r="HBV117" s="108"/>
      <c r="HBW117" s="108"/>
      <c r="HBX117" s="108"/>
      <c r="HBY117" s="108"/>
      <c r="HBZ117" s="108"/>
      <c r="HCA117" s="108"/>
      <c r="HCB117" s="108"/>
      <c r="HCC117" s="108"/>
      <c r="HCD117" s="108"/>
      <c r="HCE117" s="108"/>
      <c r="HCF117" s="108"/>
      <c r="HCG117" s="108"/>
      <c r="HCH117" s="108"/>
      <c r="HCI117" s="108"/>
      <c r="HCJ117" s="108"/>
      <c r="HCK117" s="108"/>
      <c r="HCL117" s="108"/>
      <c r="HCM117" s="108"/>
      <c r="HCN117" s="108"/>
      <c r="HCO117" s="108"/>
      <c r="HCP117" s="108"/>
      <c r="HCQ117" s="108"/>
      <c r="HCR117" s="108"/>
      <c r="HCS117" s="108"/>
      <c r="HCT117" s="108"/>
      <c r="HCU117" s="108"/>
      <c r="HCV117" s="108"/>
      <c r="HCW117" s="108"/>
      <c r="HCX117" s="108"/>
      <c r="HCY117" s="108"/>
      <c r="HCZ117" s="108"/>
      <c r="HDA117" s="108"/>
      <c r="HDB117" s="108"/>
      <c r="HDC117" s="108"/>
      <c r="HDD117" s="108"/>
      <c r="HDE117" s="108"/>
      <c r="HDF117" s="108"/>
      <c r="HDG117" s="108"/>
      <c r="HDH117" s="108"/>
      <c r="HDI117" s="108"/>
      <c r="HDJ117" s="108"/>
      <c r="HDK117" s="108"/>
      <c r="HDL117" s="108"/>
      <c r="HDM117" s="108"/>
      <c r="HDN117" s="108"/>
      <c r="HDO117" s="108"/>
      <c r="HDP117" s="108"/>
      <c r="HDQ117" s="108"/>
      <c r="HDR117" s="108"/>
      <c r="HDS117" s="108"/>
      <c r="HDT117" s="108"/>
      <c r="HDU117" s="108"/>
      <c r="HDV117" s="108"/>
      <c r="HDW117" s="108"/>
      <c r="HDX117" s="108"/>
      <c r="HDY117" s="108"/>
      <c r="HDZ117" s="108"/>
      <c r="HEA117" s="108"/>
      <c r="HEB117" s="108"/>
      <c r="HEC117" s="108"/>
      <c r="HED117" s="108"/>
      <c r="HEE117" s="108"/>
      <c r="HEF117" s="108"/>
      <c r="HEG117" s="108"/>
      <c r="HEH117" s="108"/>
      <c r="HEI117" s="108"/>
      <c r="HEJ117" s="108"/>
      <c r="HEK117" s="108"/>
      <c r="HEL117" s="108"/>
      <c r="HEM117" s="108"/>
      <c r="HEN117" s="108"/>
      <c r="HEO117" s="108"/>
      <c r="HEP117" s="108"/>
      <c r="HEQ117" s="108"/>
      <c r="HER117" s="108"/>
      <c r="HES117" s="108"/>
      <c r="HET117" s="108"/>
      <c r="HEU117" s="108"/>
      <c r="HEV117" s="108"/>
      <c r="HEW117" s="108"/>
      <c r="HEX117" s="108"/>
      <c r="HEY117" s="108"/>
      <c r="HEZ117" s="108"/>
      <c r="HFA117" s="108"/>
      <c r="HFB117" s="108"/>
      <c r="HFC117" s="108"/>
      <c r="HFD117" s="108"/>
      <c r="HFE117" s="108"/>
      <c r="HFF117" s="108"/>
      <c r="HFG117" s="108"/>
      <c r="HFH117" s="108"/>
      <c r="HFI117" s="108"/>
      <c r="HFJ117" s="108"/>
      <c r="HFK117" s="108"/>
      <c r="HFL117" s="108"/>
      <c r="HFM117" s="108"/>
      <c r="HFN117" s="108"/>
      <c r="HFO117" s="108"/>
      <c r="HFP117" s="108"/>
      <c r="HFQ117" s="108"/>
      <c r="HFR117" s="108"/>
      <c r="HFS117" s="108"/>
      <c r="HFT117" s="108"/>
      <c r="HFU117" s="108"/>
      <c r="HFV117" s="108"/>
      <c r="HFW117" s="108"/>
      <c r="HFX117" s="108"/>
      <c r="HFY117" s="108"/>
      <c r="HFZ117" s="108"/>
      <c r="HGA117" s="108"/>
      <c r="HGB117" s="108"/>
      <c r="HGC117" s="108"/>
      <c r="HGD117" s="108"/>
      <c r="HGE117" s="108"/>
      <c r="HGF117" s="108"/>
      <c r="HGG117" s="108"/>
      <c r="HGH117" s="108"/>
      <c r="HGI117" s="108"/>
      <c r="HGJ117" s="108"/>
      <c r="HGK117" s="108"/>
      <c r="HGL117" s="108"/>
      <c r="HGM117" s="108"/>
      <c r="HGN117" s="108"/>
      <c r="HGO117" s="108"/>
      <c r="HGP117" s="108"/>
      <c r="HGQ117" s="108"/>
      <c r="HGR117" s="108"/>
      <c r="HGS117" s="108"/>
      <c r="HGT117" s="108"/>
      <c r="HGU117" s="108"/>
      <c r="HGV117" s="108"/>
      <c r="HGW117" s="108"/>
      <c r="HGX117" s="108"/>
      <c r="HGY117" s="108"/>
      <c r="HGZ117" s="108"/>
      <c r="HHA117" s="108"/>
      <c r="HHB117" s="108"/>
      <c r="HHC117" s="108"/>
      <c r="HHD117" s="108"/>
      <c r="HHE117" s="108"/>
      <c r="HHF117" s="108"/>
      <c r="HHG117" s="108"/>
      <c r="HHH117" s="108"/>
      <c r="HHI117" s="108"/>
      <c r="HHJ117" s="108"/>
      <c r="HHK117" s="108"/>
      <c r="HHL117" s="108"/>
      <c r="HHM117" s="108"/>
      <c r="HHN117" s="108"/>
      <c r="HHO117" s="108"/>
      <c r="HHP117" s="108"/>
      <c r="HHQ117" s="108"/>
      <c r="HHR117" s="108"/>
      <c r="HHS117" s="108"/>
      <c r="HHT117" s="108"/>
      <c r="HHU117" s="108"/>
      <c r="HHV117" s="108"/>
      <c r="HHW117" s="108"/>
      <c r="HHX117" s="108"/>
      <c r="HHY117" s="108"/>
      <c r="HHZ117" s="108"/>
      <c r="HIA117" s="108"/>
      <c r="HIB117" s="108"/>
      <c r="HIC117" s="108"/>
      <c r="HID117" s="108"/>
      <c r="HIE117" s="108"/>
      <c r="HIF117" s="108"/>
      <c r="HIG117" s="108"/>
      <c r="HIH117" s="108"/>
      <c r="HII117" s="108"/>
      <c r="HIJ117" s="108"/>
      <c r="HIK117" s="108"/>
      <c r="HIL117" s="108"/>
      <c r="HIM117" s="108"/>
      <c r="HIN117" s="108"/>
      <c r="HIO117" s="108"/>
      <c r="HIP117" s="108"/>
      <c r="HIQ117" s="108"/>
      <c r="HIR117" s="108"/>
      <c r="HIS117" s="108"/>
      <c r="HIT117" s="108"/>
      <c r="HIU117" s="108"/>
      <c r="HIV117" s="108"/>
      <c r="HIW117" s="108"/>
      <c r="HIX117" s="108"/>
      <c r="HIY117" s="108"/>
      <c r="HIZ117" s="108"/>
      <c r="HJA117" s="108"/>
      <c r="HJB117" s="108"/>
      <c r="HJC117" s="108"/>
      <c r="HJD117" s="108"/>
      <c r="HJE117" s="108"/>
      <c r="HJF117" s="108"/>
      <c r="HJG117" s="108"/>
      <c r="HJH117" s="108"/>
      <c r="HJI117" s="108"/>
      <c r="HJJ117" s="108"/>
      <c r="HJK117" s="108"/>
      <c r="HJL117" s="108"/>
      <c r="HJM117" s="108"/>
      <c r="HJN117" s="108"/>
      <c r="HJO117" s="108"/>
      <c r="HJP117" s="108"/>
      <c r="HJQ117" s="108"/>
      <c r="HJR117" s="108"/>
      <c r="HJS117" s="108"/>
      <c r="HJT117" s="108"/>
      <c r="HJU117" s="108"/>
      <c r="HJV117" s="108"/>
      <c r="HJW117" s="108"/>
      <c r="HJX117" s="108"/>
      <c r="HJY117" s="108"/>
      <c r="HJZ117" s="108"/>
      <c r="HKA117" s="108"/>
      <c r="HKB117" s="108"/>
      <c r="HKC117" s="108"/>
      <c r="HKD117" s="108"/>
      <c r="HKE117" s="108"/>
      <c r="HKF117" s="108"/>
      <c r="HKG117" s="108"/>
      <c r="HKH117" s="108"/>
      <c r="HKI117" s="108"/>
      <c r="HKJ117" s="108"/>
      <c r="HKK117" s="108"/>
      <c r="HKL117" s="108"/>
      <c r="HKM117" s="108"/>
      <c r="HKN117" s="108"/>
      <c r="HKO117" s="108"/>
      <c r="HKP117" s="108"/>
      <c r="HKQ117" s="108"/>
      <c r="HKR117" s="108"/>
      <c r="HKS117" s="108"/>
      <c r="HKT117" s="108"/>
      <c r="HKU117" s="108"/>
      <c r="HKV117" s="108"/>
      <c r="HKW117" s="108"/>
      <c r="HKX117" s="108"/>
      <c r="HKY117" s="108"/>
      <c r="HKZ117" s="108"/>
      <c r="HLA117" s="108"/>
      <c r="HLB117" s="108"/>
      <c r="HLC117" s="108"/>
      <c r="HLD117" s="108"/>
      <c r="HLE117" s="108"/>
      <c r="HLF117" s="108"/>
      <c r="HLG117" s="108"/>
      <c r="HLH117" s="108"/>
      <c r="HLI117" s="108"/>
      <c r="HLJ117" s="108"/>
      <c r="HLK117" s="108"/>
      <c r="HLL117" s="108"/>
      <c r="HLM117" s="108"/>
      <c r="HLN117" s="108"/>
      <c r="HLO117" s="108"/>
      <c r="HLP117" s="108"/>
      <c r="HLQ117" s="108"/>
      <c r="HLR117" s="108"/>
      <c r="HLS117" s="108"/>
      <c r="HLT117" s="108"/>
      <c r="HLU117" s="108"/>
      <c r="HLV117" s="108"/>
      <c r="HLW117" s="108"/>
      <c r="HLX117" s="108"/>
      <c r="HLY117" s="108"/>
      <c r="HLZ117" s="108"/>
      <c r="HMA117" s="108"/>
      <c r="HMB117" s="108"/>
      <c r="HMC117" s="108"/>
      <c r="HMD117" s="108"/>
      <c r="HME117" s="108"/>
      <c r="HMF117" s="108"/>
      <c r="HMG117" s="108"/>
      <c r="HMH117" s="108"/>
      <c r="HMI117" s="108"/>
      <c r="HMJ117" s="108"/>
      <c r="HMK117" s="108"/>
      <c r="HML117" s="108"/>
      <c r="HMM117" s="108"/>
      <c r="HMN117" s="108"/>
      <c r="HMO117" s="108"/>
      <c r="HMP117" s="108"/>
      <c r="HMQ117" s="108"/>
      <c r="HMR117" s="108"/>
      <c r="HMS117" s="108"/>
      <c r="HMT117" s="108"/>
      <c r="HMU117" s="108"/>
      <c r="HMV117" s="108"/>
      <c r="HMW117" s="108"/>
      <c r="HMX117" s="108"/>
      <c r="HMY117" s="108"/>
      <c r="HMZ117" s="108"/>
      <c r="HNA117" s="108"/>
      <c r="HNB117" s="108"/>
      <c r="HNC117" s="108"/>
      <c r="HND117" s="108"/>
      <c r="HNE117" s="108"/>
      <c r="HNF117" s="108"/>
      <c r="HNG117" s="108"/>
      <c r="HNH117" s="108"/>
      <c r="HNI117" s="108"/>
      <c r="HNJ117" s="108"/>
      <c r="HNK117" s="108"/>
      <c r="HNL117" s="108"/>
      <c r="HNM117" s="108"/>
      <c r="HNN117" s="108"/>
      <c r="HNO117" s="108"/>
      <c r="HNP117" s="108"/>
      <c r="HNQ117" s="108"/>
      <c r="HNR117" s="108"/>
      <c r="HNS117" s="108"/>
      <c r="HNT117" s="108"/>
      <c r="HNU117" s="108"/>
      <c r="HNV117" s="108"/>
      <c r="HNW117" s="108"/>
      <c r="HNX117" s="108"/>
      <c r="HNY117" s="108"/>
      <c r="HNZ117" s="108"/>
      <c r="HOA117" s="108"/>
      <c r="HOB117" s="108"/>
      <c r="HOC117" s="108"/>
      <c r="HOD117" s="108"/>
      <c r="HOE117" s="108"/>
      <c r="HOF117" s="108"/>
      <c r="HOG117" s="108"/>
      <c r="HOH117" s="108"/>
      <c r="HOI117" s="108"/>
      <c r="HOJ117" s="108"/>
      <c r="HOK117" s="108"/>
      <c r="HOL117" s="108"/>
      <c r="HOM117" s="108"/>
      <c r="HON117" s="108"/>
      <c r="HOO117" s="108"/>
      <c r="HOP117" s="108"/>
      <c r="HOQ117" s="108"/>
      <c r="HOR117" s="108"/>
      <c r="HOS117" s="108"/>
      <c r="HOT117" s="108"/>
      <c r="HOU117" s="108"/>
      <c r="HOV117" s="108"/>
      <c r="HOW117" s="108"/>
      <c r="HOX117" s="108"/>
      <c r="HOY117" s="108"/>
      <c r="HOZ117" s="108"/>
      <c r="HPA117" s="108"/>
      <c r="HPB117" s="108"/>
      <c r="HPC117" s="108"/>
      <c r="HPD117" s="108"/>
      <c r="HPE117" s="108"/>
      <c r="HPF117" s="108"/>
      <c r="HPG117" s="108"/>
      <c r="HPH117" s="108"/>
      <c r="HPI117" s="108"/>
      <c r="HPJ117" s="108"/>
      <c r="HPK117" s="108"/>
      <c r="HPL117" s="108"/>
      <c r="HPM117" s="108"/>
      <c r="HPN117" s="108"/>
      <c r="HPO117" s="108"/>
      <c r="HPP117" s="108"/>
      <c r="HPQ117" s="108"/>
      <c r="HPR117" s="108"/>
      <c r="HPS117" s="108"/>
      <c r="HPT117" s="108"/>
      <c r="HPU117" s="108"/>
      <c r="HPV117" s="108"/>
      <c r="HPW117" s="108"/>
      <c r="HPX117" s="108"/>
      <c r="HPY117" s="108"/>
      <c r="HPZ117" s="108"/>
      <c r="HQA117" s="108"/>
      <c r="HQB117" s="108"/>
      <c r="HQC117" s="108"/>
      <c r="HQD117" s="108"/>
      <c r="HQE117" s="108"/>
      <c r="HQF117" s="108"/>
      <c r="HQG117" s="108"/>
      <c r="HQH117" s="108"/>
      <c r="HQI117" s="108"/>
      <c r="HQJ117" s="108"/>
      <c r="HQK117" s="108"/>
      <c r="HQL117" s="108"/>
      <c r="HQM117" s="108"/>
      <c r="HQN117" s="108"/>
      <c r="HQO117" s="108"/>
      <c r="HQP117" s="108"/>
      <c r="HQQ117" s="108"/>
      <c r="HQR117" s="108"/>
      <c r="HQS117" s="108"/>
      <c r="HQT117" s="108"/>
      <c r="HQU117" s="108"/>
      <c r="HQV117" s="108"/>
      <c r="HQW117" s="108"/>
      <c r="HQX117" s="108"/>
      <c r="HQY117" s="108"/>
      <c r="HQZ117" s="108"/>
      <c r="HRA117" s="108"/>
      <c r="HRB117" s="108"/>
      <c r="HRC117" s="108"/>
      <c r="HRD117" s="108"/>
      <c r="HRE117" s="108"/>
      <c r="HRF117" s="108"/>
      <c r="HRG117" s="108"/>
      <c r="HRH117" s="108"/>
      <c r="HRI117" s="108"/>
      <c r="HRJ117" s="108"/>
      <c r="HRK117" s="108"/>
      <c r="HRL117" s="108"/>
      <c r="HRM117" s="108"/>
      <c r="HRN117" s="108"/>
      <c r="HRO117" s="108"/>
      <c r="HRP117" s="108"/>
      <c r="HRQ117" s="108"/>
      <c r="HRR117" s="108"/>
      <c r="HRS117" s="108"/>
      <c r="HRT117" s="108"/>
      <c r="HRU117" s="108"/>
      <c r="HRV117" s="108"/>
      <c r="HRW117" s="108"/>
      <c r="HRX117" s="108"/>
      <c r="HRY117" s="108"/>
      <c r="HRZ117" s="108"/>
      <c r="HSA117" s="108"/>
      <c r="HSB117" s="108"/>
      <c r="HSC117" s="108"/>
      <c r="HSD117" s="108"/>
      <c r="HSE117" s="108"/>
      <c r="HSF117" s="108"/>
      <c r="HSG117" s="108"/>
      <c r="HSH117" s="108"/>
      <c r="HSI117" s="108"/>
      <c r="HSJ117" s="108"/>
      <c r="HSK117" s="108"/>
      <c r="HSL117" s="108"/>
      <c r="HSM117" s="108"/>
      <c r="HSN117" s="108"/>
      <c r="HSO117" s="108"/>
      <c r="HSP117" s="108"/>
      <c r="HSQ117" s="108"/>
      <c r="HSR117" s="108"/>
      <c r="HSS117" s="108"/>
      <c r="HST117" s="108"/>
      <c r="HSU117" s="108"/>
      <c r="HSV117" s="108"/>
      <c r="HSW117" s="108"/>
      <c r="HSX117" s="108"/>
      <c r="HSY117" s="108"/>
      <c r="HSZ117" s="108"/>
      <c r="HTA117" s="108"/>
      <c r="HTB117" s="108"/>
      <c r="HTC117" s="108"/>
      <c r="HTD117" s="108"/>
      <c r="HTE117" s="108"/>
      <c r="HTF117" s="108"/>
      <c r="HTG117" s="108"/>
      <c r="HTH117" s="108"/>
      <c r="HTI117" s="108"/>
      <c r="HTJ117" s="108"/>
      <c r="HTK117" s="108"/>
      <c r="HTL117" s="108"/>
      <c r="HTM117" s="108"/>
      <c r="HTN117" s="108"/>
      <c r="HTO117" s="108"/>
      <c r="HTP117" s="108"/>
      <c r="HTQ117" s="108"/>
      <c r="HTR117" s="108"/>
      <c r="HTS117" s="108"/>
      <c r="HTT117" s="108"/>
      <c r="HTU117" s="108"/>
      <c r="HTV117" s="108"/>
      <c r="HTW117" s="108"/>
      <c r="HTX117" s="108"/>
      <c r="HTY117" s="108"/>
      <c r="HTZ117" s="108"/>
      <c r="HUA117" s="108"/>
      <c r="HUB117" s="108"/>
      <c r="HUC117" s="108"/>
      <c r="HUD117" s="108"/>
      <c r="HUE117" s="108"/>
      <c r="HUF117" s="108"/>
      <c r="HUG117" s="108"/>
      <c r="HUH117" s="108"/>
      <c r="HUI117" s="108"/>
      <c r="HUJ117" s="108"/>
      <c r="HUK117" s="108"/>
      <c r="HUL117" s="108"/>
      <c r="HUM117" s="108"/>
      <c r="HUN117" s="108"/>
      <c r="HUO117" s="108"/>
      <c r="HUP117" s="108"/>
      <c r="HUQ117" s="108"/>
      <c r="HUR117" s="108"/>
      <c r="HUS117" s="108"/>
      <c r="HUT117" s="108"/>
      <c r="HUU117" s="108"/>
      <c r="HUV117" s="108"/>
      <c r="HUW117" s="108"/>
      <c r="HUX117" s="108"/>
      <c r="HUY117" s="108"/>
      <c r="HUZ117" s="108"/>
      <c r="HVA117" s="108"/>
      <c r="HVB117" s="108"/>
      <c r="HVC117" s="108"/>
      <c r="HVD117" s="108"/>
      <c r="HVE117" s="108"/>
      <c r="HVF117" s="108"/>
      <c r="HVG117" s="108"/>
      <c r="HVH117" s="108"/>
      <c r="HVI117" s="108"/>
      <c r="HVJ117" s="108"/>
      <c r="HVK117" s="108"/>
      <c r="HVL117" s="108"/>
      <c r="HVM117" s="108"/>
      <c r="HVN117" s="108"/>
      <c r="HVO117" s="108"/>
      <c r="HVP117" s="108"/>
      <c r="HVQ117" s="108"/>
      <c r="HVR117" s="108"/>
      <c r="HVS117" s="108"/>
      <c r="HVT117" s="108"/>
      <c r="HVU117" s="108"/>
      <c r="HVV117" s="108"/>
      <c r="HVW117" s="108"/>
      <c r="HVX117" s="108"/>
      <c r="HVY117" s="108"/>
      <c r="HVZ117" s="108"/>
      <c r="HWA117" s="108"/>
      <c r="HWB117" s="108"/>
      <c r="HWC117" s="108"/>
      <c r="HWD117" s="108"/>
      <c r="HWE117" s="108"/>
      <c r="HWF117" s="108"/>
      <c r="HWG117" s="108"/>
      <c r="HWH117" s="108"/>
      <c r="HWI117" s="108"/>
      <c r="HWJ117" s="108"/>
      <c r="HWK117" s="108"/>
      <c r="HWL117" s="108"/>
      <c r="HWM117" s="108"/>
      <c r="HWN117" s="108"/>
      <c r="HWO117" s="108"/>
      <c r="HWP117" s="108"/>
      <c r="HWQ117" s="108"/>
      <c r="HWR117" s="108"/>
      <c r="HWS117" s="108"/>
      <c r="HWT117" s="108"/>
      <c r="HWU117" s="108"/>
      <c r="HWV117" s="108"/>
      <c r="HWW117" s="108"/>
      <c r="HWX117" s="108"/>
      <c r="HWY117" s="108"/>
      <c r="HWZ117" s="108"/>
      <c r="HXA117" s="108"/>
      <c r="HXB117" s="108"/>
      <c r="HXC117" s="108"/>
      <c r="HXD117" s="108"/>
      <c r="HXE117" s="108"/>
      <c r="HXF117" s="108"/>
      <c r="HXG117" s="108"/>
      <c r="HXH117" s="108"/>
      <c r="HXI117" s="108"/>
      <c r="HXJ117" s="108"/>
      <c r="HXK117" s="108"/>
      <c r="HXL117" s="108"/>
      <c r="HXM117" s="108"/>
      <c r="HXN117" s="108"/>
      <c r="HXO117" s="108"/>
      <c r="HXP117" s="108"/>
      <c r="HXQ117" s="108"/>
      <c r="HXR117" s="108"/>
      <c r="HXS117" s="108"/>
      <c r="HXT117" s="108"/>
      <c r="HXU117" s="108"/>
      <c r="HXV117" s="108"/>
      <c r="HXW117" s="108"/>
      <c r="HXX117" s="108"/>
      <c r="HXY117" s="108"/>
      <c r="HXZ117" s="108"/>
      <c r="HYA117" s="108"/>
      <c r="HYB117" s="108"/>
      <c r="HYC117" s="108"/>
      <c r="HYD117" s="108"/>
      <c r="HYE117" s="108"/>
      <c r="HYF117" s="108"/>
      <c r="HYG117" s="108"/>
      <c r="HYH117" s="108"/>
      <c r="HYI117" s="108"/>
      <c r="HYJ117" s="108"/>
      <c r="HYK117" s="108"/>
      <c r="HYL117" s="108"/>
      <c r="HYM117" s="108"/>
      <c r="HYN117" s="108"/>
      <c r="HYO117" s="108"/>
      <c r="HYP117" s="108"/>
      <c r="HYQ117" s="108"/>
      <c r="HYR117" s="108"/>
      <c r="HYS117" s="108"/>
      <c r="HYT117" s="108"/>
      <c r="HYU117" s="108"/>
      <c r="HYV117" s="108"/>
      <c r="HYW117" s="108"/>
      <c r="HYX117" s="108"/>
      <c r="HYY117" s="108"/>
      <c r="HYZ117" s="108"/>
      <c r="HZA117" s="108"/>
      <c r="HZB117" s="108"/>
      <c r="HZC117" s="108"/>
      <c r="HZD117" s="108"/>
      <c r="HZE117" s="108"/>
      <c r="HZF117" s="108"/>
      <c r="HZG117" s="108"/>
      <c r="HZH117" s="108"/>
      <c r="HZI117" s="108"/>
      <c r="HZJ117" s="108"/>
      <c r="HZK117" s="108"/>
      <c r="HZL117" s="108"/>
      <c r="HZM117" s="108"/>
      <c r="HZN117" s="108"/>
      <c r="HZO117" s="108"/>
      <c r="HZP117" s="108"/>
      <c r="HZQ117" s="108"/>
      <c r="HZR117" s="108"/>
      <c r="HZS117" s="108"/>
      <c r="HZT117" s="108"/>
      <c r="HZU117" s="108"/>
      <c r="HZV117" s="108"/>
      <c r="HZW117" s="108"/>
      <c r="HZX117" s="108"/>
      <c r="HZY117" s="108"/>
      <c r="HZZ117" s="108"/>
      <c r="IAA117" s="108"/>
      <c r="IAB117" s="108"/>
      <c r="IAC117" s="108"/>
      <c r="IAD117" s="108"/>
      <c r="IAE117" s="108"/>
      <c r="IAF117" s="108"/>
      <c r="IAG117" s="108"/>
      <c r="IAH117" s="108"/>
      <c r="IAI117" s="108"/>
      <c r="IAJ117" s="108"/>
      <c r="IAK117" s="108"/>
      <c r="IAL117" s="108"/>
      <c r="IAM117" s="108"/>
      <c r="IAN117" s="108"/>
      <c r="IAO117" s="108"/>
      <c r="IAP117" s="108"/>
      <c r="IAQ117" s="108"/>
      <c r="IAR117" s="108"/>
      <c r="IAS117" s="108"/>
      <c r="IAT117" s="108"/>
      <c r="IAU117" s="108"/>
      <c r="IAV117" s="108"/>
      <c r="IAW117" s="108"/>
      <c r="IAX117" s="108"/>
      <c r="IAY117" s="108"/>
      <c r="IAZ117" s="108"/>
      <c r="IBA117" s="108"/>
      <c r="IBB117" s="108"/>
      <c r="IBC117" s="108"/>
      <c r="IBD117" s="108"/>
      <c r="IBE117" s="108"/>
      <c r="IBF117" s="108"/>
      <c r="IBG117" s="108"/>
      <c r="IBH117" s="108"/>
      <c r="IBI117" s="108"/>
      <c r="IBJ117" s="108"/>
      <c r="IBK117" s="108"/>
      <c r="IBL117" s="108"/>
      <c r="IBM117" s="108"/>
      <c r="IBN117" s="108"/>
      <c r="IBO117" s="108"/>
      <c r="IBP117" s="108"/>
      <c r="IBQ117" s="108"/>
      <c r="IBR117" s="108"/>
      <c r="IBS117" s="108"/>
      <c r="IBT117" s="108"/>
      <c r="IBU117" s="108"/>
      <c r="IBV117" s="108"/>
      <c r="IBW117" s="108"/>
      <c r="IBX117" s="108"/>
      <c r="IBY117" s="108"/>
      <c r="IBZ117" s="108"/>
      <c r="ICA117" s="108"/>
      <c r="ICB117" s="108"/>
      <c r="ICC117" s="108"/>
      <c r="ICD117" s="108"/>
      <c r="ICE117" s="108"/>
      <c r="ICF117" s="108"/>
      <c r="ICG117" s="108"/>
      <c r="ICH117" s="108"/>
      <c r="ICI117" s="108"/>
      <c r="ICJ117" s="108"/>
      <c r="ICK117" s="108"/>
      <c r="ICL117" s="108"/>
      <c r="ICM117" s="108"/>
      <c r="ICN117" s="108"/>
      <c r="ICO117" s="108"/>
      <c r="ICP117" s="108"/>
      <c r="ICQ117" s="108"/>
      <c r="ICR117" s="108"/>
      <c r="ICS117" s="108"/>
      <c r="ICT117" s="108"/>
      <c r="ICU117" s="108"/>
      <c r="ICV117" s="108"/>
      <c r="ICW117" s="108"/>
      <c r="ICX117" s="108"/>
      <c r="ICY117" s="108"/>
      <c r="ICZ117" s="108"/>
      <c r="IDA117" s="108"/>
      <c r="IDB117" s="108"/>
      <c r="IDC117" s="108"/>
      <c r="IDD117" s="108"/>
      <c r="IDE117" s="108"/>
      <c r="IDF117" s="108"/>
      <c r="IDG117" s="108"/>
      <c r="IDH117" s="108"/>
      <c r="IDI117" s="108"/>
      <c r="IDJ117" s="108"/>
      <c r="IDK117" s="108"/>
      <c r="IDL117" s="108"/>
      <c r="IDM117" s="108"/>
      <c r="IDN117" s="108"/>
      <c r="IDO117" s="108"/>
      <c r="IDP117" s="108"/>
      <c r="IDQ117" s="108"/>
      <c r="IDR117" s="108"/>
      <c r="IDS117" s="108"/>
      <c r="IDT117" s="108"/>
      <c r="IDU117" s="108"/>
      <c r="IDV117" s="108"/>
      <c r="IDW117" s="108"/>
      <c r="IDX117" s="108"/>
      <c r="IDY117" s="108"/>
      <c r="IDZ117" s="108"/>
      <c r="IEA117" s="108"/>
      <c r="IEB117" s="108"/>
      <c r="IEC117" s="108"/>
      <c r="IED117" s="108"/>
      <c r="IEE117" s="108"/>
      <c r="IEF117" s="108"/>
      <c r="IEG117" s="108"/>
      <c r="IEH117" s="108"/>
      <c r="IEI117" s="108"/>
      <c r="IEJ117" s="108"/>
      <c r="IEK117" s="108"/>
      <c r="IEL117" s="108"/>
      <c r="IEM117" s="108"/>
      <c r="IEN117" s="108"/>
      <c r="IEO117" s="108"/>
      <c r="IEP117" s="108"/>
      <c r="IEQ117" s="108"/>
      <c r="IER117" s="108"/>
      <c r="IES117" s="108"/>
      <c r="IET117" s="108"/>
      <c r="IEU117" s="108"/>
      <c r="IEV117" s="108"/>
      <c r="IEW117" s="108"/>
      <c r="IEX117" s="108"/>
      <c r="IEY117" s="108"/>
      <c r="IEZ117" s="108"/>
      <c r="IFA117" s="108"/>
      <c r="IFB117" s="108"/>
      <c r="IFC117" s="108"/>
      <c r="IFD117" s="108"/>
      <c r="IFE117" s="108"/>
      <c r="IFF117" s="108"/>
      <c r="IFG117" s="108"/>
      <c r="IFH117" s="108"/>
      <c r="IFI117" s="108"/>
      <c r="IFJ117" s="108"/>
      <c r="IFK117" s="108"/>
      <c r="IFL117" s="108"/>
      <c r="IFM117" s="108"/>
      <c r="IFN117" s="108"/>
      <c r="IFO117" s="108"/>
      <c r="IFP117" s="108"/>
      <c r="IFQ117" s="108"/>
      <c r="IFR117" s="108"/>
      <c r="IFS117" s="108"/>
      <c r="IFT117" s="108"/>
      <c r="IFU117" s="108"/>
      <c r="IFV117" s="108"/>
      <c r="IFW117" s="108"/>
      <c r="IFX117" s="108"/>
      <c r="IFY117" s="108"/>
      <c r="IFZ117" s="108"/>
      <c r="IGA117" s="108"/>
      <c r="IGB117" s="108"/>
      <c r="IGC117" s="108"/>
      <c r="IGD117" s="108"/>
      <c r="IGE117" s="108"/>
      <c r="IGF117" s="108"/>
      <c r="IGG117" s="108"/>
      <c r="IGH117" s="108"/>
      <c r="IGI117" s="108"/>
      <c r="IGJ117" s="108"/>
      <c r="IGK117" s="108"/>
      <c r="IGL117" s="108"/>
      <c r="IGM117" s="108"/>
      <c r="IGN117" s="108"/>
      <c r="IGO117" s="108"/>
      <c r="IGP117" s="108"/>
      <c r="IGQ117" s="108"/>
      <c r="IGR117" s="108"/>
      <c r="IGS117" s="108"/>
      <c r="IGT117" s="108"/>
      <c r="IGU117" s="108"/>
      <c r="IGV117" s="108"/>
      <c r="IGW117" s="108"/>
      <c r="IGX117" s="108"/>
      <c r="IGY117" s="108"/>
      <c r="IGZ117" s="108"/>
      <c r="IHA117" s="108"/>
      <c r="IHB117" s="108"/>
      <c r="IHC117" s="108"/>
      <c r="IHD117" s="108"/>
      <c r="IHE117" s="108"/>
      <c r="IHF117" s="108"/>
      <c r="IHG117" s="108"/>
      <c r="IHH117" s="108"/>
      <c r="IHI117" s="108"/>
      <c r="IHJ117" s="108"/>
      <c r="IHK117" s="108"/>
      <c r="IHL117" s="108"/>
      <c r="IHM117" s="108"/>
      <c r="IHN117" s="108"/>
      <c r="IHO117" s="108"/>
      <c r="IHP117" s="108"/>
      <c r="IHQ117" s="108"/>
      <c r="IHR117" s="108"/>
      <c r="IHS117" s="108"/>
      <c r="IHT117" s="108"/>
      <c r="IHU117" s="108"/>
      <c r="IHV117" s="108"/>
      <c r="IHW117" s="108"/>
      <c r="IHX117" s="108"/>
      <c r="IHY117" s="108"/>
      <c r="IHZ117" s="108"/>
      <c r="IIA117" s="108"/>
      <c r="IIB117" s="108"/>
      <c r="IIC117" s="108"/>
      <c r="IID117" s="108"/>
      <c r="IIE117" s="108"/>
      <c r="IIF117" s="108"/>
      <c r="IIG117" s="108"/>
      <c r="IIH117" s="108"/>
      <c r="III117" s="108"/>
      <c r="IIJ117" s="108"/>
      <c r="IIK117" s="108"/>
      <c r="IIL117" s="108"/>
      <c r="IIM117" s="108"/>
      <c r="IIN117" s="108"/>
      <c r="IIO117" s="108"/>
      <c r="IIP117" s="108"/>
      <c r="IIQ117" s="108"/>
      <c r="IIR117" s="108"/>
      <c r="IIS117" s="108"/>
      <c r="IIT117" s="108"/>
      <c r="IIU117" s="108"/>
      <c r="IIV117" s="108"/>
      <c r="IIW117" s="108"/>
      <c r="IIX117" s="108"/>
      <c r="IIY117" s="108"/>
      <c r="IIZ117" s="108"/>
      <c r="IJA117" s="108"/>
      <c r="IJB117" s="108"/>
      <c r="IJC117" s="108"/>
      <c r="IJD117" s="108"/>
      <c r="IJE117" s="108"/>
      <c r="IJF117" s="108"/>
      <c r="IJG117" s="108"/>
      <c r="IJH117" s="108"/>
      <c r="IJI117" s="108"/>
      <c r="IJJ117" s="108"/>
      <c r="IJK117" s="108"/>
      <c r="IJL117" s="108"/>
      <c r="IJM117" s="108"/>
      <c r="IJN117" s="108"/>
      <c r="IJO117" s="108"/>
      <c r="IJP117" s="108"/>
      <c r="IJQ117" s="108"/>
      <c r="IJR117" s="108"/>
      <c r="IJS117" s="108"/>
      <c r="IJT117" s="108"/>
      <c r="IJU117" s="108"/>
      <c r="IJV117" s="108"/>
      <c r="IJW117" s="108"/>
      <c r="IJX117" s="108"/>
      <c r="IJY117" s="108"/>
      <c r="IJZ117" s="108"/>
      <c r="IKA117" s="108"/>
      <c r="IKB117" s="108"/>
      <c r="IKC117" s="108"/>
      <c r="IKD117" s="108"/>
      <c r="IKE117" s="108"/>
      <c r="IKF117" s="108"/>
      <c r="IKG117" s="108"/>
      <c r="IKH117" s="108"/>
      <c r="IKI117" s="108"/>
      <c r="IKJ117" s="108"/>
      <c r="IKK117" s="108"/>
      <c r="IKL117" s="108"/>
      <c r="IKM117" s="108"/>
      <c r="IKN117" s="108"/>
      <c r="IKO117" s="108"/>
      <c r="IKP117" s="108"/>
      <c r="IKQ117" s="108"/>
      <c r="IKR117" s="108"/>
      <c r="IKS117" s="108"/>
      <c r="IKT117" s="108"/>
      <c r="IKU117" s="108"/>
      <c r="IKV117" s="108"/>
      <c r="IKW117" s="108"/>
      <c r="IKX117" s="108"/>
      <c r="IKY117" s="108"/>
      <c r="IKZ117" s="108"/>
      <c r="ILA117" s="108"/>
      <c r="ILB117" s="108"/>
      <c r="ILC117" s="108"/>
      <c r="ILD117" s="108"/>
      <c r="ILE117" s="108"/>
      <c r="ILF117" s="108"/>
      <c r="ILG117" s="108"/>
      <c r="ILH117" s="108"/>
      <c r="ILI117" s="108"/>
      <c r="ILJ117" s="108"/>
      <c r="ILK117" s="108"/>
      <c r="ILL117" s="108"/>
      <c r="ILM117" s="108"/>
      <c r="ILN117" s="108"/>
      <c r="ILO117" s="108"/>
      <c r="ILP117" s="108"/>
      <c r="ILQ117" s="108"/>
      <c r="ILR117" s="108"/>
      <c r="ILS117" s="108"/>
      <c r="ILT117" s="108"/>
      <c r="ILU117" s="108"/>
      <c r="ILV117" s="108"/>
      <c r="ILW117" s="108"/>
      <c r="ILX117" s="108"/>
      <c r="ILY117" s="108"/>
      <c r="ILZ117" s="108"/>
      <c r="IMA117" s="108"/>
      <c r="IMB117" s="108"/>
      <c r="IMC117" s="108"/>
      <c r="IMD117" s="108"/>
      <c r="IME117" s="108"/>
      <c r="IMF117" s="108"/>
      <c r="IMG117" s="108"/>
      <c r="IMH117" s="108"/>
      <c r="IMI117" s="108"/>
      <c r="IMJ117" s="108"/>
      <c r="IMK117" s="108"/>
      <c r="IML117" s="108"/>
      <c r="IMM117" s="108"/>
      <c r="IMN117" s="108"/>
      <c r="IMO117" s="108"/>
      <c r="IMP117" s="108"/>
      <c r="IMQ117" s="108"/>
      <c r="IMR117" s="108"/>
      <c r="IMS117" s="108"/>
      <c r="IMT117" s="108"/>
      <c r="IMU117" s="108"/>
      <c r="IMV117" s="108"/>
      <c r="IMW117" s="108"/>
      <c r="IMX117" s="108"/>
      <c r="IMY117" s="108"/>
      <c r="IMZ117" s="108"/>
      <c r="INA117" s="108"/>
      <c r="INB117" s="108"/>
      <c r="INC117" s="108"/>
      <c r="IND117" s="108"/>
      <c r="INE117" s="108"/>
      <c r="INF117" s="108"/>
      <c r="ING117" s="108"/>
      <c r="INH117" s="108"/>
      <c r="INI117" s="108"/>
      <c r="INJ117" s="108"/>
      <c r="INK117" s="108"/>
      <c r="INL117" s="108"/>
      <c r="INM117" s="108"/>
      <c r="INN117" s="108"/>
      <c r="INO117" s="108"/>
      <c r="INP117" s="108"/>
      <c r="INQ117" s="108"/>
      <c r="INR117" s="108"/>
      <c r="INS117" s="108"/>
      <c r="INT117" s="108"/>
      <c r="INU117" s="108"/>
      <c r="INV117" s="108"/>
      <c r="INW117" s="108"/>
      <c r="INX117" s="108"/>
      <c r="INY117" s="108"/>
      <c r="INZ117" s="108"/>
      <c r="IOA117" s="108"/>
      <c r="IOB117" s="108"/>
      <c r="IOC117" s="108"/>
      <c r="IOD117" s="108"/>
      <c r="IOE117" s="108"/>
      <c r="IOF117" s="108"/>
      <c r="IOG117" s="108"/>
      <c r="IOH117" s="108"/>
      <c r="IOI117" s="108"/>
      <c r="IOJ117" s="108"/>
      <c r="IOK117" s="108"/>
      <c r="IOL117" s="108"/>
      <c r="IOM117" s="108"/>
      <c r="ION117" s="108"/>
      <c r="IOO117" s="108"/>
      <c r="IOP117" s="108"/>
      <c r="IOQ117" s="108"/>
      <c r="IOR117" s="108"/>
      <c r="IOS117" s="108"/>
      <c r="IOT117" s="108"/>
      <c r="IOU117" s="108"/>
      <c r="IOV117" s="108"/>
      <c r="IOW117" s="108"/>
      <c r="IOX117" s="108"/>
      <c r="IOY117" s="108"/>
      <c r="IOZ117" s="108"/>
      <c r="IPA117" s="108"/>
      <c r="IPB117" s="108"/>
      <c r="IPC117" s="108"/>
      <c r="IPD117" s="108"/>
      <c r="IPE117" s="108"/>
      <c r="IPF117" s="108"/>
      <c r="IPG117" s="108"/>
      <c r="IPH117" s="108"/>
      <c r="IPI117" s="108"/>
      <c r="IPJ117" s="108"/>
      <c r="IPK117" s="108"/>
      <c r="IPL117" s="108"/>
      <c r="IPM117" s="108"/>
      <c r="IPN117" s="108"/>
      <c r="IPO117" s="108"/>
      <c r="IPP117" s="108"/>
      <c r="IPQ117" s="108"/>
      <c r="IPR117" s="108"/>
      <c r="IPS117" s="108"/>
      <c r="IPT117" s="108"/>
      <c r="IPU117" s="108"/>
      <c r="IPV117" s="108"/>
      <c r="IPW117" s="108"/>
      <c r="IPX117" s="108"/>
      <c r="IPY117" s="108"/>
      <c r="IPZ117" s="108"/>
      <c r="IQA117" s="108"/>
      <c r="IQB117" s="108"/>
      <c r="IQC117" s="108"/>
      <c r="IQD117" s="108"/>
      <c r="IQE117" s="108"/>
      <c r="IQF117" s="108"/>
      <c r="IQG117" s="108"/>
      <c r="IQH117" s="108"/>
      <c r="IQI117" s="108"/>
      <c r="IQJ117" s="108"/>
      <c r="IQK117" s="108"/>
      <c r="IQL117" s="108"/>
      <c r="IQM117" s="108"/>
      <c r="IQN117" s="108"/>
      <c r="IQO117" s="108"/>
      <c r="IQP117" s="108"/>
      <c r="IQQ117" s="108"/>
      <c r="IQR117" s="108"/>
      <c r="IQS117" s="108"/>
      <c r="IQT117" s="108"/>
      <c r="IQU117" s="108"/>
      <c r="IQV117" s="108"/>
      <c r="IQW117" s="108"/>
      <c r="IQX117" s="108"/>
      <c r="IQY117" s="108"/>
      <c r="IQZ117" s="108"/>
      <c r="IRA117" s="108"/>
      <c r="IRB117" s="108"/>
      <c r="IRC117" s="108"/>
      <c r="IRD117" s="108"/>
      <c r="IRE117" s="108"/>
      <c r="IRF117" s="108"/>
      <c r="IRG117" s="108"/>
      <c r="IRH117" s="108"/>
      <c r="IRI117" s="108"/>
      <c r="IRJ117" s="108"/>
      <c r="IRK117" s="108"/>
      <c r="IRL117" s="108"/>
      <c r="IRM117" s="108"/>
      <c r="IRN117" s="108"/>
      <c r="IRO117" s="108"/>
      <c r="IRP117" s="108"/>
      <c r="IRQ117" s="108"/>
      <c r="IRR117" s="108"/>
      <c r="IRS117" s="108"/>
      <c r="IRT117" s="108"/>
      <c r="IRU117" s="108"/>
      <c r="IRV117" s="108"/>
      <c r="IRW117" s="108"/>
      <c r="IRX117" s="108"/>
      <c r="IRY117" s="108"/>
      <c r="IRZ117" s="108"/>
      <c r="ISA117" s="108"/>
      <c r="ISB117" s="108"/>
      <c r="ISC117" s="108"/>
      <c r="ISD117" s="108"/>
      <c r="ISE117" s="108"/>
      <c r="ISF117" s="108"/>
      <c r="ISG117" s="108"/>
      <c r="ISH117" s="108"/>
      <c r="ISI117" s="108"/>
      <c r="ISJ117" s="108"/>
      <c r="ISK117" s="108"/>
      <c r="ISL117" s="108"/>
      <c r="ISM117" s="108"/>
      <c r="ISN117" s="108"/>
      <c r="ISO117" s="108"/>
      <c r="ISP117" s="108"/>
      <c r="ISQ117" s="108"/>
      <c r="ISR117" s="108"/>
      <c r="ISS117" s="108"/>
      <c r="IST117" s="108"/>
      <c r="ISU117" s="108"/>
      <c r="ISV117" s="108"/>
      <c r="ISW117" s="108"/>
      <c r="ISX117" s="108"/>
      <c r="ISY117" s="108"/>
      <c r="ISZ117" s="108"/>
      <c r="ITA117" s="108"/>
      <c r="ITB117" s="108"/>
      <c r="ITC117" s="108"/>
      <c r="ITD117" s="108"/>
      <c r="ITE117" s="108"/>
      <c r="ITF117" s="108"/>
      <c r="ITG117" s="108"/>
      <c r="ITH117" s="108"/>
      <c r="ITI117" s="108"/>
      <c r="ITJ117" s="108"/>
      <c r="ITK117" s="108"/>
      <c r="ITL117" s="108"/>
      <c r="ITM117" s="108"/>
      <c r="ITN117" s="108"/>
      <c r="ITO117" s="108"/>
      <c r="ITP117" s="108"/>
      <c r="ITQ117" s="108"/>
      <c r="ITR117" s="108"/>
      <c r="ITS117" s="108"/>
      <c r="ITT117" s="108"/>
      <c r="ITU117" s="108"/>
      <c r="ITV117" s="108"/>
      <c r="ITW117" s="108"/>
      <c r="ITX117" s="108"/>
      <c r="ITY117" s="108"/>
      <c r="ITZ117" s="108"/>
      <c r="IUA117" s="108"/>
      <c r="IUB117" s="108"/>
      <c r="IUC117" s="108"/>
      <c r="IUD117" s="108"/>
      <c r="IUE117" s="108"/>
      <c r="IUF117" s="108"/>
      <c r="IUG117" s="108"/>
      <c r="IUH117" s="108"/>
      <c r="IUI117" s="108"/>
      <c r="IUJ117" s="108"/>
      <c r="IUK117" s="108"/>
      <c r="IUL117" s="108"/>
      <c r="IUM117" s="108"/>
      <c r="IUN117" s="108"/>
      <c r="IUO117" s="108"/>
      <c r="IUP117" s="108"/>
      <c r="IUQ117" s="108"/>
      <c r="IUR117" s="108"/>
      <c r="IUS117" s="108"/>
      <c r="IUT117" s="108"/>
      <c r="IUU117" s="108"/>
      <c r="IUV117" s="108"/>
      <c r="IUW117" s="108"/>
      <c r="IUX117" s="108"/>
      <c r="IUY117" s="108"/>
      <c r="IUZ117" s="108"/>
      <c r="IVA117" s="108"/>
      <c r="IVB117" s="108"/>
      <c r="IVC117" s="108"/>
      <c r="IVD117" s="108"/>
      <c r="IVE117" s="108"/>
      <c r="IVF117" s="108"/>
      <c r="IVG117" s="108"/>
      <c r="IVH117" s="108"/>
      <c r="IVI117" s="108"/>
      <c r="IVJ117" s="108"/>
      <c r="IVK117" s="108"/>
      <c r="IVL117" s="108"/>
      <c r="IVM117" s="108"/>
      <c r="IVN117" s="108"/>
      <c r="IVO117" s="108"/>
      <c r="IVP117" s="108"/>
      <c r="IVQ117" s="108"/>
      <c r="IVR117" s="108"/>
      <c r="IVS117" s="108"/>
      <c r="IVT117" s="108"/>
      <c r="IVU117" s="108"/>
      <c r="IVV117" s="108"/>
      <c r="IVW117" s="108"/>
      <c r="IVX117" s="108"/>
      <c r="IVY117" s="108"/>
      <c r="IVZ117" s="108"/>
      <c r="IWA117" s="108"/>
      <c r="IWB117" s="108"/>
      <c r="IWC117" s="108"/>
      <c r="IWD117" s="108"/>
      <c r="IWE117" s="108"/>
      <c r="IWF117" s="108"/>
      <c r="IWG117" s="108"/>
      <c r="IWH117" s="108"/>
      <c r="IWI117" s="108"/>
      <c r="IWJ117" s="108"/>
      <c r="IWK117" s="108"/>
      <c r="IWL117" s="108"/>
      <c r="IWM117" s="108"/>
      <c r="IWN117" s="108"/>
      <c r="IWO117" s="108"/>
      <c r="IWP117" s="108"/>
      <c r="IWQ117" s="108"/>
      <c r="IWR117" s="108"/>
      <c r="IWS117" s="108"/>
      <c r="IWT117" s="108"/>
      <c r="IWU117" s="108"/>
      <c r="IWV117" s="108"/>
      <c r="IWW117" s="108"/>
      <c r="IWX117" s="108"/>
      <c r="IWY117" s="108"/>
      <c r="IWZ117" s="108"/>
      <c r="IXA117" s="108"/>
      <c r="IXB117" s="108"/>
      <c r="IXC117" s="108"/>
      <c r="IXD117" s="108"/>
      <c r="IXE117" s="108"/>
      <c r="IXF117" s="108"/>
      <c r="IXG117" s="108"/>
      <c r="IXH117" s="108"/>
      <c r="IXI117" s="108"/>
      <c r="IXJ117" s="108"/>
      <c r="IXK117" s="108"/>
      <c r="IXL117" s="108"/>
      <c r="IXM117" s="108"/>
      <c r="IXN117" s="108"/>
      <c r="IXO117" s="108"/>
      <c r="IXP117" s="108"/>
      <c r="IXQ117" s="108"/>
      <c r="IXR117" s="108"/>
      <c r="IXS117" s="108"/>
      <c r="IXT117" s="108"/>
      <c r="IXU117" s="108"/>
      <c r="IXV117" s="108"/>
      <c r="IXW117" s="108"/>
      <c r="IXX117" s="108"/>
      <c r="IXY117" s="108"/>
      <c r="IXZ117" s="108"/>
      <c r="IYA117" s="108"/>
      <c r="IYB117" s="108"/>
      <c r="IYC117" s="108"/>
      <c r="IYD117" s="108"/>
      <c r="IYE117" s="108"/>
      <c r="IYF117" s="108"/>
      <c r="IYG117" s="108"/>
      <c r="IYH117" s="108"/>
      <c r="IYI117" s="108"/>
      <c r="IYJ117" s="108"/>
      <c r="IYK117" s="108"/>
      <c r="IYL117" s="108"/>
      <c r="IYM117" s="108"/>
      <c r="IYN117" s="108"/>
      <c r="IYO117" s="108"/>
      <c r="IYP117" s="108"/>
      <c r="IYQ117" s="108"/>
      <c r="IYR117" s="108"/>
      <c r="IYS117" s="108"/>
      <c r="IYT117" s="108"/>
      <c r="IYU117" s="108"/>
      <c r="IYV117" s="108"/>
      <c r="IYW117" s="108"/>
      <c r="IYX117" s="108"/>
      <c r="IYY117" s="108"/>
      <c r="IYZ117" s="108"/>
      <c r="IZA117" s="108"/>
      <c r="IZB117" s="108"/>
      <c r="IZC117" s="108"/>
      <c r="IZD117" s="108"/>
      <c r="IZE117" s="108"/>
      <c r="IZF117" s="108"/>
      <c r="IZG117" s="108"/>
      <c r="IZH117" s="108"/>
      <c r="IZI117" s="108"/>
      <c r="IZJ117" s="108"/>
      <c r="IZK117" s="108"/>
      <c r="IZL117" s="108"/>
      <c r="IZM117" s="108"/>
      <c r="IZN117" s="108"/>
      <c r="IZO117" s="108"/>
      <c r="IZP117" s="108"/>
      <c r="IZQ117" s="108"/>
      <c r="IZR117" s="108"/>
      <c r="IZS117" s="108"/>
      <c r="IZT117" s="108"/>
      <c r="IZU117" s="108"/>
      <c r="IZV117" s="108"/>
      <c r="IZW117" s="108"/>
      <c r="IZX117" s="108"/>
      <c r="IZY117" s="108"/>
      <c r="IZZ117" s="108"/>
      <c r="JAA117" s="108"/>
      <c r="JAB117" s="108"/>
      <c r="JAC117" s="108"/>
      <c r="JAD117" s="108"/>
      <c r="JAE117" s="108"/>
      <c r="JAF117" s="108"/>
      <c r="JAG117" s="108"/>
      <c r="JAH117" s="108"/>
      <c r="JAI117" s="108"/>
      <c r="JAJ117" s="108"/>
      <c r="JAK117" s="108"/>
      <c r="JAL117" s="108"/>
      <c r="JAM117" s="108"/>
      <c r="JAN117" s="108"/>
      <c r="JAO117" s="108"/>
      <c r="JAP117" s="108"/>
      <c r="JAQ117" s="108"/>
      <c r="JAR117" s="108"/>
      <c r="JAS117" s="108"/>
      <c r="JAT117" s="108"/>
      <c r="JAU117" s="108"/>
      <c r="JAV117" s="108"/>
      <c r="JAW117" s="108"/>
      <c r="JAX117" s="108"/>
      <c r="JAY117" s="108"/>
      <c r="JAZ117" s="108"/>
      <c r="JBA117" s="108"/>
      <c r="JBB117" s="108"/>
      <c r="JBC117" s="108"/>
      <c r="JBD117" s="108"/>
      <c r="JBE117" s="108"/>
      <c r="JBF117" s="108"/>
      <c r="JBG117" s="108"/>
      <c r="JBH117" s="108"/>
      <c r="JBI117" s="108"/>
      <c r="JBJ117" s="108"/>
      <c r="JBK117" s="108"/>
      <c r="JBL117" s="108"/>
      <c r="JBM117" s="108"/>
      <c r="JBN117" s="108"/>
      <c r="JBO117" s="108"/>
      <c r="JBP117" s="108"/>
      <c r="JBQ117" s="108"/>
      <c r="JBR117" s="108"/>
      <c r="JBS117" s="108"/>
      <c r="JBT117" s="108"/>
      <c r="JBU117" s="108"/>
      <c r="JBV117" s="108"/>
      <c r="JBW117" s="108"/>
      <c r="JBX117" s="108"/>
      <c r="JBY117" s="108"/>
      <c r="JBZ117" s="108"/>
      <c r="JCA117" s="108"/>
      <c r="JCB117" s="108"/>
      <c r="JCC117" s="108"/>
      <c r="JCD117" s="108"/>
      <c r="JCE117" s="108"/>
      <c r="JCF117" s="108"/>
      <c r="JCG117" s="108"/>
      <c r="JCH117" s="108"/>
      <c r="JCI117" s="108"/>
      <c r="JCJ117" s="108"/>
      <c r="JCK117" s="108"/>
      <c r="JCL117" s="108"/>
      <c r="JCM117" s="108"/>
      <c r="JCN117" s="108"/>
      <c r="JCO117" s="108"/>
      <c r="JCP117" s="108"/>
      <c r="JCQ117" s="108"/>
      <c r="JCR117" s="108"/>
      <c r="JCS117" s="108"/>
      <c r="JCT117" s="108"/>
      <c r="JCU117" s="108"/>
      <c r="JCV117" s="108"/>
      <c r="JCW117" s="108"/>
      <c r="JCX117" s="108"/>
      <c r="JCY117" s="108"/>
      <c r="JCZ117" s="108"/>
      <c r="JDA117" s="108"/>
      <c r="JDB117" s="108"/>
      <c r="JDC117" s="108"/>
      <c r="JDD117" s="108"/>
      <c r="JDE117" s="108"/>
      <c r="JDF117" s="108"/>
      <c r="JDG117" s="108"/>
      <c r="JDH117" s="108"/>
      <c r="JDI117" s="108"/>
      <c r="JDJ117" s="108"/>
      <c r="JDK117" s="108"/>
      <c r="JDL117" s="108"/>
      <c r="JDM117" s="108"/>
      <c r="JDN117" s="108"/>
      <c r="JDO117" s="108"/>
      <c r="JDP117" s="108"/>
      <c r="JDQ117" s="108"/>
      <c r="JDR117" s="108"/>
      <c r="JDS117" s="108"/>
      <c r="JDT117" s="108"/>
      <c r="JDU117" s="108"/>
      <c r="JDV117" s="108"/>
      <c r="JDW117" s="108"/>
      <c r="JDX117" s="108"/>
      <c r="JDY117" s="108"/>
      <c r="JDZ117" s="108"/>
      <c r="JEA117" s="108"/>
      <c r="JEB117" s="108"/>
      <c r="JEC117" s="108"/>
      <c r="JED117" s="108"/>
      <c r="JEE117" s="108"/>
      <c r="JEF117" s="108"/>
      <c r="JEG117" s="108"/>
      <c r="JEH117" s="108"/>
      <c r="JEI117" s="108"/>
      <c r="JEJ117" s="108"/>
      <c r="JEK117" s="108"/>
      <c r="JEL117" s="108"/>
      <c r="JEM117" s="108"/>
      <c r="JEN117" s="108"/>
      <c r="JEO117" s="108"/>
      <c r="JEP117" s="108"/>
      <c r="JEQ117" s="108"/>
      <c r="JER117" s="108"/>
      <c r="JES117" s="108"/>
      <c r="JET117" s="108"/>
      <c r="JEU117" s="108"/>
      <c r="JEV117" s="108"/>
      <c r="JEW117" s="108"/>
      <c r="JEX117" s="108"/>
      <c r="JEY117" s="108"/>
      <c r="JEZ117" s="108"/>
      <c r="JFA117" s="108"/>
      <c r="JFB117" s="108"/>
      <c r="JFC117" s="108"/>
      <c r="JFD117" s="108"/>
      <c r="JFE117" s="108"/>
      <c r="JFF117" s="108"/>
      <c r="JFG117" s="108"/>
      <c r="JFH117" s="108"/>
      <c r="JFI117" s="108"/>
      <c r="JFJ117" s="108"/>
      <c r="JFK117" s="108"/>
      <c r="JFL117" s="108"/>
      <c r="JFM117" s="108"/>
      <c r="JFN117" s="108"/>
      <c r="JFO117" s="108"/>
      <c r="JFP117" s="108"/>
      <c r="JFQ117" s="108"/>
      <c r="JFR117" s="108"/>
      <c r="JFS117" s="108"/>
      <c r="JFT117" s="108"/>
      <c r="JFU117" s="108"/>
      <c r="JFV117" s="108"/>
      <c r="JFW117" s="108"/>
      <c r="JFX117" s="108"/>
      <c r="JFY117" s="108"/>
      <c r="JFZ117" s="108"/>
      <c r="JGA117" s="108"/>
      <c r="JGB117" s="108"/>
      <c r="JGC117" s="108"/>
      <c r="JGD117" s="108"/>
      <c r="JGE117" s="108"/>
      <c r="JGF117" s="108"/>
      <c r="JGG117" s="108"/>
      <c r="JGH117" s="108"/>
      <c r="JGI117" s="108"/>
      <c r="JGJ117" s="108"/>
      <c r="JGK117" s="108"/>
      <c r="JGL117" s="108"/>
      <c r="JGM117" s="108"/>
      <c r="JGN117" s="108"/>
      <c r="JGO117" s="108"/>
      <c r="JGP117" s="108"/>
      <c r="JGQ117" s="108"/>
      <c r="JGR117" s="108"/>
      <c r="JGS117" s="108"/>
      <c r="JGT117" s="108"/>
      <c r="JGU117" s="108"/>
      <c r="JGV117" s="108"/>
      <c r="JGW117" s="108"/>
      <c r="JGX117" s="108"/>
      <c r="JGY117" s="108"/>
      <c r="JGZ117" s="108"/>
      <c r="JHA117" s="108"/>
      <c r="JHB117" s="108"/>
      <c r="JHC117" s="108"/>
      <c r="JHD117" s="108"/>
      <c r="JHE117" s="108"/>
      <c r="JHF117" s="108"/>
      <c r="JHG117" s="108"/>
      <c r="JHH117" s="108"/>
      <c r="JHI117" s="108"/>
      <c r="JHJ117" s="108"/>
      <c r="JHK117" s="108"/>
      <c r="JHL117" s="108"/>
      <c r="JHM117" s="108"/>
      <c r="JHN117" s="108"/>
      <c r="JHO117" s="108"/>
      <c r="JHP117" s="108"/>
      <c r="JHQ117" s="108"/>
      <c r="JHR117" s="108"/>
      <c r="JHS117" s="108"/>
      <c r="JHT117" s="108"/>
      <c r="JHU117" s="108"/>
      <c r="JHV117" s="108"/>
      <c r="JHW117" s="108"/>
      <c r="JHX117" s="108"/>
      <c r="JHY117" s="108"/>
      <c r="JHZ117" s="108"/>
      <c r="JIA117" s="108"/>
      <c r="JIB117" s="108"/>
      <c r="JIC117" s="108"/>
      <c r="JID117" s="108"/>
      <c r="JIE117" s="108"/>
      <c r="JIF117" s="108"/>
      <c r="JIG117" s="108"/>
      <c r="JIH117" s="108"/>
      <c r="JII117" s="108"/>
      <c r="JIJ117" s="108"/>
      <c r="JIK117" s="108"/>
      <c r="JIL117" s="108"/>
      <c r="JIM117" s="108"/>
      <c r="JIN117" s="108"/>
      <c r="JIO117" s="108"/>
      <c r="JIP117" s="108"/>
      <c r="JIQ117" s="108"/>
      <c r="JIR117" s="108"/>
      <c r="JIS117" s="108"/>
      <c r="JIT117" s="108"/>
      <c r="JIU117" s="108"/>
      <c r="JIV117" s="108"/>
      <c r="JIW117" s="108"/>
      <c r="JIX117" s="108"/>
      <c r="JIY117" s="108"/>
      <c r="JIZ117" s="108"/>
      <c r="JJA117" s="108"/>
      <c r="JJB117" s="108"/>
      <c r="JJC117" s="108"/>
      <c r="JJD117" s="108"/>
      <c r="JJE117" s="108"/>
      <c r="JJF117" s="108"/>
      <c r="JJG117" s="108"/>
      <c r="JJH117" s="108"/>
      <c r="JJI117" s="108"/>
      <c r="JJJ117" s="108"/>
      <c r="JJK117" s="108"/>
      <c r="JJL117" s="108"/>
      <c r="JJM117" s="108"/>
      <c r="JJN117" s="108"/>
      <c r="JJO117" s="108"/>
      <c r="JJP117" s="108"/>
      <c r="JJQ117" s="108"/>
      <c r="JJR117" s="108"/>
      <c r="JJS117" s="108"/>
      <c r="JJT117" s="108"/>
      <c r="JJU117" s="108"/>
      <c r="JJV117" s="108"/>
      <c r="JJW117" s="108"/>
      <c r="JJX117" s="108"/>
      <c r="JJY117" s="108"/>
      <c r="JJZ117" s="108"/>
      <c r="JKA117" s="108"/>
      <c r="JKB117" s="108"/>
      <c r="JKC117" s="108"/>
      <c r="JKD117" s="108"/>
      <c r="JKE117" s="108"/>
      <c r="JKF117" s="108"/>
      <c r="JKG117" s="108"/>
      <c r="JKH117" s="108"/>
      <c r="JKI117" s="108"/>
      <c r="JKJ117" s="108"/>
      <c r="JKK117" s="108"/>
      <c r="JKL117" s="108"/>
      <c r="JKM117" s="108"/>
      <c r="JKN117" s="108"/>
      <c r="JKO117" s="108"/>
      <c r="JKP117" s="108"/>
      <c r="JKQ117" s="108"/>
      <c r="JKR117" s="108"/>
      <c r="JKS117" s="108"/>
      <c r="JKT117" s="108"/>
      <c r="JKU117" s="108"/>
      <c r="JKV117" s="108"/>
      <c r="JKW117" s="108"/>
      <c r="JKX117" s="108"/>
      <c r="JKY117" s="108"/>
      <c r="JKZ117" s="108"/>
      <c r="JLA117" s="108"/>
      <c r="JLB117" s="108"/>
      <c r="JLC117" s="108"/>
      <c r="JLD117" s="108"/>
      <c r="JLE117" s="108"/>
      <c r="JLF117" s="108"/>
      <c r="JLG117" s="108"/>
      <c r="JLH117" s="108"/>
      <c r="JLI117" s="108"/>
      <c r="JLJ117" s="108"/>
      <c r="JLK117" s="108"/>
      <c r="JLL117" s="108"/>
      <c r="JLM117" s="108"/>
      <c r="JLN117" s="108"/>
      <c r="JLO117" s="108"/>
      <c r="JLP117" s="108"/>
      <c r="JLQ117" s="108"/>
      <c r="JLR117" s="108"/>
      <c r="JLS117" s="108"/>
      <c r="JLT117" s="108"/>
      <c r="JLU117" s="108"/>
      <c r="JLV117" s="108"/>
      <c r="JLW117" s="108"/>
      <c r="JLX117" s="108"/>
      <c r="JLY117" s="108"/>
      <c r="JLZ117" s="108"/>
      <c r="JMA117" s="108"/>
      <c r="JMB117" s="108"/>
      <c r="JMC117" s="108"/>
      <c r="JMD117" s="108"/>
      <c r="JME117" s="108"/>
      <c r="JMF117" s="108"/>
      <c r="JMG117" s="108"/>
      <c r="JMH117" s="108"/>
      <c r="JMI117" s="108"/>
      <c r="JMJ117" s="108"/>
      <c r="JMK117" s="108"/>
      <c r="JML117" s="108"/>
      <c r="JMM117" s="108"/>
      <c r="JMN117" s="108"/>
      <c r="JMO117" s="108"/>
      <c r="JMP117" s="108"/>
      <c r="JMQ117" s="108"/>
      <c r="JMR117" s="108"/>
      <c r="JMS117" s="108"/>
      <c r="JMT117" s="108"/>
      <c r="JMU117" s="108"/>
      <c r="JMV117" s="108"/>
      <c r="JMW117" s="108"/>
      <c r="JMX117" s="108"/>
      <c r="JMY117" s="108"/>
      <c r="JMZ117" s="108"/>
      <c r="JNA117" s="108"/>
      <c r="JNB117" s="108"/>
      <c r="JNC117" s="108"/>
      <c r="JND117" s="108"/>
      <c r="JNE117" s="108"/>
      <c r="JNF117" s="108"/>
      <c r="JNG117" s="108"/>
      <c r="JNH117" s="108"/>
      <c r="JNI117" s="108"/>
      <c r="JNJ117" s="108"/>
      <c r="JNK117" s="108"/>
      <c r="JNL117" s="108"/>
      <c r="JNM117" s="108"/>
      <c r="JNN117" s="108"/>
      <c r="JNO117" s="108"/>
      <c r="JNP117" s="108"/>
      <c r="JNQ117" s="108"/>
      <c r="JNR117" s="108"/>
      <c r="JNS117" s="108"/>
      <c r="JNT117" s="108"/>
      <c r="JNU117" s="108"/>
      <c r="JNV117" s="108"/>
      <c r="JNW117" s="108"/>
      <c r="JNX117" s="108"/>
      <c r="JNY117" s="108"/>
      <c r="JNZ117" s="108"/>
      <c r="JOA117" s="108"/>
      <c r="JOB117" s="108"/>
      <c r="JOC117" s="108"/>
      <c r="JOD117" s="108"/>
      <c r="JOE117" s="108"/>
      <c r="JOF117" s="108"/>
      <c r="JOG117" s="108"/>
      <c r="JOH117" s="108"/>
      <c r="JOI117" s="108"/>
      <c r="JOJ117" s="108"/>
      <c r="JOK117" s="108"/>
      <c r="JOL117" s="108"/>
      <c r="JOM117" s="108"/>
      <c r="JON117" s="108"/>
      <c r="JOO117" s="108"/>
      <c r="JOP117" s="108"/>
      <c r="JOQ117" s="108"/>
      <c r="JOR117" s="108"/>
      <c r="JOS117" s="108"/>
      <c r="JOT117" s="108"/>
      <c r="JOU117" s="108"/>
      <c r="JOV117" s="108"/>
      <c r="JOW117" s="108"/>
      <c r="JOX117" s="108"/>
      <c r="JOY117" s="108"/>
      <c r="JOZ117" s="108"/>
      <c r="JPA117" s="108"/>
      <c r="JPB117" s="108"/>
      <c r="JPC117" s="108"/>
      <c r="JPD117" s="108"/>
      <c r="JPE117" s="108"/>
      <c r="JPF117" s="108"/>
      <c r="JPG117" s="108"/>
      <c r="JPH117" s="108"/>
      <c r="JPI117" s="108"/>
      <c r="JPJ117" s="108"/>
      <c r="JPK117" s="108"/>
      <c r="JPL117" s="108"/>
      <c r="JPM117" s="108"/>
      <c r="JPN117" s="108"/>
      <c r="JPO117" s="108"/>
      <c r="JPP117" s="108"/>
      <c r="JPQ117" s="108"/>
      <c r="JPR117" s="108"/>
      <c r="JPS117" s="108"/>
      <c r="JPT117" s="108"/>
      <c r="JPU117" s="108"/>
      <c r="JPV117" s="108"/>
      <c r="JPW117" s="108"/>
      <c r="JPX117" s="108"/>
      <c r="JPY117" s="108"/>
      <c r="JPZ117" s="108"/>
      <c r="JQA117" s="108"/>
      <c r="JQB117" s="108"/>
      <c r="JQC117" s="108"/>
      <c r="JQD117" s="108"/>
      <c r="JQE117" s="108"/>
      <c r="JQF117" s="108"/>
      <c r="JQG117" s="108"/>
      <c r="JQH117" s="108"/>
      <c r="JQI117" s="108"/>
      <c r="JQJ117" s="108"/>
      <c r="JQK117" s="108"/>
      <c r="JQL117" s="108"/>
      <c r="JQM117" s="108"/>
      <c r="JQN117" s="108"/>
      <c r="JQO117" s="108"/>
      <c r="JQP117" s="108"/>
      <c r="JQQ117" s="108"/>
      <c r="JQR117" s="108"/>
      <c r="JQS117" s="108"/>
      <c r="JQT117" s="108"/>
      <c r="JQU117" s="108"/>
      <c r="JQV117" s="108"/>
      <c r="JQW117" s="108"/>
      <c r="JQX117" s="108"/>
      <c r="JQY117" s="108"/>
      <c r="JQZ117" s="108"/>
      <c r="JRA117" s="108"/>
      <c r="JRB117" s="108"/>
      <c r="JRC117" s="108"/>
      <c r="JRD117" s="108"/>
      <c r="JRE117" s="108"/>
      <c r="JRF117" s="108"/>
      <c r="JRG117" s="108"/>
      <c r="JRH117" s="108"/>
      <c r="JRI117" s="108"/>
      <c r="JRJ117" s="108"/>
      <c r="JRK117" s="108"/>
      <c r="JRL117" s="108"/>
      <c r="JRM117" s="108"/>
      <c r="JRN117" s="108"/>
      <c r="JRO117" s="108"/>
      <c r="JRP117" s="108"/>
      <c r="JRQ117" s="108"/>
      <c r="JRR117" s="108"/>
      <c r="JRS117" s="108"/>
      <c r="JRT117" s="108"/>
      <c r="JRU117" s="108"/>
      <c r="JRV117" s="108"/>
      <c r="JRW117" s="108"/>
      <c r="JRX117" s="108"/>
      <c r="JRY117" s="108"/>
      <c r="JRZ117" s="108"/>
      <c r="JSA117" s="108"/>
      <c r="JSB117" s="108"/>
      <c r="JSC117" s="108"/>
      <c r="JSD117" s="108"/>
      <c r="JSE117" s="108"/>
      <c r="JSF117" s="108"/>
      <c r="JSG117" s="108"/>
      <c r="JSH117" s="108"/>
      <c r="JSI117" s="108"/>
      <c r="JSJ117" s="108"/>
      <c r="JSK117" s="108"/>
      <c r="JSL117" s="108"/>
      <c r="JSM117" s="108"/>
      <c r="JSN117" s="108"/>
      <c r="JSO117" s="108"/>
      <c r="JSP117" s="108"/>
      <c r="JSQ117" s="108"/>
      <c r="JSR117" s="108"/>
      <c r="JSS117" s="108"/>
      <c r="JST117" s="108"/>
      <c r="JSU117" s="108"/>
      <c r="JSV117" s="108"/>
      <c r="JSW117" s="108"/>
      <c r="JSX117" s="108"/>
      <c r="JSY117" s="108"/>
      <c r="JSZ117" s="108"/>
      <c r="JTA117" s="108"/>
      <c r="JTB117" s="108"/>
      <c r="JTC117" s="108"/>
      <c r="JTD117" s="108"/>
      <c r="JTE117" s="108"/>
      <c r="JTF117" s="108"/>
      <c r="JTG117" s="108"/>
      <c r="JTH117" s="108"/>
      <c r="JTI117" s="108"/>
      <c r="JTJ117" s="108"/>
      <c r="JTK117" s="108"/>
      <c r="JTL117" s="108"/>
      <c r="JTM117" s="108"/>
      <c r="JTN117" s="108"/>
      <c r="JTO117" s="108"/>
      <c r="JTP117" s="108"/>
      <c r="JTQ117" s="108"/>
      <c r="JTR117" s="108"/>
      <c r="JTS117" s="108"/>
      <c r="JTT117" s="108"/>
      <c r="JTU117" s="108"/>
      <c r="JTV117" s="108"/>
      <c r="JTW117" s="108"/>
      <c r="JTX117" s="108"/>
      <c r="JTY117" s="108"/>
      <c r="JTZ117" s="108"/>
      <c r="JUA117" s="108"/>
      <c r="JUB117" s="108"/>
      <c r="JUC117" s="108"/>
      <c r="JUD117" s="108"/>
      <c r="JUE117" s="108"/>
      <c r="JUF117" s="108"/>
      <c r="JUG117" s="108"/>
      <c r="JUH117" s="108"/>
      <c r="JUI117" s="108"/>
      <c r="JUJ117" s="108"/>
      <c r="JUK117" s="108"/>
      <c r="JUL117" s="108"/>
      <c r="JUM117" s="108"/>
      <c r="JUN117" s="108"/>
      <c r="JUO117" s="108"/>
      <c r="JUP117" s="108"/>
      <c r="JUQ117" s="108"/>
      <c r="JUR117" s="108"/>
      <c r="JUS117" s="108"/>
      <c r="JUT117" s="108"/>
      <c r="JUU117" s="108"/>
      <c r="JUV117" s="108"/>
      <c r="JUW117" s="108"/>
      <c r="JUX117" s="108"/>
      <c r="JUY117" s="108"/>
      <c r="JUZ117" s="108"/>
      <c r="JVA117" s="108"/>
      <c r="JVB117" s="108"/>
      <c r="JVC117" s="108"/>
      <c r="JVD117" s="108"/>
      <c r="JVE117" s="108"/>
      <c r="JVF117" s="108"/>
      <c r="JVG117" s="108"/>
      <c r="JVH117" s="108"/>
      <c r="JVI117" s="108"/>
      <c r="JVJ117" s="108"/>
      <c r="JVK117" s="108"/>
      <c r="JVL117" s="108"/>
      <c r="JVM117" s="108"/>
      <c r="JVN117" s="108"/>
      <c r="JVO117" s="108"/>
      <c r="JVP117" s="108"/>
      <c r="JVQ117" s="108"/>
      <c r="JVR117" s="108"/>
      <c r="JVS117" s="108"/>
      <c r="JVT117" s="108"/>
      <c r="JVU117" s="108"/>
      <c r="JVV117" s="108"/>
      <c r="JVW117" s="108"/>
      <c r="JVX117" s="108"/>
      <c r="JVY117" s="108"/>
      <c r="JVZ117" s="108"/>
      <c r="JWA117" s="108"/>
      <c r="JWB117" s="108"/>
      <c r="JWC117" s="108"/>
      <c r="JWD117" s="108"/>
      <c r="JWE117" s="108"/>
      <c r="JWF117" s="108"/>
      <c r="JWG117" s="108"/>
      <c r="JWH117" s="108"/>
      <c r="JWI117" s="108"/>
      <c r="JWJ117" s="108"/>
      <c r="JWK117" s="108"/>
      <c r="JWL117" s="108"/>
      <c r="JWM117" s="108"/>
      <c r="JWN117" s="108"/>
      <c r="JWO117" s="108"/>
      <c r="JWP117" s="108"/>
      <c r="JWQ117" s="108"/>
      <c r="JWR117" s="108"/>
      <c r="JWS117" s="108"/>
      <c r="JWT117" s="108"/>
      <c r="JWU117" s="108"/>
      <c r="JWV117" s="108"/>
      <c r="JWW117" s="108"/>
      <c r="JWX117" s="108"/>
      <c r="JWY117" s="108"/>
      <c r="JWZ117" s="108"/>
      <c r="JXA117" s="108"/>
      <c r="JXB117" s="108"/>
      <c r="JXC117" s="108"/>
      <c r="JXD117" s="108"/>
      <c r="JXE117" s="108"/>
      <c r="JXF117" s="108"/>
      <c r="JXG117" s="108"/>
      <c r="JXH117" s="108"/>
      <c r="JXI117" s="108"/>
      <c r="JXJ117" s="108"/>
      <c r="JXK117" s="108"/>
      <c r="JXL117" s="108"/>
      <c r="JXM117" s="108"/>
      <c r="JXN117" s="108"/>
      <c r="JXO117" s="108"/>
      <c r="JXP117" s="108"/>
      <c r="JXQ117" s="108"/>
      <c r="JXR117" s="108"/>
      <c r="JXS117" s="108"/>
      <c r="JXT117" s="108"/>
      <c r="JXU117" s="108"/>
      <c r="JXV117" s="108"/>
      <c r="JXW117" s="108"/>
      <c r="JXX117" s="108"/>
      <c r="JXY117" s="108"/>
      <c r="JXZ117" s="108"/>
      <c r="JYA117" s="108"/>
      <c r="JYB117" s="108"/>
      <c r="JYC117" s="108"/>
      <c r="JYD117" s="108"/>
      <c r="JYE117" s="108"/>
      <c r="JYF117" s="108"/>
      <c r="JYG117" s="108"/>
      <c r="JYH117" s="108"/>
      <c r="JYI117" s="108"/>
      <c r="JYJ117" s="108"/>
      <c r="JYK117" s="108"/>
      <c r="JYL117" s="108"/>
      <c r="JYM117" s="108"/>
      <c r="JYN117" s="108"/>
      <c r="JYO117" s="108"/>
      <c r="JYP117" s="108"/>
      <c r="JYQ117" s="108"/>
      <c r="JYR117" s="108"/>
      <c r="JYS117" s="108"/>
      <c r="JYT117" s="108"/>
      <c r="JYU117" s="108"/>
      <c r="JYV117" s="108"/>
      <c r="JYW117" s="108"/>
      <c r="JYX117" s="108"/>
      <c r="JYY117" s="108"/>
      <c r="JYZ117" s="108"/>
      <c r="JZA117" s="108"/>
      <c r="JZB117" s="108"/>
      <c r="JZC117" s="108"/>
      <c r="JZD117" s="108"/>
      <c r="JZE117" s="108"/>
      <c r="JZF117" s="108"/>
      <c r="JZG117" s="108"/>
      <c r="JZH117" s="108"/>
      <c r="JZI117" s="108"/>
      <c r="JZJ117" s="108"/>
      <c r="JZK117" s="108"/>
      <c r="JZL117" s="108"/>
      <c r="JZM117" s="108"/>
      <c r="JZN117" s="108"/>
      <c r="JZO117" s="108"/>
      <c r="JZP117" s="108"/>
      <c r="JZQ117" s="108"/>
      <c r="JZR117" s="108"/>
      <c r="JZS117" s="108"/>
      <c r="JZT117" s="108"/>
      <c r="JZU117" s="108"/>
      <c r="JZV117" s="108"/>
      <c r="JZW117" s="108"/>
      <c r="JZX117" s="108"/>
      <c r="JZY117" s="108"/>
      <c r="JZZ117" s="108"/>
      <c r="KAA117" s="108"/>
      <c r="KAB117" s="108"/>
      <c r="KAC117" s="108"/>
      <c r="KAD117" s="108"/>
      <c r="KAE117" s="108"/>
      <c r="KAF117" s="108"/>
      <c r="KAG117" s="108"/>
      <c r="KAH117" s="108"/>
      <c r="KAI117" s="108"/>
      <c r="KAJ117" s="108"/>
      <c r="KAK117" s="108"/>
      <c r="KAL117" s="108"/>
      <c r="KAM117" s="108"/>
      <c r="KAN117" s="108"/>
      <c r="KAO117" s="108"/>
      <c r="KAP117" s="108"/>
      <c r="KAQ117" s="108"/>
      <c r="KAR117" s="108"/>
      <c r="KAS117" s="108"/>
      <c r="KAT117" s="108"/>
      <c r="KAU117" s="108"/>
      <c r="KAV117" s="108"/>
      <c r="KAW117" s="108"/>
      <c r="KAX117" s="108"/>
      <c r="KAY117" s="108"/>
      <c r="KAZ117" s="108"/>
      <c r="KBA117" s="108"/>
      <c r="KBB117" s="108"/>
      <c r="KBC117" s="108"/>
      <c r="KBD117" s="108"/>
      <c r="KBE117" s="108"/>
      <c r="KBF117" s="108"/>
      <c r="KBG117" s="108"/>
      <c r="KBH117" s="108"/>
      <c r="KBI117" s="108"/>
      <c r="KBJ117" s="108"/>
      <c r="KBK117" s="108"/>
      <c r="KBL117" s="108"/>
      <c r="KBM117" s="108"/>
      <c r="KBN117" s="108"/>
      <c r="KBO117" s="108"/>
      <c r="KBP117" s="108"/>
      <c r="KBQ117" s="108"/>
      <c r="KBR117" s="108"/>
      <c r="KBS117" s="108"/>
      <c r="KBT117" s="108"/>
      <c r="KBU117" s="108"/>
      <c r="KBV117" s="108"/>
      <c r="KBW117" s="108"/>
      <c r="KBX117" s="108"/>
      <c r="KBY117" s="108"/>
      <c r="KBZ117" s="108"/>
      <c r="KCA117" s="108"/>
      <c r="KCB117" s="108"/>
      <c r="KCC117" s="108"/>
      <c r="KCD117" s="108"/>
      <c r="KCE117" s="108"/>
      <c r="KCF117" s="108"/>
      <c r="KCG117" s="108"/>
      <c r="KCH117" s="108"/>
      <c r="KCI117" s="108"/>
      <c r="KCJ117" s="108"/>
      <c r="KCK117" s="108"/>
      <c r="KCL117" s="108"/>
      <c r="KCM117" s="108"/>
      <c r="KCN117" s="108"/>
      <c r="KCO117" s="108"/>
      <c r="KCP117" s="108"/>
      <c r="KCQ117" s="108"/>
      <c r="KCR117" s="108"/>
      <c r="KCS117" s="108"/>
      <c r="KCT117" s="108"/>
      <c r="KCU117" s="108"/>
      <c r="KCV117" s="108"/>
      <c r="KCW117" s="108"/>
      <c r="KCX117" s="108"/>
      <c r="KCY117" s="108"/>
      <c r="KCZ117" s="108"/>
      <c r="KDA117" s="108"/>
      <c r="KDB117" s="108"/>
      <c r="KDC117" s="108"/>
      <c r="KDD117" s="108"/>
      <c r="KDE117" s="108"/>
      <c r="KDF117" s="108"/>
      <c r="KDG117" s="108"/>
      <c r="KDH117" s="108"/>
      <c r="KDI117" s="108"/>
      <c r="KDJ117" s="108"/>
      <c r="KDK117" s="108"/>
      <c r="KDL117" s="108"/>
      <c r="KDM117" s="108"/>
      <c r="KDN117" s="108"/>
      <c r="KDO117" s="108"/>
      <c r="KDP117" s="108"/>
      <c r="KDQ117" s="108"/>
      <c r="KDR117" s="108"/>
      <c r="KDS117" s="108"/>
      <c r="KDT117" s="108"/>
      <c r="KDU117" s="108"/>
      <c r="KDV117" s="108"/>
      <c r="KDW117" s="108"/>
      <c r="KDX117" s="108"/>
      <c r="KDY117" s="108"/>
      <c r="KDZ117" s="108"/>
      <c r="KEA117" s="108"/>
      <c r="KEB117" s="108"/>
      <c r="KEC117" s="108"/>
      <c r="KED117" s="108"/>
      <c r="KEE117" s="108"/>
      <c r="KEF117" s="108"/>
      <c r="KEG117" s="108"/>
      <c r="KEH117" s="108"/>
      <c r="KEI117" s="108"/>
      <c r="KEJ117" s="108"/>
      <c r="KEK117" s="108"/>
      <c r="KEL117" s="108"/>
      <c r="KEM117" s="108"/>
      <c r="KEN117" s="108"/>
      <c r="KEO117" s="108"/>
      <c r="KEP117" s="108"/>
      <c r="KEQ117" s="108"/>
      <c r="KER117" s="108"/>
      <c r="KES117" s="108"/>
      <c r="KET117" s="108"/>
      <c r="KEU117" s="108"/>
      <c r="KEV117" s="108"/>
      <c r="KEW117" s="108"/>
      <c r="KEX117" s="108"/>
      <c r="KEY117" s="108"/>
      <c r="KEZ117" s="108"/>
      <c r="KFA117" s="108"/>
      <c r="KFB117" s="108"/>
      <c r="KFC117" s="108"/>
      <c r="KFD117" s="108"/>
      <c r="KFE117" s="108"/>
      <c r="KFF117" s="108"/>
      <c r="KFG117" s="108"/>
      <c r="KFH117" s="108"/>
      <c r="KFI117" s="108"/>
      <c r="KFJ117" s="108"/>
      <c r="KFK117" s="108"/>
      <c r="KFL117" s="108"/>
      <c r="KFM117" s="108"/>
      <c r="KFN117" s="108"/>
      <c r="KFO117" s="108"/>
      <c r="KFP117" s="108"/>
      <c r="KFQ117" s="108"/>
      <c r="KFR117" s="108"/>
      <c r="KFS117" s="108"/>
      <c r="KFT117" s="108"/>
      <c r="KFU117" s="108"/>
      <c r="KFV117" s="108"/>
      <c r="KFW117" s="108"/>
      <c r="KFX117" s="108"/>
      <c r="KFY117" s="108"/>
      <c r="KFZ117" s="108"/>
      <c r="KGA117" s="108"/>
      <c r="KGB117" s="108"/>
      <c r="KGC117" s="108"/>
      <c r="KGD117" s="108"/>
      <c r="KGE117" s="108"/>
      <c r="KGF117" s="108"/>
      <c r="KGG117" s="108"/>
      <c r="KGH117" s="108"/>
      <c r="KGI117" s="108"/>
      <c r="KGJ117" s="108"/>
      <c r="KGK117" s="108"/>
      <c r="KGL117" s="108"/>
      <c r="KGM117" s="108"/>
      <c r="KGN117" s="108"/>
      <c r="KGO117" s="108"/>
      <c r="KGP117" s="108"/>
      <c r="KGQ117" s="108"/>
      <c r="KGR117" s="108"/>
      <c r="KGS117" s="108"/>
      <c r="KGT117" s="108"/>
      <c r="KGU117" s="108"/>
      <c r="KGV117" s="108"/>
      <c r="KGW117" s="108"/>
      <c r="KGX117" s="108"/>
      <c r="KGY117" s="108"/>
      <c r="KGZ117" s="108"/>
      <c r="KHA117" s="108"/>
      <c r="KHB117" s="108"/>
      <c r="KHC117" s="108"/>
      <c r="KHD117" s="108"/>
      <c r="KHE117" s="108"/>
      <c r="KHF117" s="108"/>
      <c r="KHG117" s="108"/>
      <c r="KHH117" s="108"/>
      <c r="KHI117" s="108"/>
      <c r="KHJ117" s="108"/>
      <c r="KHK117" s="108"/>
      <c r="KHL117" s="108"/>
      <c r="KHM117" s="108"/>
      <c r="KHN117" s="108"/>
      <c r="KHO117" s="108"/>
      <c r="KHP117" s="108"/>
      <c r="KHQ117" s="108"/>
      <c r="KHR117" s="108"/>
      <c r="KHS117" s="108"/>
      <c r="KHT117" s="108"/>
      <c r="KHU117" s="108"/>
      <c r="KHV117" s="108"/>
      <c r="KHW117" s="108"/>
      <c r="KHX117" s="108"/>
      <c r="KHY117" s="108"/>
      <c r="KHZ117" s="108"/>
      <c r="KIA117" s="108"/>
      <c r="KIB117" s="108"/>
      <c r="KIC117" s="108"/>
      <c r="KID117" s="108"/>
      <c r="KIE117" s="108"/>
      <c r="KIF117" s="108"/>
      <c r="KIG117" s="108"/>
      <c r="KIH117" s="108"/>
      <c r="KII117" s="108"/>
      <c r="KIJ117" s="108"/>
      <c r="KIK117" s="108"/>
      <c r="KIL117" s="108"/>
      <c r="KIM117" s="108"/>
      <c r="KIN117" s="108"/>
      <c r="KIO117" s="108"/>
      <c r="KIP117" s="108"/>
      <c r="KIQ117" s="108"/>
      <c r="KIR117" s="108"/>
      <c r="KIS117" s="108"/>
      <c r="KIT117" s="108"/>
      <c r="KIU117" s="108"/>
      <c r="KIV117" s="108"/>
      <c r="KIW117" s="108"/>
      <c r="KIX117" s="108"/>
      <c r="KIY117" s="108"/>
      <c r="KIZ117" s="108"/>
      <c r="KJA117" s="108"/>
      <c r="KJB117" s="108"/>
      <c r="KJC117" s="108"/>
      <c r="KJD117" s="108"/>
      <c r="KJE117" s="108"/>
      <c r="KJF117" s="108"/>
      <c r="KJG117" s="108"/>
      <c r="KJH117" s="108"/>
      <c r="KJI117" s="108"/>
      <c r="KJJ117" s="108"/>
      <c r="KJK117" s="108"/>
      <c r="KJL117" s="108"/>
      <c r="KJM117" s="108"/>
      <c r="KJN117" s="108"/>
      <c r="KJO117" s="108"/>
      <c r="KJP117" s="108"/>
      <c r="KJQ117" s="108"/>
      <c r="KJR117" s="108"/>
      <c r="KJS117" s="108"/>
      <c r="KJT117" s="108"/>
      <c r="KJU117" s="108"/>
      <c r="KJV117" s="108"/>
      <c r="KJW117" s="108"/>
      <c r="KJX117" s="108"/>
      <c r="KJY117" s="108"/>
      <c r="KJZ117" s="108"/>
      <c r="KKA117" s="108"/>
      <c r="KKB117" s="108"/>
      <c r="KKC117" s="108"/>
      <c r="KKD117" s="108"/>
      <c r="KKE117" s="108"/>
      <c r="KKF117" s="108"/>
      <c r="KKG117" s="108"/>
      <c r="KKH117" s="108"/>
      <c r="KKI117" s="108"/>
      <c r="KKJ117" s="108"/>
      <c r="KKK117" s="108"/>
      <c r="KKL117" s="108"/>
      <c r="KKM117" s="108"/>
      <c r="KKN117" s="108"/>
      <c r="KKO117" s="108"/>
      <c r="KKP117" s="108"/>
      <c r="KKQ117" s="108"/>
      <c r="KKR117" s="108"/>
      <c r="KKS117" s="108"/>
      <c r="KKT117" s="108"/>
      <c r="KKU117" s="108"/>
      <c r="KKV117" s="108"/>
      <c r="KKW117" s="108"/>
      <c r="KKX117" s="108"/>
      <c r="KKY117" s="108"/>
      <c r="KKZ117" s="108"/>
      <c r="KLA117" s="108"/>
      <c r="KLB117" s="108"/>
      <c r="KLC117" s="108"/>
      <c r="KLD117" s="108"/>
      <c r="KLE117" s="108"/>
      <c r="KLF117" s="108"/>
      <c r="KLG117" s="108"/>
      <c r="KLH117" s="108"/>
      <c r="KLI117" s="108"/>
      <c r="KLJ117" s="108"/>
      <c r="KLK117" s="108"/>
      <c r="KLL117" s="108"/>
      <c r="KLM117" s="108"/>
      <c r="KLN117" s="108"/>
      <c r="KLO117" s="108"/>
      <c r="KLP117" s="108"/>
      <c r="KLQ117" s="108"/>
      <c r="KLR117" s="108"/>
      <c r="KLS117" s="108"/>
      <c r="KLT117" s="108"/>
      <c r="KLU117" s="108"/>
      <c r="KLV117" s="108"/>
      <c r="KLW117" s="108"/>
      <c r="KLX117" s="108"/>
      <c r="KLY117" s="108"/>
      <c r="KLZ117" s="108"/>
      <c r="KMA117" s="108"/>
      <c r="KMB117" s="108"/>
      <c r="KMC117" s="108"/>
      <c r="KMD117" s="108"/>
      <c r="KME117" s="108"/>
      <c r="KMF117" s="108"/>
      <c r="KMG117" s="108"/>
      <c r="KMH117" s="108"/>
      <c r="KMI117" s="108"/>
      <c r="KMJ117" s="108"/>
      <c r="KMK117" s="108"/>
      <c r="KML117" s="108"/>
      <c r="KMM117" s="108"/>
      <c r="KMN117" s="108"/>
      <c r="KMO117" s="108"/>
      <c r="KMP117" s="108"/>
      <c r="KMQ117" s="108"/>
      <c r="KMR117" s="108"/>
      <c r="KMS117" s="108"/>
      <c r="KMT117" s="108"/>
      <c r="KMU117" s="108"/>
      <c r="KMV117" s="108"/>
      <c r="KMW117" s="108"/>
      <c r="KMX117" s="108"/>
      <c r="KMY117" s="108"/>
      <c r="KMZ117" s="108"/>
      <c r="KNA117" s="108"/>
      <c r="KNB117" s="108"/>
      <c r="KNC117" s="108"/>
      <c r="KND117" s="108"/>
      <c r="KNE117" s="108"/>
      <c r="KNF117" s="108"/>
      <c r="KNG117" s="108"/>
      <c r="KNH117" s="108"/>
      <c r="KNI117" s="108"/>
      <c r="KNJ117" s="108"/>
      <c r="KNK117" s="108"/>
      <c r="KNL117" s="108"/>
      <c r="KNM117" s="108"/>
      <c r="KNN117" s="108"/>
      <c r="KNO117" s="108"/>
      <c r="KNP117" s="108"/>
      <c r="KNQ117" s="108"/>
      <c r="KNR117" s="108"/>
      <c r="KNS117" s="108"/>
      <c r="KNT117" s="108"/>
      <c r="KNU117" s="108"/>
      <c r="KNV117" s="108"/>
      <c r="KNW117" s="108"/>
      <c r="KNX117" s="108"/>
      <c r="KNY117" s="108"/>
      <c r="KNZ117" s="108"/>
      <c r="KOA117" s="108"/>
      <c r="KOB117" s="108"/>
      <c r="KOC117" s="108"/>
      <c r="KOD117" s="108"/>
      <c r="KOE117" s="108"/>
      <c r="KOF117" s="108"/>
      <c r="KOG117" s="108"/>
      <c r="KOH117" s="108"/>
      <c r="KOI117" s="108"/>
      <c r="KOJ117" s="108"/>
      <c r="KOK117" s="108"/>
      <c r="KOL117" s="108"/>
      <c r="KOM117" s="108"/>
      <c r="KON117" s="108"/>
      <c r="KOO117" s="108"/>
      <c r="KOP117" s="108"/>
      <c r="KOQ117" s="108"/>
      <c r="KOR117" s="108"/>
      <c r="KOS117" s="108"/>
      <c r="KOT117" s="108"/>
      <c r="KOU117" s="108"/>
      <c r="KOV117" s="108"/>
      <c r="KOW117" s="108"/>
      <c r="KOX117" s="108"/>
      <c r="KOY117" s="108"/>
      <c r="KOZ117" s="108"/>
      <c r="KPA117" s="108"/>
      <c r="KPB117" s="108"/>
      <c r="KPC117" s="108"/>
      <c r="KPD117" s="108"/>
      <c r="KPE117" s="108"/>
      <c r="KPF117" s="108"/>
      <c r="KPG117" s="108"/>
      <c r="KPH117" s="108"/>
      <c r="KPI117" s="108"/>
      <c r="KPJ117" s="108"/>
      <c r="KPK117" s="108"/>
      <c r="KPL117" s="108"/>
      <c r="KPM117" s="108"/>
      <c r="KPN117" s="108"/>
      <c r="KPO117" s="108"/>
      <c r="KPP117" s="108"/>
      <c r="KPQ117" s="108"/>
      <c r="KPR117" s="108"/>
      <c r="KPS117" s="108"/>
      <c r="KPT117" s="108"/>
      <c r="KPU117" s="108"/>
      <c r="KPV117" s="108"/>
      <c r="KPW117" s="108"/>
      <c r="KPX117" s="108"/>
      <c r="KPY117" s="108"/>
      <c r="KPZ117" s="108"/>
      <c r="KQA117" s="108"/>
      <c r="KQB117" s="108"/>
      <c r="KQC117" s="108"/>
      <c r="KQD117" s="108"/>
      <c r="KQE117" s="108"/>
      <c r="KQF117" s="108"/>
      <c r="KQG117" s="108"/>
      <c r="KQH117" s="108"/>
      <c r="KQI117" s="108"/>
      <c r="KQJ117" s="108"/>
      <c r="KQK117" s="108"/>
      <c r="KQL117" s="108"/>
      <c r="KQM117" s="108"/>
      <c r="KQN117" s="108"/>
      <c r="KQO117" s="108"/>
      <c r="KQP117" s="108"/>
      <c r="KQQ117" s="108"/>
      <c r="KQR117" s="108"/>
      <c r="KQS117" s="108"/>
      <c r="KQT117" s="108"/>
      <c r="KQU117" s="108"/>
      <c r="KQV117" s="108"/>
      <c r="KQW117" s="108"/>
      <c r="KQX117" s="108"/>
      <c r="KQY117" s="108"/>
      <c r="KQZ117" s="108"/>
      <c r="KRA117" s="108"/>
      <c r="KRB117" s="108"/>
      <c r="KRC117" s="108"/>
      <c r="KRD117" s="108"/>
      <c r="KRE117" s="108"/>
      <c r="KRF117" s="108"/>
      <c r="KRG117" s="108"/>
      <c r="KRH117" s="108"/>
      <c r="KRI117" s="108"/>
      <c r="KRJ117" s="108"/>
      <c r="KRK117" s="108"/>
      <c r="KRL117" s="108"/>
      <c r="KRM117" s="108"/>
      <c r="KRN117" s="108"/>
      <c r="KRO117" s="108"/>
      <c r="KRP117" s="108"/>
      <c r="KRQ117" s="108"/>
      <c r="KRR117" s="108"/>
      <c r="KRS117" s="108"/>
      <c r="KRT117" s="108"/>
      <c r="KRU117" s="108"/>
      <c r="KRV117" s="108"/>
      <c r="KRW117" s="108"/>
      <c r="KRX117" s="108"/>
      <c r="KRY117" s="108"/>
      <c r="KRZ117" s="108"/>
      <c r="KSA117" s="108"/>
      <c r="KSB117" s="108"/>
      <c r="KSC117" s="108"/>
      <c r="KSD117" s="108"/>
      <c r="KSE117" s="108"/>
      <c r="KSF117" s="108"/>
      <c r="KSG117" s="108"/>
      <c r="KSH117" s="108"/>
      <c r="KSI117" s="108"/>
      <c r="KSJ117" s="108"/>
      <c r="KSK117" s="108"/>
      <c r="KSL117" s="108"/>
      <c r="KSM117" s="108"/>
      <c r="KSN117" s="108"/>
      <c r="KSO117" s="108"/>
      <c r="KSP117" s="108"/>
      <c r="KSQ117" s="108"/>
      <c r="KSR117" s="108"/>
      <c r="KSS117" s="108"/>
      <c r="KST117" s="108"/>
      <c r="KSU117" s="108"/>
      <c r="KSV117" s="108"/>
      <c r="KSW117" s="108"/>
      <c r="KSX117" s="108"/>
      <c r="KSY117" s="108"/>
      <c r="KSZ117" s="108"/>
      <c r="KTA117" s="108"/>
      <c r="KTB117" s="108"/>
      <c r="KTC117" s="108"/>
      <c r="KTD117" s="108"/>
      <c r="KTE117" s="108"/>
      <c r="KTF117" s="108"/>
      <c r="KTG117" s="108"/>
      <c r="KTH117" s="108"/>
      <c r="KTI117" s="108"/>
      <c r="KTJ117" s="108"/>
      <c r="KTK117" s="108"/>
      <c r="KTL117" s="108"/>
      <c r="KTM117" s="108"/>
      <c r="KTN117" s="108"/>
      <c r="KTO117" s="108"/>
      <c r="KTP117" s="108"/>
      <c r="KTQ117" s="108"/>
      <c r="KTR117" s="108"/>
      <c r="KTS117" s="108"/>
      <c r="KTT117" s="108"/>
      <c r="KTU117" s="108"/>
      <c r="KTV117" s="108"/>
      <c r="KTW117" s="108"/>
      <c r="KTX117" s="108"/>
      <c r="KTY117" s="108"/>
      <c r="KTZ117" s="108"/>
      <c r="KUA117" s="108"/>
      <c r="KUB117" s="108"/>
      <c r="KUC117" s="108"/>
      <c r="KUD117" s="108"/>
      <c r="KUE117" s="108"/>
      <c r="KUF117" s="108"/>
      <c r="KUG117" s="108"/>
      <c r="KUH117" s="108"/>
      <c r="KUI117" s="108"/>
      <c r="KUJ117" s="108"/>
      <c r="KUK117" s="108"/>
      <c r="KUL117" s="108"/>
      <c r="KUM117" s="108"/>
      <c r="KUN117" s="108"/>
      <c r="KUO117" s="108"/>
      <c r="KUP117" s="108"/>
      <c r="KUQ117" s="108"/>
      <c r="KUR117" s="108"/>
      <c r="KUS117" s="108"/>
      <c r="KUT117" s="108"/>
      <c r="KUU117" s="108"/>
      <c r="KUV117" s="108"/>
      <c r="KUW117" s="108"/>
      <c r="KUX117" s="108"/>
      <c r="KUY117" s="108"/>
      <c r="KUZ117" s="108"/>
      <c r="KVA117" s="108"/>
      <c r="KVB117" s="108"/>
      <c r="KVC117" s="108"/>
      <c r="KVD117" s="108"/>
      <c r="KVE117" s="108"/>
      <c r="KVF117" s="108"/>
      <c r="KVG117" s="108"/>
      <c r="KVH117" s="108"/>
      <c r="KVI117" s="108"/>
      <c r="KVJ117" s="108"/>
      <c r="KVK117" s="108"/>
      <c r="KVL117" s="108"/>
      <c r="KVM117" s="108"/>
      <c r="KVN117" s="108"/>
      <c r="KVO117" s="108"/>
      <c r="KVP117" s="108"/>
      <c r="KVQ117" s="108"/>
      <c r="KVR117" s="108"/>
      <c r="KVS117" s="108"/>
      <c r="KVT117" s="108"/>
      <c r="KVU117" s="108"/>
      <c r="KVV117" s="108"/>
      <c r="KVW117" s="108"/>
      <c r="KVX117" s="108"/>
      <c r="KVY117" s="108"/>
      <c r="KVZ117" s="108"/>
      <c r="KWA117" s="108"/>
      <c r="KWB117" s="108"/>
      <c r="KWC117" s="108"/>
      <c r="KWD117" s="108"/>
      <c r="KWE117" s="108"/>
      <c r="KWF117" s="108"/>
      <c r="KWG117" s="108"/>
      <c r="KWH117" s="108"/>
      <c r="KWI117" s="108"/>
      <c r="KWJ117" s="108"/>
      <c r="KWK117" s="108"/>
      <c r="KWL117" s="108"/>
      <c r="KWM117" s="108"/>
      <c r="KWN117" s="108"/>
      <c r="KWO117" s="108"/>
      <c r="KWP117" s="108"/>
      <c r="KWQ117" s="108"/>
      <c r="KWR117" s="108"/>
      <c r="KWS117" s="108"/>
      <c r="KWT117" s="108"/>
      <c r="KWU117" s="108"/>
      <c r="KWV117" s="108"/>
      <c r="KWW117" s="108"/>
      <c r="KWX117" s="108"/>
      <c r="KWY117" s="108"/>
      <c r="KWZ117" s="108"/>
      <c r="KXA117" s="108"/>
      <c r="KXB117" s="108"/>
      <c r="KXC117" s="108"/>
      <c r="KXD117" s="108"/>
      <c r="KXE117" s="108"/>
      <c r="KXF117" s="108"/>
      <c r="KXG117" s="108"/>
      <c r="KXH117" s="108"/>
      <c r="KXI117" s="108"/>
      <c r="KXJ117" s="108"/>
      <c r="KXK117" s="108"/>
      <c r="KXL117" s="108"/>
      <c r="KXM117" s="108"/>
      <c r="KXN117" s="108"/>
      <c r="KXO117" s="108"/>
      <c r="KXP117" s="108"/>
      <c r="KXQ117" s="108"/>
      <c r="KXR117" s="108"/>
      <c r="KXS117" s="108"/>
      <c r="KXT117" s="108"/>
      <c r="KXU117" s="108"/>
      <c r="KXV117" s="108"/>
      <c r="KXW117" s="108"/>
      <c r="KXX117" s="108"/>
      <c r="KXY117" s="108"/>
      <c r="KXZ117" s="108"/>
      <c r="KYA117" s="108"/>
      <c r="KYB117" s="108"/>
      <c r="KYC117" s="108"/>
      <c r="KYD117" s="108"/>
      <c r="KYE117" s="108"/>
      <c r="KYF117" s="108"/>
      <c r="KYG117" s="108"/>
      <c r="KYH117" s="108"/>
      <c r="KYI117" s="108"/>
      <c r="KYJ117" s="108"/>
      <c r="KYK117" s="108"/>
      <c r="KYL117" s="108"/>
      <c r="KYM117" s="108"/>
      <c r="KYN117" s="108"/>
      <c r="KYO117" s="108"/>
      <c r="KYP117" s="108"/>
      <c r="KYQ117" s="108"/>
      <c r="KYR117" s="108"/>
      <c r="KYS117" s="108"/>
      <c r="KYT117" s="108"/>
      <c r="KYU117" s="108"/>
      <c r="KYV117" s="108"/>
      <c r="KYW117" s="108"/>
      <c r="KYX117" s="108"/>
      <c r="KYY117" s="108"/>
      <c r="KYZ117" s="108"/>
      <c r="KZA117" s="108"/>
      <c r="KZB117" s="108"/>
      <c r="KZC117" s="108"/>
      <c r="KZD117" s="108"/>
      <c r="KZE117" s="108"/>
      <c r="KZF117" s="108"/>
      <c r="KZG117" s="108"/>
      <c r="KZH117" s="108"/>
      <c r="KZI117" s="108"/>
      <c r="KZJ117" s="108"/>
      <c r="KZK117" s="108"/>
      <c r="KZL117" s="108"/>
      <c r="KZM117" s="108"/>
      <c r="KZN117" s="108"/>
      <c r="KZO117" s="108"/>
      <c r="KZP117" s="108"/>
      <c r="KZQ117" s="108"/>
      <c r="KZR117" s="108"/>
      <c r="KZS117" s="108"/>
      <c r="KZT117" s="108"/>
      <c r="KZU117" s="108"/>
      <c r="KZV117" s="108"/>
      <c r="KZW117" s="108"/>
      <c r="KZX117" s="108"/>
      <c r="KZY117" s="108"/>
      <c r="KZZ117" s="108"/>
      <c r="LAA117" s="108"/>
      <c r="LAB117" s="108"/>
      <c r="LAC117" s="108"/>
      <c r="LAD117" s="108"/>
      <c r="LAE117" s="108"/>
      <c r="LAF117" s="108"/>
      <c r="LAG117" s="108"/>
      <c r="LAH117" s="108"/>
      <c r="LAI117" s="108"/>
      <c r="LAJ117" s="108"/>
      <c r="LAK117" s="108"/>
      <c r="LAL117" s="108"/>
      <c r="LAM117" s="108"/>
      <c r="LAN117" s="108"/>
      <c r="LAO117" s="108"/>
      <c r="LAP117" s="108"/>
      <c r="LAQ117" s="108"/>
      <c r="LAR117" s="108"/>
      <c r="LAS117" s="108"/>
      <c r="LAT117" s="108"/>
      <c r="LAU117" s="108"/>
      <c r="LAV117" s="108"/>
      <c r="LAW117" s="108"/>
      <c r="LAX117" s="108"/>
      <c r="LAY117" s="108"/>
      <c r="LAZ117" s="108"/>
      <c r="LBA117" s="108"/>
      <c r="LBB117" s="108"/>
      <c r="LBC117" s="108"/>
      <c r="LBD117" s="108"/>
      <c r="LBE117" s="108"/>
      <c r="LBF117" s="108"/>
      <c r="LBG117" s="108"/>
      <c r="LBH117" s="108"/>
      <c r="LBI117" s="108"/>
      <c r="LBJ117" s="108"/>
      <c r="LBK117" s="108"/>
      <c r="LBL117" s="108"/>
      <c r="LBM117" s="108"/>
      <c r="LBN117" s="108"/>
      <c r="LBO117" s="108"/>
      <c r="LBP117" s="108"/>
      <c r="LBQ117" s="108"/>
      <c r="LBR117" s="108"/>
      <c r="LBS117" s="108"/>
      <c r="LBT117" s="108"/>
      <c r="LBU117" s="108"/>
      <c r="LBV117" s="108"/>
      <c r="LBW117" s="108"/>
      <c r="LBX117" s="108"/>
      <c r="LBY117" s="108"/>
      <c r="LBZ117" s="108"/>
      <c r="LCA117" s="108"/>
      <c r="LCB117" s="108"/>
      <c r="LCC117" s="108"/>
      <c r="LCD117" s="108"/>
      <c r="LCE117" s="108"/>
      <c r="LCF117" s="108"/>
      <c r="LCG117" s="108"/>
      <c r="LCH117" s="108"/>
      <c r="LCI117" s="108"/>
      <c r="LCJ117" s="108"/>
      <c r="LCK117" s="108"/>
      <c r="LCL117" s="108"/>
      <c r="LCM117" s="108"/>
      <c r="LCN117" s="108"/>
      <c r="LCO117" s="108"/>
      <c r="LCP117" s="108"/>
      <c r="LCQ117" s="108"/>
      <c r="LCR117" s="108"/>
      <c r="LCS117" s="108"/>
      <c r="LCT117" s="108"/>
      <c r="LCU117" s="108"/>
      <c r="LCV117" s="108"/>
      <c r="LCW117" s="108"/>
      <c r="LCX117" s="108"/>
      <c r="LCY117" s="108"/>
      <c r="LCZ117" s="108"/>
      <c r="LDA117" s="108"/>
      <c r="LDB117" s="108"/>
      <c r="LDC117" s="108"/>
      <c r="LDD117" s="108"/>
      <c r="LDE117" s="108"/>
      <c r="LDF117" s="108"/>
      <c r="LDG117" s="108"/>
      <c r="LDH117" s="108"/>
      <c r="LDI117" s="108"/>
      <c r="LDJ117" s="108"/>
      <c r="LDK117" s="108"/>
      <c r="LDL117" s="108"/>
      <c r="LDM117" s="108"/>
      <c r="LDN117" s="108"/>
      <c r="LDO117" s="108"/>
      <c r="LDP117" s="108"/>
      <c r="LDQ117" s="108"/>
      <c r="LDR117" s="108"/>
      <c r="LDS117" s="108"/>
      <c r="LDT117" s="108"/>
      <c r="LDU117" s="108"/>
      <c r="LDV117" s="108"/>
      <c r="LDW117" s="108"/>
      <c r="LDX117" s="108"/>
      <c r="LDY117" s="108"/>
      <c r="LDZ117" s="108"/>
      <c r="LEA117" s="108"/>
      <c r="LEB117" s="108"/>
      <c r="LEC117" s="108"/>
      <c r="LED117" s="108"/>
      <c r="LEE117" s="108"/>
      <c r="LEF117" s="108"/>
      <c r="LEG117" s="108"/>
      <c r="LEH117" s="108"/>
      <c r="LEI117" s="108"/>
      <c r="LEJ117" s="108"/>
      <c r="LEK117" s="108"/>
      <c r="LEL117" s="108"/>
      <c r="LEM117" s="108"/>
      <c r="LEN117" s="108"/>
      <c r="LEO117" s="108"/>
      <c r="LEP117" s="108"/>
      <c r="LEQ117" s="108"/>
      <c r="LER117" s="108"/>
      <c r="LES117" s="108"/>
      <c r="LET117" s="108"/>
      <c r="LEU117" s="108"/>
      <c r="LEV117" s="108"/>
      <c r="LEW117" s="108"/>
      <c r="LEX117" s="108"/>
      <c r="LEY117" s="108"/>
      <c r="LEZ117" s="108"/>
      <c r="LFA117" s="108"/>
      <c r="LFB117" s="108"/>
      <c r="LFC117" s="108"/>
      <c r="LFD117" s="108"/>
      <c r="LFE117" s="108"/>
      <c r="LFF117" s="108"/>
      <c r="LFG117" s="108"/>
      <c r="LFH117" s="108"/>
      <c r="LFI117" s="108"/>
      <c r="LFJ117" s="108"/>
      <c r="LFK117" s="108"/>
      <c r="LFL117" s="108"/>
      <c r="LFM117" s="108"/>
      <c r="LFN117" s="108"/>
      <c r="LFO117" s="108"/>
      <c r="LFP117" s="108"/>
      <c r="LFQ117" s="108"/>
      <c r="LFR117" s="108"/>
      <c r="LFS117" s="108"/>
      <c r="LFT117" s="108"/>
      <c r="LFU117" s="108"/>
      <c r="LFV117" s="108"/>
      <c r="LFW117" s="108"/>
      <c r="LFX117" s="108"/>
      <c r="LFY117" s="108"/>
      <c r="LFZ117" s="108"/>
      <c r="LGA117" s="108"/>
      <c r="LGB117" s="108"/>
      <c r="LGC117" s="108"/>
      <c r="LGD117" s="108"/>
      <c r="LGE117" s="108"/>
      <c r="LGF117" s="108"/>
      <c r="LGG117" s="108"/>
      <c r="LGH117" s="108"/>
      <c r="LGI117" s="108"/>
      <c r="LGJ117" s="108"/>
      <c r="LGK117" s="108"/>
      <c r="LGL117" s="108"/>
      <c r="LGM117" s="108"/>
      <c r="LGN117" s="108"/>
      <c r="LGO117" s="108"/>
      <c r="LGP117" s="108"/>
      <c r="LGQ117" s="108"/>
      <c r="LGR117" s="108"/>
      <c r="LGS117" s="108"/>
      <c r="LGT117" s="108"/>
      <c r="LGU117" s="108"/>
      <c r="LGV117" s="108"/>
      <c r="LGW117" s="108"/>
      <c r="LGX117" s="108"/>
      <c r="LGY117" s="108"/>
      <c r="LGZ117" s="108"/>
      <c r="LHA117" s="108"/>
      <c r="LHB117" s="108"/>
      <c r="LHC117" s="108"/>
      <c r="LHD117" s="108"/>
      <c r="LHE117" s="108"/>
      <c r="LHF117" s="108"/>
      <c r="LHG117" s="108"/>
      <c r="LHH117" s="108"/>
      <c r="LHI117" s="108"/>
      <c r="LHJ117" s="108"/>
      <c r="LHK117" s="108"/>
      <c r="LHL117" s="108"/>
      <c r="LHM117" s="108"/>
      <c r="LHN117" s="108"/>
      <c r="LHO117" s="108"/>
      <c r="LHP117" s="108"/>
      <c r="LHQ117" s="108"/>
      <c r="LHR117" s="108"/>
      <c r="LHS117" s="108"/>
      <c r="LHT117" s="108"/>
      <c r="LHU117" s="108"/>
      <c r="LHV117" s="108"/>
      <c r="LHW117" s="108"/>
      <c r="LHX117" s="108"/>
      <c r="LHY117" s="108"/>
      <c r="LHZ117" s="108"/>
      <c r="LIA117" s="108"/>
      <c r="LIB117" s="108"/>
      <c r="LIC117" s="108"/>
      <c r="LID117" s="108"/>
      <c r="LIE117" s="108"/>
      <c r="LIF117" s="108"/>
      <c r="LIG117" s="108"/>
      <c r="LIH117" s="108"/>
      <c r="LII117" s="108"/>
      <c r="LIJ117" s="108"/>
      <c r="LIK117" s="108"/>
      <c r="LIL117" s="108"/>
      <c r="LIM117" s="108"/>
      <c r="LIN117" s="108"/>
      <c r="LIO117" s="108"/>
      <c r="LIP117" s="108"/>
      <c r="LIQ117" s="108"/>
      <c r="LIR117" s="108"/>
      <c r="LIS117" s="108"/>
      <c r="LIT117" s="108"/>
      <c r="LIU117" s="108"/>
      <c r="LIV117" s="108"/>
      <c r="LIW117" s="108"/>
      <c r="LIX117" s="108"/>
      <c r="LIY117" s="108"/>
      <c r="LIZ117" s="108"/>
      <c r="LJA117" s="108"/>
      <c r="LJB117" s="108"/>
      <c r="LJC117" s="108"/>
      <c r="LJD117" s="108"/>
      <c r="LJE117" s="108"/>
      <c r="LJF117" s="108"/>
      <c r="LJG117" s="108"/>
      <c r="LJH117" s="108"/>
      <c r="LJI117" s="108"/>
      <c r="LJJ117" s="108"/>
      <c r="LJK117" s="108"/>
      <c r="LJL117" s="108"/>
      <c r="LJM117" s="108"/>
      <c r="LJN117" s="108"/>
      <c r="LJO117" s="108"/>
      <c r="LJP117" s="108"/>
      <c r="LJQ117" s="108"/>
      <c r="LJR117" s="108"/>
      <c r="LJS117" s="108"/>
      <c r="LJT117" s="108"/>
      <c r="LJU117" s="108"/>
      <c r="LJV117" s="108"/>
      <c r="LJW117" s="108"/>
      <c r="LJX117" s="108"/>
      <c r="LJY117" s="108"/>
      <c r="LJZ117" s="108"/>
      <c r="LKA117" s="108"/>
      <c r="LKB117" s="108"/>
      <c r="LKC117" s="108"/>
      <c r="LKD117" s="108"/>
      <c r="LKE117" s="108"/>
      <c r="LKF117" s="108"/>
      <c r="LKG117" s="108"/>
      <c r="LKH117" s="108"/>
      <c r="LKI117" s="108"/>
      <c r="LKJ117" s="108"/>
      <c r="LKK117" s="108"/>
      <c r="LKL117" s="108"/>
      <c r="LKM117" s="108"/>
      <c r="LKN117" s="108"/>
      <c r="LKO117" s="108"/>
      <c r="LKP117" s="108"/>
      <c r="LKQ117" s="108"/>
      <c r="LKR117" s="108"/>
      <c r="LKS117" s="108"/>
      <c r="LKT117" s="108"/>
      <c r="LKU117" s="108"/>
      <c r="LKV117" s="108"/>
      <c r="LKW117" s="108"/>
      <c r="LKX117" s="108"/>
      <c r="LKY117" s="108"/>
      <c r="LKZ117" s="108"/>
      <c r="LLA117" s="108"/>
      <c r="LLB117" s="108"/>
      <c r="LLC117" s="108"/>
      <c r="LLD117" s="108"/>
      <c r="LLE117" s="108"/>
      <c r="LLF117" s="108"/>
      <c r="LLG117" s="108"/>
      <c r="LLH117" s="108"/>
      <c r="LLI117" s="108"/>
      <c r="LLJ117" s="108"/>
      <c r="LLK117" s="108"/>
      <c r="LLL117" s="108"/>
      <c r="LLM117" s="108"/>
      <c r="LLN117" s="108"/>
      <c r="LLO117" s="108"/>
      <c r="LLP117" s="108"/>
      <c r="LLQ117" s="108"/>
      <c r="LLR117" s="108"/>
      <c r="LLS117" s="108"/>
      <c r="LLT117" s="108"/>
      <c r="LLU117" s="108"/>
      <c r="LLV117" s="108"/>
      <c r="LLW117" s="108"/>
      <c r="LLX117" s="108"/>
      <c r="LLY117" s="108"/>
      <c r="LLZ117" s="108"/>
      <c r="LMA117" s="108"/>
      <c r="LMB117" s="108"/>
      <c r="LMC117" s="108"/>
      <c r="LMD117" s="108"/>
      <c r="LME117" s="108"/>
      <c r="LMF117" s="108"/>
      <c r="LMG117" s="108"/>
      <c r="LMH117" s="108"/>
      <c r="LMI117" s="108"/>
      <c r="LMJ117" s="108"/>
      <c r="LMK117" s="108"/>
      <c r="LML117" s="108"/>
      <c r="LMM117" s="108"/>
      <c r="LMN117" s="108"/>
      <c r="LMO117" s="108"/>
      <c r="LMP117" s="108"/>
      <c r="LMQ117" s="108"/>
      <c r="LMR117" s="108"/>
      <c r="LMS117" s="108"/>
      <c r="LMT117" s="108"/>
      <c r="LMU117" s="108"/>
      <c r="LMV117" s="108"/>
      <c r="LMW117" s="108"/>
      <c r="LMX117" s="108"/>
      <c r="LMY117" s="108"/>
      <c r="LMZ117" s="108"/>
      <c r="LNA117" s="108"/>
      <c r="LNB117" s="108"/>
      <c r="LNC117" s="108"/>
      <c r="LND117" s="108"/>
      <c r="LNE117" s="108"/>
      <c r="LNF117" s="108"/>
      <c r="LNG117" s="108"/>
      <c r="LNH117" s="108"/>
      <c r="LNI117" s="108"/>
      <c r="LNJ117" s="108"/>
      <c r="LNK117" s="108"/>
      <c r="LNL117" s="108"/>
      <c r="LNM117" s="108"/>
      <c r="LNN117" s="108"/>
      <c r="LNO117" s="108"/>
      <c r="LNP117" s="108"/>
      <c r="LNQ117" s="108"/>
      <c r="LNR117" s="108"/>
      <c r="LNS117" s="108"/>
      <c r="LNT117" s="108"/>
      <c r="LNU117" s="108"/>
      <c r="LNV117" s="108"/>
      <c r="LNW117" s="108"/>
      <c r="LNX117" s="108"/>
      <c r="LNY117" s="108"/>
      <c r="LNZ117" s="108"/>
      <c r="LOA117" s="108"/>
      <c r="LOB117" s="108"/>
      <c r="LOC117" s="108"/>
      <c r="LOD117" s="108"/>
      <c r="LOE117" s="108"/>
      <c r="LOF117" s="108"/>
      <c r="LOG117" s="108"/>
      <c r="LOH117" s="108"/>
      <c r="LOI117" s="108"/>
      <c r="LOJ117" s="108"/>
      <c r="LOK117" s="108"/>
      <c r="LOL117" s="108"/>
      <c r="LOM117" s="108"/>
      <c r="LON117" s="108"/>
      <c r="LOO117" s="108"/>
      <c r="LOP117" s="108"/>
      <c r="LOQ117" s="108"/>
      <c r="LOR117" s="108"/>
      <c r="LOS117" s="108"/>
      <c r="LOT117" s="108"/>
      <c r="LOU117" s="108"/>
      <c r="LOV117" s="108"/>
      <c r="LOW117" s="108"/>
      <c r="LOX117" s="108"/>
      <c r="LOY117" s="108"/>
      <c r="LOZ117" s="108"/>
      <c r="LPA117" s="108"/>
      <c r="LPB117" s="108"/>
      <c r="LPC117" s="108"/>
      <c r="LPD117" s="108"/>
      <c r="LPE117" s="108"/>
      <c r="LPF117" s="108"/>
      <c r="LPG117" s="108"/>
      <c r="LPH117" s="108"/>
      <c r="LPI117" s="108"/>
      <c r="LPJ117" s="108"/>
      <c r="LPK117" s="108"/>
      <c r="LPL117" s="108"/>
      <c r="LPM117" s="108"/>
      <c r="LPN117" s="108"/>
      <c r="LPO117" s="108"/>
      <c r="LPP117" s="108"/>
      <c r="LPQ117" s="108"/>
      <c r="LPR117" s="108"/>
      <c r="LPS117" s="108"/>
      <c r="LPT117" s="108"/>
      <c r="LPU117" s="108"/>
      <c r="LPV117" s="108"/>
      <c r="LPW117" s="108"/>
      <c r="LPX117" s="108"/>
      <c r="LPY117" s="108"/>
      <c r="LPZ117" s="108"/>
      <c r="LQA117" s="108"/>
      <c r="LQB117" s="108"/>
      <c r="LQC117" s="108"/>
      <c r="LQD117" s="108"/>
      <c r="LQE117" s="108"/>
      <c r="LQF117" s="108"/>
      <c r="LQG117" s="108"/>
      <c r="LQH117" s="108"/>
      <c r="LQI117" s="108"/>
      <c r="LQJ117" s="108"/>
      <c r="LQK117" s="108"/>
      <c r="LQL117" s="108"/>
      <c r="LQM117" s="108"/>
      <c r="LQN117" s="108"/>
      <c r="LQO117" s="108"/>
      <c r="LQP117" s="108"/>
      <c r="LQQ117" s="108"/>
      <c r="LQR117" s="108"/>
      <c r="LQS117" s="108"/>
      <c r="LQT117" s="108"/>
      <c r="LQU117" s="108"/>
      <c r="LQV117" s="108"/>
      <c r="LQW117" s="108"/>
      <c r="LQX117" s="108"/>
      <c r="LQY117" s="108"/>
      <c r="LQZ117" s="108"/>
      <c r="LRA117" s="108"/>
      <c r="LRB117" s="108"/>
      <c r="LRC117" s="108"/>
      <c r="LRD117" s="108"/>
      <c r="LRE117" s="108"/>
      <c r="LRF117" s="108"/>
      <c r="LRG117" s="108"/>
      <c r="LRH117" s="108"/>
      <c r="LRI117" s="108"/>
      <c r="LRJ117" s="108"/>
      <c r="LRK117" s="108"/>
      <c r="LRL117" s="108"/>
      <c r="LRM117" s="108"/>
      <c r="LRN117" s="108"/>
      <c r="LRO117" s="108"/>
      <c r="LRP117" s="108"/>
      <c r="LRQ117" s="108"/>
      <c r="LRR117" s="108"/>
      <c r="LRS117" s="108"/>
      <c r="LRT117" s="108"/>
      <c r="LRU117" s="108"/>
      <c r="LRV117" s="108"/>
      <c r="LRW117" s="108"/>
      <c r="LRX117" s="108"/>
      <c r="LRY117" s="108"/>
      <c r="LRZ117" s="108"/>
      <c r="LSA117" s="108"/>
      <c r="LSB117" s="108"/>
      <c r="LSC117" s="108"/>
      <c r="LSD117" s="108"/>
      <c r="LSE117" s="108"/>
      <c r="LSF117" s="108"/>
      <c r="LSG117" s="108"/>
      <c r="LSH117" s="108"/>
      <c r="LSI117" s="108"/>
      <c r="LSJ117" s="108"/>
      <c r="LSK117" s="108"/>
      <c r="LSL117" s="108"/>
      <c r="LSM117" s="108"/>
      <c r="LSN117" s="108"/>
      <c r="LSO117" s="108"/>
      <c r="LSP117" s="108"/>
      <c r="LSQ117" s="108"/>
      <c r="LSR117" s="108"/>
      <c r="LSS117" s="108"/>
      <c r="LST117" s="108"/>
      <c r="LSU117" s="108"/>
      <c r="LSV117" s="108"/>
      <c r="LSW117" s="108"/>
      <c r="LSX117" s="108"/>
      <c r="LSY117" s="108"/>
      <c r="LSZ117" s="108"/>
      <c r="LTA117" s="108"/>
      <c r="LTB117" s="108"/>
      <c r="LTC117" s="108"/>
      <c r="LTD117" s="108"/>
      <c r="LTE117" s="108"/>
      <c r="LTF117" s="108"/>
      <c r="LTG117" s="108"/>
      <c r="LTH117" s="108"/>
      <c r="LTI117" s="108"/>
      <c r="LTJ117" s="108"/>
      <c r="LTK117" s="108"/>
      <c r="LTL117" s="108"/>
      <c r="LTM117" s="108"/>
      <c r="LTN117" s="108"/>
      <c r="LTO117" s="108"/>
      <c r="LTP117" s="108"/>
      <c r="LTQ117" s="108"/>
      <c r="LTR117" s="108"/>
      <c r="LTS117" s="108"/>
      <c r="LTT117" s="108"/>
      <c r="LTU117" s="108"/>
      <c r="LTV117" s="108"/>
      <c r="LTW117" s="108"/>
      <c r="LTX117" s="108"/>
      <c r="LTY117" s="108"/>
      <c r="LTZ117" s="108"/>
      <c r="LUA117" s="108"/>
      <c r="LUB117" s="108"/>
      <c r="LUC117" s="108"/>
      <c r="LUD117" s="108"/>
      <c r="LUE117" s="108"/>
      <c r="LUF117" s="108"/>
      <c r="LUG117" s="108"/>
      <c r="LUH117" s="108"/>
      <c r="LUI117" s="108"/>
      <c r="LUJ117" s="108"/>
      <c r="LUK117" s="108"/>
      <c r="LUL117" s="108"/>
      <c r="LUM117" s="108"/>
      <c r="LUN117" s="108"/>
      <c r="LUO117" s="108"/>
      <c r="LUP117" s="108"/>
      <c r="LUQ117" s="108"/>
      <c r="LUR117" s="108"/>
      <c r="LUS117" s="108"/>
      <c r="LUT117" s="108"/>
      <c r="LUU117" s="108"/>
      <c r="LUV117" s="108"/>
      <c r="LUW117" s="108"/>
      <c r="LUX117" s="108"/>
      <c r="LUY117" s="108"/>
      <c r="LUZ117" s="108"/>
      <c r="LVA117" s="108"/>
      <c r="LVB117" s="108"/>
      <c r="LVC117" s="108"/>
      <c r="LVD117" s="108"/>
      <c r="LVE117" s="108"/>
      <c r="LVF117" s="108"/>
      <c r="LVG117" s="108"/>
      <c r="LVH117" s="108"/>
      <c r="LVI117" s="108"/>
      <c r="LVJ117" s="108"/>
      <c r="LVK117" s="108"/>
      <c r="LVL117" s="108"/>
      <c r="LVM117" s="108"/>
      <c r="LVN117" s="108"/>
      <c r="LVO117" s="108"/>
      <c r="LVP117" s="108"/>
      <c r="LVQ117" s="108"/>
      <c r="LVR117" s="108"/>
      <c r="LVS117" s="108"/>
      <c r="LVT117" s="108"/>
      <c r="LVU117" s="108"/>
      <c r="LVV117" s="108"/>
      <c r="LVW117" s="108"/>
      <c r="LVX117" s="108"/>
      <c r="LVY117" s="108"/>
      <c r="LVZ117" s="108"/>
      <c r="LWA117" s="108"/>
      <c r="LWB117" s="108"/>
      <c r="LWC117" s="108"/>
      <c r="LWD117" s="108"/>
      <c r="LWE117" s="108"/>
      <c r="LWF117" s="108"/>
      <c r="LWG117" s="108"/>
      <c r="LWH117" s="108"/>
      <c r="LWI117" s="108"/>
      <c r="LWJ117" s="108"/>
      <c r="LWK117" s="108"/>
      <c r="LWL117" s="108"/>
      <c r="LWM117" s="108"/>
      <c r="LWN117" s="108"/>
      <c r="LWO117" s="108"/>
      <c r="LWP117" s="108"/>
      <c r="LWQ117" s="108"/>
      <c r="LWR117" s="108"/>
      <c r="LWS117" s="108"/>
      <c r="LWT117" s="108"/>
      <c r="LWU117" s="108"/>
      <c r="LWV117" s="108"/>
      <c r="LWW117" s="108"/>
      <c r="LWX117" s="108"/>
      <c r="LWY117" s="108"/>
      <c r="LWZ117" s="108"/>
      <c r="LXA117" s="108"/>
      <c r="LXB117" s="108"/>
      <c r="LXC117" s="108"/>
      <c r="LXD117" s="108"/>
      <c r="LXE117" s="108"/>
      <c r="LXF117" s="108"/>
      <c r="LXG117" s="108"/>
      <c r="LXH117" s="108"/>
      <c r="LXI117" s="108"/>
      <c r="LXJ117" s="108"/>
      <c r="LXK117" s="108"/>
      <c r="LXL117" s="108"/>
      <c r="LXM117" s="108"/>
      <c r="LXN117" s="108"/>
      <c r="LXO117" s="108"/>
      <c r="LXP117" s="108"/>
      <c r="LXQ117" s="108"/>
      <c r="LXR117" s="108"/>
      <c r="LXS117" s="108"/>
      <c r="LXT117" s="108"/>
      <c r="LXU117" s="108"/>
      <c r="LXV117" s="108"/>
      <c r="LXW117" s="108"/>
      <c r="LXX117" s="108"/>
      <c r="LXY117" s="108"/>
      <c r="LXZ117" s="108"/>
      <c r="LYA117" s="108"/>
      <c r="LYB117" s="108"/>
      <c r="LYC117" s="108"/>
      <c r="LYD117" s="108"/>
      <c r="LYE117" s="108"/>
      <c r="LYF117" s="108"/>
      <c r="LYG117" s="108"/>
      <c r="LYH117" s="108"/>
      <c r="LYI117" s="108"/>
      <c r="LYJ117" s="108"/>
      <c r="LYK117" s="108"/>
      <c r="LYL117" s="108"/>
      <c r="LYM117" s="108"/>
      <c r="LYN117" s="108"/>
      <c r="LYO117" s="108"/>
      <c r="LYP117" s="108"/>
      <c r="LYQ117" s="108"/>
      <c r="LYR117" s="108"/>
      <c r="LYS117" s="108"/>
      <c r="LYT117" s="108"/>
      <c r="LYU117" s="108"/>
      <c r="LYV117" s="108"/>
      <c r="LYW117" s="108"/>
      <c r="LYX117" s="108"/>
      <c r="LYY117" s="108"/>
      <c r="LYZ117" s="108"/>
      <c r="LZA117" s="108"/>
      <c r="LZB117" s="108"/>
      <c r="LZC117" s="108"/>
      <c r="LZD117" s="108"/>
      <c r="LZE117" s="108"/>
      <c r="LZF117" s="108"/>
      <c r="LZG117" s="108"/>
      <c r="LZH117" s="108"/>
      <c r="LZI117" s="108"/>
      <c r="LZJ117" s="108"/>
      <c r="LZK117" s="108"/>
      <c r="LZL117" s="108"/>
      <c r="LZM117" s="108"/>
      <c r="LZN117" s="108"/>
      <c r="LZO117" s="108"/>
      <c r="LZP117" s="108"/>
      <c r="LZQ117" s="108"/>
      <c r="LZR117" s="108"/>
      <c r="LZS117" s="108"/>
      <c r="LZT117" s="108"/>
      <c r="LZU117" s="108"/>
      <c r="LZV117" s="108"/>
      <c r="LZW117" s="108"/>
      <c r="LZX117" s="108"/>
      <c r="LZY117" s="108"/>
      <c r="LZZ117" s="108"/>
      <c r="MAA117" s="108"/>
      <c r="MAB117" s="108"/>
      <c r="MAC117" s="108"/>
      <c r="MAD117" s="108"/>
      <c r="MAE117" s="108"/>
      <c r="MAF117" s="108"/>
      <c r="MAG117" s="108"/>
      <c r="MAH117" s="108"/>
      <c r="MAI117" s="108"/>
      <c r="MAJ117" s="108"/>
      <c r="MAK117" s="108"/>
      <c r="MAL117" s="108"/>
      <c r="MAM117" s="108"/>
      <c r="MAN117" s="108"/>
      <c r="MAO117" s="108"/>
      <c r="MAP117" s="108"/>
      <c r="MAQ117" s="108"/>
      <c r="MAR117" s="108"/>
      <c r="MAS117" s="108"/>
      <c r="MAT117" s="108"/>
      <c r="MAU117" s="108"/>
      <c r="MAV117" s="108"/>
      <c r="MAW117" s="108"/>
      <c r="MAX117" s="108"/>
      <c r="MAY117" s="108"/>
      <c r="MAZ117" s="108"/>
      <c r="MBA117" s="108"/>
      <c r="MBB117" s="108"/>
      <c r="MBC117" s="108"/>
      <c r="MBD117" s="108"/>
      <c r="MBE117" s="108"/>
      <c r="MBF117" s="108"/>
      <c r="MBG117" s="108"/>
      <c r="MBH117" s="108"/>
      <c r="MBI117" s="108"/>
      <c r="MBJ117" s="108"/>
      <c r="MBK117" s="108"/>
      <c r="MBL117" s="108"/>
      <c r="MBM117" s="108"/>
      <c r="MBN117" s="108"/>
      <c r="MBO117" s="108"/>
      <c r="MBP117" s="108"/>
      <c r="MBQ117" s="108"/>
      <c r="MBR117" s="108"/>
      <c r="MBS117" s="108"/>
      <c r="MBT117" s="108"/>
      <c r="MBU117" s="108"/>
      <c r="MBV117" s="108"/>
      <c r="MBW117" s="108"/>
      <c r="MBX117" s="108"/>
      <c r="MBY117" s="108"/>
      <c r="MBZ117" s="108"/>
      <c r="MCA117" s="108"/>
      <c r="MCB117" s="108"/>
      <c r="MCC117" s="108"/>
      <c r="MCD117" s="108"/>
      <c r="MCE117" s="108"/>
      <c r="MCF117" s="108"/>
      <c r="MCG117" s="108"/>
      <c r="MCH117" s="108"/>
      <c r="MCI117" s="108"/>
      <c r="MCJ117" s="108"/>
      <c r="MCK117" s="108"/>
      <c r="MCL117" s="108"/>
      <c r="MCM117" s="108"/>
      <c r="MCN117" s="108"/>
      <c r="MCO117" s="108"/>
      <c r="MCP117" s="108"/>
      <c r="MCQ117" s="108"/>
      <c r="MCR117" s="108"/>
      <c r="MCS117" s="108"/>
      <c r="MCT117" s="108"/>
      <c r="MCU117" s="108"/>
      <c r="MCV117" s="108"/>
      <c r="MCW117" s="108"/>
      <c r="MCX117" s="108"/>
      <c r="MCY117" s="108"/>
      <c r="MCZ117" s="108"/>
      <c r="MDA117" s="108"/>
      <c r="MDB117" s="108"/>
      <c r="MDC117" s="108"/>
      <c r="MDD117" s="108"/>
      <c r="MDE117" s="108"/>
      <c r="MDF117" s="108"/>
      <c r="MDG117" s="108"/>
      <c r="MDH117" s="108"/>
      <c r="MDI117" s="108"/>
      <c r="MDJ117" s="108"/>
      <c r="MDK117" s="108"/>
      <c r="MDL117" s="108"/>
      <c r="MDM117" s="108"/>
      <c r="MDN117" s="108"/>
      <c r="MDO117" s="108"/>
      <c r="MDP117" s="108"/>
      <c r="MDQ117" s="108"/>
      <c r="MDR117" s="108"/>
      <c r="MDS117" s="108"/>
      <c r="MDT117" s="108"/>
      <c r="MDU117" s="108"/>
      <c r="MDV117" s="108"/>
      <c r="MDW117" s="108"/>
      <c r="MDX117" s="108"/>
      <c r="MDY117" s="108"/>
      <c r="MDZ117" s="108"/>
      <c r="MEA117" s="108"/>
      <c r="MEB117" s="108"/>
      <c r="MEC117" s="108"/>
      <c r="MED117" s="108"/>
      <c r="MEE117" s="108"/>
      <c r="MEF117" s="108"/>
      <c r="MEG117" s="108"/>
      <c r="MEH117" s="108"/>
      <c r="MEI117" s="108"/>
      <c r="MEJ117" s="108"/>
      <c r="MEK117" s="108"/>
      <c r="MEL117" s="108"/>
      <c r="MEM117" s="108"/>
      <c r="MEN117" s="108"/>
      <c r="MEO117" s="108"/>
      <c r="MEP117" s="108"/>
      <c r="MEQ117" s="108"/>
      <c r="MER117" s="108"/>
      <c r="MES117" s="108"/>
      <c r="MET117" s="108"/>
      <c r="MEU117" s="108"/>
      <c r="MEV117" s="108"/>
      <c r="MEW117" s="108"/>
      <c r="MEX117" s="108"/>
      <c r="MEY117" s="108"/>
      <c r="MEZ117" s="108"/>
      <c r="MFA117" s="108"/>
      <c r="MFB117" s="108"/>
      <c r="MFC117" s="108"/>
      <c r="MFD117" s="108"/>
      <c r="MFE117" s="108"/>
      <c r="MFF117" s="108"/>
      <c r="MFG117" s="108"/>
      <c r="MFH117" s="108"/>
      <c r="MFI117" s="108"/>
      <c r="MFJ117" s="108"/>
      <c r="MFK117" s="108"/>
      <c r="MFL117" s="108"/>
      <c r="MFM117" s="108"/>
      <c r="MFN117" s="108"/>
      <c r="MFO117" s="108"/>
      <c r="MFP117" s="108"/>
      <c r="MFQ117" s="108"/>
      <c r="MFR117" s="108"/>
      <c r="MFS117" s="108"/>
      <c r="MFT117" s="108"/>
      <c r="MFU117" s="108"/>
      <c r="MFV117" s="108"/>
      <c r="MFW117" s="108"/>
      <c r="MFX117" s="108"/>
      <c r="MFY117" s="108"/>
      <c r="MFZ117" s="108"/>
      <c r="MGA117" s="108"/>
      <c r="MGB117" s="108"/>
      <c r="MGC117" s="108"/>
      <c r="MGD117" s="108"/>
      <c r="MGE117" s="108"/>
      <c r="MGF117" s="108"/>
      <c r="MGG117" s="108"/>
      <c r="MGH117" s="108"/>
      <c r="MGI117" s="108"/>
      <c r="MGJ117" s="108"/>
      <c r="MGK117" s="108"/>
      <c r="MGL117" s="108"/>
      <c r="MGM117" s="108"/>
      <c r="MGN117" s="108"/>
      <c r="MGO117" s="108"/>
      <c r="MGP117" s="108"/>
      <c r="MGQ117" s="108"/>
      <c r="MGR117" s="108"/>
      <c r="MGS117" s="108"/>
      <c r="MGT117" s="108"/>
      <c r="MGU117" s="108"/>
      <c r="MGV117" s="108"/>
      <c r="MGW117" s="108"/>
      <c r="MGX117" s="108"/>
      <c r="MGY117" s="108"/>
      <c r="MGZ117" s="108"/>
      <c r="MHA117" s="108"/>
      <c r="MHB117" s="108"/>
      <c r="MHC117" s="108"/>
      <c r="MHD117" s="108"/>
      <c r="MHE117" s="108"/>
      <c r="MHF117" s="108"/>
      <c r="MHG117" s="108"/>
      <c r="MHH117" s="108"/>
      <c r="MHI117" s="108"/>
      <c r="MHJ117" s="108"/>
      <c r="MHK117" s="108"/>
      <c r="MHL117" s="108"/>
      <c r="MHM117" s="108"/>
      <c r="MHN117" s="108"/>
      <c r="MHO117" s="108"/>
      <c r="MHP117" s="108"/>
      <c r="MHQ117" s="108"/>
      <c r="MHR117" s="108"/>
      <c r="MHS117" s="108"/>
      <c r="MHT117" s="108"/>
      <c r="MHU117" s="108"/>
      <c r="MHV117" s="108"/>
      <c r="MHW117" s="108"/>
      <c r="MHX117" s="108"/>
      <c r="MHY117" s="108"/>
      <c r="MHZ117" s="108"/>
      <c r="MIA117" s="108"/>
      <c r="MIB117" s="108"/>
      <c r="MIC117" s="108"/>
      <c r="MID117" s="108"/>
      <c r="MIE117" s="108"/>
      <c r="MIF117" s="108"/>
      <c r="MIG117" s="108"/>
      <c r="MIH117" s="108"/>
      <c r="MII117" s="108"/>
      <c r="MIJ117" s="108"/>
      <c r="MIK117" s="108"/>
      <c r="MIL117" s="108"/>
      <c r="MIM117" s="108"/>
      <c r="MIN117" s="108"/>
      <c r="MIO117" s="108"/>
      <c r="MIP117" s="108"/>
      <c r="MIQ117" s="108"/>
      <c r="MIR117" s="108"/>
      <c r="MIS117" s="108"/>
      <c r="MIT117" s="108"/>
      <c r="MIU117" s="108"/>
      <c r="MIV117" s="108"/>
      <c r="MIW117" s="108"/>
      <c r="MIX117" s="108"/>
      <c r="MIY117" s="108"/>
      <c r="MIZ117" s="108"/>
      <c r="MJA117" s="108"/>
      <c r="MJB117" s="108"/>
      <c r="MJC117" s="108"/>
      <c r="MJD117" s="108"/>
      <c r="MJE117" s="108"/>
      <c r="MJF117" s="108"/>
      <c r="MJG117" s="108"/>
      <c r="MJH117" s="108"/>
      <c r="MJI117" s="108"/>
      <c r="MJJ117" s="108"/>
      <c r="MJK117" s="108"/>
      <c r="MJL117" s="108"/>
      <c r="MJM117" s="108"/>
      <c r="MJN117" s="108"/>
      <c r="MJO117" s="108"/>
      <c r="MJP117" s="108"/>
      <c r="MJQ117" s="108"/>
      <c r="MJR117" s="108"/>
      <c r="MJS117" s="108"/>
      <c r="MJT117" s="108"/>
      <c r="MJU117" s="108"/>
      <c r="MJV117" s="108"/>
      <c r="MJW117" s="108"/>
      <c r="MJX117" s="108"/>
      <c r="MJY117" s="108"/>
      <c r="MJZ117" s="108"/>
      <c r="MKA117" s="108"/>
      <c r="MKB117" s="108"/>
      <c r="MKC117" s="108"/>
      <c r="MKD117" s="108"/>
      <c r="MKE117" s="108"/>
      <c r="MKF117" s="108"/>
      <c r="MKG117" s="108"/>
      <c r="MKH117" s="108"/>
      <c r="MKI117" s="108"/>
      <c r="MKJ117" s="108"/>
      <c r="MKK117" s="108"/>
      <c r="MKL117" s="108"/>
      <c r="MKM117" s="108"/>
      <c r="MKN117" s="108"/>
      <c r="MKO117" s="108"/>
      <c r="MKP117" s="108"/>
      <c r="MKQ117" s="108"/>
      <c r="MKR117" s="108"/>
      <c r="MKS117" s="108"/>
      <c r="MKT117" s="108"/>
      <c r="MKU117" s="108"/>
      <c r="MKV117" s="108"/>
      <c r="MKW117" s="108"/>
      <c r="MKX117" s="108"/>
      <c r="MKY117" s="108"/>
      <c r="MKZ117" s="108"/>
      <c r="MLA117" s="108"/>
      <c r="MLB117" s="108"/>
      <c r="MLC117" s="108"/>
      <c r="MLD117" s="108"/>
      <c r="MLE117" s="108"/>
      <c r="MLF117" s="108"/>
      <c r="MLG117" s="108"/>
      <c r="MLH117" s="108"/>
      <c r="MLI117" s="108"/>
      <c r="MLJ117" s="108"/>
      <c r="MLK117" s="108"/>
      <c r="MLL117" s="108"/>
      <c r="MLM117" s="108"/>
      <c r="MLN117" s="108"/>
      <c r="MLO117" s="108"/>
      <c r="MLP117" s="108"/>
      <c r="MLQ117" s="108"/>
      <c r="MLR117" s="108"/>
      <c r="MLS117" s="108"/>
      <c r="MLT117" s="108"/>
      <c r="MLU117" s="108"/>
      <c r="MLV117" s="108"/>
      <c r="MLW117" s="108"/>
      <c r="MLX117" s="108"/>
      <c r="MLY117" s="108"/>
      <c r="MLZ117" s="108"/>
      <c r="MMA117" s="108"/>
      <c r="MMB117" s="108"/>
      <c r="MMC117" s="108"/>
      <c r="MMD117" s="108"/>
      <c r="MME117" s="108"/>
      <c r="MMF117" s="108"/>
      <c r="MMG117" s="108"/>
      <c r="MMH117" s="108"/>
      <c r="MMI117" s="108"/>
      <c r="MMJ117" s="108"/>
      <c r="MMK117" s="108"/>
      <c r="MML117" s="108"/>
      <c r="MMM117" s="108"/>
      <c r="MMN117" s="108"/>
      <c r="MMO117" s="108"/>
      <c r="MMP117" s="108"/>
      <c r="MMQ117" s="108"/>
      <c r="MMR117" s="108"/>
      <c r="MMS117" s="108"/>
      <c r="MMT117" s="108"/>
      <c r="MMU117" s="108"/>
      <c r="MMV117" s="108"/>
      <c r="MMW117" s="108"/>
      <c r="MMX117" s="108"/>
      <c r="MMY117" s="108"/>
      <c r="MMZ117" s="108"/>
      <c r="MNA117" s="108"/>
      <c r="MNB117" s="108"/>
      <c r="MNC117" s="108"/>
      <c r="MND117" s="108"/>
      <c r="MNE117" s="108"/>
      <c r="MNF117" s="108"/>
      <c r="MNG117" s="108"/>
      <c r="MNH117" s="108"/>
      <c r="MNI117" s="108"/>
      <c r="MNJ117" s="108"/>
      <c r="MNK117" s="108"/>
      <c r="MNL117" s="108"/>
      <c r="MNM117" s="108"/>
      <c r="MNN117" s="108"/>
      <c r="MNO117" s="108"/>
      <c r="MNP117" s="108"/>
      <c r="MNQ117" s="108"/>
      <c r="MNR117" s="108"/>
      <c r="MNS117" s="108"/>
      <c r="MNT117" s="108"/>
      <c r="MNU117" s="108"/>
      <c r="MNV117" s="108"/>
      <c r="MNW117" s="108"/>
      <c r="MNX117" s="108"/>
      <c r="MNY117" s="108"/>
      <c r="MNZ117" s="108"/>
      <c r="MOA117" s="108"/>
      <c r="MOB117" s="108"/>
      <c r="MOC117" s="108"/>
      <c r="MOD117" s="108"/>
      <c r="MOE117" s="108"/>
      <c r="MOF117" s="108"/>
      <c r="MOG117" s="108"/>
      <c r="MOH117" s="108"/>
      <c r="MOI117" s="108"/>
      <c r="MOJ117" s="108"/>
      <c r="MOK117" s="108"/>
      <c r="MOL117" s="108"/>
      <c r="MOM117" s="108"/>
      <c r="MON117" s="108"/>
      <c r="MOO117" s="108"/>
      <c r="MOP117" s="108"/>
      <c r="MOQ117" s="108"/>
      <c r="MOR117" s="108"/>
      <c r="MOS117" s="108"/>
      <c r="MOT117" s="108"/>
      <c r="MOU117" s="108"/>
      <c r="MOV117" s="108"/>
      <c r="MOW117" s="108"/>
      <c r="MOX117" s="108"/>
      <c r="MOY117" s="108"/>
      <c r="MOZ117" s="108"/>
      <c r="MPA117" s="108"/>
      <c r="MPB117" s="108"/>
      <c r="MPC117" s="108"/>
      <c r="MPD117" s="108"/>
      <c r="MPE117" s="108"/>
      <c r="MPF117" s="108"/>
      <c r="MPG117" s="108"/>
      <c r="MPH117" s="108"/>
      <c r="MPI117" s="108"/>
      <c r="MPJ117" s="108"/>
      <c r="MPK117" s="108"/>
      <c r="MPL117" s="108"/>
      <c r="MPM117" s="108"/>
      <c r="MPN117" s="108"/>
      <c r="MPO117" s="108"/>
      <c r="MPP117" s="108"/>
      <c r="MPQ117" s="108"/>
      <c r="MPR117" s="108"/>
      <c r="MPS117" s="108"/>
      <c r="MPT117" s="108"/>
      <c r="MPU117" s="108"/>
      <c r="MPV117" s="108"/>
      <c r="MPW117" s="108"/>
      <c r="MPX117" s="108"/>
      <c r="MPY117" s="108"/>
      <c r="MPZ117" s="108"/>
      <c r="MQA117" s="108"/>
      <c r="MQB117" s="108"/>
      <c r="MQC117" s="108"/>
      <c r="MQD117" s="108"/>
      <c r="MQE117" s="108"/>
      <c r="MQF117" s="108"/>
      <c r="MQG117" s="108"/>
      <c r="MQH117" s="108"/>
      <c r="MQI117" s="108"/>
      <c r="MQJ117" s="108"/>
      <c r="MQK117" s="108"/>
      <c r="MQL117" s="108"/>
      <c r="MQM117" s="108"/>
      <c r="MQN117" s="108"/>
      <c r="MQO117" s="108"/>
      <c r="MQP117" s="108"/>
      <c r="MQQ117" s="108"/>
      <c r="MQR117" s="108"/>
      <c r="MQS117" s="108"/>
      <c r="MQT117" s="108"/>
      <c r="MQU117" s="108"/>
      <c r="MQV117" s="108"/>
      <c r="MQW117" s="108"/>
      <c r="MQX117" s="108"/>
      <c r="MQY117" s="108"/>
      <c r="MQZ117" s="108"/>
      <c r="MRA117" s="108"/>
      <c r="MRB117" s="108"/>
      <c r="MRC117" s="108"/>
      <c r="MRD117" s="108"/>
      <c r="MRE117" s="108"/>
      <c r="MRF117" s="108"/>
      <c r="MRG117" s="108"/>
      <c r="MRH117" s="108"/>
      <c r="MRI117" s="108"/>
      <c r="MRJ117" s="108"/>
      <c r="MRK117" s="108"/>
      <c r="MRL117" s="108"/>
      <c r="MRM117" s="108"/>
      <c r="MRN117" s="108"/>
      <c r="MRO117" s="108"/>
      <c r="MRP117" s="108"/>
      <c r="MRQ117" s="108"/>
      <c r="MRR117" s="108"/>
      <c r="MRS117" s="108"/>
      <c r="MRT117" s="108"/>
      <c r="MRU117" s="108"/>
      <c r="MRV117" s="108"/>
      <c r="MRW117" s="108"/>
      <c r="MRX117" s="108"/>
      <c r="MRY117" s="108"/>
      <c r="MRZ117" s="108"/>
      <c r="MSA117" s="108"/>
      <c r="MSB117" s="108"/>
      <c r="MSC117" s="108"/>
      <c r="MSD117" s="108"/>
      <c r="MSE117" s="108"/>
      <c r="MSF117" s="108"/>
      <c r="MSG117" s="108"/>
      <c r="MSH117" s="108"/>
      <c r="MSI117" s="108"/>
      <c r="MSJ117" s="108"/>
      <c r="MSK117" s="108"/>
      <c r="MSL117" s="108"/>
      <c r="MSM117" s="108"/>
      <c r="MSN117" s="108"/>
      <c r="MSO117" s="108"/>
      <c r="MSP117" s="108"/>
      <c r="MSQ117" s="108"/>
      <c r="MSR117" s="108"/>
      <c r="MSS117" s="108"/>
      <c r="MST117" s="108"/>
      <c r="MSU117" s="108"/>
      <c r="MSV117" s="108"/>
      <c r="MSW117" s="108"/>
      <c r="MSX117" s="108"/>
      <c r="MSY117" s="108"/>
      <c r="MSZ117" s="108"/>
      <c r="MTA117" s="108"/>
      <c r="MTB117" s="108"/>
      <c r="MTC117" s="108"/>
      <c r="MTD117" s="108"/>
      <c r="MTE117" s="108"/>
      <c r="MTF117" s="108"/>
      <c r="MTG117" s="108"/>
      <c r="MTH117" s="108"/>
      <c r="MTI117" s="108"/>
      <c r="MTJ117" s="108"/>
      <c r="MTK117" s="108"/>
      <c r="MTL117" s="108"/>
      <c r="MTM117" s="108"/>
      <c r="MTN117" s="108"/>
      <c r="MTO117" s="108"/>
      <c r="MTP117" s="108"/>
      <c r="MTQ117" s="108"/>
      <c r="MTR117" s="108"/>
      <c r="MTS117" s="108"/>
      <c r="MTT117" s="108"/>
      <c r="MTU117" s="108"/>
      <c r="MTV117" s="108"/>
      <c r="MTW117" s="108"/>
      <c r="MTX117" s="108"/>
      <c r="MTY117" s="108"/>
      <c r="MTZ117" s="108"/>
      <c r="MUA117" s="108"/>
      <c r="MUB117" s="108"/>
      <c r="MUC117" s="108"/>
      <c r="MUD117" s="108"/>
      <c r="MUE117" s="108"/>
      <c r="MUF117" s="108"/>
      <c r="MUG117" s="108"/>
      <c r="MUH117" s="108"/>
      <c r="MUI117" s="108"/>
      <c r="MUJ117" s="108"/>
      <c r="MUK117" s="108"/>
      <c r="MUL117" s="108"/>
      <c r="MUM117" s="108"/>
      <c r="MUN117" s="108"/>
      <c r="MUO117" s="108"/>
      <c r="MUP117" s="108"/>
      <c r="MUQ117" s="108"/>
      <c r="MUR117" s="108"/>
      <c r="MUS117" s="108"/>
      <c r="MUT117" s="108"/>
      <c r="MUU117" s="108"/>
      <c r="MUV117" s="108"/>
      <c r="MUW117" s="108"/>
      <c r="MUX117" s="108"/>
      <c r="MUY117" s="108"/>
      <c r="MUZ117" s="108"/>
      <c r="MVA117" s="108"/>
      <c r="MVB117" s="108"/>
      <c r="MVC117" s="108"/>
      <c r="MVD117" s="108"/>
      <c r="MVE117" s="108"/>
      <c r="MVF117" s="108"/>
      <c r="MVG117" s="108"/>
      <c r="MVH117" s="108"/>
      <c r="MVI117" s="108"/>
      <c r="MVJ117" s="108"/>
      <c r="MVK117" s="108"/>
      <c r="MVL117" s="108"/>
      <c r="MVM117" s="108"/>
      <c r="MVN117" s="108"/>
      <c r="MVO117" s="108"/>
      <c r="MVP117" s="108"/>
      <c r="MVQ117" s="108"/>
      <c r="MVR117" s="108"/>
      <c r="MVS117" s="108"/>
      <c r="MVT117" s="108"/>
      <c r="MVU117" s="108"/>
      <c r="MVV117" s="108"/>
      <c r="MVW117" s="108"/>
      <c r="MVX117" s="108"/>
      <c r="MVY117" s="108"/>
      <c r="MVZ117" s="108"/>
      <c r="MWA117" s="108"/>
      <c r="MWB117" s="108"/>
      <c r="MWC117" s="108"/>
      <c r="MWD117" s="108"/>
      <c r="MWE117" s="108"/>
      <c r="MWF117" s="108"/>
      <c r="MWG117" s="108"/>
      <c r="MWH117" s="108"/>
      <c r="MWI117" s="108"/>
      <c r="MWJ117" s="108"/>
      <c r="MWK117" s="108"/>
      <c r="MWL117" s="108"/>
      <c r="MWM117" s="108"/>
      <c r="MWN117" s="108"/>
      <c r="MWO117" s="108"/>
      <c r="MWP117" s="108"/>
      <c r="MWQ117" s="108"/>
      <c r="MWR117" s="108"/>
      <c r="MWS117" s="108"/>
      <c r="MWT117" s="108"/>
      <c r="MWU117" s="108"/>
      <c r="MWV117" s="108"/>
      <c r="MWW117" s="108"/>
      <c r="MWX117" s="108"/>
      <c r="MWY117" s="108"/>
      <c r="MWZ117" s="108"/>
      <c r="MXA117" s="108"/>
      <c r="MXB117" s="108"/>
      <c r="MXC117" s="108"/>
      <c r="MXD117" s="108"/>
      <c r="MXE117" s="108"/>
      <c r="MXF117" s="108"/>
      <c r="MXG117" s="108"/>
      <c r="MXH117" s="108"/>
      <c r="MXI117" s="108"/>
      <c r="MXJ117" s="108"/>
      <c r="MXK117" s="108"/>
      <c r="MXL117" s="108"/>
      <c r="MXM117" s="108"/>
      <c r="MXN117" s="108"/>
      <c r="MXO117" s="108"/>
      <c r="MXP117" s="108"/>
      <c r="MXQ117" s="108"/>
      <c r="MXR117" s="108"/>
      <c r="MXS117" s="108"/>
      <c r="MXT117" s="108"/>
      <c r="MXU117" s="108"/>
      <c r="MXV117" s="108"/>
      <c r="MXW117" s="108"/>
      <c r="MXX117" s="108"/>
      <c r="MXY117" s="108"/>
      <c r="MXZ117" s="108"/>
      <c r="MYA117" s="108"/>
      <c r="MYB117" s="108"/>
      <c r="MYC117" s="108"/>
      <c r="MYD117" s="108"/>
      <c r="MYE117" s="108"/>
      <c r="MYF117" s="108"/>
      <c r="MYG117" s="108"/>
      <c r="MYH117" s="108"/>
      <c r="MYI117" s="108"/>
      <c r="MYJ117" s="108"/>
      <c r="MYK117" s="108"/>
      <c r="MYL117" s="108"/>
      <c r="MYM117" s="108"/>
      <c r="MYN117" s="108"/>
      <c r="MYO117" s="108"/>
      <c r="MYP117" s="108"/>
      <c r="MYQ117" s="108"/>
      <c r="MYR117" s="108"/>
      <c r="MYS117" s="108"/>
      <c r="MYT117" s="108"/>
      <c r="MYU117" s="108"/>
      <c r="MYV117" s="108"/>
      <c r="MYW117" s="108"/>
      <c r="MYX117" s="108"/>
      <c r="MYY117" s="108"/>
      <c r="MYZ117" s="108"/>
      <c r="MZA117" s="108"/>
      <c r="MZB117" s="108"/>
      <c r="MZC117" s="108"/>
      <c r="MZD117" s="108"/>
      <c r="MZE117" s="108"/>
      <c r="MZF117" s="108"/>
      <c r="MZG117" s="108"/>
      <c r="MZH117" s="108"/>
      <c r="MZI117" s="108"/>
      <c r="MZJ117" s="108"/>
      <c r="MZK117" s="108"/>
      <c r="MZL117" s="108"/>
      <c r="MZM117" s="108"/>
      <c r="MZN117" s="108"/>
      <c r="MZO117" s="108"/>
      <c r="MZP117" s="108"/>
      <c r="MZQ117" s="108"/>
      <c r="MZR117" s="108"/>
      <c r="MZS117" s="108"/>
      <c r="MZT117" s="108"/>
      <c r="MZU117" s="108"/>
      <c r="MZV117" s="108"/>
      <c r="MZW117" s="108"/>
      <c r="MZX117" s="108"/>
      <c r="MZY117" s="108"/>
      <c r="MZZ117" s="108"/>
      <c r="NAA117" s="108"/>
      <c r="NAB117" s="108"/>
      <c r="NAC117" s="108"/>
      <c r="NAD117" s="108"/>
      <c r="NAE117" s="108"/>
      <c r="NAF117" s="108"/>
      <c r="NAG117" s="108"/>
      <c r="NAH117" s="108"/>
      <c r="NAI117" s="108"/>
      <c r="NAJ117" s="108"/>
      <c r="NAK117" s="108"/>
      <c r="NAL117" s="108"/>
      <c r="NAM117" s="108"/>
      <c r="NAN117" s="108"/>
      <c r="NAO117" s="108"/>
      <c r="NAP117" s="108"/>
      <c r="NAQ117" s="108"/>
      <c r="NAR117" s="108"/>
      <c r="NAS117" s="108"/>
      <c r="NAT117" s="108"/>
      <c r="NAU117" s="108"/>
      <c r="NAV117" s="108"/>
      <c r="NAW117" s="108"/>
      <c r="NAX117" s="108"/>
      <c r="NAY117" s="108"/>
      <c r="NAZ117" s="108"/>
      <c r="NBA117" s="108"/>
      <c r="NBB117" s="108"/>
      <c r="NBC117" s="108"/>
      <c r="NBD117" s="108"/>
      <c r="NBE117" s="108"/>
      <c r="NBF117" s="108"/>
      <c r="NBG117" s="108"/>
      <c r="NBH117" s="108"/>
      <c r="NBI117" s="108"/>
      <c r="NBJ117" s="108"/>
      <c r="NBK117" s="108"/>
      <c r="NBL117" s="108"/>
      <c r="NBM117" s="108"/>
      <c r="NBN117" s="108"/>
      <c r="NBO117" s="108"/>
      <c r="NBP117" s="108"/>
      <c r="NBQ117" s="108"/>
      <c r="NBR117" s="108"/>
      <c r="NBS117" s="108"/>
      <c r="NBT117" s="108"/>
      <c r="NBU117" s="108"/>
      <c r="NBV117" s="108"/>
      <c r="NBW117" s="108"/>
      <c r="NBX117" s="108"/>
      <c r="NBY117" s="108"/>
      <c r="NBZ117" s="108"/>
      <c r="NCA117" s="108"/>
      <c r="NCB117" s="108"/>
      <c r="NCC117" s="108"/>
      <c r="NCD117" s="108"/>
      <c r="NCE117" s="108"/>
      <c r="NCF117" s="108"/>
      <c r="NCG117" s="108"/>
      <c r="NCH117" s="108"/>
      <c r="NCI117" s="108"/>
      <c r="NCJ117" s="108"/>
      <c r="NCK117" s="108"/>
      <c r="NCL117" s="108"/>
      <c r="NCM117" s="108"/>
      <c r="NCN117" s="108"/>
      <c r="NCO117" s="108"/>
      <c r="NCP117" s="108"/>
      <c r="NCQ117" s="108"/>
      <c r="NCR117" s="108"/>
      <c r="NCS117" s="108"/>
      <c r="NCT117" s="108"/>
      <c r="NCU117" s="108"/>
      <c r="NCV117" s="108"/>
      <c r="NCW117" s="108"/>
      <c r="NCX117" s="108"/>
      <c r="NCY117" s="108"/>
      <c r="NCZ117" s="108"/>
      <c r="NDA117" s="108"/>
      <c r="NDB117" s="108"/>
      <c r="NDC117" s="108"/>
      <c r="NDD117" s="108"/>
      <c r="NDE117" s="108"/>
      <c r="NDF117" s="108"/>
      <c r="NDG117" s="108"/>
      <c r="NDH117" s="108"/>
      <c r="NDI117" s="108"/>
      <c r="NDJ117" s="108"/>
      <c r="NDK117" s="108"/>
      <c r="NDL117" s="108"/>
      <c r="NDM117" s="108"/>
      <c r="NDN117" s="108"/>
      <c r="NDO117" s="108"/>
      <c r="NDP117" s="108"/>
      <c r="NDQ117" s="108"/>
      <c r="NDR117" s="108"/>
      <c r="NDS117" s="108"/>
      <c r="NDT117" s="108"/>
      <c r="NDU117" s="108"/>
      <c r="NDV117" s="108"/>
      <c r="NDW117" s="108"/>
      <c r="NDX117" s="108"/>
      <c r="NDY117" s="108"/>
      <c r="NDZ117" s="108"/>
      <c r="NEA117" s="108"/>
      <c r="NEB117" s="108"/>
      <c r="NEC117" s="108"/>
      <c r="NED117" s="108"/>
      <c r="NEE117" s="108"/>
      <c r="NEF117" s="108"/>
      <c r="NEG117" s="108"/>
      <c r="NEH117" s="108"/>
      <c r="NEI117" s="108"/>
      <c r="NEJ117" s="108"/>
      <c r="NEK117" s="108"/>
      <c r="NEL117" s="108"/>
      <c r="NEM117" s="108"/>
      <c r="NEN117" s="108"/>
      <c r="NEO117" s="108"/>
      <c r="NEP117" s="108"/>
      <c r="NEQ117" s="108"/>
      <c r="NER117" s="108"/>
      <c r="NES117" s="108"/>
      <c r="NET117" s="108"/>
      <c r="NEU117" s="108"/>
      <c r="NEV117" s="108"/>
      <c r="NEW117" s="108"/>
      <c r="NEX117" s="108"/>
      <c r="NEY117" s="108"/>
      <c r="NEZ117" s="108"/>
      <c r="NFA117" s="108"/>
      <c r="NFB117" s="108"/>
      <c r="NFC117" s="108"/>
      <c r="NFD117" s="108"/>
      <c r="NFE117" s="108"/>
      <c r="NFF117" s="108"/>
      <c r="NFG117" s="108"/>
      <c r="NFH117" s="108"/>
      <c r="NFI117" s="108"/>
      <c r="NFJ117" s="108"/>
      <c r="NFK117" s="108"/>
      <c r="NFL117" s="108"/>
      <c r="NFM117" s="108"/>
      <c r="NFN117" s="108"/>
      <c r="NFO117" s="108"/>
      <c r="NFP117" s="108"/>
      <c r="NFQ117" s="108"/>
      <c r="NFR117" s="108"/>
      <c r="NFS117" s="108"/>
      <c r="NFT117" s="108"/>
      <c r="NFU117" s="108"/>
      <c r="NFV117" s="108"/>
      <c r="NFW117" s="108"/>
      <c r="NFX117" s="108"/>
      <c r="NFY117" s="108"/>
      <c r="NFZ117" s="108"/>
      <c r="NGA117" s="108"/>
      <c r="NGB117" s="108"/>
      <c r="NGC117" s="108"/>
      <c r="NGD117" s="108"/>
      <c r="NGE117" s="108"/>
      <c r="NGF117" s="108"/>
      <c r="NGG117" s="108"/>
      <c r="NGH117" s="108"/>
      <c r="NGI117" s="108"/>
      <c r="NGJ117" s="108"/>
      <c r="NGK117" s="108"/>
      <c r="NGL117" s="108"/>
      <c r="NGM117" s="108"/>
      <c r="NGN117" s="108"/>
      <c r="NGO117" s="108"/>
      <c r="NGP117" s="108"/>
      <c r="NGQ117" s="108"/>
      <c r="NGR117" s="108"/>
      <c r="NGS117" s="108"/>
      <c r="NGT117" s="108"/>
      <c r="NGU117" s="108"/>
      <c r="NGV117" s="108"/>
      <c r="NGW117" s="108"/>
      <c r="NGX117" s="108"/>
      <c r="NGY117" s="108"/>
      <c r="NGZ117" s="108"/>
      <c r="NHA117" s="108"/>
      <c r="NHB117" s="108"/>
      <c r="NHC117" s="108"/>
      <c r="NHD117" s="108"/>
      <c r="NHE117" s="108"/>
      <c r="NHF117" s="108"/>
      <c r="NHG117" s="108"/>
      <c r="NHH117" s="108"/>
      <c r="NHI117" s="108"/>
      <c r="NHJ117" s="108"/>
      <c r="NHK117" s="108"/>
      <c r="NHL117" s="108"/>
      <c r="NHM117" s="108"/>
      <c r="NHN117" s="108"/>
      <c r="NHO117" s="108"/>
      <c r="NHP117" s="108"/>
      <c r="NHQ117" s="108"/>
      <c r="NHR117" s="108"/>
      <c r="NHS117" s="108"/>
      <c r="NHT117" s="108"/>
      <c r="NHU117" s="108"/>
      <c r="NHV117" s="108"/>
      <c r="NHW117" s="108"/>
      <c r="NHX117" s="108"/>
      <c r="NHY117" s="108"/>
      <c r="NHZ117" s="108"/>
      <c r="NIA117" s="108"/>
      <c r="NIB117" s="108"/>
      <c r="NIC117" s="108"/>
      <c r="NID117" s="108"/>
      <c r="NIE117" s="108"/>
      <c r="NIF117" s="108"/>
      <c r="NIG117" s="108"/>
      <c r="NIH117" s="108"/>
      <c r="NII117" s="108"/>
      <c r="NIJ117" s="108"/>
      <c r="NIK117" s="108"/>
      <c r="NIL117" s="108"/>
      <c r="NIM117" s="108"/>
      <c r="NIN117" s="108"/>
      <c r="NIO117" s="108"/>
      <c r="NIP117" s="108"/>
      <c r="NIQ117" s="108"/>
      <c r="NIR117" s="108"/>
      <c r="NIS117" s="108"/>
      <c r="NIT117" s="108"/>
      <c r="NIU117" s="108"/>
      <c r="NIV117" s="108"/>
      <c r="NIW117" s="108"/>
      <c r="NIX117" s="108"/>
      <c r="NIY117" s="108"/>
      <c r="NIZ117" s="108"/>
      <c r="NJA117" s="108"/>
      <c r="NJB117" s="108"/>
      <c r="NJC117" s="108"/>
      <c r="NJD117" s="108"/>
      <c r="NJE117" s="108"/>
      <c r="NJF117" s="108"/>
      <c r="NJG117" s="108"/>
      <c r="NJH117" s="108"/>
      <c r="NJI117" s="108"/>
      <c r="NJJ117" s="108"/>
      <c r="NJK117" s="108"/>
      <c r="NJL117" s="108"/>
      <c r="NJM117" s="108"/>
      <c r="NJN117" s="108"/>
      <c r="NJO117" s="108"/>
      <c r="NJP117" s="108"/>
      <c r="NJQ117" s="108"/>
      <c r="NJR117" s="108"/>
      <c r="NJS117" s="108"/>
      <c r="NJT117" s="108"/>
      <c r="NJU117" s="108"/>
      <c r="NJV117" s="108"/>
      <c r="NJW117" s="108"/>
      <c r="NJX117" s="108"/>
      <c r="NJY117" s="108"/>
      <c r="NJZ117" s="108"/>
      <c r="NKA117" s="108"/>
      <c r="NKB117" s="108"/>
      <c r="NKC117" s="108"/>
      <c r="NKD117" s="108"/>
      <c r="NKE117" s="108"/>
      <c r="NKF117" s="108"/>
      <c r="NKG117" s="108"/>
      <c r="NKH117" s="108"/>
      <c r="NKI117" s="108"/>
      <c r="NKJ117" s="108"/>
      <c r="NKK117" s="108"/>
      <c r="NKL117" s="108"/>
      <c r="NKM117" s="108"/>
      <c r="NKN117" s="108"/>
      <c r="NKO117" s="108"/>
      <c r="NKP117" s="108"/>
      <c r="NKQ117" s="108"/>
      <c r="NKR117" s="108"/>
      <c r="NKS117" s="108"/>
      <c r="NKT117" s="108"/>
      <c r="NKU117" s="108"/>
      <c r="NKV117" s="108"/>
      <c r="NKW117" s="108"/>
      <c r="NKX117" s="108"/>
      <c r="NKY117" s="108"/>
      <c r="NKZ117" s="108"/>
      <c r="NLA117" s="108"/>
      <c r="NLB117" s="108"/>
      <c r="NLC117" s="108"/>
      <c r="NLD117" s="108"/>
      <c r="NLE117" s="108"/>
      <c r="NLF117" s="108"/>
      <c r="NLG117" s="108"/>
      <c r="NLH117" s="108"/>
      <c r="NLI117" s="108"/>
      <c r="NLJ117" s="108"/>
      <c r="NLK117" s="108"/>
      <c r="NLL117" s="108"/>
      <c r="NLM117" s="108"/>
      <c r="NLN117" s="108"/>
      <c r="NLO117" s="108"/>
      <c r="NLP117" s="108"/>
      <c r="NLQ117" s="108"/>
      <c r="NLR117" s="108"/>
      <c r="NLS117" s="108"/>
      <c r="NLT117" s="108"/>
      <c r="NLU117" s="108"/>
      <c r="NLV117" s="108"/>
      <c r="NLW117" s="108"/>
      <c r="NLX117" s="108"/>
      <c r="NLY117" s="108"/>
      <c r="NLZ117" s="108"/>
      <c r="NMA117" s="108"/>
      <c r="NMB117" s="108"/>
      <c r="NMC117" s="108"/>
      <c r="NMD117" s="108"/>
      <c r="NME117" s="108"/>
      <c r="NMF117" s="108"/>
      <c r="NMG117" s="108"/>
      <c r="NMH117" s="108"/>
      <c r="NMI117" s="108"/>
      <c r="NMJ117" s="108"/>
      <c r="NMK117" s="108"/>
      <c r="NML117" s="108"/>
      <c r="NMM117" s="108"/>
      <c r="NMN117" s="108"/>
      <c r="NMO117" s="108"/>
      <c r="NMP117" s="108"/>
      <c r="NMQ117" s="108"/>
      <c r="NMR117" s="108"/>
      <c r="NMS117" s="108"/>
      <c r="NMT117" s="108"/>
      <c r="NMU117" s="108"/>
      <c r="NMV117" s="108"/>
      <c r="NMW117" s="108"/>
      <c r="NMX117" s="108"/>
      <c r="NMY117" s="108"/>
      <c r="NMZ117" s="108"/>
      <c r="NNA117" s="108"/>
      <c r="NNB117" s="108"/>
      <c r="NNC117" s="108"/>
      <c r="NND117" s="108"/>
      <c r="NNE117" s="108"/>
      <c r="NNF117" s="108"/>
      <c r="NNG117" s="108"/>
      <c r="NNH117" s="108"/>
      <c r="NNI117" s="108"/>
      <c r="NNJ117" s="108"/>
      <c r="NNK117" s="108"/>
      <c r="NNL117" s="108"/>
      <c r="NNM117" s="108"/>
      <c r="NNN117" s="108"/>
      <c r="NNO117" s="108"/>
      <c r="NNP117" s="108"/>
      <c r="NNQ117" s="108"/>
      <c r="NNR117" s="108"/>
      <c r="NNS117" s="108"/>
      <c r="NNT117" s="108"/>
      <c r="NNU117" s="108"/>
      <c r="NNV117" s="108"/>
      <c r="NNW117" s="108"/>
      <c r="NNX117" s="108"/>
      <c r="NNY117" s="108"/>
      <c r="NNZ117" s="108"/>
      <c r="NOA117" s="108"/>
      <c r="NOB117" s="108"/>
      <c r="NOC117" s="108"/>
      <c r="NOD117" s="108"/>
      <c r="NOE117" s="108"/>
      <c r="NOF117" s="108"/>
      <c r="NOG117" s="108"/>
      <c r="NOH117" s="108"/>
      <c r="NOI117" s="108"/>
      <c r="NOJ117" s="108"/>
      <c r="NOK117" s="108"/>
      <c r="NOL117" s="108"/>
      <c r="NOM117" s="108"/>
      <c r="NON117" s="108"/>
      <c r="NOO117" s="108"/>
      <c r="NOP117" s="108"/>
      <c r="NOQ117" s="108"/>
      <c r="NOR117" s="108"/>
      <c r="NOS117" s="108"/>
      <c r="NOT117" s="108"/>
      <c r="NOU117" s="108"/>
      <c r="NOV117" s="108"/>
      <c r="NOW117" s="108"/>
      <c r="NOX117" s="108"/>
      <c r="NOY117" s="108"/>
      <c r="NOZ117" s="108"/>
      <c r="NPA117" s="108"/>
      <c r="NPB117" s="108"/>
      <c r="NPC117" s="108"/>
      <c r="NPD117" s="108"/>
      <c r="NPE117" s="108"/>
      <c r="NPF117" s="108"/>
      <c r="NPG117" s="108"/>
      <c r="NPH117" s="108"/>
      <c r="NPI117" s="108"/>
      <c r="NPJ117" s="108"/>
      <c r="NPK117" s="108"/>
      <c r="NPL117" s="108"/>
      <c r="NPM117" s="108"/>
      <c r="NPN117" s="108"/>
      <c r="NPO117" s="108"/>
      <c r="NPP117" s="108"/>
      <c r="NPQ117" s="108"/>
      <c r="NPR117" s="108"/>
      <c r="NPS117" s="108"/>
      <c r="NPT117" s="108"/>
      <c r="NPU117" s="108"/>
      <c r="NPV117" s="108"/>
      <c r="NPW117" s="108"/>
      <c r="NPX117" s="108"/>
      <c r="NPY117" s="108"/>
      <c r="NPZ117" s="108"/>
      <c r="NQA117" s="108"/>
      <c r="NQB117" s="108"/>
      <c r="NQC117" s="108"/>
      <c r="NQD117" s="108"/>
      <c r="NQE117" s="108"/>
      <c r="NQF117" s="108"/>
      <c r="NQG117" s="108"/>
      <c r="NQH117" s="108"/>
      <c r="NQI117" s="108"/>
      <c r="NQJ117" s="108"/>
      <c r="NQK117" s="108"/>
      <c r="NQL117" s="108"/>
      <c r="NQM117" s="108"/>
      <c r="NQN117" s="108"/>
      <c r="NQO117" s="108"/>
      <c r="NQP117" s="108"/>
      <c r="NQQ117" s="108"/>
      <c r="NQR117" s="108"/>
      <c r="NQS117" s="108"/>
      <c r="NQT117" s="108"/>
      <c r="NQU117" s="108"/>
      <c r="NQV117" s="108"/>
      <c r="NQW117" s="108"/>
      <c r="NQX117" s="108"/>
      <c r="NQY117" s="108"/>
      <c r="NQZ117" s="108"/>
      <c r="NRA117" s="108"/>
      <c r="NRB117" s="108"/>
      <c r="NRC117" s="108"/>
      <c r="NRD117" s="108"/>
      <c r="NRE117" s="108"/>
      <c r="NRF117" s="108"/>
      <c r="NRG117" s="108"/>
      <c r="NRH117" s="108"/>
      <c r="NRI117" s="108"/>
      <c r="NRJ117" s="108"/>
      <c r="NRK117" s="108"/>
      <c r="NRL117" s="108"/>
      <c r="NRM117" s="108"/>
      <c r="NRN117" s="108"/>
      <c r="NRO117" s="108"/>
      <c r="NRP117" s="108"/>
      <c r="NRQ117" s="108"/>
      <c r="NRR117" s="108"/>
      <c r="NRS117" s="108"/>
      <c r="NRT117" s="108"/>
      <c r="NRU117" s="108"/>
      <c r="NRV117" s="108"/>
      <c r="NRW117" s="108"/>
      <c r="NRX117" s="108"/>
      <c r="NRY117" s="108"/>
      <c r="NRZ117" s="108"/>
      <c r="NSA117" s="108"/>
      <c r="NSB117" s="108"/>
      <c r="NSC117" s="108"/>
      <c r="NSD117" s="108"/>
      <c r="NSE117" s="108"/>
      <c r="NSF117" s="108"/>
      <c r="NSG117" s="108"/>
      <c r="NSH117" s="108"/>
      <c r="NSI117" s="108"/>
      <c r="NSJ117" s="108"/>
      <c r="NSK117" s="108"/>
      <c r="NSL117" s="108"/>
      <c r="NSM117" s="108"/>
      <c r="NSN117" s="108"/>
      <c r="NSO117" s="108"/>
      <c r="NSP117" s="108"/>
      <c r="NSQ117" s="108"/>
      <c r="NSR117" s="108"/>
      <c r="NSS117" s="108"/>
      <c r="NST117" s="108"/>
      <c r="NSU117" s="108"/>
      <c r="NSV117" s="108"/>
      <c r="NSW117" s="108"/>
      <c r="NSX117" s="108"/>
      <c r="NSY117" s="108"/>
      <c r="NSZ117" s="108"/>
      <c r="NTA117" s="108"/>
      <c r="NTB117" s="108"/>
      <c r="NTC117" s="108"/>
      <c r="NTD117" s="108"/>
      <c r="NTE117" s="108"/>
      <c r="NTF117" s="108"/>
      <c r="NTG117" s="108"/>
      <c r="NTH117" s="108"/>
      <c r="NTI117" s="108"/>
      <c r="NTJ117" s="108"/>
      <c r="NTK117" s="108"/>
      <c r="NTL117" s="108"/>
      <c r="NTM117" s="108"/>
      <c r="NTN117" s="108"/>
      <c r="NTO117" s="108"/>
      <c r="NTP117" s="108"/>
      <c r="NTQ117" s="108"/>
      <c r="NTR117" s="108"/>
      <c r="NTS117" s="108"/>
      <c r="NTT117" s="108"/>
      <c r="NTU117" s="108"/>
      <c r="NTV117" s="108"/>
      <c r="NTW117" s="108"/>
      <c r="NTX117" s="108"/>
      <c r="NTY117" s="108"/>
      <c r="NTZ117" s="108"/>
      <c r="NUA117" s="108"/>
      <c r="NUB117" s="108"/>
      <c r="NUC117" s="108"/>
      <c r="NUD117" s="108"/>
      <c r="NUE117" s="108"/>
      <c r="NUF117" s="108"/>
      <c r="NUG117" s="108"/>
      <c r="NUH117" s="108"/>
      <c r="NUI117" s="108"/>
      <c r="NUJ117" s="108"/>
      <c r="NUK117" s="108"/>
      <c r="NUL117" s="108"/>
      <c r="NUM117" s="108"/>
      <c r="NUN117" s="108"/>
      <c r="NUO117" s="108"/>
      <c r="NUP117" s="108"/>
      <c r="NUQ117" s="108"/>
      <c r="NUR117" s="108"/>
      <c r="NUS117" s="108"/>
      <c r="NUT117" s="108"/>
      <c r="NUU117" s="108"/>
      <c r="NUV117" s="108"/>
      <c r="NUW117" s="108"/>
      <c r="NUX117" s="108"/>
      <c r="NUY117" s="108"/>
      <c r="NUZ117" s="108"/>
      <c r="NVA117" s="108"/>
      <c r="NVB117" s="108"/>
      <c r="NVC117" s="108"/>
      <c r="NVD117" s="108"/>
      <c r="NVE117" s="108"/>
      <c r="NVF117" s="108"/>
      <c r="NVG117" s="108"/>
      <c r="NVH117" s="108"/>
      <c r="NVI117" s="108"/>
      <c r="NVJ117" s="108"/>
      <c r="NVK117" s="108"/>
      <c r="NVL117" s="108"/>
      <c r="NVM117" s="108"/>
      <c r="NVN117" s="108"/>
      <c r="NVO117" s="108"/>
      <c r="NVP117" s="108"/>
      <c r="NVQ117" s="108"/>
      <c r="NVR117" s="108"/>
      <c r="NVS117" s="108"/>
      <c r="NVT117" s="108"/>
      <c r="NVU117" s="108"/>
      <c r="NVV117" s="108"/>
      <c r="NVW117" s="108"/>
      <c r="NVX117" s="108"/>
      <c r="NVY117" s="108"/>
      <c r="NVZ117" s="108"/>
      <c r="NWA117" s="108"/>
      <c r="NWB117" s="108"/>
      <c r="NWC117" s="108"/>
      <c r="NWD117" s="108"/>
      <c r="NWE117" s="108"/>
      <c r="NWF117" s="108"/>
      <c r="NWG117" s="108"/>
      <c r="NWH117" s="108"/>
      <c r="NWI117" s="108"/>
      <c r="NWJ117" s="108"/>
      <c r="NWK117" s="108"/>
      <c r="NWL117" s="108"/>
      <c r="NWM117" s="108"/>
      <c r="NWN117" s="108"/>
      <c r="NWO117" s="108"/>
      <c r="NWP117" s="108"/>
      <c r="NWQ117" s="108"/>
      <c r="NWR117" s="108"/>
      <c r="NWS117" s="108"/>
      <c r="NWT117" s="108"/>
      <c r="NWU117" s="108"/>
      <c r="NWV117" s="108"/>
      <c r="NWW117" s="108"/>
      <c r="NWX117" s="108"/>
      <c r="NWY117" s="108"/>
      <c r="NWZ117" s="108"/>
      <c r="NXA117" s="108"/>
      <c r="NXB117" s="108"/>
      <c r="NXC117" s="108"/>
      <c r="NXD117" s="108"/>
      <c r="NXE117" s="108"/>
      <c r="NXF117" s="108"/>
      <c r="NXG117" s="108"/>
      <c r="NXH117" s="108"/>
      <c r="NXI117" s="108"/>
      <c r="NXJ117" s="108"/>
      <c r="NXK117" s="108"/>
      <c r="NXL117" s="108"/>
      <c r="NXM117" s="108"/>
      <c r="NXN117" s="108"/>
      <c r="NXO117" s="108"/>
      <c r="NXP117" s="108"/>
      <c r="NXQ117" s="108"/>
      <c r="NXR117" s="108"/>
      <c r="NXS117" s="108"/>
      <c r="NXT117" s="108"/>
      <c r="NXU117" s="108"/>
      <c r="NXV117" s="108"/>
      <c r="NXW117" s="108"/>
      <c r="NXX117" s="108"/>
      <c r="NXY117" s="108"/>
      <c r="NXZ117" s="108"/>
      <c r="NYA117" s="108"/>
      <c r="NYB117" s="108"/>
      <c r="NYC117" s="108"/>
      <c r="NYD117" s="108"/>
      <c r="NYE117" s="108"/>
      <c r="NYF117" s="108"/>
      <c r="NYG117" s="108"/>
      <c r="NYH117" s="108"/>
      <c r="NYI117" s="108"/>
      <c r="NYJ117" s="108"/>
      <c r="NYK117" s="108"/>
      <c r="NYL117" s="108"/>
      <c r="NYM117" s="108"/>
      <c r="NYN117" s="108"/>
      <c r="NYO117" s="108"/>
      <c r="NYP117" s="108"/>
      <c r="NYQ117" s="108"/>
      <c r="NYR117" s="108"/>
      <c r="NYS117" s="108"/>
      <c r="NYT117" s="108"/>
      <c r="NYU117" s="108"/>
      <c r="NYV117" s="108"/>
      <c r="NYW117" s="108"/>
      <c r="NYX117" s="108"/>
      <c r="NYY117" s="108"/>
      <c r="NYZ117" s="108"/>
      <c r="NZA117" s="108"/>
      <c r="NZB117" s="108"/>
      <c r="NZC117" s="108"/>
      <c r="NZD117" s="108"/>
      <c r="NZE117" s="108"/>
      <c r="NZF117" s="108"/>
      <c r="NZG117" s="108"/>
      <c r="NZH117" s="108"/>
      <c r="NZI117" s="108"/>
      <c r="NZJ117" s="108"/>
      <c r="NZK117" s="108"/>
      <c r="NZL117" s="108"/>
      <c r="NZM117" s="108"/>
      <c r="NZN117" s="108"/>
      <c r="NZO117" s="108"/>
      <c r="NZP117" s="108"/>
      <c r="NZQ117" s="108"/>
      <c r="NZR117" s="108"/>
      <c r="NZS117" s="108"/>
      <c r="NZT117" s="108"/>
      <c r="NZU117" s="108"/>
      <c r="NZV117" s="108"/>
      <c r="NZW117" s="108"/>
      <c r="NZX117" s="108"/>
      <c r="NZY117" s="108"/>
      <c r="NZZ117" s="108"/>
      <c r="OAA117" s="108"/>
      <c r="OAB117" s="108"/>
      <c r="OAC117" s="108"/>
      <c r="OAD117" s="108"/>
      <c r="OAE117" s="108"/>
      <c r="OAF117" s="108"/>
      <c r="OAG117" s="108"/>
      <c r="OAH117" s="108"/>
      <c r="OAI117" s="108"/>
      <c r="OAJ117" s="108"/>
      <c r="OAK117" s="108"/>
      <c r="OAL117" s="108"/>
      <c r="OAM117" s="108"/>
      <c r="OAN117" s="108"/>
      <c r="OAO117" s="108"/>
      <c r="OAP117" s="108"/>
      <c r="OAQ117" s="108"/>
      <c r="OAR117" s="108"/>
      <c r="OAS117" s="108"/>
      <c r="OAT117" s="108"/>
      <c r="OAU117" s="108"/>
      <c r="OAV117" s="108"/>
      <c r="OAW117" s="108"/>
      <c r="OAX117" s="108"/>
      <c r="OAY117" s="108"/>
      <c r="OAZ117" s="108"/>
      <c r="OBA117" s="108"/>
      <c r="OBB117" s="108"/>
      <c r="OBC117" s="108"/>
      <c r="OBD117" s="108"/>
      <c r="OBE117" s="108"/>
      <c r="OBF117" s="108"/>
      <c r="OBG117" s="108"/>
      <c r="OBH117" s="108"/>
      <c r="OBI117" s="108"/>
      <c r="OBJ117" s="108"/>
      <c r="OBK117" s="108"/>
      <c r="OBL117" s="108"/>
      <c r="OBM117" s="108"/>
      <c r="OBN117" s="108"/>
      <c r="OBO117" s="108"/>
      <c r="OBP117" s="108"/>
      <c r="OBQ117" s="108"/>
      <c r="OBR117" s="108"/>
      <c r="OBS117" s="108"/>
      <c r="OBT117" s="108"/>
      <c r="OBU117" s="108"/>
      <c r="OBV117" s="108"/>
      <c r="OBW117" s="108"/>
      <c r="OBX117" s="108"/>
      <c r="OBY117" s="108"/>
      <c r="OBZ117" s="108"/>
      <c r="OCA117" s="108"/>
      <c r="OCB117" s="108"/>
      <c r="OCC117" s="108"/>
      <c r="OCD117" s="108"/>
      <c r="OCE117" s="108"/>
      <c r="OCF117" s="108"/>
      <c r="OCG117" s="108"/>
      <c r="OCH117" s="108"/>
      <c r="OCI117" s="108"/>
      <c r="OCJ117" s="108"/>
      <c r="OCK117" s="108"/>
      <c r="OCL117" s="108"/>
      <c r="OCM117" s="108"/>
      <c r="OCN117" s="108"/>
      <c r="OCO117" s="108"/>
      <c r="OCP117" s="108"/>
      <c r="OCQ117" s="108"/>
      <c r="OCR117" s="108"/>
      <c r="OCS117" s="108"/>
      <c r="OCT117" s="108"/>
      <c r="OCU117" s="108"/>
      <c r="OCV117" s="108"/>
      <c r="OCW117" s="108"/>
      <c r="OCX117" s="108"/>
      <c r="OCY117" s="108"/>
      <c r="OCZ117" s="108"/>
      <c r="ODA117" s="108"/>
      <c r="ODB117" s="108"/>
      <c r="ODC117" s="108"/>
      <c r="ODD117" s="108"/>
      <c r="ODE117" s="108"/>
      <c r="ODF117" s="108"/>
      <c r="ODG117" s="108"/>
      <c r="ODH117" s="108"/>
      <c r="ODI117" s="108"/>
      <c r="ODJ117" s="108"/>
      <c r="ODK117" s="108"/>
      <c r="ODL117" s="108"/>
      <c r="ODM117" s="108"/>
      <c r="ODN117" s="108"/>
      <c r="ODO117" s="108"/>
      <c r="ODP117" s="108"/>
      <c r="ODQ117" s="108"/>
      <c r="ODR117" s="108"/>
      <c r="ODS117" s="108"/>
      <c r="ODT117" s="108"/>
      <c r="ODU117" s="108"/>
      <c r="ODV117" s="108"/>
      <c r="ODW117" s="108"/>
      <c r="ODX117" s="108"/>
      <c r="ODY117" s="108"/>
      <c r="ODZ117" s="108"/>
      <c r="OEA117" s="108"/>
      <c r="OEB117" s="108"/>
      <c r="OEC117" s="108"/>
      <c r="OED117" s="108"/>
      <c r="OEE117" s="108"/>
      <c r="OEF117" s="108"/>
      <c r="OEG117" s="108"/>
      <c r="OEH117" s="108"/>
      <c r="OEI117" s="108"/>
      <c r="OEJ117" s="108"/>
      <c r="OEK117" s="108"/>
      <c r="OEL117" s="108"/>
      <c r="OEM117" s="108"/>
      <c r="OEN117" s="108"/>
      <c r="OEO117" s="108"/>
      <c r="OEP117" s="108"/>
      <c r="OEQ117" s="108"/>
      <c r="OER117" s="108"/>
      <c r="OES117" s="108"/>
      <c r="OET117" s="108"/>
      <c r="OEU117" s="108"/>
      <c r="OEV117" s="108"/>
      <c r="OEW117" s="108"/>
      <c r="OEX117" s="108"/>
      <c r="OEY117" s="108"/>
      <c r="OEZ117" s="108"/>
      <c r="OFA117" s="108"/>
      <c r="OFB117" s="108"/>
      <c r="OFC117" s="108"/>
      <c r="OFD117" s="108"/>
      <c r="OFE117" s="108"/>
      <c r="OFF117" s="108"/>
      <c r="OFG117" s="108"/>
      <c r="OFH117" s="108"/>
      <c r="OFI117" s="108"/>
      <c r="OFJ117" s="108"/>
      <c r="OFK117" s="108"/>
      <c r="OFL117" s="108"/>
      <c r="OFM117" s="108"/>
      <c r="OFN117" s="108"/>
      <c r="OFO117" s="108"/>
      <c r="OFP117" s="108"/>
      <c r="OFQ117" s="108"/>
      <c r="OFR117" s="108"/>
      <c r="OFS117" s="108"/>
      <c r="OFT117" s="108"/>
      <c r="OFU117" s="108"/>
      <c r="OFV117" s="108"/>
      <c r="OFW117" s="108"/>
      <c r="OFX117" s="108"/>
      <c r="OFY117" s="108"/>
      <c r="OFZ117" s="108"/>
      <c r="OGA117" s="108"/>
      <c r="OGB117" s="108"/>
      <c r="OGC117" s="108"/>
      <c r="OGD117" s="108"/>
      <c r="OGE117" s="108"/>
      <c r="OGF117" s="108"/>
      <c r="OGG117" s="108"/>
      <c r="OGH117" s="108"/>
      <c r="OGI117" s="108"/>
      <c r="OGJ117" s="108"/>
      <c r="OGK117" s="108"/>
      <c r="OGL117" s="108"/>
      <c r="OGM117" s="108"/>
      <c r="OGN117" s="108"/>
      <c r="OGO117" s="108"/>
      <c r="OGP117" s="108"/>
      <c r="OGQ117" s="108"/>
      <c r="OGR117" s="108"/>
      <c r="OGS117" s="108"/>
      <c r="OGT117" s="108"/>
      <c r="OGU117" s="108"/>
      <c r="OGV117" s="108"/>
      <c r="OGW117" s="108"/>
      <c r="OGX117" s="108"/>
      <c r="OGY117" s="108"/>
      <c r="OGZ117" s="108"/>
      <c r="OHA117" s="108"/>
      <c r="OHB117" s="108"/>
      <c r="OHC117" s="108"/>
      <c r="OHD117" s="108"/>
      <c r="OHE117" s="108"/>
      <c r="OHF117" s="108"/>
      <c r="OHG117" s="108"/>
      <c r="OHH117" s="108"/>
      <c r="OHI117" s="108"/>
      <c r="OHJ117" s="108"/>
      <c r="OHK117" s="108"/>
      <c r="OHL117" s="108"/>
      <c r="OHM117" s="108"/>
      <c r="OHN117" s="108"/>
      <c r="OHO117" s="108"/>
      <c r="OHP117" s="108"/>
      <c r="OHQ117" s="108"/>
      <c r="OHR117" s="108"/>
      <c r="OHS117" s="108"/>
      <c r="OHT117" s="108"/>
      <c r="OHU117" s="108"/>
      <c r="OHV117" s="108"/>
      <c r="OHW117" s="108"/>
      <c r="OHX117" s="108"/>
      <c r="OHY117" s="108"/>
      <c r="OHZ117" s="108"/>
      <c r="OIA117" s="108"/>
      <c r="OIB117" s="108"/>
      <c r="OIC117" s="108"/>
      <c r="OID117" s="108"/>
      <c r="OIE117" s="108"/>
      <c r="OIF117" s="108"/>
      <c r="OIG117" s="108"/>
      <c r="OIH117" s="108"/>
      <c r="OII117" s="108"/>
      <c r="OIJ117" s="108"/>
      <c r="OIK117" s="108"/>
      <c r="OIL117" s="108"/>
      <c r="OIM117" s="108"/>
      <c r="OIN117" s="108"/>
      <c r="OIO117" s="108"/>
      <c r="OIP117" s="108"/>
      <c r="OIQ117" s="108"/>
      <c r="OIR117" s="108"/>
      <c r="OIS117" s="108"/>
      <c r="OIT117" s="108"/>
      <c r="OIU117" s="108"/>
      <c r="OIV117" s="108"/>
      <c r="OIW117" s="108"/>
      <c r="OIX117" s="108"/>
      <c r="OIY117" s="108"/>
      <c r="OIZ117" s="108"/>
      <c r="OJA117" s="108"/>
      <c r="OJB117" s="108"/>
      <c r="OJC117" s="108"/>
      <c r="OJD117" s="108"/>
      <c r="OJE117" s="108"/>
      <c r="OJF117" s="108"/>
      <c r="OJG117" s="108"/>
      <c r="OJH117" s="108"/>
      <c r="OJI117" s="108"/>
      <c r="OJJ117" s="108"/>
      <c r="OJK117" s="108"/>
      <c r="OJL117" s="108"/>
      <c r="OJM117" s="108"/>
      <c r="OJN117" s="108"/>
      <c r="OJO117" s="108"/>
      <c r="OJP117" s="108"/>
      <c r="OJQ117" s="108"/>
      <c r="OJR117" s="108"/>
      <c r="OJS117" s="108"/>
      <c r="OJT117" s="108"/>
      <c r="OJU117" s="108"/>
      <c r="OJV117" s="108"/>
      <c r="OJW117" s="108"/>
      <c r="OJX117" s="108"/>
      <c r="OJY117" s="108"/>
      <c r="OJZ117" s="108"/>
      <c r="OKA117" s="108"/>
      <c r="OKB117" s="108"/>
      <c r="OKC117" s="108"/>
      <c r="OKD117" s="108"/>
      <c r="OKE117" s="108"/>
      <c r="OKF117" s="108"/>
      <c r="OKG117" s="108"/>
      <c r="OKH117" s="108"/>
      <c r="OKI117" s="108"/>
      <c r="OKJ117" s="108"/>
      <c r="OKK117" s="108"/>
      <c r="OKL117" s="108"/>
      <c r="OKM117" s="108"/>
      <c r="OKN117" s="108"/>
      <c r="OKO117" s="108"/>
      <c r="OKP117" s="108"/>
      <c r="OKQ117" s="108"/>
      <c r="OKR117" s="108"/>
      <c r="OKS117" s="108"/>
      <c r="OKT117" s="108"/>
      <c r="OKU117" s="108"/>
      <c r="OKV117" s="108"/>
      <c r="OKW117" s="108"/>
      <c r="OKX117" s="108"/>
      <c r="OKY117" s="108"/>
      <c r="OKZ117" s="108"/>
      <c r="OLA117" s="108"/>
      <c r="OLB117" s="108"/>
      <c r="OLC117" s="108"/>
      <c r="OLD117" s="108"/>
      <c r="OLE117" s="108"/>
      <c r="OLF117" s="108"/>
      <c r="OLG117" s="108"/>
      <c r="OLH117" s="108"/>
      <c r="OLI117" s="108"/>
      <c r="OLJ117" s="108"/>
      <c r="OLK117" s="108"/>
      <c r="OLL117" s="108"/>
      <c r="OLM117" s="108"/>
      <c r="OLN117" s="108"/>
      <c r="OLO117" s="108"/>
      <c r="OLP117" s="108"/>
      <c r="OLQ117" s="108"/>
      <c r="OLR117" s="108"/>
      <c r="OLS117" s="108"/>
      <c r="OLT117" s="108"/>
      <c r="OLU117" s="108"/>
      <c r="OLV117" s="108"/>
      <c r="OLW117" s="108"/>
      <c r="OLX117" s="108"/>
      <c r="OLY117" s="108"/>
      <c r="OLZ117" s="108"/>
      <c r="OMA117" s="108"/>
      <c r="OMB117" s="108"/>
      <c r="OMC117" s="108"/>
      <c r="OMD117" s="108"/>
      <c r="OME117" s="108"/>
      <c r="OMF117" s="108"/>
      <c r="OMG117" s="108"/>
      <c r="OMH117" s="108"/>
      <c r="OMI117" s="108"/>
      <c r="OMJ117" s="108"/>
      <c r="OMK117" s="108"/>
      <c r="OML117" s="108"/>
      <c r="OMM117" s="108"/>
      <c r="OMN117" s="108"/>
      <c r="OMO117" s="108"/>
      <c r="OMP117" s="108"/>
      <c r="OMQ117" s="108"/>
      <c r="OMR117" s="108"/>
      <c r="OMS117" s="108"/>
      <c r="OMT117" s="108"/>
      <c r="OMU117" s="108"/>
      <c r="OMV117" s="108"/>
      <c r="OMW117" s="108"/>
      <c r="OMX117" s="108"/>
      <c r="OMY117" s="108"/>
      <c r="OMZ117" s="108"/>
      <c r="ONA117" s="108"/>
      <c r="ONB117" s="108"/>
      <c r="ONC117" s="108"/>
      <c r="OND117" s="108"/>
      <c r="ONE117" s="108"/>
      <c r="ONF117" s="108"/>
      <c r="ONG117" s="108"/>
      <c r="ONH117" s="108"/>
      <c r="ONI117" s="108"/>
      <c r="ONJ117" s="108"/>
      <c r="ONK117" s="108"/>
      <c r="ONL117" s="108"/>
      <c r="ONM117" s="108"/>
      <c r="ONN117" s="108"/>
      <c r="ONO117" s="108"/>
      <c r="ONP117" s="108"/>
      <c r="ONQ117" s="108"/>
      <c r="ONR117" s="108"/>
      <c r="ONS117" s="108"/>
      <c r="ONT117" s="108"/>
      <c r="ONU117" s="108"/>
      <c r="ONV117" s="108"/>
      <c r="ONW117" s="108"/>
      <c r="ONX117" s="108"/>
      <c r="ONY117" s="108"/>
      <c r="ONZ117" s="108"/>
      <c r="OOA117" s="108"/>
      <c r="OOB117" s="108"/>
      <c r="OOC117" s="108"/>
      <c r="OOD117" s="108"/>
      <c r="OOE117" s="108"/>
      <c r="OOF117" s="108"/>
      <c r="OOG117" s="108"/>
      <c r="OOH117" s="108"/>
      <c r="OOI117" s="108"/>
      <c r="OOJ117" s="108"/>
      <c r="OOK117" s="108"/>
      <c r="OOL117" s="108"/>
      <c r="OOM117" s="108"/>
      <c r="OON117" s="108"/>
      <c r="OOO117" s="108"/>
      <c r="OOP117" s="108"/>
      <c r="OOQ117" s="108"/>
      <c r="OOR117" s="108"/>
      <c r="OOS117" s="108"/>
      <c r="OOT117" s="108"/>
      <c r="OOU117" s="108"/>
      <c r="OOV117" s="108"/>
      <c r="OOW117" s="108"/>
      <c r="OOX117" s="108"/>
      <c r="OOY117" s="108"/>
      <c r="OOZ117" s="108"/>
      <c r="OPA117" s="108"/>
      <c r="OPB117" s="108"/>
      <c r="OPC117" s="108"/>
      <c r="OPD117" s="108"/>
      <c r="OPE117" s="108"/>
      <c r="OPF117" s="108"/>
      <c r="OPG117" s="108"/>
      <c r="OPH117" s="108"/>
      <c r="OPI117" s="108"/>
      <c r="OPJ117" s="108"/>
      <c r="OPK117" s="108"/>
      <c r="OPL117" s="108"/>
      <c r="OPM117" s="108"/>
      <c r="OPN117" s="108"/>
      <c r="OPO117" s="108"/>
      <c r="OPP117" s="108"/>
      <c r="OPQ117" s="108"/>
      <c r="OPR117" s="108"/>
      <c r="OPS117" s="108"/>
      <c r="OPT117" s="108"/>
      <c r="OPU117" s="108"/>
      <c r="OPV117" s="108"/>
      <c r="OPW117" s="108"/>
      <c r="OPX117" s="108"/>
      <c r="OPY117" s="108"/>
      <c r="OPZ117" s="108"/>
      <c r="OQA117" s="108"/>
      <c r="OQB117" s="108"/>
      <c r="OQC117" s="108"/>
      <c r="OQD117" s="108"/>
      <c r="OQE117" s="108"/>
      <c r="OQF117" s="108"/>
      <c r="OQG117" s="108"/>
      <c r="OQH117" s="108"/>
      <c r="OQI117" s="108"/>
      <c r="OQJ117" s="108"/>
      <c r="OQK117" s="108"/>
      <c r="OQL117" s="108"/>
      <c r="OQM117" s="108"/>
      <c r="OQN117" s="108"/>
      <c r="OQO117" s="108"/>
      <c r="OQP117" s="108"/>
      <c r="OQQ117" s="108"/>
      <c r="OQR117" s="108"/>
      <c r="OQS117" s="108"/>
      <c r="OQT117" s="108"/>
      <c r="OQU117" s="108"/>
      <c r="OQV117" s="108"/>
      <c r="OQW117" s="108"/>
      <c r="OQX117" s="108"/>
      <c r="OQY117" s="108"/>
      <c r="OQZ117" s="108"/>
      <c r="ORA117" s="108"/>
      <c r="ORB117" s="108"/>
      <c r="ORC117" s="108"/>
      <c r="ORD117" s="108"/>
      <c r="ORE117" s="108"/>
      <c r="ORF117" s="108"/>
      <c r="ORG117" s="108"/>
      <c r="ORH117" s="108"/>
      <c r="ORI117" s="108"/>
      <c r="ORJ117" s="108"/>
      <c r="ORK117" s="108"/>
      <c r="ORL117" s="108"/>
      <c r="ORM117" s="108"/>
      <c r="ORN117" s="108"/>
      <c r="ORO117" s="108"/>
      <c r="ORP117" s="108"/>
      <c r="ORQ117" s="108"/>
      <c r="ORR117" s="108"/>
      <c r="ORS117" s="108"/>
      <c r="ORT117" s="108"/>
      <c r="ORU117" s="108"/>
      <c r="ORV117" s="108"/>
      <c r="ORW117" s="108"/>
      <c r="ORX117" s="108"/>
      <c r="ORY117" s="108"/>
      <c r="ORZ117" s="108"/>
      <c r="OSA117" s="108"/>
      <c r="OSB117" s="108"/>
      <c r="OSC117" s="108"/>
      <c r="OSD117" s="108"/>
      <c r="OSE117" s="108"/>
      <c r="OSF117" s="108"/>
      <c r="OSG117" s="108"/>
      <c r="OSH117" s="108"/>
      <c r="OSI117" s="108"/>
      <c r="OSJ117" s="108"/>
      <c r="OSK117" s="108"/>
      <c r="OSL117" s="108"/>
      <c r="OSM117" s="108"/>
      <c r="OSN117" s="108"/>
      <c r="OSO117" s="108"/>
      <c r="OSP117" s="108"/>
      <c r="OSQ117" s="108"/>
      <c r="OSR117" s="108"/>
      <c r="OSS117" s="108"/>
      <c r="OST117" s="108"/>
      <c r="OSU117" s="108"/>
      <c r="OSV117" s="108"/>
      <c r="OSW117" s="108"/>
      <c r="OSX117" s="108"/>
      <c r="OSY117" s="108"/>
      <c r="OSZ117" s="108"/>
      <c r="OTA117" s="108"/>
      <c r="OTB117" s="108"/>
      <c r="OTC117" s="108"/>
      <c r="OTD117" s="108"/>
      <c r="OTE117" s="108"/>
      <c r="OTF117" s="108"/>
      <c r="OTG117" s="108"/>
      <c r="OTH117" s="108"/>
      <c r="OTI117" s="108"/>
      <c r="OTJ117" s="108"/>
      <c r="OTK117" s="108"/>
      <c r="OTL117" s="108"/>
      <c r="OTM117" s="108"/>
      <c r="OTN117" s="108"/>
      <c r="OTO117" s="108"/>
      <c r="OTP117" s="108"/>
      <c r="OTQ117" s="108"/>
      <c r="OTR117" s="108"/>
      <c r="OTS117" s="108"/>
      <c r="OTT117" s="108"/>
      <c r="OTU117" s="108"/>
      <c r="OTV117" s="108"/>
      <c r="OTW117" s="108"/>
      <c r="OTX117" s="108"/>
      <c r="OTY117" s="108"/>
      <c r="OTZ117" s="108"/>
      <c r="OUA117" s="108"/>
      <c r="OUB117" s="108"/>
      <c r="OUC117" s="108"/>
      <c r="OUD117" s="108"/>
      <c r="OUE117" s="108"/>
      <c r="OUF117" s="108"/>
      <c r="OUG117" s="108"/>
      <c r="OUH117" s="108"/>
      <c r="OUI117" s="108"/>
      <c r="OUJ117" s="108"/>
      <c r="OUK117" s="108"/>
      <c r="OUL117" s="108"/>
      <c r="OUM117" s="108"/>
      <c r="OUN117" s="108"/>
      <c r="OUO117" s="108"/>
      <c r="OUP117" s="108"/>
      <c r="OUQ117" s="108"/>
      <c r="OUR117" s="108"/>
      <c r="OUS117" s="108"/>
      <c r="OUT117" s="108"/>
      <c r="OUU117" s="108"/>
      <c r="OUV117" s="108"/>
      <c r="OUW117" s="108"/>
      <c r="OUX117" s="108"/>
      <c r="OUY117" s="108"/>
      <c r="OUZ117" s="108"/>
      <c r="OVA117" s="108"/>
      <c r="OVB117" s="108"/>
      <c r="OVC117" s="108"/>
      <c r="OVD117" s="108"/>
      <c r="OVE117" s="108"/>
      <c r="OVF117" s="108"/>
      <c r="OVG117" s="108"/>
      <c r="OVH117" s="108"/>
      <c r="OVI117" s="108"/>
      <c r="OVJ117" s="108"/>
      <c r="OVK117" s="108"/>
      <c r="OVL117" s="108"/>
      <c r="OVM117" s="108"/>
      <c r="OVN117" s="108"/>
      <c r="OVO117" s="108"/>
      <c r="OVP117" s="108"/>
      <c r="OVQ117" s="108"/>
      <c r="OVR117" s="108"/>
      <c r="OVS117" s="108"/>
      <c r="OVT117" s="108"/>
      <c r="OVU117" s="108"/>
      <c r="OVV117" s="108"/>
      <c r="OVW117" s="108"/>
      <c r="OVX117" s="108"/>
      <c r="OVY117" s="108"/>
      <c r="OVZ117" s="108"/>
      <c r="OWA117" s="108"/>
      <c r="OWB117" s="108"/>
      <c r="OWC117" s="108"/>
      <c r="OWD117" s="108"/>
      <c r="OWE117" s="108"/>
      <c r="OWF117" s="108"/>
      <c r="OWG117" s="108"/>
      <c r="OWH117" s="108"/>
      <c r="OWI117" s="108"/>
      <c r="OWJ117" s="108"/>
      <c r="OWK117" s="108"/>
      <c r="OWL117" s="108"/>
      <c r="OWM117" s="108"/>
      <c r="OWN117" s="108"/>
      <c r="OWO117" s="108"/>
      <c r="OWP117" s="108"/>
      <c r="OWQ117" s="108"/>
      <c r="OWR117" s="108"/>
      <c r="OWS117" s="108"/>
      <c r="OWT117" s="108"/>
      <c r="OWU117" s="108"/>
      <c r="OWV117" s="108"/>
      <c r="OWW117" s="108"/>
      <c r="OWX117" s="108"/>
      <c r="OWY117" s="108"/>
      <c r="OWZ117" s="108"/>
      <c r="OXA117" s="108"/>
      <c r="OXB117" s="108"/>
      <c r="OXC117" s="108"/>
      <c r="OXD117" s="108"/>
      <c r="OXE117" s="108"/>
      <c r="OXF117" s="108"/>
      <c r="OXG117" s="108"/>
      <c r="OXH117" s="108"/>
      <c r="OXI117" s="108"/>
      <c r="OXJ117" s="108"/>
      <c r="OXK117" s="108"/>
      <c r="OXL117" s="108"/>
      <c r="OXM117" s="108"/>
      <c r="OXN117" s="108"/>
      <c r="OXO117" s="108"/>
      <c r="OXP117" s="108"/>
      <c r="OXQ117" s="108"/>
      <c r="OXR117" s="108"/>
      <c r="OXS117" s="108"/>
      <c r="OXT117" s="108"/>
      <c r="OXU117" s="108"/>
      <c r="OXV117" s="108"/>
      <c r="OXW117" s="108"/>
      <c r="OXX117" s="108"/>
      <c r="OXY117" s="108"/>
      <c r="OXZ117" s="108"/>
      <c r="OYA117" s="108"/>
      <c r="OYB117" s="108"/>
      <c r="OYC117" s="108"/>
      <c r="OYD117" s="108"/>
      <c r="OYE117" s="108"/>
      <c r="OYF117" s="108"/>
      <c r="OYG117" s="108"/>
      <c r="OYH117" s="108"/>
      <c r="OYI117" s="108"/>
      <c r="OYJ117" s="108"/>
      <c r="OYK117" s="108"/>
      <c r="OYL117" s="108"/>
      <c r="OYM117" s="108"/>
      <c r="OYN117" s="108"/>
      <c r="OYO117" s="108"/>
      <c r="OYP117" s="108"/>
      <c r="OYQ117" s="108"/>
      <c r="OYR117" s="108"/>
      <c r="OYS117" s="108"/>
      <c r="OYT117" s="108"/>
      <c r="OYU117" s="108"/>
      <c r="OYV117" s="108"/>
      <c r="OYW117" s="108"/>
      <c r="OYX117" s="108"/>
      <c r="OYY117" s="108"/>
      <c r="OYZ117" s="108"/>
      <c r="OZA117" s="108"/>
      <c r="OZB117" s="108"/>
      <c r="OZC117" s="108"/>
      <c r="OZD117" s="108"/>
      <c r="OZE117" s="108"/>
      <c r="OZF117" s="108"/>
      <c r="OZG117" s="108"/>
      <c r="OZH117" s="108"/>
      <c r="OZI117" s="108"/>
      <c r="OZJ117" s="108"/>
      <c r="OZK117" s="108"/>
      <c r="OZL117" s="108"/>
      <c r="OZM117" s="108"/>
      <c r="OZN117" s="108"/>
      <c r="OZO117" s="108"/>
      <c r="OZP117" s="108"/>
      <c r="OZQ117" s="108"/>
      <c r="OZR117" s="108"/>
      <c r="OZS117" s="108"/>
      <c r="OZT117" s="108"/>
      <c r="OZU117" s="108"/>
      <c r="OZV117" s="108"/>
      <c r="OZW117" s="108"/>
      <c r="OZX117" s="108"/>
      <c r="OZY117" s="108"/>
      <c r="OZZ117" s="108"/>
      <c r="PAA117" s="108"/>
      <c r="PAB117" s="108"/>
      <c r="PAC117" s="108"/>
      <c r="PAD117" s="108"/>
      <c r="PAE117" s="108"/>
      <c r="PAF117" s="108"/>
      <c r="PAG117" s="108"/>
      <c r="PAH117" s="108"/>
      <c r="PAI117" s="108"/>
      <c r="PAJ117" s="108"/>
      <c r="PAK117" s="108"/>
      <c r="PAL117" s="108"/>
      <c r="PAM117" s="108"/>
      <c r="PAN117" s="108"/>
      <c r="PAO117" s="108"/>
      <c r="PAP117" s="108"/>
      <c r="PAQ117" s="108"/>
      <c r="PAR117" s="108"/>
      <c r="PAS117" s="108"/>
      <c r="PAT117" s="108"/>
      <c r="PAU117" s="108"/>
      <c r="PAV117" s="108"/>
      <c r="PAW117" s="108"/>
      <c r="PAX117" s="108"/>
      <c r="PAY117" s="108"/>
      <c r="PAZ117" s="108"/>
      <c r="PBA117" s="108"/>
      <c r="PBB117" s="108"/>
      <c r="PBC117" s="108"/>
      <c r="PBD117" s="108"/>
      <c r="PBE117" s="108"/>
      <c r="PBF117" s="108"/>
      <c r="PBG117" s="108"/>
      <c r="PBH117" s="108"/>
      <c r="PBI117" s="108"/>
      <c r="PBJ117" s="108"/>
      <c r="PBK117" s="108"/>
      <c r="PBL117" s="108"/>
      <c r="PBM117" s="108"/>
      <c r="PBN117" s="108"/>
      <c r="PBO117" s="108"/>
      <c r="PBP117" s="108"/>
      <c r="PBQ117" s="108"/>
      <c r="PBR117" s="108"/>
      <c r="PBS117" s="108"/>
      <c r="PBT117" s="108"/>
      <c r="PBU117" s="108"/>
      <c r="PBV117" s="108"/>
      <c r="PBW117" s="108"/>
      <c r="PBX117" s="108"/>
      <c r="PBY117" s="108"/>
      <c r="PBZ117" s="108"/>
      <c r="PCA117" s="108"/>
      <c r="PCB117" s="108"/>
      <c r="PCC117" s="108"/>
      <c r="PCD117" s="108"/>
      <c r="PCE117" s="108"/>
      <c r="PCF117" s="108"/>
      <c r="PCG117" s="108"/>
      <c r="PCH117" s="108"/>
      <c r="PCI117" s="108"/>
      <c r="PCJ117" s="108"/>
      <c r="PCK117" s="108"/>
      <c r="PCL117" s="108"/>
      <c r="PCM117" s="108"/>
      <c r="PCN117" s="108"/>
      <c r="PCO117" s="108"/>
      <c r="PCP117" s="108"/>
      <c r="PCQ117" s="108"/>
      <c r="PCR117" s="108"/>
      <c r="PCS117" s="108"/>
      <c r="PCT117" s="108"/>
      <c r="PCU117" s="108"/>
      <c r="PCV117" s="108"/>
      <c r="PCW117" s="108"/>
      <c r="PCX117" s="108"/>
      <c r="PCY117" s="108"/>
      <c r="PCZ117" s="108"/>
      <c r="PDA117" s="108"/>
      <c r="PDB117" s="108"/>
      <c r="PDC117" s="108"/>
      <c r="PDD117" s="108"/>
      <c r="PDE117" s="108"/>
      <c r="PDF117" s="108"/>
      <c r="PDG117" s="108"/>
      <c r="PDH117" s="108"/>
      <c r="PDI117" s="108"/>
      <c r="PDJ117" s="108"/>
      <c r="PDK117" s="108"/>
      <c r="PDL117" s="108"/>
      <c r="PDM117" s="108"/>
      <c r="PDN117" s="108"/>
      <c r="PDO117" s="108"/>
      <c r="PDP117" s="108"/>
      <c r="PDQ117" s="108"/>
      <c r="PDR117" s="108"/>
      <c r="PDS117" s="108"/>
      <c r="PDT117" s="108"/>
      <c r="PDU117" s="108"/>
      <c r="PDV117" s="108"/>
      <c r="PDW117" s="108"/>
      <c r="PDX117" s="108"/>
      <c r="PDY117" s="108"/>
      <c r="PDZ117" s="108"/>
      <c r="PEA117" s="108"/>
      <c r="PEB117" s="108"/>
      <c r="PEC117" s="108"/>
      <c r="PED117" s="108"/>
      <c r="PEE117" s="108"/>
      <c r="PEF117" s="108"/>
      <c r="PEG117" s="108"/>
      <c r="PEH117" s="108"/>
      <c r="PEI117" s="108"/>
      <c r="PEJ117" s="108"/>
      <c r="PEK117" s="108"/>
      <c r="PEL117" s="108"/>
      <c r="PEM117" s="108"/>
      <c r="PEN117" s="108"/>
      <c r="PEO117" s="108"/>
      <c r="PEP117" s="108"/>
      <c r="PEQ117" s="108"/>
      <c r="PER117" s="108"/>
      <c r="PES117" s="108"/>
      <c r="PET117" s="108"/>
      <c r="PEU117" s="108"/>
      <c r="PEV117" s="108"/>
      <c r="PEW117" s="108"/>
      <c r="PEX117" s="108"/>
      <c r="PEY117" s="108"/>
      <c r="PEZ117" s="108"/>
      <c r="PFA117" s="108"/>
      <c r="PFB117" s="108"/>
      <c r="PFC117" s="108"/>
      <c r="PFD117" s="108"/>
      <c r="PFE117" s="108"/>
      <c r="PFF117" s="108"/>
      <c r="PFG117" s="108"/>
      <c r="PFH117" s="108"/>
      <c r="PFI117" s="108"/>
      <c r="PFJ117" s="108"/>
      <c r="PFK117" s="108"/>
      <c r="PFL117" s="108"/>
      <c r="PFM117" s="108"/>
      <c r="PFN117" s="108"/>
      <c r="PFO117" s="108"/>
      <c r="PFP117" s="108"/>
      <c r="PFQ117" s="108"/>
      <c r="PFR117" s="108"/>
      <c r="PFS117" s="108"/>
      <c r="PFT117" s="108"/>
      <c r="PFU117" s="108"/>
      <c r="PFV117" s="108"/>
      <c r="PFW117" s="108"/>
      <c r="PFX117" s="108"/>
      <c r="PFY117" s="108"/>
      <c r="PFZ117" s="108"/>
      <c r="PGA117" s="108"/>
      <c r="PGB117" s="108"/>
      <c r="PGC117" s="108"/>
      <c r="PGD117" s="108"/>
      <c r="PGE117" s="108"/>
      <c r="PGF117" s="108"/>
      <c r="PGG117" s="108"/>
      <c r="PGH117" s="108"/>
      <c r="PGI117" s="108"/>
      <c r="PGJ117" s="108"/>
      <c r="PGK117" s="108"/>
      <c r="PGL117" s="108"/>
      <c r="PGM117" s="108"/>
      <c r="PGN117" s="108"/>
      <c r="PGO117" s="108"/>
      <c r="PGP117" s="108"/>
      <c r="PGQ117" s="108"/>
      <c r="PGR117" s="108"/>
      <c r="PGS117" s="108"/>
      <c r="PGT117" s="108"/>
      <c r="PGU117" s="108"/>
      <c r="PGV117" s="108"/>
      <c r="PGW117" s="108"/>
      <c r="PGX117" s="108"/>
      <c r="PGY117" s="108"/>
      <c r="PGZ117" s="108"/>
      <c r="PHA117" s="108"/>
      <c r="PHB117" s="108"/>
      <c r="PHC117" s="108"/>
      <c r="PHD117" s="108"/>
      <c r="PHE117" s="108"/>
      <c r="PHF117" s="108"/>
      <c r="PHG117" s="108"/>
      <c r="PHH117" s="108"/>
      <c r="PHI117" s="108"/>
      <c r="PHJ117" s="108"/>
      <c r="PHK117" s="108"/>
      <c r="PHL117" s="108"/>
      <c r="PHM117" s="108"/>
      <c r="PHN117" s="108"/>
      <c r="PHO117" s="108"/>
      <c r="PHP117" s="108"/>
      <c r="PHQ117" s="108"/>
      <c r="PHR117" s="108"/>
      <c r="PHS117" s="108"/>
      <c r="PHT117" s="108"/>
      <c r="PHU117" s="108"/>
      <c r="PHV117" s="108"/>
      <c r="PHW117" s="108"/>
      <c r="PHX117" s="108"/>
      <c r="PHY117" s="108"/>
      <c r="PHZ117" s="108"/>
      <c r="PIA117" s="108"/>
      <c r="PIB117" s="108"/>
      <c r="PIC117" s="108"/>
      <c r="PID117" s="108"/>
      <c r="PIE117" s="108"/>
      <c r="PIF117" s="108"/>
      <c r="PIG117" s="108"/>
      <c r="PIH117" s="108"/>
      <c r="PII117" s="108"/>
      <c r="PIJ117" s="108"/>
      <c r="PIK117" s="108"/>
      <c r="PIL117" s="108"/>
      <c r="PIM117" s="108"/>
      <c r="PIN117" s="108"/>
      <c r="PIO117" s="108"/>
      <c r="PIP117" s="108"/>
      <c r="PIQ117" s="108"/>
      <c r="PIR117" s="108"/>
      <c r="PIS117" s="108"/>
      <c r="PIT117" s="108"/>
      <c r="PIU117" s="108"/>
      <c r="PIV117" s="108"/>
      <c r="PIW117" s="108"/>
      <c r="PIX117" s="108"/>
      <c r="PIY117" s="108"/>
      <c r="PIZ117" s="108"/>
      <c r="PJA117" s="108"/>
      <c r="PJB117" s="108"/>
      <c r="PJC117" s="108"/>
      <c r="PJD117" s="108"/>
      <c r="PJE117" s="108"/>
      <c r="PJF117" s="108"/>
      <c r="PJG117" s="108"/>
      <c r="PJH117" s="108"/>
      <c r="PJI117" s="108"/>
      <c r="PJJ117" s="108"/>
      <c r="PJK117" s="108"/>
      <c r="PJL117" s="108"/>
      <c r="PJM117" s="108"/>
      <c r="PJN117" s="108"/>
      <c r="PJO117" s="108"/>
      <c r="PJP117" s="108"/>
      <c r="PJQ117" s="108"/>
      <c r="PJR117" s="108"/>
      <c r="PJS117" s="108"/>
      <c r="PJT117" s="108"/>
      <c r="PJU117" s="108"/>
      <c r="PJV117" s="108"/>
      <c r="PJW117" s="108"/>
      <c r="PJX117" s="108"/>
      <c r="PJY117" s="108"/>
      <c r="PJZ117" s="108"/>
      <c r="PKA117" s="108"/>
      <c r="PKB117" s="108"/>
      <c r="PKC117" s="108"/>
      <c r="PKD117" s="108"/>
      <c r="PKE117" s="108"/>
      <c r="PKF117" s="108"/>
      <c r="PKG117" s="108"/>
      <c r="PKH117" s="108"/>
      <c r="PKI117" s="108"/>
      <c r="PKJ117" s="108"/>
      <c r="PKK117" s="108"/>
      <c r="PKL117" s="108"/>
      <c r="PKM117" s="108"/>
      <c r="PKN117" s="108"/>
      <c r="PKO117" s="108"/>
      <c r="PKP117" s="108"/>
      <c r="PKQ117" s="108"/>
      <c r="PKR117" s="108"/>
      <c r="PKS117" s="108"/>
      <c r="PKT117" s="108"/>
      <c r="PKU117" s="108"/>
      <c r="PKV117" s="108"/>
      <c r="PKW117" s="108"/>
      <c r="PKX117" s="108"/>
      <c r="PKY117" s="108"/>
      <c r="PKZ117" s="108"/>
      <c r="PLA117" s="108"/>
      <c r="PLB117" s="108"/>
      <c r="PLC117" s="108"/>
      <c r="PLD117" s="108"/>
      <c r="PLE117" s="108"/>
      <c r="PLF117" s="108"/>
      <c r="PLG117" s="108"/>
      <c r="PLH117" s="108"/>
      <c r="PLI117" s="108"/>
      <c r="PLJ117" s="108"/>
      <c r="PLK117" s="108"/>
      <c r="PLL117" s="108"/>
      <c r="PLM117" s="108"/>
      <c r="PLN117" s="108"/>
      <c r="PLO117" s="108"/>
      <c r="PLP117" s="108"/>
      <c r="PLQ117" s="108"/>
      <c r="PLR117" s="108"/>
      <c r="PLS117" s="108"/>
      <c r="PLT117" s="108"/>
      <c r="PLU117" s="108"/>
      <c r="PLV117" s="108"/>
      <c r="PLW117" s="108"/>
      <c r="PLX117" s="108"/>
      <c r="PLY117" s="108"/>
      <c r="PLZ117" s="108"/>
      <c r="PMA117" s="108"/>
      <c r="PMB117" s="108"/>
      <c r="PMC117" s="108"/>
      <c r="PMD117" s="108"/>
      <c r="PME117" s="108"/>
      <c r="PMF117" s="108"/>
      <c r="PMG117" s="108"/>
      <c r="PMH117" s="108"/>
      <c r="PMI117" s="108"/>
      <c r="PMJ117" s="108"/>
      <c r="PMK117" s="108"/>
      <c r="PML117" s="108"/>
      <c r="PMM117" s="108"/>
      <c r="PMN117" s="108"/>
      <c r="PMO117" s="108"/>
      <c r="PMP117" s="108"/>
      <c r="PMQ117" s="108"/>
      <c r="PMR117" s="108"/>
      <c r="PMS117" s="108"/>
      <c r="PMT117" s="108"/>
      <c r="PMU117" s="108"/>
      <c r="PMV117" s="108"/>
      <c r="PMW117" s="108"/>
      <c r="PMX117" s="108"/>
      <c r="PMY117" s="108"/>
      <c r="PMZ117" s="108"/>
      <c r="PNA117" s="108"/>
      <c r="PNB117" s="108"/>
      <c r="PNC117" s="108"/>
      <c r="PND117" s="108"/>
      <c r="PNE117" s="108"/>
      <c r="PNF117" s="108"/>
      <c r="PNG117" s="108"/>
      <c r="PNH117" s="108"/>
      <c r="PNI117" s="108"/>
      <c r="PNJ117" s="108"/>
      <c r="PNK117" s="108"/>
      <c r="PNL117" s="108"/>
      <c r="PNM117" s="108"/>
      <c r="PNN117" s="108"/>
      <c r="PNO117" s="108"/>
      <c r="PNP117" s="108"/>
      <c r="PNQ117" s="108"/>
      <c r="PNR117" s="108"/>
      <c r="PNS117" s="108"/>
      <c r="PNT117" s="108"/>
      <c r="PNU117" s="108"/>
      <c r="PNV117" s="108"/>
      <c r="PNW117" s="108"/>
      <c r="PNX117" s="108"/>
      <c r="PNY117" s="108"/>
      <c r="PNZ117" s="108"/>
      <c r="POA117" s="108"/>
      <c r="POB117" s="108"/>
      <c r="POC117" s="108"/>
      <c r="POD117" s="108"/>
      <c r="POE117" s="108"/>
      <c r="POF117" s="108"/>
      <c r="POG117" s="108"/>
      <c r="POH117" s="108"/>
      <c r="POI117" s="108"/>
      <c r="POJ117" s="108"/>
      <c r="POK117" s="108"/>
      <c r="POL117" s="108"/>
      <c r="POM117" s="108"/>
      <c r="PON117" s="108"/>
      <c r="POO117" s="108"/>
      <c r="POP117" s="108"/>
      <c r="POQ117" s="108"/>
      <c r="POR117" s="108"/>
      <c r="POS117" s="108"/>
      <c r="POT117" s="108"/>
      <c r="POU117" s="108"/>
      <c r="POV117" s="108"/>
      <c r="POW117" s="108"/>
      <c r="POX117" s="108"/>
      <c r="POY117" s="108"/>
      <c r="POZ117" s="108"/>
      <c r="PPA117" s="108"/>
      <c r="PPB117" s="108"/>
      <c r="PPC117" s="108"/>
      <c r="PPD117" s="108"/>
      <c r="PPE117" s="108"/>
      <c r="PPF117" s="108"/>
      <c r="PPG117" s="108"/>
      <c r="PPH117" s="108"/>
      <c r="PPI117" s="108"/>
      <c r="PPJ117" s="108"/>
      <c r="PPK117" s="108"/>
      <c r="PPL117" s="108"/>
      <c r="PPM117" s="108"/>
      <c r="PPN117" s="108"/>
      <c r="PPO117" s="108"/>
      <c r="PPP117" s="108"/>
      <c r="PPQ117" s="108"/>
      <c r="PPR117" s="108"/>
      <c r="PPS117" s="108"/>
      <c r="PPT117" s="108"/>
      <c r="PPU117" s="108"/>
      <c r="PPV117" s="108"/>
      <c r="PPW117" s="108"/>
      <c r="PPX117" s="108"/>
      <c r="PPY117" s="108"/>
      <c r="PPZ117" s="108"/>
      <c r="PQA117" s="108"/>
      <c r="PQB117" s="108"/>
      <c r="PQC117" s="108"/>
      <c r="PQD117" s="108"/>
      <c r="PQE117" s="108"/>
      <c r="PQF117" s="108"/>
      <c r="PQG117" s="108"/>
      <c r="PQH117" s="108"/>
      <c r="PQI117" s="108"/>
      <c r="PQJ117" s="108"/>
      <c r="PQK117" s="108"/>
      <c r="PQL117" s="108"/>
      <c r="PQM117" s="108"/>
      <c r="PQN117" s="108"/>
      <c r="PQO117" s="108"/>
      <c r="PQP117" s="108"/>
      <c r="PQQ117" s="108"/>
      <c r="PQR117" s="108"/>
      <c r="PQS117" s="108"/>
      <c r="PQT117" s="108"/>
      <c r="PQU117" s="108"/>
      <c r="PQV117" s="108"/>
      <c r="PQW117" s="108"/>
      <c r="PQX117" s="108"/>
      <c r="PQY117" s="108"/>
      <c r="PQZ117" s="108"/>
      <c r="PRA117" s="108"/>
      <c r="PRB117" s="108"/>
      <c r="PRC117" s="108"/>
      <c r="PRD117" s="108"/>
      <c r="PRE117" s="108"/>
      <c r="PRF117" s="108"/>
      <c r="PRG117" s="108"/>
      <c r="PRH117" s="108"/>
      <c r="PRI117" s="108"/>
      <c r="PRJ117" s="108"/>
      <c r="PRK117" s="108"/>
      <c r="PRL117" s="108"/>
      <c r="PRM117" s="108"/>
      <c r="PRN117" s="108"/>
      <c r="PRO117" s="108"/>
      <c r="PRP117" s="108"/>
      <c r="PRQ117" s="108"/>
      <c r="PRR117" s="108"/>
      <c r="PRS117" s="108"/>
      <c r="PRT117" s="108"/>
      <c r="PRU117" s="108"/>
      <c r="PRV117" s="108"/>
      <c r="PRW117" s="108"/>
      <c r="PRX117" s="108"/>
      <c r="PRY117" s="108"/>
      <c r="PRZ117" s="108"/>
      <c r="PSA117" s="108"/>
      <c r="PSB117" s="108"/>
      <c r="PSC117" s="108"/>
      <c r="PSD117" s="108"/>
      <c r="PSE117" s="108"/>
      <c r="PSF117" s="108"/>
      <c r="PSG117" s="108"/>
      <c r="PSH117" s="108"/>
      <c r="PSI117" s="108"/>
      <c r="PSJ117" s="108"/>
      <c r="PSK117" s="108"/>
      <c r="PSL117" s="108"/>
      <c r="PSM117" s="108"/>
      <c r="PSN117" s="108"/>
      <c r="PSO117" s="108"/>
      <c r="PSP117" s="108"/>
      <c r="PSQ117" s="108"/>
      <c r="PSR117" s="108"/>
      <c r="PSS117" s="108"/>
      <c r="PST117" s="108"/>
      <c r="PSU117" s="108"/>
      <c r="PSV117" s="108"/>
      <c r="PSW117" s="108"/>
      <c r="PSX117" s="108"/>
      <c r="PSY117" s="108"/>
      <c r="PSZ117" s="108"/>
      <c r="PTA117" s="108"/>
      <c r="PTB117" s="108"/>
      <c r="PTC117" s="108"/>
      <c r="PTD117" s="108"/>
      <c r="PTE117" s="108"/>
      <c r="PTF117" s="108"/>
      <c r="PTG117" s="108"/>
      <c r="PTH117" s="108"/>
      <c r="PTI117" s="108"/>
      <c r="PTJ117" s="108"/>
      <c r="PTK117" s="108"/>
      <c r="PTL117" s="108"/>
      <c r="PTM117" s="108"/>
      <c r="PTN117" s="108"/>
      <c r="PTO117" s="108"/>
      <c r="PTP117" s="108"/>
      <c r="PTQ117" s="108"/>
      <c r="PTR117" s="108"/>
      <c r="PTS117" s="108"/>
      <c r="PTT117" s="108"/>
      <c r="PTU117" s="108"/>
      <c r="PTV117" s="108"/>
      <c r="PTW117" s="108"/>
      <c r="PTX117" s="108"/>
      <c r="PTY117" s="108"/>
      <c r="PTZ117" s="108"/>
      <c r="PUA117" s="108"/>
      <c r="PUB117" s="108"/>
      <c r="PUC117" s="108"/>
      <c r="PUD117" s="108"/>
      <c r="PUE117" s="108"/>
      <c r="PUF117" s="108"/>
      <c r="PUG117" s="108"/>
      <c r="PUH117" s="108"/>
      <c r="PUI117" s="108"/>
      <c r="PUJ117" s="108"/>
      <c r="PUK117" s="108"/>
      <c r="PUL117" s="108"/>
      <c r="PUM117" s="108"/>
      <c r="PUN117" s="108"/>
      <c r="PUO117" s="108"/>
      <c r="PUP117" s="108"/>
      <c r="PUQ117" s="108"/>
      <c r="PUR117" s="108"/>
      <c r="PUS117" s="108"/>
      <c r="PUT117" s="108"/>
      <c r="PUU117" s="108"/>
      <c r="PUV117" s="108"/>
      <c r="PUW117" s="108"/>
      <c r="PUX117" s="108"/>
      <c r="PUY117" s="108"/>
      <c r="PUZ117" s="108"/>
      <c r="PVA117" s="108"/>
      <c r="PVB117" s="108"/>
      <c r="PVC117" s="108"/>
      <c r="PVD117" s="108"/>
      <c r="PVE117" s="108"/>
      <c r="PVF117" s="108"/>
      <c r="PVG117" s="108"/>
      <c r="PVH117" s="108"/>
      <c r="PVI117" s="108"/>
      <c r="PVJ117" s="108"/>
      <c r="PVK117" s="108"/>
      <c r="PVL117" s="108"/>
      <c r="PVM117" s="108"/>
      <c r="PVN117" s="108"/>
      <c r="PVO117" s="108"/>
      <c r="PVP117" s="108"/>
      <c r="PVQ117" s="108"/>
      <c r="PVR117" s="108"/>
      <c r="PVS117" s="108"/>
      <c r="PVT117" s="108"/>
      <c r="PVU117" s="108"/>
      <c r="PVV117" s="108"/>
      <c r="PVW117" s="108"/>
      <c r="PVX117" s="108"/>
      <c r="PVY117" s="108"/>
      <c r="PVZ117" s="108"/>
      <c r="PWA117" s="108"/>
      <c r="PWB117" s="108"/>
      <c r="PWC117" s="108"/>
      <c r="PWD117" s="108"/>
      <c r="PWE117" s="108"/>
      <c r="PWF117" s="108"/>
      <c r="PWG117" s="108"/>
      <c r="PWH117" s="108"/>
      <c r="PWI117" s="108"/>
      <c r="PWJ117" s="108"/>
      <c r="PWK117" s="108"/>
      <c r="PWL117" s="108"/>
      <c r="PWM117" s="108"/>
      <c r="PWN117" s="108"/>
      <c r="PWO117" s="108"/>
      <c r="PWP117" s="108"/>
      <c r="PWQ117" s="108"/>
      <c r="PWR117" s="108"/>
      <c r="PWS117" s="108"/>
      <c r="PWT117" s="108"/>
      <c r="PWU117" s="108"/>
      <c r="PWV117" s="108"/>
      <c r="PWW117" s="108"/>
      <c r="PWX117" s="108"/>
      <c r="PWY117" s="108"/>
      <c r="PWZ117" s="108"/>
      <c r="PXA117" s="108"/>
      <c r="PXB117" s="108"/>
      <c r="PXC117" s="108"/>
      <c r="PXD117" s="108"/>
      <c r="PXE117" s="108"/>
      <c r="PXF117" s="108"/>
      <c r="PXG117" s="108"/>
      <c r="PXH117" s="108"/>
      <c r="PXI117" s="108"/>
      <c r="PXJ117" s="108"/>
      <c r="PXK117" s="108"/>
      <c r="PXL117" s="108"/>
      <c r="PXM117" s="108"/>
      <c r="PXN117" s="108"/>
      <c r="PXO117" s="108"/>
      <c r="PXP117" s="108"/>
      <c r="PXQ117" s="108"/>
      <c r="PXR117" s="108"/>
      <c r="PXS117" s="108"/>
      <c r="PXT117" s="108"/>
      <c r="PXU117" s="108"/>
      <c r="PXV117" s="108"/>
      <c r="PXW117" s="108"/>
      <c r="PXX117" s="108"/>
      <c r="PXY117" s="108"/>
      <c r="PXZ117" s="108"/>
      <c r="PYA117" s="108"/>
      <c r="PYB117" s="108"/>
      <c r="PYC117" s="108"/>
      <c r="PYD117" s="108"/>
      <c r="PYE117" s="108"/>
      <c r="PYF117" s="108"/>
      <c r="PYG117" s="108"/>
      <c r="PYH117" s="108"/>
      <c r="PYI117" s="108"/>
      <c r="PYJ117" s="108"/>
      <c r="PYK117" s="108"/>
      <c r="PYL117" s="108"/>
      <c r="PYM117" s="108"/>
      <c r="PYN117" s="108"/>
      <c r="PYO117" s="108"/>
      <c r="PYP117" s="108"/>
      <c r="PYQ117" s="108"/>
      <c r="PYR117" s="108"/>
      <c r="PYS117" s="108"/>
      <c r="PYT117" s="108"/>
      <c r="PYU117" s="108"/>
      <c r="PYV117" s="108"/>
      <c r="PYW117" s="108"/>
      <c r="PYX117" s="108"/>
      <c r="PYY117" s="108"/>
      <c r="PYZ117" s="108"/>
      <c r="PZA117" s="108"/>
      <c r="PZB117" s="108"/>
      <c r="PZC117" s="108"/>
      <c r="PZD117" s="108"/>
      <c r="PZE117" s="108"/>
      <c r="PZF117" s="108"/>
      <c r="PZG117" s="108"/>
      <c r="PZH117" s="108"/>
      <c r="PZI117" s="108"/>
      <c r="PZJ117" s="108"/>
      <c r="PZK117" s="108"/>
      <c r="PZL117" s="108"/>
      <c r="PZM117" s="108"/>
      <c r="PZN117" s="108"/>
      <c r="PZO117" s="108"/>
      <c r="PZP117" s="108"/>
      <c r="PZQ117" s="108"/>
      <c r="PZR117" s="108"/>
      <c r="PZS117" s="108"/>
      <c r="PZT117" s="108"/>
      <c r="PZU117" s="108"/>
      <c r="PZV117" s="108"/>
      <c r="PZW117" s="108"/>
      <c r="PZX117" s="108"/>
      <c r="PZY117" s="108"/>
      <c r="PZZ117" s="108"/>
      <c r="QAA117" s="108"/>
      <c r="QAB117" s="108"/>
      <c r="QAC117" s="108"/>
      <c r="QAD117" s="108"/>
      <c r="QAE117" s="108"/>
      <c r="QAF117" s="108"/>
      <c r="QAG117" s="108"/>
      <c r="QAH117" s="108"/>
      <c r="QAI117" s="108"/>
      <c r="QAJ117" s="108"/>
      <c r="QAK117" s="108"/>
      <c r="QAL117" s="108"/>
      <c r="QAM117" s="108"/>
      <c r="QAN117" s="108"/>
      <c r="QAO117" s="108"/>
      <c r="QAP117" s="108"/>
      <c r="QAQ117" s="108"/>
      <c r="QAR117" s="108"/>
      <c r="QAS117" s="108"/>
      <c r="QAT117" s="108"/>
      <c r="QAU117" s="108"/>
      <c r="QAV117" s="108"/>
      <c r="QAW117" s="108"/>
      <c r="QAX117" s="108"/>
      <c r="QAY117" s="108"/>
      <c r="QAZ117" s="108"/>
      <c r="QBA117" s="108"/>
      <c r="QBB117" s="108"/>
      <c r="QBC117" s="108"/>
      <c r="QBD117" s="108"/>
      <c r="QBE117" s="108"/>
      <c r="QBF117" s="108"/>
      <c r="QBG117" s="108"/>
      <c r="QBH117" s="108"/>
      <c r="QBI117" s="108"/>
      <c r="QBJ117" s="108"/>
      <c r="QBK117" s="108"/>
      <c r="QBL117" s="108"/>
      <c r="QBM117" s="108"/>
      <c r="QBN117" s="108"/>
      <c r="QBO117" s="108"/>
      <c r="QBP117" s="108"/>
      <c r="QBQ117" s="108"/>
      <c r="QBR117" s="108"/>
      <c r="QBS117" s="108"/>
      <c r="QBT117" s="108"/>
      <c r="QBU117" s="108"/>
      <c r="QBV117" s="108"/>
      <c r="QBW117" s="108"/>
      <c r="QBX117" s="108"/>
      <c r="QBY117" s="108"/>
      <c r="QBZ117" s="108"/>
      <c r="QCA117" s="108"/>
      <c r="QCB117" s="108"/>
      <c r="QCC117" s="108"/>
      <c r="QCD117" s="108"/>
      <c r="QCE117" s="108"/>
      <c r="QCF117" s="108"/>
      <c r="QCG117" s="108"/>
      <c r="QCH117" s="108"/>
      <c r="QCI117" s="108"/>
      <c r="QCJ117" s="108"/>
      <c r="QCK117" s="108"/>
      <c r="QCL117" s="108"/>
      <c r="QCM117" s="108"/>
      <c r="QCN117" s="108"/>
      <c r="QCO117" s="108"/>
      <c r="QCP117" s="108"/>
      <c r="QCQ117" s="108"/>
      <c r="QCR117" s="108"/>
      <c r="QCS117" s="108"/>
      <c r="QCT117" s="108"/>
      <c r="QCU117" s="108"/>
      <c r="QCV117" s="108"/>
      <c r="QCW117" s="108"/>
      <c r="QCX117" s="108"/>
      <c r="QCY117" s="108"/>
      <c r="QCZ117" s="108"/>
      <c r="QDA117" s="108"/>
      <c r="QDB117" s="108"/>
      <c r="QDC117" s="108"/>
      <c r="QDD117" s="108"/>
      <c r="QDE117" s="108"/>
      <c r="QDF117" s="108"/>
      <c r="QDG117" s="108"/>
      <c r="QDH117" s="108"/>
      <c r="QDI117" s="108"/>
      <c r="QDJ117" s="108"/>
      <c r="QDK117" s="108"/>
      <c r="QDL117" s="108"/>
      <c r="QDM117" s="108"/>
      <c r="QDN117" s="108"/>
      <c r="QDO117" s="108"/>
      <c r="QDP117" s="108"/>
      <c r="QDQ117" s="108"/>
      <c r="QDR117" s="108"/>
      <c r="QDS117" s="108"/>
      <c r="QDT117" s="108"/>
      <c r="QDU117" s="108"/>
      <c r="QDV117" s="108"/>
      <c r="QDW117" s="108"/>
      <c r="QDX117" s="108"/>
      <c r="QDY117" s="108"/>
      <c r="QDZ117" s="108"/>
      <c r="QEA117" s="108"/>
      <c r="QEB117" s="108"/>
      <c r="QEC117" s="108"/>
      <c r="QED117" s="108"/>
      <c r="QEE117" s="108"/>
      <c r="QEF117" s="108"/>
      <c r="QEG117" s="108"/>
      <c r="QEH117" s="108"/>
      <c r="QEI117" s="108"/>
      <c r="QEJ117" s="108"/>
      <c r="QEK117" s="108"/>
      <c r="QEL117" s="108"/>
      <c r="QEM117" s="108"/>
      <c r="QEN117" s="108"/>
      <c r="QEO117" s="108"/>
      <c r="QEP117" s="108"/>
      <c r="QEQ117" s="108"/>
      <c r="QER117" s="108"/>
      <c r="QES117" s="108"/>
      <c r="QET117" s="108"/>
      <c r="QEU117" s="108"/>
      <c r="QEV117" s="108"/>
      <c r="QEW117" s="108"/>
      <c r="QEX117" s="108"/>
      <c r="QEY117" s="108"/>
      <c r="QEZ117" s="108"/>
      <c r="QFA117" s="108"/>
      <c r="QFB117" s="108"/>
      <c r="QFC117" s="108"/>
      <c r="QFD117" s="108"/>
      <c r="QFE117" s="108"/>
      <c r="QFF117" s="108"/>
      <c r="QFG117" s="108"/>
      <c r="QFH117" s="108"/>
      <c r="QFI117" s="108"/>
      <c r="QFJ117" s="108"/>
      <c r="QFK117" s="108"/>
      <c r="QFL117" s="108"/>
      <c r="QFM117" s="108"/>
      <c r="QFN117" s="108"/>
      <c r="QFO117" s="108"/>
      <c r="QFP117" s="108"/>
      <c r="QFQ117" s="108"/>
      <c r="QFR117" s="108"/>
      <c r="QFS117" s="108"/>
      <c r="QFT117" s="108"/>
      <c r="QFU117" s="108"/>
      <c r="QFV117" s="108"/>
      <c r="QFW117" s="108"/>
      <c r="QFX117" s="108"/>
      <c r="QFY117" s="108"/>
      <c r="QFZ117" s="108"/>
      <c r="QGA117" s="108"/>
      <c r="QGB117" s="108"/>
      <c r="QGC117" s="108"/>
      <c r="QGD117" s="108"/>
      <c r="QGE117" s="108"/>
      <c r="QGF117" s="108"/>
      <c r="QGG117" s="108"/>
      <c r="QGH117" s="108"/>
      <c r="QGI117" s="108"/>
      <c r="QGJ117" s="108"/>
      <c r="QGK117" s="108"/>
      <c r="QGL117" s="108"/>
      <c r="QGM117" s="108"/>
      <c r="QGN117" s="108"/>
      <c r="QGO117" s="108"/>
      <c r="QGP117" s="108"/>
      <c r="QGQ117" s="108"/>
      <c r="QGR117" s="108"/>
      <c r="QGS117" s="108"/>
      <c r="QGT117" s="108"/>
      <c r="QGU117" s="108"/>
      <c r="QGV117" s="108"/>
      <c r="QGW117" s="108"/>
      <c r="QGX117" s="108"/>
      <c r="QGY117" s="108"/>
      <c r="QGZ117" s="108"/>
      <c r="QHA117" s="108"/>
      <c r="QHB117" s="108"/>
      <c r="QHC117" s="108"/>
      <c r="QHD117" s="108"/>
      <c r="QHE117" s="108"/>
      <c r="QHF117" s="108"/>
      <c r="QHG117" s="108"/>
      <c r="QHH117" s="108"/>
      <c r="QHI117" s="108"/>
      <c r="QHJ117" s="108"/>
      <c r="QHK117" s="108"/>
      <c r="QHL117" s="108"/>
      <c r="QHM117" s="108"/>
      <c r="QHN117" s="108"/>
      <c r="QHO117" s="108"/>
      <c r="QHP117" s="108"/>
      <c r="QHQ117" s="108"/>
      <c r="QHR117" s="108"/>
      <c r="QHS117" s="108"/>
      <c r="QHT117" s="108"/>
      <c r="QHU117" s="108"/>
      <c r="QHV117" s="108"/>
      <c r="QHW117" s="108"/>
      <c r="QHX117" s="108"/>
      <c r="QHY117" s="108"/>
      <c r="QHZ117" s="108"/>
      <c r="QIA117" s="108"/>
      <c r="QIB117" s="108"/>
      <c r="QIC117" s="108"/>
      <c r="QID117" s="108"/>
      <c r="QIE117" s="108"/>
      <c r="QIF117" s="108"/>
      <c r="QIG117" s="108"/>
      <c r="QIH117" s="108"/>
      <c r="QII117" s="108"/>
      <c r="QIJ117" s="108"/>
      <c r="QIK117" s="108"/>
      <c r="QIL117" s="108"/>
      <c r="QIM117" s="108"/>
      <c r="QIN117" s="108"/>
      <c r="QIO117" s="108"/>
      <c r="QIP117" s="108"/>
      <c r="QIQ117" s="108"/>
      <c r="QIR117" s="108"/>
      <c r="QIS117" s="108"/>
      <c r="QIT117" s="108"/>
      <c r="QIU117" s="108"/>
      <c r="QIV117" s="108"/>
      <c r="QIW117" s="108"/>
      <c r="QIX117" s="108"/>
      <c r="QIY117" s="108"/>
      <c r="QIZ117" s="108"/>
      <c r="QJA117" s="108"/>
      <c r="QJB117" s="108"/>
      <c r="QJC117" s="108"/>
      <c r="QJD117" s="108"/>
      <c r="QJE117" s="108"/>
      <c r="QJF117" s="108"/>
      <c r="QJG117" s="108"/>
      <c r="QJH117" s="108"/>
      <c r="QJI117" s="108"/>
      <c r="QJJ117" s="108"/>
      <c r="QJK117" s="108"/>
      <c r="QJL117" s="108"/>
      <c r="QJM117" s="108"/>
      <c r="QJN117" s="108"/>
      <c r="QJO117" s="108"/>
      <c r="QJP117" s="108"/>
      <c r="QJQ117" s="108"/>
      <c r="QJR117" s="108"/>
      <c r="QJS117" s="108"/>
      <c r="QJT117" s="108"/>
      <c r="QJU117" s="108"/>
      <c r="QJV117" s="108"/>
      <c r="QJW117" s="108"/>
      <c r="QJX117" s="108"/>
      <c r="QJY117" s="108"/>
      <c r="QJZ117" s="108"/>
      <c r="QKA117" s="108"/>
      <c r="QKB117" s="108"/>
      <c r="QKC117" s="108"/>
      <c r="QKD117" s="108"/>
      <c r="QKE117" s="108"/>
      <c r="QKF117" s="108"/>
      <c r="QKG117" s="108"/>
      <c r="QKH117" s="108"/>
      <c r="QKI117" s="108"/>
      <c r="QKJ117" s="108"/>
      <c r="QKK117" s="108"/>
      <c r="QKL117" s="108"/>
      <c r="QKM117" s="108"/>
      <c r="QKN117" s="108"/>
      <c r="QKO117" s="108"/>
      <c r="QKP117" s="108"/>
      <c r="QKQ117" s="108"/>
      <c r="QKR117" s="108"/>
      <c r="QKS117" s="108"/>
      <c r="QKT117" s="108"/>
      <c r="QKU117" s="108"/>
      <c r="QKV117" s="108"/>
      <c r="QKW117" s="108"/>
      <c r="QKX117" s="108"/>
      <c r="QKY117" s="108"/>
      <c r="QKZ117" s="108"/>
      <c r="QLA117" s="108"/>
      <c r="QLB117" s="108"/>
      <c r="QLC117" s="108"/>
      <c r="QLD117" s="108"/>
      <c r="QLE117" s="108"/>
      <c r="QLF117" s="108"/>
      <c r="QLG117" s="108"/>
      <c r="QLH117" s="108"/>
      <c r="QLI117" s="108"/>
      <c r="QLJ117" s="108"/>
      <c r="QLK117" s="108"/>
      <c r="QLL117" s="108"/>
      <c r="QLM117" s="108"/>
      <c r="QLN117" s="108"/>
      <c r="QLO117" s="108"/>
      <c r="QLP117" s="108"/>
      <c r="QLQ117" s="108"/>
      <c r="QLR117" s="108"/>
      <c r="QLS117" s="108"/>
      <c r="QLT117" s="108"/>
      <c r="QLU117" s="108"/>
      <c r="QLV117" s="108"/>
      <c r="QLW117" s="108"/>
      <c r="QLX117" s="108"/>
      <c r="QLY117" s="108"/>
      <c r="QLZ117" s="108"/>
      <c r="QMA117" s="108"/>
      <c r="QMB117" s="108"/>
      <c r="QMC117" s="108"/>
      <c r="QMD117" s="108"/>
      <c r="QME117" s="108"/>
      <c r="QMF117" s="108"/>
      <c r="QMG117" s="108"/>
      <c r="QMH117" s="108"/>
      <c r="QMI117" s="108"/>
      <c r="QMJ117" s="108"/>
      <c r="QMK117" s="108"/>
      <c r="QML117" s="108"/>
      <c r="QMM117" s="108"/>
      <c r="QMN117" s="108"/>
      <c r="QMO117" s="108"/>
      <c r="QMP117" s="108"/>
      <c r="QMQ117" s="108"/>
      <c r="QMR117" s="108"/>
      <c r="QMS117" s="108"/>
      <c r="QMT117" s="108"/>
      <c r="QMU117" s="108"/>
      <c r="QMV117" s="108"/>
      <c r="QMW117" s="108"/>
      <c r="QMX117" s="108"/>
      <c r="QMY117" s="108"/>
      <c r="QMZ117" s="108"/>
      <c r="QNA117" s="108"/>
      <c r="QNB117" s="108"/>
      <c r="QNC117" s="108"/>
      <c r="QND117" s="108"/>
      <c r="QNE117" s="108"/>
      <c r="QNF117" s="108"/>
      <c r="QNG117" s="108"/>
      <c r="QNH117" s="108"/>
      <c r="QNI117" s="108"/>
      <c r="QNJ117" s="108"/>
      <c r="QNK117" s="108"/>
      <c r="QNL117" s="108"/>
      <c r="QNM117" s="108"/>
      <c r="QNN117" s="108"/>
      <c r="QNO117" s="108"/>
      <c r="QNP117" s="108"/>
      <c r="QNQ117" s="108"/>
      <c r="QNR117" s="108"/>
      <c r="QNS117" s="108"/>
      <c r="QNT117" s="108"/>
      <c r="QNU117" s="108"/>
      <c r="QNV117" s="108"/>
      <c r="QNW117" s="108"/>
      <c r="QNX117" s="108"/>
      <c r="QNY117" s="108"/>
      <c r="QNZ117" s="108"/>
      <c r="QOA117" s="108"/>
      <c r="QOB117" s="108"/>
      <c r="QOC117" s="108"/>
      <c r="QOD117" s="108"/>
      <c r="QOE117" s="108"/>
      <c r="QOF117" s="108"/>
      <c r="QOG117" s="108"/>
      <c r="QOH117" s="108"/>
      <c r="QOI117" s="108"/>
      <c r="QOJ117" s="108"/>
      <c r="QOK117" s="108"/>
      <c r="QOL117" s="108"/>
      <c r="QOM117" s="108"/>
      <c r="QON117" s="108"/>
      <c r="QOO117" s="108"/>
      <c r="QOP117" s="108"/>
      <c r="QOQ117" s="108"/>
      <c r="QOR117" s="108"/>
      <c r="QOS117" s="108"/>
      <c r="QOT117" s="108"/>
      <c r="QOU117" s="108"/>
      <c r="QOV117" s="108"/>
      <c r="QOW117" s="108"/>
      <c r="QOX117" s="108"/>
      <c r="QOY117" s="108"/>
      <c r="QOZ117" s="108"/>
      <c r="QPA117" s="108"/>
      <c r="QPB117" s="108"/>
      <c r="QPC117" s="108"/>
      <c r="QPD117" s="108"/>
      <c r="QPE117" s="108"/>
      <c r="QPF117" s="108"/>
      <c r="QPG117" s="108"/>
      <c r="QPH117" s="108"/>
      <c r="QPI117" s="108"/>
      <c r="QPJ117" s="108"/>
      <c r="QPK117" s="108"/>
      <c r="QPL117" s="108"/>
      <c r="QPM117" s="108"/>
      <c r="QPN117" s="108"/>
      <c r="QPO117" s="108"/>
      <c r="QPP117" s="108"/>
      <c r="QPQ117" s="108"/>
      <c r="QPR117" s="108"/>
      <c r="QPS117" s="108"/>
      <c r="QPT117" s="108"/>
      <c r="QPU117" s="108"/>
      <c r="QPV117" s="108"/>
      <c r="QPW117" s="108"/>
      <c r="QPX117" s="108"/>
      <c r="QPY117" s="108"/>
      <c r="QPZ117" s="108"/>
      <c r="QQA117" s="108"/>
      <c r="QQB117" s="108"/>
      <c r="QQC117" s="108"/>
      <c r="QQD117" s="108"/>
      <c r="QQE117" s="108"/>
      <c r="QQF117" s="108"/>
      <c r="QQG117" s="108"/>
      <c r="QQH117" s="108"/>
      <c r="QQI117" s="108"/>
      <c r="QQJ117" s="108"/>
      <c r="QQK117" s="108"/>
      <c r="QQL117" s="108"/>
      <c r="QQM117" s="108"/>
      <c r="QQN117" s="108"/>
      <c r="QQO117" s="108"/>
      <c r="QQP117" s="108"/>
      <c r="QQQ117" s="108"/>
      <c r="QQR117" s="108"/>
      <c r="QQS117" s="108"/>
      <c r="QQT117" s="108"/>
      <c r="QQU117" s="108"/>
      <c r="QQV117" s="108"/>
      <c r="QQW117" s="108"/>
      <c r="QQX117" s="108"/>
      <c r="QQY117" s="108"/>
      <c r="QQZ117" s="108"/>
      <c r="QRA117" s="108"/>
      <c r="QRB117" s="108"/>
      <c r="QRC117" s="108"/>
      <c r="QRD117" s="108"/>
      <c r="QRE117" s="108"/>
      <c r="QRF117" s="108"/>
      <c r="QRG117" s="108"/>
      <c r="QRH117" s="108"/>
      <c r="QRI117" s="108"/>
      <c r="QRJ117" s="108"/>
      <c r="QRK117" s="108"/>
      <c r="QRL117" s="108"/>
      <c r="QRM117" s="108"/>
      <c r="QRN117" s="108"/>
      <c r="QRO117" s="108"/>
      <c r="QRP117" s="108"/>
      <c r="QRQ117" s="108"/>
      <c r="QRR117" s="108"/>
      <c r="QRS117" s="108"/>
      <c r="QRT117" s="108"/>
      <c r="QRU117" s="108"/>
      <c r="QRV117" s="108"/>
      <c r="QRW117" s="108"/>
      <c r="QRX117" s="108"/>
      <c r="QRY117" s="108"/>
      <c r="QRZ117" s="108"/>
      <c r="QSA117" s="108"/>
      <c r="QSB117" s="108"/>
      <c r="QSC117" s="108"/>
      <c r="QSD117" s="108"/>
      <c r="QSE117" s="108"/>
      <c r="QSF117" s="108"/>
      <c r="QSG117" s="108"/>
      <c r="QSH117" s="108"/>
      <c r="QSI117" s="108"/>
      <c r="QSJ117" s="108"/>
      <c r="QSK117" s="108"/>
      <c r="QSL117" s="108"/>
      <c r="QSM117" s="108"/>
      <c r="QSN117" s="108"/>
      <c r="QSO117" s="108"/>
      <c r="QSP117" s="108"/>
      <c r="QSQ117" s="108"/>
      <c r="QSR117" s="108"/>
      <c r="QSS117" s="108"/>
      <c r="QST117" s="108"/>
      <c r="QSU117" s="108"/>
      <c r="QSV117" s="108"/>
      <c r="QSW117" s="108"/>
      <c r="QSX117" s="108"/>
      <c r="QSY117" s="108"/>
      <c r="QSZ117" s="108"/>
      <c r="QTA117" s="108"/>
      <c r="QTB117" s="108"/>
      <c r="QTC117" s="108"/>
      <c r="QTD117" s="108"/>
      <c r="QTE117" s="108"/>
      <c r="QTF117" s="108"/>
      <c r="QTG117" s="108"/>
      <c r="QTH117" s="108"/>
      <c r="QTI117" s="108"/>
      <c r="QTJ117" s="108"/>
      <c r="QTK117" s="108"/>
      <c r="QTL117" s="108"/>
      <c r="QTM117" s="108"/>
      <c r="QTN117" s="108"/>
      <c r="QTO117" s="108"/>
      <c r="QTP117" s="108"/>
      <c r="QTQ117" s="108"/>
      <c r="QTR117" s="108"/>
      <c r="QTS117" s="108"/>
      <c r="QTT117" s="108"/>
      <c r="QTU117" s="108"/>
      <c r="QTV117" s="108"/>
      <c r="QTW117" s="108"/>
      <c r="QTX117" s="108"/>
      <c r="QTY117" s="108"/>
      <c r="QTZ117" s="108"/>
      <c r="QUA117" s="108"/>
      <c r="QUB117" s="108"/>
      <c r="QUC117" s="108"/>
      <c r="QUD117" s="108"/>
      <c r="QUE117" s="108"/>
      <c r="QUF117" s="108"/>
      <c r="QUG117" s="108"/>
      <c r="QUH117" s="108"/>
      <c r="QUI117" s="108"/>
      <c r="QUJ117" s="108"/>
      <c r="QUK117" s="108"/>
      <c r="QUL117" s="108"/>
      <c r="QUM117" s="108"/>
      <c r="QUN117" s="108"/>
      <c r="QUO117" s="108"/>
      <c r="QUP117" s="108"/>
      <c r="QUQ117" s="108"/>
      <c r="QUR117" s="108"/>
      <c r="QUS117" s="108"/>
      <c r="QUT117" s="108"/>
      <c r="QUU117" s="108"/>
      <c r="QUV117" s="108"/>
      <c r="QUW117" s="108"/>
      <c r="QUX117" s="108"/>
      <c r="QUY117" s="108"/>
      <c r="QUZ117" s="108"/>
      <c r="QVA117" s="108"/>
      <c r="QVB117" s="108"/>
      <c r="QVC117" s="108"/>
      <c r="QVD117" s="108"/>
      <c r="QVE117" s="108"/>
      <c r="QVF117" s="108"/>
      <c r="QVG117" s="108"/>
      <c r="QVH117" s="108"/>
      <c r="QVI117" s="108"/>
      <c r="QVJ117" s="108"/>
      <c r="QVK117" s="108"/>
      <c r="QVL117" s="108"/>
      <c r="QVM117" s="108"/>
      <c r="QVN117" s="108"/>
      <c r="QVO117" s="108"/>
      <c r="QVP117" s="108"/>
      <c r="QVQ117" s="108"/>
      <c r="QVR117" s="108"/>
      <c r="QVS117" s="108"/>
      <c r="QVT117" s="108"/>
      <c r="QVU117" s="108"/>
      <c r="QVV117" s="108"/>
      <c r="QVW117" s="108"/>
      <c r="QVX117" s="108"/>
      <c r="QVY117" s="108"/>
      <c r="QVZ117" s="108"/>
      <c r="QWA117" s="108"/>
      <c r="QWB117" s="108"/>
      <c r="QWC117" s="108"/>
      <c r="QWD117" s="108"/>
      <c r="QWE117" s="108"/>
      <c r="QWF117" s="108"/>
      <c r="QWG117" s="108"/>
      <c r="QWH117" s="108"/>
      <c r="QWI117" s="108"/>
      <c r="QWJ117" s="108"/>
      <c r="QWK117" s="108"/>
      <c r="QWL117" s="108"/>
      <c r="QWM117" s="108"/>
      <c r="QWN117" s="108"/>
      <c r="QWO117" s="108"/>
      <c r="QWP117" s="108"/>
      <c r="QWQ117" s="108"/>
      <c r="QWR117" s="108"/>
      <c r="QWS117" s="108"/>
      <c r="QWT117" s="108"/>
      <c r="QWU117" s="108"/>
      <c r="QWV117" s="108"/>
      <c r="QWW117" s="108"/>
      <c r="QWX117" s="108"/>
      <c r="QWY117" s="108"/>
      <c r="QWZ117" s="108"/>
      <c r="QXA117" s="108"/>
      <c r="QXB117" s="108"/>
      <c r="QXC117" s="108"/>
      <c r="QXD117" s="108"/>
      <c r="QXE117" s="108"/>
      <c r="QXF117" s="108"/>
      <c r="QXG117" s="108"/>
      <c r="QXH117" s="108"/>
      <c r="QXI117" s="108"/>
      <c r="QXJ117" s="108"/>
      <c r="QXK117" s="108"/>
      <c r="QXL117" s="108"/>
      <c r="QXM117" s="108"/>
      <c r="QXN117" s="108"/>
      <c r="QXO117" s="108"/>
      <c r="QXP117" s="108"/>
      <c r="QXQ117" s="108"/>
      <c r="QXR117" s="108"/>
      <c r="QXS117" s="108"/>
      <c r="QXT117" s="108"/>
      <c r="QXU117" s="108"/>
      <c r="QXV117" s="108"/>
      <c r="QXW117" s="108"/>
      <c r="QXX117" s="108"/>
      <c r="QXY117" s="108"/>
      <c r="QXZ117" s="108"/>
      <c r="QYA117" s="108"/>
      <c r="QYB117" s="108"/>
      <c r="QYC117" s="108"/>
      <c r="QYD117" s="108"/>
      <c r="QYE117" s="108"/>
      <c r="QYF117" s="108"/>
      <c r="QYG117" s="108"/>
      <c r="QYH117" s="108"/>
      <c r="QYI117" s="108"/>
      <c r="QYJ117" s="108"/>
      <c r="QYK117" s="108"/>
      <c r="QYL117" s="108"/>
      <c r="QYM117" s="108"/>
      <c r="QYN117" s="108"/>
      <c r="QYO117" s="108"/>
      <c r="QYP117" s="108"/>
      <c r="QYQ117" s="108"/>
      <c r="QYR117" s="108"/>
      <c r="QYS117" s="108"/>
      <c r="QYT117" s="108"/>
      <c r="QYU117" s="108"/>
      <c r="QYV117" s="108"/>
      <c r="QYW117" s="108"/>
      <c r="QYX117" s="108"/>
      <c r="QYY117" s="108"/>
      <c r="QYZ117" s="108"/>
      <c r="QZA117" s="108"/>
      <c r="QZB117" s="108"/>
      <c r="QZC117" s="108"/>
      <c r="QZD117" s="108"/>
      <c r="QZE117" s="108"/>
      <c r="QZF117" s="108"/>
      <c r="QZG117" s="108"/>
      <c r="QZH117" s="108"/>
      <c r="QZI117" s="108"/>
      <c r="QZJ117" s="108"/>
      <c r="QZK117" s="108"/>
      <c r="QZL117" s="108"/>
      <c r="QZM117" s="108"/>
      <c r="QZN117" s="108"/>
      <c r="QZO117" s="108"/>
      <c r="QZP117" s="108"/>
      <c r="QZQ117" s="108"/>
      <c r="QZR117" s="108"/>
      <c r="QZS117" s="108"/>
      <c r="QZT117" s="108"/>
      <c r="QZU117" s="108"/>
      <c r="QZV117" s="108"/>
      <c r="QZW117" s="108"/>
      <c r="QZX117" s="108"/>
      <c r="QZY117" s="108"/>
      <c r="QZZ117" s="108"/>
      <c r="RAA117" s="108"/>
      <c r="RAB117" s="108"/>
      <c r="RAC117" s="108"/>
      <c r="RAD117" s="108"/>
      <c r="RAE117" s="108"/>
      <c r="RAF117" s="108"/>
      <c r="RAG117" s="108"/>
      <c r="RAH117" s="108"/>
      <c r="RAI117" s="108"/>
      <c r="RAJ117" s="108"/>
      <c r="RAK117" s="108"/>
      <c r="RAL117" s="108"/>
      <c r="RAM117" s="108"/>
      <c r="RAN117" s="108"/>
      <c r="RAO117" s="108"/>
      <c r="RAP117" s="108"/>
      <c r="RAQ117" s="108"/>
      <c r="RAR117" s="108"/>
      <c r="RAS117" s="108"/>
      <c r="RAT117" s="108"/>
      <c r="RAU117" s="108"/>
      <c r="RAV117" s="108"/>
      <c r="RAW117" s="108"/>
      <c r="RAX117" s="108"/>
      <c r="RAY117" s="108"/>
      <c r="RAZ117" s="108"/>
      <c r="RBA117" s="108"/>
      <c r="RBB117" s="108"/>
      <c r="RBC117" s="108"/>
      <c r="RBD117" s="108"/>
      <c r="RBE117" s="108"/>
      <c r="RBF117" s="108"/>
      <c r="RBG117" s="108"/>
      <c r="RBH117" s="108"/>
      <c r="RBI117" s="108"/>
      <c r="RBJ117" s="108"/>
      <c r="RBK117" s="108"/>
      <c r="RBL117" s="108"/>
      <c r="RBM117" s="108"/>
      <c r="RBN117" s="108"/>
      <c r="RBO117" s="108"/>
      <c r="RBP117" s="108"/>
      <c r="RBQ117" s="108"/>
      <c r="RBR117" s="108"/>
      <c r="RBS117" s="108"/>
      <c r="RBT117" s="108"/>
      <c r="RBU117" s="108"/>
      <c r="RBV117" s="108"/>
      <c r="RBW117" s="108"/>
      <c r="RBX117" s="108"/>
      <c r="RBY117" s="108"/>
      <c r="RBZ117" s="108"/>
      <c r="RCA117" s="108"/>
      <c r="RCB117" s="108"/>
      <c r="RCC117" s="108"/>
      <c r="RCD117" s="108"/>
      <c r="RCE117" s="108"/>
      <c r="RCF117" s="108"/>
      <c r="RCG117" s="108"/>
      <c r="RCH117" s="108"/>
      <c r="RCI117" s="108"/>
      <c r="RCJ117" s="108"/>
      <c r="RCK117" s="108"/>
      <c r="RCL117" s="108"/>
      <c r="RCM117" s="108"/>
      <c r="RCN117" s="108"/>
      <c r="RCO117" s="108"/>
      <c r="RCP117" s="108"/>
      <c r="RCQ117" s="108"/>
      <c r="RCR117" s="108"/>
      <c r="RCS117" s="108"/>
      <c r="RCT117" s="108"/>
      <c r="RCU117" s="108"/>
      <c r="RCV117" s="108"/>
      <c r="RCW117" s="108"/>
      <c r="RCX117" s="108"/>
      <c r="RCY117" s="108"/>
      <c r="RCZ117" s="108"/>
      <c r="RDA117" s="108"/>
      <c r="RDB117" s="108"/>
      <c r="RDC117" s="108"/>
      <c r="RDD117" s="108"/>
      <c r="RDE117" s="108"/>
      <c r="RDF117" s="108"/>
      <c r="RDG117" s="108"/>
      <c r="RDH117" s="108"/>
      <c r="RDI117" s="108"/>
      <c r="RDJ117" s="108"/>
      <c r="RDK117" s="108"/>
      <c r="RDL117" s="108"/>
      <c r="RDM117" s="108"/>
      <c r="RDN117" s="108"/>
      <c r="RDO117" s="108"/>
      <c r="RDP117" s="108"/>
      <c r="RDQ117" s="108"/>
      <c r="RDR117" s="108"/>
      <c r="RDS117" s="108"/>
      <c r="RDT117" s="108"/>
      <c r="RDU117" s="108"/>
      <c r="RDV117" s="108"/>
      <c r="RDW117" s="108"/>
      <c r="RDX117" s="108"/>
      <c r="RDY117" s="108"/>
      <c r="RDZ117" s="108"/>
      <c r="REA117" s="108"/>
      <c r="REB117" s="108"/>
      <c r="REC117" s="108"/>
      <c r="RED117" s="108"/>
      <c r="REE117" s="108"/>
      <c r="REF117" s="108"/>
      <c r="REG117" s="108"/>
      <c r="REH117" s="108"/>
      <c r="REI117" s="108"/>
      <c r="REJ117" s="108"/>
      <c r="REK117" s="108"/>
      <c r="REL117" s="108"/>
      <c r="REM117" s="108"/>
      <c r="REN117" s="108"/>
      <c r="REO117" s="108"/>
      <c r="REP117" s="108"/>
      <c r="REQ117" s="108"/>
      <c r="RER117" s="108"/>
      <c r="RES117" s="108"/>
      <c r="RET117" s="108"/>
      <c r="REU117" s="108"/>
      <c r="REV117" s="108"/>
      <c r="REW117" s="108"/>
      <c r="REX117" s="108"/>
      <c r="REY117" s="108"/>
      <c r="REZ117" s="108"/>
      <c r="RFA117" s="108"/>
      <c r="RFB117" s="108"/>
      <c r="RFC117" s="108"/>
      <c r="RFD117" s="108"/>
      <c r="RFE117" s="108"/>
      <c r="RFF117" s="108"/>
      <c r="RFG117" s="108"/>
      <c r="RFH117" s="108"/>
      <c r="RFI117" s="108"/>
      <c r="RFJ117" s="108"/>
      <c r="RFK117" s="108"/>
      <c r="RFL117" s="108"/>
      <c r="RFM117" s="108"/>
      <c r="RFN117" s="108"/>
      <c r="RFO117" s="108"/>
      <c r="RFP117" s="108"/>
      <c r="RFQ117" s="108"/>
      <c r="RFR117" s="108"/>
      <c r="RFS117" s="108"/>
      <c r="RFT117" s="108"/>
      <c r="RFU117" s="108"/>
      <c r="RFV117" s="108"/>
      <c r="RFW117" s="108"/>
      <c r="RFX117" s="108"/>
      <c r="RFY117" s="108"/>
      <c r="RFZ117" s="108"/>
      <c r="RGA117" s="108"/>
      <c r="RGB117" s="108"/>
      <c r="RGC117" s="108"/>
      <c r="RGD117" s="108"/>
      <c r="RGE117" s="108"/>
      <c r="RGF117" s="108"/>
      <c r="RGG117" s="108"/>
      <c r="RGH117" s="108"/>
      <c r="RGI117" s="108"/>
      <c r="RGJ117" s="108"/>
      <c r="RGK117" s="108"/>
      <c r="RGL117" s="108"/>
      <c r="RGM117" s="108"/>
      <c r="RGN117" s="108"/>
      <c r="RGO117" s="108"/>
      <c r="RGP117" s="108"/>
      <c r="RGQ117" s="108"/>
      <c r="RGR117" s="108"/>
      <c r="RGS117" s="108"/>
      <c r="RGT117" s="108"/>
      <c r="RGU117" s="108"/>
      <c r="RGV117" s="108"/>
      <c r="RGW117" s="108"/>
      <c r="RGX117" s="108"/>
      <c r="RGY117" s="108"/>
      <c r="RGZ117" s="108"/>
      <c r="RHA117" s="108"/>
      <c r="RHB117" s="108"/>
      <c r="RHC117" s="108"/>
      <c r="RHD117" s="108"/>
      <c r="RHE117" s="108"/>
      <c r="RHF117" s="108"/>
      <c r="RHG117" s="108"/>
      <c r="RHH117" s="108"/>
      <c r="RHI117" s="108"/>
      <c r="RHJ117" s="108"/>
      <c r="RHK117" s="108"/>
      <c r="RHL117" s="108"/>
      <c r="RHM117" s="108"/>
      <c r="RHN117" s="108"/>
      <c r="RHO117" s="108"/>
      <c r="RHP117" s="108"/>
      <c r="RHQ117" s="108"/>
      <c r="RHR117" s="108"/>
      <c r="RHS117" s="108"/>
      <c r="RHT117" s="108"/>
      <c r="RHU117" s="108"/>
      <c r="RHV117" s="108"/>
      <c r="RHW117" s="108"/>
      <c r="RHX117" s="108"/>
      <c r="RHY117" s="108"/>
      <c r="RHZ117" s="108"/>
      <c r="RIA117" s="108"/>
      <c r="RIB117" s="108"/>
      <c r="RIC117" s="108"/>
      <c r="RID117" s="108"/>
      <c r="RIE117" s="108"/>
      <c r="RIF117" s="108"/>
      <c r="RIG117" s="108"/>
      <c r="RIH117" s="108"/>
      <c r="RII117" s="108"/>
      <c r="RIJ117" s="108"/>
      <c r="RIK117" s="108"/>
      <c r="RIL117" s="108"/>
      <c r="RIM117" s="108"/>
      <c r="RIN117" s="108"/>
      <c r="RIO117" s="108"/>
      <c r="RIP117" s="108"/>
      <c r="RIQ117" s="108"/>
      <c r="RIR117" s="108"/>
      <c r="RIS117" s="108"/>
      <c r="RIT117" s="108"/>
      <c r="RIU117" s="108"/>
      <c r="RIV117" s="108"/>
      <c r="RIW117" s="108"/>
      <c r="RIX117" s="108"/>
      <c r="RIY117" s="108"/>
      <c r="RIZ117" s="108"/>
      <c r="RJA117" s="108"/>
      <c r="RJB117" s="108"/>
      <c r="RJC117" s="108"/>
      <c r="RJD117" s="108"/>
      <c r="RJE117" s="108"/>
      <c r="RJF117" s="108"/>
      <c r="RJG117" s="108"/>
      <c r="RJH117" s="108"/>
      <c r="RJI117" s="108"/>
      <c r="RJJ117" s="108"/>
      <c r="RJK117" s="108"/>
      <c r="RJL117" s="108"/>
      <c r="RJM117" s="108"/>
      <c r="RJN117" s="108"/>
      <c r="RJO117" s="108"/>
      <c r="RJP117" s="108"/>
      <c r="RJQ117" s="108"/>
      <c r="RJR117" s="108"/>
      <c r="RJS117" s="108"/>
      <c r="RJT117" s="108"/>
      <c r="RJU117" s="108"/>
      <c r="RJV117" s="108"/>
      <c r="RJW117" s="108"/>
      <c r="RJX117" s="108"/>
      <c r="RJY117" s="108"/>
      <c r="RJZ117" s="108"/>
      <c r="RKA117" s="108"/>
      <c r="RKB117" s="108"/>
      <c r="RKC117" s="108"/>
      <c r="RKD117" s="108"/>
      <c r="RKE117" s="108"/>
      <c r="RKF117" s="108"/>
      <c r="RKG117" s="108"/>
      <c r="RKH117" s="108"/>
      <c r="RKI117" s="108"/>
      <c r="RKJ117" s="108"/>
      <c r="RKK117" s="108"/>
      <c r="RKL117" s="108"/>
      <c r="RKM117" s="108"/>
      <c r="RKN117" s="108"/>
      <c r="RKO117" s="108"/>
      <c r="RKP117" s="108"/>
      <c r="RKQ117" s="108"/>
      <c r="RKR117" s="108"/>
      <c r="RKS117" s="108"/>
      <c r="RKT117" s="108"/>
      <c r="RKU117" s="108"/>
      <c r="RKV117" s="108"/>
      <c r="RKW117" s="108"/>
      <c r="RKX117" s="108"/>
      <c r="RKY117" s="108"/>
      <c r="RKZ117" s="108"/>
      <c r="RLA117" s="108"/>
      <c r="RLB117" s="108"/>
      <c r="RLC117" s="108"/>
      <c r="RLD117" s="108"/>
      <c r="RLE117" s="108"/>
      <c r="RLF117" s="108"/>
      <c r="RLG117" s="108"/>
      <c r="RLH117" s="108"/>
      <c r="RLI117" s="108"/>
      <c r="RLJ117" s="108"/>
      <c r="RLK117" s="108"/>
      <c r="RLL117" s="108"/>
      <c r="RLM117" s="108"/>
      <c r="RLN117" s="108"/>
      <c r="RLO117" s="108"/>
      <c r="RLP117" s="108"/>
      <c r="RLQ117" s="108"/>
      <c r="RLR117" s="108"/>
      <c r="RLS117" s="108"/>
      <c r="RLT117" s="108"/>
      <c r="RLU117" s="108"/>
      <c r="RLV117" s="108"/>
      <c r="RLW117" s="108"/>
      <c r="RLX117" s="108"/>
      <c r="RLY117" s="108"/>
      <c r="RLZ117" s="108"/>
      <c r="RMA117" s="108"/>
      <c r="RMB117" s="108"/>
      <c r="RMC117" s="108"/>
      <c r="RMD117" s="108"/>
      <c r="RME117" s="108"/>
      <c r="RMF117" s="108"/>
      <c r="RMG117" s="108"/>
      <c r="RMH117" s="108"/>
      <c r="RMI117" s="108"/>
      <c r="RMJ117" s="108"/>
      <c r="RMK117" s="108"/>
      <c r="RML117" s="108"/>
      <c r="RMM117" s="108"/>
      <c r="RMN117" s="108"/>
      <c r="RMO117" s="108"/>
      <c r="RMP117" s="108"/>
      <c r="RMQ117" s="108"/>
      <c r="RMR117" s="108"/>
      <c r="RMS117" s="108"/>
      <c r="RMT117" s="108"/>
      <c r="RMU117" s="108"/>
      <c r="RMV117" s="108"/>
      <c r="RMW117" s="108"/>
      <c r="RMX117" s="108"/>
      <c r="RMY117" s="108"/>
      <c r="RMZ117" s="108"/>
      <c r="RNA117" s="108"/>
      <c r="RNB117" s="108"/>
      <c r="RNC117" s="108"/>
      <c r="RND117" s="108"/>
      <c r="RNE117" s="108"/>
      <c r="RNF117" s="108"/>
      <c r="RNG117" s="108"/>
      <c r="RNH117" s="108"/>
      <c r="RNI117" s="108"/>
      <c r="RNJ117" s="108"/>
      <c r="RNK117" s="108"/>
      <c r="RNL117" s="108"/>
      <c r="RNM117" s="108"/>
      <c r="RNN117" s="108"/>
      <c r="RNO117" s="108"/>
      <c r="RNP117" s="108"/>
      <c r="RNQ117" s="108"/>
      <c r="RNR117" s="108"/>
      <c r="RNS117" s="108"/>
      <c r="RNT117" s="108"/>
      <c r="RNU117" s="108"/>
      <c r="RNV117" s="108"/>
      <c r="RNW117" s="108"/>
      <c r="RNX117" s="108"/>
      <c r="RNY117" s="108"/>
      <c r="RNZ117" s="108"/>
      <c r="ROA117" s="108"/>
      <c r="ROB117" s="108"/>
      <c r="ROC117" s="108"/>
      <c r="ROD117" s="108"/>
      <c r="ROE117" s="108"/>
      <c r="ROF117" s="108"/>
      <c r="ROG117" s="108"/>
      <c r="ROH117" s="108"/>
      <c r="ROI117" s="108"/>
      <c r="ROJ117" s="108"/>
      <c r="ROK117" s="108"/>
      <c r="ROL117" s="108"/>
      <c r="ROM117" s="108"/>
      <c r="RON117" s="108"/>
      <c r="ROO117" s="108"/>
      <c r="ROP117" s="108"/>
      <c r="ROQ117" s="108"/>
      <c r="ROR117" s="108"/>
      <c r="ROS117" s="108"/>
      <c r="ROT117" s="108"/>
      <c r="ROU117" s="108"/>
      <c r="ROV117" s="108"/>
      <c r="ROW117" s="108"/>
      <c r="ROX117" s="108"/>
      <c r="ROY117" s="108"/>
      <c r="ROZ117" s="108"/>
      <c r="RPA117" s="108"/>
      <c r="RPB117" s="108"/>
      <c r="RPC117" s="108"/>
      <c r="RPD117" s="108"/>
      <c r="RPE117" s="108"/>
      <c r="RPF117" s="108"/>
      <c r="RPG117" s="108"/>
      <c r="RPH117" s="108"/>
      <c r="RPI117" s="108"/>
      <c r="RPJ117" s="108"/>
      <c r="RPK117" s="108"/>
      <c r="RPL117" s="108"/>
      <c r="RPM117" s="108"/>
      <c r="RPN117" s="108"/>
      <c r="RPO117" s="108"/>
      <c r="RPP117" s="108"/>
      <c r="RPQ117" s="108"/>
      <c r="RPR117" s="108"/>
      <c r="RPS117" s="108"/>
      <c r="RPT117" s="108"/>
      <c r="RPU117" s="108"/>
      <c r="RPV117" s="108"/>
      <c r="RPW117" s="108"/>
      <c r="RPX117" s="108"/>
      <c r="RPY117" s="108"/>
      <c r="RPZ117" s="108"/>
      <c r="RQA117" s="108"/>
      <c r="RQB117" s="108"/>
      <c r="RQC117" s="108"/>
      <c r="RQD117" s="108"/>
      <c r="RQE117" s="108"/>
      <c r="RQF117" s="108"/>
      <c r="RQG117" s="108"/>
      <c r="RQH117" s="108"/>
      <c r="RQI117" s="108"/>
      <c r="RQJ117" s="108"/>
      <c r="RQK117" s="108"/>
      <c r="RQL117" s="108"/>
      <c r="RQM117" s="108"/>
      <c r="RQN117" s="108"/>
      <c r="RQO117" s="108"/>
      <c r="RQP117" s="108"/>
      <c r="RQQ117" s="108"/>
      <c r="RQR117" s="108"/>
      <c r="RQS117" s="108"/>
      <c r="RQT117" s="108"/>
      <c r="RQU117" s="108"/>
      <c r="RQV117" s="108"/>
      <c r="RQW117" s="108"/>
      <c r="RQX117" s="108"/>
      <c r="RQY117" s="108"/>
      <c r="RQZ117" s="108"/>
      <c r="RRA117" s="108"/>
      <c r="RRB117" s="108"/>
      <c r="RRC117" s="108"/>
      <c r="RRD117" s="108"/>
      <c r="RRE117" s="108"/>
      <c r="RRF117" s="108"/>
      <c r="RRG117" s="108"/>
      <c r="RRH117" s="108"/>
      <c r="RRI117" s="108"/>
      <c r="RRJ117" s="108"/>
      <c r="RRK117" s="108"/>
      <c r="RRL117" s="108"/>
      <c r="RRM117" s="108"/>
      <c r="RRN117" s="108"/>
      <c r="RRO117" s="108"/>
      <c r="RRP117" s="108"/>
      <c r="RRQ117" s="108"/>
      <c r="RRR117" s="108"/>
      <c r="RRS117" s="108"/>
      <c r="RRT117" s="108"/>
      <c r="RRU117" s="108"/>
      <c r="RRV117" s="108"/>
      <c r="RRW117" s="108"/>
      <c r="RRX117" s="108"/>
      <c r="RRY117" s="108"/>
      <c r="RRZ117" s="108"/>
      <c r="RSA117" s="108"/>
      <c r="RSB117" s="108"/>
      <c r="RSC117" s="108"/>
      <c r="RSD117" s="108"/>
      <c r="RSE117" s="108"/>
      <c r="RSF117" s="108"/>
      <c r="RSG117" s="108"/>
      <c r="RSH117" s="108"/>
      <c r="RSI117" s="108"/>
      <c r="RSJ117" s="108"/>
      <c r="RSK117" s="108"/>
      <c r="RSL117" s="108"/>
      <c r="RSM117" s="108"/>
      <c r="RSN117" s="108"/>
      <c r="RSO117" s="108"/>
      <c r="RSP117" s="108"/>
      <c r="RSQ117" s="108"/>
      <c r="RSR117" s="108"/>
      <c r="RSS117" s="108"/>
      <c r="RST117" s="108"/>
      <c r="RSU117" s="108"/>
      <c r="RSV117" s="108"/>
      <c r="RSW117" s="108"/>
      <c r="RSX117" s="108"/>
      <c r="RSY117" s="108"/>
      <c r="RSZ117" s="108"/>
      <c r="RTA117" s="108"/>
      <c r="RTB117" s="108"/>
      <c r="RTC117" s="108"/>
      <c r="RTD117" s="108"/>
      <c r="RTE117" s="108"/>
      <c r="RTF117" s="108"/>
      <c r="RTG117" s="108"/>
      <c r="RTH117" s="108"/>
      <c r="RTI117" s="108"/>
      <c r="RTJ117" s="108"/>
      <c r="RTK117" s="108"/>
      <c r="RTL117" s="108"/>
      <c r="RTM117" s="108"/>
      <c r="RTN117" s="108"/>
      <c r="RTO117" s="108"/>
      <c r="RTP117" s="108"/>
      <c r="RTQ117" s="108"/>
      <c r="RTR117" s="108"/>
      <c r="RTS117" s="108"/>
      <c r="RTT117" s="108"/>
      <c r="RTU117" s="108"/>
      <c r="RTV117" s="108"/>
      <c r="RTW117" s="108"/>
      <c r="RTX117" s="108"/>
      <c r="RTY117" s="108"/>
      <c r="RTZ117" s="108"/>
      <c r="RUA117" s="108"/>
      <c r="RUB117" s="108"/>
      <c r="RUC117" s="108"/>
      <c r="RUD117" s="108"/>
      <c r="RUE117" s="108"/>
      <c r="RUF117" s="108"/>
      <c r="RUG117" s="108"/>
      <c r="RUH117" s="108"/>
      <c r="RUI117" s="108"/>
      <c r="RUJ117" s="108"/>
      <c r="RUK117" s="108"/>
      <c r="RUL117" s="108"/>
      <c r="RUM117" s="108"/>
      <c r="RUN117" s="108"/>
      <c r="RUO117" s="108"/>
      <c r="RUP117" s="108"/>
      <c r="RUQ117" s="108"/>
      <c r="RUR117" s="108"/>
      <c r="RUS117" s="108"/>
      <c r="RUT117" s="108"/>
      <c r="RUU117" s="108"/>
      <c r="RUV117" s="108"/>
      <c r="RUW117" s="108"/>
      <c r="RUX117" s="108"/>
      <c r="RUY117" s="108"/>
      <c r="RUZ117" s="108"/>
      <c r="RVA117" s="108"/>
      <c r="RVB117" s="108"/>
      <c r="RVC117" s="108"/>
      <c r="RVD117" s="108"/>
      <c r="RVE117" s="108"/>
      <c r="RVF117" s="108"/>
      <c r="RVG117" s="108"/>
      <c r="RVH117" s="108"/>
      <c r="RVI117" s="108"/>
      <c r="RVJ117" s="108"/>
      <c r="RVK117" s="108"/>
      <c r="RVL117" s="108"/>
      <c r="RVM117" s="108"/>
      <c r="RVN117" s="108"/>
      <c r="RVO117" s="108"/>
      <c r="RVP117" s="108"/>
      <c r="RVQ117" s="108"/>
      <c r="RVR117" s="108"/>
      <c r="RVS117" s="108"/>
      <c r="RVT117" s="108"/>
      <c r="RVU117" s="108"/>
      <c r="RVV117" s="108"/>
      <c r="RVW117" s="108"/>
      <c r="RVX117" s="108"/>
      <c r="RVY117" s="108"/>
      <c r="RVZ117" s="108"/>
      <c r="RWA117" s="108"/>
      <c r="RWB117" s="108"/>
      <c r="RWC117" s="108"/>
      <c r="RWD117" s="108"/>
      <c r="RWE117" s="108"/>
      <c r="RWF117" s="108"/>
      <c r="RWG117" s="108"/>
      <c r="RWH117" s="108"/>
      <c r="RWI117" s="108"/>
      <c r="RWJ117" s="108"/>
      <c r="RWK117" s="108"/>
      <c r="RWL117" s="108"/>
      <c r="RWM117" s="108"/>
      <c r="RWN117" s="108"/>
      <c r="RWO117" s="108"/>
      <c r="RWP117" s="108"/>
      <c r="RWQ117" s="108"/>
      <c r="RWR117" s="108"/>
      <c r="RWS117" s="108"/>
      <c r="RWT117" s="108"/>
      <c r="RWU117" s="108"/>
      <c r="RWV117" s="108"/>
      <c r="RWW117" s="108"/>
      <c r="RWX117" s="108"/>
      <c r="RWY117" s="108"/>
      <c r="RWZ117" s="108"/>
      <c r="RXA117" s="108"/>
      <c r="RXB117" s="108"/>
      <c r="RXC117" s="108"/>
      <c r="RXD117" s="108"/>
      <c r="RXE117" s="108"/>
      <c r="RXF117" s="108"/>
      <c r="RXG117" s="108"/>
      <c r="RXH117" s="108"/>
      <c r="RXI117" s="108"/>
      <c r="RXJ117" s="108"/>
      <c r="RXK117" s="108"/>
      <c r="RXL117" s="108"/>
      <c r="RXM117" s="108"/>
      <c r="RXN117" s="108"/>
      <c r="RXO117" s="108"/>
      <c r="RXP117" s="108"/>
      <c r="RXQ117" s="108"/>
      <c r="RXR117" s="108"/>
      <c r="RXS117" s="108"/>
      <c r="RXT117" s="108"/>
      <c r="RXU117" s="108"/>
      <c r="RXV117" s="108"/>
      <c r="RXW117" s="108"/>
      <c r="RXX117" s="108"/>
      <c r="RXY117" s="108"/>
      <c r="RXZ117" s="108"/>
      <c r="RYA117" s="108"/>
      <c r="RYB117" s="108"/>
      <c r="RYC117" s="108"/>
      <c r="RYD117" s="108"/>
      <c r="RYE117" s="108"/>
      <c r="RYF117" s="108"/>
      <c r="RYG117" s="108"/>
      <c r="RYH117" s="108"/>
      <c r="RYI117" s="108"/>
      <c r="RYJ117" s="108"/>
      <c r="RYK117" s="108"/>
      <c r="RYL117" s="108"/>
      <c r="RYM117" s="108"/>
      <c r="RYN117" s="108"/>
      <c r="RYO117" s="108"/>
      <c r="RYP117" s="108"/>
      <c r="RYQ117" s="108"/>
      <c r="RYR117" s="108"/>
      <c r="RYS117" s="108"/>
      <c r="RYT117" s="108"/>
      <c r="RYU117" s="108"/>
      <c r="RYV117" s="108"/>
      <c r="RYW117" s="108"/>
      <c r="RYX117" s="108"/>
      <c r="RYY117" s="108"/>
      <c r="RYZ117" s="108"/>
      <c r="RZA117" s="108"/>
      <c r="RZB117" s="108"/>
      <c r="RZC117" s="108"/>
      <c r="RZD117" s="108"/>
      <c r="RZE117" s="108"/>
      <c r="RZF117" s="108"/>
      <c r="RZG117" s="108"/>
      <c r="RZH117" s="108"/>
      <c r="RZI117" s="108"/>
      <c r="RZJ117" s="108"/>
      <c r="RZK117" s="108"/>
      <c r="RZL117" s="108"/>
      <c r="RZM117" s="108"/>
      <c r="RZN117" s="108"/>
      <c r="RZO117" s="108"/>
      <c r="RZP117" s="108"/>
      <c r="RZQ117" s="108"/>
      <c r="RZR117" s="108"/>
      <c r="RZS117" s="108"/>
      <c r="RZT117" s="108"/>
      <c r="RZU117" s="108"/>
      <c r="RZV117" s="108"/>
      <c r="RZW117" s="108"/>
      <c r="RZX117" s="108"/>
      <c r="RZY117" s="108"/>
      <c r="RZZ117" s="108"/>
      <c r="SAA117" s="108"/>
      <c r="SAB117" s="108"/>
      <c r="SAC117" s="108"/>
      <c r="SAD117" s="108"/>
      <c r="SAE117" s="108"/>
      <c r="SAF117" s="108"/>
      <c r="SAG117" s="108"/>
      <c r="SAH117" s="108"/>
      <c r="SAI117" s="108"/>
      <c r="SAJ117" s="108"/>
      <c r="SAK117" s="108"/>
      <c r="SAL117" s="108"/>
      <c r="SAM117" s="108"/>
      <c r="SAN117" s="108"/>
      <c r="SAO117" s="108"/>
      <c r="SAP117" s="108"/>
      <c r="SAQ117" s="108"/>
      <c r="SAR117" s="108"/>
      <c r="SAS117" s="108"/>
      <c r="SAT117" s="108"/>
      <c r="SAU117" s="108"/>
      <c r="SAV117" s="108"/>
      <c r="SAW117" s="108"/>
      <c r="SAX117" s="108"/>
      <c r="SAY117" s="108"/>
      <c r="SAZ117" s="108"/>
      <c r="SBA117" s="108"/>
      <c r="SBB117" s="108"/>
      <c r="SBC117" s="108"/>
      <c r="SBD117" s="108"/>
      <c r="SBE117" s="108"/>
      <c r="SBF117" s="108"/>
      <c r="SBG117" s="108"/>
      <c r="SBH117" s="108"/>
      <c r="SBI117" s="108"/>
      <c r="SBJ117" s="108"/>
      <c r="SBK117" s="108"/>
      <c r="SBL117" s="108"/>
      <c r="SBM117" s="108"/>
      <c r="SBN117" s="108"/>
      <c r="SBO117" s="108"/>
      <c r="SBP117" s="108"/>
      <c r="SBQ117" s="108"/>
      <c r="SBR117" s="108"/>
      <c r="SBS117" s="108"/>
      <c r="SBT117" s="108"/>
      <c r="SBU117" s="108"/>
      <c r="SBV117" s="108"/>
      <c r="SBW117" s="108"/>
      <c r="SBX117" s="108"/>
      <c r="SBY117" s="108"/>
      <c r="SBZ117" s="108"/>
      <c r="SCA117" s="108"/>
      <c r="SCB117" s="108"/>
      <c r="SCC117" s="108"/>
      <c r="SCD117" s="108"/>
      <c r="SCE117" s="108"/>
      <c r="SCF117" s="108"/>
      <c r="SCG117" s="108"/>
      <c r="SCH117" s="108"/>
      <c r="SCI117" s="108"/>
      <c r="SCJ117" s="108"/>
      <c r="SCK117" s="108"/>
      <c r="SCL117" s="108"/>
      <c r="SCM117" s="108"/>
      <c r="SCN117" s="108"/>
      <c r="SCO117" s="108"/>
      <c r="SCP117" s="108"/>
      <c r="SCQ117" s="108"/>
      <c r="SCR117" s="108"/>
      <c r="SCS117" s="108"/>
      <c r="SCT117" s="108"/>
      <c r="SCU117" s="108"/>
      <c r="SCV117" s="108"/>
      <c r="SCW117" s="108"/>
      <c r="SCX117" s="108"/>
      <c r="SCY117" s="108"/>
      <c r="SCZ117" s="108"/>
      <c r="SDA117" s="108"/>
      <c r="SDB117" s="108"/>
      <c r="SDC117" s="108"/>
      <c r="SDD117" s="108"/>
      <c r="SDE117" s="108"/>
      <c r="SDF117" s="108"/>
      <c r="SDG117" s="108"/>
      <c r="SDH117" s="108"/>
      <c r="SDI117" s="108"/>
      <c r="SDJ117" s="108"/>
      <c r="SDK117" s="108"/>
      <c r="SDL117" s="108"/>
      <c r="SDM117" s="108"/>
      <c r="SDN117" s="108"/>
      <c r="SDO117" s="108"/>
      <c r="SDP117" s="108"/>
      <c r="SDQ117" s="108"/>
      <c r="SDR117" s="108"/>
      <c r="SDS117" s="108"/>
      <c r="SDT117" s="108"/>
      <c r="SDU117" s="108"/>
      <c r="SDV117" s="108"/>
      <c r="SDW117" s="108"/>
      <c r="SDX117" s="108"/>
      <c r="SDY117" s="108"/>
      <c r="SDZ117" s="108"/>
      <c r="SEA117" s="108"/>
      <c r="SEB117" s="108"/>
      <c r="SEC117" s="108"/>
      <c r="SED117" s="108"/>
      <c r="SEE117" s="108"/>
      <c r="SEF117" s="108"/>
      <c r="SEG117" s="108"/>
      <c r="SEH117" s="108"/>
      <c r="SEI117" s="108"/>
      <c r="SEJ117" s="108"/>
      <c r="SEK117" s="108"/>
      <c r="SEL117" s="108"/>
      <c r="SEM117" s="108"/>
      <c r="SEN117" s="108"/>
      <c r="SEO117" s="108"/>
      <c r="SEP117" s="108"/>
      <c r="SEQ117" s="108"/>
      <c r="SER117" s="108"/>
      <c r="SES117" s="108"/>
      <c r="SET117" s="108"/>
      <c r="SEU117" s="108"/>
      <c r="SEV117" s="108"/>
      <c r="SEW117" s="108"/>
      <c r="SEX117" s="108"/>
      <c r="SEY117" s="108"/>
      <c r="SEZ117" s="108"/>
      <c r="SFA117" s="108"/>
      <c r="SFB117" s="108"/>
      <c r="SFC117" s="108"/>
      <c r="SFD117" s="108"/>
      <c r="SFE117" s="108"/>
      <c r="SFF117" s="108"/>
      <c r="SFG117" s="108"/>
      <c r="SFH117" s="108"/>
      <c r="SFI117" s="108"/>
      <c r="SFJ117" s="108"/>
      <c r="SFK117" s="108"/>
      <c r="SFL117" s="108"/>
      <c r="SFM117" s="108"/>
      <c r="SFN117" s="108"/>
      <c r="SFO117" s="108"/>
      <c r="SFP117" s="108"/>
      <c r="SFQ117" s="108"/>
      <c r="SFR117" s="108"/>
      <c r="SFS117" s="108"/>
      <c r="SFT117" s="108"/>
      <c r="SFU117" s="108"/>
      <c r="SFV117" s="108"/>
      <c r="SFW117" s="108"/>
      <c r="SFX117" s="108"/>
      <c r="SFY117" s="108"/>
      <c r="SFZ117" s="108"/>
      <c r="SGA117" s="108"/>
      <c r="SGB117" s="108"/>
      <c r="SGC117" s="108"/>
      <c r="SGD117" s="108"/>
      <c r="SGE117" s="108"/>
      <c r="SGF117" s="108"/>
      <c r="SGG117" s="108"/>
      <c r="SGH117" s="108"/>
      <c r="SGI117" s="108"/>
      <c r="SGJ117" s="108"/>
      <c r="SGK117" s="108"/>
      <c r="SGL117" s="108"/>
      <c r="SGM117" s="108"/>
      <c r="SGN117" s="108"/>
      <c r="SGO117" s="108"/>
      <c r="SGP117" s="108"/>
      <c r="SGQ117" s="108"/>
      <c r="SGR117" s="108"/>
      <c r="SGS117" s="108"/>
      <c r="SGT117" s="108"/>
      <c r="SGU117" s="108"/>
      <c r="SGV117" s="108"/>
      <c r="SGW117" s="108"/>
      <c r="SGX117" s="108"/>
      <c r="SGY117" s="108"/>
      <c r="SGZ117" s="108"/>
      <c r="SHA117" s="108"/>
      <c r="SHB117" s="108"/>
      <c r="SHC117" s="108"/>
      <c r="SHD117" s="108"/>
      <c r="SHE117" s="108"/>
      <c r="SHF117" s="108"/>
      <c r="SHG117" s="108"/>
      <c r="SHH117" s="108"/>
      <c r="SHI117" s="108"/>
      <c r="SHJ117" s="108"/>
      <c r="SHK117" s="108"/>
      <c r="SHL117" s="108"/>
      <c r="SHM117" s="108"/>
      <c r="SHN117" s="108"/>
      <c r="SHO117" s="108"/>
      <c r="SHP117" s="108"/>
      <c r="SHQ117" s="108"/>
      <c r="SHR117" s="108"/>
      <c r="SHS117" s="108"/>
      <c r="SHT117" s="108"/>
      <c r="SHU117" s="108"/>
      <c r="SHV117" s="108"/>
      <c r="SHW117" s="108"/>
      <c r="SHX117" s="108"/>
      <c r="SHY117" s="108"/>
      <c r="SHZ117" s="108"/>
      <c r="SIA117" s="108"/>
      <c r="SIB117" s="108"/>
      <c r="SIC117" s="108"/>
      <c r="SID117" s="108"/>
      <c r="SIE117" s="108"/>
      <c r="SIF117" s="108"/>
      <c r="SIG117" s="108"/>
      <c r="SIH117" s="108"/>
      <c r="SII117" s="108"/>
      <c r="SIJ117" s="108"/>
      <c r="SIK117" s="108"/>
      <c r="SIL117" s="108"/>
      <c r="SIM117" s="108"/>
      <c r="SIN117" s="108"/>
      <c r="SIO117" s="108"/>
      <c r="SIP117" s="108"/>
      <c r="SIQ117" s="108"/>
      <c r="SIR117" s="108"/>
      <c r="SIS117" s="108"/>
      <c r="SIT117" s="108"/>
      <c r="SIU117" s="108"/>
      <c r="SIV117" s="108"/>
      <c r="SIW117" s="108"/>
      <c r="SIX117" s="108"/>
      <c r="SIY117" s="108"/>
      <c r="SIZ117" s="108"/>
      <c r="SJA117" s="108"/>
      <c r="SJB117" s="108"/>
      <c r="SJC117" s="108"/>
      <c r="SJD117" s="108"/>
      <c r="SJE117" s="108"/>
      <c r="SJF117" s="108"/>
      <c r="SJG117" s="108"/>
      <c r="SJH117" s="108"/>
      <c r="SJI117" s="108"/>
      <c r="SJJ117" s="108"/>
      <c r="SJK117" s="108"/>
      <c r="SJL117" s="108"/>
      <c r="SJM117" s="108"/>
      <c r="SJN117" s="108"/>
      <c r="SJO117" s="108"/>
      <c r="SJP117" s="108"/>
      <c r="SJQ117" s="108"/>
      <c r="SJR117" s="108"/>
      <c r="SJS117" s="108"/>
      <c r="SJT117" s="108"/>
      <c r="SJU117" s="108"/>
      <c r="SJV117" s="108"/>
      <c r="SJW117" s="108"/>
      <c r="SJX117" s="108"/>
      <c r="SJY117" s="108"/>
      <c r="SJZ117" s="108"/>
      <c r="SKA117" s="108"/>
      <c r="SKB117" s="108"/>
      <c r="SKC117" s="108"/>
      <c r="SKD117" s="108"/>
      <c r="SKE117" s="108"/>
      <c r="SKF117" s="108"/>
      <c r="SKG117" s="108"/>
      <c r="SKH117" s="108"/>
      <c r="SKI117" s="108"/>
      <c r="SKJ117" s="108"/>
      <c r="SKK117" s="108"/>
      <c r="SKL117" s="108"/>
      <c r="SKM117" s="108"/>
      <c r="SKN117" s="108"/>
      <c r="SKO117" s="108"/>
      <c r="SKP117" s="108"/>
      <c r="SKQ117" s="108"/>
      <c r="SKR117" s="108"/>
      <c r="SKS117" s="108"/>
      <c r="SKT117" s="108"/>
      <c r="SKU117" s="108"/>
      <c r="SKV117" s="108"/>
      <c r="SKW117" s="108"/>
      <c r="SKX117" s="108"/>
      <c r="SKY117" s="108"/>
      <c r="SKZ117" s="108"/>
      <c r="SLA117" s="108"/>
      <c r="SLB117" s="108"/>
      <c r="SLC117" s="108"/>
      <c r="SLD117" s="108"/>
      <c r="SLE117" s="108"/>
      <c r="SLF117" s="108"/>
      <c r="SLG117" s="108"/>
      <c r="SLH117" s="108"/>
      <c r="SLI117" s="108"/>
      <c r="SLJ117" s="108"/>
      <c r="SLK117" s="108"/>
      <c r="SLL117" s="108"/>
      <c r="SLM117" s="108"/>
      <c r="SLN117" s="108"/>
      <c r="SLO117" s="108"/>
      <c r="SLP117" s="108"/>
      <c r="SLQ117" s="108"/>
      <c r="SLR117" s="108"/>
      <c r="SLS117" s="108"/>
      <c r="SLT117" s="108"/>
      <c r="SLU117" s="108"/>
      <c r="SLV117" s="108"/>
      <c r="SLW117" s="108"/>
      <c r="SLX117" s="108"/>
      <c r="SLY117" s="108"/>
      <c r="SLZ117" s="108"/>
      <c r="SMA117" s="108"/>
      <c r="SMB117" s="108"/>
      <c r="SMC117" s="108"/>
      <c r="SMD117" s="108"/>
      <c r="SME117" s="108"/>
      <c r="SMF117" s="108"/>
      <c r="SMG117" s="108"/>
      <c r="SMH117" s="108"/>
      <c r="SMI117" s="108"/>
      <c r="SMJ117" s="108"/>
      <c r="SMK117" s="108"/>
      <c r="SML117" s="108"/>
      <c r="SMM117" s="108"/>
      <c r="SMN117" s="108"/>
      <c r="SMO117" s="108"/>
      <c r="SMP117" s="108"/>
      <c r="SMQ117" s="108"/>
      <c r="SMR117" s="108"/>
      <c r="SMS117" s="108"/>
      <c r="SMT117" s="108"/>
      <c r="SMU117" s="108"/>
      <c r="SMV117" s="108"/>
      <c r="SMW117" s="108"/>
      <c r="SMX117" s="108"/>
      <c r="SMY117" s="108"/>
      <c r="SMZ117" s="108"/>
      <c r="SNA117" s="108"/>
      <c r="SNB117" s="108"/>
      <c r="SNC117" s="108"/>
      <c r="SND117" s="108"/>
      <c r="SNE117" s="108"/>
      <c r="SNF117" s="108"/>
      <c r="SNG117" s="108"/>
      <c r="SNH117" s="108"/>
      <c r="SNI117" s="108"/>
      <c r="SNJ117" s="108"/>
      <c r="SNK117" s="108"/>
      <c r="SNL117" s="108"/>
      <c r="SNM117" s="108"/>
      <c r="SNN117" s="108"/>
      <c r="SNO117" s="108"/>
      <c r="SNP117" s="108"/>
      <c r="SNQ117" s="108"/>
      <c r="SNR117" s="108"/>
      <c r="SNS117" s="108"/>
      <c r="SNT117" s="108"/>
      <c r="SNU117" s="108"/>
      <c r="SNV117" s="108"/>
      <c r="SNW117" s="108"/>
      <c r="SNX117" s="108"/>
      <c r="SNY117" s="108"/>
      <c r="SNZ117" s="108"/>
      <c r="SOA117" s="108"/>
      <c r="SOB117" s="108"/>
      <c r="SOC117" s="108"/>
      <c r="SOD117" s="108"/>
      <c r="SOE117" s="108"/>
      <c r="SOF117" s="108"/>
      <c r="SOG117" s="108"/>
      <c r="SOH117" s="108"/>
      <c r="SOI117" s="108"/>
      <c r="SOJ117" s="108"/>
      <c r="SOK117" s="108"/>
      <c r="SOL117" s="108"/>
      <c r="SOM117" s="108"/>
      <c r="SON117" s="108"/>
      <c r="SOO117" s="108"/>
      <c r="SOP117" s="108"/>
      <c r="SOQ117" s="108"/>
      <c r="SOR117" s="108"/>
      <c r="SOS117" s="108"/>
      <c r="SOT117" s="108"/>
      <c r="SOU117" s="108"/>
      <c r="SOV117" s="108"/>
      <c r="SOW117" s="108"/>
      <c r="SOX117" s="108"/>
      <c r="SOY117" s="108"/>
      <c r="SOZ117" s="108"/>
      <c r="SPA117" s="108"/>
      <c r="SPB117" s="108"/>
      <c r="SPC117" s="108"/>
      <c r="SPD117" s="108"/>
      <c r="SPE117" s="108"/>
      <c r="SPF117" s="108"/>
      <c r="SPG117" s="108"/>
      <c r="SPH117" s="108"/>
      <c r="SPI117" s="108"/>
      <c r="SPJ117" s="108"/>
      <c r="SPK117" s="108"/>
      <c r="SPL117" s="108"/>
      <c r="SPM117" s="108"/>
      <c r="SPN117" s="108"/>
      <c r="SPO117" s="108"/>
      <c r="SPP117" s="108"/>
      <c r="SPQ117" s="108"/>
      <c r="SPR117" s="108"/>
      <c r="SPS117" s="108"/>
      <c r="SPT117" s="108"/>
      <c r="SPU117" s="108"/>
      <c r="SPV117" s="108"/>
      <c r="SPW117" s="108"/>
      <c r="SPX117" s="108"/>
      <c r="SPY117" s="108"/>
      <c r="SPZ117" s="108"/>
      <c r="SQA117" s="108"/>
      <c r="SQB117" s="108"/>
      <c r="SQC117" s="108"/>
      <c r="SQD117" s="108"/>
      <c r="SQE117" s="108"/>
      <c r="SQF117" s="108"/>
      <c r="SQG117" s="108"/>
      <c r="SQH117" s="108"/>
      <c r="SQI117" s="108"/>
      <c r="SQJ117" s="108"/>
      <c r="SQK117" s="108"/>
      <c r="SQL117" s="108"/>
      <c r="SQM117" s="108"/>
      <c r="SQN117" s="108"/>
      <c r="SQO117" s="108"/>
      <c r="SQP117" s="108"/>
      <c r="SQQ117" s="108"/>
      <c r="SQR117" s="108"/>
      <c r="SQS117" s="108"/>
      <c r="SQT117" s="108"/>
      <c r="SQU117" s="108"/>
      <c r="SQV117" s="108"/>
      <c r="SQW117" s="108"/>
      <c r="SQX117" s="108"/>
      <c r="SQY117" s="108"/>
      <c r="SQZ117" s="108"/>
      <c r="SRA117" s="108"/>
      <c r="SRB117" s="108"/>
      <c r="SRC117" s="108"/>
      <c r="SRD117" s="108"/>
      <c r="SRE117" s="108"/>
      <c r="SRF117" s="108"/>
      <c r="SRG117" s="108"/>
      <c r="SRH117" s="108"/>
      <c r="SRI117" s="108"/>
      <c r="SRJ117" s="108"/>
      <c r="SRK117" s="108"/>
      <c r="SRL117" s="108"/>
      <c r="SRM117" s="108"/>
      <c r="SRN117" s="108"/>
      <c r="SRO117" s="108"/>
      <c r="SRP117" s="108"/>
      <c r="SRQ117" s="108"/>
      <c r="SRR117" s="108"/>
      <c r="SRS117" s="108"/>
      <c r="SRT117" s="108"/>
      <c r="SRU117" s="108"/>
      <c r="SRV117" s="108"/>
      <c r="SRW117" s="108"/>
      <c r="SRX117" s="108"/>
      <c r="SRY117" s="108"/>
      <c r="SRZ117" s="108"/>
      <c r="SSA117" s="108"/>
      <c r="SSB117" s="108"/>
      <c r="SSC117" s="108"/>
      <c r="SSD117" s="108"/>
      <c r="SSE117" s="108"/>
      <c r="SSF117" s="108"/>
      <c r="SSG117" s="108"/>
      <c r="SSH117" s="108"/>
      <c r="SSI117" s="108"/>
      <c r="SSJ117" s="108"/>
      <c r="SSK117" s="108"/>
      <c r="SSL117" s="108"/>
      <c r="SSM117" s="108"/>
      <c r="SSN117" s="108"/>
      <c r="SSO117" s="108"/>
      <c r="SSP117" s="108"/>
      <c r="SSQ117" s="108"/>
      <c r="SSR117" s="108"/>
      <c r="SSS117" s="108"/>
      <c r="SST117" s="108"/>
      <c r="SSU117" s="108"/>
      <c r="SSV117" s="108"/>
      <c r="SSW117" s="108"/>
      <c r="SSX117" s="108"/>
      <c r="SSY117" s="108"/>
      <c r="SSZ117" s="108"/>
      <c r="STA117" s="108"/>
      <c r="STB117" s="108"/>
      <c r="STC117" s="108"/>
      <c r="STD117" s="108"/>
      <c r="STE117" s="108"/>
      <c r="STF117" s="108"/>
      <c r="STG117" s="108"/>
      <c r="STH117" s="108"/>
      <c r="STI117" s="108"/>
      <c r="STJ117" s="108"/>
      <c r="STK117" s="108"/>
      <c r="STL117" s="108"/>
      <c r="STM117" s="108"/>
      <c r="STN117" s="108"/>
      <c r="STO117" s="108"/>
      <c r="STP117" s="108"/>
      <c r="STQ117" s="108"/>
      <c r="STR117" s="108"/>
      <c r="STS117" s="108"/>
      <c r="STT117" s="108"/>
      <c r="STU117" s="108"/>
      <c r="STV117" s="108"/>
      <c r="STW117" s="108"/>
      <c r="STX117" s="108"/>
      <c r="STY117" s="108"/>
      <c r="STZ117" s="108"/>
      <c r="SUA117" s="108"/>
      <c r="SUB117" s="108"/>
      <c r="SUC117" s="108"/>
      <c r="SUD117" s="108"/>
      <c r="SUE117" s="108"/>
      <c r="SUF117" s="108"/>
      <c r="SUG117" s="108"/>
      <c r="SUH117" s="108"/>
      <c r="SUI117" s="108"/>
      <c r="SUJ117" s="108"/>
      <c r="SUK117" s="108"/>
      <c r="SUL117" s="108"/>
      <c r="SUM117" s="108"/>
      <c r="SUN117" s="108"/>
      <c r="SUO117" s="108"/>
      <c r="SUP117" s="108"/>
      <c r="SUQ117" s="108"/>
      <c r="SUR117" s="108"/>
      <c r="SUS117" s="108"/>
      <c r="SUT117" s="108"/>
      <c r="SUU117" s="108"/>
      <c r="SUV117" s="108"/>
      <c r="SUW117" s="108"/>
      <c r="SUX117" s="108"/>
      <c r="SUY117" s="108"/>
      <c r="SUZ117" s="108"/>
      <c r="SVA117" s="108"/>
      <c r="SVB117" s="108"/>
      <c r="SVC117" s="108"/>
      <c r="SVD117" s="108"/>
      <c r="SVE117" s="108"/>
      <c r="SVF117" s="108"/>
      <c r="SVG117" s="108"/>
      <c r="SVH117" s="108"/>
      <c r="SVI117" s="108"/>
      <c r="SVJ117" s="108"/>
      <c r="SVK117" s="108"/>
      <c r="SVL117" s="108"/>
      <c r="SVM117" s="108"/>
      <c r="SVN117" s="108"/>
      <c r="SVO117" s="108"/>
      <c r="SVP117" s="108"/>
      <c r="SVQ117" s="108"/>
      <c r="SVR117" s="108"/>
      <c r="SVS117" s="108"/>
      <c r="SVT117" s="108"/>
      <c r="SVU117" s="108"/>
      <c r="SVV117" s="108"/>
      <c r="SVW117" s="108"/>
      <c r="SVX117" s="108"/>
      <c r="SVY117" s="108"/>
      <c r="SVZ117" s="108"/>
      <c r="SWA117" s="108"/>
      <c r="SWB117" s="108"/>
      <c r="SWC117" s="108"/>
      <c r="SWD117" s="108"/>
      <c r="SWE117" s="108"/>
      <c r="SWF117" s="108"/>
      <c r="SWG117" s="108"/>
      <c r="SWH117" s="108"/>
      <c r="SWI117" s="108"/>
      <c r="SWJ117" s="108"/>
      <c r="SWK117" s="108"/>
      <c r="SWL117" s="108"/>
      <c r="SWM117" s="108"/>
      <c r="SWN117" s="108"/>
      <c r="SWO117" s="108"/>
      <c r="SWP117" s="108"/>
      <c r="SWQ117" s="108"/>
      <c r="SWR117" s="108"/>
      <c r="SWS117" s="108"/>
      <c r="SWT117" s="108"/>
      <c r="SWU117" s="108"/>
      <c r="SWV117" s="108"/>
      <c r="SWW117" s="108"/>
      <c r="SWX117" s="108"/>
      <c r="SWY117" s="108"/>
      <c r="SWZ117" s="108"/>
      <c r="SXA117" s="108"/>
      <c r="SXB117" s="108"/>
      <c r="SXC117" s="108"/>
      <c r="SXD117" s="108"/>
      <c r="SXE117" s="108"/>
      <c r="SXF117" s="108"/>
      <c r="SXG117" s="108"/>
      <c r="SXH117" s="108"/>
      <c r="SXI117" s="108"/>
      <c r="SXJ117" s="108"/>
      <c r="SXK117" s="108"/>
      <c r="SXL117" s="108"/>
      <c r="SXM117" s="108"/>
      <c r="SXN117" s="108"/>
      <c r="SXO117" s="108"/>
      <c r="SXP117" s="108"/>
      <c r="SXQ117" s="108"/>
      <c r="SXR117" s="108"/>
      <c r="SXS117" s="108"/>
      <c r="SXT117" s="108"/>
      <c r="SXU117" s="108"/>
      <c r="SXV117" s="108"/>
      <c r="SXW117" s="108"/>
      <c r="SXX117" s="108"/>
      <c r="SXY117" s="108"/>
      <c r="SXZ117" s="108"/>
      <c r="SYA117" s="108"/>
      <c r="SYB117" s="108"/>
      <c r="SYC117" s="108"/>
      <c r="SYD117" s="108"/>
      <c r="SYE117" s="108"/>
      <c r="SYF117" s="108"/>
      <c r="SYG117" s="108"/>
      <c r="SYH117" s="108"/>
      <c r="SYI117" s="108"/>
      <c r="SYJ117" s="108"/>
      <c r="SYK117" s="108"/>
      <c r="SYL117" s="108"/>
      <c r="SYM117" s="108"/>
      <c r="SYN117" s="108"/>
      <c r="SYO117" s="108"/>
      <c r="SYP117" s="108"/>
      <c r="SYQ117" s="108"/>
      <c r="SYR117" s="108"/>
      <c r="SYS117" s="108"/>
      <c r="SYT117" s="108"/>
      <c r="SYU117" s="108"/>
      <c r="SYV117" s="108"/>
      <c r="SYW117" s="108"/>
      <c r="SYX117" s="108"/>
      <c r="SYY117" s="108"/>
      <c r="SYZ117" s="108"/>
      <c r="SZA117" s="108"/>
      <c r="SZB117" s="108"/>
      <c r="SZC117" s="108"/>
      <c r="SZD117" s="108"/>
      <c r="SZE117" s="108"/>
      <c r="SZF117" s="108"/>
      <c r="SZG117" s="108"/>
      <c r="SZH117" s="108"/>
      <c r="SZI117" s="108"/>
      <c r="SZJ117" s="108"/>
      <c r="SZK117" s="108"/>
      <c r="SZL117" s="108"/>
      <c r="SZM117" s="108"/>
      <c r="SZN117" s="108"/>
      <c r="SZO117" s="108"/>
      <c r="SZP117" s="108"/>
      <c r="SZQ117" s="108"/>
      <c r="SZR117" s="108"/>
      <c r="SZS117" s="108"/>
      <c r="SZT117" s="108"/>
      <c r="SZU117" s="108"/>
      <c r="SZV117" s="108"/>
      <c r="SZW117" s="108"/>
      <c r="SZX117" s="108"/>
      <c r="SZY117" s="108"/>
      <c r="SZZ117" s="108"/>
      <c r="TAA117" s="108"/>
      <c r="TAB117" s="108"/>
      <c r="TAC117" s="108"/>
      <c r="TAD117" s="108"/>
      <c r="TAE117" s="108"/>
      <c r="TAF117" s="108"/>
      <c r="TAG117" s="108"/>
      <c r="TAH117" s="108"/>
      <c r="TAI117" s="108"/>
      <c r="TAJ117" s="108"/>
      <c r="TAK117" s="108"/>
      <c r="TAL117" s="108"/>
      <c r="TAM117" s="108"/>
      <c r="TAN117" s="108"/>
      <c r="TAO117" s="108"/>
      <c r="TAP117" s="108"/>
      <c r="TAQ117" s="108"/>
      <c r="TAR117" s="108"/>
      <c r="TAS117" s="108"/>
      <c r="TAT117" s="108"/>
      <c r="TAU117" s="108"/>
      <c r="TAV117" s="108"/>
      <c r="TAW117" s="108"/>
      <c r="TAX117" s="108"/>
      <c r="TAY117" s="108"/>
      <c r="TAZ117" s="108"/>
      <c r="TBA117" s="108"/>
      <c r="TBB117" s="108"/>
      <c r="TBC117" s="108"/>
      <c r="TBD117" s="108"/>
      <c r="TBE117" s="108"/>
      <c r="TBF117" s="108"/>
      <c r="TBG117" s="108"/>
      <c r="TBH117" s="108"/>
      <c r="TBI117" s="108"/>
      <c r="TBJ117" s="108"/>
      <c r="TBK117" s="108"/>
      <c r="TBL117" s="108"/>
      <c r="TBM117" s="108"/>
      <c r="TBN117" s="108"/>
      <c r="TBO117" s="108"/>
      <c r="TBP117" s="108"/>
      <c r="TBQ117" s="108"/>
      <c r="TBR117" s="108"/>
      <c r="TBS117" s="108"/>
      <c r="TBT117" s="108"/>
      <c r="TBU117" s="108"/>
      <c r="TBV117" s="108"/>
      <c r="TBW117" s="108"/>
      <c r="TBX117" s="108"/>
      <c r="TBY117" s="108"/>
      <c r="TBZ117" s="108"/>
      <c r="TCA117" s="108"/>
      <c r="TCB117" s="108"/>
      <c r="TCC117" s="108"/>
      <c r="TCD117" s="108"/>
      <c r="TCE117" s="108"/>
      <c r="TCF117" s="108"/>
      <c r="TCG117" s="108"/>
      <c r="TCH117" s="108"/>
      <c r="TCI117" s="108"/>
      <c r="TCJ117" s="108"/>
      <c r="TCK117" s="108"/>
      <c r="TCL117" s="108"/>
      <c r="TCM117" s="108"/>
      <c r="TCN117" s="108"/>
      <c r="TCO117" s="108"/>
      <c r="TCP117" s="108"/>
      <c r="TCQ117" s="108"/>
      <c r="TCR117" s="108"/>
      <c r="TCS117" s="108"/>
      <c r="TCT117" s="108"/>
      <c r="TCU117" s="108"/>
      <c r="TCV117" s="108"/>
      <c r="TCW117" s="108"/>
      <c r="TCX117" s="108"/>
      <c r="TCY117" s="108"/>
      <c r="TCZ117" s="108"/>
      <c r="TDA117" s="108"/>
      <c r="TDB117" s="108"/>
      <c r="TDC117" s="108"/>
      <c r="TDD117" s="108"/>
      <c r="TDE117" s="108"/>
      <c r="TDF117" s="108"/>
      <c r="TDG117" s="108"/>
      <c r="TDH117" s="108"/>
      <c r="TDI117" s="108"/>
      <c r="TDJ117" s="108"/>
      <c r="TDK117" s="108"/>
      <c r="TDL117" s="108"/>
      <c r="TDM117" s="108"/>
      <c r="TDN117" s="108"/>
      <c r="TDO117" s="108"/>
      <c r="TDP117" s="108"/>
      <c r="TDQ117" s="108"/>
      <c r="TDR117" s="108"/>
      <c r="TDS117" s="108"/>
      <c r="TDT117" s="108"/>
      <c r="TDU117" s="108"/>
      <c r="TDV117" s="108"/>
      <c r="TDW117" s="108"/>
      <c r="TDX117" s="108"/>
      <c r="TDY117" s="108"/>
      <c r="TDZ117" s="108"/>
      <c r="TEA117" s="108"/>
      <c r="TEB117" s="108"/>
      <c r="TEC117" s="108"/>
      <c r="TED117" s="108"/>
      <c r="TEE117" s="108"/>
      <c r="TEF117" s="108"/>
      <c r="TEG117" s="108"/>
      <c r="TEH117" s="108"/>
      <c r="TEI117" s="108"/>
      <c r="TEJ117" s="108"/>
      <c r="TEK117" s="108"/>
      <c r="TEL117" s="108"/>
      <c r="TEM117" s="108"/>
      <c r="TEN117" s="108"/>
      <c r="TEO117" s="108"/>
      <c r="TEP117" s="108"/>
      <c r="TEQ117" s="108"/>
      <c r="TER117" s="108"/>
      <c r="TES117" s="108"/>
      <c r="TET117" s="108"/>
      <c r="TEU117" s="108"/>
      <c r="TEV117" s="108"/>
      <c r="TEW117" s="108"/>
      <c r="TEX117" s="108"/>
      <c r="TEY117" s="108"/>
      <c r="TEZ117" s="108"/>
      <c r="TFA117" s="108"/>
      <c r="TFB117" s="108"/>
      <c r="TFC117" s="108"/>
      <c r="TFD117" s="108"/>
      <c r="TFE117" s="108"/>
      <c r="TFF117" s="108"/>
      <c r="TFG117" s="108"/>
      <c r="TFH117" s="108"/>
      <c r="TFI117" s="108"/>
      <c r="TFJ117" s="108"/>
      <c r="TFK117" s="108"/>
      <c r="TFL117" s="108"/>
      <c r="TFM117" s="108"/>
      <c r="TFN117" s="108"/>
      <c r="TFO117" s="108"/>
      <c r="TFP117" s="108"/>
      <c r="TFQ117" s="108"/>
      <c r="TFR117" s="108"/>
      <c r="TFS117" s="108"/>
      <c r="TFT117" s="108"/>
      <c r="TFU117" s="108"/>
      <c r="TFV117" s="108"/>
      <c r="TFW117" s="108"/>
      <c r="TFX117" s="108"/>
      <c r="TFY117" s="108"/>
      <c r="TFZ117" s="108"/>
      <c r="TGA117" s="108"/>
      <c r="TGB117" s="108"/>
      <c r="TGC117" s="108"/>
      <c r="TGD117" s="108"/>
      <c r="TGE117" s="108"/>
      <c r="TGF117" s="108"/>
      <c r="TGG117" s="108"/>
      <c r="TGH117" s="108"/>
      <c r="TGI117" s="108"/>
      <c r="TGJ117" s="108"/>
      <c r="TGK117" s="108"/>
      <c r="TGL117" s="108"/>
      <c r="TGM117" s="108"/>
      <c r="TGN117" s="108"/>
      <c r="TGO117" s="108"/>
      <c r="TGP117" s="108"/>
      <c r="TGQ117" s="108"/>
      <c r="TGR117" s="108"/>
      <c r="TGS117" s="108"/>
      <c r="TGT117" s="108"/>
      <c r="TGU117" s="108"/>
      <c r="TGV117" s="108"/>
      <c r="TGW117" s="108"/>
      <c r="TGX117" s="108"/>
      <c r="TGY117" s="108"/>
      <c r="TGZ117" s="108"/>
      <c r="THA117" s="108"/>
      <c r="THB117" s="108"/>
      <c r="THC117" s="108"/>
      <c r="THD117" s="108"/>
      <c r="THE117" s="108"/>
      <c r="THF117" s="108"/>
      <c r="THG117" s="108"/>
      <c r="THH117" s="108"/>
      <c r="THI117" s="108"/>
      <c r="THJ117" s="108"/>
      <c r="THK117" s="108"/>
      <c r="THL117" s="108"/>
      <c r="THM117" s="108"/>
      <c r="THN117" s="108"/>
      <c r="THO117" s="108"/>
      <c r="THP117" s="108"/>
      <c r="THQ117" s="108"/>
      <c r="THR117" s="108"/>
      <c r="THS117" s="108"/>
      <c r="THT117" s="108"/>
      <c r="THU117" s="108"/>
      <c r="THV117" s="108"/>
      <c r="THW117" s="108"/>
      <c r="THX117" s="108"/>
      <c r="THY117" s="108"/>
      <c r="THZ117" s="108"/>
      <c r="TIA117" s="108"/>
      <c r="TIB117" s="108"/>
      <c r="TIC117" s="108"/>
      <c r="TID117" s="108"/>
      <c r="TIE117" s="108"/>
      <c r="TIF117" s="108"/>
      <c r="TIG117" s="108"/>
      <c r="TIH117" s="108"/>
      <c r="TII117" s="108"/>
      <c r="TIJ117" s="108"/>
      <c r="TIK117" s="108"/>
      <c r="TIL117" s="108"/>
      <c r="TIM117" s="108"/>
      <c r="TIN117" s="108"/>
      <c r="TIO117" s="108"/>
      <c r="TIP117" s="108"/>
      <c r="TIQ117" s="108"/>
      <c r="TIR117" s="108"/>
      <c r="TIS117" s="108"/>
      <c r="TIT117" s="108"/>
      <c r="TIU117" s="108"/>
      <c r="TIV117" s="108"/>
      <c r="TIW117" s="108"/>
      <c r="TIX117" s="108"/>
      <c r="TIY117" s="108"/>
      <c r="TIZ117" s="108"/>
      <c r="TJA117" s="108"/>
      <c r="TJB117" s="108"/>
      <c r="TJC117" s="108"/>
      <c r="TJD117" s="108"/>
      <c r="TJE117" s="108"/>
      <c r="TJF117" s="108"/>
      <c r="TJG117" s="108"/>
      <c r="TJH117" s="108"/>
      <c r="TJI117" s="108"/>
      <c r="TJJ117" s="108"/>
      <c r="TJK117" s="108"/>
      <c r="TJL117" s="108"/>
      <c r="TJM117" s="108"/>
      <c r="TJN117" s="108"/>
      <c r="TJO117" s="108"/>
      <c r="TJP117" s="108"/>
      <c r="TJQ117" s="108"/>
      <c r="TJR117" s="108"/>
      <c r="TJS117" s="108"/>
      <c r="TJT117" s="108"/>
      <c r="TJU117" s="108"/>
      <c r="TJV117" s="108"/>
      <c r="TJW117" s="108"/>
      <c r="TJX117" s="108"/>
      <c r="TJY117" s="108"/>
      <c r="TJZ117" s="108"/>
      <c r="TKA117" s="108"/>
      <c r="TKB117" s="108"/>
      <c r="TKC117" s="108"/>
      <c r="TKD117" s="108"/>
      <c r="TKE117" s="108"/>
      <c r="TKF117" s="108"/>
      <c r="TKG117" s="108"/>
      <c r="TKH117" s="108"/>
      <c r="TKI117" s="108"/>
      <c r="TKJ117" s="108"/>
      <c r="TKK117" s="108"/>
      <c r="TKL117" s="108"/>
      <c r="TKM117" s="108"/>
      <c r="TKN117" s="108"/>
      <c r="TKO117" s="108"/>
      <c r="TKP117" s="108"/>
      <c r="TKQ117" s="108"/>
      <c r="TKR117" s="108"/>
      <c r="TKS117" s="108"/>
      <c r="TKT117" s="108"/>
      <c r="TKU117" s="108"/>
      <c r="TKV117" s="108"/>
      <c r="TKW117" s="108"/>
      <c r="TKX117" s="108"/>
      <c r="TKY117" s="108"/>
      <c r="TKZ117" s="108"/>
      <c r="TLA117" s="108"/>
      <c r="TLB117" s="108"/>
      <c r="TLC117" s="108"/>
      <c r="TLD117" s="108"/>
      <c r="TLE117" s="108"/>
      <c r="TLF117" s="108"/>
      <c r="TLG117" s="108"/>
      <c r="TLH117" s="108"/>
      <c r="TLI117" s="108"/>
      <c r="TLJ117" s="108"/>
      <c r="TLK117" s="108"/>
      <c r="TLL117" s="108"/>
      <c r="TLM117" s="108"/>
      <c r="TLN117" s="108"/>
      <c r="TLO117" s="108"/>
      <c r="TLP117" s="108"/>
      <c r="TLQ117" s="108"/>
      <c r="TLR117" s="108"/>
      <c r="TLS117" s="108"/>
      <c r="TLT117" s="108"/>
      <c r="TLU117" s="108"/>
      <c r="TLV117" s="108"/>
      <c r="TLW117" s="108"/>
      <c r="TLX117" s="108"/>
      <c r="TLY117" s="108"/>
      <c r="TLZ117" s="108"/>
      <c r="TMA117" s="108"/>
      <c r="TMB117" s="108"/>
      <c r="TMC117" s="108"/>
      <c r="TMD117" s="108"/>
      <c r="TME117" s="108"/>
      <c r="TMF117" s="108"/>
      <c r="TMG117" s="108"/>
      <c r="TMH117" s="108"/>
      <c r="TMI117" s="108"/>
      <c r="TMJ117" s="108"/>
      <c r="TMK117" s="108"/>
      <c r="TML117" s="108"/>
      <c r="TMM117" s="108"/>
      <c r="TMN117" s="108"/>
      <c r="TMO117" s="108"/>
      <c r="TMP117" s="108"/>
      <c r="TMQ117" s="108"/>
      <c r="TMR117" s="108"/>
      <c r="TMS117" s="108"/>
      <c r="TMT117" s="108"/>
      <c r="TMU117" s="108"/>
      <c r="TMV117" s="108"/>
      <c r="TMW117" s="108"/>
      <c r="TMX117" s="108"/>
      <c r="TMY117" s="108"/>
      <c r="TMZ117" s="108"/>
      <c r="TNA117" s="108"/>
      <c r="TNB117" s="108"/>
      <c r="TNC117" s="108"/>
      <c r="TND117" s="108"/>
      <c r="TNE117" s="108"/>
      <c r="TNF117" s="108"/>
      <c r="TNG117" s="108"/>
      <c r="TNH117" s="108"/>
      <c r="TNI117" s="108"/>
      <c r="TNJ117" s="108"/>
      <c r="TNK117" s="108"/>
      <c r="TNL117" s="108"/>
      <c r="TNM117" s="108"/>
      <c r="TNN117" s="108"/>
      <c r="TNO117" s="108"/>
      <c r="TNP117" s="108"/>
      <c r="TNQ117" s="108"/>
      <c r="TNR117" s="108"/>
      <c r="TNS117" s="108"/>
      <c r="TNT117" s="108"/>
      <c r="TNU117" s="108"/>
      <c r="TNV117" s="108"/>
      <c r="TNW117" s="108"/>
      <c r="TNX117" s="108"/>
      <c r="TNY117" s="108"/>
      <c r="TNZ117" s="108"/>
      <c r="TOA117" s="108"/>
      <c r="TOB117" s="108"/>
      <c r="TOC117" s="108"/>
      <c r="TOD117" s="108"/>
      <c r="TOE117" s="108"/>
      <c r="TOF117" s="108"/>
      <c r="TOG117" s="108"/>
      <c r="TOH117" s="108"/>
      <c r="TOI117" s="108"/>
      <c r="TOJ117" s="108"/>
      <c r="TOK117" s="108"/>
      <c r="TOL117" s="108"/>
      <c r="TOM117" s="108"/>
      <c r="TON117" s="108"/>
      <c r="TOO117" s="108"/>
      <c r="TOP117" s="108"/>
      <c r="TOQ117" s="108"/>
      <c r="TOR117" s="108"/>
      <c r="TOS117" s="108"/>
      <c r="TOT117" s="108"/>
      <c r="TOU117" s="108"/>
      <c r="TOV117" s="108"/>
      <c r="TOW117" s="108"/>
      <c r="TOX117" s="108"/>
      <c r="TOY117" s="108"/>
      <c r="TOZ117" s="108"/>
      <c r="TPA117" s="108"/>
      <c r="TPB117" s="108"/>
      <c r="TPC117" s="108"/>
      <c r="TPD117" s="108"/>
      <c r="TPE117" s="108"/>
      <c r="TPF117" s="108"/>
      <c r="TPG117" s="108"/>
      <c r="TPH117" s="108"/>
      <c r="TPI117" s="108"/>
      <c r="TPJ117" s="108"/>
      <c r="TPK117" s="108"/>
      <c r="TPL117" s="108"/>
      <c r="TPM117" s="108"/>
      <c r="TPN117" s="108"/>
      <c r="TPO117" s="108"/>
      <c r="TPP117" s="108"/>
      <c r="TPQ117" s="108"/>
      <c r="TPR117" s="108"/>
      <c r="TPS117" s="108"/>
      <c r="TPT117" s="108"/>
      <c r="TPU117" s="108"/>
      <c r="TPV117" s="108"/>
      <c r="TPW117" s="108"/>
      <c r="TPX117" s="108"/>
      <c r="TPY117" s="108"/>
      <c r="TPZ117" s="108"/>
      <c r="TQA117" s="108"/>
      <c r="TQB117" s="108"/>
      <c r="TQC117" s="108"/>
      <c r="TQD117" s="108"/>
      <c r="TQE117" s="108"/>
      <c r="TQF117" s="108"/>
      <c r="TQG117" s="108"/>
      <c r="TQH117" s="108"/>
      <c r="TQI117" s="108"/>
      <c r="TQJ117" s="108"/>
      <c r="TQK117" s="108"/>
      <c r="TQL117" s="108"/>
      <c r="TQM117" s="108"/>
      <c r="TQN117" s="108"/>
      <c r="TQO117" s="108"/>
      <c r="TQP117" s="108"/>
      <c r="TQQ117" s="108"/>
      <c r="TQR117" s="108"/>
      <c r="TQS117" s="108"/>
      <c r="TQT117" s="108"/>
      <c r="TQU117" s="108"/>
      <c r="TQV117" s="108"/>
      <c r="TQW117" s="108"/>
      <c r="TQX117" s="108"/>
      <c r="TQY117" s="108"/>
      <c r="TQZ117" s="108"/>
      <c r="TRA117" s="108"/>
      <c r="TRB117" s="108"/>
      <c r="TRC117" s="108"/>
      <c r="TRD117" s="108"/>
      <c r="TRE117" s="108"/>
      <c r="TRF117" s="108"/>
      <c r="TRG117" s="108"/>
      <c r="TRH117" s="108"/>
      <c r="TRI117" s="108"/>
      <c r="TRJ117" s="108"/>
      <c r="TRK117" s="108"/>
      <c r="TRL117" s="108"/>
      <c r="TRM117" s="108"/>
      <c r="TRN117" s="108"/>
      <c r="TRO117" s="108"/>
      <c r="TRP117" s="108"/>
      <c r="TRQ117" s="108"/>
      <c r="TRR117" s="108"/>
      <c r="TRS117" s="108"/>
      <c r="TRT117" s="108"/>
      <c r="TRU117" s="108"/>
      <c r="TRV117" s="108"/>
      <c r="TRW117" s="108"/>
      <c r="TRX117" s="108"/>
      <c r="TRY117" s="108"/>
      <c r="TRZ117" s="108"/>
      <c r="TSA117" s="108"/>
      <c r="TSB117" s="108"/>
      <c r="TSC117" s="108"/>
      <c r="TSD117" s="108"/>
      <c r="TSE117" s="108"/>
      <c r="TSF117" s="108"/>
      <c r="TSG117" s="108"/>
      <c r="TSH117" s="108"/>
      <c r="TSI117" s="108"/>
      <c r="TSJ117" s="108"/>
      <c r="TSK117" s="108"/>
      <c r="TSL117" s="108"/>
      <c r="TSM117" s="108"/>
      <c r="TSN117" s="108"/>
      <c r="TSO117" s="108"/>
      <c r="TSP117" s="108"/>
      <c r="TSQ117" s="108"/>
      <c r="TSR117" s="108"/>
      <c r="TSS117" s="108"/>
      <c r="TST117" s="108"/>
      <c r="TSU117" s="108"/>
      <c r="TSV117" s="108"/>
      <c r="TSW117" s="108"/>
      <c r="TSX117" s="108"/>
      <c r="TSY117" s="108"/>
      <c r="TSZ117" s="108"/>
      <c r="TTA117" s="108"/>
      <c r="TTB117" s="108"/>
      <c r="TTC117" s="108"/>
      <c r="TTD117" s="108"/>
      <c r="TTE117" s="108"/>
      <c r="TTF117" s="108"/>
      <c r="TTG117" s="108"/>
      <c r="TTH117" s="108"/>
      <c r="TTI117" s="108"/>
      <c r="TTJ117" s="108"/>
      <c r="TTK117" s="108"/>
      <c r="TTL117" s="108"/>
      <c r="TTM117" s="108"/>
      <c r="TTN117" s="108"/>
      <c r="TTO117" s="108"/>
      <c r="TTP117" s="108"/>
      <c r="TTQ117" s="108"/>
      <c r="TTR117" s="108"/>
      <c r="TTS117" s="108"/>
      <c r="TTT117" s="108"/>
      <c r="TTU117" s="108"/>
      <c r="TTV117" s="108"/>
      <c r="TTW117" s="108"/>
      <c r="TTX117" s="108"/>
      <c r="TTY117" s="108"/>
      <c r="TTZ117" s="108"/>
      <c r="TUA117" s="108"/>
      <c r="TUB117" s="108"/>
      <c r="TUC117" s="108"/>
      <c r="TUD117" s="108"/>
      <c r="TUE117" s="108"/>
      <c r="TUF117" s="108"/>
      <c r="TUG117" s="108"/>
      <c r="TUH117" s="108"/>
      <c r="TUI117" s="108"/>
      <c r="TUJ117" s="108"/>
      <c r="TUK117" s="108"/>
      <c r="TUL117" s="108"/>
      <c r="TUM117" s="108"/>
      <c r="TUN117" s="108"/>
      <c r="TUO117" s="108"/>
      <c r="TUP117" s="108"/>
      <c r="TUQ117" s="108"/>
      <c r="TUR117" s="108"/>
      <c r="TUS117" s="108"/>
      <c r="TUT117" s="108"/>
      <c r="TUU117" s="108"/>
      <c r="TUV117" s="108"/>
      <c r="TUW117" s="108"/>
      <c r="TUX117" s="108"/>
      <c r="TUY117" s="108"/>
      <c r="TUZ117" s="108"/>
      <c r="TVA117" s="108"/>
      <c r="TVB117" s="108"/>
      <c r="TVC117" s="108"/>
      <c r="TVD117" s="108"/>
      <c r="TVE117" s="108"/>
      <c r="TVF117" s="108"/>
      <c r="TVG117" s="108"/>
      <c r="TVH117" s="108"/>
      <c r="TVI117" s="108"/>
      <c r="TVJ117" s="108"/>
      <c r="TVK117" s="108"/>
      <c r="TVL117" s="108"/>
      <c r="TVM117" s="108"/>
      <c r="TVN117" s="108"/>
      <c r="TVO117" s="108"/>
      <c r="TVP117" s="108"/>
      <c r="TVQ117" s="108"/>
      <c r="TVR117" s="108"/>
      <c r="TVS117" s="108"/>
      <c r="TVT117" s="108"/>
      <c r="TVU117" s="108"/>
      <c r="TVV117" s="108"/>
      <c r="TVW117" s="108"/>
      <c r="TVX117" s="108"/>
      <c r="TVY117" s="108"/>
      <c r="TVZ117" s="108"/>
      <c r="TWA117" s="108"/>
      <c r="TWB117" s="108"/>
      <c r="TWC117" s="108"/>
      <c r="TWD117" s="108"/>
      <c r="TWE117" s="108"/>
      <c r="TWF117" s="108"/>
      <c r="TWG117" s="108"/>
      <c r="TWH117" s="108"/>
      <c r="TWI117" s="108"/>
      <c r="TWJ117" s="108"/>
      <c r="TWK117" s="108"/>
      <c r="TWL117" s="108"/>
      <c r="TWM117" s="108"/>
      <c r="TWN117" s="108"/>
      <c r="TWO117" s="108"/>
      <c r="TWP117" s="108"/>
      <c r="TWQ117" s="108"/>
      <c r="TWR117" s="108"/>
      <c r="TWS117" s="108"/>
      <c r="TWT117" s="108"/>
      <c r="TWU117" s="108"/>
      <c r="TWV117" s="108"/>
      <c r="TWW117" s="108"/>
      <c r="TWX117" s="108"/>
      <c r="TWY117" s="108"/>
      <c r="TWZ117" s="108"/>
      <c r="TXA117" s="108"/>
      <c r="TXB117" s="108"/>
      <c r="TXC117" s="108"/>
      <c r="TXD117" s="108"/>
      <c r="TXE117" s="108"/>
      <c r="TXF117" s="108"/>
      <c r="TXG117" s="108"/>
      <c r="TXH117" s="108"/>
      <c r="TXI117" s="108"/>
      <c r="TXJ117" s="108"/>
      <c r="TXK117" s="108"/>
      <c r="TXL117" s="108"/>
      <c r="TXM117" s="108"/>
      <c r="TXN117" s="108"/>
      <c r="TXO117" s="108"/>
      <c r="TXP117" s="108"/>
      <c r="TXQ117" s="108"/>
      <c r="TXR117" s="108"/>
      <c r="TXS117" s="108"/>
      <c r="TXT117" s="108"/>
      <c r="TXU117" s="108"/>
      <c r="TXV117" s="108"/>
      <c r="TXW117" s="108"/>
      <c r="TXX117" s="108"/>
      <c r="TXY117" s="108"/>
      <c r="TXZ117" s="108"/>
      <c r="TYA117" s="108"/>
      <c r="TYB117" s="108"/>
      <c r="TYC117" s="108"/>
      <c r="TYD117" s="108"/>
      <c r="TYE117" s="108"/>
      <c r="TYF117" s="108"/>
      <c r="TYG117" s="108"/>
      <c r="TYH117" s="108"/>
      <c r="TYI117" s="108"/>
      <c r="TYJ117" s="108"/>
      <c r="TYK117" s="108"/>
      <c r="TYL117" s="108"/>
      <c r="TYM117" s="108"/>
      <c r="TYN117" s="108"/>
      <c r="TYO117" s="108"/>
      <c r="TYP117" s="108"/>
      <c r="TYQ117" s="108"/>
      <c r="TYR117" s="108"/>
      <c r="TYS117" s="108"/>
      <c r="TYT117" s="108"/>
      <c r="TYU117" s="108"/>
      <c r="TYV117" s="108"/>
      <c r="TYW117" s="108"/>
      <c r="TYX117" s="108"/>
      <c r="TYY117" s="108"/>
      <c r="TYZ117" s="108"/>
      <c r="TZA117" s="108"/>
      <c r="TZB117" s="108"/>
      <c r="TZC117" s="108"/>
      <c r="TZD117" s="108"/>
      <c r="TZE117" s="108"/>
      <c r="TZF117" s="108"/>
      <c r="TZG117" s="108"/>
      <c r="TZH117" s="108"/>
      <c r="TZI117" s="108"/>
      <c r="TZJ117" s="108"/>
      <c r="TZK117" s="108"/>
      <c r="TZL117" s="108"/>
      <c r="TZM117" s="108"/>
      <c r="TZN117" s="108"/>
      <c r="TZO117" s="108"/>
      <c r="TZP117" s="108"/>
      <c r="TZQ117" s="108"/>
      <c r="TZR117" s="108"/>
      <c r="TZS117" s="108"/>
      <c r="TZT117" s="108"/>
      <c r="TZU117" s="108"/>
      <c r="TZV117" s="108"/>
      <c r="TZW117" s="108"/>
      <c r="TZX117" s="108"/>
      <c r="TZY117" s="108"/>
      <c r="TZZ117" s="108"/>
      <c r="UAA117" s="108"/>
      <c r="UAB117" s="108"/>
      <c r="UAC117" s="108"/>
      <c r="UAD117" s="108"/>
      <c r="UAE117" s="108"/>
      <c r="UAF117" s="108"/>
      <c r="UAG117" s="108"/>
      <c r="UAH117" s="108"/>
      <c r="UAI117" s="108"/>
      <c r="UAJ117" s="108"/>
      <c r="UAK117" s="108"/>
      <c r="UAL117" s="108"/>
      <c r="UAM117" s="108"/>
      <c r="UAN117" s="108"/>
      <c r="UAO117" s="108"/>
      <c r="UAP117" s="108"/>
      <c r="UAQ117" s="108"/>
      <c r="UAR117" s="108"/>
      <c r="UAS117" s="108"/>
      <c r="UAT117" s="108"/>
      <c r="UAU117" s="108"/>
      <c r="UAV117" s="108"/>
      <c r="UAW117" s="108"/>
      <c r="UAX117" s="108"/>
      <c r="UAY117" s="108"/>
      <c r="UAZ117" s="108"/>
      <c r="UBA117" s="108"/>
      <c r="UBB117" s="108"/>
      <c r="UBC117" s="108"/>
      <c r="UBD117" s="108"/>
      <c r="UBE117" s="108"/>
      <c r="UBF117" s="108"/>
      <c r="UBG117" s="108"/>
      <c r="UBH117" s="108"/>
      <c r="UBI117" s="108"/>
      <c r="UBJ117" s="108"/>
      <c r="UBK117" s="108"/>
      <c r="UBL117" s="108"/>
      <c r="UBM117" s="108"/>
      <c r="UBN117" s="108"/>
      <c r="UBO117" s="108"/>
      <c r="UBP117" s="108"/>
      <c r="UBQ117" s="108"/>
      <c r="UBR117" s="108"/>
      <c r="UBS117" s="108"/>
      <c r="UBT117" s="108"/>
      <c r="UBU117" s="108"/>
      <c r="UBV117" s="108"/>
      <c r="UBW117" s="108"/>
      <c r="UBX117" s="108"/>
      <c r="UBY117" s="108"/>
      <c r="UBZ117" s="108"/>
      <c r="UCA117" s="108"/>
      <c r="UCB117" s="108"/>
      <c r="UCC117" s="108"/>
      <c r="UCD117" s="108"/>
      <c r="UCE117" s="108"/>
      <c r="UCF117" s="108"/>
      <c r="UCG117" s="108"/>
      <c r="UCH117" s="108"/>
      <c r="UCI117" s="108"/>
      <c r="UCJ117" s="108"/>
      <c r="UCK117" s="108"/>
      <c r="UCL117" s="108"/>
      <c r="UCM117" s="108"/>
      <c r="UCN117" s="108"/>
      <c r="UCO117" s="108"/>
      <c r="UCP117" s="108"/>
      <c r="UCQ117" s="108"/>
      <c r="UCR117" s="108"/>
      <c r="UCS117" s="108"/>
      <c r="UCT117" s="108"/>
      <c r="UCU117" s="108"/>
      <c r="UCV117" s="108"/>
      <c r="UCW117" s="108"/>
      <c r="UCX117" s="108"/>
      <c r="UCY117" s="108"/>
      <c r="UCZ117" s="108"/>
      <c r="UDA117" s="108"/>
      <c r="UDB117" s="108"/>
      <c r="UDC117" s="108"/>
      <c r="UDD117" s="108"/>
      <c r="UDE117" s="108"/>
      <c r="UDF117" s="108"/>
      <c r="UDG117" s="108"/>
      <c r="UDH117" s="108"/>
      <c r="UDI117" s="108"/>
      <c r="UDJ117" s="108"/>
      <c r="UDK117" s="108"/>
      <c r="UDL117" s="108"/>
      <c r="UDM117" s="108"/>
      <c r="UDN117" s="108"/>
      <c r="UDO117" s="108"/>
      <c r="UDP117" s="108"/>
      <c r="UDQ117" s="108"/>
      <c r="UDR117" s="108"/>
      <c r="UDS117" s="108"/>
      <c r="UDT117" s="108"/>
      <c r="UDU117" s="108"/>
      <c r="UDV117" s="108"/>
      <c r="UDW117" s="108"/>
      <c r="UDX117" s="108"/>
      <c r="UDY117" s="108"/>
      <c r="UDZ117" s="108"/>
      <c r="UEA117" s="108"/>
      <c r="UEB117" s="108"/>
      <c r="UEC117" s="108"/>
      <c r="UED117" s="108"/>
      <c r="UEE117" s="108"/>
      <c r="UEF117" s="108"/>
      <c r="UEG117" s="108"/>
      <c r="UEH117" s="108"/>
      <c r="UEI117" s="108"/>
      <c r="UEJ117" s="108"/>
      <c r="UEK117" s="108"/>
      <c r="UEL117" s="108"/>
      <c r="UEM117" s="108"/>
      <c r="UEN117" s="108"/>
      <c r="UEO117" s="108"/>
      <c r="UEP117" s="108"/>
      <c r="UEQ117" s="108"/>
      <c r="UER117" s="108"/>
      <c r="UES117" s="108"/>
      <c r="UET117" s="108"/>
      <c r="UEU117" s="108"/>
      <c r="UEV117" s="108"/>
      <c r="UEW117" s="108"/>
      <c r="UEX117" s="108"/>
      <c r="UEY117" s="108"/>
      <c r="UEZ117" s="108"/>
      <c r="UFA117" s="108"/>
      <c r="UFB117" s="108"/>
      <c r="UFC117" s="108"/>
      <c r="UFD117" s="108"/>
      <c r="UFE117" s="108"/>
      <c r="UFF117" s="108"/>
      <c r="UFG117" s="108"/>
      <c r="UFH117" s="108"/>
      <c r="UFI117" s="108"/>
      <c r="UFJ117" s="108"/>
      <c r="UFK117" s="108"/>
      <c r="UFL117" s="108"/>
      <c r="UFM117" s="108"/>
      <c r="UFN117" s="108"/>
      <c r="UFO117" s="108"/>
      <c r="UFP117" s="108"/>
      <c r="UFQ117" s="108"/>
      <c r="UFR117" s="108"/>
      <c r="UFS117" s="108"/>
      <c r="UFT117" s="108"/>
      <c r="UFU117" s="108"/>
      <c r="UFV117" s="108"/>
      <c r="UFW117" s="108"/>
      <c r="UFX117" s="108"/>
      <c r="UFY117" s="108"/>
      <c r="UFZ117" s="108"/>
      <c r="UGA117" s="108"/>
      <c r="UGB117" s="108"/>
      <c r="UGC117" s="108"/>
      <c r="UGD117" s="108"/>
      <c r="UGE117" s="108"/>
      <c r="UGF117" s="108"/>
      <c r="UGG117" s="108"/>
      <c r="UGH117" s="108"/>
      <c r="UGI117" s="108"/>
      <c r="UGJ117" s="108"/>
      <c r="UGK117" s="108"/>
      <c r="UGL117" s="108"/>
      <c r="UGM117" s="108"/>
      <c r="UGN117" s="108"/>
      <c r="UGO117" s="108"/>
      <c r="UGP117" s="108"/>
      <c r="UGQ117" s="108"/>
      <c r="UGR117" s="108"/>
      <c r="UGS117" s="108"/>
      <c r="UGT117" s="108"/>
      <c r="UGU117" s="108"/>
      <c r="UGV117" s="108"/>
      <c r="UGW117" s="108"/>
      <c r="UGX117" s="108"/>
      <c r="UGY117" s="108"/>
      <c r="UGZ117" s="108"/>
      <c r="UHA117" s="108"/>
      <c r="UHB117" s="108"/>
      <c r="UHC117" s="108"/>
      <c r="UHD117" s="108"/>
      <c r="UHE117" s="108"/>
      <c r="UHF117" s="108"/>
      <c r="UHG117" s="108"/>
      <c r="UHH117" s="108"/>
      <c r="UHI117" s="108"/>
      <c r="UHJ117" s="108"/>
      <c r="UHK117" s="108"/>
      <c r="UHL117" s="108"/>
      <c r="UHM117" s="108"/>
      <c r="UHN117" s="108"/>
      <c r="UHO117" s="108"/>
      <c r="UHP117" s="108"/>
      <c r="UHQ117" s="108"/>
      <c r="UHR117" s="108"/>
      <c r="UHS117" s="108"/>
      <c r="UHT117" s="108"/>
      <c r="UHU117" s="108"/>
      <c r="UHV117" s="108"/>
      <c r="UHW117" s="108"/>
      <c r="UHX117" s="108"/>
      <c r="UHY117" s="108"/>
      <c r="UHZ117" s="108"/>
      <c r="UIA117" s="108"/>
      <c r="UIB117" s="108"/>
      <c r="UIC117" s="108"/>
      <c r="UID117" s="108"/>
      <c r="UIE117" s="108"/>
      <c r="UIF117" s="108"/>
      <c r="UIG117" s="108"/>
      <c r="UIH117" s="108"/>
      <c r="UII117" s="108"/>
      <c r="UIJ117" s="108"/>
      <c r="UIK117" s="108"/>
      <c r="UIL117" s="108"/>
      <c r="UIM117" s="108"/>
      <c r="UIN117" s="108"/>
      <c r="UIO117" s="108"/>
      <c r="UIP117" s="108"/>
      <c r="UIQ117" s="108"/>
      <c r="UIR117" s="108"/>
      <c r="UIS117" s="108"/>
      <c r="UIT117" s="108"/>
      <c r="UIU117" s="108"/>
      <c r="UIV117" s="108"/>
      <c r="UIW117" s="108"/>
      <c r="UIX117" s="108"/>
      <c r="UIY117" s="108"/>
      <c r="UIZ117" s="108"/>
      <c r="UJA117" s="108"/>
      <c r="UJB117" s="108"/>
      <c r="UJC117" s="108"/>
      <c r="UJD117" s="108"/>
      <c r="UJE117" s="108"/>
      <c r="UJF117" s="108"/>
      <c r="UJG117" s="108"/>
      <c r="UJH117" s="108"/>
      <c r="UJI117" s="108"/>
      <c r="UJJ117" s="108"/>
      <c r="UJK117" s="108"/>
      <c r="UJL117" s="108"/>
      <c r="UJM117" s="108"/>
      <c r="UJN117" s="108"/>
      <c r="UJO117" s="108"/>
      <c r="UJP117" s="108"/>
      <c r="UJQ117" s="108"/>
      <c r="UJR117" s="108"/>
      <c r="UJS117" s="108"/>
      <c r="UJT117" s="108"/>
      <c r="UJU117" s="108"/>
      <c r="UJV117" s="108"/>
      <c r="UJW117" s="108"/>
      <c r="UJX117" s="108"/>
      <c r="UJY117" s="108"/>
      <c r="UJZ117" s="108"/>
      <c r="UKA117" s="108"/>
      <c r="UKB117" s="108"/>
      <c r="UKC117" s="108"/>
      <c r="UKD117" s="108"/>
      <c r="UKE117" s="108"/>
      <c r="UKF117" s="108"/>
      <c r="UKG117" s="108"/>
      <c r="UKH117" s="108"/>
      <c r="UKI117" s="108"/>
      <c r="UKJ117" s="108"/>
      <c r="UKK117" s="108"/>
      <c r="UKL117" s="108"/>
      <c r="UKM117" s="108"/>
      <c r="UKN117" s="108"/>
      <c r="UKO117" s="108"/>
      <c r="UKP117" s="108"/>
      <c r="UKQ117" s="108"/>
      <c r="UKR117" s="108"/>
      <c r="UKS117" s="108"/>
      <c r="UKT117" s="108"/>
      <c r="UKU117" s="108"/>
      <c r="UKV117" s="108"/>
      <c r="UKW117" s="108"/>
      <c r="UKX117" s="108"/>
      <c r="UKY117" s="108"/>
      <c r="UKZ117" s="108"/>
      <c r="ULA117" s="108"/>
      <c r="ULB117" s="108"/>
      <c r="ULC117" s="108"/>
      <c r="ULD117" s="108"/>
      <c r="ULE117" s="108"/>
      <c r="ULF117" s="108"/>
      <c r="ULG117" s="108"/>
      <c r="ULH117" s="108"/>
      <c r="ULI117" s="108"/>
      <c r="ULJ117" s="108"/>
      <c r="ULK117" s="108"/>
      <c r="ULL117" s="108"/>
      <c r="ULM117" s="108"/>
      <c r="ULN117" s="108"/>
      <c r="ULO117" s="108"/>
      <c r="ULP117" s="108"/>
      <c r="ULQ117" s="108"/>
      <c r="ULR117" s="108"/>
      <c r="ULS117" s="108"/>
      <c r="ULT117" s="108"/>
      <c r="ULU117" s="108"/>
      <c r="ULV117" s="108"/>
      <c r="ULW117" s="108"/>
      <c r="ULX117" s="108"/>
      <c r="ULY117" s="108"/>
      <c r="ULZ117" s="108"/>
      <c r="UMA117" s="108"/>
      <c r="UMB117" s="108"/>
      <c r="UMC117" s="108"/>
      <c r="UMD117" s="108"/>
      <c r="UME117" s="108"/>
      <c r="UMF117" s="108"/>
      <c r="UMG117" s="108"/>
      <c r="UMH117" s="108"/>
      <c r="UMI117" s="108"/>
      <c r="UMJ117" s="108"/>
      <c r="UMK117" s="108"/>
      <c r="UML117" s="108"/>
      <c r="UMM117" s="108"/>
      <c r="UMN117" s="108"/>
      <c r="UMO117" s="108"/>
      <c r="UMP117" s="108"/>
      <c r="UMQ117" s="108"/>
      <c r="UMR117" s="108"/>
      <c r="UMS117" s="108"/>
      <c r="UMT117" s="108"/>
      <c r="UMU117" s="108"/>
      <c r="UMV117" s="108"/>
      <c r="UMW117" s="108"/>
      <c r="UMX117" s="108"/>
      <c r="UMY117" s="108"/>
      <c r="UMZ117" s="108"/>
      <c r="UNA117" s="108"/>
      <c r="UNB117" s="108"/>
      <c r="UNC117" s="108"/>
      <c r="UND117" s="108"/>
      <c r="UNE117" s="108"/>
      <c r="UNF117" s="108"/>
      <c r="UNG117" s="108"/>
      <c r="UNH117" s="108"/>
      <c r="UNI117" s="108"/>
      <c r="UNJ117" s="108"/>
      <c r="UNK117" s="108"/>
      <c r="UNL117" s="108"/>
      <c r="UNM117" s="108"/>
      <c r="UNN117" s="108"/>
      <c r="UNO117" s="108"/>
      <c r="UNP117" s="108"/>
      <c r="UNQ117" s="108"/>
      <c r="UNR117" s="108"/>
      <c r="UNS117" s="108"/>
      <c r="UNT117" s="108"/>
      <c r="UNU117" s="108"/>
      <c r="UNV117" s="108"/>
      <c r="UNW117" s="108"/>
      <c r="UNX117" s="108"/>
      <c r="UNY117" s="108"/>
      <c r="UNZ117" s="108"/>
      <c r="UOA117" s="108"/>
      <c r="UOB117" s="108"/>
      <c r="UOC117" s="108"/>
      <c r="UOD117" s="108"/>
      <c r="UOE117" s="108"/>
      <c r="UOF117" s="108"/>
      <c r="UOG117" s="108"/>
      <c r="UOH117" s="108"/>
      <c r="UOI117" s="108"/>
      <c r="UOJ117" s="108"/>
      <c r="UOK117" s="108"/>
      <c r="UOL117" s="108"/>
      <c r="UOM117" s="108"/>
      <c r="UON117" s="108"/>
      <c r="UOO117" s="108"/>
      <c r="UOP117" s="108"/>
      <c r="UOQ117" s="108"/>
      <c r="UOR117" s="108"/>
      <c r="UOS117" s="108"/>
      <c r="UOT117" s="108"/>
      <c r="UOU117" s="108"/>
      <c r="UOV117" s="108"/>
      <c r="UOW117" s="108"/>
      <c r="UOX117" s="108"/>
      <c r="UOY117" s="108"/>
      <c r="UOZ117" s="108"/>
      <c r="UPA117" s="108"/>
      <c r="UPB117" s="108"/>
      <c r="UPC117" s="108"/>
      <c r="UPD117" s="108"/>
      <c r="UPE117" s="108"/>
      <c r="UPF117" s="108"/>
      <c r="UPG117" s="108"/>
      <c r="UPH117" s="108"/>
      <c r="UPI117" s="108"/>
      <c r="UPJ117" s="108"/>
      <c r="UPK117" s="108"/>
      <c r="UPL117" s="108"/>
      <c r="UPM117" s="108"/>
      <c r="UPN117" s="108"/>
      <c r="UPO117" s="108"/>
      <c r="UPP117" s="108"/>
      <c r="UPQ117" s="108"/>
      <c r="UPR117" s="108"/>
      <c r="UPS117" s="108"/>
      <c r="UPT117" s="108"/>
      <c r="UPU117" s="108"/>
      <c r="UPV117" s="108"/>
      <c r="UPW117" s="108"/>
      <c r="UPX117" s="108"/>
      <c r="UPY117" s="108"/>
      <c r="UPZ117" s="108"/>
      <c r="UQA117" s="108"/>
      <c r="UQB117" s="108"/>
      <c r="UQC117" s="108"/>
      <c r="UQD117" s="108"/>
      <c r="UQE117" s="108"/>
      <c r="UQF117" s="108"/>
      <c r="UQG117" s="108"/>
      <c r="UQH117" s="108"/>
      <c r="UQI117" s="108"/>
      <c r="UQJ117" s="108"/>
      <c r="UQK117" s="108"/>
      <c r="UQL117" s="108"/>
      <c r="UQM117" s="108"/>
      <c r="UQN117" s="108"/>
      <c r="UQO117" s="108"/>
      <c r="UQP117" s="108"/>
      <c r="UQQ117" s="108"/>
      <c r="UQR117" s="108"/>
      <c r="UQS117" s="108"/>
      <c r="UQT117" s="108"/>
      <c r="UQU117" s="108"/>
      <c r="UQV117" s="108"/>
      <c r="UQW117" s="108"/>
      <c r="UQX117" s="108"/>
      <c r="UQY117" s="108"/>
      <c r="UQZ117" s="108"/>
      <c r="URA117" s="108"/>
      <c r="URB117" s="108"/>
      <c r="URC117" s="108"/>
      <c r="URD117" s="108"/>
      <c r="URE117" s="108"/>
      <c r="URF117" s="108"/>
      <c r="URG117" s="108"/>
      <c r="URH117" s="108"/>
      <c r="URI117" s="108"/>
      <c r="URJ117" s="108"/>
      <c r="URK117" s="108"/>
      <c r="URL117" s="108"/>
      <c r="URM117" s="108"/>
      <c r="URN117" s="108"/>
      <c r="URO117" s="108"/>
      <c r="URP117" s="108"/>
      <c r="URQ117" s="108"/>
      <c r="URR117" s="108"/>
      <c r="URS117" s="108"/>
      <c r="URT117" s="108"/>
      <c r="URU117" s="108"/>
      <c r="URV117" s="108"/>
      <c r="URW117" s="108"/>
      <c r="URX117" s="108"/>
      <c r="URY117" s="108"/>
      <c r="URZ117" s="108"/>
      <c r="USA117" s="108"/>
      <c r="USB117" s="108"/>
      <c r="USC117" s="108"/>
      <c r="USD117" s="108"/>
      <c r="USE117" s="108"/>
      <c r="USF117" s="108"/>
      <c r="USG117" s="108"/>
      <c r="USH117" s="108"/>
      <c r="USI117" s="108"/>
      <c r="USJ117" s="108"/>
      <c r="USK117" s="108"/>
      <c r="USL117" s="108"/>
      <c r="USM117" s="108"/>
      <c r="USN117" s="108"/>
      <c r="USO117" s="108"/>
      <c r="USP117" s="108"/>
      <c r="USQ117" s="108"/>
      <c r="USR117" s="108"/>
      <c r="USS117" s="108"/>
      <c r="UST117" s="108"/>
      <c r="USU117" s="108"/>
      <c r="USV117" s="108"/>
      <c r="USW117" s="108"/>
      <c r="USX117" s="108"/>
      <c r="USY117" s="108"/>
      <c r="USZ117" s="108"/>
      <c r="UTA117" s="108"/>
      <c r="UTB117" s="108"/>
      <c r="UTC117" s="108"/>
      <c r="UTD117" s="108"/>
      <c r="UTE117" s="108"/>
      <c r="UTF117" s="108"/>
      <c r="UTG117" s="108"/>
      <c r="UTH117" s="108"/>
      <c r="UTI117" s="108"/>
      <c r="UTJ117" s="108"/>
      <c r="UTK117" s="108"/>
      <c r="UTL117" s="108"/>
      <c r="UTM117" s="108"/>
      <c r="UTN117" s="108"/>
      <c r="UTO117" s="108"/>
      <c r="UTP117" s="108"/>
      <c r="UTQ117" s="108"/>
      <c r="UTR117" s="108"/>
      <c r="UTS117" s="108"/>
      <c r="UTT117" s="108"/>
      <c r="UTU117" s="108"/>
      <c r="UTV117" s="108"/>
      <c r="UTW117" s="108"/>
      <c r="UTX117" s="108"/>
      <c r="UTY117" s="108"/>
      <c r="UTZ117" s="108"/>
      <c r="UUA117" s="108"/>
      <c r="UUB117" s="108"/>
      <c r="UUC117" s="108"/>
      <c r="UUD117" s="108"/>
      <c r="UUE117" s="108"/>
      <c r="UUF117" s="108"/>
      <c r="UUG117" s="108"/>
      <c r="UUH117" s="108"/>
      <c r="UUI117" s="108"/>
      <c r="UUJ117" s="108"/>
      <c r="UUK117" s="108"/>
      <c r="UUL117" s="108"/>
      <c r="UUM117" s="108"/>
      <c r="UUN117" s="108"/>
      <c r="UUO117" s="108"/>
      <c r="UUP117" s="108"/>
      <c r="UUQ117" s="108"/>
      <c r="UUR117" s="108"/>
      <c r="UUS117" s="108"/>
      <c r="UUT117" s="108"/>
      <c r="UUU117" s="108"/>
      <c r="UUV117" s="108"/>
      <c r="UUW117" s="108"/>
      <c r="UUX117" s="108"/>
      <c r="UUY117" s="108"/>
      <c r="UUZ117" s="108"/>
      <c r="UVA117" s="108"/>
      <c r="UVB117" s="108"/>
      <c r="UVC117" s="108"/>
      <c r="UVD117" s="108"/>
      <c r="UVE117" s="108"/>
      <c r="UVF117" s="108"/>
      <c r="UVG117" s="108"/>
      <c r="UVH117" s="108"/>
      <c r="UVI117" s="108"/>
      <c r="UVJ117" s="108"/>
      <c r="UVK117" s="108"/>
      <c r="UVL117" s="108"/>
      <c r="UVM117" s="108"/>
      <c r="UVN117" s="108"/>
      <c r="UVO117" s="108"/>
      <c r="UVP117" s="108"/>
      <c r="UVQ117" s="108"/>
      <c r="UVR117" s="108"/>
      <c r="UVS117" s="108"/>
      <c r="UVT117" s="108"/>
      <c r="UVU117" s="108"/>
      <c r="UVV117" s="108"/>
      <c r="UVW117" s="108"/>
      <c r="UVX117" s="108"/>
      <c r="UVY117" s="108"/>
      <c r="UVZ117" s="108"/>
      <c r="UWA117" s="108"/>
      <c r="UWB117" s="108"/>
      <c r="UWC117" s="108"/>
      <c r="UWD117" s="108"/>
      <c r="UWE117" s="108"/>
      <c r="UWF117" s="108"/>
      <c r="UWG117" s="108"/>
      <c r="UWH117" s="108"/>
      <c r="UWI117" s="108"/>
      <c r="UWJ117" s="108"/>
      <c r="UWK117" s="108"/>
      <c r="UWL117" s="108"/>
      <c r="UWM117" s="108"/>
      <c r="UWN117" s="108"/>
      <c r="UWO117" s="108"/>
      <c r="UWP117" s="108"/>
      <c r="UWQ117" s="108"/>
      <c r="UWR117" s="108"/>
      <c r="UWS117" s="108"/>
      <c r="UWT117" s="108"/>
      <c r="UWU117" s="108"/>
      <c r="UWV117" s="108"/>
      <c r="UWW117" s="108"/>
      <c r="UWX117" s="108"/>
      <c r="UWY117" s="108"/>
      <c r="UWZ117" s="108"/>
      <c r="UXA117" s="108"/>
      <c r="UXB117" s="108"/>
      <c r="UXC117" s="108"/>
      <c r="UXD117" s="108"/>
      <c r="UXE117" s="108"/>
      <c r="UXF117" s="108"/>
      <c r="UXG117" s="108"/>
      <c r="UXH117" s="108"/>
      <c r="UXI117" s="108"/>
      <c r="UXJ117" s="108"/>
      <c r="UXK117" s="108"/>
      <c r="UXL117" s="108"/>
      <c r="UXM117" s="108"/>
      <c r="UXN117" s="108"/>
      <c r="UXO117" s="108"/>
      <c r="UXP117" s="108"/>
      <c r="UXQ117" s="108"/>
      <c r="UXR117" s="108"/>
      <c r="UXS117" s="108"/>
      <c r="UXT117" s="108"/>
      <c r="UXU117" s="108"/>
      <c r="UXV117" s="108"/>
      <c r="UXW117" s="108"/>
      <c r="UXX117" s="108"/>
      <c r="UXY117" s="108"/>
      <c r="UXZ117" s="108"/>
      <c r="UYA117" s="108"/>
      <c r="UYB117" s="108"/>
      <c r="UYC117" s="108"/>
      <c r="UYD117" s="108"/>
      <c r="UYE117" s="108"/>
      <c r="UYF117" s="108"/>
      <c r="UYG117" s="108"/>
      <c r="UYH117" s="108"/>
      <c r="UYI117" s="108"/>
      <c r="UYJ117" s="108"/>
      <c r="UYK117" s="108"/>
      <c r="UYL117" s="108"/>
      <c r="UYM117" s="108"/>
      <c r="UYN117" s="108"/>
      <c r="UYO117" s="108"/>
      <c r="UYP117" s="108"/>
      <c r="UYQ117" s="108"/>
      <c r="UYR117" s="108"/>
      <c r="UYS117" s="108"/>
      <c r="UYT117" s="108"/>
      <c r="UYU117" s="108"/>
      <c r="UYV117" s="108"/>
      <c r="UYW117" s="108"/>
      <c r="UYX117" s="108"/>
      <c r="UYY117" s="108"/>
      <c r="UYZ117" s="108"/>
      <c r="UZA117" s="108"/>
      <c r="UZB117" s="108"/>
      <c r="UZC117" s="108"/>
      <c r="UZD117" s="108"/>
      <c r="UZE117" s="108"/>
      <c r="UZF117" s="108"/>
      <c r="UZG117" s="108"/>
      <c r="UZH117" s="108"/>
      <c r="UZI117" s="108"/>
      <c r="UZJ117" s="108"/>
      <c r="UZK117" s="108"/>
      <c r="UZL117" s="108"/>
      <c r="UZM117" s="108"/>
      <c r="UZN117" s="108"/>
      <c r="UZO117" s="108"/>
      <c r="UZP117" s="108"/>
      <c r="UZQ117" s="108"/>
      <c r="UZR117" s="108"/>
      <c r="UZS117" s="108"/>
      <c r="UZT117" s="108"/>
      <c r="UZU117" s="108"/>
      <c r="UZV117" s="108"/>
      <c r="UZW117" s="108"/>
      <c r="UZX117" s="108"/>
      <c r="UZY117" s="108"/>
      <c r="UZZ117" s="108"/>
      <c r="VAA117" s="108"/>
      <c r="VAB117" s="108"/>
      <c r="VAC117" s="108"/>
      <c r="VAD117" s="108"/>
      <c r="VAE117" s="108"/>
      <c r="VAF117" s="108"/>
      <c r="VAG117" s="108"/>
      <c r="VAH117" s="108"/>
      <c r="VAI117" s="108"/>
      <c r="VAJ117" s="108"/>
      <c r="VAK117" s="108"/>
      <c r="VAL117" s="108"/>
      <c r="VAM117" s="108"/>
      <c r="VAN117" s="108"/>
      <c r="VAO117" s="108"/>
      <c r="VAP117" s="108"/>
      <c r="VAQ117" s="108"/>
      <c r="VAR117" s="108"/>
      <c r="VAS117" s="108"/>
      <c r="VAT117" s="108"/>
      <c r="VAU117" s="108"/>
      <c r="VAV117" s="108"/>
      <c r="VAW117" s="108"/>
      <c r="VAX117" s="108"/>
      <c r="VAY117" s="108"/>
      <c r="VAZ117" s="108"/>
      <c r="VBA117" s="108"/>
      <c r="VBB117" s="108"/>
      <c r="VBC117" s="108"/>
      <c r="VBD117" s="108"/>
      <c r="VBE117" s="108"/>
      <c r="VBF117" s="108"/>
      <c r="VBG117" s="108"/>
      <c r="VBH117" s="108"/>
      <c r="VBI117" s="108"/>
      <c r="VBJ117" s="108"/>
      <c r="VBK117" s="108"/>
      <c r="VBL117" s="108"/>
      <c r="VBM117" s="108"/>
      <c r="VBN117" s="108"/>
      <c r="VBO117" s="108"/>
      <c r="VBP117" s="108"/>
      <c r="VBQ117" s="108"/>
      <c r="VBR117" s="108"/>
      <c r="VBS117" s="108"/>
      <c r="VBT117" s="108"/>
      <c r="VBU117" s="108"/>
      <c r="VBV117" s="108"/>
      <c r="VBW117" s="108"/>
      <c r="VBX117" s="108"/>
      <c r="VBY117" s="108"/>
      <c r="VBZ117" s="108"/>
      <c r="VCA117" s="108"/>
      <c r="VCB117" s="108"/>
      <c r="VCC117" s="108"/>
      <c r="VCD117" s="108"/>
      <c r="VCE117" s="108"/>
      <c r="VCF117" s="108"/>
      <c r="VCG117" s="108"/>
      <c r="VCH117" s="108"/>
      <c r="VCI117" s="108"/>
      <c r="VCJ117" s="108"/>
      <c r="VCK117" s="108"/>
      <c r="VCL117" s="108"/>
      <c r="VCM117" s="108"/>
      <c r="VCN117" s="108"/>
      <c r="VCO117" s="108"/>
      <c r="VCP117" s="108"/>
      <c r="VCQ117" s="108"/>
      <c r="VCR117" s="108"/>
      <c r="VCS117" s="108"/>
      <c r="VCT117" s="108"/>
      <c r="VCU117" s="108"/>
      <c r="VCV117" s="108"/>
      <c r="VCW117" s="108"/>
      <c r="VCX117" s="108"/>
      <c r="VCY117" s="108"/>
      <c r="VCZ117" s="108"/>
      <c r="VDA117" s="108"/>
      <c r="VDB117" s="108"/>
      <c r="VDC117" s="108"/>
      <c r="VDD117" s="108"/>
      <c r="VDE117" s="108"/>
      <c r="VDF117" s="108"/>
      <c r="VDG117" s="108"/>
      <c r="VDH117" s="108"/>
      <c r="VDI117" s="108"/>
      <c r="VDJ117" s="108"/>
      <c r="VDK117" s="108"/>
      <c r="VDL117" s="108"/>
      <c r="VDM117" s="108"/>
      <c r="VDN117" s="108"/>
      <c r="VDO117" s="108"/>
      <c r="VDP117" s="108"/>
      <c r="VDQ117" s="108"/>
      <c r="VDR117" s="108"/>
      <c r="VDS117" s="108"/>
      <c r="VDT117" s="108"/>
      <c r="VDU117" s="108"/>
      <c r="VDV117" s="108"/>
      <c r="VDW117" s="108"/>
      <c r="VDX117" s="108"/>
      <c r="VDY117" s="108"/>
      <c r="VDZ117" s="108"/>
      <c r="VEA117" s="108"/>
      <c r="VEB117" s="108"/>
      <c r="VEC117" s="108"/>
      <c r="VED117" s="108"/>
      <c r="VEE117" s="108"/>
      <c r="VEF117" s="108"/>
      <c r="VEG117" s="108"/>
      <c r="VEH117" s="108"/>
      <c r="VEI117" s="108"/>
      <c r="VEJ117" s="108"/>
      <c r="VEK117" s="108"/>
      <c r="VEL117" s="108"/>
      <c r="VEM117" s="108"/>
      <c r="VEN117" s="108"/>
      <c r="VEO117" s="108"/>
      <c r="VEP117" s="108"/>
      <c r="VEQ117" s="108"/>
      <c r="VER117" s="108"/>
      <c r="VES117" s="108"/>
      <c r="VET117" s="108"/>
      <c r="VEU117" s="108"/>
      <c r="VEV117" s="108"/>
      <c r="VEW117" s="108"/>
      <c r="VEX117" s="108"/>
      <c r="VEY117" s="108"/>
      <c r="VEZ117" s="108"/>
      <c r="VFA117" s="108"/>
      <c r="VFB117" s="108"/>
      <c r="VFC117" s="108"/>
      <c r="VFD117" s="108"/>
      <c r="VFE117" s="108"/>
      <c r="VFF117" s="108"/>
      <c r="VFG117" s="108"/>
      <c r="VFH117" s="108"/>
      <c r="VFI117" s="108"/>
      <c r="VFJ117" s="108"/>
      <c r="VFK117" s="108"/>
      <c r="VFL117" s="108"/>
      <c r="VFM117" s="108"/>
      <c r="VFN117" s="108"/>
      <c r="VFO117" s="108"/>
      <c r="VFP117" s="108"/>
      <c r="VFQ117" s="108"/>
      <c r="VFR117" s="108"/>
      <c r="VFS117" s="108"/>
      <c r="VFT117" s="108"/>
      <c r="VFU117" s="108"/>
      <c r="VFV117" s="108"/>
      <c r="VFW117" s="108"/>
      <c r="VFX117" s="108"/>
      <c r="VFY117" s="108"/>
      <c r="VFZ117" s="108"/>
      <c r="VGA117" s="108"/>
      <c r="VGB117" s="108"/>
      <c r="VGC117" s="108"/>
      <c r="VGD117" s="108"/>
      <c r="VGE117" s="108"/>
      <c r="VGF117" s="108"/>
      <c r="VGG117" s="108"/>
      <c r="VGH117" s="108"/>
      <c r="VGI117" s="108"/>
      <c r="VGJ117" s="108"/>
      <c r="VGK117" s="108"/>
      <c r="VGL117" s="108"/>
      <c r="VGM117" s="108"/>
      <c r="VGN117" s="108"/>
      <c r="VGO117" s="108"/>
      <c r="VGP117" s="108"/>
      <c r="VGQ117" s="108"/>
      <c r="VGR117" s="108"/>
      <c r="VGS117" s="108"/>
      <c r="VGT117" s="108"/>
      <c r="VGU117" s="108"/>
      <c r="VGV117" s="108"/>
      <c r="VGW117" s="108"/>
      <c r="VGX117" s="108"/>
      <c r="VGY117" s="108"/>
      <c r="VGZ117" s="108"/>
      <c r="VHA117" s="108"/>
      <c r="VHB117" s="108"/>
      <c r="VHC117" s="108"/>
      <c r="VHD117" s="108"/>
      <c r="VHE117" s="108"/>
      <c r="VHF117" s="108"/>
      <c r="VHG117" s="108"/>
      <c r="VHH117" s="108"/>
      <c r="VHI117" s="108"/>
      <c r="VHJ117" s="108"/>
      <c r="VHK117" s="108"/>
      <c r="VHL117" s="108"/>
      <c r="VHM117" s="108"/>
      <c r="VHN117" s="108"/>
      <c r="VHO117" s="108"/>
      <c r="VHP117" s="108"/>
      <c r="VHQ117" s="108"/>
      <c r="VHR117" s="108"/>
      <c r="VHS117" s="108"/>
      <c r="VHT117" s="108"/>
      <c r="VHU117" s="108"/>
      <c r="VHV117" s="108"/>
      <c r="VHW117" s="108"/>
      <c r="VHX117" s="108"/>
      <c r="VHY117" s="108"/>
      <c r="VHZ117" s="108"/>
      <c r="VIA117" s="108"/>
      <c r="VIB117" s="108"/>
      <c r="VIC117" s="108"/>
      <c r="VID117" s="108"/>
      <c r="VIE117" s="108"/>
      <c r="VIF117" s="108"/>
      <c r="VIG117" s="108"/>
      <c r="VIH117" s="108"/>
      <c r="VII117" s="108"/>
      <c r="VIJ117" s="108"/>
      <c r="VIK117" s="108"/>
      <c r="VIL117" s="108"/>
      <c r="VIM117" s="108"/>
      <c r="VIN117" s="108"/>
      <c r="VIO117" s="108"/>
      <c r="VIP117" s="108"/>
      <c r="VIQ117" s="108"/>
      <c r="VIR117" s="108"/>
      <c r="VIS117" s="108"/>
      <c r="VIT117" s="108"/>
      <c r="VIU117" s="108"/>
      <c r="VIV117" s="108"/>
      <c r="VIW117" s="108"/>
      <c r="VIX117" s="108"/>
      <c r="VIY117" s="108"/>
      <c r="VIZ117" s="108"/>
      <c r="VJA117" s="108"/>
      <c r="VJB117" s="108"/>
      <c r="VJC117" s="108"/>
      <c r="VJD117" s="108"/>
      <c r="VJE117" s="108"/>
      <c r="VJF117" s="108"/>
      <c r="VJG117" s="108"/>
      <c r="VJH117" s="108"/>
      <c r="VJI117" s="108"/>
      <c r="VJJ117" s="108"/>
      <c r="VJK117" s="108"/>
      <c r="VJL117" s="108"/>
      <c r="VJM117" s="108"/>
      <c r="VJN117" s="108"/>
      <c r="VJO117" s="108"/>
      <c r="VJP117" s="108"/>
      <c r="VJQ117" s="108"/>
      <c r="VJR117" s="108"/>
      <c r="VJS117" s="108"/>
      <c r="VJT117" s="108"/>
      <c r="VJU117" s="108"/>
      <c r="VJV117" s="108"/>
      <c r="VJW117" s="108"/>
      <c r="VJX117" s="108"/>
      <c r="VJY117" s="108"/>
      <c r="VJZ117" s="108"/>
      <c r="VKA117" s="108"/>
      <c r="VKB117" s="108"/>
      <c r="VKC117" s="108"/>
      <c r="VKD117" s="108"/>
      <c r="VKE117" s="108"/>
      <c r="VKF117" s="108"/>
      <c r="VKG117" s="108"/>
      <c r="VKH117" s="108"/>
      <c r="VKI117" s="108"/>
      <c r="VKJ117" s="108"/>
      <c r="VKK117" s="108"/>
      <c r="VKL117" s="108"/>
      <c r="VKM117" s="108"/>
      <c r="VKN117" s="108"/>
      <c r="VKO117" s="108"/>
      <c r="VKP117" s="108"/>
      <c r="VKQ117" s="108"/>
      <c r="VKR117" s="108"/>
      <c r="VKS117" s="108"/>
      <c r="VKT117" s="108"/>
      <c r="VKU117" s="108"/>
      <c r="VKV117" s="108"/>
      <c r="VKW117" s="108"/>
      <c r="VKX117" s="108"/>
      <c r="VKY117" s="108"/>
      <c r="VKZ117" s="108"/>
      <c r="VLA117" s="108"/>
      <c r="VLB117" s="108"/>
      <c r="VLC117" s="108"/>
      <c r="VLD117" s="108"/>
      <c r="VLE117" s="108"/>
      <c r="VLF117" s="108"/>
      <c r="VLG117" s="108"/>
      <c r="VLH117" s="108"/>
      <c r="VLI117" s="108"/>
      <c r="VLJ117" s="108"/>
      <c r="VLK117" s="108"/>
      <c r="VLL117" s="108"/>
      <c r="VLM117" s="108"/>
      <c r="VLN117" s="108"/>
      <c r="VLO117" s="108"/>
      <c r="VLP117" s="108"/>
      <c r="VLQ117" s="108"/>
      <c r="VLR117" s="108"/>
      <c r="VLS117" s="108"/>
      <c r="VLT117" s="108"/>
      <c r="VLU117" s="108"/>
      <c r="VLV117" s="108"/>
      <c r="VLW117" s="108"/>
      <c r="VLX117" s="108"/>
      <c r="VLY117" s="108"/>
      <c r="VLZ117" s="108"/>
      <c r="VMA117" s="108"/>
      <c r="VMB117" s="108"/>
      <c r="VMC117" s="108"/>
      <c r="VMD117" s="108"/>
      <c r="VME117" s="108"/>
      <c r="VMF117" s="108"/>
      <c r="VMG117" s="108"/>
      <c r="VMH117" s="108"/>
      <c r="VMI117" s="108"/>
      <c r="VMJ117" s="108"/>
      <c r="VMK117" s="108"/>
      <c r="VML117" s="108"/>
      <c r="VMM117" s="108"/>
      <c r="VMN117" s="108"/>
      <c r="VMO117" s="108"/>
      <c r="VMP117" s="108"/>
      <c r="VMQ117" s="108"/>
      <c r="VMR117" s="108"/>
      <c r="VMS117" s="108"/>
      <c r="VMT117" s="108"/>
      <c r="VMU117" s="108"/>
      <c r="VMV117" s="108"/>
      <c r="VMW117" s="108"/>
      <c r="VMX117" s="108"/>
      <c r="VMY117" s="108"/>
      <c r="VMZ117" s="108"/>
      <c r="VNA117" s="108"/>
      <c r="VNB117" s="108"/>
      <c r="VNC117" s="108"/>
      <c r="VND117" s="108"/>
      <c r="VNE117" s="108"/>
      <c r="VNF117" s="108"/>
      <c r="VNG117" s="108"/>
      <c r="VNH117" s="108"/>
      <c r="VNI117" s="108"/>
      <c r="VNJ117" s="108"/>
      <c r="VNK117" s="108"/>
      <c r="VNL117" s="108"/>
      <c r="VNM117" s="108"/>
      <c r="VNN117" s="108"/>
      <c r="VNO117" s="108"/>
      <c r="VNP117" s="108"/>
      <c r="VNQ117" s="108"/>
      <c r="VNR117" s="108"/>
      <c r="VNS117" s="108"/>
      <c r="VNT117" s="108"/>
      <c r="VNU117" s="108"/>
      <c r="VNV117" s="108"/>
      <c r="VNW117" s="108"/>
      <c r="VNX117" s="108"/>
      <c r="VNY117" s="108"/>
      <c r="VNZ117" s="108"/>
      <c r="VOA117" s="108"/>
      <c r="VOB117" s="108"/>
      <c r="VOC117" s="108"/>
      <c r="VOD117" s="108"/>
      <c r="VOE117" s="108"/>
      <c r="VOF117" s="108"/>
      <c r="VOG117" s="108"/>
      <c r="VOH117" s="108"/>
      <c r="VOI117" s="108"/>
      <c r="VOJ117" s="108"/>
      <c r="VOK117" s="108"/>
      <c r="VOL117" s="108"/>
      <c r="VOM117" s="108"/>
      <c r="VON117" s="108"/>
      <c r="VOO117" s="108"/>
      <c r="VOP117" s="108"/>
      <c r="VOQ117" s="108"/>
      <c r="VOR117" s="108"/>
      <c r="VOS117" s="108"/>
      <c r="VOT117" s="108"/>
      <c r="VOU117" s="108"/>
      <c r="VOV117" s="108"/>
      <c r="VOW117" s="108"/>
      <c r="VOX117" s="108"/>
      <c r="VOY117" s="108"/>
      <c r="VOZ117" s="108"/>
      <c r="VPA117" s="108"/>
      <c r="VPB117" s="108"/>
      <c r="VPC117" s="108"/>
      <c r="VPD117" s="108"/>
      <c r="VPE117" s="108"/>
      <c r="VPF117" s="108"/>
      <c r="VPG117" s="108"/>
      <c r="VPH117" s="108"/>
      <c r="VPI117" s="108"/>
      <c r="VPJ117" s="108"/>
      <c r="VPK117" s="108"/>
      <c r="VPL117" s="108"/>
      <c r="VPM117" s="108"/>
      <c r="VPN117" s="108"/>
      <c r="VPO117" s="108"/>
      <c r="VPP117" s="108"/>
      <c r="VPQ117" s="108"/>
      <c r="VPR117" s="108"/>
      <c r="VPS117" s="108"/>
      <c r="VPT117" s="108"/>
      <c r="VPU117" s="108"/>
      <c r="VPV117" s="108"/>
      <c r="VPW117" s="108"/>
      <c r="VPX117" s="108"/>
      <c r="VPY117" s="108"/>
      <c r="VPZ117" s="108"/>
      <c r="VQA117" s="108"/>
      <c r="VQB117" s="108"/>
      <c r="VQC117" s="108"/>
      <c r="VQD117" s="108"/>
      <c r="VQE117" s="108"/>
      <c r="VQF117" s="108"/>
      <c r="VQG117" s="108"/>
      <c r="VQH117" s="108"/>
      <c r="VQI117" s="108"/>
      <c r="VQJ117" s="108"/>
      <c r="VQK117" s="108"/>
      <c r="VQL117" s="108"/>
      <c r="VQM117" s="108"/>
      <c r="VQN117" s="108"/>
      <c r="VQO117" s="108"/>
      <c r="VQP117" s="108"/>
      <c r="VQQ117" s="108"/>
      <c r="VQR117" s="108"/>
      <c r="VQS117" s="108"/>
      <c r="VQT117" s="108"/>
      <c r="VQU117" s="108"/>
      <c r="VQV117" s="108"/>
      <c r="VQW117" s="108"/>
      <c r="VQX117" s="108"/>
      <c r="VQY117" s="108"/>
      <c r="VQZ117" s="108"/>
      <c r="VRA117" s="108"/>
      <c r="VRB117" s="108"/>
      <c r="VRC117" s="108"/>
      <c r="VRD117" s="108"/>
      <c r="VRE117" s="108"/>
      <c r="VRF117" s="108"/>
      <c r="VRG117" s="108"/>
      <c r="VRH117" s="108"/>
      <c r="VRI117" s="108"/>
      <c r="VRJ117" s="108"/>
      <c r="VRK117" s="108"/>
      <c r="VRL117" s="108"/>
      <c r="VRM117" s="108"/>
      <c r="VRN117" s="108"/>
      <c r="VRO117" s="108"/>
      <c r="VRP117" s="108"/>
      <c r="VRQ117" s="108"/>
      <c r="VRR117" s="108"/>
      <c r="VRS117" s="108"/>
      <c r="VRT117" s="108"/>
      <c r="VRU117" s="108"/>
      <c r="VRV117" s="108"/>
      <c r="VRW117" s="108"/>
      <c r="VRX117" s="108"/>
      <c r="VRY117" s="108"/>
      <c r="VRZ117" s="108"/>
      <c r="VSA117" s="108"/>
      <c r="VSB117" s="108"/>
      <c r="VSC117" s="108"/>
      <c r="VSD117" s="108"/>
      <c r="VSE117" s="108"/>
      <c r="VSF117" s="108"/>
      <c r="VSG117" s="108"/>
      <c r="VSH117" s="108"/>
      <c r="VSI117" s="108"/>
      <c r="VSJ117" s="108"/>
      <c r="VSK117" s="108"/>
      <c r="VSL117" s="108"/>
      <c r="VSM117" s="108"/>
      <c r="VSN117" s="108"/>
      <c r="VSO117" s="108"/>
      <c r="VSP117" s="108"/>
      <c r="VSQ117" s="108"/>
      <c r="VSR117" s="108"/>
      <c r="VSS117" s="108"/>
      <c r="VST117" s="108"/>
      <c r="VSU117" s="108"/>
      <c r="VSV117" s="108"/>
      <c r="VSW117" s="108"/>
      <c r="VSX117" s="108"/>
      <c r="VSY117" s="108"/>
      <c r="VSZ117" s="108"/>
      <c r="VTA117" s="108"/>
      <c r="VTB117" s="108"/>
      <c r="VTC117" s="108"/>
      <c r="VTD117" s="108"/>
      <c r="VTE117" s="108"/>
      <c r="VTF117" s="108"/>
      <c r="VTG117" s="108"/>
      <c r="VTH117" s="108"/>
      <c r="VTI117" s="108"/>
      <c r="VTJ117" s="108"/>
      <c r="VTK117" s="108"/>
      <c r="VTL117" s="108"/>
      <c r="VTM117" s="108"/>
      <c r="VTN117" s="108"/>
      <c r="VTO117" s="108"/>
      <c r="VTP117" s="108"/>
      <c r="VTQ117" s="108"/>
      <c r="VTR117" s="108"/>
      <c r="VTS117" s="108"/>
      <c r="VTT117" s="108"/>
      <c r="VTU117" s="108"/>
      <c r="VTV117" s="108"/>
      <c r="VTW117" s="108"/>
      <c r="VTX117" s="108"/>
      <c r="VTY117" s="108"/>
      <c r="VTZ117" s="108"/>
      <c r="VUA117" s="108"/>
      <c r="VUB117" s="108"/>
      <c r="VUC117" s="108"/>
      <c r="VUD117" s="108"/>
      <c r="VUE117" s="108"/>
      <c r="VUF117" s="108"/>
      <c r="VUG117" s="108"/>
      <c r="VUH117" s="108"/>
      <c r="VUI117" s="108"/>
      <c r="VUJ117" s="108"/>
      <c r="VUK117" s="108"/>
      <c r="VUL117" s="108"/>
      <c r="VUM117" s="108"/>
      <c r="VUN117" s="108"/>
      <c r="VUO117" s="108"/>
      <c r="VUP117" s="108"/>
      <c r="VUQ117" s="108"/>
      <c r="VUR117" s="108"/>
      <c r="VUS117" s="108"/>
      <c r="VUT117" s="108"/>
      <c r="VUU117" s="108"/>
      <c r="VUV117" s="108"/>
      <c r="VUW117" s="108"/>
      <c r="VUX117" s="108"/>
      <c r="VUY117" s="108"/>
      <c r="VUZ117" s="108"/>
      <c r="VVA117" s="108"/>
      <c r="VVB117" s="108"/>
      <c r="VVC117" s="108"/>
      <c r="VVD117" s="108"/>
      <c r="VVE117" s="108"/>
      <c r="VVF117" s="108"/>
      <c r="VVG117" s="108"/>
      <c r="VVH117" s="108"/>
      <c r="VVI117" s="108"/>
      <c r="VVJ117" s="108"/>
      <c r="VVK117" s="108"/>
      <c r="VVL117" s="108"/>
      <c r="VVM117" s="108"/>
      <c r="VVN117" s="108"/>
      <c r="VVO117" s="108"/>
      <c r="VVP117" s="108"/>
      <c r="VVQ117" s="108"/>
      <c r="VVR117" s="108"/>
      <c r="VVS117" s="108"/>
      <c r="VVT117" s="108"/>
      <c r="VVU117" s="108"/>
      <c r="VVV117" s="108"/>
      <c r="VVW117" s="108"/>
      <c r="VVX117" s="108"/>
      <c r="VVY117" s="108"/>
      <c r="VVZ117" s="108"/>
      <c r="VWA117" s="108"/>
      <c r="VWB117" s="108"/>
      <c r="VWC117" s="108"/>
      <c r="VWD117" s="108"/>
      <c r="VWE117" s="108"/>
      <c r="VWF117" s="108"/>
      <c r="VWG117" s="108"/>
      <c r="VWH117" s="108"/>
      <c r="VWI117" s="108"/>
      <c r="VWJ117" s="108"/>
      <c r="VWK117" s="108"/>
      <c r="VWL117" s="108"/>
      <c r="VWM117" s="108"/>
      <c r="VWN117" s="108"/>
      <c r="VWO117" s="108"/>
      <c r="VWP117" s="108"/>
      <c r="VWQ117" s="108"/>
      <c r="VWR117" s="108"/>
      <c r="VWS117" s="108"/>
      <c r="VWT117" s="108"/>
      <c r="VWU117" s="108"/>
      <c r="VWV117" s="108"/>
      <c r="VWW117" s="108"/>
      <c r="VWX117" s="108"/>
      <c r="VWY117" s="108"/>
      <c r="VWZ117" s="108"/>
      <c r="VXA117" s="108"/>
      <c r="VXB117" s="108"/>
      <c r="VXC117" s="108"/>
      <c r="VXD117" s="108"/>
      <c r="VXE117" s="108"/>
      <c r="VXF117" s="108"/>
      <c r="VXG117" s="108"/>
      <c r="VXH117" s="108"/>
      <c r="VXI117" s="108"/>
      <c r="VXJ117" s="108"/>
      <c r="VXK117" s="108"/>
      <c r="VXL117" s="108"/>
      <c r="VXM117" s="108"/>
      <c r="VXN117" s="108"/>
      <c r="VXO117" s="108"/>
      <c r="VXP117" s="108"/>
      <c r="VXQ117" s="108"/>
      <c r="VXR117" s="108"/>
      <c r="VXS117" s="108"/>
      <c r="VXT117" s="108"/>
      <c r="VXU117" s="108"/>
      <c r="VXV117" s="108"/>
      <c r="VXW117" s="108"/>
      <c r="VXX117" s="108"/>
      <c r="VXY117" s="108"/>
      <c r="VXZ117" s="108"/>
      <c r="VYA117" s="108"/>
      <c r="VYB117" s="108"/>
      <c r="VYC117" s="108"/>
      <c r="VYD117" s="108"/>
      <c r="VYE117" s="108"/>
      <c r="VYF117" s="108"/>
      <c r="VYG117" s="108"/>
      <c r="VYH117" s="108"/>
      <c r="VYI117" s="108"/>
      <c r="VYJ117" s="108"/>
      <c r="VYK117" s="108"/>
      <c r="VYL117" s="108"/>
      <c r="VYM117" s="108"/>
      <c r="VYN117" s="108"/>
      <c r="VYO117" s="108"/>
      <c r="VYP117" s="108"/>
      <c r="VYQ117" s="108"/>
      <c r="VYR117" s="108"/>
      <c r="VYS117" s="108"/>
      <c r="VYT117" s="108"/>
      <c r="VYU117" s="108"/>
      <c r="VYV117" s="108"/>
      <c r="VYW117" s="108"/>
      <c r="VYX117" s="108"/>
      <c r="VYY117" s="108"/>
      <c r="VYZ117" s="108"/>
      <c r="VZA117" s="108"/>
      <c r="VZB117" s="108"/>
      <c r="VZC117" s="108"/>
      <c r="VZD117" s="108"/>
      <c r="VZE117" s="108"/>
      <c r="VZF117" s="108"/>
      <c r="VZG117" s="108"/>
      <c r="VZH117" s="108"/>
      <c r="VZI117" s="108"/>
      <c r="VZJ117" s="108"/>
      <c r="VZK117" s="108"/>
      <c r="VZL117" s="108"/>
      <c r="VZM117" s="108"/>
      <c r="VZN117" s="108"/>
      <c r="VZO117" s="108"/>
      <c r="VZP117" s="108"/>
      <c r="VZQ117" s="108"/>
      <c r="VZR117" s="108"/>
      <c r="VZS117" s="108"/>
      <c r="VZT117" s="108"/>
      <c r="VZU117" s="108"/>
      <c r="VZV117" s="108"/>
      <c r="VZW117" s="108"/>
      <c r="VZX117" s="108"/>
      <c r="VZY117" s="108"/>
      <c r="VZZ117" s="108"/>
      <c r="WAA117" s="108"/>
      <c r="WAB117" s="108"/>
      <c r="WAC117" s="108"/>
      <c r="WAD117" s="108"/>
      <c r="WAE117" s="108"/>
      <c r="WAF117" s="108"/>
      <c r="WAG117" s="108"/>
      <c r="WAH117" s="108"/>
      <c r="WAI117" s="108"/>
      <c r="WAJ117" s="108"/>
      <c r="WAK117" s="108"/>
      <c r="WAL117" s="108"/>
      <c r="WAM117" s="108"/>
      <c r="WAN117" s="108"/>
      <c r="WAO117" s="108"/>
      <c r="WAP117" s="108"/>
      <c r="WAQ117" s="108"/>
      <c r="WAR117" s="108"/>
      <c r="WAS117" s="108"/>
      <c r="WAT117" s="108"/>
      <c r="WAU117" s="108"/>
      <c r="WAV117" s="108"/>
      <c r="WAW117" s="108"/>
      <c r="WAX117" s="108"/>
      <c r="WAY117" s="108"/>
      <c r="WAZ117" s="108"/>
      <c r="WBA117" s="108"/>
      <c r="WBB117" s="108"/>
      <c r="WBC117" s="108"/>
      <c r="WBD117" s="108"/>
      <c r="WBE117" s="108"/>
      <c r="WBF117" s="108"/>
      <c r="WBG117" s="108"/>
      <c r="WBH117" s="108"/>
      <c r="WBI117" s="108"/>
      <c r="WBJ117" s="108"/>
      <c r="WBK117" s="108"/>
      <c r="WBL117" s="108"/>
      <c r="WBM117" s="108"/>
      <c r="WBN117" s="108"/>
      <c r="WBO117" s="108"/>
      <c r="WBP117" s="108"/>
      <c r="WBQ117" s="108"/>
      <c r="WBR117" s="108"/>
      <c r="WBS117" s="108"/>
      <c r="WBT117" s="108"/>
      <c r="WBU117" s="108"/>
      <c r="WBV117" s="108"/>
      <c r="WBW117" s="108"/>
      <c r="WBX117" s="108"/>
      <c r="WBY117" s="108"/>
      <c r="WBZ117" s="108"/>
      <c r="WCA117" s="108"/>
      <c r="WCB117" s="108"/>
      <c r="WCC117" s="108"/>
      <c r="WCD117" s="108"/>
      <c r="WCE117" s="108"/>
      <c r="WCF117" s="108"/>
      <c r="WCG117" s="108"/>
      <c r="WCH117" s="108"/>
      <c r="WCI117" s="108"/>
      <c r="WCJ117" s="108"/>
      <c r="WCK117" s="108"/>
      <c r="WCL117" s="108"/>
      <c r="WCM117" s="108"/>
      <c r="WCN117" s="108"/>
      <c r="WCO117" s="108"/>
      <c r="WCP117" s="108"/>
      <c r="WCQ117" s="108"/>
      <c r="WCR117" s="108"/>
      <c r="WCS117" s="108"/>
      <c r="WCT117" s="108"/>
      <c r="WCU117" s="108"/>
      <c r="WCV117" s="108"/>
      <c r="WCW117" s="108"/>
      <c r="WCX117" s="108"/>
      <c r="WCY117" s="108"/>
      <c r="WCZ117" s="108"/>
      <c r="WDA117" s="108"/>
      <c r="WDB117" s="108"/>
      <c r="WDC117" s="108"/>
      <c r="WDD117" s="108"/>
      <c r="WDE117" s="108"/>
      <c r="WDF117" s="108"/>
      <c r="WDG117" s="108"/>
      <c r="WDH117" s="108"/>
      <c r="WDI117" s="108"/>
      <c r="WDJ117" s="108"/>
      <c r="WDK117" s="108"/>
      <c r="WDL117" s="108"/>
      <c r="WDM117" s="108"/>
      <c r="WDN117" s="108"/>
      <c r="WDO117" s="108"/>
      <c r="WDP117" s="108"/>
      <c r="WDQ117" s="108"/>
      <c r="WDR117" s="108"/>
      <c r="WDS117" s="108"/>
      <c r="WDT117" s="108"/>
      <c r="WDU117" s="108"/>
      <c r="WDV117" s="108"/>
      <c r="WDW117" s="108"/>
      <c r="WDX117" s="108"/>
      <c r="WDY117" s="108"/>
      <c r="WDZ117" s="108"/>
      <c r="WEA117" s="108"/>
      <c r="WEB117" s="108"/>
      <c r="WEC117" s="108"/>
      <c r="WED117" s="108"/>
      <c r="WEE117" s="108"/>
      <c r="WEF117" s="108"/>
      <c r="WEG117" s="108"/>
      <c r="WEH117" s="108"/>
      <c r="WEI117" s="108"/>
      <c r="WEJ117" s="108"/>
      <c r="WEK117" s="108"/>
      <c r="WEL117" s="108"/>
      <c r="WEM117" s="108"/>
      <c r="WEN117" s="108"/>
      <c r="WEO117" s="108"/>
      <c r="WEP117" s="108"/>
      <c r="WEQ117" s="108"/>
      <c r="WER117" s="108"/>
      <c r="WES117" s="108"/>
      <c r="WET117" s="108"/>
      <c r="WEU117" s="108"/>
      <c r="WEV117" s="108"/>
      <c r="WEW117" s="108"/>
      <c r="WEX117" s="108"/>
      <c r="WEY117" s="108"/>
      <c r="WEZ117" s="108"/>
      <c r="WFA117" s="108"/>
      <c r="WFB117" s="108"/>
      <c r="WFC117" s="108"/>
      <c r="WFD117" s="108"/>
      <c r="WFE117" s="108"/>
      <c r="WFF117" s="108"/>
      <c r="WFG117" s="108"/>
      <c r="WFH117" s="108"/>
      <c r="WFI117" s="108"/>
      <c r="WFJ117" s="108"/>
      <c r="WFK117" s="108"/>
      <c r="WFL117" s="108"/>
      <c r="WFM117" s="108"/>
      <c r="WFN117" s="108"/>
      <c r="WFO117" s="108"/>
      <c r="WFP117" s="108"/>
      <c r="WFQ117" s="108"/>
      <c r="WFR117" s="108"/>
      <c r="WFS117" s="108"/>
      <c r="WFT117" s="108"/>
      <c r="WFU117" s="108"/>
      <c r="WFV117" s="108"/>
      <c r="WFW117" s="108"/>
      <c r="WFX117" s="108"/>
      <c r="WFY117" s="108"/>
      <c r="WFZ117" s="108"/>
      <c r="WGA117" s="108"/>
      <c r="WGB117" s="108"/>
      <c r="WGC117" s="108"/>
      <c r="WGD117" s="108"/>
      <c r="WGE117" s="108"/>
      <c r="WGF117" s="108"/>
      <c r="WGG117" s="108"/>
      <c r="WGH117" s="108"/>
      <c r="WGI117" s="108"/>
      <c r="WGJ117" s="108"/>
      <c r="WGK117" s="108"/>
      <c r="WGL117" s="108"/>
      <c r="WGM117" s="108"/>
      <c r="WGN117" s="108"/>
      <c r="WGO117" s="108"/>
      <c r="WGP117" s="108"/>
      <c r="WGQ117" s="108"/>
      <c r="WGR117" s="108"/>
      <c r="WGS117" s="108"/>
      <c r="WGT117" s="108"/>
      <c r="WGU117" s="108"/>
      <c r="WGV117" s="108"/>
      <c r="WGW117" s="108"/>
      <c r="WGX117" s="108"/>
      <c r="WGY117" s="108"/>
      <c r="WGZ117" s="108"/>
      <c r="WHA117" s="108"/>
      <c r="WHB117" s="108"/>
      <c r="WHC117" s="108"/>
      <c r="WHD117" s="108"/>
      <c r="WHE117" s="108"/>
      <c r="WHF117" s="108"/>
      <c r="WHG117" s="108"/>
      <c r="WHH117" s="108"/>
      <c r="WHI117" s="108"/>
      <c r="WHJ117" s="108"/>
      <c r="WHK117" s="108"/>
      <c r="WHL117" s="108"/>
      <c r="WHM117" s="108"/>
      <c r="WHN117" s="108"/>
      <c r="WHO117" s="108"/>
      <c r="WHP117" s="108"/>
      <c r="WHQ117" s="108"/>
      <c r="WHR117" s="108"/>
      <c r="WHS117" s="108"/>
      <c r="WHT117" s="108"/>
      <c r="WHU117" s="108"/>
      <c r="WHV117" s="108"/>
      <c r="WHW117" s="108"/>
      <c r="WHX117" s="108"/>
      <c r="WHY117" s="108"/>
      <c r="WHZ117" s="108"/>
      <c r="WIA117" s="108"/>
      <c r="WIB117" s="108"/>
      <c r="WIC117" s="108"/>
      <c r="WID117" s="108"/>
      <c r="WIE117" s="108"/>
      <c r="WIF117" s="108"/>
      <c r="WIG117" s="108"/>
      <c r="WIH117" s="108"/>
      <c r="WII117" s="108"/>
      <c r="WIJ117" s="108"/>
      <c r="WIK117" s="108"/>
      <c r="WIL117" s="108"/>
      <c r="WIM117" s="108"/>
      <c r="WIN117" s="108"/>
      <c r="WIO117" s="108"/>
      <c r="WIP117" s="108"/>
      <c r="WIQ117" s="108"/>
      <c r="WIR117" s="108"/>
      <c r="WIS117" s="108"/>
      <c r="WIT117" s="108"/>
      <c r="WIU117" s="108"/>
      <c r="WIV117" s="108"/>
      <c r="WIW117" s="108"/>
      <c r="WIX117" s="108"/>
      <c r="WIY117" s="108"/>
      <c r="WIZ117" s="108"/>
      <c r="WJA117" s="108"/>
      <c r="WJB117" s="108"/>
      <c r="WJC117" s="108"/>
      <c r="WJD117" s="108"/>
      <c r="WJE117" s="108"/>
      <c r="WJF117" s="108"/>
      <c r="WJG117" s="108"/>
      <c r="WJH117" s="108"/>
      <c r="WJI117" s="108"/>
      <c r="WJJ117" s="108"/>
      <c r="WJK117" s="108"/>
      <c r="WJL117" s="108"/>
      <c r="WJM117" s="108"/>
      <c r="WJN117" s="108"/>
      <c r="WJO117" s="108"/>
      <c r="WJP117" s="108"/>
      <c r="WJQ117" s="108"/>
      <c r="WJR117" s="108"/>
      <c r="WJS117" s="108"/>
      <c r="WJT117" s="108"/>
      <c r="WJU117" s="108"/>
      <c r="WJV117" s="108"/>
      <c r="WJW117" s="108"/>
      <c r="WJX117" s="108"/>
      <c r="WJY117" s="108"/>
      <c r="WJZ117" s="108"/>
      <c r="WKA117" s="108"/>
      <c r="WKB117" s="108"/>
      <c r="WKC117" s="108"/>
      <c r="WKD117" s="108"/>
      <c r="WKE117" s="108"/>
      <c r="WKF117" s="108"/>
      <c r="WKG117" s="108"/>
      <c r="WKH117" s="108"/>
      <c r="WKI117" s="108"/>
      <c r="WKJ117" s="108"/>
      <c r="WKK117" s="108"/>
      <c r="WKL117" s="108"/>
      <c r="WKM117" s="108"/>
      <c r="WKN117" s="108"/>
      <c r="WKO117" s="108"/>
      <c r="WKP117" s="108"/>
      <c r="WKQ117" s="108"/>
      <c r="WKR117" s="108"/>
      <c r="WKS117" s="108"/>
      <c r="WKT117" s="108"/>
      <c r="WKU117" s="108"/>
      <c r="WKV117" s="108"/>
      <c r="WKW117" s="108"/>
      <c r="WKX117" s="108"/>
      <c r="WKY117" s="108"/>
      <c r="WKZ117" s="108"/>
      <c r="WLA117" s="108"/>
      <c r="WLB117" s="108"/>
      <c r="WLC117" s="108"/>
      <c r="WLD117" s="108"/>
      <c r="WLE117" s="108"/>
      <c r="WLF117" s="108"/>
      <c r="WLG117" s="108"/>
      <c r="WLH117" s="108"/>
      <c r="WLI117" s="108"/>
      <c r="WLJ117" s="108"/>
      <c r="WLK117" s="108"/>
      <c r="WLL117" s="108"/>
      <c r="WLM117" s="108"/>
      <c r="WLN117" s="108"/>
      <c r="WLO117" s="108"/>
      <c r="WLP117" s="108"/>
      <c r="WLQ117" s="108"/>
      <c r="WLR117" s="108"/>
      <c r="WLS117" s="108"/>
      <c r="WLT117" s="108"/>
      <c r="WLU117" s="108"/>
      <c r="WLV117" s="108"/>
      <c r="WLW117" s="108"/>
      <c r="WLX117" s="108"/>
      <c r="WLY117" s="108"/>
      <c r="WLZ117" s="108"/>
      <c r="WMA117" s="108"/>
      <c r="WMB117" s="108"/>
      <c r="WMC117" s="108"/>
      <c r="WMD117" s="108"/>
      <c r="WME117" s="108"/>
      <c r="WMF117" s="108"/>
      <c r="WMG117" s="108"/>
      <c r="WMH117" s="108"/>
      <c r="WMI117" s="108"/>
      <c r="WMJ117" s="108"/>
      <c r="WMK117" s="108"/>
      <c r="WML117" s="108"/>
      <c r="WMM117" s="108"/>
      <c r="WMN117" s="108"/>
      <c r="WMO117" s="108"/>
      <c r="WMP117" s="108"/>
      <c r="WMQ117" s="108"/>
      <c r="WMR117" s="108"/>
      <c r="WMS117" s="108"/>
      <c r="WMT117" s="108"/>
      <c r="WMU117" s="108"/>
      <c r="WMV117" s="108"/>
      <c r="WMW117" s="108"/>
      <c r="WMX117" s="108"/>
      <c r="WMY117" s="108"/>
      <c r="WMZ117" s="108"/>
      <c r="WNA117" s="108"/>
      <c r="WNB117" s="108"/>
      <c r="WNC117" s="108"/>
      <c r="WND117" s="108"/>
      <c r="WNE117" s="108"/>
      <c r="WNF117" s="108"/>
      <c r="WNG117" s="108"/>
      <c r="WNH117" s="108"/>
      <c r="WNI117" s="108"/>
      <c r="WNJ117" s="108"/>
      <c r="WNK117" s="108"/>
      <c r="WNL117" s="108"/>
      <c r="WNM117" s="108"/>
      <c r="WNN117" s="108"/>
      <c r="WNO117" s="108"/>
      <c r="WNP117" s="108"/>
      <c r="WNQ117" s="108"/>
      <c r="WNR117" s="108"/>
      <c r="WNS117" s="108"/>
      <c r="WNT117" s="108"/>
      <c r="WNU117" s="108"/>
      <c r="WNV117" s="108"/>
      <c r="WNW117" s="108"/>
      <c r="WNX117" s="108"/>
      <c r="WNY117" s="108"/>
      <c r="WNZ117" s="108"/>
      <c r="WOA117" s="108"/>
      <c r="WOB117" s="108"/>
      <c r="WOC117" s="108"/>
      <c r="WOD117" s="108"/>
      <c r="WOE117" s="108"/>
      <c r="WOF117" s="108"/>
      <c r="WOG117" s="108"/>
      <c r="WOH117" s="108"/>
      <c r="WOI117" s="108"/>
      <c r="WOJ117" s="108"/>
      <c r="WOK117" s="108"/>
      <c r="WOL117" s="108"/>
      <c r="WOM117" s="108"/>
      <c r="WON117" s="108"/>
      <c r="WOO117" s="108"/>
      <c r="WOP117" s="108"/>
      <c r="WOQ117" s="108"/>
      <c r="WOR117" s="108"/>
      <c r="WOS117" s="108"/>
      <c r="WOT117" s="108"/>
      <c r="WOU117" s="108"/>
      <c r="WOV117" s="108"/>
      <c r="WOW117" s="108"/>
      <c r="WOX117" s="108"/>
      <c r="WOY117" s="108"/>
      <c r="WOZ117" s="108"/>
      <c r="WPA117" s="108"/>
      <c r="WPB117" s="108"/>
      <c r="WPC117" s="108"/>
      <c r="WPD117" s="108"/>
      <c r="WPE117" s="108"/>
      <c r="WPF117" s="108"/>
      <c r="WPG117" s="108"/>
      <c r="WPH117" s="108"/>
      <c r="WPI117" s="108"/>
      <c r="WPJ117" s="108"/>
      <c r="WPK117" s="108"/>
      <c r="WPL117" s="108"/>
      <c r="WPM117" s="108"/>
      <c r="WPN117" s="108"/>
      <c r="WPO117" s="108"/>
      <c r="WPP117" s="108"/>
      <c r="WPQ117" s="108"/>
      <c r="WPR117" s="108"/>
      <c r="WPS117" s="108"/>
      <c r="WPT117" s="108"/>
      <c r="WPU117" s="108"/>
      <c r="WPV117" s="108"/>
      <c r="WPW117" s="108"/>
      <c r="WPX117" s="108"/>
      <c r="WPY117" s="108"/>
      <c r="WPZ117" s="108"/>
      <c r="WQA117" s="108"/>
      <c r="WQB117" s="108"/>
      <c r="WQC117" s="108"/>
      <c r="WQD117" s="108"/>
      <c r="WQE117" s="108"/>
      <c r="WQF117" s="108"/>
      <c r="WQG117" s="108"/>
      <c r="WQH117" s="108"/>
      <c r="WQI117" s="108"/>
      <c r="WQJ117" s="108"/>
      <c r="WQK117" s="108"/>
      <c r="WQL117" s="108"/>
      <c r="WQM117" s="108"/>
      <c r="WQN117" s="108"/>
      <c r="WQO117" s="108"/>
      <c r="WQP117" s="108"/>
      <c r="WQQ117" s="108"/>
      <c r="WQR117" s="108"/>
      <c r="WQS117" s="108"/>
      <c r="WQT117" s="108"/>
      <c r="WQU117" s="108"/>
      <c r="WQV117" s="108"/>
      <c r="WQW117" s="108"/>
      <c r="WQX117" s="108"/>
      <c r="WQY117" s="108"/>
      <c r="WQZ117" s="108"/>
      <c r="WRA117" s="108"/>
      <c r="WRB117" s="108"/>
      <c r="WRC117" s="108"/>
      <c r="WRD117" s="108"/>
      <c r="WRE117" s="108"/>
      <c r="WRF117" s="108"/>
      <c r="WRG117" s="108"/>
      <c r="WRH117" s="108"/>
      <c r="WRI117" s="108"/>
      <c r="WRJ117" s="108"/>
      <c r="WRK117" s="108"/>
      <c r="WRL117" s="108"/>
      <c r="WRM117" s="108"/>
      <c r="WRN117" s="108"/>
      <c r="WRO117" s="108"/>
      <c r="WRP117" s="108"/>
      <c r="WRQ117" s="108"/>
      <c r="WRR117" s="108"/>
      <c r="WRS117" s="108"/>
      <c r="WRT117" s="108"/>
      <c r="WRU117" s="108"/>
      <c r="WRV117" s="108"/>
      <c r="WRW117" s="108"/>
      <c r="WRX117" s="108"/>
      <c r="WRY117" s="108"/>
      <c r="WRZ117" s="108"/>
      <c r="WSA117" s="108"/>
      <c r="WSB117" s="108"/>
      <c r="WSC117" s="108"/>
      <c r="WSD117" s="108"/>
      <c r="WSE117" s="108"/>
      <c r="WSF117" s="108"/>
      <c r="WSG117" s="108"/>
      <c r="WSH117" s="108"/>
      <c r="WSI117" s="108"/>
      <c r="WSJ117" s="108"/>
      <c r="WSK117" s="108"/>
      <c r="WSL117" s="108"/>
      <c r="WSM117" s="108"/>
      <c r="WSN117" s="108"/>
      <c r="WSO117" s="108"/>
      <c r="WSP117" s="108"/>
      <c r="WSQ117" s="108"/>
      <c r="WSR117" s="108"/>
      <c r="WSS117" s="108"/>
      <c r="WST117" s="108"/>
      <c r="WSU117" s="108"/>
      <c r="WSV117" s="108"/>
      <c r="WSW117" s="108"/>
      <c r="WSX117" s="108"/>
      <c r="WSY117" s="108"/>
      <c r="WSZ117" s="108"/>
      <c r="WTA117" s="108"/>
      <c r="WTB117" s="108"/>
      <c r="WTC117" s="108"/>
      <c r="WTD117" s="108"/>
      <c r="WTE117" s="108"/>
      <c r="WTF117" s="108"/>
      <c r="WTG117" s="108"/>
      <c r="WTH117" s="108"/>
      <c r="WTI117" s="108"/>
      <c r="WTJ117" s="108"/>
      <c r="WTK117" s="108"/>
      <c r="WTL117" s="108"/>
      <c r="WTM117" s="108"/>
      <c r="WTN117" s="108"/>
      <c r="WTO117" s="108"/>
      <c r="WTP117" s="108"/>
      <c r="WTQ117" s="108"/>
      <c r="WTR117" s="108"/>
      <c r="WTS117" s="108"/>
      <c r="WTT117" s="108"/>
      <c r="WTU117" s="108"/>
      <c r="WTV117" s="108"/>
      <c r="WTW117" s="108"/>
      <c r="WTX117" s="108"/>
      <c r="WTY117" s="108"/>
      <c r="WTZ117" s="108"/>
      <c r="WUA117" s="108"/>
      <c r="WUB117" s="108"/>
      <c r="WUC117" s="108"/>
      <c r="WUD117" s="108"/>
      <c r="WUE117" s="108"/>
      <c r="WUF117" s="108"/>
      <c r="WUG117" s="108"/>
      <c r="WUH117" s="108"/>
      <c r="WUI117" s="108"/>
      <c r="WUJ117" s="108"/>
      <c r="WUK117" s="108"/>
      <c r="WUL117" s="108"/>
      <c r="WUM117" s="108"/>
      <c r="WUN117" s="108"/>
      <c r="WUO117" s="108"/>
      <c r="WUP117" s="108"/>
      <c r="WUQ117" s="108"/>
      <c r="WUR117" s="108"/>
      <c r="WUS117" s="108"/>
      <c r="WUT117" s="108"/>
      <c r="WUU117" s="108"/>
      <c r="WUV117" s="108"/>
      <c r="WUW117" s="108"/>
      <c r="WUX117" s="108"/>
      <c r="WUY117" s="108"/>
      <c r="WUZ117" s="108"/>
      <c r="WVA117" s="108"/>
      <c r="WVB117" s="108"/>
      <c r="WVC117" s="108"/>
      <c r="WVD117" s="108"/>
      <c r="WVE117" s="108"/>
      <c r="WVF117" s="108"/>
      <c r="WVG117" s="108"/>
      <c r="WVH117" s="108"/>
      <c r="WVI117" s="108"/>
      <c r="WVJ117" s="108"/>
      <c r="WVK117" s="108"/>
      <c r="WVL117" s="108"/>
      <c r="WVM117" s="108"/>
      <c r="WVN117" s="108"/>
      <c r="WVO117" s="108"/>
      <c r="WVP117" s="108"/>
      <c r="WVQ117" s="108"/>
      <c r="WVR117" s="108"/>
      <c r="WVS117" s="108"/>
      <c r="WVT117" s="108"/>
      <c r="WVU117" s="108"/>
      <c r="WVV117" s="108"/>
      <c r="WVW117" s="108"/>
      <c r="WVX117" s="108"/>
      <c r="WVY117" s="108"/>
      <c r="WVZ117" s="108"/>
      <c r="WWA117" s="108"/>
      <c r="WWB117" s="108"/>
      <c r="WWC117" s="108"/>
      <c r="WWD117" s="108"/>
      <c r="WWE117" s="108"/>
      <c r="WWF117" s="108"/>
      <c r="WWG117" s="108"/>
      <c r="WWH117" s="108"/>
      <c r="WWI117" s="108"/>
      <c r="WWJ117" s="108"/>
      <c r="WWK117" s="108"/>
      <c r="WWL117" s="108"/>
      <c r="WWM117" s="108"/>
      <c r="WWN117" s="108"/>
      <c r="WWO117" s="108"/>
      <c r="WWP117" s="108"/>
      <c r="WWQ117" s="108"/>
      <c r="WWR117" s="108"/>
      <c r="WWS117" s="108"/>
      <c r="WWT117" s="108"/>
      <c r="WWU117" s="108"/>
      <c r="WWV117" s="108"/>
      <c r="WWW117" s="108"/>
      <c r="WWX117" s="108"/>
      <c r="WWY117" s="108"/>
      <c r="WWZ117" s="108"/>
      <c r="WXA117" s="108"/>
      <c r="WXB117" s="108"/>
      <c r="WXC117" s="108"/>
      <c r="WXD117" s="108"/>
      <c r="WXE117" s="108"/>
      <c r="WXF117" s="108"/>
      <c r="WXG117" s="108"/>
      <c r="WXH117" s="108"/>
      <c r="WXI117" s="108"/>
      <c r="WXJ117" s="108"/>
      <c r="WXK117" s="108"/>
      <c r="WXL117" s="108"/>
      <c r="WXM117" s="108"/>
      <c r="WXN117" s="108"/>
      <c r="WXO117" s="108"/>
      <c r="WXP117" s="108"/>
      <c r="WXQ117" s="108"/>
      <c r="WXR117" s="108"/>
      <c r="WXS117" s="108"/>
      <c r="WXT117" s="108"/>
      <c r="WXU117" s="108"/>
      <c r="WXV117" s="108"/>
      <c r="WXW117" s="108"/>
      <c r="WXX117" s="108"/>
      <c r="WXY117" s="108"/>
      <c r="WXZ117" s="108"/>
      <c r="WYA117" s="108"/>
      <c r="WYB117" s="108"/>
      <c r="WYC117" s="108"/>
      <c r="WYD117" s="108"/>
      <c r="WYE117" s="108"/>
      <c r="WYF117" s="108"/>
      <c r="WYG117" s="108"/>
      <c r="WYH117" s="108"/>
      <c r="WYI117" s="108"/>
      <c r="WYJ117" s="108"/>
      <c r="WYK117" s="108"/>
      <c r="WYL117" s="108"/>
      <c r="WYM117" s="108"/>
      <c r="WYN117" s="108"/>
      <c r="WYO117" s="108"/>
      <c r="WYP117" s="108"/>
      <c r="WYQ117" s="108"/>
      <c r="WYR117" s="108"/>
      <c r="WYS117" s="108"/>
      <c r="WYT117" s="108"/>
      <c r="WYU117" s="108"/>
      <c r="WYV117" s="108"/>
      <c r="WYW117" s="108"/>
      <c r="WYX117" s="108"/>
      <c r="WYY117" s="108"/>
      <c r="WYZ117" s="108"/>
      <c r="WZA117" s="108"/>
      <c r="WZB117" s="108"/>
      <c r="WZC117" s="108"/>
      <c r="WZD117" s="108"/>
      <c r="WZE117" s="108"/>
      <c r="WZF117" s="108"/>
      <c r="WZG117" s="108"/>
      <c r="WZH117" s="108"/>
      <c r="WZI117" s="108"/>
      <c r="WZJ117" s="108"/>
      <c r="WZK117" s="108"/>
      <c r="WZL117" s="108"/>
      <c r="WZM117" s="108"/>
      <c r="WZN117" s="108"/>
      <c r="WZO117" s="108"/>
      <c r="WZP117" s="108"/>
      <c r="WZQ117" s="108"/>
      <c r="WZR117" s="108"/>
      <c r="WZS117" s="108"/>
      <c r="WZT117" s="108"/>
      <c r="WZU117" s="108"/>
      <c r="WZV117" s="108"/>
      <c r="WZW117" s="108"/>
      <c r="WZX117" s="108"/>
      <c r="WZY117" s="108"/>
      <c r="WZZ117" s="108"/>
      <c r="XAA117" s="108"/>
      <c r="XAB117" s="108"/>
      <c r="XAC117" s="108"/>
      <c r="XAD117" s="108"/>
      <c r="XAE117" s="108"/>
      <c r="XAF117" s="108"/>
      <c r="XAG117" s="108"/>
      <c r="XAH117" s="108"/>
      <c r="XAI117" s="108"/>
      <c r="XAJ117" s="108"/>
      <c r="XAK117" s="108"/>
      <c r="XAL117" s="108"/>
      <c r="XAM117" s="108"/>
      <c r="XAN117" s="108"/>
      <c r="XAO117" s="108"/>
      <c r="XAP117" s="108"/>
      <c r="XAQ117" s="108"/>
      <c r="XAR117" s="108"/>
      <c r="XAS117" s="108"/>
      <c r="XAT117" s="108"/>
      <c r="XAU117" s="108"/>
      <c r="XAV117" s="108"/>
      <c r="XAW117" s="108"/>
      <c r="XAX117" s="108"/>
      <c r="XAY117" s="108"/>
      <c r="XAZ117" s="108"/>
      <c r="XBA117" s="108"/>
      <c r="XBB117" s="108"/>
      <c r="XBC117" s="108"/>
      <c r="XBD117" s="108"/>
      <c r="XBE117" s="108"/>
      <c r="XBF117" s="108"/>
      <c r="XBG117" s="108"/>
      <c r="XBH117" s="108"/>
      <c r="XBI117" s="108"/>
      <c r="XBJ117" s="108"/>
      <c r="XBK117" s="108"/>
      <c r="XBL117" s="108"/>
      <c r="XBM117" s="108"/>
      <c r="XBN117" s="108"/>
      <c r="XBO117" s="108"/>
      <c r="XBP117" s="108"/>
      <c r="XBQ117" s="108"/>
      <c r="XBR117" s="108"/>
      <c r="XBS117" s="108"/>
      <c r="XBT117" s="108"/>
      <c r="XBU117" s="108"/>
      <c r="XBV117" s="108"/>
      <c r="XBW117" s="108"/>
      <c r="XBX117" s="108"/>
      <c r="XBY117" s="108"/>
      <c r="XBZ117" s="108"/>
      <c r="XCA117" s="108"/>
      <c r="XCB117" s="108"/>
      <c r="XCC117" s="108"/>
      <c r="XCD117" s="108"/>
      <c r="XCE117" s="108"/>
      <c r="XCF117" s="108"/>
      <c r="XCG117" s="108"/>
      <c r="XCH117" s="108"/>
      <c r="XCI117" s="108"/>
      <c r="XCJ117" s="108"/>
      <c r="XCK117" s="108"/>
      <c r="XCL117" s="108"/>
      <c r="XCM117" s="108"/>
      <c r="XCN117" s="108"/>
      <c r="XCO117" s="108"/>
      <c r="XCP117" s="108"/>
      <c r="XCQ117" s="108"/>
      <c r="XCR117" s="108"/>
      <c r="XCS117" s="108"/>
      <c r="XCT117" s="108"/>
      <c r="XCU117" s="108"/>
      <c r="XCV117" s="108"/>
      <c r="XCW117" s="108"/>
      <c r="XCX117" s="108"/>
      <c r="XCY117" s="108"/>
      <c r="XCZ117" s="108"/>
      <c r="XDA117" s="108"/>
      <c r="XDB117" s="108"/>
      <c r="XDC117" s="108"/>
      <c r="XDD117" s="108"/>
      <c r="XDE117" s="108"/>
      <c r="XDF117" s="108"/>
      <c r="XDG117" s="108"/>
      <c r="XDH117" s="108"/>
      <c r="XDI117" s="108"/>
      <c r="XDJ117" s="108"/>
      <c r="XDK117" s="108"/>
      <c r="XDL117" s="108"/>
      <c r="XDM117" s="108"/>
      <c r="XDN117" s="108"/>
      <c r="XDO117" s="108"/>
      <c r="XDP117" s="108"/>
      <c r="XDQ117" s="108"/>
      <c r="XDR117" s="108"/>
      <c r="XDS117" s="108"/>
      <c r="XDT117" s="108"/>
      <c r="XDU117" s="108"/>
      <c r="XDV117" s="108"/>
      <c r="XDW117" s="108"/>
      <c r="XDX117" s="108"/>
      <c r="XDY117" s="108"/>
      <c r="XDZ117" s="108"/>
      <c r="XEA117" s="108"/>
      <c r="XEB117" s="108"/>
      <c r="XEC117" s="108"/>
      <c r="XED117" s="108"/>
      <c r="XEE117" s="108"/>
      <c r="XEF117" s="108"/>
      <c r="XEG117" s="108"/>
      <c r="XEH117" s="108"/>
      <c r="XEI117" s="108"/>
      <c r="XEJ117" s="108"/>
      <c r="XEK117" s="108"/>
      <c r="XEL117" s="108"/>
      <c r="XEM117" s="108"/>
      <c r="XEN117" s="108"/>
      <c r="XEO117" s="108"/>
      <c r="XEP117" s="108"/>
    </row>
    <row r="118" spans="1:16370" hidden="1" outlineLevel="1">
      <c r="A118" s="90" t="s">
        <v>323</v>
      </c>
    </row>
    <row r="119" spans="1:16370" hidden="1" outlineLevel="1">
      <c r="A119" s="70" t="s">
        <v>123</v>
      </c>
      <c r="B119" s="85" t="s">
        <v>85</v>
      </c>
      <c r="C119" s="72"/>
      <c r="D119" s="77">
        <f>'0'!D21</f>
        <v>15</v>
      </c>
      <c r="E119" s="77">
        <f>'0'!E21</f>
        <v>16</v>
      </c>
      <c r="F119" s="77">
        <f>'0'!F21</f>
        <v>17</v>
      </c>
      <c r="G119" s="77">
        <f>'0'!G21</f>
        <v>18</v>
      </c>
      <c r="H119" s="77">
        <f>'0'!H21</f>
        <v>19</v>
      </c>
      <c r="I119" s="77">
        <f>'0'!I21</f>
        <v>20</v>
      </c>
      <c r="J119" s="77">
        <f>'0'!J21</f>
        <v>20</v>
      </c>
      <c r="K119" s="77">
        <f>'0'!K21</f>
        <v>22</v>
      </c>
      <c r="L119" s="77">
        <f>'0'!L21</f>
        <v>24</v>
      </c>
      <c r="M119" s="77">
        <f>'0'!M21</f>
        <v>26</v>
      </c>
      <c r="N119" s="77">
        <f>'0'!N21</f>
        <v>28</v>
      </c>
      <c r="O119" s="77">
        <f>'0'!O21</f>
        <v>30</v>
      </c>
      <c r="P119" s="77">
        <f>'0'!P21</f>
        <v>30</v>
      </c>
      <c r="Q119" s="77">
        <f>'0'!Q21</f>
        <v>30</v>
      </c>
      <c r="R119" s="77">
        <f>'0'!R21</f>
        <v>30</v>
      </c>
      <c r="S119" s="77">
        <f>'0'!S21</f>
        <v>30</v>
      </c>
      <c r="T119" s="77">
        <f>'0'!T21</f>
        <v>30</v>
      </c>
      <c r="U119" s="77">
        <f>'0'!U21</f>
        <v>30</v>
      </c>
      <c r="V119" s="77">
        <f>'0'!V21</f>
        <v>30</v>
      </c>
      <c r="W119" s="77">
        <f>'0'!W21</f>
        <v>30</v>
      </c>
      <c r="X119" s="77">
        <f>'0'!X21</f>
        <v>30</v>
      </c>
      <c r="Y119" s="77">
        <f>'0'!Y21</f>
        <v>30</v>
      </c>
      <c r="Z119" s="77">
        <f>'0'!Z21</f>
        <v>30</v>
      </c>
      <c r="AA119" s="77">
        <f>'0'!AA21</f>
        <v>30</v>
      </c>
      <c r="AB119" s="77">
        <f>'0'!AB21</f>
        <v>30</v>
      </c>
      <c r="AC119" s="77">
        <f>'0'!AC21</f>
        <v>30</v>
      </c>
      <c r="AD119" s="77">
        <f>'0'!AD21</f>
        <v>30</v>
      </c>
      <c r="AE119" s="77">
        <f>'0'!AE21</f>
        <v>30</v>
      </c>
      <c r="AF119" s="77">
        <f>'0'!AF21</f>
        <v>30</v>
      </c>
      <c r="AG119" s="77">
        <f>'0'!AG21</f>
        <v>30</v>
      </c>
      <c r="AH119" s="77">
        <f>'0'!AH21</f>
        <v>30</v>
      </c>
      <c r="AI119" s="77">
        <f>'0'!AI21</f>
        <v>30</v>
      </c>
      <c r="AJ119" s="77">
        <f>'0'!AJ21</f>
        <v>30</v>
      </c>
      <c r="AK119" s="77">
        <f>'0'!AK21</f>
        <v>30</v>
      </c>
      <c r="AL119" s="77">
        <f>'0'!AL21</f>
        <v>30</v>
      </c>
      <c r="AM119" s="77">
        <f>'0'!AM21</f>
        <v>30</v>
      </c>
      <c r="AN119" s="81"/>
      <c r="AO119" s="75">
        <f>O119</f>
        <v>30</v>
      </c>
      <c r="AP119" s="75">
        <f>AA119</f>
        <v>30</v>
      </c>
      <c r="AQ119" s="75">
        <f>AM119</f>
        <v>30</v>
      </c>
    </row>
    <row r="120" spans="1:16370" hidden="1" outlineLevel="1">
      <c r="A120" s="70" t="s">
        <v>277</v>
      </c>
      <c r="B120" s="85" t="s">
        <v>78</v>
      </c>
      <c r="C120" s="72"/>
      <c r="D120" s="86">
        <v>100000</v>
      </c>
      <c r="E120" s="86">
        <v>100000</v>
      </c>
      <c r="F120" s="86">
        <v>100000</v>
      </c>
      <c r="G120" s="86">
        <v>100000</v>
      </c>
      <c r="H120" s="86">
        <v>100000</v>
      </c>
      <c r="I120" s="86">
        <v>100000</v>
      </c>
      <c r="J120" s="86">
        <v>100000</v>
      </c>
      <c r="K120" s="86">
        <v>100000</v>
      </c>
      <c r="L120" s="86">
        <v>100000</v>
      </c>
      <c r="M120" s="86">
        <v>100000</v>
      </c>
      <c r="N120" s="86">
        <v>100000</v>
      </c>
      <c r="O120" s="86">
        <v>100000</v>
      </c>
      <c r="P120" s="86">
        <v>100000</v>
      </c>
      <c r="Q120" s="86">
        <v>100000</v>
      </c>
      <c r="R120" s="86">
        <v>100000</v>
      </c>
      <c r="S120" s="86">
        <v>100000</v>
      </c>
      <c r="T120" s="86">
        <v>100000</v>
      </c>
      <c r="U120" s="86">
        <v>100000</v>
      </c>
      <c r="V120" s="86">
        <v>100000</v>
      </c>
      <c r="W120" s="86">
        <v>100000</v>
      </c>
      <c r="X120" s="86">
        <v>100000</v>
      </c>
      <c r="Y120" s="86">
        <v>100000</v>
      </c>
      <c r="Z120" s="86">
        <v>100000</v>
      </c>
      <c r="AA120" s="86">
        <v>100000</v>
      </c>
      <c r="AB120" s="86">
        <v>100000</v>
      </c>
      <c r="AC120" s="86">
        <v>100000</v>
      </c>
      <c r="AD120" s="86">
        <v>100000</v>
      </c>
      <c r="AE120" s="86">
        <v>100000</v>
      </c>
      <c r="AF120" s="86">
        <v>100000</v>
      </c>
      <c r="AG120" s="86">
        <v>100000</v>
      </c>
      <c r="AH120" s="86">
        <v>100000</v>
      </c>
      <c r="AI120" s="86">
        <v>100000</v>
      </c>
      <c r="AJ120" s="86">
        <v>100000</v>
      </c>
      <c r="AK120" s="86">
        <v>100000</v>
      </c>
      <c r="AL120" s="86">
        <v>100000</v>
      </c>
      <c r="AM120" s="86">
        <v>100000</v>
      </c>
      <c r="AN120" s="81"/>
      <c r="AO120" s="75">
        <f>AVERAGE(D120:O120)</f>
        <v>100000</v>
      </c>
      <c r="AP120" s="75">
        <f>AVERAGE(P120:AA120)</f>
        <v>100000</v>
      </c>
      <c r="AQ120" s="75">
        <f>AVERAGE(AB120:AM120)</f>
        <v>100000</v>
      </c>
    </row>
    <row r="121" spans="1:16370" hidden="1" outlineLevel="1">
      <c r="A121" s="80" t="s">
        <v>280</v>
      </c>
      <c r="B121" s="85" t="s">
        <v>78</v>
      </c>
      <c r="D121" s="110">
        <f>D120*D119</f>
        <v>1500000</v>
      </c>
      <c r="E121" s="110">
        <f t="shared" ref="E121:AM121" si="119">E120*E119</f>
        <v>1600000</v>
      </c>
      <c r="F121" s="110">
        <f t="shared" si="119"/>
        <v>1700000</v>
      </c>
      <c r="G121" s="110">
        <f t="shared" si="119"/>
        <v>1800000</v>
      </c>
      <c r="H121" s="110">
        <f t="shared" si="119"/>
        <v>1900000</v>
      </c>
      <c r="I121" s="110">
        <f t="shared" si="119"/>
        <v>2000000</v>
      </c>
      <c r="J121" s="110">
        <f t="shared" si="119"/>
        <v>2000000</v>
      </c>
      <c r="K121" s="110">
        <f t="shared" si="119"/>
        <v>2200000</v>
      </c>
      <c r="L121" s="110">
        <f t="shared" si="119"/>
        <v>2400000</v>
      </c>
      <c r="M121" s="110">
        <f t="shared" si="119"/>
        <v>2600000</v>
      </c>
      <c r="N121" s="110">
        <f t="shared" si="119"/>
        <v>2800000</v>
      </c>
      <c r="O121" s="110">
        <f t="shared" si="119"/>
        <v>3000000</v>
      </c>
      <c r="P121" s="110">
        <f t="shared" si="119"/>
        <v>3000000</v>
      </c>
      <c r="Q121" s="110">
        <f t="shared" si="119"/>
        <v>3000000</v>
      </c>
      <c r="R121" s="110">
        <f t="shared" si="119"/>
        <v>3000000</v>
      </c>
      <c r="S121" s="110">
        <f t="shared" si="119"/>
        <v>3000000</v>
      </c>
      <c r="T121" s="110">
        <f t="shared" si="119"/>
        <v>3000000</v>
      </c>
      <c r="U121" s="110">
        <f t="shared" si="119"/>
        <v>3000000</v>
      </c>
      <c r="V121" s="110">
        <f t="shared" si="119"/>
        <v>3000000</v>
      </c>
      <c r="W121" s="110">
        <f t="shared" si="119"/>
        <v>3000000</v>
      </c>
      <c r="X121" s="110">
        <f t="shared" si="119"/>
        <v>3000000</v>
      </c>
      <c r="Y121" s="110">
        <f t="shared" si="119"/>
        <v>3000000</v>
      </c>
      <c r="Z121" s="110">
        <f t="shared" si="119"/>
        <v>3000000</v>
      </c>
      <c r="AA121" s="110">
        <f t="shared" si="119"/>
        <v>3000000</v>
      </c>
      <c r="AB121" s="110">
        <f t="shared" si="119"/>
        <v>3000000</v>
      </c>
      <c r="AC121" s="110">
        <f t="shared" si="119"/>
        <v>3000000</v>
      </c>
      <c r="AD121" s="110">
        <f t="shared" si="119"/>
        <v>3000000</v>
      </c>
      <c r="AE121" s="110">
        <f t="shared" si="119"/>
        <v>3000000</v>
      </c>
      <c r="AF121" s="110">
        <f t="shared" si="119"/>
        <v>3000000</v>
      </c>
      <c r="AG121" s="110">
        <f t="shared" si="119"/>
        <v>3000000</v>
      </c>
      <c r="AH121" s="110">
        <f t="shared" si="119"/>
        <v>3000000</v>
      </c>
      <c r="AI121" s="110">
        <f t="shared" si="119"/>
        <v>3000000</v>
      </c>
      <c r="AJ121" s="110">
        <f t="shared" si="119"/>
        <v>3000000</v>
      </c>
      <c r="AK121" s="110">
        <f t="shared" si="119"/>
        <v>3000000</v>
      </c>
      <c r="AL121" s="110">
        <f t="shared" si="119"/>
        <v>3000000</v>
      </c>
      <c r="AM121" s="110">
        <f t="shared" si="119"/>
        <v>3000000</v>
      </c>
      <c r="AO121" s="75">
        <f>SUM(D121:O121)</f>
        <v>25500000</v>
      </c>
      <c r="AP121" s="75">
        <f>SUM(P121:AA121)</f>
        <v>36000000</v>
      </c>
      <c r="AQ121" s="75">
        <f>SUM(AB121:AM121)</f>
        <v>36000000</v>
      </c>
    </row>
    <row r="122" spans="1:16370" hidden="1" outlineLevel="1">
      <c r="A122" s="80" t="s">
        <v>281</v>
      </c>
      <c r="B122" s="71" t="s">
        <v>79</v>
      </c>
      <c r="D122" s="92">
        <v>0.01</v>
      </c>
      <c r="E122" s="92">
        <v>0.01</v>
      </c>
      <c r="F122" s="92">
        <v>0.01</v>
      </c>
      <c r="G122" s="92">
        <v>0.01</v>
      </c>
      <c r="H122" s="92">
        <v>0.01</v>
      </c>
      <c r="I122" s="92">
        <v>0.01</v>
      </c>
      <c r="J122" s="92">
        <v>0.01</v>
      </c>
      <c r="K122" s="92">
        <v>0.01</v>
      </c>
      <c r="L122" s="92">
        <v>0.01</v>
      </c>
      <c r="M122" s="92">
        <v>0.01</v>
      </c>
      <c r="N122" s="92">
        <v>0.01</v>
      </c>
      <c r="O122" s="92">
        <v>0.01</v>
      </c>
      <c r="P122" s="92">
        <v>0.01</v>
      </c>
      <c r="Q122" s="92">
        <v>0.01</v>
      </c>
      <c r="R122" s="92">
        <v>0.01</v>
      </c>
      <c r="S122" s="92">
        <v>0.01</v>
      </c>
      <c r="T122" s="92">
        <v>0.01</v>
      </c>
      <c r="U122" s="92">
        <v>0.01</v>
      </c>
      <c r="V122" s="92">
        <v>0.01</v>
      </c>
      <c r="W122" s="92">
        <v>0.01</v>
      </c>
      <c r="X122" s="92">
        <v>0.01</v>
      </c>
      <c r="Y122" s="92">
        <v>0.01</v>
      </c>
      <c r="Z122" s="92">
        <v>0.01</v>
      </c>
      <c r="AA122" s="92">
        <v>0.01</v>
      </c>
      <c r="AB122" s="92">
        <v>0.01</v>
      </c>
      <c r="AC122" s="92">
        <v>0.01</v>
      </c>
      <c r="AD122" s="92">
        <v>0.01</v>
      </c>
      <c r="AE122" s="92">
        <v>0.01</v>
      </c>
      <c r="AF122" s="92">
        <v>0.01</v>
      </c>
      <c r="AG122" s="92">
        <v>0.01</v>
      </c>
      <c r="AH122" s="92">
        <v>0.01</v>
      </c>
      <c r="AI122" s="92">
        <v>0.01</v>
      </c>
      <c r="AJ122" s="92">
        <v>0.01</v>
      </c>
      <c r="AK122" s="92">
        <v>0.01</v>
      </c>
      <c r="AL122" s="92">
        <v>0.01</v>
      </c>
      <c r="AM122" s="92">
        <v>0.01</v>
      </c>
      <c r="AO122" s="109">
        <f t="shared" ref="AO122" si="120">AVERAGE(D122:O122)</f>
        <v>9.9999999999999985E-3</v>
      </c>
      <c r="AP122" s="109">
        <f t="shared" ref="AP122" si="121">AVERAGE(P122:AA122)</f>
        <v>9.9999999999999985E-3</v>
      </c>
      <c r="AQ122" s="109">
        <f t="shared" ref="AQ122" si="122">AVERAGE(AB122:AM122)</f>
        <v>9.9999999999999985E-3</v>
      </c>
    </row>
    <row r="123" spans="1:16370" hidden="1" outlineLevel="1">
      <c r="A123" s="80" t="s">
        <v>282</v>
      </c>
      <c r="B123" s="85" t="s">
        <v>78</v>
      </c>
      <c r="D123" s="112">
        <f>D121*D122</f>
        <v>15000</v>
      </c>
      <c r="E123" s="112">
        <f t="shared" ref="E123:AM123" si="123">E121*E122</f>
        <v>16000</v>
      </c>
      <c r="F123" s="112">
        <f t="shared" si="123"/>
        <v>17000</v>
      </c>
      <c r="G123" s="112">
        <f t="shared" si="123"/>
        <v>18000</v>
      </c>
      <c r="H123" s="112">
        <f t="shared" si="123"/>
        <v>19000</v>
      </c>
      <c r="I123" s="112">
        <f t="shared" si="123"/>
        <v>20000</v>
      </c>
      <c r="J123" s="112">
        <f t="shared" si="123"/>
        <v>20000</v>
      </c>
      <c r="K123" s="112">
        <f t="shared" si="123"/>
        <v>22000</v>
      </c>
      <c r="L123" s="112">
        <f t="shared" si="123"/>
        <v>24000</v>
      </c>
      <c r="M123" s="112">
        <f t="shared" si="123"/>
        <v>26000</v>
      </c>
      <c r="N123" s="112">
        <f t="shared" si="123"/>
        <v>28000</v>
      </c>
      <c r="O123" s="112">
        <f t="shared" si="123"/>
        <v>30000</v>
      </c>
      <c r="P123" s="112">
        <f t="shared" si="123"/>
        <v>30000</v>
      </c>
      <c r="Q123" s="112">
        <f t="shared" si="123"/>
        <v>30000</v>
      </c>
      <c r="R123" s="112">
        <f t="shared" si="123"/>
        <v>30000</v>
      </c>
      <c r="S123" s="112">
        <f t="shared" si="123"/>
        <v>30000</v>
      </c>
      <c r="T123" s="112">
        <f t="shared" si="123"/>
        <v>30000</v>
      </c>
      <c r="U123" s="112">
        <f t="shared" si="123"/>
        <v>30000</v>
      </c>
      <c r="V123" s="112">
        <f t="shared" si="123"/>
        <v>30000</v>
      </c>
      <c r="W123" s="112">
        <f t="shared" si="123"/>
        <v>30000</v>
      </c>
      <c r="X123" s="112">
        <f t="shared" si="123"/>
        <v>30000</v>
      </c>
      <c r="Y123" s="112">
        <f t="shared" si="123"/>
        <v>30000</v>
      </c>
      <c r="Z123" s="112">
        <f t="shared" si="123"/>
        <v>30000</v>
      </c>
      <c r="AA123" s="112">
        <f t="shared" si="123"/>
        <v>30000</v>
      </c>
      <c r="AB123" s="112">
        <f t="shared" si="123"/>
        <v>30000</v>
      </c>
      <c r="AC123" s="112">
        <f t="shared" si="123"/>
        <v>30000</v>
      </c>
      <c r="AD123" s="112">
        <f t="shared" si="123"/>
        <v>30000</v>
      </c>
      <c r="AE123" s="112">
        <f t="shared" si="123"/>
        <v>30000</v>
      </c>
      <c r="AF123" s="112">
        <f t="shared" si="123"/>
        <v>30000</v>
      </c>
      <c r="AG123" s="112">
        <f t="shared" si="123"/>
        <v>30000</v>
      </c>
      <c r="AH123" s="112">
        <f t="shared" si="123"/>
        <v>30000</v>
      </c>
      <c r="AI123" s="112">
        <f t="shared" si="123"/>
        <v>30000</v>
      </c>
      <c r="AJ123" s="112">
        <f t="shared" si="123"/>
        <v>30000</v>
      </c>
      <c r="AK123" s="112">
        <f t="shared" si="123"/>
        <v>30000</v>
      </c>
      <c r="AL123" s="112">
        <f t="shared" si="123"/>
        <v>30000</v>
      </c>
      <c r="AM123" s="112">
        <f t="shared" si="123"/>
        <v>30000</v>
      </c>
      <c r="AO123" s="75">
        <f>SUM(D123:O123)</f>
        <v>255000</v>
      </c>
      <c r="AP123" s="75">
        <f>SUM(P123:AA123)</f>
        <v>360000</v>
      </c>
      <c r="AQ123" s="75">
        <f>SUM(AB123:AM123)</f>
        <v>360000</v>
      </c>
    </row>
    <row r="124" spans="1:16370" hidden="1" outlineLevel="1">
      <c r="A124" s="70" t="s">
        <v>276</v>
      </c>
      <c r="B124" s="71" t="s">
        <v>162</v>
      </c>
      <c r="C124" s="72"/>
      <c r="D124" s="86">
        <v>-500</v>
      </c>
      <c r="E124" s="86">
        <v>-500</v>
      </c>
      <c r="F124" s="86">
        <v>-500</v>
      </c>
      <c r="G124" s="86">
        <v>-500</v>
      </c>
      <c r="H124" s="86">
        <v>-500</v>
      </c>
      <c r="I124" s="86">
        <v>-500</v>
      </c>
      <c r="J124" s="86">
        <v>-500</v>
      </c>
      <c r="K124" s="86">
        <v>-500</v>
      </c>
      <c r="L124" s="86">
        <v>-500</v>
      </c>
      <c r="M124" s="86">
        <v>-500</v>
      </c>
      <c r="N124" s="86">
        <v>-500</v>
      </c>
      <c r="O124" s="86">
        <v>-500</v>
      </c>
      <c r="P124" s="86">
        <v>-500</v>
      </c>
      <c r="Q124" s="86">
        <v>-500</v>
      </c>
      <c r="R124" s="86">
        <v>-500</v>
      </c>
      <c r="S124" s="86">
        <v>-500</v>
      </c>
      <c r="T124" s="86">
        <v>-500</v>
      </c>
      <c r="U124" s="86">
        <v>-500</v>
      </c>
      <c r="V124" s="86">
        <v>-500</v>
      </c>
      <c r="W124" s="86">
        <v>-500</v>
      </c>
      <c r="X124" s="86">
        <v>-500</v>
      </c>
      <c r="Y124" s="86">
        <v>-500</v>
      </c>
      <c r="Z124" s="86">
        <v>-500</v>
      </c>
      <c r="AA124" s="86">
        <v>-500</v>
      </c>
      <c r="AB124" s="86">
        <v>-500</v>
      </c>
      <c r="AC124" s="86">
        <v>-500</v>
      </c>
      <c r="AD124" s="86">
        <v>-500</v>
      </c>
      <c r="AE124" s="86">
        <v>-500</v>
      </c>
      <c r="AF124" s="86">
        <v>-500</v>
      </c>
      <c r="AG124" s="86">
        <v>-500</v>
      </c>
      <c r="AH124" s="86">
        <v>-500</v>
      </c>
      <c r="AI124" s="86">
        <v>-500</v>
      </c>
      <c r="AJ124" s="86">
        <v>-500</v>
      </c>
      <c r="AK124" s="86">
        <v>-500</v>
      </c>
      <c r="AL124" s="86">
        <v>-500</v>
      </c>
      <c r="AM124" s="86">
        <v>-500</v>
      </c>
      <c r="AN124" s="81"/>
      <c r="AO124" s="75">
        <f t="shared" ref="AO124" si="124">AVERAGE(D124:O124)</f>
        <v>-500</v>
      </c>
      <c r="AP124" s="75">
        <f t="shared" ref="AP124" si="125">AVERAGE(P124:AA124)</f>
        <v>-500</v>
      </c>
      <c r="AQ124" s="75">
        <f t="shared" ref="AQ124" si="126">AVERAGE(AB124:AM124)</f>
        <v>-500</v>
      </c>
    </row>
    <row r="125" spans="1:16370" hidden="1" outlineLevel="1">
      <c r="A125" s="70" t="s">
        <v>276</v>
      </c>
      <c r="B125" s="85" t="s">
        <v>78</v>
      </c>
      <c r="D125" s="73">
        <f>D119*D124/1000</f>
        <v>-7.5</v>
      </c>
      <c r="E125" s="73">
        <f t="shared" ref="E125:AM125" si="127">E119*E124/1000</f>
        <v>-8</v>
      </c>
      <c r="F125" s="73">
        <f t="shared" si="127"/>
        <v>-8.5</v>
      </c>
      <c r="G125" s="73">
        <f t="shared" si="127"/>
        <v>-9</v>
      </c>
      <c r="H125" s="73">
        <f t="shared" si="127"/>
        <v>-9.5</v>
      </c>
      <c r="I125" s="73">
        <f t="shared" si="127"/>
        <v>-10</v>
      </c>
      <c r="J125" s="73">
        <f t="shared" si="127"/>
        <v>-10</v>
      </c>
      <c r="K125" s="73">
        <f t="shared" si="127"/>
        <v>-11</v>
      </c>
      <c r="L125" s="73">
        <f t="shared" si="127"/>
        <v>-12</v>
      </c>
      <c r="M125" s="73">
        <f t="shared" si="127"/>
        <v>-13</v>
      </c>
      <c r="N125" s="73">
        <f t="shared" si="127"/>
        <v>-14</v>
      </c>
      <c r="O125" s="73">
        <f t="shared" si="127"/>
        <v>-15</v>
      </c>
      <c r="P125" s="73">
        <f t="shared" si="127"/>
        <v>-15</v>
      </c>
      <c r="Q125" s="73">
        <f t="shared" si="127"/>
        <v>-15</v>
      </c>
      <c r="R125" s="73">
        <f t="shared" si="127"/>
        <v>-15</v>
      </c>
      <c r="S125" s="73">
        <f t="shared" si="127"/>
        <v>-15</v>
      </c>
      <c r="T125" s="73">
        <f t="shared" si="127"/>
        <v>-15</v>
      </c>
      <c r="U125" s="73">
        <f t="shared" si="127"/>
        <v>-15</v>
      </c>
      <c r="V125" s="73">
        <f t="shared" si="127"/>
        <v>-15</v>
      </c>
      <c r="W125" s="73">
        <f t="shared" si="127"/>
        <v>-15</v>
      </c>
      <c r="X125" s="73">
        <f t="shared" si="127"/>
        <v>-15</v>
      </c>
      <c r="Y125" s="73">
        <f t="shared" si="127"/>
        <v>-15</v>
      </c>
      <c r="Z125" s="73">
        <f t="shared" si="127"/>
        <v>-15</v>
      </c>
      <c r="AA125" s="73">
        <f t="shared" si="127"/>
        <v>-15</v>
      </c>
      <c r="AB125" s="73">
        <f t="shared" si="127"/>
        <v>-15</v>
      </c>
      <c r="AC125" s="73">
        <f t="shared" si="127"/>
        <v>-15</v>
      </c>
      <c r="AD125" s="73">
        <f t="shared" si="127"/>
        <v>-15</v>
      </c>
      <c r="AE125" s="73">
        <f t="shared" si="127"/>
        <v>-15</v>
      </c>
      <c r="AF125" s="73">
        <f t="shared" si="127"/>
        <v>-15</v>
      </c>
      <c r="AG125" s="73">
        <f t="shared" si="127"/>
        <v>-15</v>
      </c>
      <c r="AH125" s="73">
        <f t="shared" si="127"/>
        <v>-15</v>
      </c>
      <c r="AI125" s="73">
        <f t="shared" si="127"/>
        <v>-15</v>
      </c>
      <c r="AJ125" s="73">
        <f t="shared" si="127"/>
        <v>-15</v>
      </c>
      <c r="AK125" s="73">
        <f t="shared" si="127"/>
        <v>-15</v>
      </c>
      <c r="AL125" s="73">
        <f t="shared" si="127"/>
        <v>-15</v>
      </c>
      <c r="AM125" s="73">
        <f t="shared" si="127"/>
        <v>-15</v>
      </c>
      <c r="AN125" s="81"/>
      <c r="AO125" s="75">
        <f>SUM(D125:O125)</f>
        <v>-127.5</v>
      </c>
      <c r="AP125" s="75">
        <f>SUM(P125:AA125)</f>
        <v>-180</v>
      </c>
      <c r="AQ125" s="75">
        <f>SUM(AB125:AM125)</f>
        <v>-180</v>
      </c>
    </row>
    <row r="126" spans="1:16370" hidden="1" outlineLevel="1">
      <c r="A126" s="70" t="s">
        <v>279</v>
      </c>
      <c r="B126" s="85" t="s">
        <v>79</v>
      </c>
      <c r="C126" s="72"/>
      <c r="D126" s="92">
        <v>2E-3</v>
      </c>
      <c r="E126" s="92">
        <v>2E-3</v>
      </c>
      <c r="F126" s="92">
        <v>2E-3</v>
      </c>
      <c r="G126" s="92">
        <v>2E-3</v>
      </c>
      <c r="H126" s="92">
        <v>2E-3</v>
      </c>
      <c r="I126" s="92">
        <v>2E-3</v>
      </c>
      <c r="J126" s="92">
        <v>2E-3</v>
      </c>
      <c r="K126" s="92">
        <v>2E-3</v>
      </c>
      <c r="L126" s="92">
        <v>2E-3</v>
      </c>
      <c r="M126" s="92">
        <v>2E-3</v>
      </c>
      <c r="N126" s="92">
        <v>2E-3</v>
      </c>
      <c r="O126" s="92">
        <v>2E-3</v>
      </c>
      <c r="P126" s="92">
        <v>2E-3</v>
      </c>
      <c r="Q126" s="92">
        <v>2E-3</v>
      </c>
      <c r="R126" s="92">
        <v>2E-3</v>
      </c>
      <c r="S126" s="92">
        <v>2E-3</v>
      </c>
      <c r="T126" s="92">
        <v>2E-3</v>
      </c>
      <c r="U126" s="92">
        <v>2E-3</v>
      </c>
      <c r="V126" s="92">
        <v>2E-3</v>
      </c>
      <c r="W126" s="92">
        <v>2E-3</v>
      </c>
      <c r="X126" s="92">
        <v>2E-3</v>
      </c>
      <c r="Y126" s="92">
        <v>2E-3</v>
      </c>
      <c r="Z126" s="92">
        <v>2E-3</v>
      </c>
      <c r="AA126" s="92">
        <v>2E-3</v>
      </c>
      <c r="AB126" s="92">
        <v>2E-3</v>
      </c>
      <c r="AC126" s="92">
        <v>2E-3</v>
      </c>
      <c r="AD126" s="92">
        <v>2E-3</v>
      </c>
      <c r="AE126" s="92">
        <v>2E-3</v>
      </c>
      <c r="AF126" s="92">
        <v>2E-3</v>
      </c>
      <c r="AG126" s="92">
        <v>2E-3</v>
      </c>
      <c r="AH126" s="92">
        <v>2E-3</v>
      </c>
      <c r="AI126" s="92">
        <v>2E-3</v>
      </c>
      <c r="AJ126" s="92">
        <v>2E-3</v>
      </c>
      <c r="AK126" s="92">
        <v>2E-3</v>
      </c>
      <c r="AL126" s="92">
        <v>2E-3</v>
      </c>
      <c r="AM126" s="92">
        <v>2E-3</v>
      </c>
      <c r="AN126" s="81"/>
      <c r="AO126" s="109">
        <f t="shared" ref="AO126" si="128">AVERAGE(D126:O126)</f>
        <v>2.0000000000000005E-3</v>
      </c>
      <c r="AP126" s="109">
        <f t="shared" ref="AP126" si="129">AVERAGE(P126:AA126)</f>
        <v>2.0000000000000005E-3</v>
      </c>
      <c r="AQ126" s="109">
        <f t="shared" ref="AQ126" si="130">AVERAGE(AB126:AM126)</f>
        <v>2.0000000000000005E-3</v>
      </c>
    </row>
    <row r="127" spans="1:16370" hidden="1" outlineLevel="1">
      <c r="A127" s="70" t="s">
        <v>278</v>
      </c>
      <c r="B127" s="85" t="s">
        <v>78</v>
      </c>
      <c r="C127" s="72"/>
      <c r="D127" s="77">
        <f>-D121*D126</f>
        <v>-3000</v>
      </c>
      <c r="E127" s="77">
        <f t="shared" ref="E127:AM127" si="131">-E121*E126</f>
        <v>-3200</v>
      </c>
      <c r="F127" s="77">
        <f t="shared" si="131"/>
        <v>-3400</v>
      </c>
      <c r="G127" s="77">
        <f t="shared" si="131"/>
        <v>-3600</v>
      </c>
      <c r="H127" s="77">
        <f t="shared" si="131"/>
        <v>-3800</v>
      </c>
      <c r="I127" s="77">
        <f t="shared" si="131"/>
        <v>-4000</v>
      </c>
      <c r="J127" s="77">
        <f t="shared" si="131"/>
        <v>-4000</v>
      </c>
      <c r="K127" s="77">
        <f t="shared" si="131"/>
        <v>-4400</v>
      </c>
      <c r="L127" s="77">
        <f t="shared" si="131"/>
        <v>-4800</v>
      </c>
      <c r="M127" s="77">
        <f t="shared" si="131"/>
        <v>-5200</v>
      </c>
      <c r="N127" s="77">
        <f t="shared" si="131"/>
        <v>-5600</v>
      </c>
      <c r="O127" s="77">
        <f t="shared" si="131"/>
        <v>-6000</v>
      </c>
      <c r="P127" s="77">
        <f t="shared" si="131"/>
        <v>-6000</v>
      </c>
      <c r="Q127" s="77">
        <f t="shared" si="131"/>
        <v>-6000</v>
      </c>
      <c r="R127" s="77">
        <f t="shared" si="131"/>
        <v>-6000</v>
      </c>
      <c r="S127" s="77">
        <f t="shared" si="131"/>
        <v>-6000</v>
      </c>
      <c r="T127" s="77">
        <f t="shared" si="131"/>
        <v>-6000</v>
      </c>
      <c r="U127" s="77">
        <f t="shared" si="131"/>
        <v>-6000</v>
      </c>
      <c r="V127" s="77">
        <f t="shared" si="131"/>
        <v>-6000</v>
      </c>
      <c r="W127" s="77">
        <f t="shared" si="131"/>
        <v>-6000</v>
      </c>
      <c r="X127" s="77">
        <f t="shared" si="131"/>
        <v>-6000</v>
      </c>
      <c r="Y127" s="77">
        <f t="shared" si="131"/>
        <v>-6000</v>
      </c>
      <c r="Z127" s="77">
        <f t="shared" si="131"/>
        <v>-6000</v>
      </c>
      <c r="AA127" s="77">
        <f t="shared" si="131"/>
        <v>-6000</v>
      </c>
      <c r="AB127" s="77">
        <f t="shared" si="131"/>
        <v>-6000</v>
      </c>
      <c r="AC127" s="77">
        <f t="shared" si="131"/>
        <v>-6000</v>
      </c>
      <c r="AD127" s="77">
        <f t="shared" si="131"/>
        <v>-6000</v>
      </c>
      <c r="AE127" s="77">
        <f t="shared" si="131"/>
        <v>-6000</v>
      </c>
      <c r="AF127" s="77">
        <f t="shared" si="131"/>
        <v>-6000</v>
      </c>
      <c r="AG127" s="77">
        <f t="shared" si="131"/>
        <v>-6000</v>
      </c>
      <c r="AH127" s="77">
        <f t="shared" si="131"/>
        <v>-6000</v>
      </c>
      <c r="AI127" s="77">
        <f t="shared" si="131"/>
        <v>-6000</v>
      </c>
      <c r="AJ127" s="77">
        <f t="shared" si="131"/>
        <v>-6000</v>
      </c>
      <c r="AK127" s="77">
        <f t="shared" si="131"/>
        <v>-6000</v>
      </c>
      <c r="AL127" s="77">
        <f t="shared" si="131"/>
        <v>-6000</v>
      </c>
      <c r="AM127" s="77">
        <f t="shared" si="131"/>
        <v>-6000</v>
      </c>
      <c r="AN127" s="81"/>
      <c r="AO127" s="75">
        <f t="shared" ref="AO127" si="132">SUM(D127:O127)</f>
        <v>-51000</v>
      </c>
      <c r="AP127" s="75">
        <f t="shared" ref="AP127" si="133">SUM(P127:AA127)</f>
        <v>-72000</v>
      </c>
      <c r="AQ127" s="75">
        <f>SUM(AB127:AM127)</f>
        <v>-72000</v>
      </c>
    </row>
    <row r="128" spans="1:16370" hidden="1" outlineLevel="1">
      <c r="A128" s="70" t="s">
        <v>205</v>
      </c>
      <c r="B128" s="85" t="s">
        <v>78</v>
      </c>
      <c r="C128" s="72"/>
      <c r="D128" s="77">
        <f>-'OPEX+CAPEX'!E104</f>
        <v>-27.142857142857146</v>
      </c>
      <c r="E128" s="77">
        <f>-'OPEX+CAPEX'!F104</f>
        <v>-27.142857142857146</v>
      </c>
      <c r="F128" s="77">
        <f>-'OPEX+CAPEX'!G104</f>
        <v>-27.142857142857146</v>
      </c>
      <c r="G128" s="77">
        <f>-'OPEX+CAPEX'!H104</f>
        <v>-27.142857142857146</v>
      </c>
      <c r="H128" s="77">
        <f>-'OPEX+CAPEX'!I104</f>
        <v>-27.142857142857146</v>
      </c>
      <c r="I128" s="77">
        <f>-'OPEX+CAPEX'!J104</f>
        <v>-27.142857142857146</v>
      </c>
      <c r="J128" s="77">
        <f>-'OPEX+CAPEX'!K104</f>
        <v>-27.142857142857146</v>
      </c>
      <c r="K128" s="77">
        <f>-'OPEX+CAPEX'!L104</f>
        <v>-27.142857142857146</v>
      </c>
      <c r="L128" s="77">
        <f>-'OPEX+CAPEX'!M104</f>
        <v>-27.142857142857146</v>
      </c>
      <c r="M128" s="77">
        <f>-'OPEX+CAPEX'!N104</f>
        <v>-27.142857142857146</v>
      </c>
      <c r="N128" s="77">
        <f>-'OPEX+CAPEX'!O104</f>
        <v>-27.142857142857146</v>
      </c>
      <c r="O128" s="77">
        <f>-'OPEX+CAPEX'!P104</f>
        <v>-27.142857142857146</v>
      </c>
      <c r="P128" s="77">
        <f>-'OPEX+CAPEX'!Q104</f>
        <v>-27.142857142857146</v>
      </c>
      <c r="Q128" s="77">
        <f>-'OPEX+CAPEX'!R104</f>
        <v>-27.142857142857146</v>
      </c>
      <c r="R128" s="77">
        <f>-'OPEX+CAPEX'!S104</f>
        <v>-27.142857142857146</v>
      </c>
      <c r="S128" s="77">
        <f>-'OPEX+CAPEX'!T104</f>
        <v>-27.142857142857146</v>
      </c>
      <c r="T128" s="77">
        <f>-'OPEX+CAPEX'!U104</f>
        <v>-27.142857142857146</v>
      </c>
      <c r="U128" s="77">
        <f>-'OPEX+CAPEX'!V104</f>
        <v>-27.142857142857146</v>
      </c>
      <c r="V128" s="77">
        <f>-'OPEX+CAPEX'!W104</f>
        <v>-27.142857142857146</v>
      </c>
      <c r="W128" s="77">
        <f>-'OPEX+CAPEX'!X104</f>
        <v>-27.142857142857146</v>
      </c>
      <c r="X128" s="77">
        <f>-'OPEX+CAPEX'!Y104</f>
        <v>-27.142857142857146</v>
      </c>
      <c r="Y128" s="77">
        <f>-'OPEX+CAPEX'!Z104</f>
        <v>-27.142857142857146</v>
      </c>
      <c r="Z128" s="77">
        <f>-'OPEX+CAPEX'!AA104</f>
        <v>-27.142857142857146</v>
      </c>
      <c r="AA128" s="77">
        <f>-'OPEX+CAPEX'!AB104</f>
        <v>-27.142857142857146</v>
      </c>
      <c r="AB128" s="77">
        <f>-'OPEX+CAPEX'!AC104</f>
        <v>-27.142857142857146</v>
      </c>
      <c r="AC128" s="77">
        <f>-'OPEX+CAPEX'!AD104</f>
        <v>-27.142857142857146</v>
      </c>
      <c r="AD128" s="77">
        <f>-'OPEX+CAPEX'!AE104</f>
        <v>-27.142857142857146</v>
      </c>
      <c r="AE128" s="77">
        <f>-'OPEX+CAPEX'!AF104</f>
        <v>-27.142857142857146</v>
      </c>
      <c r="AF128" s="77">
        <f>-'OPEX+CAPEX'!AG104</f>
        <v>-27.142857142857146</v>
      </c>
      <c r="AG128" s="77">
        <f>-'OPEX+CAPEX'!AH104</f>
        <v>-27.142857142857146</v>
      </c>
      <c r="AH128" s="77">
        <f>-'OPEX+CAPEX'!AI104</f>
        <v>-27.142857142857146</v>
      </c>
      <c r="AI128" s="77">
        <f>-'OPEX+CAPEX'!AJ104</f>
        <v>-27.142857142857146</v>
      </c>
      <c r="AJ128" s="77">
        <f>-'OPEX+CAPEX'!AK104</f>
        <v>-27.142857142857146</v>
      </c>
      <c r="AK128" s="77">
        <f>-'OPEX+CAPEX'!AL104</f>
        <v>-27.142857142857146</v>
      </c>
      <c r="AL128" s="77">
        <f>-'OPEX+CAPEX'!AM104</f>
        <v>-27.142857142857146</v>
      </c>
      <c r="AM128" s="77">
        <f>-'OPEX+CAPEX'!AN104</f>
        <v>-27.142857142857146</v>
      </c>
      <c r="AN128" s="81"/>
      <c r="AO128" s="75">
        <f>SUM(D128:O128)</f>
        <v>-325.71428571428578</v>
      </c>
      <c r="AP128" s="75">
        <f>SUM(P128:AA128)</f>
        <v>-325.71428571428578</v>
      </c>
      <c r="AQ128" s="75">
        <f>SUM(AB128:AM128)</f>
        <v>-325.71428571428578</v>
      </c>
    </row>
    <row r="129" spans="1:43" hidden="1" outlineLevel="1">
      <c r="A129" s="80" t="s">
        <v>177</v>
      </c>
      <c r="B129" s="85" t="s">
        <v>78</v>
      </c>
      <c r="D129" s="73">
        <f>D123+D125+D127+D128</f>
        <v>11965.357142857143</v>
      </c>
      <c r="E129" s="73">
        <f t="shared" ref="E129:AM129" si="134">E123+E125+E127+E128</f>
        <v>12764.857142857143</v>
      </c>
      <c r="F129" s="73">
        <f t="shared" si="134"/>
        <v>13564.357142857143</v>
      </c>
      <c r="G129" s="73">
        <f t="shared" si="134"/>
        <v>14363.857142857143</v>
      </c>
      <c r="H129" s="73">
        <f t="shared" si="134"/>
        <v>15163.357142857143</v>
      </c>
      <c r="I129" s="73">
        <f t="shared" si="134"/>
        <v>15962.857142857143</v>
      </c>
      <c r="J129" s="73">
        <f t="shared" si="134"/>
        <v>15962.857142857143</v>
      </c>
      <c r="K129" s="73">
        <f t="shared" si="134"/>
        <v>17561.857142857141</v>
      </c>
      <c r="L129" s="73">
        <f t="shared" si="134"/>
        <v>19160.857142857141</v>
      </c>
      <c r="M129" s="73">
        <f t="shared" si="134"/>
        <v>20759.857142857141</v>
      </c>
      <c r="N129" s="73">
        <f t="shared" si="134"/>
        <v>22358.857142857141</v>
      </c>
      <c r="O129" s="73">
        <f t="shared" si="134"/>
        <v>23957.857142857141</v>
      </c>
      <c r="P129" s="73">
        <f t="shared" si="134"/>
        <v>23957.857142857141</v>
      </c>
      <c r="Q129" s="73">
        <f t="shared" si="134"/>
        <v>23957.857142857141</v>
      </c>
      <c r="R129" s="73">
        <f t="shared" si="134"/>
        <v>23957.857142857141</v>
      </c>
      <c r="S129" s="73">
        <f t="shared" si="134"/>
        <v>23957.857142857141</v>
      </c>
      <c r="T129" s="73">
        <f t="shared" si="134"/>
        <v>23957.857142857141</v>
      </c>
      <c r="U129" s="73">
        <f t="shared" si="134"/>
        <v>23957.857142857141</v>
      </c>
      <c r="V129" s="73">
        <f t="shared" si="134"/>
        <v>23957.857142857141</v>
      </c>
      <c r="W129" s="73">
        <f t="shared" si="134"/>
        <v>23957.857142857141</v>
      </c>
      <c r="X129" s="73">
        <f t="shared" si="134"/>
        <v>23957.857142857141</v>
      </c>
      <c r="Y129" s="73">
        <f t="shared" si="134"/>
        <v>23957.857142857141</v>
      </c>
      <c r="Z129" s="73">
        <f t="shared" si="134"/>
        <v>23957.857142857141</v>
      </c>
      <c r="AA129" s="73">
        <f t="shared" si="134"/>
        <v>23957.857142857141</v>
      </c>
      <c r="AB129" s="73">
        <f t="shared" si="134"/>
        <v>23957.857142857141</v>
      </c>
      <c r="AC129" s="73">
        <f t="shared" si="134"/>
        <v>23957.857142857141</v>
      </c>
      <c r="AD129" s="73">
        <f t="shared" si="134"/>
        <v>23957.857142857141</v>
      </c>
      <c r="AE129" s="73">
        <f t="shared" si="134"/>
        <v>23957.857142857141</v>
      </c>
      <c r="AF129" s="73">
        <f t="shared" si="134"/>
        <v>23957.857142857141</v>
      </c>
      <c r="AG129" s="73">
        <f t="shared" si="134"/>
        <v>23957.857142857141</v>
      </c>
      <c r="AH129" s="73">
        <f t="shared" si="134"/>
        <v>23957.857142857141</v>
      </c>
      <c r="AI129" s="73">
        <f t="shared" si="134"/>
        <v>23957.857142857141</v>
      </c>
      <c r="AJ129" s="73">
        <f t="shared" si="134"/>
        <v>23957.857142857141</v>
      </c>
      <c r="AK129" s="73">
        <f t="shared" si="134"/>
        <v>23957.857142857141</v>
      </c>
      <c r="AL129" s="73">
        <f t="shared" si="134"/>
        <v>23957.857142857141</v>
      </c>
      <c r="AM129" s="73">
        <f t="shared" si="134"/>
        <v>23957.857142857141</v>
      </c>
      <c r="AO129" s="75">
        <f>SUM(D129:O129)</f>
        <v>203546.78571428568</v>
      </c>
      <c r="AP129" s="75">
        <f>SUM(P129:AA129)</f>
        <v>287494.28571428568</v>
      </c>
      <c r="AQ129" s="75">
        <f>SUM(AB129:AM129)</f>
        <v>287494.28571428568</v>
      </c>
    </row>
    <row r="130" spans="1:43" hidden="1" outlineLevel="1">
      <c r="B130" s="85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</row>
    <row r="131" spans="1:43" hidden="1" outlineLevel="1">
      <c r="A131" s="90" t="s">
        <v>275</v>
      </c>
    </row>
    <row r="132" spans="1:43" hidden="1" outlineLevel="1">
      <c r="A132" s="70" t="s">
        <v>283</v>
      </c>
      <c r="B132" s="85" t="s">
        <v>85</v>
      </c>
      <c r="C132" s="72"/>
      <c r="D132" s="77">
        <f>'0'!D22</f>
        <v>15</v>
      </c>
      <c r="E132" s="77">
        <f>'0'!E22</f>
        <v>16</v>
      </c>
      <c r="F132" s="77">
        <f>'0'!F22</f>
        <v>17</v>
      </c>
      <c r="G132" s="77">
        <f>'0'!G22</f>
        <v>18</v>
      </c>
      <c r="H132" s="77">
        <f>'0'!H22</f>
        <v>19</v>
      </c>
      <c r="I132" s="77">
        <f>'0'!I22</f>
        <v>20</v>
      </c>
      <c r="J132" s="77">
        <f>'0'!J22</f>
        <v>20</v>
      </c>
      <c r="K132" s="77">
        <f>'0'!K22</f>
        <v>22</v>
      </c>
      <c r="L132" s="77">
        <f>'0'!L22</f>
        <v>24</v>
      </c>
      <c r="M132" s="77">
        <f>'0'!M22</f>
        <v>26</v>
      </c>
      <c r="N132" s="77">
        <f>'0'!N22</f>
        <v>28</v>
      </c>
      <c r="O132" s="77">
        <f>'0'!O22</f>
        <v>30</v>
      </c>
      <c r="P132" s="77">
        <f>'0'!P22</f>
        <v>30</v>
      </c>
      <c r="Q132" s="77">
        <f>'0'!Q22</f>
        <v>30</v>
      </c>
      <c r="R132" s="77">
        <f>'0'!R22</f>
        <v>30</v>
      </c>
      <c r="S132" s="77">
        <f>'0'!S22</f>
        <v>30</v>
      </c>
      <c r="T132" s="77">
        <f>'0'!T22</f>
        <v>30</v>
      </c>
      <c r="U132" s="77">
        <f>'0'!U22</f>
        <v>30</v>
      </c>
      <c r="V132" s="77">
        <f>'0'!V22</f>
        <v>30</v>
      </c>
      <c r="W132" s="77">
        <f>'0'!W22</f>
        <v>30</v>
      </c>
      <c r="X132" s="77">
        <f>'0'!X22</f>
        <v>30</v>
      </c>
      <c r="Y132" s="77">
        <f>'0'!Y22</f>
        <v>30</v>
      </c>
      <c r="Z132" s="77">
        <f>'0'!Z22</f>
        <v>30</v>
      </c>
      <c r="AA132" s="77">
        <f>'0'!AA22</f>
        <v>30</v>
      </c>
      <c r="AB132" s="77">
        <f>'0'!AB22</f>
        <v>30</v>
      </c>
      <c r="AC132" s="77">
        <f>'0'!AC22</f>
        <v>30</v>
      </c>
      <c r="AD132" s="77">
        <f>'0'!AD22</f>
        <v>30</v>
      </c>
      <c r="AE132" s="77">
        <f>'0'!AE22</f>
        <v>30</v>
      </c>
      <c r="AF132" s="77">
        <f>'0'!AF22</f>
        <v>30</v>
      </c>
      <c r="AG132" s="77">
        <f>'0'!AG22</f>
        <v>30</v>
      </c>
      <c r="AH132" s="77">
        <f>'0'!AH22</f>
        <v>30</v>
      </c>
      <c r="AI132" s="77">
        <f>'0'!AI22</f>
        <v>30</v>
      </c>
      <c r="AJ132" s="77">
        <f>'0'!AJ22</f>
        <v>30</v>
      </c>
      <c r="AK132" s="77">
        <f>'0'!AK22</f>
        <v>30</v>
      </c>
      <c r="AL132" s="77">
        <f>'0'!AL22</f>
        <v>30</v>
      </c>
      <c r="AM132" s="77">
        <f>'0'!AM22</f>
        <v>30</v>
      </c>
      <c r="AN132" s="81"/>
      <c r="AO132" s="75">
        <f>O132</f>
        <v>30</v>
      </c>
      <c r="AP132" s="75">
        <f>AA132</f>
        <v>30</v>
      </c>
      <c r="AQ132" s="75">
        <f>AM132</f>
        <v>30</v>
      </c>
    </row>
    <row r="133" spans="1:43" hidden="1" outlineLevel="1">
      <c r="A133" s="70" t="s">
        <v>284</v>
      </c>
      <c r="B133" s="85" t="s">
        <v>78</v>
      </c>
      <c r="C133" s="72"/>
      <c r="D133" s="86">
        <v>1000</v>
      </c>
      <c r="E133" s="86">
        <v>1000</v>
      </c>
      <c r="F133" s="86">
        <v>1000</v>
      </c>
      <c r="G133" s="86">
        <v>1000</v>
      </c>
      <c r="H133" s="86">
        <v>1000</v>
      </c>
      <c r="I133" s="86">
        <v>1000</v>
      </c>
      <c r="J133" s="86">
        <v>1000</v>
      </c>
      <c r="K133" s="86">
        <v>1000</v>
      </c>
      <c r="L133" s="86">
        <v>1000</v>
      </c>
      <c r="M133" s="86">
        <v>1000</v>
      </c>
      <c r="N133" s="86">
        <v>1000</v>
      </c>
      <c r="O133" s="86">
        <v>1000</v>
      </c>
      <c r="P133" s="86">
        <v>1000</v>
      </c>
      <c r="Q133" s="86">
        <v>1000</v>
      </c>
      <c r="R133" s="86">
        <v>1000</v>
      </c>
      <c r="S133" s="86">
        <v>1000</v>
      </c>
      <c r="T133" s="86">
        <v>1000</v>
      </c>
      <c r="U133" s="86">
        <v>1000</v>
      </c>
      <c r="V133" s="86">
        <v>1000</v>
      </c>
      <c r="W133" s="86">
        <v>1000</v>
      </c>
      <c r="X133" s="86">
        <v>1000</v>
      </c>
      <c r="Y133" s="86">
        <v>1000</v>
      </c>
      <c r="Z133" s="86">
        <v>1000</v>
      </c>
      <c r="AA133" s="86">
        <v>1000</v>
      </c>
      <c r="AB133" s="86">
        <v>1000</v>
      </c>
      <c r="AC133" s="86">
        <v>1000</v>
      </c>
      <c r="AD133" s="86">
        <v>1000</v>
      </c>
      <c r="AE133" s="86">
        <v>1000</v>
      </c>
      <c r="AF133" s="86">
        <v>1000</v>
      </c>
      <c r="AG133" s="86">
        <v>1000</v>
      </c>
      <c r="AH133" s="86">
        <v>1000</v>
      </c>
      <c r="AI133" s="86">
        <v>1000</v>
      </c>
      <c r="AJ133" s="86">
        <v>1000</v>
      </c>
      <c r="AK133" s="86">
        <v>1000</v>
      </c>
      <c r="AL133" s="86">
        <v>1000</v>
      </c>
      <c r="AM133" s="86">
        <v>1000</v>
      </c>
      <c r="AN133" s="81"/>
      <c r="AO133" s="75">
        <f t="shared" ref="AO133" si="135">AVERAGE(D133:O133)</f>
        <v>1000</v>
      </c>
      <c r="AP133" s="75">
        <f t="shared" ref="AP133" si="136">AVERAGE(P133:AA133)</f>
        <v>1000</v>
      </c>
      <c r="AQ133" s="75">
        <f t="shared" ref="AQ133" si="137">AVERAGE(AB133:AM133)</f>
        <v>1000</v>
      </c>
    </row>
    <row r="134" spans="1:43" hidden="1" outlineLevel="1">
      <c r="A134" s="70" t="s">
        <v>285</v>
      </c>
      <c r="B134" s="85" t="s">
        <v>78</v>
      </c>
      <c r="C134" s="72"/>
      <c r="D134" s="77">
        <f>D132*D133</f>
        <v>15000</v>
      </c>
      <c r="E134" s="77">
        <f t="shared" ref="E134:AM134" si="138">E132*E133</f>
        <v>16000</v>
      </c>
      <c r="F134" s="77">
        <f t="shared" si="138"/>
        <v>17000</v>
      </c>
      <c r="G134" s="77">
        <f t="shared" si="138"/>
        <v>18000</v>
      </c>
      <c r="H134" s="77">
        <f t="shared" si="138"/>
        <v>19000</v>
      </c>
      <c r="I134" s="77">
        <f t="shared" si="138"/>
        <v>20000</v>
      </c>
      <c r="J134" s="77">
        <f t="shared" si="138"/>
        <v>20000</v>
      </c>
      <c r="K134" s="77">
        <f t="shared" si="138"/>
        <v>22000</v>
      </c>
      <c r="L134" s="77">
        <f t="shared" si="138"/>
        <v>24000</v>
      </c>
      <c r="M134" s="77">
        <f t="shared" si="138"/>
        <v>26000</v>
      </c>
      <c r="N134" s="77">
        <f t="shared" si="138"/>
        <v>28000</v>
      </c>
      <c r="O134" s="77">
        <f t="shared" si="138"/>
        <v>30000</v>
      </c>
      <c r="P134" s="77">
        <f t="shared" si="138"/>
        <v>30000</v>
      </c>
      <c r="Q134" s="77">
        <f t="shared" si="138"/>
        <v>30000</v>
      </c>
      <c r="R134" s="77">
        <f t="shared" si="138"/>
        <v>30000</v>
      </c>
      <c r="S134" s="77">
        <f t="shared" si="138"/>
        <v>30000</v>
      </c>
      <c r="T134" s="77">
        <f t="shared" si="138"/>
        <v>30000</v>
      </c>
      <c r="U134" s="77">
        <f t="shared" si="138"/>
        <v>30000</v>
      </c>
      <c r="V134" s="77">
        <f t="shared" si="138"/>
        <v>30000</v>
      </c>
      <c r="W134" s="77">
        <f t="shared" si="138"/>
        <v>30000</v>
      </c>
      <c r="X134" s="77">
        <f t="shared" si="138"/>
        <v>30000</v>
      </c>
      <c r="Y134" s="77">
        <f t="shared" si="138"/>
        <v>30000</v>
      </c>
      <c r="Z134" s="77">
        <f t="shared" si="138"/>
        <v>30000</v>
      </c>
      <c r="AA134" s="77">
        <f t="shared" si="138"/>
        <v>30000</v>
      </c>
      <c r="AB134" s="77">
        <f t="shared" si="138"/>
        <v>30000</v>
      </c>
      <c r="AC134" s="77">
        <f t="shared" si="138"/>
        <v>30000</v>
      </c>
      <c r="AD134" s="77">
        <f t="shared" si="138"/>
        <v>30000</v>
      </c>
      <c r="AE134" s="77">
        <f t="shared" si="138"/>
        <v>30000</v>
      </c>
      <c r="AF134" s="77">
        <f t="shared" si="138"/>
        <v>30000</v>
      </c>
      <c r="AG134" s="77">
        <f t="shared" si="138"/>
        <v>30000</v>
      </c>
      <c r="AH134" s="77">
        <f t="shared" si="138"/>
        <v>30000</v>
      </c>
      <c r="AI134" s="77">
        <f t="shared" si="138"/>
        <v>30000</v>
      </c>
      <c r="AJ134" s="77">
        <f t="shared" si="138"/>
        <v>30000</v>
      </c>
      <c r="AK134" s="77">
        <f t="shared" si="138"/>
        <v>30000</v>
      </c>
      <c r="AL134" s="77">
        <f t="shared" si="138"/>
        <v>30000</v>
      </c>
      <c r="AM134" s="77">
        <f t="shared" si="138"/>
        <v>30000</v>
      </c>
      <c r="AN134" s="81"/>
      <c r="AO134" s="75">
        <f>SUM(D134:O134)</f>
        <v>255000</v>
      </c>
      <c r="AP134" s="75">
        <f>SUM(P134:AA134)</f>
        <v>360000</v>
      </c>
      <c r="AQ134" s="75">
        <f>SUM(AB134:AM134)</f>
        <v>360000</v>
      </c>
    </row>
    <row r="135" spans="1:43" hidden="1" outlineLevel="1">
      <c r="A135" s="70" t="s">
        <v>286</v>
      </c>
      <c r="B135" s="85" t="s">
        <v>79</v>
      </c>
      <c r="C135" s="72"/>
      <c r="D135" s="92">
        <v>0.01</v>
      </c>
      <c r="E135" s="92">
        <v>0.01</v>
      </c>
      <c r="F135" s="92">
        <v>0.01</v>
      </c>
      <c r="G135" s="92">
        <v>0.01</v>
      </c>
      <c r="H135" s="92">
        <v>0.01</v>
      </c>
      <c r="I135" s="92">
        <v>0.01</v>
      </c>
      <c r="J135" s="92">
        <v>0.01</v>
      </c>
      <c r="K135" s="92">
        <v>0.01</v>
      </c>
      <c r="L135" s="92">
        <v>0.01</v>
      </c>
      <c r="M135" s="92">
        <v>0.01</v>
      </c>
      <c r="N135" s="92">
        <v>0.01</v>
      </c>
      <c r="O135" s="92">
        <v>0.01</v>
      </c>
      <c r="P135" s="92">
        <v>0.01</v>
      </c>
      <c r="Q135" s="92">
        <v>0.01</v>
      </c>
      <c r="R135" s="92">
        <v>0.01</v>
      </c>
      <c r="S135" s="92">
        <v>0.01</v>
      </c>
      <c r="T135" s="92">
        <v>0.01</v>
      </c>
      <c r="U135" s="92">
        <v>0.01</v>
      </c>
      <c r="V135" s="92">
        <v>0.01</v>
      </c>
      <c r="W135" s="92">
        <v>0.01</v>
      </c>
      <c r="X135" s="92">
        <v>0.01</v>
      </c>
      <c r="Y135" s="92">
        <v>0.01</v>
      </c>
      <c r="Z135" s="92">
        <v>0.01</v>
      </c>
      <c r="AA135" s="92">
        <v>0.01</v>
      </c>
      <c r="AB135" s="92">
        <v>0.01</v>
      </c>
      <c r="AC135" s="92">
        <v>0.01</v>
      </c>
      <c r="AD135" s="92">
        <v>0.01</v>
      </c>
      <c r="AE135" s="92">
        <v>0.01</v>
      </c>
      <c r="AF135" s="92">
        <v>0.01</v>
      </c>
      <c r="AG135" s="92">
        <v>0.01</v>
      </c>
      <c r="AH135" s="92">
        <v>0.01</v>
      </c>
      <c r="AI135" s="92">
        <v>0.01</v>
      </c>
      <c r="AJ135" s="92">
        <v>0.01</v>
      </c>
      <c r="AK135" s="92">
        <v>0.01</v>
      </c>
      <c r="AL135" s="92">
        <v>0.01</v>
      </c>
      <c r="AM135" s="92">
        <v>0.01</v>
      </c>
      <c r="AN135" s="81"/>
      <c r="AO135" s="109">
        <f t="shared" ref="AO135" si="139">AVERAGE(D135:O135)</f>
        <v>9.9999999999999985E-3</v>
      </c>
      <c r="AP135" s="109">
        <f t="shared" ref="AP135" si="140">AVERAGE(P135:AA135)</f>
        <v>9.9999999999999985E-3</v>
      </c>
      <c r="AQ135" s="109">
        <f t="shared" ref="AQ135" si="141">AVERAGE(AB135:AM135)</f>
        <v>9.9999999999999985E-3</v>
      </c>
    </row>
    <row r="136" spans="1:43" hidden="1" outlineLevel="1">
      <c r="A136" s="70" t="s">
        <v>97</v>
      </c>
      <c r="B136" s="85" t="s">
        <v>78</v>
      </c>
      <c r="C136" s="72"/>
      <c r="D136" s="77">
        <f>D134*D135</f>
        <v>150</v>
      </c>
      <c r="E136" s="77">
        <f t="shared" ref="E136:AM136" si="142">E134*E135</f>
        <v>160</v>
      </c>
      <c r="F136" s="77">
        <f t="shared" si="142"/>
        <v>170</v>
      </c>
      <c r="G136" s="77">
        <f t="shared" si="142"/>
        <v>180</v>
      </c>
      <c r="H136" s="77">
        <f t="shared" si="142"/>
        <v>190</v>
      </c>
      <c r="I136" s="77">
        <f t="shared" si="142"/>
        <v>200</v>
      </c>
      <c r="J136" s="77">
        <f t="shared" si="142"/>
        <v>200</v>
      </c>
      <c r="K136" s="77">
        <f t="shared" si="142"/>
        <v>220</v>
      </c>
      <c r="L136" s="77">
        <f t="shared" si="142"/>
        <v>240</v>
      </c>
      <c r="M136" s="77">
        <f t="shared" si="142"/>
        <v>260</v>
      </c>
      <c r="N136" s="77">
        <f t="shared" si="142"/>
        <v>280</v>
      </c>
      <c r="O136" s="77">
        <f t="shared" si="142"/>
        <v>300</v>
      </c>
      <c r="P136" s="77">
        <f t="shared" si="142"/>
        <v>300</v>
      </c>
      <c r="Q136" s="77">
        <f t="shared" si="142"/>
        <v>300</v>
      </c>
      <c r="R136" s="77">
        <f t="shared" si="142"/>
        <v>300</v>
      </c>
      <c r="S136" s="77">
        <f t="shared" si="142"/>
        <v>300</v>
      </c>
      <c r="T136" s="77">
        <f t="shared" si="142"/>
        <v>300</v>
      </c>
      <c r="U136" s="77">
        <f t="shared" si="142"/>
        <v>300</v>
      </c>
      <c r="V136" s="77">
        <f t="shared" si="142"/>
        <v>300</v>
      </c>
      <c r="W136" s="77">
        <f t="shared" si="142"/>
        <v>300</v>
      </c>
      <c r="X136" s="77">
        <f t="shared" si="142"/>
        <v>300</v>
      </c>
      <c r="Y136" s="77">
        <f t="shared" si="142"/>
        <v>300</v>
      </c>
      <c r="Z136" s="77">
        <f t="shared" si="142"/>
        <v>300</v>
      </c>
      <c r="AA136" s="77">
        <f t="shared" si="142"/>
        <v>300</v>
      </c>
      <c r="AB136" s="77">
        <f t="shared" si="142"/>
        <v>300</v>
      </c>
      <c r="AC136" s="77">
        <f t="shared" si="142"/>
        <v>300</v>
      </c>
      <c r="AD136" s="77">
        <f t="shared" si="142"/>
        <v>300</v>
      </c>
      <c r="AE136" s="77">
        <f t="shared" si="142"/>
        <v>300</v>
      </c>
      <c r="AF136" s="77">
        <f t="shared" si="142"/>
        <v>300</v>
      </c>
      <c r="AG136" s="77">
        <f t="shared" si="142"/>
        <v>300</v>
      </c>
      <c r="AH136" s="77">
        <f t="shared" si="142"/>
        <v>300</v>
      </c>
      <c r="AI136" s="77">
        <f t="shared" si="142"/>
        <v>300</v>
      </c>
      <c r="AJ136" s="77">
        <f t="shared" si="142"/>
        <v>300</v>
      </c>
      <c r="AK136" s="77">
        <f t="shared" si="142"/>
        <v>300</v>
      </c>
      <c r="AL136" s="77">
        <f t="shared" si="142"/>
        <v>300</v>
      </c>
      <c r="AM136" s="77">
        <f t="shared" si="142"/>
        <v>300</v>
      </c>
      <c r="AN136" s="81"/>
      <c r="AO136" s="75">
        <f t="shared" ref="AO136" si="143">SUM(D136:O136)</f>
        <v>2550</v>
      </c>
      <c r="AP136" s="75">
        <f t="shared" ref="AP136" si="144">SUM(P136:AA136)</f>
        <v>3600</v>
      </c>
      <c r="AQ136" s="75">
        <f>SUM(AB136:AM136)</f>
        <v>3600</v>
      </c>
    </row>
    <row r="137" spans="1:43" hidden="1" outlineLevel="1">
      <c r="A137" s="70" t="s">
        <v>192</v>
      </c>
      <c r="B137" s="85" t="s">
        <v>79</v>
      </c>
      <c r="C137" s="72"/>
      <c r="D137" s="92">
        <v>1E-3</v>
      </c>
      <c r="E137" s="92">
        <v>1E-3</v>
      </c>
      <c r="F137" s="92">
        <v>1E-3</v>
      </c>
      <c r="G137" s="92">
        <v>1E-3</v>
      </c>
      <c r="H137" s="92">
        <v>1E-3</v>
      </c>
      <c r="I137" s="92">
        <v>1E-3</v>
      </c>
      <c r="J137" s="92">
        <v>1E-3</v>
      </c>
      <c r="K137" s="92">
        <v>1E-3</v>
      </c>
      <c r="L137" s="92">
        <v>1E-3</v>
      </c>
      <c r="M137" s="92">
        <v>1E-3</v>
      </c>
      <c r="N137" s="92">
        <v>1E-3</v>
      </c>
      <c r="O137" s="92">
        <v>1E-3</v>
      </c>
      <c r="P137" s="92">
        <v>1E-3</v>
      </c>
      <c r="Q137" s="92">
        <v>1E-3</v>
      </c>
      <c r="R137" s="92">
        <v>1E-3</v>
      </c>
      <c r="S137" s="92">
        <v>1E-3</v>
      </c>
      <c r="T137" s="92">
        <v>1E-3</v>
      </c>
      <c r="U137" s="92">
        <v>1E-3</v>
      </c>
      <c r="V137" s="92">
        <v>1E-3</v>
      </c>
      <c r="W137" s="92">
        <v>1E-3</v>
      </c>
      <c r="X137" s="92">
        <v>1E-3</v>
      </c>
      <c r="Y137" s="92">
        <v>1E-3</v>
      </c>
      <c r="Z137" s="92">
        <v>1E-3</v>
      </c>
      <c r="AA137" s="92">
        <v>1E-3</v>
      </c>
      <c r="AB137" s="92">
        <v>1E-3</v>
      </c>
      <c r="AC137" s="92">
        <v>1E-3</v>
      </c>
      <c r="AD137" s="92">
        <v>1E-3</v>
      </c>
      <c r="AE137" s="92">
        <v>1E-3</v>
      </c>
      <c r="AF137" s="92">
        <v>1E-3</v>
      </c>
      <c r="AG137" s="92">
        <v>1E-3</v>
      </c>
      <c r="AH137" s="92">
        <v>1E-3</v>
      </c>
      <c r="AI137" s="92">
        <v>1E-3</v>
      </c>
      <c r="AJ137" s="92">
        <v>1E-3</v>
      </c>
      <c r="AK137" s="92">
        <v>1E-3</v>
      </c>
      <c r="AL137" s="92">
        <v>1E-3</v>
      </c>
      <c r="AM137" s="92">
        <v>1E-3</v>
      </c>
      <c r="AN137" s="81"/>
      <c r="AO137" s="109">
        <f t="shared" ref="AO137" si="145">AVERAGE(D137:O137)</f>
        <v>1.0000000000000002E-3</v>
      </c>
      <c r="AP137" s="109">
        <f t="shared" ref="AP137" si="146">AVERAGE(P137:AA137)</f>
        <v>1.0000000000000002E-3</v>
      </c>
      <c r="AQ137" s="109">
        <f t="shared" ref="AQ137" si="147">AVERAGE(AB137:AM137)</f>
        <v>1.0000000000000002E-3</v>
      </c>
    </row>
    <row r="138" spans="1:43" hidden="1" outlineLevel="1">
      <c r="A138" s="70" t="s">
        <v>191</v>
      </c>
      <c r="B138" s="85" t="s">
        <v>78</v>
      </c>
      <c r="C138" s="72"/>
      <c r="D138" s="77">
        <f>-D137*D134</f>
        <v>-15</v>
      </c>
      <c r="E138" s="77">
        <f t="shared" ref="E138:AM138" si="148">-E137*E134</f>
        <v>-16</v>
      </c>
      <c r="F138" s="77">
        <f t="shared" si="148"/>
        <v>-17</v>
      </c>
      <c r="G138" s="77">
        <f t="shared" si="148"/>
        <v>-18</v>
      </c>
      <c r="H138" s="77">
        <f t="shared" si="148"/>
        <v>-19</v>
      </c>
      <c r="I138" s="77">
        <f t="shared" si="148"/>
        <v>-20</v>
      </c>
      <c r="J138" s="77">
        <f t="shared" si="148"/>
        <v>-20</v>
      </c>
      <c r="K138" s="77">
        <f t="shared" si="148"/>
        <v>-22</v>
      </c>
      <c r="L138" s="77">
        <f t="shared" si="148"/>
        <v>-24</v>
      </c>
      <c r="M138" s="77">
        <f t="shared" si="148"/>
        <v>-26</v>
      </c>
      <c r="N138" s="77">
        <f t="shared" si="148"/>
        <v>-28</v>
      </c>
      <c r="O138" s="77">
        <f t="shared" si="148"/>
        <v>-30</v>
      </c>
      <c r="P138" s="77">
        <f t="shared" si="148"/>
        <v>-30</v>
      </c>
      <c r="Q138" s="77">
        <f t="shared" si="148"/>
        <v>-30</v>
      </c>
      <c r="R138" s="77">
        <f t="shared" si="148"/>
        <v>-30</v>
      </c>
      <c r="S138" s="77">
        <f t="shared" si="148"/>
        <v>-30</v>
      </c>
      <c r="T138" s="77">
        <f t="shared" si="148"/>
        <v>-30</v>
      </c>
      <c r="U138" s="77">
        <f t="shared" si="148"/>
        <v>-30</v>
      </c>
      <c r="V138" s="77">
        <f t="shared" si="148"/>
        <v>-30</v>
      </c>
      <c r="W138" s="77">
        <f t="shared" si="148"/>
        <v>-30</v>
      </c>
      <c r="X138" s="77">
        <f t="shared" si="148"/>
        <v>-30</v>
      </c>
      <c r="Y138" s="77">
        <f t="shared" si="148"/>
        <v>-30</v>
      </c>
      <c r="Z138" s="77">
        <f t="shared" si="148"/>
        <v>-30</v>
      </c>
      <c r="AA138" s="77">
        <f t="shared" si="148"/>
        <v>-30</v>
      </c>
      <c r="AB138" s="77">
        <f t="shared" si="148"/>
        <v>-30</v>
      </c>
      <c r="AC138" s="77">
        <f t="shared" si="148"/>
        <v>-30</v>
      </c>
      <c r="AD138" s="77">
        <f t="shared" si="148"/>
        <v>-30</v>
      </c>
      <c r="AE138" s="77">
        <f t="shared" si="148"/>
        <v>-30</v>
      </c>
      <c r="AF138" s="77">
        <f t="shared" si="148"/>
        <v>-30</v>
      </c>
      <c r="AG138" s="77">
        <f t="shared" si="148"/>
        <v>-30</v>
      </c>
      <c r="AH138" s="77">
        <f t="shared" si="148"/>
        <v>-30</v>
      </c>
      <c r="AI138" s="77">
        <f t="shared" si="148"/>
        <v>-30</v>
      </c>
      <c r="AJ138" s="77">
        <f t="shared" si="148"/>
        <v>-30</v>
      </c>
      <c r="AK138" s="77">
        <f t="shared" si="148"/>
        <v>-30</v>
      </c>
      <c r="AL138" s="77">
        <f t="shared" si="148"/>
        <v>-30</v>
      </c>
      <c r="AM138" s="77">
        <f t="shared" si="148"/>
        <v>-30</v>
      </c>
      <c r="AN138" s="81"/>
      <c r="AO138" s="75">
        <f t="shared" ref="AO138" si="149">SUM(D138:O138)</f>
        <v>-255</v>
      </c>
      <c r="AP138" s="75">
        <f t="shared" ref="AP138" si="150">SUM(P138:AA138)</f>
        <v>-360</v>
      </c>
      <c r="AQ138" s="75">
        <f>SUM(AB138:AM138)</f>
        <v>-360</v>
      </c>
    </row>
    <row r="139" spans="1:43" hidden="1" outlineLevel="1">
      <c r="A139" s="70" t="s">
        <v>193</v>
      </c>
      <c r="B139" s="85" t="s">
        <v>79</v>
      </c>
      <c r="C139" s="72"/>
      <c r="D139" s="92">
        <v>2E-3</v>
      </c>
      <c r="E139" s="92">
        <v>2E-3</v>
      </c>
      <c r="F139" s="92">
        <v>2E-3</v>
      </c>
      <c r="G139" s="92">
        <v>2E-3</v>
      </c>
      <c r="H139" s="92">
        <v>2E-3</v>
      </c>
      <c r="I139" s="92">
        <v>2E-3</v>
      </c>
      <c r="J139" s="92">
        <v>2E-3</v>
      </c>
      <c r="K139" s="92">
        <v>2E-3</v>
      </c>
      <c r="L139" s="92">
        <v>2E-3</v>
      </c>
      <c r="M139" s="92">
        <v>2E-3</v>
      </c>
      <c r="N139" s="92">
        <v>2E-3</v>
      </c>
      <c r="O139" s="92">
        <v>2E-3</v>
      </c>
      <c r="P139" s="92">
        <v>2E-3</v>
      </c>
      <c r="Q139" s="92">
        <v>2E-3</v>
      </c>
      <c r="R139" s="92">
        <v>2E-3</v>
      </c>
      <c r="S139" s="92">
        <v>2E-3</v>
      </c>
      <c r="T139" s="92">
        <v>2E-3</v>
      </c>
      <c r="U139" s="92">
        <v>2E-3</v>
      </c>
      <c r="V139" s="92">
        <v>2E-3</v>
      </c>
      <c r="W139" s="92">
        <v>2E-3</v>
      </c>
      <c r="X139" s="92">
        <v>2E-3</v>
      </c>
      <c r="Y139" s="92">
        <v>2E-3</v>
      </c>
      <c r="Z139" s="92">
        <v>2E-3</v>
      </c>
      <c r="AA139" s="92">
        <v>2E-3</v>
      </c>
      <c r="AB139" s="92">
        <v>2E-3</v>
      </c>
      <c r="AC139" s="92">
        <v>2E-3</v>
      </c>
      <c r="AD139" s="92">
        <v>2E-3</v>
      </c>
      <c r="AE139" s="92">
        <v>2E-3</v>
      </c>
      <c r="AF139" s="92">
        <v>2E-3</v>
      </c>
      <c r="AG139" s="92">
        <v>2E-3</v>
      </c>
      <c r="AH139" s="92">
        <v>2E-3</v>
      </c>
      <c r="AI139" s="92">
        <v>2E-3</v>
      </c>
      <c r="AJ139" s="92">
        <v>2E-3</v>
      </c>
      <c r="AK139" s="92">
        <v>2E-3</v>
      </c>
      <c r="AL139" s="92">
        <v>2E-3</v>
      </c>
      <c r="AM139" s="92">
        <v>2E-3</v>
      </c>
      <c r="AN139" s="81"/>
      <c r="AO139" s="109">
        <f t="shared" ref="AO139" si="151">AVERAGE(D139:O139)</f>
        <v>2.0000000000000005E-3</v>
      </c>
      <c r="AP139" s="109">
        <f t="shared" ref="AP139" si="152">AVERAGE(P139:AA139)</f>
        <v>2.0000000000000005E-3</v>
      </c>
      <c r="AQ139" s="109">
        <f t="shared" ref="AQ139" si="153">AVERAGE(AB139:AM139)</f>
        <v>2.0000000000000005E-3</v>
      </c>
    </row>
    <row r="140" spans="1:43" hidden="1" outlineLevel="1">
      <c r="A140" s="70" t="s">
        <v>194</v>
      </c>
      <c r="B140" s="85" t="s">
        <v>78</v>
      </c>
      <c r="C140" s="72"/>
      <c r="D140" s="77">
        <f>-D139*D134</f>
        <v>-30</v>
      </c>
      <c r="E140" s="77">
        <f t="shared" ref="E140:AM140" si="154">-E139*E134</f>
        <v>-32</v>
      </c>
      <c r="F140" s="77">
        <f t="shared" si="154"/>
        <v>-34</v>
      </c>
      <c r="G140" s="77">
        <f t="shared" si="154"/>
        <v>-36</v>
      </c>
      <c r="H140" s="77">
        <f t="shared" si="154"/>
        <v>-38</v>
      </c>
      <c r="I140" s="77">
        <f t="shared" si="154"/>
        <v>-40</v>
      </c>
      <c r="J140" s="77">
        <f t="shared" si="154"/>
        <v>-40</v>
      </c>
      <c r="K140" s="77">
        <f t="shared" si="154"/>
        <v>-44</v>
      </c>
      <c r="L140" s="77">
        <f t="shared" si="154"/>
        <v>-48</v>
      </c>
      <c r="M140" s="77">
        <f t="shared" si="154"/>
        <v>-52</v>
      </c>
      <c r="N140" s="77">
        <f t="shared" si="154"/>
        <v>-56</v>
      </c>
      <c r="O140" s="77">
        <f t="shared" si="154"/>
        <v>-60</v>
      </c>
      <c r="P140" s="77">
        <f t="shared" si="154"/>
        <v>-60</v>
      </c>
      <c r="Q140" s="77">
        <f t="shared" si="154"/>
        <v>-60</v>
      </c>
      <c r="R140" s="77">
        <f t="shared" si="154"/>
        <v>-60</v>
      </c>
      <c r="S140" s="77">
        <f t="shared" si="154"/>
        <v>-60</v>
      </c>
      <c r="T140" s="77">
        <f t="shared" si="154"/>
        <v>-60</v>
      </c>
      <c r="U140" s="77">
        <f t="shared" si="154"/>
        <v>-60</v>
      </c>
      <c r="V140" s="77">
        <f t="shared" si="154"/>
        <v>-60</v>
      </c>
      <c r="W140" s="77">
        <f t="shared" si="154"/>
        <v>-60</v>
      </c>
      <c r="X140" s="77">
        <f t="shared" si="154"/>
        <v>-60</v>
      </c>
      <c r="Y140" s="77">
        <f t="shared" si="154"/>
        <v>-60</v>
      </c>
      <c r="Z140" s="77">
        <f t="shared" si="154"/>
        <v>-60</v>
      </c>
      <c r="AA140" s="77">
        <f t="shared" si="154"/>
        <v>-60</v>
      </c>
      <c r="AB140" s="77">
        <f t="shared" si="154"/>
        <v>-60</v>
      </c>
      <c r="AC140" s="77">
        <f t="shared" si="154"/>
        <v>-60</v>
      </c>
      <c r="AD140" s="77">
        <f t="shared" si="154"/>
        <v>-60</v>
      </c>
      <c r="AE140" s="77">
        <f t="shared" si="154"/>
        <v>-60</v>
      </c>
      <c r="AF140" s="77">
        <f t="shared" si="154"/>
        <v>-60</v>
      </c>
      <c r="AG140" s="77">
        <f t="shared" si="154"/>
        <v>-60</v>
      </c>
      <c r="AH140" s="77">
        <f t="shared" si="154"/>
        <v>-60</v>
      </c>
      <c r="AI140" s="77">
        <f t="shared" si="154"/>
        <v>-60</v>
      </c>
      <c r="AJ140" s="77">
        <f t="shared" si="154"/>
        <v>-60</v>
      </c>
      <c r="AK140" s="77">
        <f t="shared" si="154"/>
        <v>-60</v>
      </c>
      <c r="AL140" s="77">
        <f t="shared" si="154"/>
        <v>-60</v>
      </c>
      <c r="AM140" s="77">
        <f t="shared" si="154"/>
        <v>-60</v>
      </c>
      <c r="AN140" s="81"/>
      <c r="AO140" s="75">
        <f t="shared" ref="AO140" si="155">SUM(D140:O140)</f>
        <v>-510</v>
      </c>
      <c r="AP140" s="75">
        <f t="shared" ref="AP140" si="156">SUM(P140:AA140)</f>
        <v>-720</v>
      </c>
      <c r="AQ140" s="75">
        <f>SUM(AB140:AM140)</f>
        <v>-720</v>
      </c>
    </row>
    <row r="141" spans="1:43" hidden="1" outlineLevel="1">
      <c r="A141" s="80" t="s">
        <v>198</v>
      </c>
      <c r="B141" s="85" t="s">
        <v>78</v>
      </c>
      <c r="D141" s="100">
        <f>D138+D140</f>
        <v>-45</v>
      </c>
      <c r="E141" s="100">
        <f t="shared" ref="E141:AM141" si="157">E138+E140</f>
        <v>-48</v>
      </c>
      <c r="F141" s="100">
        <f t="shared" si="157"/>
        <v>-51</v>
      </c>
      <c r="G141" s="100">
        <f t="shared" si="157"/>
        <v>-54</v>
      </c>
      <c r="H141" s="100">
        <f t="shared" si="157"/>
        <v>-57</v>
      </c>
      <c r="I141" s="100">
        <f t="shared" si="157"/>
        <v>-60</v>
      </c>
      <c r="J141" s="100">
        <f t="shared" si="157"/>
        <v>-60</v>
      </c>
      <c r="K141" s="100">
        <f t="shared" si="157"/>
        <v>-66</v>
      </c>
      <c r="L141" s="100">
        <f t="shared" si="157"/>
        <v>-72</v>
      </c>
      <c r="M141" s="100">
        <f t="shared" si="157"/>
        <v>-78</v>
      </c>
      <c r="N141" s="100">
        <f t="shared" si="157"/>
        <v>-84</v>
      </c>
      <c r="O141" s="100">
        <f t="shared" si="157"/>
        <v>-90</v>
      </c>
      <c r="P141" s="100">
        <f t="shared" si="157"/>
        <v>-90</v>
      </c>
      <c r="Q141" s="100">
        <f t="shared" si="157"/>
        <v>-90</v>
      </c>
      <c r="R141" s="100">
        <f t="shared" si="157"/>
        <v>-90</v>
      </c>
      <c r="S141" s="100">
        <f t="shared" si="157"/>
        <v>-90</v>
      </c>
      <c r="T141" s="100">
        <f t="shared" si="157"/>
        <v>-90</v>
      </c>
      <c r="U141" s="100">
        <f t="shared" si="157"/>
        <v>-90</v>
      </c>
      <c r="V141" s="100">
        <f t="shared" si="157"/>
        <v>-90</v>
      </c>
      <c r="W141" s="100">
        <f t="shared" si="157"/>
        <v>-90</v>
      </c>
      <c r="X141" s="100">
        <f t="shared" si="157"/>
        <v>-90</v>
      </c>
      <c r="Y141" s="100">
        <f t="shared" si="157"/>
        <v>-90</v>
      </c>
      <c r="Z141" s="100">
        <f t="shared" si="157"/>
        <v>-90</v>
      </c>
      <c r="AA141" s="100">
        <f t="shared" si="157"/>
        <v>-90</v>
      </c>
      <c r="AB141" s="100">
        <f t="shared" si="157"/>
        <v>-90</v>
      </c>
      <c r="AC141" s="100">
        <f t="shared" si="157"/>
        <v>-90</v>
      </c>
      <c r="AD141" s="100">
        <f t="shared" si="157"/>
        <v>-90</v>
      </c>
      <c r="AE141" s="100">
        <f t="shared" si="157"/>
        <v>-90</v>
      </c>
      <c r="AF141" s="100">
        <f t="shared" si="157"/>
        <v>-90</v>
      </c>
      <c r="AG141" s="100">
        <f t="shared" si="157"/>
        <v>-90</v>
      </c>
      <c r="AH141" s="100">
        <f t="shared" si="157"/>
        <v>-90</v>
      </c>
      <c r="AI141" s="100">
        <f t="shared" si="157"/>
        <v>-90</v>
      </c>
      <c r="AJ141" s="100">
        <f t="shared" si="157"/>
        <v>-90</v>
      </c>
      <c r="AK141" s="100">
        <f t="shared" si="157"/>
        <v>-90</v>
      </c>
      <c r="AL141" s="100">
        <f t="shared" si="157"/>
        <v>-90</v>
      </c>
      <c r="AM141" s="100">
        <f t="shared" si="157"/>
        <v>-90</v>
      </c>
      <c r="AO141" s="75">
        <f t="shared" ref="AO141:AO142" si="158">SUM(D141:O141)</f>
        <v>-765</v>
      </c>
      <c r="AP141" s="75">
        <f t="shared" ref="AP141:AP142" si="159">SUM(P141:AA141)</f>
        <v>-1080</v>
      </c>
      <c r="AQ141" s="75">
        <f>SUM(AB141:AM141)</f>
        <v>-1080</v>
      </c>
    </row>
    <row r="142" spans="1:43" hidden="1" outlineLevel="1">
      <c r="A142" s="70" t="s">
        <v>199</v>
      </c>
      <c r="B142" s="85" t="s">
        <v>78</v>
      </c>
      <c r="C142" s="72"/>
      <c r="D142" s="77">
        <f>-'OPEX+CAPEX'!E107</f>
        <v>-107.14285714285714</v>
      </c>
      <c r="E142" s="77">
        <f>-'OPEX+CAPEX'!F107</f>
        <v>-107.14285714285714</v>
      </c>
      <c r="F142" s="77">
        <f>-'OPEX+CAPEX'!G107</f>
        <v>-107.14285714285714</v>
      </c>
      <c r="G142" s="77">
        <f>-'OPEX+CAPEX'!H107</f>
        <v>-107.14285714285714</v>
      </c>
      <c r="H142" s="77">
        <f>-'OPEX+CAPEX'!I107</f>
        <v>-107.14285714285714</v>
      </c>
      <c r="I142" s="77">
        <f>-'OPEX+CAPEX'!J107</f>
        <v>-107.14285714285714</v>
      </c>
      <c r="J142" s="77">
        <f>-'OPEX+CAPEX'!K107</f>
        <v>-107.14285714285714</v>
      </c>
      <c r="K142" s="77">
        <f>-'OPEX+CAPEX'!L107</f>
        <v>-107.14285714285714</v>
      </c>
      <c r="L142" s="77">
        <f>-'OPEX+CAPEX'!M107</f>
        <v>-107.14285714285714</v>
      </c>
      <c r="M142" s="77">
        <f>-'OPEX+CAPEX'!N107</f>
        <v>-107.14285714285714</v>
      </c>
      <c r="N142" s="77">
        <f>-'OPEX+CAPEX'!O107</f>
        <v>-107.14285714285714</v>
      </c>
      <c r="O142" s="77">
        <f>-'OPEX+CAPEX'!P107</f>
        <v>-107.14285714285714</v>
      </c>
      <c r="P142" s="77">
        <f>-'OPEX+CAPEX'!Q107</f>
        <v>-107.14285714285714</v>
      </c>
      <c r="Q142" s="77">
        <f>-'OPEX+CAPEX'!R107</f>
        <v>-107.14285714285714</v>
      </c>
      <c r="R142" s="77">
        <f>-'OPEX+CAPEX'!S107</f>
        <v>-107.14285714285714</v>
      </c>
      <c r="S142" s="77">
        <f>-'OPEX+CAPEX'!T107</f>
        <v>-107.14285714285714</v>
      </c>
      <c r="T142" s="77">
        <f>-'OPEX+CAPEX'!U107</f>
        <v>-107.14285714285714</v>
      </c>
      <c r="U142" s="77">
        <f>-'OPEX+CAPEX'!V107</f>
        <v>-107.14285714285714</v>
      </c>
      <c r="V142" s="77">
        <f>-'OPEX+CAPEX'!W107</f>
        <v>-107.14285714285714</v>
      </c>
      <c r="W142" s="77">
        <f>-'OPEX+CAPEX'!X107</f>
        <v>-107.14285714285714</v>
      </c>
      <c r="X142" s="77">
        <f>-'OPEX+CAPEX'!Y107</f>
        <v>-107.14285714285714</v>
      </c>
      <c r="Y142" s="77">
        <f>-'OPEX+CAPEX'!Z107</f>
        <v>-107.14285714285714</v>
      </c>
      <c r="Z142" s="77">
        <f>-'OPEX+CAPEX'!AA107</f>
        <v>-107.14285714285714</v>
      </c>
      <c r="AA142" s="77">
        <f>-'OPEX+CAPEX'!AB107</f>
        <v>-107.14285714285714</v>
      </c>
      <c r="AB142" s="77">
        <f>-'OPEX+CAPEX'!AC107</f>
        <v>-107.14285714285714</v>
      </c>
      <c r="AC142" s="77">
        <f>-'OPEX+CAPEX'!AD107</f>
        <v>-107.14285714285714</v>
      </c>
      <c r="AD142" s="77">
        <f>-'OPEX+CAPEX'!AE107</f>
        <v>-107.14285714285714</v>
      </c>
      <c r="AE142" s="77">
        <f>-'OPEX+CAPEX'!AF107</f>
        <v>-107.14285714285714</v>
      </c>
      <c r="AF142" s="77">
        <f>-'OPEX+CAPEX'!AG107</f>
        <v>-107.14285714285714</v>
      </c>
      <c r="AG142" s="77">
        <f>-'OPEX+CAPEX'!AH107</f>
        <v>-107.14285714285714</v>
      </c>
      <c r="AH142" s="77">
        <f>-'OPEX+CAPEX'!AI107</f>
        <v>-107.14285714285714</v>
      </c>
      <c r="AI142" s="77">
        <f>-'OPEX+CAPEX'!AJ107</f>
        <v>-107.14285714285714</v>
      </c>
      <c r="AJ142" s="77">
        <f>-'OPEX+CAPEX'!AK107</f>
        <v>-107.14285714285714</v>
      </c>
      <c r="AK142" s="77">
        <f>-'OPEX+CAPEX'!AL107</f>
        <v>-107.14285714285714</v>
      </c>
      <c r="AL142" s="77">
        <f>-'OPEX+CAPEX'!AM107</f>
        <v>-107.14285714285714</v>
      </c>
      <c r="AM142" s="77">
        <f>-'OPEX+CAPEX'!AN107</f>
        <v>-107.14285714285714</v>
      </c>
      <c r="AN142" s="81"/>
      <c r="AO142" s="75">
        <f t="shared" si="158"/>
        <v>-1285.7142857142856</v>
      </c>
      <c r="AP142" s="75">
        <f t="shared" si="159"/>
        <v>-1285.7142857142856</v>
      </c>
      <c r="AQ142" s="75">
        <f>SUM(AB142:AM142)</f>
        <v>-1285.7142857142856</v>
      </c>
    </row>
    <row r="143" spans="1:43" hidden="1" outlineLevel="1">
      <c r="A143" s="80" t="s">
        <v>177</v>
      </c>
      <c r="B143" s="85" t="s">
        <v>78</v>
      </c>
      <c r="D143" s="73">
        <f t="shared" ref="D143:AM143" si="160">D136+D141+D142</f>
        <v>-2.1428571428571388</v>
      </c>
      <c r="E143" s="73">
        <f t="shared" si="160"/>
        <v>4.8571428571428612</v>
      </c>
      <c r="F143" s="73">
        <f t="shared" si="160"/>
        <v>11.857142857142861</v>
      </c>
      <c r="G143" s="73">
        <f t="shared" si="160"/>
        <v>18.857142857142861</v>
      </c>
      <c r="H143" s="73">
        <f t="shared" si="160"/>
        <v>25.857142857142861</v>
      </c>
      <c r="I143" s="73">
        <f t="shared" si="160"/>
        <v>32.857142857142861</v>
      </c>
      <c r="J143" s="73">
        <f t="shared" si="160"/>
        <v>32.857142857142861</v>
      </c>
      <c r="K143" s="73">
        <f t="shared" si="160"/>
        <v>46.857142857142861</v>
      </c>
      <c r="L143" s="73">
        <f t="shared" si="160"/>
        <v>60.857142857142861</v>
      </c>
      <c r="M143" s="73">
        <f t="shared" si="160"/>
        <v>74.857142857142861</v>
      </c>
      <c r="N143" s="73">
        <f t="shared" si="160"/>
        <v>88.857142857142861</v>
      </c>
      <c r="O143" s="73">
        <f t="shared" si="160"/>
        <v>102.85714285714286</v>
      </c>
      <c r="P143" s="73">
        <f t="shared" si="160"/>
        <v>102.85714285714286</v>
      </c>
      <c r="Q143" s="73">
        <f t="shared" si="160"/>
        <v>102.85714285714286</v>
      </c>
      <c r="R143" s="73">
        <f t="shared" si="160"/>
        <v>102.85714285714286</v>
      </c>
      <c r="S143" s="73">
        <f t="shared" si="160"/>
        <v>102.85714285714286</v>
      </c>
      <c r="T143" s="73">
        <f t="shared" si="160"/>
        <v>102.85714285714286</v>
      </c>
      <c r="U143" s="73">
        <f t="shared" si="160"/>
        <v>102.85714285714286</v>
      </c>
      <c r="V143" s="73">
        <f t="shared" si="160"/>
        <v>102.85714285714286</v>
      </c>
      <c r="W143" s="73">
        <f t="shared" si="160"/>
        <v>102.85714285714286</v>
      </c>
      <c r="X143" s="73">
        <f t="shared" si="160"/>
        <v>102.85714285714286</v>
      </c>
      <c r="Y143" s="73">
        <f t="shared" si="160"/>
        <v>102.85714285714286</v>
      </c>
      <c r="Z143" s="73">
        <f t="shared" si="160"/>
        <v>102.85714285714286</v>
      </c>
      <c r="AA143" s="73">
        <f t="shared" si="160"/>
        <v>102.85714285714286</v>
      </c>
      <c r="AB143" s="73">
        <f t="shared" si="160"/>
        <v>102.85714285714286</v>
      </c>
      <c r="AC143" s="73">
        <f t="shared" si="160"/>
        <v>102.85714285714286</v>
      </c>
      <c r="AD143" s="73">
        <f t="shared" si="160"/>
        <v>102.85714285714286</v>
      </c>
      <c r="AE143" s="73">
        <f t="shared" si="160"/>
        <v>102.85714285714286</v>
      </c>
      <c r="AF143" s="73">
        <f t="shared" si="160"/>
        <v>102.85714285714286</v>
      </c>
      <c r="AG143" s="73">
        <f t="shared" si="160"/>
        <v>102.85714285714286</v>
      </c>
      <c r="AH143" s="73">
        <f t="shared" si="160"/>
        <v>102.85714285714286</v>
      </c>
      <c r="AI143" s="73">
        <f t="shared" si="160"/>
        <v>102.85714285714286</v>
      </c>
      <c r="AJ143" s="73">
        <f t="shared" si="160"/>
        <v>102.85714285714286</v>
      </c>
      <c r="AK143" s="73">
        <f t="shared" si="160"/>
        <v>102.85714285714286</v>
      </c>
      <c r="AL143" s="73">
        <f t="shared" si="160"/>
        <v>102.85714285714286</v>
      </c>
      <c r="AM143" s="73">
        <f t="shared" si="160"/>
        <v>102.85714285714286</v>
      </c>
      <c r="AO143" s="75">
        <f t="shared" ref="AO143" si="161">SUM(D143:O143)</f>
        <v>499.28571428571433</v>
      </c>
      <c r="AP143" s="75">
        <f t="shared" ref="AP143" si="162">SUM(P143:AA143)</f>
        <v>1234.2857142857144</v>
      </c>
      <c r="AQ143" s="75">
        <f>SUM(AB143:AM143)</f>
        <v>1234.2857142857144</v>
      </c>
    </row>
    <row r="144" spans="1:43" hidden="1" outlineLevel="1">
      <c r="B144" s="85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</row>
    <row r="145" spans="1:16370" hidden="1" outlineLevel="1">
      <c r="A145" s="90" t="s">
        <v>287</v>
      </c>
    </row>
    <row r="146" spans="1:16370" hidden="1" outlineLevel="1">
      <c r="A146" s="70" t="s">
        <v>123</v>
      </c>
      <c r="B146" s="85" t="s">
        <v>85</v>
      </c>
      <c r="C146" s="72"/>
      <c r="D146" s="77">
        <f>'0'!D23</f>
        <v>15</v>
      </c>
      <c r="E146" s="77">
        <f>'0'!E23</f>
        <v>16</v>
      </c>
      <c r="F146" s="77">
        <f>'0'!F23</f>
        <v>17</v>
      </c>
      <c r="G146" s="77">
        <f>'0'!G23</f>
        <v>18</v>
      </c>
      <c r="H146" s="77">
        <f>'0'!H23</f>
        <v>19</v>
      </c>
      <c r="I146" s="77">
        <f>'0'!I23</f>
        <v>20</v>
      </c>
      <c r="J146" s="77">
        <f>'0'!J23</f>
        <v>20</v>
      </c>
      <c r="K146" s="77">
        <f>'0'!K23</f>
        <v>22</v>
      </c>
      <c r="L146" s="77">
        <f>'0'!L23</f>
        <v>24</v>
      </c>
      <c r="M146" s="77">
        <f>'0'!M23</f>
        <v>26</v>
      </c>
      <c r="N146" s="77">
        <f>'0'!N23</f>
        <v>28</v>
      </c>
      <c r="O146" s="77">
        <f>'0'!O23</f>
        <v>30</v>
      </c>
      <c r="P146" s="77">
        <f>'0'!P23</f>
        <v>30</v>
      </c>
      <c r="Q146" s="77">
        <f>'0'!Q23</f>
        <v>30</v>
      </c>
      <c r="R146" s="77">
        <f>'0'!R23</f>
        <v>30</v>
      </c>
      <c r="S146" s="77">
        <f>'0'!S23</f>
        <v>30</v>
      </c>
      <c r="T146" s="77">
        <f>'0'!T23</f>
        <v>30</v>
      </c>
      <c r="U146" s="77">
        <f>'0'!U23</f>
        <v>30</v>
      </c>
      <c r="V146" s="77">
        <f>'0'!V23</f>
        <v>30</v>
      </c>
      <c r="W146" s="77">
        <f>'0'!W23</f>
        <v>30</v>
      </c>
      <c r="X146" s="77">
        <f>'0'!X23</f>
        <v>30</v>
      </c>
      <c r="Y146" s="77">
        <f>'0'!Y23</f>
        <v>30</v>
      </c>
      <c r="Z146" s="77">
        <f>'0'!Z23</f>
        <v>30</v>
      </c>
      <c r="AA146" s="77">
        <f>'0'!AA23</f>
        <v>30</v>
      </c>
      <c r="AB146" s="77">
        <f>'0'!AB23</f>
        <v>30</v>
      </c>
      <c r="AC146" s="77">
        <f>'0'!AC23</f>
        <v>30</v>
      </c>
      <c r="AD146" s="77">
        <f>'0'!AD23</f>
        <v>30</v>
      </c>
      <c r="AE146" s="77">
        <f>'0'!AE23</f>
        <v>30</v>
      </c>
      <c r="AF146" s="77">
        <f>'0'!AF23</f>
        <v>30</v>
      </c>
      <c r="AG146" s="77">
        <f>'0'!AG23</f>
        <v>30</v>
      </c>
      <c r="AH146" s="77">
        <f>'0'!AH23</f>
        <v>30</v>
      </c>
      <c r="AI146" s="77">
        <f>'0'!AI23</f>
        <v>30</v>
      </c>
      <c r="AJ146" s="77">
        <f>'0'!AJ23</f>
        <v>30</v>
      </c>
      <c r="AK146" s="77">
        <f>'0'!AK23</f>
        <v>30</v>
      </c>
      <c r="AL146" s="77">
        <f>'0'!AL23</f>
        <v>30</v>
      </c>
      <c r="AM146" s="77">
        <f>'0'!AM23</f>
        <v>30</v>
      </c>
      <c r="AN146" s="81"/>
      <c r="AO146" s="75">
        <f>O146</f>
        <v>30</v>
      </c>
      <c r="AP146" s="75">
        <f>AA146</f>
        <v>30</v>
      </c>
      <c r="AQ146" s="75">
        <f>AM146</f>
        <v>30</v>
      </c>
    </row>
    <row r="147" spans="1:16370" hidden="1" outlineLevel="1">
      <c r="A147" s="70" t="s">
        <v>288</v>
      </c>
      <c r="B147" s="85" t="s">
        <v>78</v>
      </c>
      <c r="C147" s="72"/>
      <c r="D147" s="86">
        <v>500</v>
      </c>
      <c r="E147" s="86">
        <v>500</v>
      </c>
      <c r="F147" s="86">
        <v>500</v>
      </c>
      <c r="G147" s="86">
        <v>500</v>
      </c>
      <c r="H147" s="86">
        <v>500</v>
      </c>
      <c r="I147" s="86">
        <v>500</v>
      </c>
      <c r="J147" s="86">
        <v>500</v>
      </c>
      <c r="K147" s="86">
        <v>500</v>
      </c>
      <c r="L147" s="86">
        <v>500</v>
      </c>
      <c r="M147" s="86">
        <v>500</v>
      </c>
      <c r="N147" s="86">
        <v>500</v>
      </c>
      <c r="O147" s="86">
        <v>500</v>
      </c>
      <c r="P147" s="86">
        <v>500</v>
      </c>
      <c r="Q147" s="86">
        <v>500</v>
      </c>
      <c r="R147" s="86">
        <v>500</v>
      </c>
      <c r="S147" s="86">
        <v>500</v>
      </c>
      <c r="T147" s="86">
        <v>500</v>
      </c>
      <c r="U147" s="86">
        <v>500</v>
      </c>
      <c r="V147" s="86">
        <v>500</v>
      </c>
      <c r="W147" s="86">
        <v>500</v>
      </c>
      <c r="X147" s="86">
        <v>500</v>
      </c>
      <c r="Y147" s="86">
        <v>500</v>
      </c>
      <c r="Z147" s="86">
        <v>500</v>
      </c>
      <c r="AA147" s="86">
        <v>500</v>
      </c>
      <c r="AB147" s="86">
        <v>500</v>
      </c>
      <c r="AC147" s="86">
        <v>500</v>
      </c>
      <c r="AD147" s="86">
        <v>500</v>
      </c>
      <c r="AE147" s="86">
        <v>500</v>
      </c>
      <c r="AF147" s="86">
        <v>500</v>
      </c>
      <c r="AG147" s="86">
        <v>500</v>
      </c>
      <c r="AH147" s="86">
        <v>500</v>
      </c>
      <c r="AI147" s="86">
        <v>500</v>
      </c>
      <c r="AJ147" s="86">
        <v>500</v>
      </c>
      <c r="AK147" s="86">
        <v>500</v>
      </c>
      <c r="AL147" s="86">
        <v>500</v>
      </c>
      <c r="AM147" s="86">
        <v>500</v>
      </c>
      <c r="AN147" s="81"/>
      <c r="AO147" s="75">
        <f>AVERAGE(D147:O147)</f>
        <v>500</v>
      </c>
      <c r="AP147" s="75">
        <f>AVERAGE(P147:AA147)</f>
        <v>500</v>
      </c>
      <c r="AQ147" s="75">
        <f>AVERAGE(AB147:AM147)</f>
        <v>500</v>
      </c>
    </row>
    <row r="148" spans="1:16370" hidden="1" outlineLevel="1">
      <c r="A148" s="80" t="s">
        <v>280</v>
      </c>
      <c r="B148" s="85" t="s">
        <v>78</v>
      </c>
      <c r="D148" s="110">
        <f>D147*D146</f>
        <v>7500</v>
      </c>
      <c r="E148" s="110">
        <f t="shared" ref="E148:AM148" si="163">E147*E146</f>
        <v>8000</v>
      </c>
      <c r="F148" s="110">
        <f t="shared" si="163"/>
        <v>8500</v>
      </c>
      <c r="G148" s="110">
        <f t="shared" si="163"/>
        <v>9000</v>
      </c>
      <c r="H148" s="110">
        <f t="shared" si="163"/>
        <v>9500</v>
      </c>
      <c r="I148" s="110">
        <f t="shared" si="163"/>
        <v>10000</v>
      </c>
      <c r="J148" s="110">
        <f t="shared" si="163"/>
        <v>10000</v>
      </c>
      <c r="K148" s="110">
        <f t="shared" si="163"/>
        <v>11000</v>
      </c>
      <c r="L148" s="110">
        <f t="shared" si="163"/>
        <v>12000</v>
      </c>
      <c r="M148" s="110">
        <f t="shared" si="163"/>
        <v>13000</v>
      </c>
      <c r="N148" s="110">
        <f t="shared" si="163"/>
        <v>14000</v>
      </c>
      <c r="O148" s="110">
        <f t="shared" si="163"/>
        <v>15000</v>
      </c>
      <c r="P148" s="110">
        <f t="shared" si="163"/>
        <v>15000</v>
      </c>
      <c r="Q148" s="110">
        <f t="shared" si="163"/>
        <v>15000</v>
      </c>
      <c r="R148" s="110">
        <f t="shared" si="163"/>
        <v>15000</v>
      </c>
      <c r="S148" s="110">
        <f t="shared" si="163"/>
        <v>15000</v>
      </c>
      <c r="T148" s="110">
        <f t="shared" si="163"/>
        <v>15000</v>
      </c>
      <c r="U148" s="110">
        <f t="shared" si="163"/>
        <v>15000</v>
      </c>
      <c r="V148" s="110">
        <f t="shared" si="163"/>
        <v>15000</v>
      </c>
      <c r="W148" s="110">
        <f t="shared" si="163"/>
        <v>15000</v>
      </c>
      <c r="X148" s="110">
        <f t="shared" si="163"/>
        <v>15000</v>
      </c>
      <c r="Y148" s="110">
        <f t="shared" si="163"/>
        <v>15000</v>
      </c>
      <c r="Z148" s="110">
        <f t="shared" si="163"/>
        <v>15000</v>
      </c>
      <c r="AA148" s="110">
        <f t="shared" si="163"/>
        <v>15000</v>
      </c>
      <c r="AB148" s="110">
        <f t="shared" si="163"/>
        <v>15000</v>
      </c>
      <c r="AC148" s="110">
        <f t="shared" si="163"/>
        <v>15000</v>
      </c>
      <c r="AD148" s="110">
        <f t="shared" si="163"/>
        <v>15000</v>
      </c>
      <c r="AE148" s="110">
        <f t="shared" si="163"/>
        <v>15000</v>
      </c>
      <c r="AF148" s="110">
        <f t="shared" si="163"/>
        <v>15000</v>
      </c>
      <c r="AG148" s="110">
        <f t="shared" si="163"/>
        <v>15000</v>
      </c>
      <c r="AH148" s="110">
        <f t="shared" si="163"/>
        <v>15000</v>
      </c>
      <c r="AI148" s="110">
        <f t="shared" si="163"/>
        <v>15000</v>
      </c>
      <c r="AJ148" s="110">
        <f t="shared" si="163"/>
        <v>15000</v>
      </c>
      <c r="AK148" s="110">
        <f t="shared" si="163"/>
        <v>15000</v>
      </c>
      <c r="AL148" s="110">
        <f t="shared" si="163"/>
        <v>15000</v>
      </c>
      <c r="AM148" s="110">
        <f t="shared" si="163"/>
        <v>15000</v>
      </c>
      <c r="AO148" s="75">
        <f t="shared" ref="AO148" si="164">SUM(D148:O148)</f>
        <v>127500</v>
      </c>
      <c r="AP148" s="75">
        <f t="shared" ref="AP148" si="165">SUM(P148:AA148)</f>
        <v>180000</v>
      </c>
      <c r="AQ148" s="75">
        <f>SUM(AB148:AM148)</f>
        <v>180000</v>
      </c>
    </row>
    <row r="149" spans="1:16370" hidden="1" outlineLevel="1">
      <c r="A149" s="80" t="s">
        <v>281</v>
      </c>
      <c r="B149" s="71" t="s">
        <v>79</v>
      </c>
      <c r="D149" s="92">
        <v>5.0000000000000001E-3</v>
      </c>
      <c r="E149" s="92">
        <v>5.0000000000000001E-3</v>
      </c>
      <c r="F149" s="92">
        <v>5.0000000000000001E-3</v>
      </c>
      <c r="G149" s="92">
        <v>5.0000000000000001E-3</v>
      </c>
      <c r="H149" s="92">
        <v>5.0000000000000001E-3</v>
      </c>
      <c r="I149" s="92">
        <v>5.0000000000000001E-3</v>
      </c>
      <c r="J149" s="92">
        <v>5.0000000000000001E-3</v>
      </c>
      <c r="K149" s="92">
        <v>5.0000000000000001E-3</v>
      </c>
      <c r="L149" s="92">
        <v>5.0000000000000001E-3</v>
      </c>
      <c r="M149" s="92">
        <v>5.0000000000000001E-3</v>
      </c>
      <c r="N149" s="92">
        <v>5.0000000000000001E-3</v>
      </c>
      <c r="O149" s="92">
        <v>5.0000000000000001E-3</v>
      </c>
      <c r="P149" s="92">
        <v>5.0000000000000001E-3</v>
      </c>
      <c r="Q149" s="92">
        <v>5.0000000000000001E-3</v>
      </c>
      <c r="R149" s="92">
        <v>5.0000000000000001E-3</v>
      </c>
      <c r="S149" s="92">
        <v>5.0000000000000001E-3</v>
      </c>
      <c r="T149" s="92">
        <v>5.0000000000000001E-3</v>
      </c>
      <c r="U149" s="92">
        <v>5.0000000000000001E-3</v>
      </c>
      <c r="V149" s="92">
        <v>5.0000000000000001E-3</v>
      </c>
      <c r="W149" s="92">
        <v>5.0000000000000001E-3</v>
      </c>
      <c r="X149" s="92">
        <v>5.0000000000000001E-3</v>
      </c>
      <c r="Y149" s="92">
        <v>5.0000000000000001E-3</v>
      </c>
      <c r="Z149" s="92">
        <v>5.0000000000000001E-3</v>
      </c>
      <c r="AA149" s="92">
        <v>5.0000000000000001E-3</v>
      </c>
      <c r="AB149" s="92">
        <v>5.0000000000000001E-3</v>
      </c>
      <c r="AC149" s="92">
        <v>5.0000000000000001E-3</v>
      </c>
      <c r="AD149" s="92">
        <v>5.0000000000000001E-3</v>
      </c>
      <c r="AE149" s="92">
        <v>5.0000000000000001E-3</v>
      </c>
      <c r="AF149" s="92">
        <v>5.0000000000000001E-3</v>
      </c>
      <c r="AG149" s="92">
        <v>5.0000000000000001E-3</v>
      </c>
      <c r="AH149" s="92">
        <v>5.0000000000000001E-3</v>
      </c>
      <c r="AI149" s="92">
        <v>5.0000000000000001E-3</v>
      </c>
      <c r="AJ149" s="92">
        <v>5.0000000000000001E-3</v>
      </c>
      <c r="AK149" s="92">
        <v>5.0000000000000001E-3</v>
      </c>
      <c r="AL149" s="92">
        <v>5.0000000000000001E-3</v>
      </c>
      <c r="AM149" s="92">
        <v>5.0000000000000001E-3</v>
      </c>
      <c r="AO149" s="109">
        <f t="shared" ref="AO149" si="166">AVERAGE(D149:O149)</f>
        <v>4.9999999999999992E-3</v>
      </c>
      <c r="AP149" s="109">
        <f t="shared" ref="AP149" si="167">AVERAGE(P149:AA149)</f>
        <v>4.9999999999999992E-3</v>
      </c>
      <c r="AQ149" s="109">
        <f t="shared" ref="AQ149" si="168">AVERAGE(AB149:AM149)</f>
        <v>4.9999999999999992E-3</v>
      </c>
    </row>
    <row r="150" spans="1:16370" hidden="1" outlineLevel="1">
      <c r="A150" s="80" t="s">
        <v>282</v>
      </c>
      <c r="B150" s="85" t="s">
        <v>78</v>
      </c>
      <c r="D150" s="112">
        <f>D148*D149</f>
        <v>37.5</v>
      </c>
      <c r="E150" s="112">
        <f t="shared" ref="E150:AM150" si="169">E148*E149</f>
        <v>40</v>
      </c>
      <c r="F150" s="112">
        <f t="shared" si="169"/>
        <v>42.5</v>
      </c>
      <c r="G150" s="112">
        <f t="shared" si="169"/>
        <v>45</v>
      </c>
      <c r="H150" s="112">
        <f t="shared" si="169"/>
        <v>47.5</v>
      </c>
      <c r="I150" s="112">
        <f t="shared" si="169"/>
        <v>50</v>
      </c>
      <c r="J150" s="112">
        <f t="shared" si="169"/>
        <v>50</v>
      </c>
      <c r="K150" s="112">
        <f t="shared" si="169"/>
        <v>55</v>
      </c>
      <c r="L150" s="112">
        <f t="shared" si="169"/>
        <v>60</v>
      </c>
      <c r="M150" s="112">
        <f t="shared" si="169"/>
        <v>65</v>
      </c>
      <c r="N150" s="112">
        <f t="shared" si="169"/>
        <v>70</v>
      </c>
      <c r="O150" s="112">
        <f t="shared" si="169"/>
        <v>75</v>
      </c>
      <c r="P150" s="112">
        <f t="shared" si="169"/>
        <v>75</v>
      </c>
      <c r="Q150" s="112">
        <f t="shared" si="169"/>
        <v>75</v>
      </c>
      <c r="R150" s="112">
        <f t="shared" si="169"/>
        <v>75</v>
      </c>
      <c r="S150" s="112">
        <f t="shared" si="169"/>
        <v>75</v>
      </c>
      <c r="T150" s="112">
        <f t="shared" si="169"/>
        <v>75</v>
      </c>
      <c r="U150" s="112">
        <f t="shared" si="169"/>
        <v>75</v>
      </c>
      <c r="V150" s="112">
        <f t="shared" si="169"/>
        <v>75</v>
      </c>
      <c r="W150" s="112">
        <f t="shared" si="169"/>
        <v>75</v>
      </c>
      <c r="X150" s="112">
        <f t="shared" si="169"/>
        <v>75</v>
      </c>
      <c r="Y150" s="112">
        <f t="shared" si="169"/>
        <v>75</v>
      </c>
      <c r="Z150" s="112">
        <f t="shared" si="169"/>
        <v>75</v>
      </c>
      <c r="AA150" s="112">
        <f t="shared" si="169"/>
        <v>75</v>
      </c>
      <c r="AB150" s="112">
        <f t="shared" si="169"/>
        <v>75</v>
      </c>
      <c r="AC150" s="112">
        <f t="shared" si="169"/>
        <v>75</v>
      </c>
      <c r="AD150" s="112">
        <f t="shared" si="169"/>
        <v>75</v>
      </c>
      <c r="AE150" s="112">
        <f t="shared" si="169"/>
        <v>75</v>
      </c>
      <c r="AF150" s="112">
        <f t="shared" si="169"/>
        <v>75</v>
      </c>
      <c r="AG150" s="112">
        <f t="shared" si="169"/>
        <v>75</v>
      </c>
      <c r="AH150" s="112">
        <f t="shared" si="169"/>
        <v>75</v>
      </c>
      <c r="AI150" s="112">
        <f t="shared" si="169"/>
        <v>75</v>
      </c>
      <c r="AJ150" s="112">
        <f t="shared" si="169"/>
        <v>75</v>
      </c>
      <c r="AK150" s="112">
        <f t="shared" si="169"/>
        <v>75</v>
      </c>
      <c r="AL150" s="112">
        <f t="shared" si="169"/>
        <v>75</v>
      </c>
      <c r="AM150" s="112">
        <f t="shared" si="169"/>
        <v>75</v>
      </c>
      <c r="AO150" s="75">
        <f t="shared" ref="AO150" si="170">SUM(D150:O150)</f>
        <v>637.5</v>
      </c>
      <c r="AP150" s="75">
        <f t="shared" ref="AP150" si="171">SUM(P150:AA150)</f>
        <v>900</v>
      </c>
      <c r="AQ150" s="75">
        <f>SUM(AB150:AM150)</f>
        <v>900</v>
      </c>
    </row>
    <row r="151" spans="1:16370" hidden="1" outlineLevel="1">
      <c r="A151" s="70" t="s">
        <v>199</v>
      </c>
      <c r="B151" s="85" t="s">
        <v>78</v>
      </c>
      <c r="D151" s="77">
        <f>-'OPEX+CAPEX'!E110</f>
        <v>-107.14285714285714</v>
      </c>
      <c r="E151" s="77">
        <f>-'OPEX+CAPEX'!F110</f>
        <v>-107.14285714285714</v>
      </c>
      <c r="F151" s="77">
        <f>-'OPEX+CAPEX'!G110</f>
        <v>-107.14285714285714</v>
      </c>
      <c r="G151" s="77">
        <f>-'OPEX+CAPEX'!H110</f>
        <v>-107.14285714285714</v>
      </c>
      <c r="H151" s="77">
        <f>-'OPEX+CAPEX'!I110</f>
        <v>-107.14285714285714</v>
      </c>
      <c r="I151" s="77">
        <f>-'OPEX+CAPEX'!J110</f>
        <v>-107.14285714285714</v>
      </c>
      <c r="J151" s="77">
        <f>-'OPEX+CAPEX'!K110</f>
        <v>-107.14285714285714</v>
      </c>
      <c r="K151" s="77">
        <f>-'OPEX+CAPEX'!L110</f>
        <v>-107.14285714285714</v>
      </c>
      <c r="L151" s="77">
        <f>-'OPEX+CAPEX'!M110</f>
        <v>-107.14285714285714</v>
      </c>
      <c r="M151" s="77">
        <f>-'OPEX+CAPEX'!N110</f>
        <v>-107.14285714285714</v>
      </c>
      <c r="N151" s="77">
        <f>-'OPEX+CAPEX'!O110</f>
        <v>-107.14285714285714</v>
      </c>
      <c r="O151" s="77">
        <f>-'OPEX+CAPEX'!P110</f>
        <v>-107.14285714285714</v>
      </c>
      <c r="P151" s="77">
        <f>-'OPEX+CAPEX'!Q110</f>
        <v>-107.14285714285714</v>
      </c>
      <c r="Q151" s="77">
        <f>-'OPEX+CAPEX'!R110</f>
        <v>-107.14285714285714</v>
      </c>
      <c r="R151" s="77">
        <f>-'OPEX+CAPEX'!S110</f>
        <v>-107.14285714285714</v>
      </c>
      <c r="S151" s="77">
        <f>-'OPEX+CAPEX'!T110</f>
        <v>-107.14285714285714</v>
      </c>
      <c r="T151" s="77">
        <f>-'OPEX+CAPEX'!U110</f>
        <v>-107.14285714285714</v>
      </c>
      <c r="U151" s="77">
        <f>-'OPEX+CAPEX'!V110</f>
        <v>-107.14285714285714</v>
      </c>
      <c r="V151" s="77">
        <f>-'OPEX+CAPEX'!W110</f>
        <v>-107.14285714285714</v>
      </c>
      <c r="W151" s="77">
        <f>-'OPEX+CAPEX'!X110</f>
        <v>-107.14285714285714</v>
      </c>
      <c r="X151" s="77">
        <f>-'OPEX+CAPEX'!Y110</f>
        <v>-107.14285714285714</v>
      </c>
      <c r="Y151" s="77">
        <f>-'OPEX+CAPEX'!Z110</f>
        <v>-107.14285714285714</v>
      </c>
      <c r="Z151" s="77">
        <f>-'OPEX+CAPEX'!AA110</f>
        <v>-107.14285714285714</v>
      </c>
      <c r="AA151" s="77">
        <f>-'OPEX+CAPEX'!AB110</f>
        <v>-107.14285714285714</v>
      </c>
      <c r="AB151" s="77">
        <f>-'OPEX+CAPEX'!AC110</f>
        <v>-107.14285714285714</v>
      </c>
      <c r="AC151" s="77">
        <f>-'OPEX+CAPEX'!AD110</f>
        <v>-107.14285714285714</v>
      </c>
      <c r="AD151" s="77">
        <f>-'OPEX+CAPEX'!AE110</f>
        <v>-107.14285714285714</v>
      </c>
      <c r="AE151" s="77">
        <f>-'OPEX+CAPEX'!AF110</f>
        <v>-107.14285714285714</v>
      </c>
      <c r="AF151" s="77">
        <f>-'OPEX+CAPEX'!AG110</f>
        <v>-107.14285714285714</v>
      </c>
      <c r="AG151" s="77">
        <f>-'OPEX+CAPEX'!AH110</f>
        <v>-107.14285714285714</v>
      </c>
      <c r="AH151" s="77">
        <f>-'OPEX+CAPEX'!AI110</f>
        <v>-107.14285714285714</v>
      </c>
      <c r="AI151" s="77">
        <f>-'OPEX+CAPEX'!AJ110</f>
        <v>-107.14285714285714</v>
      </c>
      <c r="AJ151" s="77">
        <f>-'OPEX+CAPEX'!AK110</f>
        <v>-107.14285714285714</v>
      </c>
      <c r="AK151" s="77">
        <f>-'OPEX+CAPEX'!AL110</f>
        <v>-107.14285714285714</v>
      </c>
      <c r="AL151" s="77">
        <f>-'OPEX+CAPEX'!AM110</f>
        <v>-107.14285714285714</v>
      </c>
      <c r="AM151" s="77">
        <f>-'OPEX+CAPEX'!AN110</f>
        <v>-107.14285714285714</v>
      </c>
      <c r="AO151" s="75">
        <f t="shared" ref="AO151:AO152" si="172">SUM(D151:O151)</f>
        <v>-1285.7142857142856</v>
      </c>
      <c r="AP151" s="75">
        <f t="shared" ref="AP151:AP152" si="173">SUM(P151:AA151)</f>
        <v>-1285.7142857142856</v>
      </c>
      <c r="AQ151" s="75">
        <f t="shared" ref="AQ151:AQ152" si="174">SUM(AB151:AM151)</f>
        <v>-1285.7142857142856</v>
      </c>
    </row>
    <row r="152" spans="1:16370" hidden="1" outlineLevel="1">
      <c r="A152" s="80" t="s">
        <v>177</v>
      </c>
      <c r="B152" s="85" t="s">
        <v>78</v>
      </c>
      <c r="D152" s="73">
        <f>D150+D151</f>
        <v>-69.642857142857139</v>
      </c>
      <c r="E152" s="73">
        <f t="shared" ref="E152:AM152" si="175">E150+E151</f>
        <v>-67.142857142857139</v>
      </c>
      <c r="F152" s="73">
        <f t="shared" si="175"/>
        <v>-64.642857142857139</v>
      </c>
      <c r="G152" s="73">
        <f t="shared" si="175"/>
        <v>-62.142857142857139</v>
      </c>
      <c r="H152" s="73">
        <f t="shared" si="175"/>
        <v>-59.642857142857139</v>
      </c>
      <c r="I152" s="73">
        <f t="shared" si="175"/>
        <v>-57.142857142857139</v>
      </c>
      <c r="J152" s="73">
        <f t="shared" si="175"/>
        <v>-57.142857142857139</v>
      </c>
      <c r="K152" s="73">
        <f t="shared" si="175"/>
        <v>-52.142857142857139</v>
      </c>
      <c r="L152" s="73">
        <f t="shared" si="175"/>
        <v>-47.142857142857139</v>
      </c>
      <c r="M152" s="73">
        <f t="shared" si="175"/>
        <v>-42.142857142857139</v>
      </c>
      <c r="N152" s="73">
        <f t="shared" si="175"/>
        <v>-37.142857142857139</v>
      </c>
      <c r="O152" s="73">
        <f t="shared" si="175"/>
        <v>-32.142857142857139</v>
      </c>
      <c r="P152" s="73">
        <f t="shared" si="175"/>
        <v>-32.142857142857139</v>
      </c>
      <c r="Q152" s="73">
        <f t="shared" si="175"/>
        <v>-32.142857142857139</v>
      </c>
      <c r="R152" s="73">
        <f t="shared" si="175"/>
        <v>-32.142857142857139</v>
      </c>
      <c r="S152" s="73">
        <f t="shared" si="175"/>
        <v>-32.142857142857139</v>
      </c>
      <c r="T152" s="73">
        <f t="shared" si="175"/>
        <v>-32.142857142857139</v>
      </c>
      <c r="U152" s="73">
        <f t="shared" si="175"/>
        <v>-32.142857142857139</v>
      </c>
      <c r="V152" s="73">
        <f t="shared" si="175"/>
        <v>-32.142857142857139</v>
      </c>
      <c r="W152" s="73">
        <f t="shared" si="175"/>
        <v>-32.142857142857139</v>
      </c>
      <c r="X152" s="73">
        <f t="shared" si="175"/>
        <v>-32.142857142857139</v>
      </c>
      <c r="Y152" s="73">
        <f t="shared" si="175"/>
        <v>-32.142857142857139</v>
      </c>
      <c r="Z152" s="73">
        <f t="shared" si="175"/>
        <v>-32.142857142857139</v>
      </c>
      <c r="AA152" s="73">
        <f t="shared" si="175"/>
        <v>-32.142857142857139</v>
      </c>
      <c r="AB152" s="73">
        <f t="shared" si="175"/>
        <v>-32.142857142857139</v>
      </c>
      <c r="AC152" s="73">
        <f t="shared" si="175"/>
        <v>-32.142857142857139</v>
      </c>
      <c r="AD152" s="73">
        <f t="shared" si="175"/>
        <v>-32.142857142857139</v>
      </c>
      <c r="AE152" s="73">
        <f t="shared" si="175"/>
        <v>-32.142857142857139</v>
      </c>
      <c r="AF152" s="73">
        <f t="shared" si="175"/>
        <v>-32.142857142857139</v>
      </c>
      <c r="AG152" s="73">
        <f t="shared" si="175"/>
        <v>-32.142857142857139</v>
      </c>
      <c r="AH152" s="73">
        <f t="shared" si="175"/>
        <v>-32.142857142857139</v>
      </c>
      <c r="AI152" s="73">
        <f t="shared" si="175"/>
        <v>-32.142857142857139</v>
      </c>
      <c r="AJ152" s="73">
        <f t="shared" si="175"/>
        <v>-32.142857142857139</v>
      </c>
      <c r="AK152" s="73">
        <f t="shared" si="175"/>
        <v>-32.142857142857139</v>
      </c>
      <c r="AL152" s="73">
        <f t="shared" si="175"/>
        <v>-32.142857142857139</v>
      </c>
      <c r="AM152" s="73">
        <f t="shared" si="175"/>
        <v>-32.142857142857139</v>
      </c>
      <c r="AO152" s="75">
        <f t="shared" si="172"/>
        <v>-648.21428571428544</v>
      </c>
      <c r="AP152" s="75">
        <f t="shared" si="173"/>
        <v>-385.71428571428555</v>
      </c>
      <c r="AQ152" s="75">
        <f t="shared" si="174"/>
        <v>-385.71428571428555</v>
      </c>
    </row>
    <row r="153" spans="1:16370" collapsed="1"/>
    <row r="154" spans="1:16370" s="90" customFormat="1">
      <c r="A154" s="83" t="s">
        <v>170</v>
      </c>
      <c r="B154" s="66"/>
      <c r="C154" s="101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07"/>
      <c r="AL154" s="107"/>
      <c r="AM154" s="107"/>
      <c r="AN154" s="108"/>
      <c r="AO154" s="102"/>
      <c r="AP154" s="107"/>
      <c r="AQ154" s="107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8"/>
      <c r="BN154" s="108"/>
      <c r="BO154" s="108"/>
      <c r="BP154" s="108"/>
      <c r="BQ154" s="108"/>
      <c r="BR154" s="108"/>
      <c r="BS154" s="108"/>
      <c r="BT154" s="108"/>
      <c r="BU154" s="108"/>
      <c r="BV154" s="108"/>
      <c r="BW154" s="108"/>
      <c r="BX154" s="108"/>
      <c r="BY154" s="108"/>
      <c r="BZ154" s="108"/>
      <c r="CA154" s="108"/>
      <c r="CB154" s="108"/>
      <c r="CC154" s="108"/>
      <c r="CD154" s="108"/>
      <c r="CE154" s="108"/>
      <c r="CF154" s="108"/>
      <c r="CG154" s="108"/>
      <c r="CH154" s="108"/>
      <c r="CI154" s="108"/>
      <c r="CJ154" s="108"/>
      <c r="CK154" s="108"/>
      <c r="CL154" s="108"/>
      <c r="CM154" s="108"/>
      <c r="CN154" s="108"/>
      <c r="CO154" s="108"/>
      <c r="CP154" s="108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8"/>
      <c r="DM154" s="108"/>
      <c r="DN154" s="108"/>
      <c r="DO154" s="108"/>
      <c r="DP154" s="108"/>
      <c r="DQ154" s="108"/>
      <c r="DR154" s="108"/>
      <c r="DS154" s="108"/>
      <c r="DT154" s="108"/>
      <c r="DU154" s="108"/>
      <c r="DV154" s="108"/>
      <c r="DW154" s="108"/>
      <c r="DX154" s="108"/>
      <c r="DY154" s="108"/>
      <c r="DZ154" s="108"/>
      <c r="EA154" s="108"/>
      <c r="EB154" s="108"/>
      <c r="EC154" s="108"/>
      <c r="ED154" s="108"/>
      <c r="EE154" s="108"/>
      <c r="EF154" s="108"/>
      <c r="EG154" s="108"/>
      <c r="EH154" s="108"/>
      <c r="EI154" s="108"/>
      <c r="EJ154" s="108"/>
      <c r="EK154" s="108"/>
      <c r="EL154" s="108"/>
      <c r="EM154" s="108"/>
      <c r="EN154" s="108"/>
      <c r="EO154" s="108"/>
      <c r="EP154" s="108"/>
      <c r="EQ154" s="108"/>
      <c r="ER154" s="108"/>
      <c r="ES154" s="108"/>
      <c r="ET154" s="108"/>
      <c r="EU154" s="108"/>
      <c r="EV154" s="108"/>
      <c r="EW154" s="108"/>
      <c r="EX154" s="108"/>
      <c r="EY154" s="108"/>
      <c r="EZ154" s="108"/>
      <c r="FA154" s="108"/>
      <c r="FB154" s="108"/>
      <c r="FC154" s="108"/>
      <c r="FD154" s="108"/>
      <c r="FE154" s="108"/>
      <c r="FF154" s="108"/>
      <c r="FG154" s="108"/>
      <c r="FH154" s="108"/>
      <c r="FI154" s="108"/>
      <c r="FJ154" s="108"/>
      <c r="FK154" s="108"/>
      <c r="FL154" s="108"/>
      <c r="FM154" s="108"/>
      <c r="FN154" s="108"/>
      <c r="FO154" s="108"/>
      <c r="FP154" s="108"/>
      <c r="FQ154" s="108"/>
      <c r="FR154" s="108"/>
      <c r="FS154" s="108"/>
      <c r="FT154" s="108"/>
      <c r="FU154" s="108"/>
      <c r="FV154" s="108"/>
      <c r="FW154" s="108"/>
      <c r="FX154" s="108"/>
      <c r="FY154" s="108"/>
      <c r="FZ154" s="108"/>
      <c r="GA154" s="108"/>
      <c r="GB154" s="108"/>
      <c r="GC154" s="108"/>
      <c r="GD154" s="108"/>
      <c r="GE154" s="108"/>
      <c r="GF154" s="108"/>
      <c r="GG154" s="108"/>
      <c r="GH154" s="108"/>
      <c r="GI154" s="108"/>
      <c r="GJ154" s="108"/>
      <c r="GK154" s="108"/>
      <c r="GL154" s="108"/>
      <c r="GM154" s="108"/>
      <c r="GN154" s="108"/>
      <c r="GO154" s="108"/>
      <c r="GP154" s="108"/>
      <c r="GQ154" s="108"/>
      <c r="GR154" s="108"/>
      <c r="GS154" s="108"/>
      <c r="GT154" s="108"/>
      <c r="GU154" s="108"/>
      <c r="GV154" s="108"/>
      <c r="GW154" s="108"/>
      <c r="GX154" s="108"/>
      <c r="GY154" s="108"/>
      <c r="GZ154" s="108"/>
      <c r="HA154" s="108"/>
      <c r="HB154" s="108"/>
      <c r="HC154" s="108"/>
      <c r="HD154" s="108"/>
      <c r="HE154" s="108"/>
      <c r="HF154" s="108"/>
      <c r="HG154" s="108"/>
      <c r="HH154" s="108"/>
      <c r="HI154" s="108"/>
      <c r="HJ154" s="108"/>
      <c r="HK154" s="108"/>
      <c r="HL154" s="108"/>
      <c r="HM154" s="108"/>
      <c r="HN154" s="108"/>
      <c r="HO154" s="108"/>
      <c r="HP154" s="108"/>
      <c r="HQ154" s="108"/>
      <c r="HR154" s="108"/>
      <c r="HS154" s="108"/>
      <c r="HT154" s="108"/>
      <c r="HU154" s="108"/>
      <c r="HV154" s="108"/>
      <c r="HW154" s="108"/>
      <c r="HX154" s="108"/>
      <c r="HY154" s="108"/>
      <c r="HZ154" s="108"/>
      <c r="IA154" s="108"/>
      <c r="IB154" s="108"/>
      <c r="IC154" s="108"/>
      <c r="ID154" s="108"/>
      <c r="IE154" s="108"/>
      <c r="IF154" s="108"/>
      <c r="IG154" s="108"/>
      <c r="IH154" s="108"/>
      <c r="II154" s="108"/>
      <c r="IJ154" s="108"/>
      <c r="IK154" s="108"/>
      <c r="IL154" s="108"/>
      <c r="IM154" s="108"/>
      <c r="IN154" s="108"/>
      <c r="IO154" s="108"/>
      <c r="IP154" s="108"/>
      <c r="IQ154" s="108"/>
      <c r="IR154" s="108"/>
      <c r="IS154" s="108"/>
      <c r="IT154" s="108"/>
      <c r="IU154" s="108"/>
      <c r="IV154" s="108"/>
      <c r="IW154" s="108"/>
      <c r="IX154" s="108"/>
      <c r="IY154" s="108"/>
      <c r="IZ154" s="108"/>
      <c r="JA154" s="108"/>
      <c r="JB154" s="108"/>
      <c r="JC154" s="108"/>
      <c r="JD154" s="108"/>
      <c r="JE154" s="108"/>
      <c r="JF154" s="108"/>
      <c r="JG154" s="108"/>
      <c r="JH154" s="108"/>
      <c r="JI154" s="108"/>
      <c r="JJ154" s="108"/>
      <c r="JK154" s="108"/>
      <c r="JL154" s="108"/>
      <c r="JM154" s="108"/>
      <c r="JN154" s="108"/>
      <c r="JO154" s="108"/>
      <c r="JP154" s="108"/>
      <c r="JQ154" s="108"/>
      <c r="JR154" s="108"/>
      <c r="JS154" s="108"/>
      <c r="JT154" s="108"/>
      <c r="JU154" s="108"/>
      <c r="JV154" s="108"/>
      <c r="JW154" s="108"/>
      <c r="JX154" s="108"/>
      <c r="JY154" s="108"/>
      <c r="JZ154" s="108"/>
      <c r="KA154" s="108"/>
      <c r="KB154" s="108"/>
      <c r="KC154" s="108"/>
      <c r="KD154" s="108"/>
      <c r="KE154" s="108"/>
      <c r="KF154" s="108"/>
      <c r="KG154" s="108"/>
      <c r="KH154" s="108"/>
      <c r="KI154" s="108"/>
      <c r="KJ154" s="108"/>
      <c r="KK154" s="108"/>
      <c r="KL154" s="108"/>
      <c r="KM154" s="108"/>
      <c r="KN154" s="108"/>
      <c r="KO154" s="108"/>
      <c r="KP154" s="108"/>
      <c r="KQ154" s="108"/>
      <c r="KR154" s="108"/>
      <c r="KS154" s="108"/>
      <c r="KT154" s="108"/>
      <c r="KU154" s="108"/>
      <c r="KV154" s="108"/>
      <c r="KW154" s="108"/>
      <c r="KX154" s="108"/>
      <c r="KY154" s="108"/>
      <c r="KZ154" s="108"/>
      <c r="LA154" s="108"/>
      <c r="LB154" s="108"/>
      <c r="LC154" s="108"/>
      <c r="LD154" s="108"/>
      <c r="LE154" s="108"/>
      <c r="LF154" s="108"/>
      <c r="LG154" s="108"/>
      <c r="LH154" s="108"/>
      <c r="LI154" s="108"/>
      <c r="LJ154" s="108"/>
      <c r="LK154" s="108"/>
      <c r="LL154" s="108"/>
      <c r="LM154" s="108"/>
      <c r="LN154" s="108"/>
      <c r="LO154" s="108"/>
      <c r="LP154" s="108"/>
      <c r="LQ154" s="108"/>
      <c r="LR154" s="108"/>
      <c r="LS154" s="108"/>
      <c r="LT154" s="108"/>
      <c r="LU154" s="108"/>
      <c r="LV154" s="108"/>
      <c r="LW154" s="108"/>
      <c r="LX154" s="108"/>
      <c r="LY154" s="108"/>
      <c r="LZ154" s="108"/>
      <c r="MA154" s="108"/>
      <c r="MB154" s="108"/>
      <c r="MC154" s="108"/>
      <c r="MD154" s="108"/>
      <c r="ME154" s="108"/>
      <c r="MF154" s="108"/>
      <c r="MG154" s="108"/>
      <c r="MH154" s="108"/>
      <c r="MI154" s="108"/>
      <c r="MJ154" s="108"/>
      <c r="MK154" s="108"/>
      <c r="ML154" s="108"/>
      <c r="MM154" s="108"/>
      <c r="MN154" s="108"/>
      <c r="MO154" s="108"/>
      <c r="MP154" s="108"/>
      <c r="MQ154" s="108"/>
      <c r="MR154" s="108"/>
      <c r="MS154" s="108"/>
      <c r="MT154" s="108"/>
      <c r="MU154" s="108"/>
      <c r="MV154" s="108"/>
      <c r="MW154" s="108"/>
      <c r="MX154" s="108"/>
      <c r="MY154" s="108"/>
      <c r="MZ154" s="108"/>
      <c r="NA154" s="108"/>
      <c r="NB154" s="108"/>
      <c r="NC154" s="108"/>
      <c r="ND154" s="108"/>
      <c r="NE154" s="108"/>
      <c r="NF154" s="108"/>
      <c r="NG154" s="108"/>
      <c r="NH154" s="108"/>
      <c r="NI154" s="108"/>
      <c r="NJ154" s="108"/>
      <c r="NK154" s="108"/>
      <c r="NL154" s="108"/>
      <c r="NM154" s="108"/>
      <c r="NN154" s="108"/>
      <c r="NO154" s="108"/>
      <c r="NP154" s="108"/>
      <c r="NQ154" s="108"/>
      <c r="NR154" s="108"/>
      <c r="NS154" s="108"/>
      <c r="NT154" s="108"/>
      <c r="NU154" s="108"/>
      <c r="NV154" s="108"/>
      <c r="NW154" s="108"/>
      <c r="NX154" s="108"/>
      <c r="NY154" s="108"/>
      <c r="NZ154" s="108"/>
      <c r="OA154" s="108"/>
      <c r="OB154" s="108"/>
      <c r="OC154" s="108"/>
      <c r="OD154" s="108"/>
      <c r="OE154" s="108"/>
      <c r="OF154" s="108"/>
      <c r="OG154" s="108"/>
      <c r="OH154" s="108"/>
      <c r="OI154" s="108"/>
      <c r="OJ154" s="108"/>
      <c r="OK154" s="108"/>
      <c r="OL154" s="108"/>
      <c r="OM154" s="108"/>
      <c r="ON154" s="108"/>
      <c r="OO154" s="108"/>
      <c r="OP154" s="108"/>
      <c r="OQ154" s="108"/>
      <c r="OR154" s="108"/>
      <c r="OS154" s="108"/>
      <c r="OT154" s="108"/>
      <c r="OU154" s="108"/>
      <c r="OV154" s="108"/>
      <c r="OW154" s="108"/>
      <c r="OX154" s="108"/>
      <c r="OY154" s="108"/>
      <c r="OZ154" s="108"/>
      <c r="PA154" s="108"/>
      <c r="PB154" s="108"/>
      <c r="PC154" s="108"/>
      <c r="PD154" s="108"/>
      <c r="PE154" s="108"/>
      <c r="PF154" s="108"/>
      <c r="PG154" s="108"/>
      <c r="PH154" s="108"/>
      <c r="PI154" s="108"/>
      <c r="PJ154" s="108"/>
      <c r="PK154" s="108"/>
      <c r="PL154" s="108"/>
      <c r="PM154" s="108"/>
      <c r="PN154" s="108"/>
      <c r="PO154" s="108"/>
      <c r="PP154" s="108"/>
      <c r="PQ154" s="108"/>
      <c r="PR154" s="108"/>
      <c r="PS154" s="108"/>
      <c r="PT154" s="108"/>
      <c r="PU154" s="108"/>
      <c r="PV154" s="108"/>
      <c r="PW154" s="108"/>
      <c r="PX154" s="108"/>
      <c r="PY154" s="108"/>
      <c r="PZ154" s="108"/>
      <c r="QA154" s="108"/>
      <c r="QB154" s="108"/>
      <c r="QC154" s="108"/>
      <c r="QD154" s="108"/>
      <c r="QE154" s="108"/>
      <c r="QF154" s="108"/>
      <c r="QG154" s="108"/>
      <c r="QH154" s="108"/>
      <c r="QI154" s="108"/>
      <c r="QJ154" s="108"/>
      <c r="QK154" s="108"/>
      <c r="QL154" s="108"/>
      <c r="QM154" s="108"/>
      <c r="QN154" s="108"/>
      <c r="QO154" s="108"/>
      <c r="QP154" s="108"/>
      <c r="QQ154" s="108"/>
      <c r="QR154" s="108"/>
      <c r="QS154" s="108"/>
      <c r="QT154" s="108"/>
      <c r="QU154" s="108"/>
      <c r="QV154" s="108"/>
      <c r="QW154" s="108"/>
      <c r="QX154" s="108"/>
      <c r="QY154" s="108"/>
      <c r="QZ154" s="108"/>
      <c r="RA154" s="108"/>
      <c r="RB154" s="108"/>
      <c r="RC154" s="108"/>
      <c r="RD154" s="108"/>
      <c r="RE154" s="108"/>
      <c r="RF154" s="108"/>
      <c r="RG154" s="108"/>
      <c r="RH154" s="108"/>
      <c r="RI154" s="108"/>
      <c r="RJ154" s="108"/>
      <c r="RK154" s="108"/>
      <c r="RL154" s="108"/>
      <c r="RM154" s="108"/>
      <c r="RN154" s="108"/>
      <c r="RO154" s="108"/>
      <c r="RP154" s="108"/>
      <c r="RQ154" s="108"/>
      <c r="RR154" s="108"/>
      <c r="RS154" s="108"/>
      <c r="RT154" s="108"/>
      <c r="RU154" s="108"/>
      <c r="RV154" s="108"/>
      <c r="RW154" s="108"/>
      <c r="RX154" s="108"/>
      <c r="RY154" s="108"/>
      <c r="RZ154" s="108"/>
      <c r="SA154" s="108"/>
      <c r="SB154" s="108"/>
      <c r="SC154" s="108"/>
      <c r="SD154" s="108"/>
      <c r="SE154" s="108"/>
      <c r="SF154" s="108"/>
      <c r="SG154" s="108"/>
      <c r="SH154" s="108"/>
      <c r="SI154" s="108"/>
      <c r="SJ154" s="108"/>
      <c r="SK154" s="108"/>
      <c r="SL154" s="108"/>
      <c r="SM154" s="108"/>
      <c r="SN154" s="108"/>
      <c r="SO154" s="108"/>
      <c r="SP154" s="108"/>
      <c r="SQ154" s="108"/>
      <c r="SR154" s="108"/>
      <c r="SS154" s="108"/>
      <c r="ST154" s="108"/>
      <c r="SU154" s="108"/>
      <c r="SV154" s="108"/>
      <c r="SW154" s="108"/>
      <c r="SX154" s="108"/>
      <c r="SY154" s="108"/>
      <c r="SZ154" s="108"/>
      <c r="TA154" s="108"/>
      <c r="TB154" s="108"/>
      <c r="TC154" s="108"/>
      <c r="TD154" s="108"/>
      <c r="TE154" s="108"/>
      <c r="TF154" s="108"/>
      <c r="TG154" s="108"/>
      <c r="TH154" s="108"/>
      <c r="TI154" s="108"/>
      <c r="TJ154" s="108"/>
      <c r="TK154" s="108"/>
      <c r="TL154" s="108"/>
      <c r="TM154" s="108"/>
      <c r="TN154" s="108"/>
      <c r="TO154" s="108"/>
      <c r="TP154" s="108"/>
      <c r="TQ154" s="108"/>
      <c r="TR154" s="108"/>
      <c r="TS154" s="108"/>
      <c r="TT154" s="108"/>
      <c r="TU154" s="108"/>
      <c r="TV154" s="108"/>
      <c r="TW154" s="108"/>
      <c r="TX154" s="108"/>
      <c r="TY154" s="108"/>
      <c r="TZ154" s="108"/>
      <c r="UA154" s="108"/>
      <c r="UB154" s="108"/>
      <c r="UC154" s="108"/>
      <c r="UD154" s="108"/>
      <c r="UE154" s="108"/>
      <c r="UF154" s="108"/>
      <c r="UG154" s="108"/>
      <c r="UH154" s="108"/>
      <c r="UI154" s="108"/>
      <c r="UJ154" s="108"/>
      <c r="UK154" s="108"/>
      <c r="UL154" s="108"/>
      <c r="UM154" s="108"/>
      <c r="UN154" s="108"/>
      <c r="UO154" s="108"/>
      <c r="UP154" s="108"/>
      <c r="UQ154" s="108"/>
      <c r="UR154" s="108"/>
      <c r="US154" s="108"/>
      <c r="UT154" s="108"/>
      <c r="UU154" s="108"/>
      <c r="UV154" s="108"/>
      <c r="UW154" s="108"/>
      <c r="UX154" s="108"/>
      <c r="UY154" s="108"/>
      <c r="UZ154" s="108"/>
      <c r="VA154" s="108"/>
      <c r="VB154" s="108"/>
      <c r="VC154" s="108"/>
      <c r="VD154" s="108"/>
      <c r="VE154" s="108"/>
      <c r="VF154" s="108"/>
      <c r="VG154" s="108"/>
      <c r="VH154" s="108"/>
      <c r="VI154" s="108"/>
      <c r="VJ154" s="108"/>
      <c r="VK154" s="108"/>
      <c r="VL154" s="108"/>
      <c r="VM154" s="108"/>
      <c r="VN154" s="108"/>
      <c r="VO154" s="108"/>
      <c r="VP154" s="108"/>
      <c r="VQ154" s="108"/>
      <c r="VR154" s="108"/>
      <c r="VS154" s="108"/>
      <c r="VT154" s="108"/>
      <c r="VU154" s="108"/>
      <c r="VV154" s="108"/>
      <c r="VW154" s="108"/>
      <c r="VX154" s="108"/>
      <c r="VY154" s="108"/>
      <c r="VZ154" s="108"/>
      <c r="WA154" s="108"/>
      <c r="WB154" s="108"/>
      <c r="WC154" s="108"/>
      <c r="WD154" s="108"/>
      <c r="WE154" s="108"/>
      <c r="WF154" s="108"/>
      <c r="WG154" s="108"/>
      <c r="WH154" s="108"/>
      <c r="WI154" s="108"/>
      <c r="WJ154" s="108"/>
      <c r="WK154" s="108"/>
      <c r="WL154" s="108"/>
      <c r="WM154" s="108"/>
      <c r="WN154" s="108"/>
      <c r="WO154" s="108"/>
      <c r="WP154" s="108"/>
      <c r="WQ154" s="108"/>
      <c r="WR154" s="108"/>
      <c r="WS154" s="108"/>
      <c r="WT154" s="108"/>
      <c r="WU154" s="108"/>
      <c r="WV154" s="108"/>
      <c r="WW154" s="108"/>
      <c r="WX154" s="108"/>
      <c r="WY154" s="108"/>
      <c r="WZ154" s="108"/>
      <c r="XA154" s="108"/>
      <c r="XB154" s="108"/>
      <c r="XC154" s="108"/>
      <c r="XD154" s="108"/>
      <c r="XE154" s="108"/>
      <c r="XF154" s="108"/>
      <c r="XG154" s="108"/>
      <c r="XH154" s="108"/>
      <c r="XI154" s="108"/>
      <c r="XJ154" s="108"/>
      <c r="XK154" s="108"/>
      <c r="XL154" s="108"/>
      <c r="XM154" s="108"/>
      <c r="XN154" s="108"/>
      <c r="XO154" s="108"/>
      <c r="XP154" s="108"/>
      <c r="XQ154" s="108"/>
      <c r="XR154" s="108"/>
      <c r="XS154" s="108"/>
      <c r="XT154" s="108"/>
      <c r="XU154" s="108"/>
      <c r="XV154" s="108"/>
      <c r="XW154" s="108"/>
      <c r="XX154" s="108"/>
      <c r="XY154" s="108"/>
      <c r="XZ154" s="108"/>
      <c r="YA154" s="108"/>
      <c r="YB154" s="108"/>
      <c r="YC154" s="108"/>
      <c r="YD154" s="108"/>
      <c r="YE154" s="108"/>
      <c r="YF154" s="108"/>
      <c r="YG154" s="108"/>
      <c r="YH154" s="108"/>
      <c r="YI154" s="108"/>
      <c r="YJ154" s="108"/>
      <c r="YK154" s="108"/>
      <c r="YL154" s="108"/>
      <c r="YM154" s="108"/>
      <c r="YN154" s="108"/>
      <c r="YO154" s="108"/>
      <c r="YP154" s="108"/>
      <c r="YQ154" s="108"/>
      <c r="YR154" s="108"/>
      <c r="YS154" s="108"/>
      <c r="YT154" s="108"/>
      <c r="YU154" s="108"/>
      <c r="YV154" s="108"/>
      <c r="YW154" s="108"/>
      <c r="YX154" s="108"/>
      <c r="YY154" s="108"/>
      <c r="YZ154" s="108"/>
      <c r="ZA154" s="108"/>
      <c r="ZB154" s="108"/>
      <c r="ZC154" s="108"/>
      <c r="ZD154" s="108"/>
      <c r="ZE154" s="108"/>
      <c r="ZF154" s="108"/>
      <c r="ZG154" s="108"/>
      <c r="ZH154" s="108"/>
      <c r="ZI154" s="108"/>
      <c r="ZJ154" s="108"/>
      <c r="ZK154" s="108"/>
      <c r="ZL154" s="108"/>
      <c r="ZM154" s="108"/>
      <c r="ZN154" s="108"/>
      <c r="ZO154" s="108"/>
      <c r="ZP154" s="108"/>
      <c r="ZQ154" s="108"/>
      <c r="ZR154" s="108"/>
      <c r="ZS154" s="108"/>
      <c r="ZT154" s="108"/>
      <c r="ZU154" s="108"/>
      <c r="ZV154" s="108"/>
      <c r="ZW154" s="108"/>
      <c r="ZX154" s="108"/>
      <c r="ZY154" s="108"/>
      <c r="ZZ154" s="108"/>
      <c r="AAA154" s="108"/>
      <c r="AAB154" s="108"/>
      <c r="AAC154" s="108"/>
      <c r="AAD154" s="108"/>
      <c r="AAE154" s="108"/>
      <c r="AAF154" s="108"/>
      <c r="AAG154" s="108"/>
      <c r="AAH154" s="108"/>
      <c r="AAI154" s="108"/>
      <c r="AAJ154" s="108"/>
      <c r="AAK154" s="108"/>
      <c r="AAL154" s="108"/>
      <c r="AAM154" s="108"/>
      <c r="AAN154" s="108"/>
      <c r="AAO154" s="108"/>
      <c r="AAP154" s="108"/>
      <c r="AAQ154" s="108"/>
      <c r="AAR154" s="108"/>
      <c r="AAS154" s="108"/>
      <c r="AAT154" s="108"/>
      <c r="AAU154" s="108"/>
      <c r="AAV154" s="108"/>
      <c r="AAW154" s="108"/>
      <c r="AAX154" s="108"/>
      <c r="AAY154" s="108"/>
      <c r="AAZ154" s="108"/>
      <c r="ABA154" s="108"/>
      <c r="ABB154" s="108"/>
      <c r="ABC154" s="108"/>
      <c r="ABD154" s="108"/>
      <c r="ABE154" s="108"/>
      <c r="ABF154" s="108"/>
      <c r="ABG154" s="108"/>
      <c r="ABH154" s="108"/>
      <c r="ABI154" s="108"/>
      <c r="ABJ154" s="108"/>
      <c r="ABK154" s="108"/>
      <c r="ABL154" s="108"/>
      <c r="ABM154" s="108"/>
      <c r="ABN154" s="108"/>
      <c r="ABO154" s="108"/>
      <c r="ABP154" s="108"/>
      <c r="ABQ154" s="108"/>
      <c r="ABR154" s="108"/>
      <c r="ABS154" s="108"/>
      <c r="ABT154" s="108"/>
      <c r="ABU154" s="108"/>
      <c r="ABV154" s="108"/>
      <c r="ABW154" s="108"/>
      <c r="ABX154" s="108"/>
      <c r="ABY154" s="108"/>
      <c r="ABZ154" s="108"/>
      <c r="ACA154" s="108"/>
      <c r="ACB154" s="108"/>
      <c r="ACC154" s="108"/>
      <c r="ACD154" s="108"/>
      <c r="ACE154" s="108"/>
      <c r="ACF154" s="108"/>
      <c r="ACG154" s="108"/>
      <c r="ACH154" s="108"/>
      <c r="ACI154" s="108"/>
      <c r="ACJ154" s="108"/>
      <c r="ACK154" s="108"/>
      <c r="ACL154" s="108"/>
      <c r="ACM154" s="108"/>
      <c r="ACN154" s="108"/>
      <c r="ACO154" s="108"/>
      <c r="ACP154" s="108"/>
      <c r="ACQ154" s="108"/>
      <c r="ACR154" s="108"/>
      <c r="ACS154" s="108"/>
      <c r="ACT154" s="108"/>
      <c r="ACU154" s="108"/>
      <c r="ACV154" s="108"/>
      <c r="ACW154" s="108"/>
      <c r="ACX154" s="108"/>
      <c r="ACY154" s="108"/>
      <c r="ACZ154" s="108"/>
      <c r="ADA154" s="108"/>
      <c r="ADB154" s="108"/>
      <c r="ADC154" s="108"/>
      <c r="ADD154" s="108"/>
      <c r="ADE154" s="108"/>
      <c r="ADF154" s="108"/>
      <c r="ADG154" s="108"/>
      <c r="ADH154" s="108"/>
      <c r="ADI154" s="108"/>
      <c r="ADJ154" s="108"/>
      <c r="ADK154" s="108"/>
      <c r="ADL154" s="108"/>
      <c r="ADM154" s="108"/>
      <c r="ADN154" s="108"/>
      <c r="ADO154" s="108"/>
      <c r="ADP154" s="108"/>
      <c r="ADQ154" s="108"/>
      <c r="ADR154" s="108"/>
      <c r="ADS154" s="108"/>
      <c r="ADT154" s="108"/>
      <c r="ADU154" s="108"/>
      <c r="ADV154" s="108"/>
      <c r="ADW154" s="108"/>
      <c r="ADX154" s="108"/>
      <c r="ADY154" s="108"/>
      <c r="ADZ154" s="108"/>
      <c r="AEA154" s="108"/>
      <c r="AEB154" s="108"/>
      <c r="AEC154" s="108"/>
      <c r="AED154" s="108"/>
      <c r="AEE154" s="108"/>
      <c r="AEF154" s="108"/>
      <c r="AEG154" s="108"/>
      <c r="AEH154" s="108"/>
      <c r="AEI154" s="108"/>
      <c r="AEJ154" s="108"/>
      <c r="AEK154" s="108"/>
      <c r="AEL154" s="108"/>
      <c r="AEM154" s="108"/>
      <c r="AEN154" s="108"/>
      <c r="AEO154" s="108"/>
      <c r="AEP154" s="108"/>
      <c r="AEQ154" s="108"/>
      <c r="AER154" s="108"/>
      <c r="AES154" s="108"/>
      <c r="AET154" s="108"/>
      <c r="AEU154" s="108"/>
      <c r="AEV154" s="108"/>
      <c r="AEW154" s="108"/>
      <c r="AEX154" s="108"/>
      <c r="AEY154" s="108"/>
      <c r="AEZ154" s="108"/>
      <c r="AFA154" s="108"/>
      <c r="AFB154" s="108"/>
      <c r="AFC154" s="108"/>
      <c r="AFD154" s="108"/>
      <c r="AFE154" s="108"/>
      <c r="AFF154" s="108"/>
      <c r="AFG154" s="108"/>
      <c r="AFH154" s="108"/>
      <c r="AFI154" s="108"/>
      <c r="AFJ154" s="108"/>
      <c r="AFK154" s="108"/>
      <c r="AFL154" s="108"/>
      <c r="AFM154" s="108"/>
      <c r="AFN154" s="108"/>
      <c r="AFO154" s="108"/>
      <c r="AFP154" s="108"/>
      <c r="AFQ154" s="108"/>
      <c r="AFR154" s="108"/>
      <c r="AFS154" s="108"/>
      <c r="AFT154" s="108"/>
      <c r="AFU154" s="108"/>
      <c r="AFV154" s="108"/>
      <c r="AFW154" s="108"/>
      <c r="AFX154" s="108"/>
      <c r="AFY154" s="108"/>
      <c r="AFZ154" s="108"/>
      <c r="AGA154" s="108"/>
      <c r="AGB154" s="108"/>
      <c r="AGC154" s="108"/>
      <c r="AGD154" s="108"/>
      <c r="AGE154" s="108"/>
      <c r="AGF154" s="108"/>
      <c r="AGG154" s="108"/>
      <c r="AGH154" s="108"/>
      <c r="AGI154" s="108"/>
      <c r="AGJ154" s="108"/>
      <c r="AGK154" s="108"/>
      <c r="AGL154" s="108"/>
      <c r="AGM154" s="108"/>
      <c r="AGN154" s="108"/>
      <c r="AGO154" s="108"/>
      <c r="AGP154" s="108"/>
      <c r="AGQ154" s="108"/>
      <c r="AGR154" s="108"/>
      <c r="AGS154" s="108"/>
      <c r="AGT154" s="108"/>
      <c r="AGU154" s="108"/>
      <c r="AGV154" s="108"/>
      <c r="AGW154" s="108"/>
      <c r="AGX154" s="108"/>
      <c r="AGY154" s="108"/>
      <c r="AGZ154" s="108"/>
      <c r="AHA154" s="108"/>
      <c r="AHB154" s="108"/>
      <c r="AHC154" s="108"/>
      <c r="AHD154" s="108"/>
      <c r="AHE154" s="108"/>
      <c r="AHF154" s="108"/>
      <c r="AHG154" s="108"/>
      <c r="AHH154" s="108"/>
      <c r="AHI154" s="108"/>
      <c r="AHJ154" s="108"/>
      <c r="AHK154" s="108"/>
      <c r="AHL154" s="108"/>
      <c r="AHM154" s="108"/>
      <c r="AHN154" s="108"/>
      <c r="AHO154" s="108"/>
      <c r="AHP154" s="108"/>
      <c r="AHQ154" s="108"/>
      <c r="AHR154" s="108"/>
      <c r="AHS154" s="108"/>
      <c r="AHT154" s="108"/>
      <c r="AHU154" s="108"/>
      <c r="AHV154" s="108"/>
      <c r="AHW154" s="108"/>
      <c r="AHX154" s="108"/>
      <c r="AHY154" s="108"/>
      <c r="AHZ154" s="108"/>
      <c r="AIA154" s="108"/>
      <c r="AIB154" s="108"/>
      <c r="AIC154" s="108"/>
      <c r="AID154" s="108"/>
      <c r="AIE154" s="108"/>
      <c r="AIF154" s="108"/>
      <c r="AIG154" s="108"/>
      <c r="AIH154" s="108"/>
      <c r="AII154" s="108"/>
      <c r="AIJ154" s="108"/>
      <c r="AIK154" s="108"/>
      <c r="AIL154" s="108"/>
      <c r="AIM154" s="108"/>
      <c r="AIN154" s="108"/>
      <c r="AIO154" s="108"/>
      <c r="AIP154" s="108"/>
      <c r="AIQ154" s="108"/>
      <c r="AIR154" s="108"/>
      <c r="AIS154" s="108"/>
      <c r="AIT154" s="108"/>
      <c r="AIU154" s="108"/>
      <c r="AIV154" s="108"/>
      <c r="AIW154" s="108"/>
      <c r="AIX154" s="108"/>
      <c r="AIY154" s="108"/>
      <c r="AIZ154" s="108"/>
      <c r="AJA154" s="108"/>
      <c r="AJB154" s="108"/>
      <c r="AJC154" s="108"/>
      <c r="AJD154" s="108"/>
      <c r="AJE154" s="108"/>
      <c r="AJF154" s="108"/>
      <c r="AJG154" s="108"/>
      <c r="AJH154" s="108"/>
      <c r="AJI154" s="108"/>
      <c r="AJJ154" s="108"/>
      <c r="AJK154" s="108"/>
      <c r="AJL154" s="108"/>
      <c r="AJM154" s="108"/>
      <c r="AJN154" s="108"/>
      <c r="AJO154" s="108"/>
      <c r="AJP154" s="108"/>
      <c r="AJQ154" s="108"/>
      <c r="AJR154" s="108"/>
      <c r="AJS154" s="108"/>
      <c r="AJT154" s="108"/>
      <c r="AJU154" s="108"/>
      <c r="AJV154" s="108"/>
      <c r="AJW154" s="108"/>
      <c r="AJX154" s="108"/>
      <c r="AJY154" s="108"/>
      <c r="AJZ154" s="108"/>
      <c r="AKA154" s="108"/>
      <c r="AKB154" s="108"/>
      <c r="AKC154" s="108"/>
      <c r="AKD154" s="108"/>
      <c r="AKE154" s="108"/>
      <c r="AKF154" s="108"/>
      <c r="AKG154" s="108"/>
      <c r="AKH154" s="108"/>
      <c r="AKI154" s="108"/>
      <c r="AKJ154" s="108"/>
      <c r="AKK154" s="108"/>
      <c r="AKL154" s="108"/>
      <c r="AKM154" s="108"/>
      <c r="AKN154" s="108"/>
      <c r="AKO154" s="108"/>
      <c r="AKP154" s="108"/>
      <c r="AKQ154" s="108"/>
      <c r="AKR154" s="108"/>
      <c r="AKS154" s="108"/>
      <c r="AKT154" s="108"/>
      <c r="AKU154" s="108"/>
      <c r="AKV154" s="108"/>
      <c r="AKW154" s="108"/>
      <c r="AKX154" s="108"/>
      <c r="AKY154" s="108"/>
      <c r="AKZ154" s="108"/>
      <c r="ALA154" s="108"/>
      <c r="ALB154" s="108"/>
      <c r="ALC154" s="108"/>
      <c r="ALD154" s="108"/>
      <c r="ALE154" s="108"/>
      <c r="ALF154" s="108"/>
      <c r="ALG154" s="108"/>
      <c r="ALH154" s="108"/>
      <c r="ALI154" s="108"/>
      <c r="ALJ154" s="108"/>
      <c r="ALK154" s="108"/>
      <c r="ALL154" s="108"/>
      <c r="ALM154" s="108"/>
      <c r="ALN154" s="108"/>
      <c r="ALO154" s="108"/>
      <c r="ALP154" s="108"/>
      <c r="ALQ154" s="108"/>
      <c r="ALR154" s="108"/>
      <c r="ALS154" s="108"/>
      <c r="ALT154" s="108"/>
      <c r="ALU154" s="108"/>
      <c r="ALV154" s="108"/>
      <c r="ALW154" s="108"/>
      <c r="ALX154" s="108"/>
      <c r="ALY154" s="108"/>
      <c r="ALZ154" s="108"/>
      <c r="AMA154" s="108"/>
      <c r="AMB154" s="108"/>
      <c r="AMC154" s="108"/>
      <c r="AMD154" s="108"/>
      <c r="AME154" s="108"/>
      <c r="AMF154" s="108"/>
      <c r="AMG154" s="108"/>
      <c r="AMH154" s="108"/>
      <c r="AMI154" s="108"/>
      <c r="AMJ154" s="108"/>
      <c r="AMK154" s="108"/>
      <c r="AML154" s="108"/>
      <c r="AMM154" s="108"/>
      <c r="AMN154" s="108"/>
      <c r="AMO154" s="108"/>
      <c r="AMP154" s="108"/>
      <c r="AMQ154" s="108"/>
      <c r="AMR154" s="108"/>
      <c r="AMS154" s="108"/>
      <c r="AMT154" s="108"/>
      <c r="AMU154" s="108"/>
      <c r="AMV154" s="108"/>
      <c r="AMW154" s="108"/>
      <c r="AMX154" s="108"/>
      <c r="AMY154" s="108"/>
      <c r="AMZ154" s="108"/>
      <c r="ANA154" s="108"/>
      <c r="ANB154" s="108"/>
      <c r="ANC154" s="108"/>
      <c r="AND154" s="108"/>
      <c r="ANE154" s="108"/>
      <c r="ANF154" s="108"/>
      <c r="ANG154" s="108"/>
      <c r="ANH154" s="108"/>
      <c r="ANI154" s="108"/>
      <c r="ANJ154" s="108"/>
      <c r="ANK154" s="108"/>
      <c r="ANL154" s="108"/>
      <c r="ANM154" s="108"/>
      <c r="ANN154" s="108"/>
      <c r="ANO154" s="108"/>
      <c r="ANP154" s="108"/>
      <c r="ANQ154" s="108"/>
      <c r="ANR154" s="108"/>
      <c r="ANS154" s="108"/>
      <c r="ANT154" s="108"/>
      <c r="ANU154" s="108"/>
      <c r="ANV154" s="108"/>
      <c r="ANW154" s="108"/>
      <c r="ANX154" s="108"/>
      <c r="ANY154" s="108"/>
      <c r="ANZ154" s="108"/>
      <c r="AOA154" s="108"/>
      <c r="AOB154" s="108"/>
      <c r="AOC154" s="108"/>
      <c r="AOD154" s="108"/>
      <c r="AOE154" s="108"/>
      <c r="AOF154" s="108"/>
      <c r="AOG154" s="108"/>
      <c r="AOH154" s="108"/>
      <c r="AOI154" s="108"/>
      <c r="AOJ154" s="108"/>
      <c r="AOK154" s="108"/>
      <c r="AOL154" s="108"/>
      <c r="AOM154" s="108"/>
      <c r="AON154" s="108"/>
      <c r="AOO154" s="108"/>
      <c r="AOP154" s="108"/>
      <c r="AOQ154" s="108"/>
      <c r="AOR154" s="108"/>
      <c r="AOS154" s="108"/>
      <c r="AOT154" s="108"/>
      <c r="AOU154" s="108"/>
      <c r="AOV154" s="108"/>
      <c r="AOW154" s="108"/>
      <c r="AOX154" s="108"/>
      <c r="AOY154" s="108"/>
      <c r="AOZ154" s="108"/>
      <c r="APA154" s="108"/>
      <c r="APB154" s="108"/>
      <c r="APC154" s="108"/>
      <c r="APD154" s="108"/>
      <c r="APE154" s="108"/>
      <c r="APF154" s="108"/>
      <c r="APG154" s="108"/>
      <c r="APH154" s="108"/>
      <c r="API154" s="108"/>
      <c r="APJ154" s="108"/>
      <c r="APK154" s="108"/>
      <c r="APL154" s="108"/>
      <c r="APM154" s="108"/>
      <c r="APN154" s="108"/>
      <c r="APO154" s="108"/>
      <c r="APP154" s="108"/>
      <c r="APQ154" s="108"/>
      <c r="APR154" s="108"/>
      <c r="APS154" s="108"/>
      <c r="APT154" s="108"/>
      <c r="APU154" s="108"/>
      <c r="APV154" s="108"/>
      <c r="APW154" s="108"/>
      <c r="APX154" s="108"/>
      <c r="APY154" s="108"/>
      <c r="APZ154" s="108"/>
      <c r="AQA154" s="108"/>
      <c r="AQB154" s="108"/>
      <c r="AQC154" s="108"/>
      <c r="AQD154" s="108"/>
      <c r="AQE154" s="108"/>
      <c r="AQF154" s="108"/>
      <c r="AQG154" s="108"/>
      <c r="AQH154" s="108"/>
      <c r="AQI154" s="108"/>
      <c r="AQJ154" s="108"/>
      <c r="AQK154" s="108"/>
      <c r="AQL154" s="108"/>
      <c r="AQM154" s="108"/>
      <c r="AQN154" s="108"/>
      <c r="AQO154" s="108"/>
      <c r="AQP154" s="108"/>
      <c r="AQQ154" s="108"/>
      <c r="AQR154" s="108"/>
      <c r="AQS154" s="108"/>
      <c r="AQT154" s="108"/>
      <c r="AQU154" s="108"/>
      <c r="AQV154" s="108"/>
      <c r="AQW154" s="108"/>
      <c r="AQX154" s="108"/>
      <c r="AQY154" s="108"/>
      <c r="AQZ154" s="108"/>
      <c r="ARA154" s="108"/>
      <c r="ARB154" s="108"/>
      <c r="ARC154" s="108"/>
      <c r="ARD154" s="108"/>
      <c r="ARE154" s="108"/>
      <c r="ARF154" s="108"/>
      <c r="ARG154" s="108"/>
      <c r="ARH154" s="108"/>
      <c r="ARI154" s="108"/>
      <c r="ARJ154" s="108"/>
      <c r="ARK154" s="108"/>
      <c r="ARL154" s="108"/>
      <c r="ARM154" s="108"/>
      <c r="ARN154" s="108"/>
      <c r="ARO154" s="108"/>
      <c r="ARP154" s="108"/>
      <c r="ARQ154" s="108"/>
      <c r="ARR154" s="108"/>
      <c r="ARS154" s="108"/>
      <c r="ART154" s="108"/>
      <c r="ARU154" s="108"/>
      <c r="ARV154" s="108"/>
      <c r="ARW154" s="108"/>
      <c r="ARX154" s="108"/>
      <c r="ARY154" s="108"/>
      <c r="ARZ154" s="108"/>
      <c r="ASA154" s="108"/>
      <c r="ASB154" s="108"/>
      <c r="ASC154" s="108"/>
      <c r="ASD154" s="108"/>
      <c r="ASE154" s="108"/>
      <c r="ASF154" s="108"/>
      <c r="ASG154" s="108"/>
      <c r="ASH154" s="108"/>
      <c r="ASI154" s="108"/>
      <c r="ASJ154" s="108"/>
      <c r="ASK154" s="108"/>
      <c r="ASL154" s="108"/>
      <c r="ASM154" s="108"/>
      <c r="ASN154" s="108"/>
      <c r="ASO154" s="108"/>
      <c r="ASP154" s="108"/>
      <c r="ASQ154" s="108"/>
      <c r="ASR154" s="108"/>
      <c r="ASS154" s="108"/>
      <c r="AST154" s="108"/>
      <c r="ASU154" s="108"/>
      <c r="ASV154" s="108"/>
      <c r="ASW154" s="108"/>
      <c r="ASX154" s="108"/>
      <c r="ASY154" s="108"/>
      <c r="ASZ154" s="108"/>
      <c r="ATA154" s="108"/>
      <c r="ATB154" s="108"/>
      <c r="ATC154" s="108"/>
      <c r="ATD154" s="108"/>
      <c r="ATE154" s="108"/>
      <c r="ATF154" s="108"/>
      <c r="ATG154" s="108"/>
      <c r="ATH154" s="108"/>
      <c r="ATI154" s="108"/>
      <c r="ATJ154" s="108"/>
      <c r="ATK154" s="108"/>
      <c r="ATL154" s="108"/>
      <c r="ATM154" s="108"/>
      <c r="ATN154" s="108"/>
      <c r="ATO154" s="108"/>
      <c r="ATP154" s="108"/>
      <c r="ATQ154" s="108"/>
      <c r="ATR154" s="108"/>
      <c r="ATS154" s="108"/>
      <c r="ATT154" s="108"/>
      <c r="ATU154" s="108"/>
      <c r="ATV154" s="108"/>
      <c r="ATW154" s="108"/>
      <c r="ATX154" s="108"/>
      <c r="ATY154" s="108"/>
      <c r="ATZ154" s="108"/>
      <c r="AUA154" s="108"/>
      <c r="AUB154" s="108"/>
      <c r="AUC154" s="108"/>
      <c r="AUD154" s="108"/>
      <c r="AUE154" s="108"/>
      <c r="AUF154" s="108"/>
      <c r="AUG154" s="108"/>
      <c r="AUH154" s="108"/>
      <c r="AUI154" s="108"/>
      <c r="AUJ154" s="108"/>
      <c r="AUK154" s="108"/>
      <c r="AUL154" s="108"/>
      <c r="AUM154" s="108"/>
      <c r="AUN154" s="108"/>
      <c r="AUO154" s="108"/>
      <c r="AUP154" s="108"/>
      <c r="AUQ154" s="108"/>
      <c r="AUR154" s="108"/>
      <c r="AUS154" s="108"/>
      <c r="AUT154" s="108"/>
      <c r="AUU154" s="108"/>
      <c r="AUV154" s="108"/>
      <c r="AUW154" s="108"/>
      <c r="AUX154" s="108"/>
      <c r="AUY154" s="108"/>
      <c r="AUZ154" s="108"/>
      <c r="AVA154" s="108"/>
      <c r="AVB154" s="108"/>
      <c r="AVC154" s="108"/>
      <c r="AVD154" s="108"/>
      <c r="AVE154" s="108"/>
      <c r="AVF154" s="108"/>
      <c r="AVG154" s="108"/>
      <c r="AVH154" s="108"/>
      <c r="AVI154" s="108"/>
      <c r="AVJ154" s="108"/>
      <c r="AVK154" s="108"/>
      <c r="AVL154" s="108"/>
      <c r="AVM154" s="108"/>
      <c r="AVN154" s="108"/>
      <c r="AVO154" s="108"/>
      <c r="AVP154" s="108"/>
      <c r="AVQ154" s="108"/>
      <c r="AVR154" s="108"/>
      <c r="AVS154" s="108"/>
      <c r="AVT154" s="108"/>
      <c r="AVU154" s="108"/>
      <c r="AVV154" s="108"/>
      <c r="AVW154" s="108"/>
      <c r="AVX154" s="108"/>
      <c r="AVY154" s="108"/>
      <c r="AVZ154" s="108"/>
      <c r="AWA154" s="108"/>
      <c r="AWB154" s="108"/>
      <c r="AWC154" s="108"/>
      <c r="AWD154" s="108"/>
      <c r="AWE154" s="108"/>
      <c r="AWF154" s="108"/>
      <c r="AWG154" s="108"/>
      <c r="AWH154" s="108"/>
      <c r="AWI154" s="108"/>
      <c r="AWJ154" s="108"/>
      <c r="AWK154" s="108"/>
      <c r="AWL154" s="108"/>
      <c r="AWM154" s="108"/>
      <c r="AWN154" s="108"/>
      <c r="AWO154" s="108"/>
      <c r="AWP154" s="108"/>
      <c r="AWQ154" s="108"/>
      <c r="AWR154" s="108"/>
      <c r="AWS154" s="108"/>
      <c r="AWT154" s="108"/>
      <c r="AWU154" s="108"/>
      <c r="AWV154" s="108"/>
      <c r="AWW154" s="108"/>
      <c r="AWX154" s="108"/>
      <c r="AWY154" s="108"/>
      <c r="AWZ154" s="108"/>
      <c r="AXA154" s="108"/>
      <c r="AXB154" s="108"/>
      <c r="AXC154" s="108"/>
      <c r="AXD154" s="108"/>
      <c r="AXE154" s="108"/>
      <c r="AXF154" s="108"/>
      <c r="AXG154" s="108"/>
      <c r="AXH154" s="108"/>
      <c r="AXI154" s="108"/>
      <c r="AXJ154" s="108"/>
      <c r="AXK154" s="108"/>
      <c r="AXL154" s="108"/>
      <c r="AXM154" s="108"/>
      <c r="AXN154" s="108"/>
      <c r="AXO154" s="108"/>
      <c r="AXP154" s="108"/>
      <c r="AXQ154" s="108"/>
      <c r="AXR154" s="108"/>
      <c r="AXS154" s="108"/>
      <c r="AXT154" s="108"/>
      <c r="AXU154" s="108"/>
      <c r="AXV154" s="108"/>
      <c r="AXW154" s="108"/>
      <c r="AXX154" s="108"/>
      <c r="AXY154" s="108"/>
      <c r="AXZ154" s="108"/>
      <c r="AYA154" s="108"/>
      <c r="AYB154" s="108"/>
      <c r="AYC154" s="108"/>
      <c r="AYD154" s="108"/>
      <c r="AYE154" s="108"/>
      <c r="AYF154" s="108"/>
      <c r="AYG154" s="108"/>
      <c r="AYH154" s="108"/>
      <c r="AYI154" s="108"/>
      <c r="AYJ154" s="108"/>
      <c r="AYK154" s="108"/>
      <c r="AYL154" s="108"/>
      <c r="AYM154" s="108"/>
      <c r="AYN154" s="108"/>
      <c r="AYO154" s="108"/>
      <c r="AYP154" s="108"/>
      <c r="AYQ154" s="108"/>
      <c r="AYR154" s="108"/>
      <c r="AYS154" s="108"/>
      <c r="AYT154" s="108"/>
      <c r="AYU154" s="108"/>
      <c r="AYV154" s="108"/>
      <c r="AYW154" s="108"/>
      <c r="AYX154" s="108"/>
      <c r="AYY154" s="108"/>
      <c r="AYZ154" s="108"/>
      <c r="AZA154" s="108"/>
      <c r="AZB154" s="108"/>
      <c r="AZC154" s="108"/>
      <c r="AZD154" s="108"/>
      <c r="AZE154" s="108"/>
      <c r="AZF154" s="108"/>
      <c r="AZG154" s="108"/>
      <c r="AZH154" s="108"/>
      <c r="AZI154" s="108"/>
      <c r="AZJ154" s="108"/>
      <c r="AZK154" s="108"/>
      <c r="AZL154" s="108"/>
      <c r="AZM154" s="108"/>
      <c r="AZN154" s="108"/>
      <c r="AZO154" s="108"/>
      <c r="AZP154" s="108"/>
      <c r="AZQ154" s="108"/>
      <c r="AZR154" s="108"/>
      <c r="AZS154" s="108"/>
      <c r="AZT154" s="108"/>
      <c r="AZU154" s="108"/>
      <c r="AZV154" s="108"/>
      <c r="AZW154" s="108"/>
      <c r="AZX154" s="108"/>
      <c r="AZY154" s="108"/>
      <c r="AZZ154" s="108"/>
      <c r="BAA154" s="108"/>
      <c r="BAB154" s="108"/>
      <c r="BAC154" s="108"/>
      <c r="BAD154" s="108"/>
      <c r="BAE154" s="108"/>
      <c r="BAF154" s="108"/>
      <c r="BAG154" s="108"/>
      <c r="BAH154" s="108"/>
      <c r="BAI154" s="108"/>
      <c r="BAJ154" s="108"/>
      <c r="BAK154" s="108"/>
      <c r="BAL154" s="108"/>
      <c r="BAM154" s="108"/>
      <c r="BAN154" s="108"/>
      <c r="BAO154" s="108"/>
      <c r="BAP154" s="108"/>
      <c r="BAQ154" s="108"/>
      <c r="BAR154" s="108"/>
      <c r="BAS154" s="108"/>
      <c r="BAT154" s="108"/>
      <c r="BAU154" s="108"/>
      <c r="BAV154" s="108"/>
      <c r="BAW154" s="108"/>
      <c r="BAX154" s="108"/>
      <c r="BAY154" s="108"/>
      <c r="BAZ154" s="108"/>
      <c r="BBA154" s="108"/>
      <c r="BBB154" s="108"/>
      <c r="BBC154" s="108"/>
      <c r="BBD154" s="108"/>
      <c r="BBE154" s="108"/>
      <c r="BBF154" s="108"/>
      <c r="BBG154" s="108"/>
      <c r="BBH154" s="108"/>
      <c r="BBI154" s="108"/>
      <c r="BBJ154" s="108"/>
      <c r="BBK154" s="108"/>
      <c r="BBL154" s="108"/>
      <c r="BBM154" s="108"/>
      <c r="BBN154" s="108"/>
      <c r="BBO154" s="108"/>
      <c r="BBP154" s="108"/>
      <c r="BBQ154" s="108"/>
      <c r="BBR154" s="108"/>
      <c r="BBS154" s="108"/>
      <c r="BBT154" s="108"/>
      <c r="BBU154" s="108"/>
      <c r="BBV154" s="108"/>
      <c r="BBW154" s="108"/>
      <c r="BBX154" s="108"/>
      <c r="BBY154" s="108"/>
      <c r="BBZ154" s="108"/>
      <c r="BCA154" s="108"/>
      <c r="BCB154" s="108"/>
      <c r="BCC154" s="108"/>
      <c r="BCD154" s="108"/>
      <c r="BCE154" s="108"/>
      <c r="BCF154" s="108"/>
      <c r="BCG154" s="108"/>
      <c r="BCH154" s="108"/>
      <c r="BCI154" s="108"/>
      <c r="BCJ154" s="108"/>
      <c r="BCK154" s="108"/>
      <c r="BCL154" s="108"/>
      <c r="BCM154" s="108"/>
      <c r="BCN154" s="108"/>
      <c r="BCO154" s="108"/>
      <c r="BCP154" s="108"/>
      <c r="BCQ154" s="108"/>
      <c r="BCR154" s="108"/>
      <c r="BCS154" s="108"/>
      <c r="BCT154" s="108"/>
      <c r="BCU154" s="108"/>
      <c r="BCV154" s="108"/>
      <c r="BCW154" s="108"/>
      <c r="BCX154" s="108"/>
      <c r="BCY154" s="108"/>
      <c r="BCZ154" s="108"/>
      <c r="BDA154" s="108"/>
      <c r="BDB154" s="108"/>
      <c r="BDC154" s="108"/>
      <c r="BDD154" s="108"/>
      <c r="BDE154" s="108"/>
      <c r="BDF154" s="108"/>
      <c r="BDG154" s="108"/>
      <c r="BDH154" s="108"/>
      <c r="BDI154" s="108"/>
      <c r="BDJ154" s="108"/>
      <c r="BDK154" s="108"/>
      <c r="BDL154" s="108"/>
      <c r="BDM154" s="108"/>
      <c r="BDN154" s="108"/>
      <c r="BDO154" s="108"/>
      <c r="BDP154" s="108"/>
      <c r="BDQ154" s="108"/>
      <c r="BDR154" s="108"/>
      <c r="BDS154" s="108"/>
      <c r="BDT154" s="108"/>
      <c r="BDU154" s="108"/>
      <c r="BDV154" s="108"/>
      <c r="BDW154" s="108"/>
      <c r="BDX154" s="108"/>
      <c r="BDY154" s="108"/>
      <c r="BDZ154" s="108"/>
      <c r="BEA154" s="108"/>
      <c r="BEB154" s="108"/>
      <c r="BEC154" s="108"/>
      <c r="BED154" s="108"/>
      <c r="BEE154" s="108"/>
      <c r="BEF154" s="108"/>
      <c r="BEG154" s="108"/>
      <c r="BEH154" s="108"/>
      <c r="BEI154" s="108"/>
      <c r="BEJ154" s="108"/>
      <c r="BEK154" s="108"/>
      <c r="BEL154" s="108"/>
      <c r="BEM154" s="108"/>
      <c r="BEN154" s="108"/>
      <c r="BEO154" s="108"/>
      <c r="BEP154" s="108"/>
      <c r="BEQ154" s="108"/>
      <c r="BER154" s="108"/>
      <c r="BES154" s="108"/>
      <c r="BET154" s="108"/>
      <c r="BEU154" s="108"/>
      <c r="BEV154" s="108"/>
      <c r="BEW154" s="108"/>
      <c r="BEX154" s="108"/>
      <c r="BEY154" s="108"/>
      <c r="BEZ154" s="108"/>
      <c r="BFA154" s="108"/>
      <c r="BFB154" s="108"/>
      <c r="BFC154" s="108"/>
      <c r="BFD154" s="108"/>
      <c r="BFE154" s="108"/>
      <c r="BFF154" s="108"/>
      <c r="BFG154" s="108"/>
      <c r="BFH154" s="108"/>
      <c r="BFI154" s="108"/>
      <c r="BFJ154" s="108"/>
      <c r="BFK154" s="108"/>
      <c r="BFL154" s="108"/>
      <c r="BFM154" s="108"/>
      <c r="BFN154" s="108"/>
      <c r="BFO154" s="108"/>
      <c r="BFP154" s="108"/>
      <c r="BFQ154" s="108"/>
      <c r="BFR154" s="108"/>
      <c r="BFS154" s="108"/>
      <c r="BFT154" s="108"/>
      <c r="BFU154" s="108"/>
      <c r="BFV154" s="108"/>
      <c r="BFW154" s="108"/>
      <c r="BFX154" s="108"/>
      <c r="BFY154" s="108"/>
      <c r="BFZ154" s="108"/>
      <c r="BGA154" s="108"/>
      <c r="BGB154" s="108"/>
      <c r="BGC154" s="108"/>
      <c r="BGD154" s="108"/>
      <c r="BGE154" s="108"/>
      <c r="BGF154" s="108"/>
      <c r="BGG154" s="108"/>
      <c r="BGH154" s="108"/>
      <c r="BGI154" s="108"/>
      <c r="BGJ154" s="108"/>
      <c r="BGK154" s="108"/>
      <c r="BGL154" s="108"/>
      <c r="BGM154" s="108"/>
      <c r="BGN154" s="108"/>
      <c r="BGO154" s="108"/>
      <c r="BGP154" s="108"/>
      <c r="BGQ154" s="108"/>
      <c r="BGR154" s="108"/>
      <c r="BGS154" s="108"/>
      <c r="BGT154" s="108"/>
      <c r="BGU154" s="108"/>
      <c r="BGV154" s="108"/>
      <c r="BGW154" s="108"/>
      <c r="BGX154" s="108"/>
      <c r="BGY154" s="108"/>
      <c r="BGZ154" s="108"/>
      <c r="BHA154" s="108"/>
      <c r="BHB154" s="108"/>
      <c r="BHC154" s="108"/>
      <c r="BHD154" s="108"/>
      <c r="BHE154" s="108"/>
      <c r="BHF154" s="108"/>
      <c r="BHG154" s="108"/>
      <c r="BHH154" s="108"/>
      <c r="BHI154" s="108"/>
      <c r="BHJ154" s="108"/>
      <c r="BHK154" s="108"/>
      <c r="BHL154" s="108"/>
      <c r="BHM154" s="108"/>
      <c r="BHN154" s="108"/>
      <c r="BHO154" s="108"/>
      <c r="BHP154" s="108"/>
      <c r="BHQ154" s="108"/>
      <c r="BHR154" s="108"/>
      <c r="BHS154" s="108"/>
      <c r="BHT154" s="108"/>
      <c r="BHU154" s="108"/>
      <c r="BHV154" s="108"/>
      <c r="BHW154" s="108"/>
      <c r="BHX154" s="108"/>
      <c r="BHY154" s="108"/>
      <c r="BHZ154" s="108"/>
      <c r="BIA154" s="108"/>
      <c r="BIB154" s="108"/>
      <c r="BIC154" s="108"/>
      <c r="BID154" s="108"/>
      <c r="BIE154" s="108"/>
      <c r="BIF154" s="108"/>
      <c r="BIG154" s="108"/>
      <c r="BIH154" s="108"/>
      <c r="BII154" s="108"/>
      <c r="BIJ154" s="108"/>
      <c r="BIK154" s="108"/>
      <c r="BIL154" s="108"/>
      <c r="BIM154" s="108"/>
      <c r="BIN154" s="108"/>
      <c r="BIO154" s="108"/>
      <c r="BIP154" s="108"/>
      <c r="BIQ154" s="108"/>
      <c r="BIR154" s="108"/>
      <c r="BIS154" s="108"/>
      <c r="BIT154" s="108"/>
      <c r="BIU154" s="108"/>
      <c r="BIV154" s="108"/>
      <c r="BIW154" s="108"/>
      <c r="BIX154" s="108"/>
      <c r="BIY154" s="108"/>
      <c r="BIZ154" s="108"/>
      <c r="BJA154" s="108"/>
      <c r="BJB154" s="108"/>
      <c r="BJC154" s="108"/>
      <c r="BJD154" s="108"/>
      <c r="BJE154" s="108"/>
      <c r="BJF154" s="108"/>
      <c r="BJG154" s="108"/>
      <c r="BJH154" s="108"/>
      <c r="BJI154" s="108"/>
      <c r="BJJ154" s="108"/>
      <c r="BJK154" s="108"/>
      <c r="BJL154" s="108"/>
      <c r="BJM154" s="108"/>
      <c r="BJN154" s="108"/>
      <c r="BJO154" s="108"/>
      <c r="BJP154" s="108"/>
      <c r="BJQ154" s="108"/>
      <c r="BJR154" s="108"/>
      <c r="BJS154" s="108"/>
      <c r="BJT154" s="108"/>
      <c r="BJU154" s="108"/>
      <c r="BJV154" s="108"/>
      <c r="BJW154" s="108"/>
      <c r="BJX154" s="108"/>
      <c r="BJY154" s="108"/>
      <c r="BJZ154" s="108"/>
      <c r="BKA154" s="108"/>
      <c r="BKB154" s="108"/>
      <c r="BKC154" s="108"/>
      <c r="BKD154" s="108"/>
      <c r="BKE154" s="108"/>
      <c r="BKF154" s="108"/>
      <c r="BKG154" s="108"/>
      <c r="BKH154" s="108"/>
      <c r="BKI154" s="108"/>
      <c r="BKJ154" s="108"/>
      <c r="BKK154" s="108"/>
      <c r="BKL154" s="108"/>
      <c r="BKM154" s="108"/>
      <c r="BKN154" s="108"/>
      <c r="BKO154" s="108"/>
      <c r="BKP154" s="108"/>
      <c r="BKQ154" s="108"/>
      <c r="BKR154" s="108"/>
      <c r="BKS154" s="108"/>
      <c r="BKT154" s="108"/>
      <c r="BKU154" s="108"/>
      <c r="BKV154" s="108"/>
      <c r="BKW154" s="108"/>
      <c r="BKX154" s="108"/>
      <c r="BKY154" s="108"/>
      <c r="BKZ154" s="108"/>
      <c r="BLA154" s="108"/>
      <c r="BLB154" s="108"/>
      <c r="BLC154" s="108"/>
      <c r="BLD154" s="108"/>
      <c r="BLE154" s="108"/>
      <c r="BLF154" s="108"/>
      <c r="BLG154" s="108"/>
      <c r="BLH154" s="108"/>
      <c r="BLI154" s="108"/>
      <c r="BLJ154" s="108"/>
      <c r="BLK154" s="108"/>
      <c r="BLL154" s="108"/>
      <c r="BLM154" s="108"/>
      <c r="BLN154" s="108"/>
      <c r="BLO154" s="108"/>
      <c r="BLP154" s="108"/>
      <c r="BLQ154" s="108"/>
      <c r="BLR154" s="108"/>
      <c r="BLS154" s="108"/>
      <c r="BLT154" s="108"/>
      <c r="BLU154" s="108"/>
      <c r="BLV154" s="108"/>
      <c r="BLW154" s="108"/>
      <c r="BLX154" s="108"/>
      <c r="BLY154" s="108"/>
      <c r="BLZ154" s="108"/>
      <c r="BMA154" s="108"/>
      <c r="BMB154" s="108"/>
      <c r="BMC154" s="108"/>
      <c r="BMD154" s="108"/>
      <c r="BME154" s="108"/>
      <c r="BMF154" s="108"/>
      <c r="BMG154" s="108"/>
      <c r="BMH154" s="108"/>
      <c r="BMI154" s="108"/>
      <c r="BMJ154" s="108"/>
      <c r="BMK154" s="108"/>
      <c r="BML154" s="108"/>
      <c r="BMM154" s="108"/>
      <c r="BMN154" s="108"/>
      <c r="BMO154" s="108"/>
      <c r="BMP154" s="108"/>
      <c r="BMQ154" s="108"/>
      <c r="BMR154" s="108"/>
      <c r="BMS154" s="108"/>
      <c r="BMT154" s="108"/>
      <c r="BMU154" s="108"/>
      <c r="BMV154" s="108"/>
      <c r="BMW154" s="108"/>
      <c r="BMX154" s="108"/>
      <c r="BMY154" s="108"/>
      <c r="BMZ154" s="108"/>
      <c r="BNA154" s="108"/>
      <c r="BNB154" s="108"/>
      <c r="BNC154" s="108"/>
      <c r="BND154" s="108"/>
      <c r="BNE154" s="108"/>
      <c r="BNF154" s="108"/>
      <c r="BNG154" s="108"/>
      <c r="BNH154" s="108"/>
      <c r="BNI154" s="108"/>
      <c r="BNJ154" s="108"/>
      <c r="BNK154" s="108"/>
      <c r="BNL154" s="108"/>
      <c r="BNM154" s="108"/>
      <c r="BNN154" s="108"/>
      <c r="BNO154" s="108"/>
      <c r="BNP154" s="108"/>
      <c r="BNQ154" s="108"/>
      <c r="BNR154" s="108"/>
      <c r="BNS154" s="108"/>
      <c r="BNT154" s="108"/>
      <c r="BNU154" s="108"/>
      <c r="BNV154" s="108"/>
      <c r="BNW154" s="108"/>
      <c r="BNX154" s="108"/>
      <c r="BNY154" s="108"/>
      <c r="BNZ154" s="108"/>
      <c r="BOA154" s="108"/>
      <c r="BOB154" s="108"/>
      <c r="BOC154" s="108"/>
      <c r="BOD154" s="108"/>
      <c r="BOE154" s="108"/>
      <c r="BOF154" s="108"/>
      <c r="BOG154" s="108"/>
      <c r="BOH154" s="108"/>
      <c r="BOI154" s="108"/>
      <c r="BOJ154" s="108"/>
      <c r="BOK154" s="108"/>
      <c r="BOL154" s="108"/>
      <c r="BOM154" s="108"/>
      <c r="BON154" s="108"/>
      <c r="BOO154" s="108"/>
      <c r="BOP154" s="108"/>
      <c r="BOQ154" s="108"/>
      <c r="BOR154" s="108"/>
      <c r="BOS154" s="108"/>
      <c r="BOT154" s="108"/>
      <c r="BOU154" s="108"/>
      <c r="BOV154" s="108"/>
      <c r="BOW154" s="108"/>
      <c r="BOX154" s="108"/>
      <c r="BOY154" s="108"/>
      <c r="BOZ154" s="108"/>
      <c r="BPA154" s="108"/>
      <c r="BPB154" s="108"/>
      <c r="BPC154" s="108"/>
      <c r="BPD154" s="108"/>
      <c r="BPE154" s="108"/>
      <c r="BPF154" s="108"/>
      <c r="BPG154" s="108"/>
      <c r="BPH154" s="108"/>
      <c r="BPI154" s="108"/>
      <c r="BPJ154" s="108"/>
      <c r="BPK154" s="108"/>
      <c r="BPL154" s="108"/>
      <c r="BPM154" s="108"/>
      <c r="BPN154" s="108"/>
      <c r="BPO154" s="108"/>
      <c r="BPP154" s="108"/>
      <c r="BPQ154" s="108"/>
      <c r="BPR154" s="108"/>
      <c r="BPS154" s="108"/>
      <c r="BPT154" s="108"/>
      <c r="BPU154" s="108"/>
      <c r="BPV154" s="108"/>
      <c r="BPW154" s="108"/>
      <c r="BPX154" s="108"/>
      <c r="BPY154" s="108"/>
      <c r="BPZ154" s="108"/>
      <c r="BQA154" s="108"/>
      <c r="BQB154" s="108"/>
      <c r="BQC154" s="108"/>
      <c r="BQD154" s="108"/>
      <c r="BQE154" s="108"/>
      <c r="BQF154" s="108"/>
      <c r="BQG154" s="108"/>
      <c r="BQH154" s="108"/>
      <c r="BQI154" s="108"/>
      <c r="BQJ154" s="108"/>
      <c r="BQK154" s="108"/>
      <c r="BQL154" s="108"/>
      <c r="BQM154" s="108"/>
      <c r="BQN154" s="108"/>
      <c r="BQO154" s="108"/>
      <c r="BQP154" s="108"/>
      <c r="BQQ154" s="108"/>
      <c r="BQR154" s="108"/>
      <c r="BQS154" s="108"/>
      <c r="BQT154" s="108"/>
      <c r="BQU154" s="108"/>
      <c r="BQV154" s="108"/>
      <c r="BQW154" s="108"/>
      <c r="BQX154" s="108"/>
      <c r="BQY154" s="108"/>
      <c r="BQZ154" s="108"/>
      <c r="BRA154" s="108"/>
      <c r="BRB154" s="108"/>
      <c r="BRC154" s="108"/>
      <c r="BRD154" s="108"/>
      <c r="BRE154" s="108"/>
      <c r="BRF154" s="108"/>
      <c r="BRG154" s="108"/>
      <c r="BRH154" s="108"/>
      <c r="BRI154" s="108"/>
      <c r="BRJ154" s="108"/>
      <c r="BRK154" s="108"/>
      <c r="BRL154" s="108"/>
      <c r="BRM154" s="108"/>
      <c r="BRN154" s="108"/>
      <c r="BRO154" s="108"/>
      <c r="BRP154" s="108"/>
      <c r="BRQ154" s="108"/>
      <c r="BRR154" s="108"/>
      <c r="BRS154" s="108"/>
      <c r="BRT154" s="108"/>
      <c r="BRU154" s="108"/>
      <c r="BRV154" s="108"/>
      <c r="BRW154" s="108"/>
      <c r="BRX154" s="108"/>
      <c r="BRY154" s="108"/>
      <c r="BRZ154" s="108"/>
      <c r="BSA154" s="108"/>
      <c r="BSB154" s="108"/>
      <c r="BSC154" s="108"/>
      <c r="BSD154" s="108"/>
      <c r="BSE154" s="108"/>
      <c r="BSF154" s="108"/>
      <c r="BSG154" s="108"/>
      <c r="BSH154" s="108"/>
      <c r="BSI154" s="108"/>
      <c r="BSJ154" s="108"/>
      <c r="BSK154" s="108"/>
      <c r="BSL154" s="108"/>
      <c r="BSM154" s="108"/>
      <c r="BSN154" s="108"/>
      <c r="BSO154" s="108"/>
      <c r="BSP154" s="108"/>
      <c r="BSQ154" s="108"/>
      <c r="BSR154" s="108"/>
      <c r="BSS154" s="108"/>
      <c r="BST154" s="108"/>
      <c r="BSU154" s="108"/>
      <c r="BSV154" s="108"/>
      <c r="BSW154" s="108"/>
      <c r="BSX154" s="108"/>
      <c r="BSY154" s="108"/>
      <c r="BSZ154" s="108"/>
      <c r="BTA154" s="108"/>
      <c r="BTB154" s="108"/>
      <c r="BTC154" s="108"/>
      <c r="BTD154" s="108"/>
      <c r="BTE154" s="108"/>
      <c r="BTF154" s="108"/>
      <c r="BTG154" s="108"/>
      <c r="BTH154" s="108"/>
      <c r="BTI154" s="108"/>
      <c r="BTJ154" s="108"/>
      <c r="BTK154" s="108"/>
      <c r="BTL154" s="108"/>
      <c r="BTM154" s="108"/>
      <c r="BTN154" s="108"/>
      <c r="BTO154" s="108"/>
      <c r="BTP154" s="108"/>
      <c r="BTQ154" s="108"/>
      <c r="BTR154" s="108"/>
      <c r="BTS154" s="108"/>
      <c r="BTT154" s="108"/>
      <c r="BTU154" s="108"/>
      <c r="BTV154" s="108"/>
      <c r="BTW154" s="108"/>
      <c r="BTX154" s="108"/>
      <c r="BTY154" s="108"/>
      <c r="BTZ154" s="108"/>
      <c r="BUA154" s="108"/>
      <c r="BUB154" s="108"/>
      <c r="BUC154" s="108"/>
      <c r="BUD154" s="108"/>
      <c r="BUE154" s="108"/>
      <c r="BUF154" s="108"/>
      <c r="BUG154" s="108"/>
      <c r="BUH154" s="108"/>
      <c r="BUI154" s="108"/>
      <c r="BUJ154" s="108"/>
      <c r="BUK154" s="108"/>
      <c r="BUL154" s="108"/>
      <c r="BUM154" s="108"/>
      <c r="BUN154" s="108"/>
      <c r="BUO154" s="108"/>
      <c r="BUP154" s="108"/>
      <c r="BUQ154" s="108"/>
      <c r="BUR154" s="108"/>
      <c r="BUS154" s="108"/>
      <c r="BUT154" s="108"/>
      <c r="BUU154" s="108"/>
      <c r="BUV154" s="108"/>
      <c r="BUW154" s="108"/>
      <c r="BUX154" s="108"/>
      <c r="BUY154" s="108"/>
      <c r="BUZ154" s="108"/>
      <c r="BVA154" s="108"/>
      <c r="BVB154" s="108"/>
      <c r="BVC154" s="108"/>
      <c r="BVD154" s="108"/>
      <c r="BVE154" s="108"/>
      <c r="BVF154" s="108"/>
      <c r="BVG154" s="108"/>
      <c r="BVH154" s="108"/>
      <c r="BVI154" s="108"/>
      <c r="BVJ154" s="108"/>
      <c r="BVK154" s="108"/>
      <c r="BVL154" s="108"/>
      <c r="BVM154" s="108"/>
      <c r="BVN154" s="108"/>
      <c r="BVO154" s="108"/>
      <c r="BVP154" s="108"/>
      <c r="BVQ154" s="108"/>
      <c r="BVR154" s="108"/>
      <c r="BVS154" s="108"/>
      <c r="BVT154" s="108"/>
      <c r="BVU154" s="108"/>
      <c r="BVV154" s="108"/>
      <c r="BVW154" s="108"/>
      <c r="BVX154" s="108"/>
      <c r="BVY154" s="108"/>
      <c r="BVZ154" s="108"/>
      <c r="BWA154" s="108"/>
      <c r="BWB154" s="108"/>
      <c r="BWC154" s="108"/>
      <c r="BWD154" s="108"/>
      <c r="BWE154" s="108"/>
      <c r="BWF154" s="108"/>
      <c r="BWG154" s="108"/>
      <c r="BWH154" s="108"/>
      <c r="BWI154" s="108"/>
      <c r="BWJ154" s="108"/>
      <c r="BWK154" s="108"/>
      <c r="BWL154" s="108"/>
      <c r="BWM154" s="108"/>
      <c r="BWN154" s="108"/>
      <c r="BWO154" s="108"/>
      <c r="BWP154" s="108"/>
      <c r="BWQ154" s="108"/>
      <c r="BWR154" s="108"/>
      <c r="BWS154" s="108"/>
      <c r="BWT154" s="108"/>
      <c r="BWU154" s="108"/>
      <c r="BWV154" s="108"/>
      <c r="BWW154" s="108"/>
      <c r="BWX154" s="108"/>
      <c r="BWY154" s="108"/>
      <c r="BWZ154" s="108"/>
      <c r="BXA154" s="108"/>
      <c r="BXB154" s="108"/>
      <c r="BXC154" s="108"/>
      <c r="BXD154" s="108"/>
      <c r="BXE154" s="108"/>
      <c r="BXF154" s="108"/>
      <c r="BXG154" s="108"/>
      <c r="BXH154" s="108"/>
      <c r="BXI154" s="108"/>
      <c r="BXJ154" s="108"/>
      <c r="BXK154" s="108"/>
      <c r="BXL154" s="108"/>
      <c r="BXM154" s="108"/>
      <c r="BXN154" s="108"/>
      <c r="BXO154" s="108"/>
      <c r="BXP154" s="108"/>
      <c r="BXQ154" s="108"/>
      <c r="BXR154" s="108"/>
      <c r="BXS154" s="108"/>
      <c r="BXT154" s="108"/>
      <c r="BXU154" s="108"/>
      <c r="BXV154" s="108"/>
      <c r="BXW154" s="108"/>
      <c r="BXX154" s="108"/>
      <c r="BXY154" s="108"/>
      <c r="BXZ154" s="108"/>
      <c r="BYA154" s="108"/>
      <c r="BYB154" s="108"/>
      <c r="BYC154" s="108"/>
      <c r="BYD154" s="108"/>
      <c r="BYE154" s="108"/>
      <c r="BYF154" s="108"/>
      <c r="BYG154" s="108"/>
      <c r="BYH154" s="108"/>
      <c r="BYI154" s="108"/>
      <c r="BYJ154" s="108"/>
      <c r="BYK154" s="108"/>
      <c r="BYL154" s="108"/>
      <c r="BYM154" s="108"/>
      <c r="BYN154" s="108"/>
      <c r="BYO154" s="108"/>
      <c r="BYP154" s="108"/>
      <c r="BYQ154" s="108"/>
      <c r="BYR154" s="108"/>
      <c r="BYS154" s="108"/>
      <c r="BYT154" s="108"/>
      <c r="BYU154" s="108"/>
      <c r="BYV154" s="108"/>
      <c r="BYW154" s="108"/>
      <c r="BYX154" s="108"/>
      <c r="BYY154" s="108"/>
      <c r="BYZ154" s="108"/>
      <c r="BZA154" s="108"/>
      <c r="BZB154" s="108"/>
      <c r="BZC154" s="108"/>
      <c r="BZD154" s="108"/>
      <c r="BZE154" s="108"/>
      <c r="BZF154" s="108"/>
      <c r="BZG154" s="108"/>
      <c r="BZH154" s="108"/>
      <c r="BZI154" s="108"/>
      <c r="BZJ154" s="108"/>
      <c r="BZK154" s="108"/>
      <c r="BZL154" s="108"/>
      <c r="BZM154" s="108"/>
      <c r="BZN154" s="108"/>
      <c r="BZO154" s="108"/>
      <c r="BZP154" s="108"/>
      <c r="BZQ154" s="108"/>
      <c r="BZR154" s="108"/>
      <c r="BZS154" s="108"/>
      <c r="BZT154" s="108"/>
      <c r="BZU154" s="108"/>
      <c r="BZV154" s="108"/>
      <c r="BZW154" s="108"/>
      <c r="BZX154" s="108"/>
      <c r="BZY154" s="108"/>
      <c r="BZZ154" s="108"/>
      <c r="CAA154" s="108"/>
      <c r="CAB154" s="108"/>
      <c r="CAC154" s="108"/>
      <c r="CAD154" s="108"/>
      <c r="CAE154" s="108"/>
      <c r="CAF154" s="108"/>
      <c r="CAG154" s="108"/>
      <c r="CAH154" s="108"/>
      <c r="CAI154" s="108"/>
      <c r="CAJ154" s="108"/>
      <c r="CAK154" s="108"/>
      <c r="CAL154" s="108"/>
      <c r="CAM154" s="108"/>
      <c r="CAN154" s="108"/>
      <c r="CAO154" s="108"/>
      <c r="CAP154" s="108"/>
      <c r="CAQ154" s="108"/>
      <c r="CAR154" s="108"/>
      <c r="CAS154" s="108"/>
      <c r="CAT154" s="108"/>
      <c r="CAU154" s="108"/>
      <c r="CAV154" s="108"/>
      <c r="CAW154" s="108"/>
      <c r="CAX154" s="108"/>
      <c r="CAY154" s="108"/>
      <c r="CAZ154" s="108"/>
      <c r="CBA154" s="108"/>
      <c r="CBB154" s="108"/>
      <c r="CBC154" s="108"/>
      <c r="CBD154" s="108"/>
      <c r="CBE154" s="108"/>
      <c r="CBF154" s="108"/>
      <c r="CBG154" s="108"/>
      <c r="CBH154" s="108"/>
      <c r="CBI154" s="108"/>
      <c r="CBJ154" s="108"/>
      <c r="CBK154" s="108"/>
      <c r="CBL154" s="108"/>
      <c r="CBM154" s="108"/>
      <c r="CBN154" s="108"/>
      <c r="CBO154" s="108"/>
      <c r="CBP154" s="108"/>
      <c r="CBQ154" s="108"/>
      <c r="CBR154" s="108"/>
      <c r="CBS154" s="108"/>
      <c r="CBT154" s="108"/>
      <c r="CBU154" s="108"/>
      <c r="CBV154" s="108"/>
      <c r="CBW154" s="108"/>
      <c r="CBX154" s="108"/>
      <c r="CBY154" s="108"/>
      <c r="CBZ154" s="108"/>
      <c r="CCA154" s="108"/>
      <c r="CCB154" s="108"/>
      <c r="CCC154" s="108"/>
      <c r="CCD154" s="108"/>
      <c r="CCE154" s="108"/>
      <c r="CCF154" s="108"/>
      <c r="CCG154" s="108"/>
      <c r="CCH154" s="108"/>
      <c r="CCI154" s="108"/>
      <c r="CCJ154" s="108"/>
      <c r="CCK154" s="108"/>
      <c r="CCL154" s="108"/>
      <c r="CCM154" s="108"/>
      <c r="CCN154" s="108"/>
      <c r="CCO154" s="108"/>
      <c r="CCP154" s="108"/>
      <c r="CCQ154" s="108"/>
      <c r="CCR154" s="108"/>
      <c r="CCS154" s="108"/>
      <c r="CCT154" s="108"/>
      <c r="CCU154" s="108"/>
      <c r="CCV154" s="108"/>
      <c r="CCW154" s="108"/>
      <c r="CCX154" s="108"/>
      <c r="CCY154" s="108"/>
      <c r="CCZ154" s="108"/>
      <c r="CDA154" s="108"/>
      <c r="CDB154" s="108"/>
      <c r="CDC154" s="108"/>
      <c r="CDD154" s="108"/>
      <c r="CDE154" s="108"/>
      <c r="CDF154" s="108"/>
      <c r="CDG154" s="108"/>
      <c r="CDH154" s="108"/>
      <c r="CDI154" s="108"/>
      <c r="CDJ154" s="108"/>
      <c r="CDK154" s="108"/>
      <c r="CDL154" s="108"/>
      <c r="CDM154" s="108"/>
      <c r="CDN154" s="108"/>
      <c r="CDO154" s="108"/>
      <c r="CDP154" s="108"/>
      <c r="CDQ154" s="108"/>
      <c r="CDR154" s="108"/>
      <c r="CDS154" s="108"/>
      <c r="CDT154" s="108"/>
      <c r="CDU154" s="108"/>
      <c r="CDV154" s="108"/>
      <c r="CDW154" s="108"/>
      <c r="CDX154" s="108"/>
      <c r="CDY154" s="108"/>
      <c r="CDZ154" s="108"/>
      <c r="CEA154" s="108"/>
      <c r="CEB154" s="108"/>
      <c r="CEC154" s="108"/>
      <c r="CED154" s="108"/>
      <c r="CEE154" s="108"/>
      <c r="CEF154" s="108"/>
      <c r="CEG154" s="108"/>
      <c r="CEH154" s="108"/>
      <c r="CEI154" s="108"/>
      <c r="CEJ154" s="108"/>
      <c r="CEK154" s="108"/>
      <c r="CEL154" s="108"/>
      <c r="CEM154" s="108"/>
      <c r="CEN154" s="108"/>
      <c r="CEO154" s="108"/>
      <c r="CEP154" s="108"/>
      <c r="CEQ154" s="108"/>
      <c r="CER154" s="108"/>
      <c r="CES154" s="108"/>
      <c r="CET154" s="108"/>
      <c r="CEU154" s="108"/>
      <c r="CEV154" s="108"/>
      <c r="CEW154" s="108"/>
      <c r="CEX154" s="108"/>
      <c r="CEY154" s="108"/>
      <c r="CEZ154" s="108"/>
      <c r="CFA154" s="108"/>
      <c r="CFB154" s="108"/>
      <c r="CFC154" s="108"/>
      <c r="CFD154" s="108"/>
      <c r="CFE154" s="108"/>
      <c r="CFF154" s="108"/>
      <c r="CFG154" s="108"/>
      <c r="CFH154" s="108"/>
      <c r="CFI154" s="108"/>
      <c r="CFJ154" s="108"/>
      <c r="CFK154" s="108"/>
      <c r="CFL154" s="108"/>
      <c r="CFM154" s="108"/>
      <c r="CFN154" s="108"/>
      <c r="CFO154" s="108"/>
      <c r="CFP154" s="108"/>
      <c r="CFQ154" s="108"/>
      <c r="CFR154" s="108"/>
      <c r="CFS154" s="108"/>
      <c r="CFT154" s="108"/>
      <c r="CFU154" s="108"/>
      <c r="CFV154" s="108"/>
      <c r="CFW154" s="108"/>
      <c r="CFX154" s="108"/>
      <c r="CFY154" s="108"/>
      <c r="CFZ154" s="108"/>
      <c r="CGA154" s="108"/>
      <c r="CGB154" s="108"/>
      <c r="CGC154" s="108"/>
      <c r="CGD154" s="108"/>
      <c r="CGE154" s="108"/>
      <c r="CGF154" s="108"/>
      <c r="CGG154" s="108"/>
      <c r="CGH154" s="108"/>
      <c r="CGI154" s="108"/>
      <c r="CGJ154" s="108"/>
      <c r="CGK154" s="108"/>
      <c r="CGL154" s="108"/>
      <c r="CGM154" s="108"/>
      <c r="CGN154" s="108"/>
      <c r="CGO154" s="108"/>
      <c r="CGP154" s="108"/>
      <c r="CGQ154" s="108"/>
      <c r="CGR154" s="108"/>
      <c r="CGS154" s="108"/>
      <c r="CGT154" s="108"/>
      <c r="CGU154" s="108"/>
      <c r="CGV154" s="108"/>
      <c r="CGW154" s="108"/>
      <c r="CGX154" s="108"/>
      <c r="CGY154" s="108"/>
      <c r="CGZ154" s="108"/>
      <c r="CHA154" s="108"/>
      <c r="CHB154" s="108"/>
      <c r="CHC154" s="108"/>
      <c r="CHD154" s="108"/>
      <c r="CHE154" s="108"/>
      <c r="CHF154" s="108"/>
      <c r="CHG154" s="108"/>
      <c r="CHH154" s="108"/>
      <c r="CHI154" s="108"/>
      <c r="CHJ154" s="108"/>
      <c r="CHK154" s="108"/>
      <c r="CHL154" s="108"/>
      <c r="CHM154" s="108"/>
      <c r="CHN154" s="108"/>
      <c r="CHO154" s="108"/>
      <c r="CHP154" s="108"/>
      <c r="CHQ154" s="108"/>
      <c r="CHR154" s="108"/>
      <c r="CHS154" s="108"/>
      <c r="CHT154" s="108"/>
      <c r="CHU154" s="108"/>
      <c r="CHV154" s="108"/>
      <c r="CHW154" s="108"/>
      <c r="CHX154" s="108"/>
      <c r="CHY154" s="108"/>
      <c r="CHZ154" s="108"/>
      <c r="CIA154" s="108"/>
      <c r="CIB154" s="108"/>
      <c r="CIC154" s="108"/>
      <c r="CID154" s="108"/>
      <c r="CIE154" s="108"/>
      <c r="CIF154" s="108"/>
      <c r="CIG154" s="108"/>
      <c r="CIH154" s="108"/>
      <c r="CII154" s="108"/>
      <c r="CIJ154" s="108"/>
      <c r="CIK154" s="108"/>
      <c r="CIL154" s="108"/>
      <c r="CIM154" s="108"/>
      <c r="CIN154" s="108"/>
      <c r="CIO154" s="108"/>
      <c r="CIP154" s="108"/>
      <c r="CIQ154" s="108"/>
      <c r="CIR154" s="108"/>
      <c r="CIS154" s="108"/>
      <c r="CIT154" s="108"/>
      <c r="CIU154" s="108"/>
      <c r="CIV154" s="108"/>
      <c r="CIW154" s="108"/>
      <c r="CIX154" s="108"/>
      <c r="CIY154" s="108"/>
      <c r="CIZ154" s="108"/>
      <c r="CJA154" s="108"/>
      <c r="CJB154" s="108"/>
      <c r="CJC154" s="108"/>
      <c r="CJD154" s="108"/>
      <c r="CJE154" s="108"/>
      <c r="CJF154" s="108"/>
      <c r="CJG154" s="108"/>
      <c r="CJH154" s="108"/>
      <c r="CJI154" s="108"/>
      <c r="CJJ154" s="108"/>
      <c r="CJK154" s="108"/>
      <c r="CJL154" s="108"/>
      <c r="CJM154" s="108"/>
      <c r="CJN154" s="108"/>
      <c r="CJO154" s="108"/>
      <c r="CJP154" s="108"/>
      <c r="CJQ154" s="108"/>
      <c r="CJR154" s="108"/>
      <c r="CJS154" s="108"/>
      <c r="CJT154" s="108"/>
      <c r="CJU154" s="108"/>
      <c r="CJV154" s="108"/>
      <c r="CJW154" s="108"/>
      <c r="CJX154" s="108"/>
      <c r="CJY154" s="108"/>
      <c r="CJZ154" s="108"/>
      <c r="CKA154" s="108"/>
      <c r="CKB154" s="108"/>
      <c r="CKC154" s="108"/>
      <c r="CKD154" s="108"/>
      <c r="CKE154" s="108"/>
      <c r="CKF154" s="108"/>
      <c r="CKG154" s="108"/>
      <c r="CKH154" s="108"/>
      <c r="CKI154" s="108"/>
      <c r="CKJ154" s="108"/>
      <c r="CKK154" s="108"/>
      <c r="CKL154" s="108"/>
      <c r="CKM154" s="108"/>
      <c r="CKN154" s="108"/>
      <c r="CKO154" s="108"/>
      <c r="CKP154" s="108"/>
      <c r="CKQ154" s="108"/>
      <c r="CKR154" s="108"/>
      <c r="CKS154" s="108"/>
      <c r="CKT154" s="108"/>
      <c r="CKU154" s="108"/>
      <c r="CKV154" s="108"/>
      <c r="CKW154" s="108"/>
      <c r="CKX154" s="108"/>
      <c r="CKY154" s="108"/>
      <c r="CKZ154" s="108"/>
      <c r="CLA154" s="108"/>
      <c r="CLB154" s="108"/>
      <c r="CLC154" s="108"/>
      <c r="CLD154" s="108"/>
      <c r="CLE154" s="108"/>
      <c r="CLF154" s="108"/>
      <c r="CLG154" s="108"/>
      <c r="CLH154" s="108"/>
      <c r="CLI154" s="108"/>
      <c r="CLJ154" s="108"/>
      <c r="CLK154" s="108"/>
      <c r="CLL154" s="108"/>
      <c r="CLM154" s="108"/>
      <c r="CLN154" s="108"/>
      <c r="CLO154" s="108"/>
      <c r="CLP154" s="108"/>
      <c r="CLQ154" s="108"/>
      <c r="CLR154" s="108"/>
      <c r="CLS154" s="108"/>
      <c r="CLT154" s="108"/>
      <c r="CLU154" s="108"/>
      <c r="CLV154" s="108"/>
      <c r="CLW154" s="108"/>
      <c r="CLX154" s="108"/>
      <c r="CLY154" s="108"/>
      <c r="CLZ154" s="108"/>
      <c r="CMA154" s="108"/>
      <c r="CMB154" s="108"/>
      <c r="CMC154" s="108"/>
      <c r="CMD154" s="108"/>
      <c r="CME154" s="108"/>
      <c r="CMF154" s="108"/>
      <c r="CMG154" s="108"/>
      <c r="CMH154" s="108"/>
      <c r="CMI154" s="108"/>
      <c r="CMJ154" s="108"/>
      <c r="CMK154" s="108"/>
      <c r="CML154" s="108"/>
      <c r="CMM154" s="108"/>
      <c r="CMN154" s="108"/>
      <c r="CMO154" s="108"/>
      <c r="CMP154" s="108"/>
      <c r="CMQ154" s="108"/>
      <c r="CMR154" s="108"/>
      <c r="CMS154" s="108"/>
      <c r="CMT154" s="108"/>
      <c r="CMU154" s="108"/>
      <c r="CMV154" s="108"/>
      <c r="CMW154" s="108"/>
      <c r="CMX154" s="108"/>
      <c r="CMY154" s="108"/>
      <c r="CMZ154" s="108"/>
      <c r="CNA154" s="108"/>
      <c r="CNB154" s="108"/>
      <c r="CNC154" s="108"/>
      <c r="CND154" s="108"/>
      <c r="CNE154" s="108"/>
      <c r="CNF154" s="108"/>
      <c r="CNG154" s="108"/>
      <c r="CNH154" s="108"/>
      <c r="CNI154" s="108"/>
      <c r="CNJ154" s="108"/>
      <c r="CNK154" s="108"/>
      <c r="CNL154" s="108"/>
      <c r="CNM154" s="108"/>
      <c r="CNN154" s="108"/>
      <c r="CNO154" s="108"/>
      <c r="CNP154" s="108"/>
      <c r="CNQ154" s="108"/>
      <c r="CNR154" s="108"/>
      <c r="CNS154" s="108"/>
      <c r="CNT154" s="108"/>
      <c r="CNU154" s="108"/>
      <c r="CNV154" s="108"/>
      <c r="CNW154" s="108"/>
      <c r="CNX154" s="108"/>
      <c r="CNY154" s="108"/>
      <c r="CNZ154" s="108"/>
      <c r="COA154" s="108"/>
      <c r="COB154" s="108"/>
      <c r="COC154" s="108"/>
      <c r="COD154" s="108"/>
      <c r="COE154" s="108"/>
      <c r="COF154" s="108"/>
      <c r="COG154" s="108"/>
      <c r="COH154" s="108"/>
      <c r="COI154" s="108"/>
      <c r="COJ154" s="108"/>
      <c r="COK154" s="108"/>
      <c r="COL154" s="108"/>
      <c r="COM154" s="108"/>
      <c r="CON154" s="108"/>
      <c r="COO154" s="108"/>
      <c r="COP154" s="108"/>
      <c r="COQ154" s="108"/>
      <c r="COR154" s="108"/>
      <c r="COS154" s="108"/>
      <c r="COT154" s="108"/>
      <c r="COU154" s="108"/>
      <c r="COV154" s="108"/>
      <c r="COW154" s="108"/>
      <c r="COX154" s="108"/>
      <c r="COY154" s="108"/>
      <c r="COZ154" s="108"/>
      <c r="CPA154" s="108"/>
      <c r="CPB154" s="108"/>
      <c r="CPC154" s="108"/>
      <c r="CPD154" s="108"/>
      <c r="CPE154" s="108"/>
      <c r="CPF154" s="108"/>
      <c r="CPG154" s="108"/>
      <c r="CPH154" s="108"/>
      <c r="CPI154" s="108"/>
      <c r="CPJ154" s="108"/>
      <c r="CPK154" s="108"/>
      <c r="CPL154" s="108"/>
      <c r="CPM154" s="108"/>
      <c r="CPN154" s="108"/>
      <c r="CPO154" s="108"/>
      <c r="CPP154" s="108"/>
      <c r="CPQ154" s="108"/>
      <c r="CPR154" s="108"/>
      <c r="CPS154" s="108"/>
      <c r="CPT154" s="108"/>
      <c r="CPU154" s="108"/>
      <c r="CPV154" s="108"/>
      <c r="CPW154" s="108"/>
      <c r="CPX154" s="108"/>
      <c r="CPY154" s="108"/>
      <c r="CPZ154" s="108"/>
      <c r="CQA154" s="108"/>
      <c r="CQB154" s="108"/>
      <c r="CQC154" s="108"/>
      <c r="CQD154" s="108"/>
      <c r="CQE154" s="108"/>
      <c r="CQF154" s="108"/>
      <c r="CQG154" s="108"/>
      <c r="CQH154" s="108"/>
      <c r="CQI154" s="108"/>
      <c r="CQJ154" s="108"/>
      <c r="CQK154" s="108"/>
      <c r="CQL154" s="108"/>
      <c r="CQM154" s="108"/>
      <c r="CQN154" s="108"/>
      <c r="CQO154" s="108"/>
      <c r="CQP154" s="108"/>
      <c r="CQQ154" s="108"/>
      <c r="CQR154" s="108"/>
      <c r="CQS154" s="108"/>
      <c r="CQT154" s="108"/>
      <c r="CQU154" s="108"/>
      <c r="CQV154" s="108"/>
      <c r="CQW154" s="108"/>
      <c r="CQX154" s="108"/>
      <c r="CQY154" s="108"/>
      <c r="CQZ154" s="108"/>
      <c r="CRA154" s="108"/>
      <c r="CRB154" s="108"/>
      <c r="CRC154" s="108"/>
      <c r="CRD154" s="108"/>
      <c r="CRE154" s="108"/>
      <c r="CRF154" s="108"/>
      <c r="CRG154" s="108"/>
      <c r="CRH154" s="108"/>
      <c r="CRI154" s="108"/>
      <c r="CRJ154" s="108"/>
      <c r="CRK154" s="108"/>
      <c r="CRL154" s="108"/>
      <c r="CRM154" s="108"/>
      <c r="CRN154" s="108"/>
      <c r="CRO154" s="108"/>
      <c r="CRP154" s="108"/>
      <c r="CRQ154" s="108"/>
      <c r="CRR154" s="108"/>
      <c r="CRS154" s="108"/>
      <c r="CRT154" s="108"/>
      <c r="CRU154" s="108"/>
      <c r="CRV154" s="108"/>
      <c r="CRW154" s="108"/>
      <c r="CRX154" s="108"/>
      <c r="CRY154" s="108"/>
      <c r="CRZ154" s="108"/>
      <c r="CSA154" s="108"/>
      <c r="CSB154" s="108"/>
      <c r="CSC154" s="108"/>
      <c r="CSD154" s="108"/>
      <c r="CSE154" s="108"/>
      <c r="CSF154" s="108"/>
      <c r="CSG154" s="108"/>
      <c r="CSH154" s="108"/>
      <c r="CSI154" s="108"/>
      <c r="CSJ154" s="108"/>
      <c r="CSK154" s="108"/>
      <c r="CSL154" s="108"/>
      <c r="CSM154" s="108"/>
      <c r="CSN154" s="108"/>
      <c r="CSO154" s="108"/>
      <c r="CSP154" s="108"/>
      <c r="CSQ154" s="108"/>
      <c r="CSR154" s="108"/>
      <c r="CSS154" s="108"/>
      <c r="CST154" s="108"/>
      <c r="CSU154" s="108"/>
      <c r="CSV154" s="108"/>
      <c r="CSW154" s="108"/>
      <c r="CSX154" s="108"/>
      <c r="CSY154" s="108"/>
      <c r="CSZ154" s="108"/>
      <c r="CTA154" s="108"/>
      <c r="CTB154" s="108"/>
      <c r="CTC154" s="108"/>
      <c r="CTD154" s="108"/>
      <c r="CTE154" s="108"/>
      <c r="CTF154" s="108"/>
      <c r="CTG154" s="108"/>
      <c r="CTH154" s="108"/>
      <c r="CTI154" s="108"/>
      <c r="CTJ154" s="108"/>
      <c r="CTK154" s="108"/>
      <c r="CTL154" s="108"/>
      <c r="CTM154" s="108"/>
      <c r="CTN154" s="108"/>
      <c r="CTO154" s="108"/>
      <c r="CTP154" s="108"/>
      <c r="CTQ154" s="108"/>
      <c r="CTR154" s="108"/>
      <c r="CTS154" s="108"/>
      <c r="CTT154" s="108"/>
      <c r="CTU154" s="108"/>
      <c r="CTV154" s="108"/>
      <c r="CTW154" s="108"/>
      <c r="CTX154" s="108"/>
      <c r="CTY154" s="108"/>
      <c r="CTZ154" s="108"/>
      <c r="CUA154" s="108"/>
      <c r="CUB154" s="108"/>
      <c r="CUC154" s="108"/>
      <c r="CUD154" s="108"/>
      <c r="CUE154" s="108"/>
      <c r="CUF154" s="108"/>
      <c r="CUG154" s="108"/>
      <c r="CUH154" s="108"/>
      <c r="CUI154" s="108"/>
      <c r="CUJ154" s="108"/>
      <c r="CUK154" s="108"/>
      <c r="CUL154" s="108"/>
      <c r="CUM154" s="108"/>
      <c r="CUN154" s="108"/>
      <c r="CUO154" s="108"/>
      <c r="CUP154" s="108"/>
      <c r="CUQ154" s="108"/>
      <c r="CUR154" s="108"/>
      <c r="CUS154" s="108"/>
      <c r="CUT154" s="108"/>
      <c r="CUU154" s="108"/>
      <c r="CUV154" s="108"/>
      <c r="CUW154" s="108"/>
      <c r="CUX154" s="108"/>
      <c r="CUY154" s="108"/>
      <c r="CUZ154" s="108"/>
      <c r="CVA154" s="108"/>
      <c r="CVB154" s="108"/>
      <c r="CVC154" s="108"/>
      <c r="CVD154" s="108"/>
      <c r="CVE154" s="108"/>
      <c r="CVF154" s="108"/>
      <c r="CVG154" s="108"/>
      <c r="CVH154" s="108"/>
      <c r="CVI154" s="108"/>
      <c r="CVJ154" s="108"/>
      <c r="CVK154" s="108"/>
      <c r="CVL154" s="108"/>
      <c r="CVM154" s="108"/>
      <c r="CVN154" s="108"/>
      <c r="CVO154" s="108"/>
      <c r="CVP154" s="108"/>
      <c r="CVQ154" s="108"/>
      <c r="CVR154" s="108"/>
      <c r="CVS154" s="108"/>
      <c r="CVT154" s="108"/>
      <c r="CVU154" s="108"/>
      <c r="CVV154" s="108"/>
      <c r="CVW154" s="108"/>
      <c r="CVX154" s="108"/>
      <c r="CVY154" s="108"/>
      <c r="CVZ154" s="108"/>
      <c r="CWA154" s="108"/>
      <c r="CWB154" s="108"/>
      <c r="CWC154" s="108"/>
      <c r="CWD154" s="108"/>
      <c r="CWE154" s="108"/>
      <c r="CWF154" s="108"/>
      <c r="CWG154" s="108"/>
      <c r="CWH154" s="108"/>
      <c r="CWI154" s="108"/>
      <c r="CWJ154" s="108"/>
      <c r="CWK154" s="108"/>
      <c r="CWL154" s="108"/>
      <c r="CWM154" s="108"/>
      <c r="CWN154" s="108"/>
      <c r="CWO154" s="108"/>
      <c r="CWP154" s="108"/>
      <c r="CWQ154" s="108"/>
      <c r="CWR154" s="108"/>
      <c r="CWS154" s="108"/>
      <c r="CWT154" s="108"/>
      <c r="CWU154" s="108"/>
      <c r="CWV154" s="108"/>
      <c r="CWW154" s="108"/>
      <c r="CWX154" s="108"/>
      <c r="CWY154" s="108"/>
      <c r="CWZ154" s="108"/>
      <c r="CXA154" s="108"/>
      <c r="CXB154" s="108"/>
      <c r="CXC154" s="108"/>
      <c r="CXD154" s="108"/>
      <c r="CXE154" s="108"/>
      <c r="CXF154" s="108"/>
      <c r="CXG154" s="108"/>
      <c r="CXH154" s="108"/>
      <c r="CXI154" s="108"/>
      <c r="CXJ154" s="108"/>
      <c r="CXK154" s="108"/>
      <c r="CXL154" s="108"/>
      <c r="CXM154" s="108"/>
      <c r="CXN154" s="108"/>
      <c r="CXO154" s="108"/>
      <c r="CXP154" s="108"/>
      <c r="CXQ154" s="108"/>
      <c r="CXR154" s="108"/>
      <c r="CXS154" s="108"/>
      <c r="CXT154" s="108"/>
      <c r="CXU154" s="108"/>
      <c r="CXV154" s="108"/>
      <c r="CXW154" s="108"/>
      <c r="CXX154" s="108"/>
      <c r="CXY154" s="108"/>
      <c r="CXZ154" s="108"/>
      <c r="CYA154" s="108"/>
      <c r="CYB154" s="108"/>
      <c r="CYC154" s="108"/>
      <c r="CYD154" s="108"/>
      <c r="CYE154" s="108"/>
      <c r="CYF154" s="108"/>
      <c r="CYG154" s="108"/>
      <c r="CYH154" s="108"/>
      <c r="CYI154" s="108"/>
      <c r="CYJ154" s="108"/>
      <c r="CYK154" s="108"/>
      <c r="CYL154" s="108"/>
      <c r="CYM154" s="108"/>
      <c r="CYN154" s="108"/>
      <c r="CYO154" s="108"/>
      <c r="CYP154" s="108"/>
      <c r="CYQ154" s="108"/>
      <c r="CYR154" s="108"/>
      <c r="CYS154" s="108"/>
      <c r="CYT154" s="108"/>
      <c r="CYU154" s="108"/>
      <c r="CYV154" s="108"/>
      <c r="CYW154" s="108"/>
      <c r="CYX154" s="108"/>
      <c r="CYY154" s="108"/>
      <c r="CYZ154" s="108"/>
      <c r="CZA154" s="108"/>
      <c r="CZB154" s="108"/>
      <c r="CZC154" s="108"/>
      <c r="CZD154" s="108"/>
      <c r="CZE154" s="108"/>
      <c r="CZF154" s="108"/>
      <c r="CZG154" s="108"/>
      <c r="CZH154" s="108"/>
      <c r="CZI154" s="108"/>
      <c r="CZJ154" s="108"/>
      <c r="CZK154" s="108"/>
      <c r="CZL154" s="108"/>
      <c r="CZM154" s="108"/>
      <c r="CZN154" s="108"/>
      <c r="CZO154" s="108"/>
      <c r="CZP154" s="108"/>
      <c r="CZQ154" s="108"/>
      <c r="CZR154" s="108"/>
      <c r="CZS154" s="108"/>
      <c r="CZT154" s="108"/>
      <c r="CZU154" s="108"/>
      <c r="CZV154" s="108"/>
      <c r="CZW154" s="108"/>
      <c r="CZX154" s="108"/>
      <c r="CZY154" s="108"/>
      <c r="CZZ154" s="108"/>
      <c r="DAA154" s="108"/>
      <c r="DAB154" s="108"/>
      <c r="DAC154" s="108"/>
      <c r="DAD154" s="108"/>
      <c r="DAE154" s="108"/>
      <c r="DAF154" s="108"/>
      <c r="DAG154" s="108"/>
      <c r="DAH154" s="108"/>
      <c r="DAI154" s="108"/>
      <c r="DAJ154" s="108"/>
      <c r="DAK154" s="108"/>
      <c r="DAL154" s="108"/>
      <c r="DAM154" s="108"/>
      <c r="DAN154" s="108"/>
      <c r="DAO154" s="108"/>
      <c r="DAP154" s="108"/>
      <c r="DAQ154" s="108"/>
      <c r="DAR154" s="108"/>
      <c r="DAS154" s="108"/>
      <c r="DAT154" s="108"/>
      <c r="DAU154" s="108"/>
      <c r="DAV154" s="108"/>
      <c r="DAW154" s="108"/>
      <c r="DAX154" s="108"/>
      <c r="DAY154" s="108"/>
      <c r="DAZ154" s="108"/>
      <c r="DBA154" s="108"/>
      <c r="DBB154" s="108"/>
      <c r="DBC154" s="108"/>
      <c r="DBD154" s="108"/>
      <c r="DBE154" s="108"/>
      <c r="DBF154" s="108"/>
      <c r="DBG154" s="108"/>
      <c r="DBH154" s="108"/>
      <c r="DBI154" s="108"/>
      <c r="DBJ154" s="108"/>
      <c r="DBK154" s="108"/>
      <c r="DBL154" s="108"/>
      <c r="DBM154" s="108"/>
      <c r="DBN154" s="108"/>
      <c r="DBO154" s="108"/>
      <c r="DBP154" s="108"/>
      <c r="DBQ154" s="108"/>
      <c r="DBR154" s="108"/>
      <c r="DBS154" s="108"/>
      <c r="DBT154" s="108"/>
      <c r="DBU154" s="108"/>
      <c r="DBV154" s="108"/>
      <c r="DBW154" s="108"/>
      <c r="DBX154" s="108"/>
      <c r="DBY154" s="108"/>
      <c r="DBZ154" s="108"/>
      <c r="DCA154" s="108"/>
      <c r="DCB154" s="108"/>
      <c r="DCC154" s="108"/>
      <c r="DCD154" s="108"/>
      <c r="DCE154" s="108"/>
      <c r="DCF154" s="108"/>
      <c r="DCG154" s="108"/>
      <c r="DCH154" s="108"/>
      <c r="DCI154" s="108"/>
      <c r="DCJ154" s="108"/>
      <c r="DCK154" s="108"/>
      <c r="DCL154" s="108"/>
      <c r="DCM154" s="108"/>
      <c r="DCN154" s="108"/>
      <c r="DCO154" s="108"/>
      <c r="DCP154" s="108"/>
      <c r="DCQ154" s="108"/>
      <c r="DCR154" s="108"/>
      <c r="DCS154" s="108"/>
      <c r="DCT154" s="108"/>
      <c r="DCU154" s="108"/>
      <c r="DCV154" s="108"/>
      <c r="DCW154" s="108"/>
      <c r="DCX154" s="108"/>
      <c r="DCY154" s="108"/>
      <c r="DCZ154" s="108"/>
      <c r="DDA154" s="108"/>
      <c r="DDB154" s="108"/>
      <c r="DDC154" s="108"/>
      <c r="DDD154" s="108"/>
      <c r="DDE154" s="108"/>
      <c r="DDF154" s="108"/>
      <c r="DDG154" s="108"/>
      <c r="DDH154" s="108"/>
      <c r="DDI154" s="108"/>
      <c r="DDJ154" s="108"/>
      <c r="DDK154" s="108"/>
      <c r="DDL154" s="108"/>
      <c r="DDM154" s="108"/>
      <c r="DDN154" s="108"/>
      <c r="DDO154" s="108"/>
      <c r="DDP154" s="108"/>
      <c r="DDQ154" s="108"/>
      <c r="DDR154" s="108"/>
      <c r="DDS154" s="108"/>
      <c r="DDT154" s="108"/>
      <c r="DDU154" s="108"/>
      <c r="DDV154" s="108"/>
      <c r="DDW154" s="108"/>
      <c r="DDX154" s="108"/>
      <c r="DDY154" s="108"/>
      <c r="DDZ154" s="108"/>
      <c r="DEA154" s="108"/>
      <c r="DEB154" s="108"/>
      <c r="DEC154" s="108"/>
      <c r="DED154" s="108"/>
      <c r="DEE154" s="108"/>
      <c r="DEF154" s="108"/>
      <c r="DEG154" s="108"/>
      <c r="DEH154" s="108"/>
      <c r="DEI154" s="108"/>
      <c r="DEJ154" s="108"/>
      <c r="DEK154" s="108"/>
      <c r="DEL154" s="108"/>
      <c r="DEM154" s="108"/>
      <c r="DEN154" s="108"/>
      <c r="DEO154" s="108"/>
      <c r="DEP154" s="108"/>
      <c r="DEQ154" s="108"/>
      <c r="DER154" s="108"/>
      <c r="DES154" s="108"/>
      <c r="DET154" s="108"/>
      <c r="DEU154" s="108"/>
      <c r="DEV154" s="108"/>
      <c r="DEW154" s="108"/>
      <c r="DEX154" s="108"/>
      <c r="DEY154" s="108"/>
      <c r="DEZ154" s="108"/>
      <c r="DFA154" s="108"/>
      <c r="DFB154" s="108"/>
      <c r="DFC154" s="108"/>
      <c r="DFD154" s="108"/>
      <c r="DFE154" s="108"/>
      <c r="DFF154" s="108"/>
      <c r="DFG154" s="108"/>
      <c r="DFH154" s="108"/>
      <c r="DFI154" s="108"/>
      <c r="DFJ154" s="108"/>
      <c r="DFK154" s="108"/>
      <c r="DFL154" s="108"/>
      <c r="DFM154" s="108"/>
      <c r="DFN154" s="108"/>
      <c r="DFO154" s="108"/>
      <c r="DFP154" s="108"/>
      <c r="DFQ154" s="108"/>
      <c r="DFR154" s="108"/>
      <c r="DFS154" s="108"/>
      <c r="DFT154" s="108"/>
      <c r="DFU154" s="108"/>
      <c r="DFV154" s="108"/>
      <c r="DFW154" s="108"/>
      <c r="DFX154" s="108"/>
      <c r="DFY154" s="108"/>
      <c r="DFZ154" s="108"/>
      <c r="DGA154" s="108"/>
      <c r="DGB154" s="108"/>
      <c r="DGC154" s="108"/>
      <c r="DGD154" s="108"/>
      <c r="DGE154" s="108"/>
      <c r="DGF154" s="108"/>
      <c r="DGG154" s="108"/>
      <c r="DGH154" s="108"/>
      <c r="DGI154" s="108"/>
      <c r="DGJ154" s="108"/>
      <c r="DGK154" s="108"/>
      <c r="DGL154" s="108"/>
      <c r="DGM154" s="108"/>
      <c r="DGN154" s="108"/>
      <c r="DGO154" s="108"/>
      <c r="DGP154" s="108"/>
      <c r="DGQ154" s="108"/>
      <c r="DGR154" s="108"/>
      <c r="DGS154" s="108"/>
      <c r="DGT154" s="108"/>
      <c r="DGU154" s="108"/>
      <c r="DGV154" s="108"/>
      <c r="DGW154" s="108"/>
      <c r="DGX154" s="108"/>
      <c r="DGY154" s="108"/>
      <c r="DGZ154" s="108"/>
      <c r="DHA154" s="108"/>
      <c r="DHB154" s="108"/>
      <c r="DHC154" s="108"/>
      <c r="DHD154" s="108"/>
      <c r="DHE154" s="108"/>
      <c r="DHF154" s="108"/>
      <c r="DHG154" s="108"/>
      <c r="DHH154" s="108"/>
      <c r="DHI154" s="108"/>
      <c r="DHJ154" s="108"/>
      <c r="DHK154" s="108"/>
      <c r="DHL154" s="108"/>
      <c r="DHM154" s="108"/>
      <c r="DHN154" s="108"/>
      <c r="DHO154" s="108"/>
      <c r="DHP154" s="108"/>
      <c r="DHQ154" s="108"/>
      <c r="DHR154" s="108"/>
      <c r="DHS154" s="108"/>
      <c r="DHT154" s="108"/>
      <c r="DHU154" s="108"/>
      <c r="DHV154" s="108"/>
      <c r="DHW154" s="108"/>
      <c r="DHX154" s="108"/>
      <c r="DHY154" s="108"/>
      <c r="DHZ154" s="108"/>
      <c r="DIA154" s="108"/>
      <c r="DIB154" s="108"/>
      <c r="DIC154" s="108"/>
      <c r="DID154" s="108"/>
      <c r="DIE154" s="108"/>
      <c r="DIF154" s="108"/>
      <c r="DIG154" s="108"/>
      <c r="DIH154" s="108"/>
      <c r="DII154" s="108"/>
      <c r="DIJ154" s="108"/>
      <c r="DIK154" s="108"/>
      <c r="DIL154" s="108"/>
      <c r="DIM154" s="108"/>
      <c r="DIN154" s="108"/>
      <c r="DIO154" s="108"/>
      <c r="DIP154" s="108"/>
      <c r="DIQ154" s="108"/>
      <c r="DIR154" s="108"/>
      <c r="DIS154" s="108"/>
      <c r="DIT154" s="108"/>
      <c r="DIU154" s="108"/>
      <c r="DIV154" s="108"/>
      <c r="DIW154" s="108"/>
      <c r="DIX154" s="108"/>
      <c r="DIY154" s="108"/>
      <c r="DIZ154" s="108"/>
      <c r="DJA154" s="108"/>
      <c r="DJB154" s="108"/>
      <c r="DJC154" s="108"/>
      <c r="DJD154" s="108"/>
      <c r="DJE154" s="108"/>
      <c r="DJF154" s="108"/>
      <c r="DJG154" s="108"/>
      <c r="DJH154" s="108"/>
      <c r="DJI154" s="108"/>
      <c r="DJJ154" s="108"/>
      <c r="DJK154" s="108"/>
      <c r="DJL154" s="108"/>
      <c r="DJM154" s="108"/>
      <c r="DJN154" s="108"/>
      <c r="DJO154" s="108"/>
      <c r="DJP154" s="108"/>
      <c r="DJQ154" s="108"/>
      <c r="DJR154" s="108"/>
      <c r="DJS154" s="108"/>
      <c r="DJT154" s="108"/>
      <c r="DJU154" s="108"/>
      <c r="DJV154" s="108"/>
      <c r="DJW154" s="108"/>
      <c r="DJX154" s="108"/>
      <c r="DJY154" s="108"/>
      <c r="DJZ154" s="108"/>
      <c r="DKA154" s="108"/>
      <c r="DKB154" s="108"/>
      <c r="DKC154" s="108"/>
      <c r="DKD154" s="108"/>
      <c r="DKE154" s="108"/>
      <c r="DKF154" s="108"/>
      <c r="DKG154" s="108"/>
      <c r="DKH154" s="108"/>
      <c r="DKI154" s="108"/>
      <c r="DKJ154" s="108"/>
      <c r="DKK154" s="108"/>
      <c r="DKL154" s="108"/>
      <c r="DKM154" s="108"/>
      <c r="DKN154" s="108"/>
      <c r="DKO154" s="108"/>
      <c r="DKP154" s="108"/>
      <c r="DKQ154" s="108"/>
      <c r="DKR154" s="108"/>
      <c r="DKS154" s="108"/>
      <c r="DKT154" s="108"/>
      <c r="DKU154" s="108"/>
      <c r="DKV154" s="108"/>
      <c r="DKW154" s="108"/>
      <c r="DKX154" s="108"/>
      <c r="DKY154" s="108"/>
      <c r="DKZ154" s="108"/>
      <c r="DLA154" s="108"/>
      <c r="DLB154" s="108"/>
      <c r="DLC154" s="108"/>
      <c r="DLD154" s="108"/>
      <c r="DLE154" s="108"/>
      <c r="DLF154" s="108"/>
      <c r="DLG154" s="108"/>
      <c r="DLH154" s="108"/>
      <c r="DLI154" s="108"/>
      <c r="DLJ154" s="108"/>
      <c r="DLK154" s="108"/>
      <c r="DLL154" s="108"/>
      <c r="DLM154" s="108"/>
      <c r="DLN154" s="108"/>
      <c r="DLO154" s="108"/>
      <c r="DLP154" s="108"/>
      <c r="DLQ154" s="108"/>
      <c r="DLR154" s="108"/>
      <c r="DLS154" s="108"/>
      <c r="DLT154" s="108"/>
      <c r="DLU154" s="108"/>
      <c r="DLV154" s="108"/>
      <c r="DLW154" s="108"/>
      <c r="DLX154" s="108"/>
      <c r="DLY154" s="108"/>
      <c r="DLZ154" s="108"/>
      <c r="DMA154" s="108"/>
      <c r="DMB154" s="108"/>
      <c r="DMC154" s="108"/>
      <c r="DMD154" s="108"/>
      <c r="DME154" s="108"/>
      <c r="DMF154" s="108"/>
      <c r="DMG154" s="108"/>
      <c r="DMH154" s="108"/>
      <c r="DMI154" s="108"/>
      <c r="DMJ154" s="108"/>
      <c r="DMK154" s="108"/>
      <c r="DML154" s="108"/>
      <c r="DMM154" s="108"/>
      <c r="DMN154" s="108"/>
      <c r="DMO154" s="108"/>
      <c r="DMP154" s="108"/>
      <c r="DMQ154" s="108"/>
      <c r="DMR154" s="108"/>
      <c r="DMS154" s="108"/>
      <c r="DMT154" s="108"/>
      <c r="DMU154" s="108"/>
      <c r="DMV154" s="108"/>
      <c r="DMW154" s="108"/>
      <c r="DMX154" s="108"/>
      <c r="DMY154" s="108"/>
      <c r="DMZ154" s="108"/>
      <c r="DNA154" s="108"/>
      <c r="DNB154" s="108"/>
      <c r="DNC154" s="108"/>
      <c r="DND154" s="108"/>
      <c r="DNE154" s="108"/>
      <c r="DNF154" s="108"/>
      <c r="DNG154" s="108"/>
      <c r="DNH154" s="108"/>
      <c r="DNI154" s="108"/>
      <c r="DNJ154" s="108"/>
      <c r="DNK154" s="108"/>
      <c r="DNL154" s="108"/>
      <c r="DNM154" s="108"/>
      <c r="DNN154" s="108"/>
      <c r="DNO154" s="108"/>
      <c r="DNP154" s="108"/>
      <c r="DNQ154" s="108"/>
      <c r="DNR154" s="108"/>
      <c r="DNS154" s="108"/>
      <c r="DNT154" s="108"/>
      <c r="DNU154" s="108"/>
      <c r="DNV154" s="108"/>
      <c r="DNW154" s="108"/>
      <c r="DNX154" s="108"/>
      <c r="DNY154" s="108"/>
      <c r="DNZ154" s="108"/>
      <c r="DOA154" s="108"/>
      <c r="DOB154" s="108"/>
      <c r="DOC154" s="108"/>
      <c r="DOD154" s="108"/>
      <c r="DOE154" s="108"/>
      <c r="DOF154" s="108"/>
      <c r="DOG154" s="108"/>
      <c r="DOH154" s="108"/>
      <c r="DOI154" s="108"/>
      <c r="DOJ154" s="108"/>
      <c r="DOK154" s="108"/>
      <c r="DOL154" s="108"/>
      <c r="DOM154" s="108"/>
      <c r="DON154" s="108"/>
      <c r="DOO154" s="108"/>
      <c r="DOP154" s="108"/>
      <c r="DOQ154" s="108"/>
      <c r="DOR154" s="108"/>
      <c r="DOS154" s="108"/>
      <c r="DOT154" s="108"/>
      <c r="DOU154" s="108"/>
      <c r="DOV154" s="108"/>
      <c r="DOW154" s="108"/>
      <c r="DOX154" s="108"/>
      <c r="DOY154" s="108"/>
      <c r="DOZ154" s="108"/>
      <c r="DPA154" s="108"/>
      <c r="DPB154" s="108"/>
      <c r="DPC154" s="108"/>
      <c r="DPD154" s="108"/>
      <c r="DPE154" s="108"/>
      <c r="DPF154" s="108"/>
      <c r="DPG154" s="108"/>
      <c r="DPH154" s="108"/>
      <c r="DPI154" s="108"/>
      <c r="DPJ154" s="108"/>
      <c r="DPK154" s="108"/>
      <c r="DPL154" s="108"/>
      <c r="DPM154" s="108"/>
      <c r="DPN154" s="108"/>
      <c r="DPO154" s="108"/>
      <c r="DPP154" s="108"/>
      <c r="DPQ154" s="108"/>
      <c r="DPR154" s="108"/>
      <c r="DPS154" s="108"/>
      <c r="DPT154" s="108"/>
      <c r="DPU154" s="108"/>
      <c r="DPV154" s="108"/>
      <c r="DPW154" s="108"/>
      <c r="DPX154" s="108"/>
      <c r="DPY154" s="108"/>
      <c r="DPZ154" s="108"/>
      <c r="DQA154" s="108"/>
      <c r="DQB154" s="108"/>
      <c r="DQC154" s="108"/>
      <c r="DQD154" s="108"/>
      <c r="DQE154" s="108"/>
      <c r="DQF154" s="108"/>
      <c r="DQG154" s="108"/>
      <c r="DQH154" s="108"/>
      <c r="DQI154" s="108"/>
      <c r="DQJ154" s="108"/>
      <c r="DQK154" s="108"/>
      <c r="DQL154" s="108"/>
      <c r="DQM154" s="108"/>
      <c r="DQN154" s="108"/>
      <c r="DQO154" s="108"/>
      <c r="DQP154" s="108"/>
      <c r="DQQ154" s="108"/>
      <c r="DQR154" s="108"/>
      <c r="DQS154" s="108"/>
      <c r="DQT154" s="108"/>
      <c r="DQU154" s="108"/>
      <c r="DQV154" s="108"/>
      <c r="DQW154" s="108"/>
      <c r="DQX154" s="108"/>
      <c r="DQY154" s="108"/>
      <c r="DQZ154" s="108"/>
      <c r="DRA154" s="108"/>
      <c r="DRB154" s="108"/>
      <c r="DRC154" s="108"/>
      <c r="DRD154" s="108"/>
      <c r="DRE154" s="108"/>
      <c r="DRF154" s="108"/>
      <c r="DRG154" s="108"/>
      <c r="DRH154" s="108"/>
      <c r="DRI154" s="108"/>
      <c r="DRJ154" s="108"/>
      <c r="DRK154" s="108"/>
      <c r="DRL154" s="108"/>
      <c r="DRM154" s="108"/>
      <c r="DRN154" s="108"/>
      <c r="DRO154" s="108"/>
      <c r="DRP154" s="108"/>
      <c r="DRQ154" s="108"/>
      <c r="DRR154" s="108"/>
      <c r="DRS154" s="108"/>
      <c r="DRT154" s="108"/>
      <c r="DRU154" s="108"/>
      <c r="DRV154" s="108"/>
      <c r="DRW154" s="108"/>
      <c r="DRX154" s="108"/>
      <c r="DRY154" s="108"/>
      <c r="DRZ154" s="108"/>
      <c r="DSA154" s="108"/>
      <c r="DSB154" s="108"/>
      <c r="DSC154" s="108"/>
      <c r="DSD154" s="108"/>
      <c r="DSE154" s="108"/>
      <c r="DSF154" s="108"/>
      <c r="DSG154" s="108"/>
      <c r="DSH154" s="108"/>
      <c r="DSI154" s="108"/>
      <c r="DSJ154" s="108"/>
      <c r="DSK154" s="108"/>
      <c r="DSL154" s="108"/>
      <c r="DSM154" s="108"/>
      <c r="DSN154" s="108"/>
      <c r="DSO154" s="108"/>
      <c r="DSP154" s="108"/>
      <c r="DSQ154" s="108"/>
      <c r="DSR154" s="108"/>
      <c r="DSS154" s="108"/>
      <c r="DST154" s="108"/>
      <c r="DSU154" s="108"/>
      <c r="DSV154" s="108"/>
      <c r="DSW154" s="108"/>
      <c r="DSX154" s="108"/>
      <c r="DSY154" s="108"/>
      <c r="DSZ154" s="108"/>
      <c r="DTA154" s="108"/>
      <c r="DTB154" s="108"/>
      <c r="DTC154" s="108"/>
      <c r="DTD154" s="108"/>
      <c r="DTE154" s="108"/>
      <c r="DTF154" s="108"/>
      <c r="DTG154" s="108"/>
      <c r="DTH154" s="108"/>
      <c r="DTI154" s="108"/>
      <c r="DTJ154" s="108"/>
      <c r="DTK154" s="108"/>
      <c r="DTL154" s="108"/>
      <c r="DTM154" s="108"/>
      <c r="DTN154" s="108"/>
      <c r="DTO154" s="108"/>
      <c r="DTP154" s="108"/>
      <c r="DTQ154" s="108"/>
      <c r="DTR154" s="108"/>
      <c r="DTS154" s="108"/>
      <c r="DTT154" s="108"/>
      <c r="DTU154" s="108"/>
      <c r="DTV154" s="108"/>
      <c r="DTW154" s="108"/>
      <c r="DTX154" s="108"/>
      <c r="DTY154" s="108"/>
      <c r="DTZ154" s="108"/>
      <c r="DUA154" s="108"/>
      <c r="DUB154" s="108"/>
      <c r="DUC154" s="108"/>
      <c r="DUD154" s="108"/>
      <c r="DUE154" s="108"/>
      <c r="DUF154" s="108"/>
      <c r="DUG154" s="108"/>
      <c r="DUH154" s="108"/>
      <c r="DUI154" s="108"/>
      <c r="DUJ154" s="108"/>
      <c r="DUK154" s="108"/>
      <c r="DUL154" s="108"/>
      <c r="DUM154" s="108"/>
      <c r="DUN154" s="108"/>
      <c r="DUO154" s="108"/>
      <c r="DUP154" s="108"/>
      <c r="DUQ154" s="108"/>
      <c r="DUR154" s="108"/>
      <c r="DUS154" s="108"/>
      <c r="DUT154" s="108"/>
      <c r="DUU154" s="108"/>
      <c r="DUV154" s="108"/>
      <c r="DUW154" s="108"/>
      <c r="DUX154" s="108"/>
      <c r="DUY154" s="108"/>
      <c r="DUZ154" s="108"/>
      <c r="DVA154" s="108"/>
      <c r="DVB154" s="108"/>
      <c r="DVC154" s="108"/>
      <c r="DVD154" s="108"/>
      <c r="DVE154" s="108"/>
      <c r="DVF154" s="108"/>
      <c r="DVG154" s="108"/>
      <c r="DVH154" s="108"/>
      <c r="DVI154" s="108"/>
      <c r="DVJ154" s="108"/>
      <c r="DVK154" s="108"/>
      <c r="DVL154" s="108"/>
      <c r="DVM154" s="108"/>
      <c r="DVN154" s="108"/>
      <c r="DVO154" s="108"/>
      <c r="DVP154" s="108"/>
      <c r="DVQ154" s="108"/>
      <c r="DVR154" s="108"/>
      <c r="DVS154" s="108"/>
      <c r="DVT154" s="108"/>
      <c r="DVU154" s="108"/>
      <c r="DVV154" s="108"/>
      <c r="DVW154" s="108"/>
      <c r="DVX154" s="108"/>
      <c r="DVY154" s="108"/>
      <c r="DVZ154" s="108"/>
      <c r="DWA154" s="108"/>
      <c r="DWB154" s="108"/>
      <c r="DWC154" s="108"/>
      <c r="DWD154" s="108"/>
      <c r="DWE154" s="108"/>
      <c r="DWF154" s="108"/>
      <c r="DWG154" s="108"/>
      <c r="DWH154" s="108"/>
      <c r="DWI154" s="108"/>
      <c r="DWJ154" s="108"/>
      <c r="DWK154" s="108"/>
      <c r="DWL154" s="108"/>
      <c r="DWM154" s="108"/>
      <c r="DWN154" s="108"/>
      <c r="DWO154" s="108"/>
      <c r="DWP154" s="108"/>
      <c r="DWQ154" s="108"/>
      <c r="DWR154" s="108"/>
      <c r="DWS154" s="108"/>
      <c r="DWT154" s="108"/>
      <c r="DWU154" s="108"/>
      <c r="DWV154" s="108"/>
      <c r="DWW154" s="108"/>
      <c r="DWX154" s="108"/>
      <c r="DWY154" s="108"/>
      <c r="DWZ154" s="108"/>
      <c r="DXA154" s="108"/>
      <c r="DXB154" s="108"/>
      <c r="DXC154" s="108"/>
      <c r="DXD154" s="108"/>
      <c r="DXE154" s="108"/>
      <c r="DXF154" s="108"/>
      <c r="DXG154" s="108"/>
      <c r="DXH154" s="108"/>
      <c r="DXI154" s="108"/>
      <c r="DXJ154" s="108"/>
      <c r="DXK154" s="108"/>
      <c r="DXL154" s="108"/>
      <c r="DXM154" s="108"/>
      <c r="DXN154" s="108"/>
      <c r="DXO154" s="108"/>
      <c r="DXP154" s="108"/>
      <c r="DXQ154" s="108"/>
      <c r="DXR154" s="108"/>
      <c r="DXS154" s="108"/>
      <c r="DXT154" s="108"/>
      <c r="DXU154" s="108"/>
      <c r="DXV154" s="108"/>
      <c r="DXW154" s="108"/>
      <c r="DXX154" s="108"/>
      <c r="DXY154" s="108"/>
      <c r="DXZ154" s="108"/>
      <c r="DYA154" s="108"/>
      <c r="DYB154" s="108"/>
      <c r="DYC154" s="108"/>
      <c r="DYD154" s="108"/>
      <c r="DYE154" s="108"/>
      <c r="DYF154" s="108"/>
      <c r="DYG154" s="108"/>
      <c r="DYH154" s="108"/>
      <c r="DYI154" s="108"/>
      <c r="DYJ154" s="108"/>
      <c r="DYK154" s="108"/>
      <c r="DYL154" s="108"/>
      <c r="DYM154" s="108"/>
      <c r="DYN154" s="108"/>
      <c r="DYO154" s="108"/>
      <c r="DYP154" s="108"/>
      <c r="DYQ154" s="108"/>
      <c r="DYR154" s="108"/>
      <c r="DYS154" s="108"/>
      <c r="DYT154" s="108"/>
      <c r="DYU154" s="108"/>
      <c r="DYV154" s="108"/>
      <c r="DYW154" s="108"/>
      <c r="DYX154" s="108"/>
      <c r="DYY154" s="108"/>
      <c r="DYZ154" s="108"/>
      <c r="DZA154" s="108"/>
      <c r="DZB154" s="108"/>
      <c r="DZC154" s="108"/>
      <c r="DZD154" s="108"/>
      <c r="DZE154" s="108"/>
      <c r="DZF154" s="108"/>
      <c r="DZG154" s="108"/>
      <c r="DZH154" s="108"/>
      <c r="DZI154" s="108"/>
      <c r="DZJ154" s="108"/>
      <c r="DZK154" s="108"/>
      <c r="DZL154" s="108"/>
      <c r="DZM154" s="108"/>
      <c r="DZN154" s="108"/>
      <c r="DZO154" s="108"/>
      <c r="DZP154" s="108"/>
      <c r="DZQ154" s="108"/>
      <c r="DZR154" s="108"/>
      <c r="DZS154" s="108"/>
      <c r="DZT154" s="108"/>
      <c r="DZU154" s="108"/>
      <c r="DZV154" s="108"/>
      <c r="DZW154" s="108"/>
      <c r="DZX154" s="108"/>
      <c r="DZY154" s="108"/>
      <c r="DZZ154" s="108"/>
      <c r="EAA154" s="108"/>
      <c r="EAB154" s="108"/>
      <c r="EAC154" s="108"/>
      <c r="EAD154" s="108"/>
      <c r="EAE154" s="108"/>
      <c r="EAF154" s="108"/>
      <c r="EAG154" s="108"/>
      <c r="EAH154" s="108"/>
      <c r="EAI154" s="108"/>
      <c r="EAJ154" s="108"/>
      <c r="EAK154" s="108"/>
      <c r="EAL154" s="108"/>
      <c r="EAM154" s="108"/>
      <c r="EAN154" s="108"/>
      <c r="EAO154" s="108"/>
      <c r="EAP154" s="108"/>
      <c r="EAQ154" s="108"/>
      <c r="EAR154" s="108"/>
      <c r="EAS154" s="108"/>
      <c r="EAT154" s="108"/>
      <c r="EAU154" s="108"/>
      <c r="EAV154" s="108"/>
      <c r="EAW154" s="108"/>
      <c r="EAX154" s="108"/>
      <c r="EAY154" s="108"/>
      <c r="EAZ154" s="108"/>
      <c r="EBA154" s="108"/>
      <c r="EBB154" s="108"/>
      <c r="EBC154" s="108"/>
      <c r="EBD154" s="108"/>
      <c r="EBE154" s="108"/>
      <c r="EBF154" s="108"/>
      <c r="EBG154" s="108"/>
      <c r="EBH154" s="108"/>
      <c r="EBI154" s="108"/>
      <c r="EBJ154" s="108"/>
      <c r="EBK154" s="108"/>
      <c r="EBL154" s="108"/>
      <c r="EBM154" s="108"/>
      <c r="EBN154" s="108"/>
      <c r="EBO154" s="108"/>
      <c r="EBP154" s="108"/>
      <c r="EBQ154" s="108"/>
      <c r="EBR154" s="108"/>
      <c r="EBS154" s="108"/>
      <c r="EBT154" s="108"/>
      <c r="EBU154" s="108"/>
      <c r="EBV154" s="108"/>
      <c r="EBW154" s="108"/>
      <c r="EBX154" s="108"/>
      <c r="EBY154" s="108"/>
      <c r="EBZ154" s="108"/>
      <c r="ECA154" s="108"/>
      <c r="ECB154" s="108"/>
      <c r="ECC154" s="108"/>
      <c r="ECD154" s="108"/>
      <c r="ECE154" s="108"/>
      <c r="ECF154" s="108"/>
      <c r="ECG154" s="108"/>
      <c r="ECH154" s="108"/>
      <c r="ECI154" s="108"/>
      <c r="ECJ154" s="108"/>
      <c r="ECK154" s="108"/>
      <c r="ECL154" s="108"/>
      <c r="ECM154" s="108"/>
      <c r="ECN154" s="108"/>
      <c r="ECO154" s="108"/>
      <c r="ECP154" s="108"/>
      <c r="ECQ154" s="108"/>
      <c r="ECR154" s="108"/>
      <c r="ECS154" s="108"/>
      <c r="ECT154" s="108"/>
      <c r="ECU154" s="108"/>
      <c r="ECV154" s="108"/>
      <c r="ECW154" s="108"/>
      <c r="ECX154" s="108"/>
      <c r="ECY154" s="108"/>
      <c r="ECZ154" s="108"/>
      <c r="EDA154" s="108"/>
      <c r="EDB154" s="108"/>
      <c r="EDC154" s="108"/>
      <c r="EDD154" s="108"/>
      <c r="EDE154" s="108"/>
      <c r="EDF154" s="108"/>
      <c r="EDG154" s="108"/>
      <c r="EDH154" s="108"/>
      <c r="EDI154" s="108"/>
      <c r="EDJ154" s="108"/>
      <c r="EDK154" s="108"/>
      <c r="EDL154" s="108"/>
      <c r="EDM154" s="108"/>
      <c r="EDN154" s="108"/>
      <c r="EDO154" s="108"/>
      <c r="EDP154" s="108"/>
      <c r="EDQ154" s="108"/>
      <c r="EDR154" s="108"/>
      <c r="EDS154" s="108"/>
      <c r="EDT154" s="108"/>
      <c r="EDU154" s="108"/>
      <c r="EDV154" s="108"/>
      <c r="EDW154" s="108"/>
      <c r="EDX154" s="108"/>
      <c r="EDY154" s="108"/>
      <c r="EDZ154" s="108"/>
      <c r="EEA154" s="108"/>
      <c r="EEB154" s="108"/>
      <c r="EEC154" s="108"/>
      <c r="EED154" s="108"/>
      <c r="EEE154" s="108"/>
      <c r="EEF154" s="108"/>
      <c r="EEG154" s="108"/>
      <c r="EEH154" s="108"/>
      <c r="EEI154" s="108"/>
      <c r="EEJ154" s="108"/>
      <c r="EEK154" s="108"/>
      <c r="EEL154" s="108"/>
      <c r="EEM154" s="108"/>
      <c r="EEN154" s="108"/>
      <c r="EEO154" s="108"/>
      <c r="EEP154" s="108"/>
      <c r="EEQ154" s="108"/>
      <c r="EER154" s="108"/>
      <c r="EES154" s="108"/>
      <c r="EET154" s="108"/>
      <c r="EEU154" s="108"/>
      <c r="EEV154" s="108"/>
      <c r="EEW154" s="108"/>
      <c r="EEX154" s="108"/>
      <c r="EEY154" s="108"/>
      <c r="EEZ154" s="108"/>
      <c r="EFA154" s="108"/>
      <c r="EFB154" s="108"/>
      <c r="EFC154" s="108"/>
      <c r="EFD154" s="108"/>
      <c r="EFE154" s="108"/>
      <c r="EFF154" s="108"/>
      <c r="EFG154" s="108"/>
      <c r="EFH154" s="108"/>
      <c r="EFI154" s="108"/>
      <c r="EFJ154" s="108"/>
      <c r="EFK154" s="108"/>
      <c r="EFL154" s="108"/>
      <c r="EFM154" s="108"/>
      <c r="EFN154" s="108"/>
      <c r="EFO154" s="108"/>
      <c r="EFP154" s="108"/>
      <c r="EFQ154" s="108"/>
      <c r="EFR154" s="108"/>
      <c r="EFS154" s="108"/>
      <c r="EFT154" s="108"/>
      <c r="EFU154" s="108"/>
      <c r="EFV154" s="108"/>
      <c r="EFW154" s="108"/>
      <c r="EFX154" s="108"/>
      <c r="EFY154" s="108"/>
      <c r="EFZ154" s="108"/>
      <c r="EGA154" s="108"/>
      <c r="EGB154" s="108"/>
      <c r="EGC154" s="108"/>
      <c r="EGD154" s="108"/>
      <c r="EGE154" s="108"/>
      <c r="EGF154" s="108"/>
      <c r="EGG154" s="108"/>
      <c r="EGH154" s="108"/>
      <c r="EGI154" s="108"/>
      <c r="EGJ154" s="108"/>
      <c r="EGK154" s="108"/>
      <c r="EGL154" s="108"/>
      <c r="EGM154" s="108"/>
      <c r="EGN154" s="108"/>
      <c r="EGO154" s="108"/>
      <c r="EGP154" s="108"/>
      <c r="EGQ154" s="108"/>
      <c r="EGR154" s="108"/>
      <c r="EGS154" s="108"/>
      <c r="EGT154" s="108"/>
      <c r="EGU154" s="108"/>
      <c r="EGV154" s="108"/>
      <c r="EGW154" s="108"/>
      <c r="EGX154" s="108"/>
      <c r="EGY154" s="108"/>
      <c r="EGZ154" s="108"/>
      <c r="EHA154" s="108"/>
      <c r="EHB154" s="108"/>
      <c r="EHC154" s="108"/>
      <c r="EHD154" s="108"/>
      <c r="EHE154" s="108"/>
      <c r="EHF154" s="108"/>
      <c r="EHG154" s="108"/>
      <c r="EHH154" s="108"/>
      <c r="EHI154" s="108"/>
      <c r="EHJ154" s="108"/>
      <c r="EHK154" s="108"/>
      <c r="EHL154" s="108"/>
      <c r="EHM154" s="108"/>
      <c r="EHN154" s="108"/>
      <c r="EHO154" s="108"/>
      <c r="EHP154" s="108"/>
      <c r="EHQ154" s="108"/>
      <c r="EHR154" s="108"/>
      <c r="EHS154" s="108"/>
      <c r="EHT154" s="108"/>
      <c r="EHU154" s="108"/>
      <c r="EHV154" s="108"/>
      <c r="EHW154" s="108"/>
      <c r="EHX154" s="108"/>
      <c r="EHY154" s="108"/>
      <c r="EHZ154" s="108"/>
      <c r="EIA154" s="108"/>
      <c r="EIB154" s="108"/>
      <c r="EIC154" s="108"/>
      <c r="EID154" s="108"/>
      <c r="EIE154" s="108"/>
      <c r="EIF154" s="108"/>
      <c r="EIG154" s="108"/>
      <c r="EIH154" s="108"/>
      <c r="EII154" s="108"/>
      <c r="EIJ154" s="108"/>
      <c r="EIK154" s="108"/>
      <c r="EIL154" s="108"/>
      <c r="EIM154" s="108"/>
      <c r="EIN154" s="108"/>
      <c r="EIO154" s="108"/>
      <c r="EIP154" s="108"/>
      <c r="EIQ154" s="108"/>
      <c r="EIR154" s="108"/>
      <c r="EIS154" s="108"/>
      <c r="EIT154" s="108"/>
      <c r="EIU154" s="108"/>
      <c r="EIV154" s="108"/>
      <c r="EIW154" s="108"/>
      <c r="EIX154" s="108"/>
      <c r="EIY154" s="108"/>
      <c r="EIZ154" s="108"/>
      <c r="EJA154" s="108"/>
      <c r="EJB154" s="108"/>
      <c r="EJC154" s="108"/>
      <c r="EJD154" s="108"/>
      <c r="EJE154" s="108"/>
      <c r="EJF154" s="108"/>
      <c r="EJG154" s="108"/>
      <c r="EJH154" s="108"/>
      <c r="EJI154" s="108"/>
      <c r="EJJ154" s="108"/>
      <c r="EJK154" s="108"/>
      <c r="EJL154" s="108"/>
      <c r="EJM154" s="108"/>
      <c r="EJN154" s="108"/>
      <c r="EJO154" s="108"/>
      <c r="EJP154" s="108"/>
      <c r="EJQ154" s="108"/>
      <c r="EJR154" s="108"/>
      <c r="EJS154" s="108"/>
      <c r="EJT154" s="108"/>
      <c r="EJU154" s="108"/>
      <c r="EJV154" s="108"/>
      <c r="EJW154" s="108"/>
      <c r="EJX154" s="108"/>
      <c r="EJY154" s="108"/>
      <c r="EJZ154" s="108"/>
      <c r="EKA154" s="108"/>
      <c r="EKB154" s="108"/>
      <c r="EKC154" s="108"/>
      <c r="EKD154" s="108"/>
      <c r="EKE154" s="108"/>
      <c r="EKF154" s="108"/>
      <c r="EKG154" s="108"/>
      <c r="EKH154" s="108"/>
      <c r="EKI154" s="108"/>
      <c r="EKJ154" s="108"/>
      <c r="EKK154" s="108"/>
      <c r="EKL154" s="108"/>
      <c r="EKM154" s="108"/>
      <c r="EKN154" s="108"/>
      <c r="EKO154" s="108"/>
      <c r="EKP154" s="108"/>
      <c r="EKQ154" s="108"/>
      <c r="EKR154" s="108"/>
      <c r="EKS154" s="108"/>
      <c r="EKT154" s="108"/>
      <c r="EKU154" s="108"/>
      <c r="EKV154" s="108"/>
      <c r="EKW154" s="108"/>
      <c r="EKX154" s="108"/>
      <c r="EKY154" s="108"/>
      <c r="EKZ154" s="108"/>
      <c r="ELA154" s="108"/>
      <c r="ELB154" s="108"/>
      <c r="ELC154" s="108"/>
      <c r="ELD154" s="108"/>
      <c r="ELE154" s="108"/>
      <c r="ELF154" s="108"/>
      <c r="ELG154" s="108"/>
      <c r="ELH154" s="108"/>
      <c r="ELI154" s="108"/>
      <c r="ELJ154" s="108"/>
      <c r="ELK154" s="108"/>
      <c r="ELL154" s="108"/>
      <c r="ELM154" s="108"/>
      <c r="ELN154" s="108"/>
      <c r="ELO154" s="108"/>
      <c r="ELP154" s="108"/>
      <c r="ELQ154" s="108"/>
      <c r="ELR154" s="108"/>
      <c r="ELS154" s="108"/>
      <c r="ELT154" s="108"/>
      <c r="ELU154" s="108"/>
      <c r="ELV154" s="108"/>
      <c r="ELW154" s="108"/>
      <c r="ELX154" s="108"/>
      <c r="ELY154" s="108"/>
      <c r="ELZ154" s="108"/>
      <c r="EMA154" s="108"/>
      <c r="EMB154" s="108"/>
      <c r="EMC154" s="108"/>
      <c r="EMD154" s="108"/>
      <c r="EME154" s="108"/>
      <c r="EMF154" s="108"/>
      <c r="EMG154" s="108"/>
      <c r="EMH154" s="108"/>
      <c r="EMI154" s="108"/>
      <c r="EMJ154" s="108"/>
      <c r="EMK154" s="108"/>
      <c r="EML154" s="108"/>
      <c r="EMM154" s="108"/>
      <c r="EMN154" s="108"/>
      <c r="EMO154" s="108"/>
      <c r="EMP154" s="108"/>
      <c r="EMQ154" s="108"/>
      <c r="EMR154" s="108"/>
      <c r="EMS154" s="108"/>
      <c r="EMT154" s="108"/>
      <c r="EMU154" s="108"/>
      <c r="EMV154" s="108"/>
      <c r="EMW154" s="108"/>
      <c r="EMX154" s="108"/>
      <c r="EMY154" s="108"/>
      <c r="EMZ154" s="108"/>
      <c r="ENA154" s="108"/>
      <c r="ENB154" s="108"/>
      <c r="ENC154" s="108"/>
      <c r="END154" s="108"/>
      <c r="ENE154" s="108"/>
      <c r="ENF154" s="108"/>
      <c r="ENG154" s="108"/>
      <c r="ENH154" s="108"/>
      <c r="ENI154" s="108"/>
      <c r="ENJ154" s="108"/>
      <c r="ENK154" s="108"/>
      <c r="ENL154" s="108"/>
      <c r="ENM154" s="108"/>
      <c r="ENN154" s="108"/>
      <c r="ENO154" s="108"/>
      <c r="ENP154" s="108"/>
      <c r="ENQ154" s="108"/>
      <c r="ENR154" s="108"/>
      <c r="ENS154" s="108"/>
      <c r="ENT154" s="108"/>
      <c r="ENU154" s="108"/>
      <c r="ENV154" s="108"/>
      <c r="ENW154" s="108"/>
      <c r="ENX154" s="108"/>
      <c r="ENY154" s="108"/>
      <c r="ENZ154" s="108"/>
      <c r="EOA154" s="108"/>
      <c r="EOB154" s="108"/>
      <c r="EOC154" s="108"/>
      <c r="EOD154" s="108"/>
      <c r="EOE154" s="108"/>
      <c r="EOF154" s="108"/>
      <c r="EOG154" s="108"/>
      <c r="EOH154" s="108"/>
      <c r="EOI154" s="108"/>
      <c r="EOJ154" s="108"/>
      <c r="EOK154" s="108"/>
      <c r="EOL154" s="108"/>
      <c r="EOM154" s="108"/>
      <c r="EON154" s="108"/>
      <c r="EOO154" s="108"/>
      <c r="EOP154" s="108"/>
      <c r="EOQ154" s="108"/>
      <c r="EOR154" s="108"/>
      <c r="EOS154" s="108"/>
      <c r="EOT154" s="108"/>
      <c r="EOU154" s="108"/>
      <c r="EOV154" s="108"/>
      <c r="EOW154" s="108"/>
      <c r="EOX154" s="108"/>
      <c r="EOY154" s="108"/>
      <c r="EOZ154" s="108"/>
      <c r="EPA154" s="108"/>
      <c r="EPB154" s="108"/>
      <c r="EPC154" s="108"/>
      <c r="EPD154" s="108"/>
      <c r="EPE154" s="108"/>
      <c r="EPF154" s="108"/>
      <c r="EPG154" s="108"/>
      <c r="EPH154" s="108"/>
      <c r="EPI154" s="108"/>
      <c r="EPJ154" s="108"/>
      <c r="EPK154" s="108"/>
      <c r="EPL154" s="108"/>
      <c r="EPM154" s="108"/>
      <c r="EPN154" s="108"/>
      <c r="EPO154" s="108"/>
      <c r="EPP154" s="108"/>
      <c r="EPQ154" s="108"/>
      <c r="EPR154" s="108"/>
      <c r="EPS154" s="108"/>
      <c r="EPT154" s="108"/>
      <c r="EPU154" s="108"/>
      <c r="EPV154" s="108"/>
      <c r="EPW154" s="108"/>
      <c r="EPX154" s="108"/>
      <c r="EPY154" s="108"/>
      <c r="EPZ154" s="108"/>
      <c r="EQA154" s="108"/>
      <c r="EQB154" s="108"/>
      <c r="EQC154" s="108"/>
      <c r="EQD154" s="108"/>
      <c r="EQE154" s="108"/>
      <c r="EQF154" s="108"/>
      <c r="EQG154" s="108"/>
      <c r="EQH154" s="108"/>
      <c r="EQI154" s="108"/>
      <c r="EQJ154" s="108"/>
      <c r="EQK154" s="108"/>
      <c r="EQL154" s="108"/>
      <c r="EQM154" s="108"/>
      <c r="EQN154" s="108"/>
      <c r="EQO154" s="108"/>
      <c r="EQP154" s="108"/>
      <c r="EQQ154" s="108"/>
      <c r="EQR154" s="108"/>
      <c r="EQS154" s="108"/>
      <c r="EQT154" s="108"/>
      <c r="EQU154" s="108"/>
      <c r="EQV154" s="108"/>
      <c r="EQW154" s="108"/>
      <c r="EQX154" s="108"/>
      <c r="EQY154" s="108"/>
      <c r="EQZ154" s="108"/>
      <c r="ERA154" s="108"/>
      <c r="ERB154" s="108"/>
      <c r="ERC154" s="108"/>
      <c r="ERD154" s="108"/>
      <c r="ERE154" s="108"/>
      <c r="ERF154" s="108"/>
      <c r="ERG154" s="108"/>
      <c r="ERH154" s="108"/>
      <c r="ERI154" s="108"/>
      <c r="ERJ154" s="108"/>
      <c r="ERK154" s="108"/>
      <c r="ERL154" s="108"/>
      <c r="ERM154" s="108"/>
      <c r="ERN154" s="108"/>
      <c r="ERO154" s="108"/>
      <c r="ERP154" s="108"/>
      <c r="ERQ154" s="108"/>
      <c r="ERR154" s="108"/>
      <c r="ERS154" s="108"/>
      <c r="ERT154" s="108"/>
      <c r="ERU154" s="108"/>
      <c r="ERV154" s="108"/>
      <c r="ERW154" s="108"/>
      <c r="ERX154" s="108"/>
      <c r="ERY154" s="108"/>
      <c r="ERZ154" s="108"/>
      <c r="ESA154" s="108"/>
      <c r="ESB154" s="108"/>
      <c r="ESC154" s="108"/>
      <c r="ESD154" s="108"/>
      <c r="ESE154" s="108"/>
      <c r="ESF154" s="108"/>
      <c r="ESG154" s="108"/>
      <c r="ESH154" s="108"/>
      <c r="ESI154" s="108"/>
      <c r="ESJ154" s="108"/>
      <c r="ESK154" s="108"/>
      <c r="ESL154" s="108"/>
      <c r="ESM154" s="108"/>
      <c r="ESN154" s="108"/>
      <c r="ESO154" s="108"/>
      <c r="ESP154" s="108"/>
      <c r="ESQ154" s="108"/>
      <c r="ESR154" s="108"/>
      <c r="ESS154" s="108"/>
      <c r="EST154" s="108"/>
      <c r="ESU154" s="108"/>
      <c r="ESV154" s="108"/>
      <c r="ESW154" s="108"/>
      <c r="ESX154" s="108"/>
      <c r="ESY154" s="108"/>
      <c r="ESZ154" s="108"/>
      <c r="ETA154" s="108"/>
      <c r="ETB154" s="108"/>
      <c r="ETC154" s="108"/>
      <c r="ETD154" s="108"/>
      <c r="ETE154" s="108"/>
      <c r="ETF154" s="108"/>
      <c r="ETG154" s="108"/>
      <c r="ETH154" s="108"/>
      <c r="ETI154" s="108"/>
      <c r="ETJ154" s="108"/>
      <c r="ETK154" s="108"/>
      <c r="ETL154" s="108"/>
      <c r="ETM154" s="108"/>
      <c r="ETN154" s="108"/>
      <c r="ETO154" s="108"/>
      <c r="ETP154" s="108"/>
      <c r="ETQ154" s="108"/>
      <c r="ETR154" s="108"/>
      <c r="ETS154" s="108"/>
      <c r="ETT154" s="108"/>
      <c r="ETU154" s="108"/>
      <c r="ETV154" s="108"/>
      <c r="ETW154" s="108"/>
      <c r="ETX154" s="108"/>
      <c r="ETY154" s="108"/>
      <c r="ETZ154" s="108"/>
      <c r="EUA154" s="108"/>
      <c r="EUB154" s="108"/>
      <c r="EUC154" s="108"/>
      <c r="EUD154" s="108"/>
      <c r="EUE154" s="108"/>
      <c r="EUF154" s="108"/>
      <c r="EUG154" s="108"/>
      <c r="EUH154" s="108"/>
      <c r="EUI154" s="108"/>
      <c r="EUJ154" s="108"/>
      <c r="EUK154" s="108"/>
      <c r="EUL154" s="108"/>
      <c r="EUM154" s="108"/>
      <c r="EUN154" s="108"/>
      <c r="EUO154" s="108"/>
      <c r="EUP154" s="108"/>
      <c r="EUQ154" s="108"/>
      <c r="EUR154" s="108"/>
      <c r="EUS154" s="108"/>
      <c r="EUT154" s="108"/>
      <c r="EUU154" s="108"/>
      <c r="EUV154" s="108"/>
      <c r="EUW154" s="108"/>
      <c r="EUX154" s="108"/>
      <c r="EUY154" s="108"/>
      <c r="EUZ154" s="108"/>
      <c r="EVA154" s="108"/>
      <c r="EVB154" s="108"/>
      <c r="EVC154" s="108"/>
      <c r="EVD154" s="108"/>
      <c r="EVE154" s="108"/>
      <c r="EVF154" s="108"/>
      <c r="EVG154" s="108"/>
      <c r="EVH154" s="108"/>
      <c r="EVI154" s="108"/>
      <c r="EVJ154" s="108"/>
      <c r="EVK154" s="108"/>
      <c r="EVL154" s="108"/>
      <c r="EVM154" s="108"/>
      <c r="EVN154" s="108"/>
      <c r="EVO154" s="108"/>
      <c r="EVP154" s="108"/>
      <c r="EVQ154" s="108"/>
      <c r="EVR154" s="108"/>
      <c r="EVS154" s="108"/>
      <c r="EVT154" s="108"/>
      <c r="EVU154" s="108"/>
      <c r="EVV154" s="108"/>
      <c r="EVW154" s="108"/>
      <c r="EVX154" s="108"/>
      <c r="EVY154" s="108"/>
      <c r="EVZ154" s="108"/>
      <c r="EWA154" s="108"/>
      <c r="EWB154" s="108"/>
      <c r="EWC154" s="108"/>
      <c r="EWD154" s="108"/>
      <c r="EWE154" s="108"/>
      <c r="EWF154" s="108"/>
      <c r="EWG154" s="108"/>
      <c r="EWH154" s="108"/>
      <c r="EWI154" s="108"/>
      <c r="EWJ154" s="108"/>
      <c r="EWK154" s="108"/>
      <c r="EWL154" s="108"/>
      <c r="EWM154" s="108"/>
      <c r="EWN154" s="108"/>
      <c r="EWO154" s="108"/>
      <c r="EWP154" s="108"/>
      <c r="EWQ154" s="108"/>
      <c r="EWR154" s="108"/>
      <c r="EWS154" s="108"/>
      <c r="EWT154" s="108"/>
      <c r="EWU154" s="108"/>
      <c r="EWV154" s="108"/>
      <c r="EWW154" s="108"/>
      <c r="EWX154" s="108"/>
      <c r="EWY154" s="108"/>
      <c r="EWZ154" s="108"/>
      <c r="EXA154" s="108"/>
      <c r="EXB154" s="108"/>
      <c r="EXC154" s="108"/>
      <c r="EXD154" s="108"/>
      <c r="EXE154" s="108"/>
      <c r="EXF154" s="108"/>
      <c r="EXG154" s="108"/>
      <c r="EXH154" s="108"/>
      <c r="EXI154" s="108"/>
      <c r="EXJ154" s="108"/>
      <c r="EXK154" s="108"/>
      <c r="EXL154" s="108"/>
      <c r="EXM154" s="108"/>
      <c r="EXN154" s="108"/>
      <c r="EXO154" s="108"/>
      <c r="EXP154" s="108"/>
      <c r="EXQ154" s="108"/>
      <c r="EXR154" s="108"/>
      <c r="EXS154" s="108"/>
      <c r="EXT154" s="108"/>
      <c r="EXU154" s="108"/>
      <c r="EXV154" s="108"/>
      <c r="EXW154" s="108"/>
      <c r="EXX154" s="108"/>
      <c r="EXY154" s="108"/>
      <c r="EXZ154" s="108"/>
      <c r="EYA154" s="108"/>
      <c r="EYB154" s="108"/>
      <c r="EYC154" s="108"/>
      <c r="EYD154" s="108"/>
      <c r="EYE154" s="108"/>
      <c r="EYF154" s="108"/>
      <c r="EYG154" s="108"/>
      <c r="EYH154" s="108"/>
      <c r="EYI154" s="108"/>
      <c r="EYJ154" s="108"/>
      <c r="EYK154" s="108"/>
      <c r="EYL154" s="108"/>
      <c r="EYM154" s="108"/>
      <c r="EYN154" s="108"/>
      <c r="EYO154" s="108"/>
      <c r="EYP154" s="108"/>
      <c r="EYQ154" s="108"/>
      <c r="EYR154" s="108"/>
      <c r="EYS154" s="108"/>
      <c r="EYT154" s="108"/>
      <c r="EYU154" s="108"/>
      <c r="EYV154" s="108"/>
      <c r="EYW154" s="108"/>
      <c r="EYX154" s="108"/>
      <c r="EYY154" s="108"/>
      <c r="EYZ154" s="108"/>
      <c r="EZA154" s="108"/>
      <c r="EZB154" s="108"/>
      <c r="EZC154" s="108"/>
      <c r="EZD154" s="108"/>
      <c r="EZE154" s="108"/>
      <c r="EZF154" s="108"/>
      <c r="EZG154" s="108"/>
      <c r="EZH154" s="108"/>
      <c r="EZI154" s="108"/>
      <c r="EZJ154" s="108"/>
      <c r="EZK154" s="108"/>
      <c r="EZL154" s="108"/>
      <c r="EZM154" s="108"/>
      <c r="EZN154" s="108"/>
      <c r="EZO154" s="108"/>
      <c r="EZP154" s="108"/>
      <c r="EZQ154" s="108"/>
      <c r="EZR154" s="108"/>
      <c r="EZS154" s="108"/>
      <c r="EZT154" s="108"/>
      <c r="EZU154" s="108"/>
      <c r="EZV154" s="108"/>
      <c r="EZW154" s="108"/>
      <c r="EZX154" s="108"/>
      <c r="EZY154" s="108"/>
      <c r="EZZ154" s="108"/>
      <c r="FAA154" s="108"/>
      <c r="FAB154" s="108"/>
      <c r="FAC154" s="108"/>
      <c r="FAD154" s="108"/>
      <c r="FAE154" s="108"/>
      <c r="FAF154" s="108"/>
      <c r="FAG154" s="108"/>
      <c r="FAH154" s="108"/>
      <c r="FAI154" s="108"/>
      <c r="FAJ154" s="108"/>
      <c r="FAK154" s="108"/>
      <c r="FAL154" s="108"/>
      <c r="FAM154" s="108"/>
      <c r="FAN154" s="108"/>
      <c r="FAO154" s="108"/>
      <c r="FAP154" s="108"/>
      <c r="FAQ154" s="108"/>
      <c r="FAR154" s="108"/>
      <c r="FAS154" s="108"/>
      <c r="FAT154" s="108"/>
      <c r="FAU154" s="108"/>
      <c r="FAV154" s="108"/>
      <c r="FAW154" s="108"/>
      <c r="FAX154" s="108"/>
      <c r="FAY154" s="108"/>
      <c r="FAZ154" s="108"/>
      <c r="FBA154" s="108"/>
      <c r="FBB154" s="108"/>
      <c r="FBC154" s="108"/>
      <c r="FBD154" s="108"/>
      <c r="FBE154" s="108"/>
      <c r="FBF154" s="108"/>
      <c r="FBG154" s="108"/>
      <c r="FBH154" s="108"/>
      <c r="FBI154" s="108"/>
      <c r="FBJ154" s="108"/>
      <c r="FBK154" s="108"/>
      <c r="FBL154" s="108"/>
      <c r="FBM154" s="108"/>
      <c r="FBN154" s="108"/>
      <c r="FBO154" s="108"/>
      <c r="FBP154" s="108"/>
      <c r="FBQ154" s="108"/>
      <c r="FBR154" s="108"/>
      <c r="FBS154" s="108"/>
      <c r="FBT154" s="108"/>
      <c r="FBU154" s="108"/>
      <c r="FBV154" s="108"/>
      <c r="FBW154" s="108"/>
      <c r="FBX154" s="108"/>
      <c r="FBY154" s="108"/>
      <c r="FBZ154" s="108"/>
      <c r="FCA154" s="108"/>
      <c r="FCB154" s="108"/>
      <c r="FCC154" s="108"/>
      <c r="FCD154" s="108"/>
      <c r="FCE154" s="108"/>
      <c r="FCF154" s="108"/>
      <c r="FCG154" s="108"/>
      <c r="FCH154" s="108"/>
      <c r="FCI154" s="108"/>
      <c r="FCJ154" s="108"/>
      <c r="FCK154" s="108"/>
      <c r="FCL154" s="108"/>
      <c r="FCM154" s="108"/>
      <c r="FCN154" s="108"/>
      <c r="FCO154" s="108"/>
      <c r="FCP154" s="108"/>
      <c r="FCQ154" s="108"/>
      <c r="FCR154" s="108"/>
      <c r="FCS154" s="108"/>
      <c r="FCT154" s="108"/>
      <c r="FCU154" s="108"/>
      <c r="FCV154" s="108"/>
      <c r="FCW154" s="108"/>
      <c r="FCX154" s="108"/>
      <c r="FCY154" s="108"/>
      <c r="FCZ154" s="108"/>
      <c r="FDA154" s="108"/>
      <c r="FDB154" s="108"/>
      <c r="FDC154" s="108"/>
      <c r="FDD154" s="108"/>
      <c r="FDE154" s="108"/>
      <c r="FDF154" s="108"/>
      <c r="FDG154" s="108"/>
      <c r="FDH154" s="108"/>
      <c r="FDI154" s="108"/>
      <c r="FDJ154" s="108"/>
      <c r="FDK154" s="108"/>
      <c r="FDL154" s="108"/>
      <c r="FDM154" s="108"/>
      <c r="FDN154" s="108"/>
      <c r="FDO154" s="108"/>
      <c r="FDP154" s="108"/>
      <c r="FDQ154" s="108"/>
      <c r="FDR154" s="108"/>
      <c r="FDS154" s="108"/>
      <c r="FDT154" s="108"/>
      <c r="FDU154" s="108"/>
      <c r="FDV154" s="108"/>
      <c r="FDW154" s="108"/>
      <c r="FDX154" s="108"/>
      <c r="FDY154" s="108"/>
      <c r="FDZ154" s="108"/>
      <c r="FEA154" s="108"/>
      <c r="FEB154" s="108"/>
      <c r="FEC154" s="108"/>
      <c r="FED154" s="108"/>
      <c r="FEE154" s="108"/>
      <c r="FEF154" s="108"/>
      <c r="FEG154" s="108"/>
      <c r="FEH154" s="108"/>
      <c r="FEI154" s="108"/>
      <c r="FEJ154" s="108"/>
      <c r="FEK154" s="108"/>
      <c r="FEL154" s="108"/>
      <c r="FEM154" s="108"/>
      <c r="FEN154" s="108"/>
      <c r="FEO154" s="108"/>
      <c r="FEP154" s="108"/>
      <c r="FEQ154" s="108"/>
      <c r="FER154" s="108"/>
      <c r="FES154" s="108"/>
      <c r="FET154" s="108"/>
      <c r="FEU154" s="108"/>
      <c r="FEV154" s="108"/>
      <c r="FEW154" s="108"/>
      <c r="FEX154" s="108"/>
      <c r="FEY154" s="108"/>
      <c r="FEZ154" s="108"/>
      <c r="FFA154" s="108"/>
      <c r="FFB154" s="108"/>
      <c r="FFC154" s="108"/>
      <c r="FFD154" s="108"/>
      <c r="FFE154" s="108"/>
      <c r="FFF154" s="108"/>
      <c r="FFG154" s="108"/>
      <c r="FFH154" s="108"/>
      <c r="FFI154" s="108"/>
      <c r="FFJ154" s="108"/>
      <c r="FFK154" s="108"/>
      <c r="FFL154" s="108"/>
      <c r="FFM154" s="108"/>
      <c r="FFN154" s="108"/>
      <c r="FFO154" s="108"/>
      <c r="FFP154" s="108"/>
      <c r="FFQ154" s="108"/>
      <c r="FFR154" s="108"/>
      <c r="FFS154" s="108"/>
      <c r="FFT154" s="108"/>
      <c r="FFU154" s="108"/>
      <c r="FFV154" s="108"/>
      <c r="FFW154" s="108"/>
      <c r="FFX154" s="108"/>
      <c r="FFY154" s="108"/>
      <c r="FFZ154" s="108"/>
      <c r="FGA154" s="108"/>
      <c r="FGB154" s="108"/>
      <c r="FGC154" s="108"/>
      <c r="FGD154" s="108"/>
      <c r="FGE154" s="108"/>
      <c r="FGF154" s="108"/>
      <c r="FGG154" s="108"/>
      <c r="FGH154" s="108"/>
      <c r="FGI154" s="108"/>
      <c r="FGJ154" s="108"/>
      <c r="FGK154" s="108"/>
      <c r="FGL154" s="108"/>
      <c r="FGM154" s="108"/>
      <c r="FGN154" s="108"/>
      <c r="FGO154" s="108"/>
      <c r="FGP154" s="108"/>
      <c r="FGQ154" s="108"/>
      <c r="FGR154" s="108"/>
      <c r="FGS154" s="108"/>
      <c r="FGT154" s="108"/>
      <c r="FGU154" s="108"/>
      <c r="FGV154" s="108"/>
      <c r="FGW154" s="108"/>
      <c r="FGX154" s="108"/>
      <c r="FGY154" s="108"/>
      <c r="FGZ154" s="108"/>
      <c r="FHA154" s="108"/>
      <c r="FHB154" s="108"/>
      <c r="FHC154" s="108"/>
      <c r="FHD154" s="108"/>
      <c r="FHE154" s="108"/>
      <c r="FHF154" s="108"/>
      <c r="FHG154" s="108"/>
      <c r="FHH154" s="108"/>
      <c r="FHI154" s="108"/>
      <c r="FHJ154" s="108"/>
      <c r="FHK154" s="108"/>
      <c r="FHL154" s="108"/>
      <c r="FHM154" s="108"/>
      <c r="FHN154" s="108"/>
      <c r="FHO154" s="108"/>
      <c r="FHP154" s="108"/>
      <c r="FHQ154" s="108"/>
      <c r="FHR154" s="108"/>
      <c r="FHS154" s="108"/>
      <c r="FHT154" s="108"/>
      <c r="FHU154" s="108"/>
      <c r="FHV154" s="108"/>
      <c r="FHW154" s="108"/>
      <c r="FHX154" s="108"/>
      <c r="FHY154" s="108"/>
      <c r="FHZ154" s="108"/>
      <c r="FIA154" s="108"/>
      <c r="FIB154" s="108"/>
      <c r="FIC154" s="108"/>
      <c r="FID154" s="108"/>
      <c r="FIE154" s="108"/>
      <c r="FIF154" s="108"/>
      <c r="FIG154" s="108"/>
      <c r="FIH154" s="108"/>
      <c r="FII154" s="108"/>
      <c r="FIJ154" s="108"/>
      <c r="FIK154" s="108"/>
      <c r="FIL154" s="108"/>
      <c r="FIM154" s="108"/>
      <c r="FIN154" s="108"/>
      <c r="FIO154" s="108"/>
      <c r="FIP154" s="108"/>
      <c r="FIQ154" s="108"/>
      <c r="FIR154" s="108"/>
      <c r="FIS154" s="108"/>
      <c r="FIT154" s="108"/>
      <c r="FIU154" s="108"/>
      <c r="FIV154" s="108"/>
      <c r="FIW154" s="108"/>
      <c r="FIX154" s="108"/>
      <c r="FIY154" s="108"/>
      <c r="FIZ154" s="108"/>
      <c r="FJA154" s="108"/>
      <c r="FJB154" s="108"/>
      <c r="FJC154" s="108"/>
      <c r="FJD154" s="108"/>
      <c r="FJE154" s="108"/>
      <c r="FJF154" s="108"/>
      <c r="FJG154" s="108"/>
      <c r="FJH154" s="108"/>
      <c r="FJI154" s="108"/>
      <c r="FJJ154" s="108"/>
      <c r="FJK154" s="108"/>
      <c r="FJL154" s="108"/>
      <c r="FJM154" s="108"/>
      <c r="FJN154" s="108"/>
      <c r="FJO154" s="108"/>
      <c r="FJP154" s="108"/>
      <c r="FJQ154" s="108"/>
      <c r="FJR154" s="108"/>
      <c r="FJS154" s="108"/>
      <c r="FJT154" s="108"/>
      <c r="FJU154" s="108"/>
      <c r="FJV154" s="108"/>
      <c r="FJW154" s="108"/>
      <c r="FJX154" s="108"/>
      <c r="FJY154" s="108"/>
      <c r="FJZ154" s="108"/>
      <c r="FKA154" s="108"/>
      <c r="FKB154" s="108"/>
      <c r="FKC154" s="108"/>
      <c r="FKD154" s="108"/>
      <c r="FKE154" s="108"/>
      <c r="FKF154" s="108"/>
      <c r="FKG154" s="108"/>
      <c r="FKH154" s="108"/>
      <c r="FKI154" s="108"/>
      <c r="FKJ154" s="108"/>
      <c r="FKK154" s="108"/>
      <c r="FKL154" s="108"/>
      <c r="FKM154" s="108"/>
      <c r="FKN154" s="108"/>
      <c r="FKO154" s="108"/>
      <c r="FKP154" s="108"/>
      <c r="FKQ154" s="108"/>
      <c r="FKR154" s="108"/>
      <c r="FKS154" s="108"/>
      <c r="FKT154" s="108"/>
      <c r="FKU154" s="108"/>
      <c r="FKV154" s="108"/>
      <c r="FKW154" s="108"/>
      <c r="FKX154" s="108"/>
      <c r="FKY154" s="108"/>
      <c r="FKZ154" s="108"/>
      <c r="FLA154" s="108"/>
      <c r="FLB154" s="108"/>
      <c r="FLC154" s="108"/>
      <c r="FLD154" s="108"/>
      <c r="FLE154" s="108"/>
      <c r="FLF154" s="108"/>
      <c r="FLG154" s="108"/>
      <c r="FLH154" s="108"/>
      <c r="FLI154" s="108"/>
      <c r="FLJ154" s="108"/>
      <c r="FLK154" s="108"/>
      <c r="FLL154" s="108"/>
      <c r="FLM154" s="108"/>
      <c r="FLN154" s="108"/>
      <c r="FLO154" s="108"/>
      <c r="FLP154" s="108"/>
      <c r="FLQ154" s="108"/>
      <c r="FLR154" s="108"/>
      <c r="FLS154" s="108"/>
      <c r="FLT154" s="108"/>
      <c r="FLU154" s="108"/>
      <c r="FLV154" s="108"/>
      <c r="FLW154" s="108"/>
      <c r="FLX154" s="108"/>
      <c r="FLY154" s="108"/>
      <c r="FLZ154" s="108"/>
      <c r="FMA154" s="108"/>
      <c r="FMB154" s="108"/>
      <c r="FMC154" s="108"/>
      <c r="FMD154" s="108"/>
      <c r="FME154" s="108"/>
      <c r="FMF154" s="108"/>
      <c r="FMG154" s="108"/>
      <c r="FMH154" s="108"/>
      <c r="FMI154" s="108"/>
      <c r="FMJ154" s="108"/>
      <c r="FMK154" s="108"/>
      <c r="FML154" s="108"/>
      <c r="FMM154" s="108"/>
      <c r="FMN154" s="108"/>
      <c r="FMO154" s="108"/>
      <c r="FMP154" s="108"/>
      <c r="FMQ154" s="108"/>
      <c r="FMR154" s="108"/>
      <c r="FMS154" s="108"/>
      <c r="FMT154" s="108"/>
      <c r="FMU154" s="108"/>
      <c r="FMV154" s="108"/>
      <c r="FMW154" s="108"/>
      <c r="FMX154" s="108"/>
      <c r="FMY154" s="108"/>
      <c r="FMZ154" s="108"/>
      <c r="FNA154" s="108"/>
      <c r="FNB154" s="108"/>
      <c r="FNC154" s="108"/>
      <c r="FND154" s="108"/>
      <c r="FNE154" s="108"/>
      <c r="FNF154" s="108"/>
      <c r="FNG154" s="108"/>
      <c r="FNH154" s="108"/>
      <c r="FNI154" s="108"/>
      <c r="FNJ154" s="108"/>
      <c r="FNK154" s="108"/>
      <c r="FNL154" s="108"/>
      <c r="FNM154" s="108"/>
      <c r="FNN154" s="108"/>
      <c r="FNO154" s="108"/>
      <c r="FNP154" s="108"/>
      <c r="FNQ154" s="108"/>
      <c r="FNR154" s="108"/>
      <c r="FNS154" s="108"/>
      <c r="FNT154" s="108"/>
      <c r="FNU154" s="108"/>
      <c r="FNV154" s="108"/>
      <c r="FNW154" s="108"/>
      <c r="FNX154" s="108"/>
      <c r="FNY154" s="108"/>
      <c r="FNZ154" s="108"/>
      <c r="FOA154" s="108"/>
      <c r="FOB154" s="108"/>
      <c r="FOC154" s="108"/>
      <c r="FOD154" s="108"/>
      <c r="FOE154" s="108"/>
      <c r="FOF154" s="108"/>
      <c r="FOG154" s="108"/>
      <c r="FOH154" s="108"/>
      <c r="FOI154" s="108"/>
      <c r="FOJ154" s="108"/>
      <c r="FOK154" s="108"/>
      <c r="FOL154" s="108"/>
      <c r="FOM154" s="108"/>
      <c r="FON154" s="108"/>
      <c r="FOO154" s="108"/>
      <c r="FOP154" s="108"/>
      <c r="FOQ154" s="108"/>
      <c r="FOR154" s="108"/>
      <c r="FOS154" s="108"/>
      <c r="FOT154" s="108"/>
      <c r="FOU154" s="108"/>
      <c r="FOV154" s="108"/>
      <c r="FOW154" s="108"/>
      <c r="FOX154" s="108"/>
      <c r="FOY154" s="108"/>
      <c r="FOZ154" s="108"/>
      <c r="FPA154" s="108"/>
      <c r="FPB154" s="108"/>
      <c r="FPC154" s="108"/>
      <c r="FPD154" s="108"/>
      <c r="FPE154" s="108"/>
      <c r="FPF154" s="108"/>
      <c r="FPG154" s="108"/>
      <c r="FPH154" s="108"/>
      <c r="FPI154" s="108"/>
      <c r="FPJ154" s="108"/>
      <c r="FPK154" s="108"/>
      <c r="FPL154" s="108"/>
      <c r="FPM154" s="108"/>
      <c r="FPN154" s="108"/>
      <c r="FPO154" s="108"/>
      <c r="FPP154" s="108"/>
      <c r="FPQ154" s="108"/>
      <c r="FPR154" s="108"/>
      <c r="FPS154" s="108"/>
      <c r="FPT154" s="108"/>
      <c r="FPU154" s="108"/>
      <c r="FPV154" s="108"/>
      <c r="FPW154" s="108"/>
      <c r="FPX154" s="108"/>
      <c r="FPY154" s="108"/>
      <c r="FPZ154" s="108"/>
      <c r="FQA154" s="108"/>
      <c r="FQB154" s="108"/>
      <c r="FQC154" s="108"/>
      <c r="FQD154" s="108"/>
      <c r="FQE154" s="108"/>
      <c r="FQF154" s="108"/>
      <c r="FQG154" s="108"/>
      <c r="FQH154" s="108"/>
      <c r="FQI154" s="108"/>
      <c r="FQJ154" s="108"/>
      <c r="FQK154" s="108"/>
      <c r="FQL154" s="108"/>
      <c r="FQM154" s="108"/>
      <c r="FQN154" s="108"/>
      <c r="FQO154" s="108"/>
      <c r="FQP154" s="108"/>
      <c r="FQQ154" s="108"/>
      <c r="FQR154" s="108"/>
      <c r="FQS154" s="108"/>
      <c r="FQT154" s="108"/>
      <c r="FQU154" s="108"/>
      <c r="FQV154" s="108"/>
      <c r="FQW154" s="108"/>
      <c r="FQX154" s="108"/>
      <c r="FQY154" s="108"/>
      <c r="FQZ154" s="108"/>
      <c r="FRA154" s="108"/>
      <c r="FRB154" s="108"/>
      <c r="FRC154" s="108"/>
      <c r="FRD154" s="108"/>
      <c r="FRE154" s="108"/>
      <c r="FRF154" s="108"/>
      <c r="FRG154" s="108"/>
      <c r="FRH154" s="108"/>
      <c r="FRI154" s="108"/>
      <c r="FRJ154" s="108"/>
      <c r="FRK154" s="108"/>
      <c r="FRL154" s="108"/>
      <c r="FRM154" s="108"/>
      <c r="FRN154" s="108"/>
      <c r="FRO154" s="108"/>
      <c r="FRP154" s="108"/>
      <c r="FRQ154" s="108"/>
      <c r="FRR154" s="108"/>
      <c r="FRS154" s="108"/>
      <c r="FRT154" s="108"/>
      <c r="FRU154" s="108"/>
      <c r="FRV154" s="108"/>
      <c r="FRW154" s="108"/>
      <c r="FRX154" s="108"/>
      <c r="FRY154" s="108"/>
      <c r="FRZ154" s="108"/>
      <c r="FSA154" s="108"/>
      <c r="FSB154" s="108"/>
      <c r="FSC154" s="108"/>
      <c r="FSD154" s="108"/>
      <c r="FSE154" s="108"/>
      <c r="FSF154" s="108"/>
      <c r="FSG154" s="108"/>
      <c r="FSH154" s="108"/>
      <c r="FSI154" s="108"/>
      <c r="FSJ154" s="108"/>
      <c r="FSK154" s="108"/>
      <c r="FSL154" s="108"/>
      <c r="FSM154" s="108"/>
      <c r="FSN154" s="108"/>
      <c r="FSO154" s="108"/>
      <c r="FSP154" s="108"/>
      <c r="FSQ154" s="108"/>
      <c r="FSR154" s="108"/>
      <c r="FSS154" s="108"/>
      <c r="FST154" s="108"/>
      <c r="FSU154" s="108"/>
      <c r="FSV154" s="108"/>
      <c r="FSW154" s="108"/>
      <c r="FSX154" s="108"/>
      <c r="FSY154" s="108"/>
      <c r="FSZ154" s="108"/>
      <c r="FTA154" s="108"/>
      <c r="FTB154" s="108"/>
      <c r="FTC154" s="108"/>
      <c r="FTD154" s="108"/>
      <c r="FTE154" s="108"/>
      <c r="FTF154" s="108"/>
      <c r="FTG154" s="108"/>
      <c r="FTH154" s="108"/>
      <c r="FTI154" s="108"/>
      <c r="FTJ154" s="108"/>
      <c r="FTK154" s="108"/>
      <c r="FTL154" s="108"/>
      <c r="FTM154" s="108"/>
      <c r="FTN154" s="108"/>
      <c r="FTO154" s="108"/>
      <c r="FTP154" s="108"/>
      <c r="FTQ154" s="108"/>
      <c r="FTR154" s="108"/>
      <c r="FTS154" s="108"/>
      <c r="FTT154" s="108"/>
      <c r="FTU154" s="108"/>
      <c r="FTV154" s="108"/>
      <c r="FTW154" s="108"/>
      <c r="FTX154" s="108"/>
      <c r="FTY154" s="108"/>
      <c r="FTZ154" s="108"/>
      <c r="FUA154" s="108"/>
      <c r="FUB154" s="108"/>
      <c r="FUC154" s="108"/>
      <c r="FUD154" s="108"/>
      <c r="FUE154" s="108"/>
      <c r="FUF154" s="108"/>
      <c r="FUG154" s="108"/>
      <c r="FUH154" s="108"/>
      <c r="FUI154" s="108"/>
      <c r="FUJ154" s="108"/>
      <c r="FUK154" s="108"/>
      <c r="FUL154" s="108"/>
      <c r="FUM154" s="108"/>
      <c r="FUN154" s="108"/>
      <c r="FUO154" s="108"/>
      <c r="FUP154" s="108"/>
      <c r="FUQ154" s="108"/>
      <c r="FUR154" s="108"/>
      <c r="FUS154" s="108"/>
      <c r="FUT154" s="108"/>
      <c r="FUU154" s="108"/>
      <c r="FUV154" s="108"/>
      <c r="FUW154" s="108"/>
      <c r="FUX154" s="108"/>
      <c r="FUY154" s="108"/>
      <c r="FUZ154" s="108"/>
      <c r="FVA154" s="108"/>
      <c r="FVB154" s="108"/>
      <c r="FVC154" s="108"/>
      <c r="FVD154" s="108"/>
      <c r="FVE154" s="108"/>
      <c r="FVF154" s="108"/>
      <c r="FVG154" s="108"/>
      <c r="FVH154" s="108"/>
      <c r="FVI154" s="108"/>
      <c r="FVJ154" s="108"/>
      <c r="FVK154" s="108"/>
      <c r="FVL154" s="108"/>
      <c r="FVM154" s="108"/>
      <c r="FVN154" s="108"/>
      <c r="FVO154" s="108"/>
      <c r="FVP154" s="108"/>
      <c r="FVQ154" s="108"/>
      <c r="FVR154" s="108"/>
      <c r="FVS154" s="108"/>
      <c r="FVT154" s="108"/>
      <c r="FVU154" s="108"/>
      <c r="FVV154" s="108"/>
      <c r="FVW154" s="108"/>
      <c r="FVX154" s="108"/>
      <c r="FVY154" s="108"/>
      <c r="FVZ154" s="108"/>
      <c r="FWA154" s="108"/>
      <c r="FWB154" s="108"/>
      <c r="FWC154" s="108"/>
      <c r="FWD154" s="108"/>
      <c r="FWE154" s="108"/>
      <c r="FWF154" s="108"/>
      <c r="FWG154" s="108"/>
      <c r="FWH154" s="108"/>
      <c r="FWI154" s="108"/>
      <c r="FWJ154" s="108"/>
      <c r="FWK154" s="108"/>
      <c r="FWL154" s="108"/>
      <c r="FWM154" s="108"/>
      <c r="FWN154" s="108"/>
      <c r="FWO154" s="108"/>
      <c r="FWP154" s="108"/>
      <c r="FWQ154" s="108"/>
      <c r="FWR154" s="108"/>
      <c r="FWS154" s="108"/>
      <c r="FWT154" s="108"/>
      <c r="FWU154" s="108"/>
      <c r="FWV154" s="108"/>
      <c r="FWW154" s="108"/>
      <c r="FWX154" s="108"/>
      <c r="FWY154" s="108"/>
      <c r="FWZ154" s="108"/>
      <c r="FXA154" s="108"/>
      <c r="FXB154" s="108"/>
      <c r="FXC154" s="108"/>
      <c r="FXD154" s="108"/>
      <c r="FXE154" s="108"/>
      <c r="FXF154" s="108"/>
      <c r="FXG154" s="108"/>
      <c r="FXH154" s="108"/>
      <c r="FXI154" s="108"/>
      <c r="FXJ154" s="108"/>
      <c r="FXK154" s="108"/>
      <c r="FXL154" s="108"/>
      <c r="FXM154" s="108"/>
      <c r="FXN154" s="108"/>
      <c r="FXO154" s="108"/>
      <c r="FXP154" s="108"/>
      <c r="FXQ154" s="108"/>
      <c r="FXR154" s="108"/>
      <c r="FXS154" s="108"/>
      <c r="FXT154" s="108"/>
      <c r="FXU154" s="108"/>
      <c r="FXV154" s="108"/>
      <c r="FXW154" s="108"/>
      <c r="FXX154" s="108"/>
      <c r="FXY154" s="108"/>
      <c r="FXZ154" s="108"/>
      <c r="FYA154" s="108"/>
      <c r="FYB154" s="108"/>
      <c r="FYC154" s="108"/>
      <c r="FYD154" s="108"/>
      <c r="FYE154" s="108"/>
      <c r="FYF154" s="108"/>
      <c r="FYG154" s="108"/>
      <c r="FYH154" s="108"/>
      <c r="FYI154" s="108"/>
      <c r="FYJ154" s="108"/>
      <c r="FYK154" s="108"/>
      <c r="FYL154" s="108"/>
      <c r="FYM154" s="108"/>
      <c r="FYN154" s="108"/>
      <c r="FYO154" s="108"/>
      <c r="FYP154" s="108"/>
      <c r="FYQ154" s="108"/>
      <c r="FYR154" s="108"/>
      <c r="FYS154" s="108"/>
      <c r="FYT154" s="108"/>
      <c r="FYU154" s="108"/>
      <c r="FYV154" s="108"/>
      <c r="FYW154" s="108"/>
      <c r="FYX154" s="108"/>
      <c r="FYY154" s="108"/>
      <c r="FYZ154" s="108"/>
      <c r="FZA154" s="108"/>
      <c r="FZB154" s="108"/>
      <c r="FZC154" s="108"/>
      <c r="FZD154" s="108"/>
      <c r="FZE154" s="108"/>
      <c r="FZF154" s="108"/>
      <c r="FZG154" s="108"/>
      <c r="FZH154" s="108"/>
      <c r="FZI154" s="108"/>
      <c r="FZJ154" s="108"/>
      <c r="FZK154" s="108"/>
      <c r="FZL154" s="108"/>
      <c r="FZM154" s="108"/>
      <c r="FZN154" s="108"/>
      <c r="FZO154" s="108"/>
      <c r="FZP154" s="108"/>
      <c r="FZQ154" s="108"/>
      <c r="FZR154" s="108"/>
      <c r="FZS154" s="108"/>
      <c r="FZT154" s="108"/>
      <c r="FZU154" s="108"/>
      <c r="FZV154" s="108"/>
      <c r="FZW154" s="108"/>
      <c r="FZX154" s="108"/>
      <c r="FZY154" s="108"/>
      <c r="FZZ154" s="108"/>
      <c r="GAA154" s="108"/>
      <c r="GAB154" s="108"/>
      <c r="GAC154" s="108"/>
      <c r="GAD154" s="108"/>
      <c r="GAE154" s="108"/>
      <c r="GAF154" s="108"/>
      <c r="GAG154" s="108"/>
      <c r="GAH154" s="108"/>
      <c r="GAI154" s="108"/>
      <c r="GAJ154" s="108"/>
      <c r="GAK154" s="108"/>
      <c r="GAL154" s="108"/>
      <c r="GAM154" s="108"/>
      <c r="GAN154" s="108"/>
      <c r="GAO154" s="108"/>
      <c r="GAP154" s="108"/>
      <c r="GAQ154" s="108"/>
      <c r="GAR154" s="108"/>
      <c r="GAS154" s="108"/>
      <c r="GAT154" s="108"/>
      <c r="GAU154" s="108"/>
      <c r="GAV154" s="108"/>
      <c r="GAW154" s="108"/>
      <c r="GAX154" s="108"/>
      <c r="GAY154" s="108"/>
      <c r="GAZ154" s="108"/>
      <c r="GBA154" s="108"/>
      <c r="GBB154" s="108"/>
      <c r="GBC154" s="108"/>
      <c r="GBD154" s="108"/>
      <c r="GBE154" s="108"/>
      <c r="GBF154" s="108"/>
      <c r="GBG154" s="108"/>
      <c r="GBH154" s="108"/>
      <c r="GBI154" s="108"/>
      <c r="GBJ154" s="108"/>
      <c r="GBK154" s="108"/>
      <c r="GBL154" s="108"/>
      <c r="GBM154" s="108"/>
      <c r="GBN154" s="108"/>
      <c r="GBO154" s="108"/>
      <c r="GBP154" s="108"/>
      <c r="GBQ154" s="108"/>
      <c r="GBR154" s="108"/>
      <c r="GBS154" s="108"/>
      <c r="GBT154" s="108"/>
      <c r="GBU154" s="108"/>
      <c r="GBV154" s="108"/>
      <c r="GBW154" s="108"/>
      <c r="GBX154" s="108"/>
      <c r="GBY154" s="108"/>
      <c r="GBZ154" s="108"/>
      <c r="GCA154" s="108"/>
      <c r="GCB154" s="108"/>
      <c r="GCC154" s="108"/>
      <c r="GCD154" s="108"/>
      <c r="GCE154" s="108"/>
      <c r="GCF154" s="108"/>
      <c r="GCG154" s="108"/>
      <c r="GCH154" s="108"/>
      <c r="GCI154" s="108"/>
      <c r="GCJ154" s="108"/>
      <c r="GCK154" s="108"/>
      <c r="GCL154" s="108"/>
      <c r="GCM154" s="108"/>
      <c r="GCN154" s="108"/>
      <c r="GCO154" s="108"/>
      <c r="GCP154" s="108"/>
      <c r="GCQ154" s="108"/>
      <c r="GCR154" s="108"/>
      <c r="GCS154" s="108"/>
      <c r="GCT154" s="108"/>
      <c r="GCU154" s="108"/>
      <c r="GCV154" s="108"/>
      <c r="GCW154" s="108"/>
      <c r="GCX154" s="108"/>
      <c r="GCY154" s="108"/>
      <c r="GCZ154" s="108"/>
      <c r="GDA154" s="108"/>
      <c r="GDB154" s="108"/>
      <c r="GDC154" s="108"/>
      <c r="GDD154" s="108"/>
      <c r="GDE154" s="108"/>
      <c r="GDF154" s="108"/>
      <c r="GDG154" s="108"/>
      <c r="GDH154" s="108"/>
      <c r="GDI154" s="108"/>
      <c r="GDJ154" s="108"/>
      <c r="GDK154" s="108"/>
      <c r="GDL154" s="108"/>
      <c r="GDM154" s="108"/>
      <c r="GDN154" s="108"/>
      <c r="GDO154" s="108"/>
      <c r="GDP154" s="108"/>
      <c r="GDQ154" s="108"/>
      <c r="GDR154" s="108"/>
      <c r="GDS154" s="108"/>
      <c r="GDT154" s="108"/>
      <c r="GDU154" s="108"/>
      <c r="GDV154" s="108"/>
      <c r="GDW154" s="108"/>
      <c r="GDX154" s="108"/>
      <c r="GDY154" s="108"/>
      <c r="GDZ154" s="108"/>
      <c r="GEA154" s="108"/>
      <c r="GEB154" s="108"/>
      <c r="GEC154" s="108"/>
      <c r="GED154" s="108"/>
      <c r="GEE154" s="108"/>
      <c r="GEF154" s="108"/>
      <c r="GEG154" s="108"/>
      <c r="GEH154" s="108"/>
      <c r="GEI154" s="108"/>
      <c r="GEJ154" s="108"/>
      <c r="GEK154" s="108"/>
      <c r="GEL154" s="108"/>
      <c r="GEM154" s="108"/>
      <c r="GEN154" s="108"/>
      <c r="GEO154" s="108"/>
      <c r="GEP154" s="108"/>
      <c r="GEQ154" s="108"/>
      <c r="GER154" s="108"/>
      <c r="GES154" s="108"/>
      <c r="GET154" s="108"/>
      <c r="GEU154" s="108"/>
      <c r="GEV154" s="108"/>
      <c r="GEW154" s="108"/>
      <c r="GEX154" s="108"/>
      <c r="GEY154" s="108"/>
      <c r="GEZ154" s="108"/>
      <c r="GFA154" s="108"/>
      <c r="GFB154" s="108"/>
      <c r="GFC154" s="108"/>
      <c r="GFD154" s="108"/>
      <c r="GFE154" s="108"/>
      <c r="GFF154" s="108"/>
      <c r="GFG154" s="108"/>
      <c r="GFH154" s="108"/>
      <c r="GFI154" s="108"/>
      <c r="GFJ154" s="108"/>
      <c r="GFK154" s="108"/>
      <c r="GFL154" s="108"/>
      <c r="GFM154" s="108"/>
      <c r="GFN154" s="108"/>
      <c r="GFO154" s="108"/>
      <c r="GFP154" s="108"/>
      <c r="GFQ154" s="108"/>
      <c r="GFR154" s="108"/>
      <c r="GFS154" s="108"/>
      <c r="GFT154" s="108"/>
      <c r="GFU154" s="108"/>
      <c r="GFV154" s="108"/>
      <c r="GFW154" s="108"/>
      <c r="GFX154" s="108"/>
      <c r="GFY154" s="108"/>
      <c r="GFZ154" s="108"/>
      <c r="GGA154" s="108"/>
      <c r="GGB154" s="108"/>
      <c r="GGC154" s="108"/>
      <c r="GGD154" s="108"/>
      <c r="GGE154" s="108"/>
      <c r="GGF154" s="108"/>
      <c r="GGG154" s="108"/>
      <c r="GGH154" s="108"/>
      <c r="GGI154" s="108"/>
      <c r="GGJ154" s="108"/>
      <c r="GGK154" s="108"/>
      <c r="GGL154" s="108"/>
      <c r="GGM154" s="108"/>
      <c r="GGN154" s="108"/>
      <c r="GGO154" s="108"/>
      <c r="GGP154" s="108"/>
      <c r="GGQ154" s="108"/>
      <c r="GGR154" s="108"/>
      <c r="GGS154" s="108"/>
      <c r="GGT154" s="108"/>
      <c r="GGU154" s="108"/>
      <c r="GGV154" s="108"/>
      <c r="GGW154" s="108"/>
      <c r="GGX154" s="108"/>
      <c r="GGY154" s="108"/>
      <c r="GGZ154" s="108"/>
      <c r="GHA154" s="108"/>
      <c r="GHB154" s="108"/>
      <c r="GHC154" s="108"/>
      <c r="GHD154" s="108"/>
      <c r="GHE154" s="108"/>
      <c r="GHF154" s="108"/>
      <c r="GHG154" s="108"/>
      <c r="GHH154" s="108"/>
      <c r="GHI154" s="108"/>
      <c r="GHJ154" s="108"/>
      <c r="GHK154" s="108"/>
      <c r="GHL154" s="108"/>
      <c r="GHM154" s="108"/>
      <c r="GHN154" s="108"/>
      <c r="GHO154" s="108"/>
      <c r="GHP154" s="108"/>
      <c r="GHQ154" s="108"/>
      <c r="GHR154" s="108"/>
      <c r="GHS154" s="108"/>
      <c r="GHT154" s="108"/>
      <c r="GHU154" s="108"/>
      <c r="GHV154" s="108"/>
      <c r="GHW154" s="108"/>
      <c r="GHX154" s="108"/>
      <c r="GHY154" s="108"/>
      <c r="GHZ154" s="108"/>
      <c r="GIA154" s="108"/>
      <c r="GIB154" s="108"/>
      <c r="GIC154" s="108"/>
      <c r="GID154" s="108"/>
      <c r="GIE154" s="108"/>
      <c r="GIF154" s="108"/>
      <c r="GIG154" s="108"/>
      <c r="GIH154" s="108"/>
      <c r="GII154" s="108"/>
      <c r="GIJ154" s="108"/>
      <c r="GIK154" s="108"/>
      <c r="GIL154" s="108"/>
      <c r="GIM154" s="108"/>
      <c r="GIN154" s="108"/>
      <c r="GIO154" s="108"/>
      <c r="GIP154" s="108"/>
      <c r="GIQ154" s="108"/>
      <c r="GIR154" s="108"/>
      <c r="GIS154" s="108"/>
      <c r="GIT154" s="108"/>
      <c r="GIU154" s="108"/>
      <c r="GIV154" s="108"/>
      <c r="GIW154" s="108"/>
      <c r="GIX154" s="108"/>
      <c r="GIY154" s="108"/>
      <c r="GIZ154" s="108"/>
      <c r="GJA154" s="108"/>
      <c r="GJB154" s="108"/>
      <c r="GJC154" s="108"/>
      <c r="GJD154" s="108"/>
      <c r="GJE154" s="108"/>
      <c r="GJF154" s="108"/>
      <c r="GJG154" s="108"/>
      <c r="GJH154" s="108"/>
      <c r="GJI154" s="108"/>
      <c r="GJJ154" s="108"/>
      <c r="GJK154" s="108"/>
      <c r="GJL154" s="108"/>
      <c r="GJM154" s="108"/>
      <c r="GJN154" s="108"/>
      <c r="GJO154" s="108"/>
      <c r="GJP154" s="108"/>
      <c r="GJQ154" s="108"/>
      <c r="GJR154" s="108"/>
      <c r="GJS154" s="108"/>
      <c r="GJT154" s="108"/>
      <c r="GJU154" s="108"/>
      <c r="GJV154" s="108"/>
      <c r="GJW154" s="108"/>
      <c r="GJX154" s="108"/>
      <c r="GJY154" s="108"/>
      <c r="GJZ154" s="108"/>
      <c r="GKA154" s="108"/>
      <c r="GKB154" s="108"/>
      <c r="GKC154" s="108"/>
      <c r="GKD154" s="108"/>
      <c r="GKE154" s="108"/>
      <c r="GKF154" s="108"/>
      <c r="GKG154" s="108"/>
      <c r="GKH154" s="108"/>
      <c r="GKI154" s="108"/>
      <c r="GKJ154" s="108"/>
      <c r="GKK154" s="108"/>
      <c r="GKL154" s="108"/>
      <c r="GKM154" s="108"/>
      <c r="GKN154" s="108"/>
      <c r="GKO154" s="108"/>
      <c r="GKP154" s="108"/>
      <c r="GKQ154" s="108"/>
      <c r="GKR154" s="108"/>
      <c r="GKS154" s="108"/>
      <c r="GKT154" s="108"/>
      <c r="GKU154" s="108"/>
      <c r="GKV154" s="108"/>
      <c r="GKW154" s="108"/>
      <c r="GKX154" s="108"/>
      <c r="GKY154" s="108"/>
      <c r="GKZ154" s="108"/>
      <c r="GLA154" s="108"/>
      <c r="GLB154" s="108"/>
      <c r="GLC154" s="108"/>
      <c r="GLD154" s="108"/>
      <c r="GLE154" s="108"/>
      <c r="GLF154" s="108"/>
      <c r="GLG154" s="108"/>
      <c r="GLH154" s="108"/>
      <c r="GLI154" s="108"/>
      <c r="GLJ154" s="108"/>
      <c r="GLK154" s="108"/>
      <c r="GLL154" s="108"/>
      <c r="GLM154" s="108"/>
      <c r="GLN154" s="108"/>
      <c r="GLO154" s="108"/>
      <c r="GLP154" s="108"/>
      <c r="GLQ154" s="108"/>
      <c r="GLR154" s="108"/>
      <c r="GLS154" s="108"/>
      <c r="GLT154" s="108"/>
      <c r="GLU154" s="108"/>
      <c r="GLV154" s="108"/>
      <c r="GLW154" s="108"/>
      <c r="GLX154" s="108"/>
      <c r="GLY154" s="108"/>
      <c r="GLZ154" s="108"/>
      <c r="GMA154" s="108"/>
      <c r="GMB154" s="108"/>
      <c r="GMC154" s="108"/>
      <c r="GMD154" s="108"/>
      <c r="GME154" s="108"/>
      <c r="GMF154" s="108"/>
      <c r="GMG154" s="108"/>
      <c r="GMH154" s="108"/>
      <c r="GMI154" s="108"/>
      <c r="GMJ154" s="108"/>
      <c r="GMK154" s="108"/>
      <c r="GML154" s="108"/>
      <c r="GMM154" s="108"/>
      <c r="GMN154" s="108"/>
      <c r="GMO154" s="108"/>
      <c r="GMP154" s="108"/>
      <c r="GMQ154" s="108"/>
      <c r="GMR154" s="108"/>
      <c r="GMS154" s="108"/>
      <c r="GMT154" s="108"/>
      <c r="GMU154" s="108"/>
      <c r="GMV154" s="108"/>
      <c r="GMW154" s="108"/>
      <c r="GMX154" s="108"/>
      <c r="GMY154" s="108"/>
      <c r="GMZ154" s="108"/>
      <c r="GNA154" s="108"/>
      <c r="GNB154" s="108"/>
      <c r="GNC154" s="108"/>
      <c r="GND154" s="108"/>
      <c r="GNE154" s="108"/>
      <c r="GNF154" s="108"/>
      <c r="GNG154" s="108"/>
      <c r="GNH154" s="108"/>
      <c r="GNI154" s="108"/>
      <c r="GNJ154" s="108"/>
      <c r="GNK154" s="108"/>
      <c r="GNL154" s="108"/>
      <c r="GNM154" s="108"/>
      <c r="GNN154" s="108"/>
      <c r="GNO154" s="108"/>
      <c r="GNP154" s="108"/>
      <c r="GNQ154" s="108"/>
      <c r="GNR154" s="108"/>
      <c r="GNS154" s="108"/>
      <c r="GNT154" s="108"/>
      <c r="GNU154" s="108"/>
      <c r="GNV154" s="108"/>
      <c r="GNW154" s="108"/>
      <c r="GNX154" s="108"/>
      <c r="GNY154" s="108"/>
      <c r="GNZ154" s="108"/>
      <c r="GOA154" s="108"/>
      <c r="GOB154" s="108"/>
      <c r="GOC154" s="108"/>
      <c r="GOD154" s="108"/>
      <c r="GOE154" s="108"/>
      <c r="GOF154" s="108"/>
      <c r="GOG154" s="108"/>
      <c r="GOH154" s="108"/>
      <c r="GOI154" s="108"/>
      <c r="GOJ154" s="108"/>
      <c r="GOK154" s="108"/>
      <c r="GOL154" s="108"/>
      <c r="GOM154" s="108"/>
      <c r="GON154" s="108"/>
      <c r="GOO154" s="108"/>
      <c r="GOP154" s="108"/>
      <c r="GOQ154" s="108"/>
      <c r="GOR154" s="108"/>
      <c r="GOS154" s="108"/>
      <c r="GOT154" s="108"/>
      <c r="GOU154" s="108"/>
      <c r="GOV154" s="108"/>
      <c r="GOW154" s="108"/>
      <c r="GOX154" s="108"/>
      <c r="GOY154" s="108"/>
      <c r="GOZ154" s="108"/>
      <c r="GPA154" s="108"/>
      <c r="GPB154" s="108"/>
      <c r="GPC154" s="108"/>
      <c r="GPD154" s="108"/>
      <c r="GPE154" s="108"/>
      <c r="GPF154" s="108"/>
      <c r="GPG154" s="108"/>
      <c r="GPH154" s="108"/>
      <c r="GPI154" s="108"/>
      <c r="GPJ154" s="108"/>
      <c r="GPK154" s="108"/>
      <c r="GPL154" s="108"/>
      <c r="GPM154" s="108"/>
      <c r="GPN154" s="108"/>
      <c r="GPO154" s="108"/>
      <c r="GPP154" s="108"/>
      <c r="GPQ154" s="108"/>
      <c r="GPR154" s="108"/>
      <c r="GPS154" s="108"/>
      <c r="GPT154" s="108"/>
      <c r="GPU154" s="108"/>
      <c r="GPV154" s="108"/>
      <c r="GPW154" s="108"/>
      <c r="GPX154" s="108"/>
      <c r="GPY154" s="108"/>
      <c r="GPZ154" s="108"/>
      <c r="GQA154" s="108"/>
      <c r="GQB154" s="108"/>
      <c r="GQC154" s="108"/>
      <c r="GQD154" s="108"/>
      <c r="GQE154" s="108"/>
      <c r="GQF154" s="108"/>
      <c r="GQG154" s="108"/>
      <c r="GQH154" s="108"/>
      <c r="GQI154" s="108"/>
      <c r="GQJ154" s="108"/>
      <c r="GQK154" s="108"/>
      <c r="GQL154" s="108"/>
      <c r="GQM154" s="108"/>
      <c r="GQN154" s="108"/>
      <c r="GQO154" s="108"/>
      <c r="GQP154" s="108"/>
      <c r="GQQ154" s="108"/>
      <c r="GQR154" s="108"/>
      <c r="GQS154" s="108"/>
      <c r="GQT154" s="108"/>
      <c r="GQU154" s="108"/>
      <c r="GQV154" s="108"/>
      <c r="GQW154" s="108"/>
      <c r="GQX154" s="108"/>
      <c r="GQY154" s="108"/>
      <c r="GQZ154" s="108"/>
      <c r="GRA154" s="108"/>
      <c r="GRB154" s="108"/>
      <c r="GRC154" s="108"/>
      <c r="GRD154" s="108"/>
      <c r="GRE154" s="108"/>
      <c r="GRF154" s="108"/>
      <c r="GRG154" s="108"/>
      <c r="GRH154" s="108"/>
      <c r="GRI154" s="108"/>
      <c r="GRJ154" s="108"/>
      <c r="GRK154" s="108"/>
      <c r="GRL154" s="108"/>
      <c r="GRM154" s="108"/>
      <c r="GRN154" s="108"/>
      <c r="GRO154" s="108"/>
      <c r="GRP154" s="108"/>
      <c r="GRQ154" s="108"/>
      <c r="GRR154" s="108"/>
      <c r="GRS154" s="108"/>
      <c r="GRT154" s="108"/>
      <c r="GRU154" s="108"/>
      <c r="GRV154" s="108"/>
      <c r="GRW154" s="108"/>
      <c r="GRX154" s="108"/>
      <c r="GRY154" s="108"/>
      <c r="GRZ154" s="108"/>
      <c r="GSA154" s="108"/>
      <c r="GSB154" s="108"/>
      <c r="GSC154" s="108"/>
      <c r="GSD154" s="108"/>
      <c r="GSE154" s="108"/>
      <c r="GSF154" s="108"/>
      <c r="GSG154" s="108"/>
      <c r="GSH154" s="108"/>
      <c r="GSI154" s="108"/>
      <c r="GSJ154" s="108"/>
      <c r="GSK154" s="108"/>
      <c r="GSL154" s="108"/>
      <c r="GSM154" s="108"/>
      <c r="GSN154" s="108"/>
      <c r="GSO154" s="108"/>
      <c r="GSP154" s="108"/>
      <c r="GSQ154" s="108"/>
      <c r="GSR154" s="108"/>
      <c r="GSS154" s="108"/>
      <c r="GST154" s="108"/>
      <c r="GSU154" s="108"/>
      <c r="GSV154" s="108"/>
      <c r="GSW154" s="108"/>
      <c r="GSX154" s="108"/>
      <c r="GSY154" s="108"/>
      <c r="GSZ154" s="108"/>
      <c r="GTA154" s="108"/>
      <c r="GTB154" s="108"/>
      <c r="GTC154" s="108"/>
      <c r="GTD154" s="108"/>
      <c r="GTE154" s="108"/>
      <c r="GTF154" s="108"/>
      <c r="GTG154" s="108"/>
      <c r="GTH154" s="108"/>
      <c r="GTI154" s="108"/>
      <c r="GTJ154" s="108"/>
      <c r="GTK154" s="108"/>
      <c r="GTL154" s="108"/>
      <c r="GTM154" s="108"/>
      <c r="GTN154" s="108"/>
      <c r="GTO154" s="108"/>
      <c r="GTP154" s="108"/>
      <c r="GTQ154" s="108"/>
      <c r="GTR154" s="108"/>
      <c r="GTS154" s="108"/>
      <c r="GTT154" s="108"/>
      <c r="GTU154" s="108"/>
      <c r="GTV154" s="108"/>
      <c r="GTW154" s="108"/>
      <c r="GTX154" s="108"/>
      <c r="GTY154" s="108"/>
      <c r="GTZ154" s="108"/>
      <c r="GUA154" s="108"/>
      <c r="GUB154" s="108"/>
      <c r="GUC154" s="108"/>
      <c r="GUD154" s="108"/>
      <c r="GUE154" s="108"/>
      <c r="GUF154" s="108"/>
      <c r="GUG154" s="108"/>
      <c r="GUH154" s="108"/>
      <c r="GUI154" s="108"/>
      <c r="GUJ154" s="108"/>
      <c r="GUK154" s="108"/>
      <c r="GUL154" s="108"/>
      <c r="GUM154" s="108"/>
      <c r="GUN154" s="108"/>
      <c r="GUO154" s="108"/>
      <c r="GUP154" s="108"/>
      <c r="GUQ154" s="108"/>
      <c r="GUR154" s="108"/>
      <c r="GUS154" s="108"/>
      <c r="GUT154" s="108"/>
      <c r="GUU154" s="108"/>
      <c r="GUV154" s="108"/>
      <c r="GUW154" s="108"/>
      <c r="GUX154" s="108"/>
      <c r="GUY154" s="108"/>
      <c r="GUZ154" s="108"/>
      <c r="GVA154" s="108"/>
      <c r="GVB154" s="108"/>
      <c r="GVC154" s="108"/>
      <c r="GVD154" s="108"/>
      <c r="GVE154" s="108"/>
      <c r="GVF154" s="108"/>
      <c r="GVG154" s="108"/>
      <c r="GVH154" s="108"/>
      <c r="GVI154" s="108"/>
      <c r="GVJ154" s="108"/>
      <c r="GVK154" s="108"/>
      <c r="GVL154" s="108"/>
      <c r="GVM154" s="108"/>
      <c r="GVN154" s="108"/>
      <c r="GVO154" s="108"/>
      <c r="GVP154" s="108"/>
      <c r="GVQ154" s="108"/>
      <c r="GVR154" s="108"/>
      <c r="GVS154" s="108"/>
      <c r="GVT154" s="108"/>
      <c r="GVU154" s="108"/>
      <c r="GVV154" s="108"/>
      <c r="GVW154" s="108"/>
      <c r="GVX154" s="108"/>
      <c r="GVY154" s="108"/>
      <c r="GVZ154" s="108"/>
      <c r="GWA154" s="108"/>
      <c r="GWB154" s="108"/>
      <c r="GWC154" s="108"/>
      <c r="GWD154" s="108"/>
      <c r="GWE154" s="108"/>
      <c r="GWF154" s="108"/>
      <c r="GWG154" s="108"/>
      <c r="GWH154" s="108"/>
      <c r="GWI154" s="108"/>
      <c r="GWJ154" s="108"/>
      <c r="GWK154" s="108"/>
      <c r="GWL154" s="108"/>
      <c r="GWM154" s="108"/>
      <c r="GWN154" s="108"/>
      <c r="GWO154" s="108"/>
      <c r="GWP154" s="108"/>
      <c r="GWQ154" s="108"/>
      <c r="GWR154" s="108"/>
      <c r="GWS154" s="108"/>
      <c r="GWT154" s="108"/>
      <c r="GWU154" s="108"/>
      <c r="GWV154" s="108"/>
      <c r="GWW154" s="108"/>
      <c r="GWX154" s="108"/>
      <c r="GWY154" s="108"/>
      <c r="GWZ154" s="108"/>
      <c r="GXA154" s="108"/>
      <c r="GXB154" s="108"/>
      <c r="GXC154" s="108"/>
      <c r="GXD154" s="108"/>
      <c r="GXE154" s="108"/>
      <c r="GXF154" s="108"/>
      <c r="GXG154" s="108"/>
      <c r="GXH154" s="108"/>
      <c r="GXI154" s="108"/>
      <c r="GXJ154" s="108"/>
      <c r="GXK154" s="108"/>
      <c r="GXL154" s="108"/>
      <c r="GXM154" s="108"/>
      <c r="GXN154" s="108"/>
      <c r="GXO154" s="108"/>
      <c r="GXP154" s="108"/>
      <c r="GXQ154" s="108"/>
      <c r="GXR154" s="108"/>
      <c r="GXS154" s="108"/>
      <c r="GXT154" s="108"/>
      <c r="GXU154" s="108"/>
      <c r="GXV154" s="108"/>
      <c r="GXW154" s="108"/>
      <c r="GXX154" s="108"/>
      <c r="GXY154" s="108"/>
      <c r="GXZ154" s="108"/>
      <c r="GYA154" s="108"/>
      <c r="GYB154" s="108"/>
      <c r="GYC154" s="108"/>
      <c r="GYD154" s="108"/>
      <c r="GYE154" s="108"/>
      <c r="GYF154" s="108"/>
      <c r="GYG154" s="108"/>
      <c r="GYH154" s="108"/>
      <c r="GYI154" s="108"/>
      <c r="GYJ154" s="108"/>
      <c r="GYK154" s="108"/>
      <c r="GYL154" s="108"/>
      <c r="GYM154" s="108"/>
      <c r="GYN154" s="108"/>
      <c r="GYO154" s="108"/>
      <c r="GYP154" s="108"/>
      <c r="GYQ154" s="108"/>
      <c r="GYR154" s="108"/>
      <c r="GYS154" s="108"/>
      <c r="GYT154" s="108"/>
      <c r="GYU154" s="108"/>
      <c r="GYV154" s="108"/>
      <c r="GYW154" s="108"/>
      <c r="GYX154" s="108"/>
      <c r="GYY154" s="108"/>
      <c r="GYZ154" s="108"/>
      <c r="GZA154" s="108"/>
      <c r="GZB154" s="108"/>
      <c r="GZC154" s="108"/>
      <c r="GZD154" s="108"/>
      <c r="GZE154" s="108"/>
      <c r="GZF154" s="108"/>
      <c r="GZG154" s="108"/>
      <c r="GZH154" s="108"/>
      <c r="GZI154" s="108"/>
      <c r="GZJ154" s="108"/>
      <c r="GZK154" s="108"/>
      <c r="GZL154" s="108"/>
      <c r="GZM154" s="108"/>
      <c r="GZN154" s="108"/>
      <c r="GZO154" s="108"/>
      <c r="GZP154" s="108"/>
      <c r="GZQ154" s="108"/>
      <c r="GZR154" s="108"/>
      <c r="GZS154" s="108"/>
      <c r="GZT154" s="108"/>
      <c r="GZU154" s="108"/>
      <c r="GZV154" s="108"/>
      <c r="GZW154" s="108"/>
      <c r="GZX154" s="108"/>
      <c r="GZY154" s="108"/>
      <c r="GZZ154" s="108"/>
      <c r="HAA154" s="108"/>
      <c r="HAB154" s="108"/>
      <c r="HAC154" s="108"/>
      <c r="HAD154" s="108"/>
      <c r="HAE154" s="108"/>
      <c r="HAF154" s="108"/>
      <c r="HAG154" s="108"/>
      <c r="HAH154" s="108"/>
      <c r="HAI154" s="108"/>
      <c r="HAJ154" s="108"/>
      <c r="HAK154" s="108"/>
      <c r="HAL154" s="108"/>
      <c r="HAM154" s="108"/>
      <c r="HAN154" s="108"/>
      <c r="HAO154" s="108"/>
      <c r="HAP154" s="108"/>
      <c r="HAQ154" s="108"/>
      <c r="HAR154" s="108"/>
      <c r="HAS154" s="108"/>
      <c r="HAT154" s="108"/>
      <c r="HAU154" s="108"/>
      <c r="HAV154" s="108"/>
      <c r="HAW154" s="108"/>
      <c r="HAX154" s="108"/>
      <c r="HAY154" s="108"/>
      <c r="HAZ154" s="108"/>
      <c r="HBA154" s="108"/>
      <c r="HBB154" s="108"/>
      <c r="HBC154" s="108"/>
      <c r="HBD154" s="108"/>
      <c r="HBE154" s="108"/>
      <c r="HBF154" s="108"/>
      <c r="HBG154" s="108"/>
      <c r="HBH154" s="108"/>
      <c r="HBI154" s="108"/>
      <c r="HBJ154" s="108"/>
      <c r="HBK154" s="108"/>
      <c r="HBL154" s="108"/>
      <c r="HBM154" s="108"/>
      <c r="HBN154" s="108"/>
      <c r="HBO154" s="108"/>
      <c r="HBP154" s="108"/>
      <c r="HBQ154" s="108"/>
      <c r="HBR154" s="108"/>
      <c r="HBS154" s="108"/>
      <c r="HBT154" s="108"/>
      <c r="HBU154" s="108"/>
      <c r="HBV154" s="108"/>
      <c r="HBW154" s="108"/>
      <c r="HBX154" s="108"/>
      <c r="HBY154" s="108"/>
      <c r="HBZ154" s="108"/>
      <c r="HCA154" s="108"/>
      <c r="HCB154" s="108"/>
      <c r="HCC154" s="108"/>
      <c r="HCD154" s="108"/>
      <c r="HCE154" s="108"/>
      <c r="HCF154" s="108"/>
      <c r="HCG154" s="108"/>
      <c r="HCH154" s="108"/>
      <c r="HCI154" s="108"/>
      <c r="HCJ154" s="108"/>
      <c r="HCK154" s="108"/>
      <c r="HCL154" s="108"/>
      <c r="HCM154" s="108"/>
      <c r="HCN154" s="108"/>
      <c r="HCO154" s="108"/>
      <c r="HCP154" s="108"/>
      <c r="HCQ154" s="108"/>
      <c r="HCR154" s="108"/>
      <c r="HCS154" s="108"/>
      <c r="HCT154" s="108"/>
      <c r="HCU154" s="108"/>
      <c r="HCV154" s="108"/>
      <c r="HCW154" s="108"/>
      <c r="HCX154" s="108"/>
      <c r="HCY154" s="108"/>
      <c r="HCZ154" s="108"/>
      <c r="HDA154" s="108"/>
      <c r="HDB154" s="108"/>
      <c r="HDC154" s="108"/>
      <c r="HDD154" s="108"/>
      <c r="HDE154" s="108"/>
      <c r="HDF154" s="108"/>
      <c r="HDG154" s="108"/>
      <c r="HDH154" s="108"/>
      <c r="HDI154" s="108"/>
      <c r="HDJ154" s="108"/>
      <c r="HDK154" s="108"/>
      <c r="HDL154" s="108"/>
      <c r="HDM154" s="108"/>
      <c r="HDN154" s="108"/>
      <c r="HDO154" s="108"/>
      <c r="HDP154" s="108"/>
      <c r="HDQ154" s="108"/>
      <c r="HDR154" s="108"/>
      <c r="HDS154" s="108"/>
      <c r="HDT154" s="108"/>
      <c r="HDU154" s="108"/>
      <c r="HDV154" s="108"/>
      <c r="HDW154" s="108"/>
      <c r="HDX154" s="108"/>
      <c r="HDY154" s="108"/>
      <c r="HDZ154" s="108"/>
      <c r="HEA154" s="108"/>
      <c r="HEB154" s="108"/>
      <c r="HEC154" s="108"/>
      <c r="HED154" s="108"/>
      <c r="HEE154" s="108"/>
      <c r="HEF154" s="108"/>
      <c r="HEG154" s="108"/>
      <c r="HEH154" s="108"/>
      <c r="HEI154" s="108"/>
      <c r="HEJ154" s="108"/>
      <c r="HEK154" s="108"/>
      <c r="HEL154" s="108"/>
      <c r="HEM154" s="108"/>
      <c r="HEN154" s="108"/>
      <c r="HEO154" s="108"/>
      <c r="HEP154" s="108"/>
      <c r="HEQ154" s="108"/>
      <c r="HER154" s="108"/>
      <c r="HES154" s="108"/>
      <c r="HET154" s="108"/>
      <c r="HEU154" s="108"/>
      <c r="HEV154" s="108"/>
      <c r="HEW154" s="108"/>
      <c r="HEX154" s="108"/>
      <c r="HEY154" s="108"/>
      <c r="HEZ154" s="108"/>
      <c r="HFA154" s="108"/>
      <c r="HFB154" s="108"/>
      <c r="HFC154" s="108"/>
      <c r="HFD154" s="108"/>
      <c r="HFE154" s="108"/>
      <c r="HFF154" s="108"/>
      <c r="HFG154" s="108"/>
      <c r="HFH154" s="108"/>
      <c r="HFI154" s="108"/>
      <c r="HFJ154" s="108"/>
      <c r="HFK154" s="108"/>
      <c r="HFL154" s="108"/>
      <c r="HFM154" s="108"/>
      <c r="HFN154" s="108"/>
      <c r="HFO154" s="108"/>
      <c r="HFP154" s="108"/>
      <c r="HFQ154" s="108"/>
      <c r="HFR154" s="108"/>
      <c r="HFS154" s="108"/>
      <c r="HFT154" s="108"/>
      <c r="HFU154" s="108"/>
      <c r="HFV154" s="108"/>
      <c r="HFW154" s="108"/>
      <c r="HFX154" s="108"/>
      <c r="HFY154" s="108"/>
      <c r="HFZ154" s="108"/>
      <c r="HGA154" s="108"/>
      <c r="HGB154" s="108"/>
      <c r="HGC154" s="108"/>
      <c r="HGD154" s="108"/>
      <c r="HGE154" s="108"/>
      <c r="HGF154" s="108"/>
      <c r="HGG154" s="108"/>
      <c r="HGH154" s="108"/>
      <c r="HGI154" s="108"/>
      <c r="HGJ154" s="108"/>
      <c r="HGK154" s="108"/>
      <c r="HGL154" s="108"/>
      <c r="HGM154" s="108"/>
      <c r="HGN154" s="108"/>
      <c r="HGO154" s="108"/>
      <c r="HGP154" s="108"/>
      <c r="HGQ154" s="108"/>
      <c r="HGR154" s="108"/>
      <c r="HGS154" s="108"/>
      <c r="HGT154" s="108"/>
      <c r="HGU154" s="108"/>
      <c r="HGV154" s="108"/>
      <c r="HGW154" s="108"/>
      <c r="HGX154" s="108"/>
      <c r="HGY154" s="108"/>
      <c r="HGZ154" s="108"/>
      <c r="HHA154" s="108"/>
      <c r="HHB154" s="108"/>
      <c r="HHC154" s="108"/>
      <c r="HHD154" s="108"/>
      <c r="HHE154" s="108"/>
      <c r="HHF154" s="108"/>
      <c r="HHG154" s="108"/>
      <c r="HHH154" s="108"/>
      <c r="HHI154" s="108"/>
      <c r="HHJ154" s="108"/>
      <c r="HHK154" s="108"/>
      <c r="HHL154" s="108"/>
      <c r="HHM154" s="108"/>
      <c r="HHN154" s="108"/>
      <c r="HHO154" s="108"/>
      <c r="HHP154" s="108"/>
      <c r="HHQ154" s="108"/>
      <c r="HHR154" s="108"/>
      <c r="HHS154" s="108"/>
      <c r="HHT154" s="108"/>
      <c r="HHU154" s="108"/>
      <c r="HHV154" s="108"/>
      <c r="HHW154" s="108"/>
      <c r="HHX154" s="108"/>
      <c r="HHY154" s="108"/>
      <c r="HHZ154" s="108"/>
      <c r="HIA154" s="108"/>
      <c r="HIB154" s="108"/>
      <c r="HIC154" s="108"/>
      <c r="HID154" s="108"/>
      <c r="HIE154" s="108"/>
      <c r="HIF154" s="108"/>
      <c r="HIG154" s="108"/>
      <c r="HIH154" s="108"/>
      <c r="HII154" s="108"/>
      <c r="HIJ154" s="108"/>
      <c r="HIK154" s="108"/>
      <c r="HIL154" s="108"/>
      <c r="HIM154" s="108"/>
      <c r="HIN154" s="108"/>
      <c r="HIO154" s="108"/>
      <c r="HIP154" s="108"/>
      <c r="HIQ154" s="108"/>
      <c r="HIR154" s="108"/>
      <c r="HIS154" s="108"/>
      <c r="HIT154" s="108"/>
      <c r="HIU154" s="108"/>
      <c r="HIV154" s="108"/>
      <c r="HIW154" s="108"/>
      <c r="HIX154" s="108"/>
      <c r="HIY154" s="108"/>
      <c r="HIZ154" s="108"/>
      <c r="HJA154" s="108"/>
      <c r="HJB154" s="108"/>
      <c r="HJC154" s="108"/>
      <c r="HJD154" s="108"/>
      <c r="HJE154" s="108"/>
      <c r="HJF154" s="108"/>
      <c r="HJG154" s="108"/>
      <c r="HJH154" s="108"/>
      <c r="HJI154" s="108"/>
      <c r="HJJ154" s="108"/>
      <c r="HJK154" s="108"/>
      <c r="HJL154" s="108"/>
      <c r="HJM154" s="108"/>
      <c r="HJN154" s="108"/>
      <c r="HJO154" s="108"/>
      <c r="HJP154" s="108"/>
      <c r="HJQ154" s="108"/>
      <c r="HJR154" s="108"/>
      <c r="HJS154" s="108"/>
      <c r="HJT154" s="108"/>
      <c r="HJU154" s="108"/>
      <c r="HJV154" s="108"/>
      <c r="HJW154" s="108"/>
      <c r="HJX154" s="108"/>
      <c r="HJY154" s="108"/>
      <c r="HJZ154" s="108"/>
      <c r="HKA154" s="108"/>
      <c r="HKB154" s="108"/>
      <c r="HKC154" s="108"/>
      <c r="HKD154" s="108"/>
      <c r="HKE154" s="108"/>
      <c r="HKF154" s="108"/>
      <c r="HKG154" s="108"/>
      <c r="HKH154" s="108"/>
      <c r="HKI154" s="108"/>
      <c r="HKJ154" s="108"/>
      <c r="HKK154" s="108"/>
      <c r="HKL154" s="108"/>
      <c r="HKM154" s="108"/>
      <c r="HKN154" s="108"/>
      <c r="HKO154" s="108"/>
      <c r="HKP154" s="108"/>
      <c r="HKQ154" s="108"/>
      <c r="HKR154" s="108"/>
      <c r="HKS154" s="108"/>
      <c r="HKT154" s="108"/>
      <c r="HKU154" s="108"/>
      <c r="HKV154" s="108"/>
      <c r="HKW154" s="108"/>
      <c r="HKX154" s="108"/>
      <c r="HKY154" s="108"/>
      <c r="HKZ154" s="108"/>
      <c r="HLA154" s="108"/>
      <c r="HLB154" s="108"/>
      <c r="HLC154" s="108"/>
      <c r="HLD154" s="108"/>
      <c r="HLE154" s="108"/>
      <c r="HLF154" s="108"/>
      <c r="HLG154" s="108"/>
      <c r="HLH154" s="108"/>
      <c r="HLI154" s="108"/>
      <c r="HLJ154" s="108"/>
      <c r="HLK154" s="108"/>
      <c r="HLL154" s="108"/>
      <c r="HLM154" s="108"/>
      <c r="HLN154" s="108"/>
      <c r="HLO154" s="108"/>
      <c r="HLP154" s="108"/>
      <c r="HLQ154" s="108"/>
      <c r="HLR154" s="108"/>
      <c r="HLS154" s="108"/>
      <c r="HLT154" s="108"/>
      <c r="HLU154" s="108"/>
      <c r="HLV154" s="108"/>
      <c r="HLW154" s="108"/>
      <c r="HLX154" s="108"/>
      <c r="HLY154" s="108"/>
      <c r="HLZ154" s="108"/>
      <c r="HMA154" s="108"/>
      <c r="HMB154" s="108"/>
      <c r="HMC154" s="108"/>
      <c r="HMD154" s="108"/>
      <c r="HME154" s="108"/>
      <c r="HMF154" s="108"/>
      <c r="HMG154" s="108"/>
      <c r="HMH154" s="108"/>
      <c r="HMI154" s="108"/>
      <c r="HMJ154" s="108"/>
      <c r="HMK154" s="108"/>
      <c r="HML154" s="108"/>
      <c r="HMM154" s="108"/>
      <c r="HMN154" s="108"/>
      <c r="HMO154" s="108"/>
      <c r="HMP154" s="108"/>
      <c r="HMQ154" s="108"/>
      <c r="HMR154" s="108"/>
      <c r="HMS154" s="108"/>
      <c r="HMT154" s="108"/>
      <c r="HMU154" s="108"/>
      <c r="HMV154" s="108"/>
      <c r="HMW154" s="108"/>
      <c r="HMX154" s="108"/>
      <c r="HMY154" s="108"/>
      <c r="HMZ154" s="108"/>
      <c r="HNA154" s="108"/>
      <c r="HNB154" s="108"/>
      <c r="HNC154" s="108"/>
      <c r="HND154" s="108"/>
      <c r="HNE154" s="108"/>
      <c r="HNF154" s="108"/>
      <c r="HNG154" s="108"/>
      <c r="HNH154" s="108"/>
      <c r="HNI154" s="108"/>
      <c r="HNJ154" s="108"/>
      <c r="HNK154" s="108"/>
      <c r="HNL154" s="108"/>
      <c r="HNM154" s="108"/>
      <c r="HNN154" s="108"/>
      <c r="HNO154" s="108"/>
      <c r="HNP154" s="108"/>
      <c r="HNQ154" s="108"/>
      <c r="HNR154" s="108"/>
      <c r="HNS154" s="108"/>
      <c r="HNT154" s="108"/>
      <c r="HNU154" s="108"/>
      <c r="HNV154" s="108"/>
      <c r="HNW154" s="108"/>
      <c r="HNX154" s="108"/>
      <c r="HNY154" s="108"/>
      <c r="HNZ154" s="108"/>
      <c r="HOA154" s="108"/>
      <c r="HOB154" s="108"/>
      <c r="HOC154" s="108"/>
      <c r="HOD154" s="108"/>
      <c r="HOE154" s="108"/>
      <c r="HOF154" s="108"/>
      <c r="HOG154" s="108"/>
      <c r="HOH154" s="108"/>
      <c r="HOI154" s="108"/>
      <c r="HOJ154" s="108"/>
      <c r="HOK154" s="108"/>
      <c r="HOL154" s="108"/>
      <c r="HOM154" s="108"/>
      <c r="HON154" s="108"/>
      <c r="HOO154" s="108"/>
      <c r="HOP154" s="108"/>
      <c r="HOQ154" s="108"/>
      <c r="HOR154" s="108"/>
      <c r="HOS154" s="108"/>
      <c r="HOT154" s="108"/>
      <c r="HOU154" s="108"/>
      <c r="HOV154" s="108"/>
      <c r="HOW154" s="108"/>
      <c r="HOX154" s="108"/>
      <c r="HOY154" s="108"/>
      <c r="HOZ154" s="108"/>
      <c r="HPA154" s="108"/>
      <c r="HPB154" s="108"/>
      <c r="HPC154" s="108"/>
      <c r="HPD154" s="108"/>
      <c r="HPE154" s="108"/>
      <c r="HPF154" s="108"/>
      <c r="HPG154" s="108"/>
      <c r="HPH154" s="108"/>
      <c r="HPI154" s="108"/>
      <c r="HPJ154" s="108"/>
      <c r="HPK154" s="108"/>
      <c r="HPL154" s="108"/>
      <c r="HPM154" s="108"/>
      <c r="HPN154" s="108"/>
      <c r="HPO154" s="108"/>
      <c r="HPP154" s="108"/>
      <c r="HPQ154" s="108"/>
      <c r="HPR154" s="108"/>
      <c r="HPS154" s="108"/>
      <c r="HPT154" s="108"/>
      <c r="HPU154" s="108"/>
      <c r="HPV154" s="108"/>
      <c r="HPW154" s="108"/>
      <c r="HPX154" s="108"/>
      <c r="HPY154" s="108"/>
      <c r="HPZ154" s="108"/>
      <c r="HQA154" s="108"/>
      <c r="HQB154" s="108"/>
      <c r="HQC154" s="108"/>
      <c r="HQD154" s="108"/>
      <c r="HQE154" s="108"/>
      <c r="HQF154" s="108"/>
      <c r="HQG154" s="108"/>
      <c r="HQH154" s="108"/>
      <c r="HQI154" s="108"/>
      <c r="HQJ154" s="108"/>
      <c r="HQK154" s="108"/>
      <c r="HQL154" s="108"/>
      <c r="HQM154" s="108"/>
      <c r="HQN154" s="108"/>
      <c r="HQO154" s="108"/>
      <c r="HQP154" s="108"/>
      <c r="HQQ154" s="108"/>
      <c r="HQR154" s="108"/>
      <c r="HQS154" s="108"/>
      <c r="HQT154" s="108"/>
      <c r="HQU154" s="108"/>
      <c r="HQV154" s="108"/>
      <c r="HQW154" s="108"/>
      <c r="HQX154" s="108"/>
      <c r="HQY154" s="108"/>
      <c r="HQZ154" s="108"/>
      <c r="HRA154" s="108"/>
      <c r="HRB154" s="108"/>
      <c r="HRC154" s="108"/>
      <c r="HRD154" s="108"/>
      <c r="HRE154" s="108"/>
      <c r="HRF154" s="108"/>
      <c r="HRG154" s="108"/>
      <c r="HRH154" s="108"/>
      <c r="HRI154" s="108"/>
      <c r="HRJ154" s="108"/>
      <c r="HRK154" s="108"/>
      <c r="HRL154" s="108"/>
      <c r="HRM154" s="108"/>
      <c r="HRN154" s="108"/>
      <c r="HRO154" s="108"/>
      <c r="HRP154" s="108"/>
      <c r="HRQ154" s="108"/>
      <c r="HRR154" s="108"/>
      <c r="HRS154" s="108"/>
      <c r="HRT154" s="108"/>
      <c r="HRU154" s="108"/>
      <c r="HRV154" s="108"/>
      <c r="HRW154" s="108"/>
      <c r="HRX154" s="108"/>
      <c r="HRY154" s="108"/>
      <c r="HRZ154" s="108"/>
      <c r="HSA154" s="108"/>
      <c r="HSB154" s="108"/>
      <c r="HSC154" s="108"/>
      <c r="HSD154" s="108"/>
      <c r="HSE154" s="108"/>
      <c r="HSF154" s="108"/>
      <c r="HSG154" s="108"/>
      <c r="HSH154" s="108"/>
      <c r="HSI154" s="108"/>
      <c r="HSJ154" s="108"/>
      <c r="HSK154" s="108"/>
      <c r="HSL154" s="108"/>
      <c r="HSM154" s="108"/>
      <c r="HSN154" s="108"/>
      <c r="HSO154" s="108"/>
      <c r="HSP154" s="108"/>
      <c r="HSQ154" s="108"/>
      <c r="HSR154" s="108"/>
      <c r="HSS154" s="108"/>
      <c r="HST154" s="108"/>
      <c r="HSU154" s="108"/>
      <c r="HSV154" s="108"/>
      <c r="HSW154" s="108"/>
      <c r="HSX154" s="108"/>
      <c r="HSY154" s="108"/>
      <c r="HSZ154" s="108"/>
      <c r="HTA154" s="108"/>
      <c r="HTB154" s="108"/>
      <c r="HTC154" s="108"/>
      <c r="HTD154" s="108"/>
      <c r="HTE154" s="108"/>
      <c r="HTF154" s="108"/>
      <c r="HTG154" s="108"/>
      <c r="HTH154" s="108"/>
      <c r="HTI154" s="108"/>
      <c r="HTJ154" s="108"/>
      <c r="HTK154" s="108"/>
      <c r="HTL154" s="108"/>
      <c r="HTM154" s="108"/>
      <c r="HTN154" s="108"/>
      <c r="HTO154" s="108"/>
      <c r="HTP154" s="108"/>
      <c r="HTQ154" s="108"/>
      <c r="HTR154" s="108"/>
      <c r="HTS154" s="108"/>
      <c r="HTT154" s="108"/>
      <c r="HTU154" s="108"/>
      <c r="HTV154" s="108"/>
      <c r="HTW154" s="108"/>
      <c r="HTX154" s="108"/>
      <c r="HTY154" s="108"/>
      <c r="HTZ154" s="108"/>
      <c r="HUA154" s="108"/>
      <c r="HUB154" s="108"/>
      <c r="HUC154" s="108"/>
      <c r="HUD154" s="108"/>
      <c r="HUE154" s="108"/>
      <c r="HUF154" s="108"/>
      <c r="HUG154" s="108"/>
      <c r="HUH154" s="108"/>
      <c r="HUI154" s="108"/>
      <c r="HUJ154" s="108"/>
      <c r="HUK154" s="108"/>
      <c r="HUL154" s="108"/>
      <c r="HUM154" s="108"/>
      <c r="HUN154" s="108"/>
      <c r="HUO154" s="108"/>
      <c r="HUP154" s="108"/>
      <c r="HUQ154" s="108"/>
      <c r="HUR154" s="108"/>
      <c r="HUS154" s="108"/>
      <c r="HUT154" s="108"/>
      <c r="HUU154" s="108"/>
      <c r="HUV154" s="108"/>
      <c r="HUW154" s="108"/>
      <c r="HUX154" s="108"/>
      <c r="HUY154" s="108"/>
      <c r="HUZ154" s="108"/>
      <c r="HVA154" s="108"/>
      <c r="HVB154" s="108"/>
      <c r="HVC154" s="108"/>
      <c r="HVD154" s="108"/>
      <c r="HVE154" s="108"/>
      <c r="HVF154" s="108"/>
      <c r="HVG154" s="108"/>
      <c r="HVH154" s="108"/>
      <c r="HVI154" s="108"/>
      <c r="HVJ154" s="108"/>
      <c r="HVK154" s="108"/>
      <c r="HVL154" s="108"/>
      <c r="HVM154" s="108"/>
      <c r="HVN154" s="108"/>
      <c r="HVO154" s="108"/>
      <c r="HVP154" s="108"/>
      <c r="HVQ154" s="108"/>
      <c r="HVR154" s="108"/>
      <c r="HVS154" s="108"/>
      <c r="HVT154" s="108"/>
      <c r="HVU154" s="108"/>
      <c r="HVV154" s="108"/>
      <c r="HVW154" s="108"/>
      <c r="HVX154" s="108"/>
      <c r="HVY154" s="108"/>
      <c r="HVZ154" s="108"/>
      <c r="HWA154" s="108"/>
      <c r="HWB154" s="108"/>
      <c r="HWC154" s="108"/>
      <c r="HWD154" s="108"/>
      <c r="HWE154" s="108"/>
      <c r="HWF154" s="108"/>
      <c r="HWG154" s="108"/>
      <c r="HWH154" s="108"/>
      <c r="HWI154" s="108"/>
      <c r="HWJ154" s="108"/>
      <c r="HWK154" s="108"/>
      <c r="HWL154" s="108"/>
      <c r="HWM154" s="108"/>
      <c r="HWN154" s="108"/>
      <c r="HWO154" s="108"/>
      <c r="HWP154" s="108"/>
      <c r="HWQ154" s="108"/>
      <c r="HWR154" s="108"/>
      <c r="HWS154" s="108"/>
      <c r="HWT154" s="108"/>
      <c r="HWU154" s="108"/>
      <c r="HWV154" s="108"/>
      <c r="HWW154" s="108"/>
      <c r="HWX154" s="108"/>
      <c r="HWY154" s="108"/>
      <c r="HWZ154" s="108"/>
      <c r="HXA154" s="108"/>
      <c r="HXB154" s="108"/>
      <c r="HXC154" s="108"/>
      <c r="HXD154" s="108"/>
      <c r="HXE154" s="108"/>
      <c r="HXF154" s="108"/>
      <c r="HXG154" s="108"/>
      <c r="HXH154" s="108"/>
      <c r="HXI154" s="108"/>
      <c r="HXJ154" s="108"/>
      <c r="HXK154" s="108"/>
      <c r="HXL154" s="108"/>
      <c r="HXM154" s="108"/>
      <c r="HXN154" s="108"/>
      <c r="HXO154" s="108"/>
      <c r="HXP154" s="108"/>
      <c r="HXQ154" s="108"/>
      <c r="HXR154" s="108"/>
      <c r="HXS154" s="108"/>
      <c r="HXT154" s="108"/>
      <c r="HXU154" s="108"/>
      <c r="HXV154" s="108"/>
      <c r="HXW154" s="108"/>
      <c r="HXX154" s="108"/>
      <c r="HXY154" s="108"/>
      <c r="HXZ154" s="108"/>
      <c r="HYA154" s="108"/>
      <c r="HYB154" s="108"/>
      <c r="HYC154" s="108"/>
      <c r="HYD154" s="108"/>
      <c r="HYE154" s="108"/>
      <c r="HYF154" s="108"/>
      <c r="HYG154" s="108"/>
      <c r="HYH154" s="108"/>
      <c r="HYI154" s="108"/>
      <c r="HYJ154" s="108"/>
      <c r="HYK154" s="108"/>
      <c r="HYL154" s="108"/>
      <c r="HYM154" s="108"/>
      <c r="HYN154" s="108"/>
      <c r="HYO154" s="108"/>
      <c r="HYP154" s="108"/>
      <c r="HYQ154" s="108"/>
      <c r="HYR154" s="108"/>
      <c r="HYS154" s="108"/>
      <c r="HYT154" s="108"/>
      <c r="HYU154" s="108"/>
      <c r="HYV154" s="108"/>
      <c r="HYW154" s="108"/>
      <c r="HYX154" s="108"/>
      <c r="HYY154" s="108"/>
      <c r="HYZ154" s="108"/>
      <c r="HZA154" s="108"/>
      <c r="HZB154" s="108"/>
      <c r="HZC154" s="108"/>
      <c r="HZD154" s="108"/>
      <c r="HZE154" s="108"/>
      <c r="HZF154" s="108"/>
      <c r="HZG154" s="108"/>
      <c r="HZH154" s="108"/>
      <c r="HZI154" s="108"/>
      <c r="HZJ154" s="108"/>
      <c r="HZK154" s="108"/>
      <c r="HZL154" s="108"/>
      <c r="HZM154" s="108"/>
      <c r="HZN154" s="108"/>
      <c r="HZO154" s="108"/>
      <c r="HZP154" s="108"/>
      <c r="HZQ154" s="108"/>
      <c r="HZR154" s="108"/>
      <c r="HZS154" s="108"/>
      <c r="HZT154" s="108"/>
      <c r="HZU154" s="108"/>
      <c r="HZV154" s="108"/>
      <c r="HZW154" s="108"/>
      <c r="HZX154" s="108"/>
      <c r="HZY154" s="108"/>
      <c r="HZZ154" s="108"/>
      <c r="IAA154" s="108"/>
      <c r="IAB154" s="108"/>
      <c r="IAC154" s="108"/>
      <c r="IAD154" s="108"/>
      <c r="IAE154" s="108"/>
      <c r="IAF154" s="108"/>
      <c r="IAG154" s="108"/>
      <c r="IAH154" s="108"/>
      <c r="IAI154" s="108"/>
      <c r="IAJ154" s="108"/>
      <c r="IAK154" s="108"/>
      <c r="IAL154" s="108"/>
      <c r="IAM154" s="108"/>
      <c r="IAN154" s="108"/>
      <c r="IAO154" s="108"/>
      <c r="IAP154" s="108"/>
      <c r="IAQ154" s="108"/>
      <c r="IAR154" s="108"/>
      <c r="IAS154" s="108"/>
      <c r="IAT154" s="108"/>
      <c r="IAU154" s="108"/>
      <c r="IAV154" s="108"/>
      <c r="IAW154" s="108"/>
      <c r="IAX154" s="108"/>
      <c r="IAY154" s="108"/>
      <c r="IAZ154" s="108"/>
      <c r="IBA154" s="108"/>
      <c r="IBB154" s="108"/>
      <c r="IBC154" s="108"/>
      <c r="IBD154" s="108"/>
      <c r="IBE154" s="108"/>
      <c r="IBF154" s="108"/>
      <c r="IBG154" s="108"/>
      <c r="IBH154" s="108"/>
      <c r="IBI154" s="108"/>
      <c r="IBJ154" s="108"/>
      <c r="IBK154" s="108"/>
      <c r="IBL154" s="108"/>
      <c r="IBM154" s="108"/>
      <c r="IBN154" s="108"/>
      <c r="IBO154" s="108"/>
      <c r="IBP154" s="108"/>
      <c r="IBQ154" s="108"/>
      <c r="IBR154" s="108"/>
      <c r="IBS154" s="108"/>
      <c r="IBT154" s="108"/>
      <c r="IBU154" s="108"/>
      <c r="IBV154" s="108"/>
      <c r="IBW154" s="108"/>
      <c r="IBX154" s="108"/>
      <c r="IBY154" s="108"/>
      <c r="IBZ154" s="108"/>
      <c r="ICA154" s="108"/>
      <c r="ICB154" s="108"/>
      <c r="ICC154" s="108"/>
      <c r="ICD154" s="108"/>
      <c r="ICE154" s="108"/>
      <c r="ICF154" s="108"/>
      <c r="ICG154" s="108"/>
      <c r="ICH154" s="108"/>
      <c r="ICI154" s="108"/>
      <c r="ICJ154" s="108"/>
      <c r="ICK154" s="108"/>
      <c r="ICL154" s="108"/>
      <c r="ICM154" s="108"/>
      <c r="ICN154" s="108"/>
      <c r="ICO154" s="108"/>
      <c r="ICP154" s="108"/>
      <c r="ICQ154" s="108"/>
      <c r="ICR154" s="108"/>
      <c r="ICS154" s="108"/>
      <c r="ICT154" s="108"/>
      <c r="ICU154" s="108"/>
      <c r="ICV154" s="108"/>
      <c r="ICW154" s="108"/>
      <c r="ICX154" s="108"/>
      <c r="ICY154" s="108"/>
      <c r="ICZ154" s="108"/>
      <c r="IDA154" s="108"/>
      <c r="IDB154" s="108"/>
      <c r="IDC154" s="108"/>
      <c r="IDD154" s="108"/>
      <c r="IDE154" s="108"/>
      <c r="IDF154" s="108"/>
      <c r="IDG154" s="108"/>
      <c r="IDH154" s="108"/>
      <c r="IDI154" s="108"/>
      <c r="IDJ154" s="108"/>
      <c r="IDK154" s="108"/>
      <c r="IDL154" s="108"/>
      <c r="IDM154" s="108"/>
      <c r="IDN154" s="108"/>
      <c r="IDO154" s="108"/>
      <c r="IDP154" s="108"/>
      <c r="IDQ154" s="108"/>
      <c r="IDR154" s="108"/>
      <c r="IDS154" s="108"/>
      <c r="IDT154" s="108"/>
      <c r="IDU154" s="108"/>
      <c r="IDV154" s="108"/>
      <c r="IDW154" s="108"/>
      <c r="IDX154" s="108"/>
      <c r="IDY154" s="108"/>
      <c r="IDZ154" s="108"/>
      <c r="IEA154" s="108"/>
      <c r="IEB154" s="108"/>
      <c r="IEC154" s="108"/>
      <c r="IED154" s="108"/>
      <c r="IEE154" s="108"/>
      <c r="IEF154" s="108"/>
      <c r="IEG154" s="108"/>
      <c r="IEH154" s="108"/>
      <c r="IEI154" s="108"/>
      <c r="IEJ154" s="108"/>
      <c r="IEK154" s="108"/>
      <c r="IEL154" s="108"/>
      <c r="IEM154" s="108"/>
      <c r="IEN154" s="108"/>
      <c r="IEO154" s="108"/>
      <c r="IEP154" s="108"/>
      <c r="IEQ154" s="108"/>
      <c r="IER154" s="108"/>
      <c r="IES154" s="108"/>
      <c r="IET154" s="108"/>
      <c r="IEU154" s="108"/>
      <c r="IEV154" s="108"/>
      <c r="IEW154" s="108"/>
      <c r="IEX154" s="108"/>
      <c r="IEY154" s="108"/>
      <c r="IEZ154" s="108"/>
      <c r="IFA154" s="108"/>
      <c r="IFB154" s="108"/>
      <c r="IFC154" s="108"/>
      <c r="IFD154" s="108"/>
      <c r="IFE154" s="108"/>
      <c r="IFF154" s="108"/>
      <c r="IFG154" s="108"/>
      <c r="IFH154" s="108"/>
      <c r="IFI154" s="108"/>
      <c r="IFJ154" s="108"/>
      <c r="IFK154" s="108"/>
      <c r="IFL154" s="108"/>
      <c r="IFM154" s="108"/>
      <c r="IFN154" s="108"/>
      <c r="IFO154" s="108"/>
      <c r="IFP154" s="108"/>
      <c r="IFQ154" s="108"/>
      <c r="IFR154" s="108"/>
      <c r="IFS154" s="108"/>
      <c r="IFT154" s="108"/>
      <c r="IFU154" s="108"/>
      <c r="IFV154" s="108"/>
      <c r="IFW154" s="108"/>
      <c r="IFX154" s="108"/>
      <c r="IFY154" s="108"/>
      <c r="IFZ154" s="108"/>
      <c r="IGA154" s="108"/>
      <c r="IGB154" s="108"/>
      <c r="IGC154" s="108"/>
      <c r="IGD154" s="108"/>
      <c r="IGE154" s="108"/>
      <c r="IGF154" s="108"/>
      <c r="IGG154" s="108"/>
      <c r="IGH154" s="108"/>
      <c r="IGI154" s="108"/>
      <c r="IGJ154" s="108"/>
      <c r="IGK154" s="108"/>
      <c r="IGL154" s="108"/>
      <c r="IGM154" s="108"/>
      <c r="IGN154" s="108"/>
      <c r="IGO154" s="108"/>
      <c r="IGP154" s="108"/>
      <c r="IGQ154" s="108"/>
      <c r="IGR154" s="108"/>
      <c r="IGS154" s="108"/>
      <c r="IGT154" s="108"/>
      <c r="IGU154" s="108"/>
      <c r="IGV154" s="108"/>
      <c r="IGW154" s="108"/>
      <c r="IGX154" s="108"/>
      <c r="IGY154" s="108"/>
      <c r="IGZ154" s="108"/>
      <c r="IHA154" s="108"/>
      <c r="IHB154" s="108"/>
      <c r="IHC154" s="108"/>
      <c r="IHD154" s="108"/>
      <c r="IHE154" s="108"/>
      <c r="IHF154" s="108"/>
      <c r="IHG154" s="108"/>
      <c r="IHH154" s="108"/>
      <c r="IHI154" s="108"/>
      <c r="IHJ154" s="108"/>
      <c r="IHK154" s="108"/>
      <c r="IHL154" s="108"/>
      <c r="IHM154" s="108"/>
      <c r="IHN154" s="108"/>
      <c r="IHO154" s="108"/>
      <c r="IHP154" s="108"/>
      <c r="IHQ154" s="108"/>
      <c r="IHR154" s="108"/>
      <c r="IHS154" s="108"/>
      <c r="IHT154" s="108"/>
      <c r="IHU154" s="108"/>
      <c r="IHV154" s="108"/>
      <c r="IHW154" s="108"/>
      <c r="IHX154" s="108"/>
      <c r="IHY154" s="108"/>
      <c r="IHZ154" s="108"/>
      <c r="IIA154" s="108"/>
      <c r="IIB154" s="108"/>
      <c r="IIC154" s="108"/>
      <c r="IID154" s="108"/>
      <c r="IIE154" s="108"/>
      <c r="IIF154" s="108"/>
      <c r="IIG154" s="108"/>
      <c r="IIH154" s="108"/>
      <c r="III154" s="108"/>
      <c r="IIJ154" s="108"/>
      <c r="IIK154" s="108"/>
      <c r="IIL154" s="108"/>
      <c r="IIM154" s="108"/>
      <c r="IIN154" s="108"/>
      <c r="IIO154" s="108"/>
      <c r="IIP154" s="108"/>
      <c r="IIQ154" s="108"/>
      <c r="IIR154" s="108"/>
      <c r="IIS154" s="108"/>
      <c r="IIT154" s="108"/>
      <c r="IIU154" s="108"/>
      <c r="IIV154" s="108"/>
      <c r="IIW154" s="108"/>
      <c r="IIX154" s="108"/>
      <c r="IIY154" s="108"/>
      <c r="IIZ154" s="108"/>
      <c r="IJA154" s="108"/>
      <c r="IJB154" s="108"/>
      <c r="IJC154" s="108"/>
      <c r="IJD154" s="108"/>
      <c r="IJE154" s="108"/>
      <c r="IJF154" s="108"/>
      <c r="IJG154" s="108"/>
      <c r="IJH154" s="108"/>
      <c r="IJI154" s="108"/>
      <c r="IJJ154" s="108"/>
      <c r="IJK154" s="108"/>
      <c r="IJL154" s="108"/>
      <c r="IJM154" s="108"/>
      <c r="IJN154" s="108"/>
      <c r="IJO154" s="108"/>
      <c r="IJP154" s="108"/>
      <c r="IJQ154" s="108"/>
      <c r="IJR154" s="108"/>
      <c r="IJS154" s="108"/>
      <c r="IJT154" s="108"/>
      <c r="IJU154" s="108"/>
      <c r="IJV154" s="108"/>
      <c r="IJW154" s="108"/>
      <c r="IJX154" s="108"/>
      <c r="IJY154" s="108"/>
      <c r="IJZ154" s="108"/>
      <c r="IKA154" s="108"/>
      <c r="IKB154" s="108"/>
      <c r="IKC154" s="108"/>
      <c r="IKD154" s="108"/>
      <c r="IKE154" s="108"/>
      <c r="IKF154" s="108"/>
      <c r="IKG154" s="108"/>
      <c r="IKH154" s="108"/>
      <c r="IKI154" s="108"/>
      <c r="IKJ154" s="108"/>
      <c r="IKK154" s="108"/>
      <c r="IKL154" s="108"/>
      <c r="IKM154" s="108"/>
      <c r="IKN154" s="108"/>
      <c r="IKO154" s="108"/>
      <c r="IKP154" s="108"/>
      <c r="IKQ154" s="108"/>
      <c r="IKR154" s="108"/>
      <c r="IKS154" s="108"/>
      <c r="IKT154" s="108"/>
      <c r="IKU154" s="108"/>
      <c r="IKV154" s="108"/>
      <c r="IKW154" s="108"/>
      <c r="IKX154" s="108"/>
      <c r="IKY154" s="108"/>
      <c r="IKZ154" s="108"/>
      <c r="ILA154" s="108"/>
      <c r="ILB154" s="108"/>
      <c r="ILC154" s="108"/>
      <c r="ILD154" s="108"/>
      <c r="ILE154" s="108"/>
      <c r="ILF154" s="108"/>
      <c r="ILG154" s="108"/>
      <c r="ILH154" s="108"/>
      <c r="ILI154" s="108"/>
      <c r="ILJ154" s="108"/>
      <c r="ILK154" s="108"/>
      <c r="ILL154" s="108"/>
      <c r="ILM154" s="108"/>
      <c r="ILN154" s="108"/>
      <c r="ILO154" s="108"/>
      <c r="ILP154" s="108"/>
      <c r="ILQ154" s="108"/>
      <c r="ILR154" s="108"/>
      <c r="ILS154" s="108"/>
      <c r="ILT154" s="108"/>
      <c r="ILU154" s="108"/>
      <c r="ILV154" s="108"/>
      <c r="ILW154" s="108"/>
      <c r="ILX154" s="108"/>
      <c r="ILY154" s="108"/>
      <c r="ILZ154" s="108"/>
      <c r="IMA154" s="108"/>
      <c r="IMB154" s="108"/>
      <c r="IMC154" s="108"/>
      <c r="IMD154" s="108"/>
      <c r="IME154" s="108"/>
      <c r="IMF154" s="108"/>
      <c r="IMG154" s="108"/>
      <c r="IMH154" s="108"/>
      <c r="IMI154" s="108"/>
      <c r="IMJ154" s="108"/>
      <c r="IMK154" s="108"/>
      <c r="IML154" s="108"/>
      <c r="IMM154" s="108"/>
      <c r="IMN154" s="108"/>
      <c r="IMO154" s="108"/>
      <c r="IMP154" s="108"/>
      <c r="IMQ154" s="108"/>
      <c r="IMR154" s="108"/>
      <c r="IMS154" s="108"/>
      <c r="IMT154" s="108"/>
      <c r="IMU154" s="108"/>
      <c r="IMV154" s="108"/>
      <c r="IMW154" s="108"/>
      <c r="IMX154" s="108"/>
      <c r="IMY154" s="108"/>
      <c r="IMZ154" s="108"/>
      <c r="INA154" s="108"/>
      <c r="INB154" s="108"/>
      <c r="INC154" s="108"/>
      <c r="IND154" s="108"/>
      <c r="INE154" s="108"/>
      <c r="INF154" s="108"/>
      <c r="ING154" s="108"/>
      <c r="INH154" s="108"/>
      <c r="INI154" s="108"/>
      <c r="INJ154" s="108"/>
      <c r="INK154" s="108"/>
      <c r="INL154" s="108"/>
      <c r="INM154" s="108"/>
      <c r="INN154" s="108"/>
      <c r="INO154" s="108"/>
      <c r="INP154" s="108"/>
      <c r="INQ154" s="108"/>
      <c r="INR154" s="108"/>
      <c r="INS154" s="108"/>
      <c r="INT154" s="108"/>
      <c r="INU154" s="108"/>
      <c r="INV154" s="108"/>
      <c r="INW154" s="108"/>
      <c r="INX154" s="108"/>
      <c r="INY154" s="108"/>
      <c r="INZ154" s="108"/>
      <c r="IOA154" s="108"/>
      <c r="IOB154" s="108"/>
      <c r="IOC154" s="108"/>
      <c r="IOD154" s="108"/>
      <c r="IOE154" s="108"/>
      <c r="IOF154" s="108"/>
      <c r="IOG154" s="108"/>
      <c r="IOH154" s="108"/>
      <c r="IOI154" s="108"/>
      <c r="IOJ154" s="108"/>
      <c r="IOK154" s="108"/>
      <c r="IOL154" s="108"/>
      <c r="IOM154" s="108"/>
      <c r="ION154" s="108"/>
      <c r="IOO154" s="108"/>
      <c r="IOP154" s="108"/>
      <c r="IOQ154" s="108"/>
      <c r="IOR154" s="108"/>
      <c r="IOS154" s="108"/>
      <c r="IOT154" s="108"/>
      <c r="IOU154" s="108"/>
      <c r="IOV154" s="108"/>
      <c r="IOW154" s="108"/>
      <c r="IOX154" s="108"/>
      <c r="IOY154" s="108"/>
      <c r="IOZ154" s="108"/>
      <c r="IPA154" s="108"/>
      <c r="IPB154" s="108"/>
      <c r="IPC154" s="108"/>
      <c r="IPD154" s="108"/>
      <c r="IPE154" s="108"/>
      <c r="IPF154" s="108"/>
      <c r="IPG154" s="108"/>
      <c r="IPH154" s="108"/>
      <c r="IPI154" s="108"/>
      <c r="IPJ154" s="108"/>
      <c r="IPK154" s="108"/>
      <c r="IPL154" s="108"/>
      <c r="IPM154" s="108"/>
      <c r="IPN154" s="108"/>
      <c r="IPO154" s="108"/>
      <c r="IPP154" s="108"/>
      <c r="IPQ154" s="108"/>
      <c r="IPR154" s="108"/>
      <c r="IPS154" s="108"/>
      <c r="IPT154" s="108"/>
      <c r="IPU154" s="108"/>
      <c r="IPV154" s="108"/>
      <c r="IPW154" s="108"/>
      <c r="IPX154" s="108"/>
      <c r="IPY154" s="108"/>
      <c r="IPZ154" s="108"/>
      <c r="IQA154" s="108"/>
      <c r="IQB154" s="108"/>
      <c r="IQC154" s="108"/>
      <c r="IQD154" s="108"/>
      <c r="IQE154" s="108"/>
      <c r="IQF154" s="108"/>
      <c r="IQG154" s="108"/>
      <c r="IQH154" s="108"/>
      <c r="IQI154" s="108"/>
      <c r="IQJ154" s="108"/>
      <c r="IQK154" s="108"/>
      <c r="IQL154" s="108"/>
      <c r="IQM154" s="108"/>
      <c r="IQN154" s="108"/>
      <c r="IQO154" s="108"/>
      <c r="IQP154" s="108"/>
      <c r="IQQ154" s="108"/>
      <c r="IQR154" s="108"/>
      <c r="IQS154" s="108"/>
      <c r="IQT154" s="108"/>
      <c r="IQU154" s="108"/>
      <c r="IQV154" s="108"/>
      <c r="IQW154" s="108"/>
      <c r="IQX154" s="108"/>
      <c r="IQY154" s="108"/>
      <c r="IQZ154" s="108"/>
      <c r="IRA154" s="108"/>
      <c r="IRB154" s="108"/>
      <c r="IRC154" s="108"/>
      <c r="IRD154" s="108"/>
      <c r="IRE154" s="108"/>
      <c r="IRF154" s="108"/>
      <c r="IRG154" s="108"/>
      <c r="IRH154" s="108"/>
      <c r="IRI154" s="108"/>
      <c r="IRJ154" s="108"/>
      <c r="IRK154" s="108"/>
      <c r="IRL154" s="108"/>
      <c r="IRM154" s="108"/>
      <c r="IRN154" s="108"/>
      <c r="IRO154" s="108"/>
      <c r="IRP154" s="108"/>
      <c r="IRQ154" s="108"/>
      <c r="IRR154" s="108"/>
      <c r="IRS154" s="108"/>
      <c r="IRT154" s="108"/>
      <c r="IRU154" s="108"/>
      <c r="IRV154" s="108"/>
      <c r="IRW154" s="108"/>
      <c r="IRX154" s="108"/>
      <c r="IRY154" s="108"/>
      <c r="IRZ154" s="108"/>
      <c r="ISA154" s="108"/>
      <c r="ISB154" s="108"/>
      <c r="ISC154" s="108"/>
      <c r="ISD154" s="108"/>
      <c r="ISE154" s="108"/>
      <c r="ISF154" s="108"/>
      <c r="ISG154" s="108"/>
      <c r="ISH154" s="108"/>
      <c r="ISI154" s="108"/>
      <c r="ISJ154" s="108"/>
      <c r="ISK154" s="108"/>
      <c r="ISL154" s="108"/>
      <c r="ISM154" s="108"/>
      <c r="ISN154" s="108"/>
      <c r="ISO154" s="108"/>
      <c r="ISP154" s="108"/>
      <c r="ISQ154" s="108"/>
      <c r="ISR154" s="108"/>
      <c r="ISS154" s="108"/>
      <c r="IST154" s="108"/>
      <c r="ISU154" s="108"/>
      <c r="ISV154" s="108"/>
      <c r="ISW154" s="108"/>
      <c r="ISX154" s="108"/>
      <c r="ISY154" s="108"/>
      <c r="ISZ154" s="108"/>
      <c r="ITA154" s="108"/>
      <c r="ITB154" s="108"/>
      <c r="ITC154" s="108"/>
      <c r="ITD154" s="108"/>
      <c r="ITE154" s="108"/>
      <c r="ITF154" s="108"/>
      <c r="ITG154" s="108"/>
      <c r="ITH154" s="108"/>
      <c r="ITI154" s="108"/>
      <c r="ITJ154" s="108"/>
      <c r="ITK154" s="108"/>
      <c r="ITL154" s="108"/>
      <c r="ITM154" s="108"/>
      <c r="ITN154" s="108"/>
      <c r="ITO154" s="108"/>
      <c r="ITP154" s="108"/>
      <c r="ITQ154" s="108"/>
      <c r="ITR154" s="108"/>
      <c r="ITS154" s="108"/>
      <c r="ITT154" s="108"/>
      <c r="ITU154" s="108"/>
      <c r="ITV154" s="108"/>
      <c r="ITW154" s="108"/>
      <c r="ITX154" s="108"/>
      <c r="ITY154" s="108"/>
      <c r="ITZ154" s="108"/>
      <c r="IUA154" s="108"/>
      <c r="IUB154" s="108"/>
      <c r="IUC154" s="108"/>
      <c r="IUD154" s="108"/>
      <c r="IUE154" s="108"/>
      <c r="IUF154" s="108"/>
      <c r="IUG154" s="108"/>
      <c r="IUH154" s="108"/>
      <c r="IUI154" s="108"/>
      <c r="IUJ154" s="108"/>
      <c r="IUK154" s="108"/>
      <c r="IUL154" s="108"/>
      <c r="IUM154" s="108"/>
      <c r="IUN154" s="108"/>
      <c r="IUO154" s="108"/>
      <c r="IUP154" s="108"/>
      <c r="IUQ154" s="108"/>
      <c r="IUR154" s="108"/>
      <c r="IUS154" s="108"/>
      <c r="IUT154" s="108"/>
      <c r="IUU154" s="108"/>
      <c r="IUV154" s="108"/>
      <c r="IUW154" s="108"/>
      <c r="IUX154" s="108"/>
      <c r="IUY154" s="108"/>
      <c r="IUZ154" s="108"/>
      <c r="IVA154" s="108"/>
      <c r="IVB154" s="108"/>
      <c r="IVC154" s="108"/>
      <c r="IVD154" s="108"/>
      <c r="IVE154" s="108"/>
      <c r="IVF154" s="108"/>
      <c r="IVG154" s="108"/>
      <c r="IVH154" s="108"/>
      <c r="IVI154" s="108"/>
      <c r="IVJ154" s="108"/>
      <c r="IVK154" s="108"/>
      <c r="IVL154" s="108"/>
      <c r="IVM154" s="108"/>
      <c r="IVN154" s="108"/>
      <c r="IVO154" s="108"/>
      <c r="IVP154" s="108"/>
      <c r="IVQ154" s="108"/>
      <c r="IVR154" s="108"/>
      <c r="IVS154" s="108"/>
      <c r="IVT154" s="108"/>
      <c r="IVU154" s="108"/>
      <c r="IVV154" s="108"/>
      <c r="IVW154" s="108"/>
      <c r="IVX154" s="108"/>
      <c r="IVY154" s="108"/>
      <c r="IVZ154" s="108"/>
      <c r="IWA154" s="108"/>
      <c r="IWB154" s="108"/>
      <c r="IWC154" s="108"/>
      <c r="IWD154" s="108"/>
      <c r="IWE154" s="108"/>
      <c r="IWF154" s="108"/>
      <c r="IWG154" s="108"/>
      <c r="IWH154" s="108"/>
      <c r="IWI154" s="108"/>
      <c r="IWJ154" s="108"/>
      <c r="IWK154" s="108"/>
      <c r="IWL154" s="108"/>
      <c r="IWM154" s="108"/>
      <c r="IWN154" s="108"/>
      <c r="IWO154" s="108"/>
      <c r="IWP154" s="108"/>
      <c r="IWQ154" s="108"/>
      <c r="IWR154" s="108"/>
      <c r="IWS154" s="108"/>
      <c r="IWT154" s="108"/>
      <c r="IWU154" s="108"/>
      <c r="IWV154" s="108"/>
      <c r="IWW154" s="108"/>
      <c r="IWX154" s="108"/>
      <c r="IWY154" s="108"/>
      <c r="IWZ154" s="108"/>
      <c r="IXA154" s="108"/>
      <c r="IXB154" s="108"/>
      <c r="IXC154" s="108"/>
      <c r="IXD154" s="108"/>
      <c r="IXE154" s="108"/>
      <c r="IXF154" s="108"/>
      <c r="IXG154" s="108"/>
      <c r="IXH154" s="108"/>
      <c r="IXI154" s="108"/>
      <c r="IXJ154" s="108"/>
      <c r="IXK154" s="108"/>
      <c r="IXL154" s="108"/>
      <c r="IXM154" s="108"/>
      <c r="IXN154" s="108"/>
      <c r="IXO154" s="108"/>
      <c r="IXP154" s="108"/>
      <c r="IXQ154" s="108"/>
      <c r="IXR154" s="108"/>
      <c r="IXS154" s="108"/>
      <c r="IXT154" s="108"/>
      <c r="IXU154" s="108"/>
      <c r="IXV154" s="108"/>
      <c r="IXW154" s="108"/>
      <c r="IXX154" s="108"/>
      <c r="IXY154" s="108"/>
      <c r="IXZ154" s="108"/>
      <c r="IYA154" s="108"/>
      <c r="IYB154" s="108"/>
      <c r="IYC154" s="108"/>
      <c r="IYD154" s="108"/>
      <c r="IYE154" s="108"/>
      <c r="IYF154" s="108"/>
      <c r="IYG154" s="108"/>
      <c r="IYH154" s="108"/>
      <c r="IYI154" s="108"/>
      <c r="IYJ154" s="108"/>
      <c r="IYK154" s="108"/>
      <c r="IYL154" s="108"/>
      <c r="IYM154" s="108"/>
      <c r="IYN154" s="108"/>
      <c r="IYO154" s="108"/>
      <c r="IYP154" s="108"/>
      <c r="IYQ154" s="108"/>
      <c r="IYR154" s="108"/>
      <c r="IYS154" s="108"/>
      <c r="IYT154" s="108"/>
      <c r="IYU154" s="108"/>
      <c r="IYV154" s="108"/>
      <c r="IYW154" s="108"/>
      <c r="IYX154" s="108"/>
      <c r="IYY154" s="108"/>
      <c r="IYZ154" s="108"/>
      <c r="IZA154" s="108"/>
      <c r="IZB154" s="108"/>
      <c r="IZC154" s="108"/>
      <c r="IZD154" s="108"/>
      <c r="IZE154" s="108"/>
      <c r="IZF154" s="108"/>
      <c r="IZG154" s="108"/>
      <c r="IZH154" s="108"/>
      <c r="IZI154" s="108"/>
      <c r="IZJ154" s="108"/>
      <c r="IZK154" s="108"/>
      <c r="IZL154" s="108"/>
      <c r="IZM154" s="108"/>
      <c r="IZN154" s="108"/>
      <c r="IZO154" s="108"/>
      <c r="IZP154" s="108"/>
      <c r="IZQ154" s="108"/>
      <c r="IZR154" s="108"/>
      <c r="IZS154" s="108"/>
      <c r="IZT154" s="108"/>
      <c r="IZU154" s="108"/>
      <c r="IZV154" s="108"/>
      <c r="IZW154" s="108"/>
      <c r="IZX154" s="108"/>
      <c r="IZY154" s="108"/>
      <c r="IZZ154" s="108"/>
      <c r="JAA154" s="108"/>
      <c r="JAB154" s="108"/>
      <c r="JAC154" s="108"/>
      <c r="JAD154" s="108"/>
      <c r="JAE154" s="108"/>
      <c r="JAF154" s="108"/>
      <c r="JAG154" s="108"/>
      <c r="JAH154" s="108"/>
      <c r="JAI154" s="108"/>
      <c r="JAJ154" s="108"/>
      <c r="JAK154" s="108"/>
      <c r="JAL154" s="108"/>
      <c r="JAM154" s="108"/>
      <c r="JAN154" s="108"/>
      <c r="JAO154" s="108"/>
      <c r="JAP154" s="108"/>
      <c r="JAQ154" s="108"/>
      <c r="JAR154" s="108"/>
      <c r="JAS154" s="108"/>
      <c r="JAT154" s="108"/>
      <c r="JAU154" s="108"/>
      <c r="JAV154" s="108"/>
      <c r="JAW154" s="108"/>
      <c r="JAX154" s="108"/>
      <c r="JAY154" s="108"/>
      <c r="JAZ154" s="108"/>
      <c r="JBA154" s="108"/>
      <c r="JBB154" s="108"/>
      <c r="JBC154" s="108"/>
      <c r="JBD154" s="108"/>
      <c r="JBE154" s="108"/>
      <c r="JBF154" s="108"/>
      <c r="JBG154" s="108"/>
      <c r="JBH154" s="108"/>
      <c r="JBI154" s="108"/>
      <c r="JBJ154" s="108"/>
      <c r="JBK154" s="108"/>
      <c r="JBL154" s="108"/>
      <c r="JBM154" s="108"/>
      <c r="JBN154" s="108"/>
      <c r="JBO154" s="108"/>
      <c r="JBP154" s="108"/>
      <c r="JBQ154" s="108"/>
      <c r="JBR154" s="108"/>
      <c r="JBS154" s="108"/>
      <c r="JBT154" s="108"/>
      <c r="JBU154" s="108"/>
      <c r="JBV154" s="108"/>
      <c r="JBW154" s="108"/>
      <c r="JBX154" s="108"/>
      <c r="JBY154" s="108"/>
      <c r="JBZ154" s="108"/>
      <c r="JCA154" s="108"/>
      <c r="JCB154" s="108"/>
      <c r="JCC154" s="108"/>
      <c r="JCD154" s="108"/>
      <c r="JCE154" s="108"/>
      <c r="JCF154" s="108"/>
      <c r="JCG154" s="108"/>
      <c r="JCH154" s="108"/>
      <c r="JCI154" s="108"/>
      <c r="JCJ154" s="108"/>
      <c r="JCK154" s="108"/>
      <c r="JCL154" s="108"/>
      <c r="JCM154" s="108"/>
      <c r="JCN154" s="108"/>
      <c r="JCO154" s="108"/>
      <c r="JCP154" s="108"/>
      <c r="JCQ154" s="108"/>
      <c r="JCR154" s="108"/>
      <c r="JCS154" s="108"/>
      <c r="JCT154" s="108"/>
      <c r="JCU154" s="108"/>
      <c r="JCV154" s="108"/>
      <c r="JCW154" s="108"/>
      <c r="JCX154" s="108"/>
      <c r="JCY154" s="108"/>
      <c r="JCZ154" s="108"/>
      <c r="JDA154" s="108"/>
      <c r="JDB154" s="108"/>
      <c r="JDC154" s="108"/>
      <c r="JDD154" s="108"/>
      <c r="JDE154" s="108"/>
      <c r="JDF154" s="108"/>
      <c r="JDG154" s="108"/>
      <c r="JDH154" s="108"/>
      <c r="JDI154" s="108"/>
      <c r="JDJ154" s="108"/>
      <c r="JDK154" s="108"/>
      <c r="JDL154" s="108"/>
      <c r="JDM154" s="108"/>
      <c r="JDN154" s="108"/>
      <c r="JDO154" s="108"/>
      <c r="JDP154" s="108"/>
      <c r="JDQ154" s="108"/>
      <c r="JDR154" s="108"/>
      <c r="JDS154" s="108"/>
      <c r="JDT154" s="108"/>
      <c r="JDU154" s="108"/>
      <c r="JDV154" s="108"/>
      <c r="JDW154" s="108"/>
      <c r="JDX154" s="108"/>
      <c r="JDY154" s="108"/>
      <c r="JDZ154" s="108"/>
      <c r="JEA154" s="108"/>
      <c r="JEB154" s="108"/>
      <c r="JEC154" s="108"/>
      <c r="JED154" s="108"/>
      <c r="JEE154" s="108"/>
      <c r="JEF154" s="108"/>
      <c r="JEG154" s="108"/>
      <c r="JEH154" s="108"/>
      <c r="JEI154" s="108"/>
      <c r="JEJ154" s="108"/>
      <c r="JEK154" s="108"/>
      <c r="JEL154" s="108"/>
      <c r="JEM154" s="108"/>
      <c r="JEN154" s="108"/>
      <c r="JEO154" s="108"/>
      <c r="JEP154" s="108"/>
      <c r="JEQ154" s="108"/>
      <c r="JER154" s="108"/>
      <c r="JES154" s="108"/>
      <c r="JET154" s="108"/>
      <c r="JEU154" s="108"/>
      <c r="JEV154" s="108"/>
      <c r="JEW154" s="108"/>
      <c r="JEX154" s="108"/>
      <c r="JEY154" s="108"/>
      <c r="JEZ154" s="108"/>
      <c r="JFA154" s="108"/>
      <c r="JFB154" s="108"/>
      <c r="JFC154" s="108"/>
      <c r="JFD154" s="108"/>
      <c r="JFE154" s="108"/>
      <c r="JFF154" s="108"/>
      <c r="JFG154" s="108"/>
      <c r="JFH154" s="108"/>
      <c r="JFI154" s="108"/>
      <c r="JFJ154" s="108"/>
      <c r="JFK154" s="108"/>
      <c r="JFL154" s="108"/>
      <c r="JFM154" s="108"/>
      <c r="JFN154" s="108"/>
      <c r="JFO154" s="108"/>
      <c r="JFP154" s="108"/>
      <c r="JFQ154" s="108"/>
      <c r="JFR154" s="108"/>
      <c r="JFS154" s="108"/>
      <c r="JFT154" s="108"/>
      <c r="JFU154" s="108"/>
      <c r="JFV154" s="108"/>
      <c r="JFW154" s="108"/>
      <c r="JFX154" s="108"/>
      <c r="JFY154" s="108"/>
      <c r="JFZ154" s="108"/>
      <c r="JGA154" s="108"/>
      <c r="JGB154" s="108"/>
      <c r="JGC154" s="108"/>
      <c r="JGD154" s="108"/>
      <c r="JGE154" s="108"/>
      <c r="JGF154" s="108"/>
      <c r="JGG154" s="108"/>
      <c r="JGH154" s="108"/>
      <c r="JGI154" s="108"/>
      <c r="JGJ154" s="108"/>
      <c r="JGK154" s="108"/>
      <c r="JGL154" s="108"/>
      <c r="JGM154" s="108"/>
      <c r="JGN154" s="108"/>
      <c r="JGO154" s="108"/>
      <c r="JGP154" s="108"/>
      <c r="JGQ154" s="108"/>
      <c r="JGR154" s="108"/>
      <c r="JGS154" s="108"/>
      <c r="JGT154" s="108"/>
      <c r="JGU154" s="108"/>
      <c r="JGV154" s="108"/>
      <c r="JGW154" s="108"/>
      <c r="JGX154" s="108"/>
      <c r="JGY154" s="108"/>
      <c r="JGZ154" s="108"/>
      <c r="JHA154" s="108"/>
      <c r="JHB154" s="108"/>
      <c r="JHC154" s="108"/>
      <c r="JHD154" s="108"/>
      <c r="JHE154" s="108"/>
      <c r="JHF154" s="108"/>
      <c r="JHG154" s="108"/>
      <c r="JHH154" s="108"/>
      <c r="JHI154" s="108"/>
      <c r="JHJ154" s="108"/>
      <c r="JHK154" s="108"/>
      <c r="JHL154" s="108"/>
      <c r="JHM154" s="108"/>
      <c r="JHN154" s="108"/>
      <c r="JHO154" s="108"/>
      <c r="JHP154" s="108"/>
      <c r="JHQ154" s="108"/>
      <c r="JHR154" s="108"/>
      <c r="JHS154" s="108"/>
      <c r="JHT154" s="108"/>
      <c r="JHU154" s="108"/>
      <c r="JHV154" s="108"/>
      <c r="JHW154" s="108"/>
      <c r="JHX154" s="108"/>
      <c r="JHY154" s="108"/>
      <c r="JHZ154" s="108"/>
      <c r="JIA154" s="108"/>
      <c r="JIB154" s="108"/>
      <c r="JIC154" s="108"/>
      <c r="JID154" s="108"/>
      <c r="JIE154" s="108"/>
      <c r="JIF154" s="108"/>
      <c r="JIG154" s="108"/>
      <c r="JIH154" s="108"/>
      <c r="JII154" s="108"/>
      <c r="JIJ154" s="108"/>
      <c r="JIK154" s="108"/>
      <c r="JIL154" s="108"/>
      <c r="JIM154" s="108"/>
      <c r="JIN154" s="108"/>
      <c r="JIO154" s="108"/>
      <c r="JIP154" s="108"/>
      <c r="JIQ154" s="108"/>
      <c r="JIR154" s="108"/>
      <c r="JIS154" s="108"/>
      <c r="JIT154" s="108"/>
      <c r="JIU154" s="108"/>
      <c r="JIV154" s="108"/>
      <c r="JIW154" s="108"/>
      <c r="JIX154" s="108"/>
      <c r="JIY154" s="108"/>
      <c r="JIZ154" s="108"/>
      <c r="JJA154" s="108"/>
      <c r="JJB154" s="108"/>
      <c r="JJC154" s="108"/>
      <c r="JJD154" s="108"/>
      <c r="JJE154" s="108"/>
      <c r="JJF154" s="108"/>
      <c r="JJG154" s="108"/>
      <c r="JJH154" s="108"/>
      <c r="JJI154" s="108"/>
      <c r="JJJ154" s="108"/>
      <c r="JJK154" s="108"/>
      <c r="JJL154" s="108"/>
      <c r="JJM154" s="108"/>
      <c r="JJN154" s="108"/>
      <c r="JJO154" s="108"/>
      <c r="JJP154" s="108"/>
      <c r="JJQ154" s="108"/>
      <c r="JJR154" s="108"/>
      <c r="JJS154" s="108"/>
      <c r="JJT154" s="108"/>
      <c r="JJU154" s="108"/>
      <c r="JJV154" s="108"/>
      <c r="JJW154" s="108"/>
      <c r="JJX154" s="108"/>
      <c r="JJY154" s="108"/>
      <c r="JJZ154" s="108"/>
      <c r="JKA154" s="108"/>
      <c r="JKB154" s="108"/>
      <c r="JKC154" s="108"/>
      <c r="JKD154" s="108"/>
      <c r="JKE154" s="108"/>
      <c r="JKF154" s="108"/>
      <c r="JKG154" s="108"/>
      <c r="JKH154" s="108"/>
      <c r="JKI154" s="108"/>
      <c r="JKJ154" s="108"/>
      <c r="JKK154" s="108"/>
      <c r="JKL154" s="108"/>
      <c r="JKM154" s="108"/>
      <c r="JKN154" s="108"/>
      <c r="JKO154" s="108"/>
      <c r="JKP154" s="108"/>
      <c r="JKQ154" s="108"/>
      <c r="JKR154" s="108"/>
      <c r="JKS154" s="108"/>
      <c r="JKT154" s="108"/>
      <c r="JKU154" s="108"/>
      <c r="JKV154" s="108"/>
      <c r="JKW154" s="108"/>
      <c r="JKX154" s="108"/>
      <c r="JKY154" s="108"/>
      <c r="JKZ154" s="108"/>
      <c r="JLA154" s="108"/>
      <c r="JLB154" s="108"/>
      <c r="JLC154" s="108"/>
      <c r="JLD154" s="108"/>
      <c r="JLE154" s="108"/>
      <c r="JLF154" s="108"/>
      <c r="JLG154" s="108"/>
      <c r="JLH154" s="108"/>
      <c r="JLI154" s="108"/>
      <c r="JLJ154" s="108"/>
      <c r="JLK154" s="108"/>
      <c r="JLL154" s="108"/>
      <c r="JLM154" s="108"/>
      <c r="JLN154" s="108"/>
      <c r="JLO154" s="108"/>
      <c r="JLP154" s="108"/>
      <c r="JLQ154" s="108"/>
      <c r="JLR154" s="108"/>
      <c r="JLS154" s="108"/>
      <c r="JLT154" s="108"/>
      <c r="JLU154" s="108"/>
      <c r="JLV154" s="108"/>
      <c r="JLW154" s="108"/>
      <c r="JLX154" s="108"/>
      <c r="JLY154" s="108"/>
      <c r="JLZ154" s="108"/>
      <c r="JMA154" s="108"/>
      <c r="JMB154" s="108"/>
      <c r="JMC154" s="108"/>
      <c r="JMD154" s="108"/>
      <c r="JME154" s="108"/>
      <c r="JMF154" s="108"/>
      <c r="JMG154" s="108"/>
      <c r="JMH154" s="108"/>
      <c r="JMI154" s="108"/>
      <c r="JMJ154" s="108"/>
      <c r="JMK154" s="108"/>
      <c r="JML154" s="108"/>
      <c r="JMM154" s="108"/>
      <c r="JMN154" s="108"/>
      <c r="JMO154" s="108"/>
      <c r="JMP154" s="108"/>
      <c r="JMQ154" s="108"/>
      <c r="JMR154" s="108"/>
      <c r="JMS154" s="108"/>
      <c r="JMT154" s="108"/>
      <c r="JMU154" s="108"/>
      <c r="JMV154" s="108"/>
      <c r="JMW154" s="108"/>
      <c r="JMX154" s="108"/>
      <c r="JMY154" s="108"/>
      <c r="JMZ154" s="108"/>
      <c r="JNA154" s="108"/>
      <c r="JNB154" s="108"/>
      <c r="JNC154" s="108"/>
      <c r="JND154" s="108"/>
      <c r="JNE154" s="108"/>
      <c r="JNF154" s="108"/>
      <c r="JNG154" s="108"/>
      <c r="JNH154" s="108"/>
      <c r="JNI154" s="108"/>
      <c r="JNJ154" s="108"/>
      <c r="JNK154" s="108"/>
      <c r="JNL154" s="108"/>
      <c r="JNM154" s="108"/>
      <c r="JNN154" s="108"/>
      <c r="JNO154" s="108"/>
      <c r="JNP154" s="108"/>
      <c r="JNQ154" s="108"/>
      <c r="JNR154" s="108"/>
      <c r="JNS154" s="108"/>
      <c r="JNT154" s="108"/>
      <c r="JNU154" s="108"/>
      <c r="JNV154" s="108"/>
      <c r="JNW154" s="108"/>
      <c r="JNX154" s="108"/>
      <c r="JNY154" s="108"/>
      <c r="JNZ154" s="108"/>
      <c r="JOA154" s="108"/>
      <c r="JOB154" s="108"/>
      <c r="JOC154" s="108"/>
      <c r="JOD154" s="108"/>
      <c r="JOE154" s="108"/>
      <c r="JOF154" s="108"/>
      <c r="JOG154" s="108"/>
      <c r="JOH154" s="108"/>
      <c r="JOI154" s="108"/>
      <c r="JOJ154" s="108"/>
      <c r="JOK154" s="108"/>
      <c r="JOL154" s="108"/>
      <c r="JOM154" s="108"/>
      <c r="JON154" s="108"/>
      <c r="JOO154" s="108"/>
      <c r="JOP154" s="108"/>
      <c r="JOQ154" s="108"/>
      <c r="JOR154" s="108"/>
      <c r="JOS154" s="108"/>
      <c r="JOT154" s="108"/>
      <c r="JOU154" s="108"/>
      <c r="JOV154" s="108"/>
      <c r="JOW154" s="108"/>
      <c r="JOX154" s="108"/>
      <c r="JOY154" s="108"/>
      <c r="JOZ154" s="108"/>
      <c r="JPA154" s="108"/>
      <c r="JPB154" s="108"/>
      <c r="JPC154" s="108"/>
      <c r="JPD154" s="108"/>
      <c r="JPE154" s="108"/>
      <c r="JPF154" s="108"/>
      <c r="JPG154" s="108"/>
      <c r="JPH154" s="108"/>
      <c r="JPI154" s="108"/>
      <c r="JPJ154" s="108"/>
      <c r="JPK154" s="108"/>
      <c r="JPL154" s="108"/>
      <c r="JPM154" s="108"/>
      <c r="JPN154" s="108"/>
      <c r="JPO154" s="108"/>
      <c r="JPP154" s="108"/>
      <c r="JPQ154" s="108"/>
      <c r="JPR154" s="108"/>
      <c r="JPS154" s="108"/>
      <c r="JPT154" s="108"/>
      <c r="JPU154" s="108"/>
      <c r="JPV154" s="108"/>
      <c r="JPW154" s="108"/>
      <c r="JPX154" s="108"/>
      <c r="JPY154" s="108"/>
      <c r="JPZ154" s="108"/>
      <c r="JQA154" s="108"/>
      <c r="JQB154" s="108"/>
      <c r="JQC154" s="108"/>
      <c r="JQD154" s="108"/>
      <c r="JQE154" s="108"/>
      <c r="JQF154" s="108"/>
      <c r="JQG154" s="108"/>
      <c r="JQH154" s="108"/>
      <c r="JQI154" s="108"/>
      <c r="JQJ154" s="108"/>
      <c r="JQK154" s="108"/>
      <c r="JQL154" s="108"/>
      <c r="JQM154" s="108"/>
      <c r="JQN154" s="108"/>
      <c r="JQO154" s="108"/>
      <c r="JQP154" s="108"/>
      <c r="JQQ154" s="108"/>
      <c r="JQR154" s="108"/>
      <c r="JQS154" s="108"/>
      <c r="JQT154" s="108"/>
      <c r="JQU154" s="108"/>
      <c r="JQV154" s="108"/>
      <c r="JQW154" s="108"/>
      <c r="JQX154" s="108"/>
      <c r="JQY154" s="108"/>
      <c r="JQZ154" s="108"/>
      <c r="JRA154" s="108"/>
      <c r="JRB154" s="108"/>
      <c r="JRC154" s="108"/>
      <c r="JRD154" s="108"/>
      <c r="JRE154" s="108"/>
      <c r="JRF154" s="108"/>
      <c r="JRG154" s="108"/>
      <c r="JRH154" s="108"/>
      <c r="JRI154" s="108"/>
      <c r="JRJ154" s="108"/>
      <c r="JRK154" s="108"/>
      <c r="JRL154" s="108"/>
      <c r="JRM154" s="108"/>
      <c r="JRN154" s="108"/>
      <c r="JRO154" s="108"/>
      <c r="JRP154" s="108"/>
      <c r="JRQ154" s="108"/>
      <c r="JRR154" s="108"/>
      <c r="JRS154" s="108"/>
      <c r="JRT154" s="108"/>
      <c r="JRU154" s="108"/>
      <c r="JRV154" s="108"/>
      <c r="JRW154" s="108"/>
      <c r="JRX154" s="108"/>
      <c r="JRY154" s="108"/>
      <c r="JRZ154" s="108"/>
      <c r="JSA154" s="108"/>
      <c r="JSB154" s="108"/>
      <c r="JSC154" s="108"/>
      <c r="JSD154" s="108"/>
      <c r="JSE154" s="108"/>
      <c r="JSF154" s="108"/>
      <c r="JSG154" s="108"/>
      <c r="JSH154" s="108"/>
      <c r="JSI154" s="108"/>
      <c r="JSJ154" s="108"/>
      <c r="JSK154" s="108"/>
      <c r="JSL154" s="108"/>
      <c r="JSM154" s="108"/>
      <c r="JSN154" s="108"/>
      <c r="JSO154" s="108"/>
      <c r="JSP154" s="108"/>
      <c r="JSQ154" s="108"/>
      <c r="JSR154" s="108"/>
      <c r="JSS154" s="108"/>
      <c r="JST154" s="108"/>
      <c r="JSU154" s="108"/>
      <c r="JSV154" s="108"/>
      <c r="JSW154" s="108"/>
      <c r="JSX154" s="108"/>
      <c r="JSY154" s="108"/>
      <c r="JSZ154" s="108"/>
      <c r="JTA154" s="108"/>
      <c r="JTB154" s="108"/>
      <c r="JTC154" s="108"/>
      <c r="JTD154" s="108"/>
      <c r="JTE154" s="108"/>
      <c r="JTF154" s="108"/>
      <c r="JTG154" s="108"/>
      <c r="JTH154" s="108"/>
      <c r="JTI154" s="108"/>
      <c r="JTJ154" s="108"/>
      <c r="JTK154" s="108"/>
      <c r="JTL154" s="108"/>
      <c r="JTM154" s="108"/>
      <c r="JTN154" s="108"/>
      <c r="JTO154" s="108"/>
      <c r="JTP154" s="108"/>
      <c r="JTQ154" s="108"/>
      <c r="JTR154" s="108"/>
      <c r="JTS154" s="108"/>
      <c r="JTT154" s="108"/>
      <c r="JTU154" s="108"/>
      <c r="JTV154" s="108"/>
      <c r="JTW154" s="108"/>
      <c r="JTX154" s="108"/>
      <c r="JTY154" s="108"/>
      <c r="JTZ154" s="108"/>
      <c r="JUA154" s="108"/>
      <c r="JUB154" s="108"/>
      <c r="JUC154" s="108"/>
      <c r="JUD154" s="108"/>
      <c r="JUE154" s="108"/>
      <c r="JUF154" s="108"/>
      <c r="JUG154" s="108"/>
      <c r="JUH154" s="108"/>
      <c r="JUI154" s="108"/>
      <c r="JUJ154" s="108"/>
      <c r="JUK154" s="108"/>
      <c r="JUL154" s="108"/>
      <c r="JUM154" s="108"/>
      <c r="JUN154" s="108"/>
      <c r="JUO154" s="108"/>
      <c r="JUP154" s="108"/>
      <c r="JUQ154" s="108"/>
      <c r="JUR154" s="108"/>
      <c r="JUS154" s="108"/>
      <c r="JUT154" s="108"/>
      <c r="JUU154" s="108"/>
      <c r="JUV154" s="108"/>
      <c r="JUW154" s="108"/>
      <c r="JUX154" s="108"/>
      <c r="JUY154" s="108"/>
      <c r="JUZ154" s="108"/>
      <c r="JVA154" s="108"/>
      <c r="JVB154" s="108"/>
      <c r="JVC154" s="108"/>
      <c r="JVD154" s="108"/>
      <c r="JVE154" s="108"/>
      <c r="JVF154" s="108"/>
      <c r="JVG154" s="108"/>
      <c r="JVH154" s="108"/>
      <c r="JVI154" s="108"/>
      <c r="JVJ154" s="108"/>
      <c r="JVK154" s="108"/>
      <c r="JVL154" s="108"/>
      <c r="JVM154" s="108"/>
      <c r="JVN154" s="108"/>
      <c r="JVO154" s="108"/>
      <c r="JVP154" s="108"/>
      <c r="JVQ154" s="108"/>
      <c r="JVR154" s="108"/>
      <c r="JVS154" s="108"/>
      <c r="JVT154" s="108"/>
      <c r="JVU154" s="108"/>
      <c r="JVV154" s="108"/>
      <c r="JVW154" s="108"/>
      <c r="JVX154" s="108"/>
      <c r="JVY154" s="108"/>
      <c r="JVZ154" s="108"/>
      <c r="JWA154" s="108"/>
      <c r="JWB154" s="108"/>
      <c r="JWC154" s="108"/>
      <c r="JWD154" s="108"/>
      <c r="JWE154" s="108"/>
      <c r="JWF154" s="108"/>
      <c r="JWG154" s="108"/>
      <c r="JWH154" s="108"/>
      <c r="JWI154" s="108"/>
      <c r="JWJ154" s="108"/>
      <c r="JWK154" s="108"/>
      <c r="JWL154" s="108"/>
      <c r="JWM154" s="108"/>
      <c r="JWN154" s="108"/>
      <c r="JWO154" s="108"/>
      <c r="JWP154" s="108"/>
      <c r="JWQ154" s="108"/>
      <c r="JWR154" s="108"/>
      <c r="JWS154" s="108"/>
      <c r="JWT154" s="108"/>
      <c r="JWU154" s="108"/>
      <c r="JWV154" s="108"/>
      <c r="JWW154" s="108"/>
      <c r="JWX154" s="108"/>
      <c r="JWY154" s="108"/>
      <c r="JWZ154" s="108"/>
      <c r="JXA154" s="108"/>
      <c r="JXB154" s="108"/>
      <c r="JXC154" s="108"/>
      <c r="JXD154" s="108"/>
      <c r="JXE154" s="108"/>
      <c r="JXF154" s="108"/>
      <c r="JXG154" s="108"/>
      <c r="JXH154" s="108"/>
      <c r="JXI154" s="108"/>
      <c r="JXJ154" s="108"/>
      <c r="JXK154" s="108"/>
      <c r="JXL154" s="108"/>
      <c r="JXM154" s="108"/>
      <c r="JXN154" s="108"/>
      <c r="JXO154" s="108"/>
      <c r="JXP154" s="108"/>
      <c r="JXQ154" s="108"/>
      <c r="JXR154" s="108"/>
      <c r="JXS154" s="108"/>
      <c r="JXT154" s="108"/>
      <c r="JXU154" s="108"/>
      <c r="JXV154" s="108"/>
      <c r="JXW154" s="108"/>
      <c r="JXX154" s="108"/>
      <c r="JXY154" s="108"/>
      <c r="JXZ154" s="108"/>
      <c r="JYA154" s="108"/>
      <c r="JYB154" s="108"/>
      <c r="JYC154" s="108"/>
      <c r="JYD154" s="108"/>
      <c r="JYE154" s="108"/>
      <c r="JYF154" s="108"/>
      <c r="JYG154" s="108"/>
      <c r="JYH154" s="108"/>
      <c r="JYI154" s="108"/>
      <c r="JYJ154" s="108"/>
      <c r="JYK154" s="108"/>
      <c r="JYL154" s="108"/>
      <c r="JYM154" s="108"/>
      <c r="JYN154" s="108"/>
      <c r="JYO154" s="108"/>
      <c r="JYP154" s="108"/>
      <c r="JYQ154" s="108"/>
      <c r="JYR154" s="108"/>
      <c r="JYS154" s="108"/>
      <c r="JYT154" s="108"/>
      <c r="JYU154" s="108"/>
      <c r="JYV154" s="108"/>
      <c r="JYW154" s="108"/>
      <c r="JYX154" s="108"/>
      <c r="JYY154" s="108"/>
      <c r="JYZ154" s="108"/>
      <c r="JZA154" s="108"/>
      <c r="JZB154" s="108"/>
      <c r="JZC154" s="108"/>
      <c r="JZD154" s="108"/>
      <c r="JZE154" s="108"/>
      <c r="JZF154" s="108"/>
      <c r="JZG154" s="108"/>
      <c r="JZH154" s="108"/>
      <c r="JZI154" s="108"/>
      <c r="JZJ154" s="108"/>
      <c r="JZK154" s="108"/>
      <c r="JZL154" s="108"/>
      <c r="JZM154" s="108"/>
      <c r="JZN154" s="108"/>
      <c r="JZO154" s="108"/>
      <c r="JZP154" s="108"/>
      <c r="JZQ154" s="108"/>
      <c r="JZR154" s="108"/>
      <c r="JZS154" s="108"/>
      <c r="JZT154" s="108"/>
      <c r="JZU154" s="108"/>
      <c r="JZV154" s="108"/>
      <c r="JZW154" s="108"/>
      <c r="JZX154" s="108"/>
      <c r="JZY154" s="108"/>
      <c r="JZZ154" s="108"/>
      <c r="KAA154" s="108"/>
      <c r="KAB154" s="108"/>
      <c r="KAC154" s="108"/>
      <c r="KAD154" s="108"/>
      <c r="KAE154" s="108"/>
      <c r="KAF154" s="108"/>
      <c r="KAG154" s="108"/>
      <c r="KAH154" s="108"/>
      <c r="KAI154" s="108"/>
      <c r="KAJ154" s="108"/>
      <c r="KAK154" s="108"/>
      <c r="KAL154" s="108"/>
      <c r="KAM154" s="108"/>
      <c r="KAN154" s="108"/>
      <c r="KAO154" s="108"/>
      <c r="KAP154" s="108"/>
      <c r="KAQ154" s="108"/>
      <c r="KAR154" s="108"/>
      <c r="KAS154" s="108"/>
      <c r="KAT154" s="108"/>
      <c r="KAU154" s="108"/>
      <c r="KAV154" s="108"/>
      <c r="KAW154" s="108"/>
      <c r="KAX154" s="108"/>
      <c r="KAY154" s="108"/>
      <c r="KAZ154" s="108"/>
      <c r="KBA154" s="108"/>
      <c r="KBB154" s="108"/>
      <c r="KBC154" s="108"/>
      <c r="KBD154" s="108"/>
      <c r="KBE154" s="108"/>
      <c r="KBF154" s="108"/>
      <c r="KBG154" s="108"/>
      <c r="KBH154" s="108"/>
      <c r="KBI154" s="108"/>
      <c r="KBJ154" s="108"/>
      <c r="KBK154" s="108"/>
      <c r="KBL154" s="108"/>
      <c r="KBM154" s="108"/>
      <c r="KBN154" s="108"/>
      <c r="KBO154" s="108"/>
      <c r="KBP154" s="108"/>
      <c r="KBQ154" s="108"/>
      <c r="KBR154" s="108"/>
      <c r="KBS154" s="108"/>
      <c r="KBT154" s="108"/>
      <c r="KBU154" s="108"/>
      <c r="KBV154" s="108"/>
      <c r="KBW154" s="108"/>
      <c r="KBX154" s="108"/>
      <c r="KBY154" s="108"/>
      <c r="KBZ154" s="108"/>
      <c r="KCA154" s="108"/>
      <c r="KCB154" s="108"/>
      <c r="KCC154" s="108"/>
      <c r="KCD154" s="108"/>
      <c r="KCE154" s="108"/>
      <c r="KCF154" s="108"/>
      <c r="KCG154" s="108"/>
      <c r="KCH154" s="108"/>
      <c r="KCI154" s="108"/>
      <c r="KCJ154" s="108"/>
      <c r="KCK154" s="108"/>
      <c r="KCL154" s="108"/>
      <c r="KCM154" s="108"/>
      <c r="KCN154" s="108"/>
      <c r="KCO154" s="108"/>
      <c r="KCP154" s="108"/>
      <c r="KCQ154" s="108"/>
      <c r="KCR154" s="108"/>
      <c r="KCS154" s="108"/>
      <c r="KCT154" s="108"/>
      <c r="KCU154" s="108"/>
      <c r="KCV154" s="108"/>
      <c r="KCW154" s="108"/>
      <c r="KCX154" s="108"/>
      <c r="KCY154" s="108"/>
      <c r="KCZ154" s="108"/>
      <c r="KDA154" s="108"/>
      <c r="KDB154" s="108"/>
      <c r="KDC154" s="108"/>
      <c r="KDD154" s="108"/>
      <c r="KDE154" s="108"/>
      <c r="KDF154" s="108"/>
      <c r="KDG154" s="108"/>
      <c r="KDH154" s="108"/>
      <c r="KDI154" s="108"/>
      <c r="KDJ154" s="108"/>
      <c r="KDK154" s="108"/>
      <c r="KDL154" s="108"/>
      <c r="KDM154" s="108"/>
      <c r="KDN154" s="108"/>
      <c r="KDO154" s="108"/>
      <c r="KDP154" s="108"/>
      <c r="KDQ154" s="108"/>
      <c r="KDR154" s="108"/>
      <c r="KDS154" s="108"/>
      <c r="KDT154" s="108"/>
      <c r="KDU154" s="108"/>
      <c r="KDV154" s="108"/>
      <c r="KDW154" s="108"/>
      <c r="KDX154" s="108"/>
      <c r="KDY154" s="108"/>
      <c r="KDZ154" s="108"/>
      <c r="KEA154" s="108"/>
      <c r="KEB154" s="108"/>
      <c r="KEC154" s="108"/>
      <c r="KED154" s="108"/>
      <c r="KEE154" s="108"/>
      <c r="KEF154" s="108"/>
      <c r="KEG154" s="108"/>
      <c r="KEH154" s="108"/>
      <c r="KEI154" s="108"/>
      <c r="KEJ154" s="108"/>
      <c r="KEK154" s="108"/>
      <c r="KEL154" s="108"/>
      <c r="KEM154" s="108"/>
      <c r="KEN154" s="108"/>
      <c r="KEO154" s="108"/>
      <c r="KEP154" s="108"/>
      <c r="KEQ154" s="108"/>
      <c r="KER154" s="108"/>
      <c r="KES154" s="108"/>
      <c r="KET154" s="108"/>
      <c r="KEU154" s="108"/>
      <c r="KEV154" s="108"/>
      <c r="KEW154" s="108"/>
      <c r="KEX154" s="108"/>
      <c r="KEY154" s="108"/>
      <c r="KEZ154" s="108"/>
      <c r="KFA154" s="108"/>
      <c r="KFB154" s="108"/>
      <c r="KFC154" s="108"/>
      <c r="KFD154" s="108"/>
      <c r="KFE154" s="108"/>
      <c r="KFF154" s="108"/>
      <c r="KFG154" s="108"/>
      <c r="KFH154" s="108"/>
      <c r="KFI154" s="108"/>
      <c r="KFJ154" s="108"/>
      <c r="KFK154" s="108"/>
      <c r="KFL154" s="108"/>
      <c r="KFM154" s="108"/>
      <c r="KFN154" s="108"/>
      <c r="KFO154" s="108"/>
      <c r="KFP154" s="108"/>
      <c r="KFQ154" s="108"/>
      <c r="KFR154" s="108"/>
      <c r="KFS154" s="108"/>
      <c r="KFT154" s="108"/>
      <c r="KFU154" s="108"/>
      <c r="KFV154" s="108"/>
      <c r="KFW154" s="108"/>
      <c r="KFX154" s="108"/>
      <c r="KFY154" s="108"/>
      <c r="KFZ154" s="108"/>
      <c r="KGA154" s="108"/>
      <c r="KGB154" s="108"/>
      <c r="KGC154" s="108"/>
      <c r="KGD154" s="108"/>
      <c r="KGE154" s="108"/>
      <c r="KGF154" s="108"/>
      <c r="KGG154" s="108"/>
      <c r="KGH154" s="108"/>
      <c r="KGI154" s="108"/>
      <c r="KGJ154" s="108"/>
      <c r="KGK154" s="108"/>
      <c r="KGL154" s="108"/>
      <c r="KGM154" s="108"/>
      <c r="KGN154" s="108"/>
      <c r="KGO154" s="108"/>
      <c r="KGP154" s="108"/>
      <c r="KGQ154" s="108"/>
      <c r="KGR154" s="108"/>
      <c r="KGS154" s="108"/>
      <c r="KGT154" s="108"/>
      <c r="KGU154" s="108"/>
      <c r="KGV154" s="108"/>
      <c r="KGW154" s="108"/>
      <c r="KGX154" s="108"/>
      <c r="KGY154" s="108"/>
      <c r="KGZ154" s="108"/>
      <c r="KHA154" s="108"/>
      <c r="KHB154" s="108"/>
      <c r="KHC154" s="108"/>
      <c r="KHD154" s="108"/>
      <c r="KHE154" s="108"/>
      <c r="KHF154" s="108"/>
      <c r="KHG154" s="108"/>
      <c r="KHH154" s="108"/>
      <c r="KHI154" s="108"/>
      <c r="KHJ154" s="108"/>
      <c r="KHK154" s="108"/>
      <c r="KHL154" s="108"/>
      <c r="KHM154" s="108"/>
      <c r="KHN154" s="108"/>
      <c r="KHO154" s="108"/>
      <c r="KHP154" s="108"/>
      <c r="KHQ154" s="108"/>
      <c r="KHR154" s="108"/>
      <c r="KHS154" s="108"/>
      <c r="KHT154" s="108"/>
      <c r="KHU154" s="108"/>
      <c r="KHV154" s="108"/>
      <c r="KHW154" s="108"/>
      <c r="KHX154" s="108"/>
      <c r="KHY154" s="108"/>
      <c r="KHZ154" s="108"/>
      <c r="KIA154" s="108"/>
      <c r="KIB154" s="108"/>
      <c r="KIC154" s="108"/>
      <c r="KID154" s="108"/>
      <c r="KIE154" s="108"/>
      <c r="KIF154" s="108"/>
      <c r="KIG154" s="108"/>
      <c r="KIH154" s="108"/>
      <c r="KII154" s="108"/>
      <c r="KIJ154" s="108"/>
      <c r="KIK154" s="108"/>
      <c r="KIL154" s="108"/>
      <c r="KIM154" s="108"/>
      <c r="KIN154" s="108"/>
      <c r="KIO154" s="108"/>
      <c r="KIP154" s="108"/>
      <c r="KIQ154" s="108"/>
      <c r="KIR154" s="108"/>
      <c r="KIS154" s="108"/>
      <c r="KIT154" s="108"/>
      <c r="KIU154" s="108"/>
      <c r="KIV154" s="108"/>
      <c r="KIW154" s="108"/>
      <c r="KIX154" s="108"/>
      <c r="KIY154" s="108"/>
      <c r="KIZ154" s="108"/>
      <c r="KJA154" s="108"/>
      <c r="KJB154" s="108"/>
      <c r="KJC154" s="108"/>
      <c r="KJD154" s="108"/>
      <c r="KJE154" s="108"/>
      <c r="KJF154" s="108"/>
      <c r="KJG154" s="108"/>
      <c r="KJH154" s="108"/>
      <c r="KJI154" s="108"/>
      <c r="KJJ154" s="108"/>
      <c r="KJK154" s="108"/>
      <c r="KJL154" s="108"/>
      <c r="KJM154" s="108"/>
      <c r="KJN154" s="108"/>
      <c r="KJO154" s="108"/>
      <c r="KJP154" s="108"/>
      <c r="KJQ154" s="108"/>
      <c r="KJR154" s="108"/>
      <c r="KJS154" s="108"/>
      <c r="KJT154" s="108"/>
      <c r="KJU154" s="108"/>
      <c r="KJV154" s="108"/>
      <c r="KJW154" s="108"/>
      <c r="KJX154" s="108"/>
      <c r="KJY154" s="108"/>
      <c r="KJZ154" s="108"/>
      <c r="KKA154" s="108"/>
      <c r="KKB154" s="108"/>
      <c r="KKC154" s="108"/>
      <c r="KKD154" s="108"/>
      <c r="KKE154" s="108"/>
      <c r="KKF154" s="108"/>
      <c r="KKG154" s="108"/>
      <c r="KKH154" s="108"/>
      <c r="KKI154" s="108"/>
      <c r="KKJ154" s="108"/>
      <c r="KKK154" s="108"/>
      <c r="KKL154" s="108"/>
      <c r="KKM154" s="108"/>
      <c r="KKN154" s="108"/>
      <c r="KKO154" s="108"/>
      <c r="KKP154" s="108"/>
      <c r="KKQ154" s="108"/>
      <c r="KKR154" s="108"/>
      <c r="KKS154" s="108"/>
      <c r="KKT154" s="108"/>
      <c r="KKU154" s="108"/>
      <c r="KKV154" s="108"/>
      <c r="KKW154" s="108"/>
      <c r="KKX154" s="108"/>
      <c r="KKY154" s="108"/>
      <c r="KKZ154" s="108"/>
      <c r="KLA154" s="108"/>
      <c r="KLB154" s="108"/>
      <c r="KLC154" s="108"/>
      <c r="KLD154" s="108"/>
      <c r="KLE154" s="108"/>
      <c r="KLF154" s="108"/>
      <c r="KLG154" s="108"/>
      <c r="KLH154" s="108"/>
      <c r="KLI154" s="108"/>
      <c r="KLJ154" s="108"/>
      <c r="KLK154" s="108"/>
      <c r="KLL154" s="108"/>
      <c r="KLM154" s="108"/>
      <c r="KLN154" s="108"/>
      <c r="KLO154" s="108"/>
      <c r="KLP154" s="108"/>
      <c r="KLQ154" s="108"/>
      <c r="KLR154" s="108"/>
      <c r="KLS154" s="108"/>
      <c r="KLT154" s="108"/>
      <c r="KLU154" s="108"/>
      <c r="KLV154" s="108"/>
      <c r="KLW154" s="108"/>
      <c r="KLX154" s="108"/>
      <c r="KLY154" s="108"/>
      <c r="KLZ154" s="108"/>
      <c r="KMA154" s="108"/>
      <c r="KMB154" s="108"/>
      <c r="KMC154" s="108"/>
      <c r="KMD154" s="108"/>
      <c r="KME154" s="108"/>
      <c r="KMF154" s="108"/>
      <c r="KMG154" s="108"/>
      <c r="KMH154" s="108"/>
      <c r="KMI154" s="108"/>
      <c r="KMJ154" s="108"/>
      <c r="KMK154" s="108"/>
      <c r="KML154" s="108"/>
      <c r="KMM154" s="108"/>
      <c r="KMN154" s="108"/>
      <c r="KMO154" s="108"/>
      <c r="KMP154" s="108"/>
      <c r="KMQ154" s="108"/>
      <c r="KMR154" s="108"/>
      <c r="KMS154" s="108"/>
      <c r="KMT154" s="108"/>
      <c r="KMU154" s="108"/>
      <c r="KMV154" s="108"/>
      <c r="KMW154" s="108"/>
      <c r="KMX154" s="108"/>
      <c r="KMY154" s="108"/>
      <c r="KMZ154" s="108"/>
      <c r="KNA154" s="108"/>
      <c r="KNB154" s="108"/>
      <c r="KNC154" s="108"/>
      <c r="KND154" s="108"/>
      <c r="KNE154" s="108"/>
      <c r="KNF154" s="108"/>
      <c r="KNG154" s="108"/>
      <c r="KNH154" s="108"/>
      <c r="KNI154" s="108"/>
      <c r="KNJ154" s="108"/>
      <c r="KNK154" s="108"/>
      <c r="KNL154" s="108"/>
      <c r="KNM154" s="108"/>
      <c r="KNN154" s="108"/>
      <c r="KNO154" s="108"/>
      <c r="KNP154" s="108"/>
      <c r="KNQ154" s="108"/>
      <c r="KNR154" s="108"/>
      <c r="KNS154" s="108"/>
      <c r="KNT154" s="108"/>
      <c r="KNU154" s="108"/>
      <c r="KNV154" s="108"/>
      <c r="KNW154" s="108"/>
      <c r="KNX154" s="108"/>
      <c r="KNY154" s="108"/>
      <c r="KNZ154" s="108"/>
      <c r="KOA154" s="108"/>
      <c r="KOB154" s="108"/>
      <c r="KOC154" s="108"/>
      <c r="KOD154" s="108"/>
      <c r="KOE154" s="108"/>
      <c r="KOF154" s="108"/>
      <c r="KOG154" s="108"/>
      <c r="KOH154" s="108"/>
      <c r="KOI154" s="108"/>
      <c r="KOJ154" s="108"/>
      <c r="KOK154" s="108"/>
      <c r="KOL154" s="108"/>
      <c r="KOM154" s="108"/>
      <c r="KON154" s="108"/>
      <c r="KOO154" s="108"/>
      <c r="KOP154" s="108"/>
      <c r="KOQ154" s="108"/>
      <c r="KOR154" s="108"/>
      <c r="KOS154" s="108"/>
      <c r="KOT154" s="108"/>
      <c r="KOU154" s="108"/>
      <c r="KOV154" s="108"/>
      <c r="KOW154" s="108"/>
      <c r="KOX154" s="108"/>
      <c r="KOY154" s="108"/>
      <c r="KOZ154" s="108"/>
      <c r="KPA154" s="108"/>
      <c r="KPB154" s="108"/>
      <c r="KPC154" s="108"/>
      <c r="KPD154" s="108"/>
      <c r="KPE154" s="108"/>
      <c r="KPF154" s="108"/>
      <c r="KPG154" s="108"/>
      <c r="KPH154" s="108"/>
      <c r="KPI154" s="108"/>
      <c r="KPJ154" s="108"/>
      <c r="KPK154" s="108"/>
      <c r="KPL154" s="108"/>
      <c r="KPM154" s="108"/>
      <c r="KPN154" s="108"/>
      <c r="KPO154" s="108"/>
      <c r="KPP154" s="108"/>
      <c r="KPQ154" s="108"/>
      <c r="KPR154" s="108"/>
      <c r="KPS154" s="108"/>
      <c r="KPT154" s="108"/>
      <c r="KPU154" s="108"/>
      <c r="KPV154" s="108"/>
      <c r="KPW154" s="108"/>
      <c r="KPX154" s="108"/>
      <c r="KPY154" s="108"/>
      <c r="KPZ154" s="108"/>
      <c r="KQA154" s="108"/>
      <c r="KQB154" s="108"/>
      <c r="KQC154" s="108"/>
      <c r="KQD154" s="108"/>
      <c r="KQE154" s="108"/>
      <c r="KQF154" s="108"/>
      <c r="KQG154" s="108"/>
      <c r="KQH154" s="108"/>
      <c r="KQI154" s="108"/>
      <c r="KQJ154" s="108"/>
      <c r="KQK154" s="108"/>
      <c r="KQL154" s="108"/>
      <c r="KQM154" s="108"/>
      <c r="KQN154" s="108"/>
      <c r="KQO154" s="108"/>
      <c r="KQP154" s="108"/>
      <c r="KQQ154" s="108"/>
      <c r="KQR154" s="108"/>
      <c r="KQS154" s="108"/>
      <c r="KQT154" s="108"/>
      <c r="KQU154" s="108"/>
      <c r="KQV154" s="108"/>
      <c r="KQW154" s="108"/>
      <c r="KQX154" s="108"/>
      <c r="KQY154" s="108"/>
      <c r="KQZ154" s="108"/>
      <c r="KRA154" s="108"/>
      <c r="KRB154" s="108"/>
      <c r="KRC154" s="108"/>
      <c r="KRD154" s="108"/>
      <c r="KRE154" s="108"/>
      <c r="KRF154" s="108"/>
      <c r="KRG154" s="108"/>
      <c r="KRH154" s="108"/>
      <c r="KRI154" s="108"/>
      <c r="KRJ154" s="108"/>
      <c r="KRK154" s="108"/>
      <c r="KRL154" s="108"/>
      <c r="KRM154" s="108"/>
      <c r="KRN154" s="108"/>
      <c r="KRO154" s="108"/>
      <c r="KRP154" s="108"/>
      <c r="KRQ154" s="108"/>
      <c r="KRR154" s="108"/>
      <c r="KRS154" s="108"/>
      <c r="KRT154" s="108"/>
      <c r="KRU154" s="108"/>
      <c r="KRV154" s="108"/>
      <c r="KRW154" s="108"/>
      <c r="KRX154" s="108"/>
      <c r="KRY154" s="108"/>
      <c r="KRZ154" s="108"/>
      <c r="KSA154" s="108"/>
      <c r="KSB154" s="108"/>
      <c r="KSC154" s="108"/>
      <c r="KSD154" s="108"/>
      <c r="KSE154" s="108"/>
      <c r="KSF154" s="108"/>
      <c r="KSG154" s="108"/>
      <c r="KSH154" s="108"/>
      <c r="KSI154" s="108"/>
      <c r="KSJ154" s="108"/>
      <c r="KSK154" s="108"/>
      <c r="KSL154" s="108"/>
      <c r="KSM154" s="108"/>
      <c r="KSN154" s="108"/>
      <c r="KSO154" s="108"/>
      <c r="KSP154" s="108"/>
      <c r="KSQ154" s="108"/>
      <c r="KSR154" s="108"/>
      <c r="KSS154" s="108"/>
      <c r="KST154" s="108"/>
      <c r="KSU154" s="108"/>
      <c r="KSV154" s="108"/>
      <c r="KSW154" s="108"/>
      <c r="KSX154" s="108"/>
      <c r="KSY154" s="108"/>
      <c r="KSZ154" s="108"/>
      <c r="KTA154" s="108"/>
      <c r="KTB154" s="108"/>
      <c r="KTC154" s="108"/>
      <c r="KTD154" s="108"/>
      <c r="KTE154" s="108"/>
      <c r="KTF154" s="108"/>
      <c r="KTG154" s="108"/>
      <c r="KTH154" s="108"/>
      <c r="KTI154" s="108"/>
      <c r="KTJ154" s="108"/>
      <c r="KTK154" s="108"/>
      <c r="KTL154" s="108"/>
      <c r="KTM154" s="108"/>
      <c r="KTN154" s="108"/>
      <c r="KTO154" s="108"/>
      <c r="KTP154" s="108"/>
      <c r="KTQ154" s="108"/>
      <c r="KTR154" s="108"/>
      <c r="KTS154" s="108"/>
      <c r="KTT154" s="108"/>
      <c r="KTU154" s="108"/>
      <c r="KTV154" s="108"/>
      <c r="KTW154" s="108"/>
      <c r="KTX154" s="108"/>
      <c r="KTY154" s="108"/>
      <c r="KTZ154" s="108"/>
      <c r="KUA154" s="108"/>
      <c r="KUB154" s="108"/>
      <c r="KUC154" s="108"/>
      <c r="KUD154" s="108"/>
      <c r="KUE154" s="108"/>
      <c r="KUF154" s="108"/>
      <c r="KUG154" s="108"/>
      <c r="KUH154" s="108"/>
      <c r="KUI154" s="108"/>
      <c r="KUJ154" s="108"/>
      <c r="KUK154" s="108"/>
      <c r="KUL154" s="108"/>
      <c r="KUM154" s="108"/>
      <c r="KUN154" s="108"/>
      <c r="KUO154" s="108"/>
      <c r="KUP154" s="108"/>
      <c r="KUQ154" s="108"/>
      <c r="KUR154" s="108"/>
      <c r="KUS154" s="108"/>
      <c r="KUT154" s="108"/>
      <c r="KUU154" s="108"/>
      <c r="KUV154" s="108"/>
      <c r="KUW154" s="108"/>
      <c r="KUX154" s="108"/>
      <c r="KUY154" s="108"/>
      <c r="KUZ154" s="108"/>
      <c r="KVA154" s="108"/>
      <c r="KVB154" s="108"/>
      <c r="KVC154" s="108"/>
      <c r="KVD154" s="108"/>
      <c r="KVE154" s="108"/>
      <c r="KVF154" s="108"/>
      <c r="KVG154" s="108"/>
      <c r="KVH154" s="108"/>
      <c r="KVI154" s="108"/>
      <c r="KVJ154" s="108"/>
      <c r="KVK154" s="108"/>
      <c r="KVL154" s="108"/>
      <c r="KVM154" s="108"/>
      <c r="KVN154" s="108"/>
      <c r="KVO154" s="108"/>
      <c r="KVP154" s="108"/>
      <c r="KVQ154" s="108"/>
      <c r="KVR154" s="108"/>
      <c r="KVS154" s="108"/>
      <c r="KVT154" s="108"/>
      <c r="KVU154" s="108"/>
      <c r="KVV154" s="108"/>
      <c r="KVW154" s="108"/>
      <c r="KVX154" s="108"/>
      <c r="KVY154" s="108"/>
      <c r="KVZ154" s="108"/>
      <c r="KWA154" s="108"/>
      <c r="KWB154" s="108"/>
      <c r="KWC154" s="108"/>
      <c r="KWD154" s="108"/>
      <c r="KWE154" s="108"/>
      <c r="KWF154" s="108"/>
      <c r="KWG154" s="108"/>
      <c r="KWH154" s="108"/>
      <c r="KWI154" s="108"/>
      <c r="KWJ154" s="108"/>
      <c r="KWK154" s="108"/>
      <c r="KWL154" s="108"/>
      <c r="KWM154" s="108"/>
      <c r="KWN154" s="108"/>
      <c r="KWO154" s="108"/>
      <c r="KWP154" s="108"/>
      <c r="KWQ154" s="108"/>
      <c r="KWR154" s="108"/>
      <c r="KWS154" s="108"/>
      <c r="KWT154" s="108"/>
      <c r="KWU154" s="108"/>
      <c r="KWV154" s="108"/>
      <c r="KWW154" s="108"/>
      <c r="KWX154" s="108"/>
      <c r="KWY154" s="108"/>
      <c r="KWZ154" s="108"/>
      <c r="KXA154" s="108"/>
      <c r="KXB154" s="108"/>
      <c r="KXC154" s="108"/>
      <c r="KXD154" s="108"/>
      <c r="KXE154" s="108"/>
      <c r="KXF154" s="108"/>
      <c r="KXG154" s="108"/>
      <c r="KXH154" s="108"/>
      <c r="KXI154" s="108"/>
      <c r="KXJ154" s="108"/>
      <c r="KXK154" s="108"/>
      <c r="KXL154" s="108"/>
      <c r="KXM154" s="108"/>
      <c r="KXN154" s="108"/>
      <c r="KXO154" s="108"/>
      <c r="KXP154" s="108"/>
      <c r="KXQ154" s="108"/>
      <c r="KXR154" s="108"/>
      <c r="KXS154" s="108"/>
      <c r="KXT154" s="108"/>
      <c r="KXU154" s="108"/>
      <c r="KXV154" s="108"/>
      <c r="KXW154" s="108"/>
      <c r="KXX154" s="108"/>
      <c r="KXY154" s="108"/>
      <c r="KXZ154" s="108"/>
      <c r="KYA154" s="108"/>
      <c r="KYB154" s="108"/>
      <c r="KYC154" s="108"/>
      <c r="KYD154" s="108"/>
      <c r="KYE154" s="108"/>
      <c r="KYF154" s="108"/>
      <c r="KYG154" s="108"/>
      <c r="KYH154" s="108"/>
      <c r="KYI154" s="108"/>
      <c r="KYJ154" s="108"/>
      <c r="KYK154" s="108"/>
      <c r="KYL154" s="108"/>
      <c r="KYM154" s="108"/>
      <c r="KYN154" s="108"/>
      <c r="KYO154" s="108"/>
      <c r="KYP154" s="108"/>
      <c r="KYQ154" s="108"/>
      <c r="KYR154" s="108"/>
      <c r="KYS154" s="108"/>
      <c r="KYT154" s="108"/>
      <c r="KYU154" s="108"/>
      <c r="KYV154" s="108"/>
      <c r="KYW154" s="108"/>
      <c r="KYX154" s="108"/>
      <c r="KYY154" s="108"/>
      <c r="KYZ154" s="108"/>
      <c r="KZA154" s="108"/>
      <c r="KZB154" s="108"/>
      <c r="KZC154" s="108"/>
      <c r="KZD154" s="108"/>
      <c r="KZE154" s="108"/>
      <c r="KZF154" s="108"/>
      <c r="KZG154" s="108"/>
      <c r="KZH154" s="108"/>
      <c r="KZI154" s="108"/>
      <c r="KZJ154" s="108"/>
      <c r="KZK154" s="108"/>
      <c r="KZL154" s="108"/>
      <c r="KZM154" s="108"/>
      <c r="KZN154" s="108"/>
      <c r="KZO154" s="108"/>
      <c r="KZP154" s="108"/>
      <c r="KZQ154" s="108"/>
      <c r="KZR154" s="108"/>
      <c r="KZS154" s="108"/>
      <c r="KZT154" s="108"/>
      <c r="KZU154" s="108"/>
      <c r="KZV154" s="108"/>
      <c r="KZW154" s="108"/>
      <c r="KZX154" s="108"/>
      <c r="KZY154" s="108"/>
      <c r="KZZ154" s="108"/>
      <c r="LAA154" s="108"/>
      <c r="LAB154" s="108"/>
      <c r="LAC154" s="108"/>
      <c r="LAD154" s="108"/>
      <c r="LAE154" s="108"/>
      <c r="LAF154" s="108"/>
      <c r="LAG154" s="108"/>
      <c r="LAH154" s="108"/>
      <c r="LAI154" s="108"/>
      <c r="LAJ154" s="108"/>
      <c r="LAK154" s="108"/>
      <c r="LAL154" s="108"/>
      <c r="LAM154" s="108"/>
      <c r="LAN154" s="108"/>
      <c r="LAO154" s="108"/>
      <c r="LAP154" s="108"/>
      <c r="LAQ154" s="108"/>
      <c r="LAR154" s="108"/>
      <c r="LAS154" s="108"/>
      <c r="LAT154" s="108"/>
      <c r="LAU154" s="108"/>
      <c r="LAV154" s="108"/>
      <c r="LAW154" s="108"/>
      <c r="LAX154" s="108"/>
      <c r="LAY154" s="108"/>
      <c r="LAZ154" s="108"/>
      <c r="LBA154" s="108"/>
      <c r="LBB154" s="108"/>
      <c r="LBC154" s="108"/>
      <c r="LBD154" s="108"/>
      <c r="LBE154" s="108"/>
      <c r="LBF154" s="108"/>
      <c r="LBG154" s="108"/>
      <c r="LBH154" s="108"/>
      <c r="LBI154" s="108"/>
      <c r="LBJ154" s="108"/>
      <c r="LBK154" s="108"/>
      <c r="LBL154" s="108"/>
      <c r="LBM154" s="108"/>
      <c r="LBN154" s="108"/>
      <c r="LBO154" s="108"/>
      <c r="LBP154" s="108"/>
      <c r="LBQ154" s="108"/>
      <c r="LBR154" s="108"/>
      <c r="LBS154" s="108"/>
      <c r="LBT154" s="108"/>
      <c r="LBU154" s="108"/>
      <c r="LBV154" s="108"/>
      <c r="LBW154" s="108"/>
      <c r="LBX154" s="108"/>
      <c r="LBY154" s="108"/>
      <c r="LBZ154" s="108"/>
      <c r="LCA154" s="108"/>
      <c r="LCB154" s="108"/>
      <c r="LCC154" s="108"/>
      <c r="LCD154" s="108"/>
      <c r="LCE154" s="108"/>
      <c r="LCF154" s="108"/>
      <c r="LCG154" s="108"/>
      <c r="LCH154" s="108"/>
      <c r="LCI154" s="108"/>
      <c r="LCJ154" s="108"/>
      <c r="LCK154" s="108"/>
      <c r="LCL154" s="108"/>
      <c r="LCM154" s="108"/>
      <c r="LCN154" s="108"/>
      <c r="LCO154" s="108"/>
      <c r="LCP154" s="108"/>
      <c r="LCQ154" s="108"/>
      <c r="LCR154" s="108"/>
      <c r="LCS154" s="108"/>
      <c r="LCT154" s="108"/>
      <c r="LCU154" s="108"/>
      <c r="LCV154" s="108"/>
      <c r="LCW154" s="108"/>
      <c r="LCX154" s="108"/>
      <c r="LCY154" s="108"/>
      <c r="LCZ154" s="108"/>
      <c r="LDA154" s="108"/>
      <c r="LDB154" s="108"/>
      <c r="LDC154" s="108"/>
      <c r="LDD154" s="108"/>
      <c r="LDE154" s="108"/>
      <c r="LDF154" s="108"/>
      <c r="LDG154" s="108"/>
      <c r="LDH154" s="108"/>
      <c r="LDI154" s="108"/>
      <c r="LDJ154" s="108"/>
      <c r="LDK154" s="108"/>
      <c r="LDL154" s="108"/>
      <c r="LDM154" s="108"/>
      <c r="LDN154" s="108"/>
      <c r="LDO154" s="108"/>
      <c r="LDP154" s="108"/>
      <c r="LDQ154" s="108"/>
      <c r="LDR154" s="108"/>
      <c r="LDS154" s="108"/>
      <c r="LDT154" s="108"/>
      <c r="LDU154" s="108"/>
      <c r="LDV154" s="108"/>
      <c r="LDW154" s="108"/>
      <c r="LDX154" s="108"/>
      <c r="LDY154" s="108"/>
      <c r="LDZ154" s="108"/>
      <c r="LEA154" s="108"/>
      <c r="LEB154" s="108"/>
      <c r="LEC154" s="108"/>
      <c r="LED154" s="108"/>
      <c r="LEE154" s="108"/>
      <c r="LEF154" s="108"/>
      <c r="LEG154" s="108"/>
      <c r="LEH154" s="108"/>
      <c r="LEI154" s="108"/>
      <c r="LEJ154" s="108"/>
      <c r="LEK154" s="108"/>
      <c r="LEL154" s="108"/>
      <c r="LEM154" s="108"/>
      <c r="LEN154" s="108"/>
      <c r="LEO154" s="108"/>
      <c r="LEP154" s="108"/>
      <c r="LEQ154" s="108"/>
      <c r="LER154" s="108"/>
      <c r="LES154" s="108"/>
      <c r="LET154" s="108"/>
      <c r="LEU154" s="108"/>
      <c r="LEV154" s="108"/>
      <c r="LEW154" s="108"/>
      <c r="LEX154" s="108"/>
      <c r="LEY154" s="108"/>
      <c r="LEZ154" s="108"/>
      <c r="LFA154" s="108"/>
      <c r="LFB154" s="108"/>
      <c r="LFC154" s="108"/>
      <c r="LFD154" s="108"/>
      <c r="LFE154" s="108"/>
      <c r="LFF154" s="108"/>
      <c r="LFG154" s="108"/>
      <c r="LFH154" s="108"/>
      <c r="LFI154" s="108"/>
      <c r="LFJ154" s="108"/>
      <c r="LFK154" s="108"/>
      <c r="LFL154" s="108"/>
      <c r="LFM154" s="108"/>
      <c r="LFN154" s="108"/>
      <c r="LFO154" s="108"/>
      <c r="LFP154" s="108"/>
      <c r="LFQ154" s="108"/>
      <c r="LFR154" s="108"/>
      <c r="LFS154" s="108"/>
      <c r="LFT154" s="108"/>
      <c r="LFU154" s="108"/>
      <c r="LFV154" s="108"/>
      <c r="LFW154" s="108"/>
      <c r="LFX154" s="108"/>
      <c r="LFY154" s="108"/>
      <c r="LFZ154" s="108"/>
      <c r="LGA154" s="108"/>
      <c r="LGB154" s="108"/>
      <c r="LGC154" s="108"/>
      <c r="LGD154" s="108"/>
      <c r="LGE154" s="108"/>
      <c r="LGF154" s="108"/>
      <c r="LGG154" s="108"/>
      <c r="LGH154" s="108"/>
      <c r="LGI154" s="108"/>
      <c r="LGJ154" s="108"/>
      <c r="LGK154" s="108"/>
      <c r="LGL154" s="108"/>
      <c r="LGM154" s="108"/>
      <c r="LGN154" s="108"/>
      <c r="LGO154" s="108"/>
      <c r="LGP154" s="108"/>
      <c r="LGQ154" s="108"/>
      <c r="LGR154" s="108"/>
      <c r="LGS154" s="108"/>
      <c r="LGT154" s="108"/>
      <c r="LGU154" s="108"/>
      <c r="LGV154" s="108"/>
      <c r="LGW154" s="108"/>
      <c r="LGX154" s="108"/>
      <c r="LGY154" s="108"/>
      <c r="LGZ154" s="108"/>
      <c r="LHA154" s="108"/>
      <c r="LHB154" s="108"/>
      <c r="LHC154" s="108"/>
      <c r="LHD154" s="108"/>
      <c r="LHE154" s="108"/>
      <c r="LHF154" s="108"/>
      <c r="LHG154" s="108"/>
      <c r="LHH154" s="108"/>
      <c r="LHI154" s="108"/>
      <c r="LHJ154" s="108"/>
      <c r="LHK154" s="108"/>
      <c r="LHL154" s="108"/>
      <c r="LHM154" s="108"/>
      <c r="LHN154" s="108"/>
      <c r="LHO154" s="108"/>
      <c r="LHP154" s="108"/>
      <c r="LHQ154" s="108"/>
      <c r="LHR154" s="108"/>
      <c r="LHS154" s="108"/>
      <c r="LHT154" s="108"/>
      <c r="LHU154" s="108"/>
      <c r="LHV154" s="108"/>
      <c r="LHW154" s="108"/>
      <c r="LHX154" s="108"/>
      <c r="LHY154" s="108"/>
      <c r="LHZ154" s="108"/>
      <c r="LIA154" s="108"/>
      <c r="LIB154" s="108"/>
      <c r="LIC154" s="108"/>
      <c r="LID154" s="108"/>
      <c r="LIE154" s="108"/>
      <c r="LIF154" s="108"/>
      <c r="LIG154" s="108"/>
      <c r="LIH154" s="108"/>
      <c r="LII154" s="108"/>
      <c r="LIJ154" s="108"/>
      <c r="LIK154" s="108"/>
      <c r="LIL154" s="108"/>
      <c r="LIM154" s="108"/>
      <c r="LIN154" s="108"/>
      <c r="LIO154" s="108"/>
      <c r="LIP154" s="108"/>
      <c r="LIQ154" s="108"/>
      <c r="LIR154" s="108"/>
      <c r="LIS154" s="108"/>
      <c r="LIT154" s="108"/>
      <c r="LIU154" s="108"/>
      <c r="LIV154" s="108"/>
      <c r="LIW154" s="108"/>
      <c r="LIX154" s="108"/>
      <c r="LIY154" s="108"/>
      <c r="LIZ154" s="108"/>
      <c r="LJA154" s="108"/>
      <c r="LJB154" s="108"/>
      <c r="LJC154" s="108"/>
      <c r="LJD154" s="108"/>
      <c r="LJE154" s="108"/>
      <c r="LJF154" s="108"/>
      <c r="LJG154" s="108"/>
      <c r="LJH154" s="108"/>
      <c r="LJI154" s="108"/>
      <c r="LJJ154" s="108"/>
      <c r="LJK154" s="108"/>
      <c r="LJL154" s="108"/>
      <c r="LJM154" s="108"/>
      <c r="LJN154" s="108"/>
      <c r="LJO154" s="108"/>
      <c r="LJP154" s="108"/>
      <c r="LJQ154" s="108"/>
      <c r="LJR154" s="108"/>
      <c r="LJS154" s="108"/>
      <c r="LJT154" s="108"/>
      <c r="LJU154" s="108"/>
      <c r="LJV154" s="108"/>
      <c r="LJW154" s="108"/>
      <c r="LJX154" s="108"/>
      <c r="LJY154" s="108"/>
      <c r="LJZ154" s="108"/>
      <c r="LKA154" s="108"/>
      <c r="LKB154" s="108"/>
      <c r="LKC154" s="108"/>
      <c r="LKD154" s="108"/>
      <c r="LKE154" s="108"/>
      <c r="LKF154" s="108"/>
      <c r="LKG154" s="108"/>
      <c r="LKH154" s="108"/>
      <c r="LKI154" s="108"/>
      <c r="LKJ154" s="108"/>
      <c r="LKK154" s="108"/>
      <c r="LKL154" s="108"/>
      <c r="LKM154" s="108"/>
      <c r="LKN154" s="108"/>
      <c r="LKO154" s="108"/>
      <c r="LKP154" s="108"/>
      <c r="LKQ154" s="108"/>
      <c r="LKR154" s="108"/>
      <c r="LKS154" s="108"/>
      <c r="LKT154" s="108"/>
      <c r="LKU154" s="108"/>
      <c r="LKV154" s="108"/>
      <c r="LKW154" s="108"/>
      <c r="LKX154" s="108"/>
      <c r="LKY154" s="108"/>
      <c r="LKZ154" s="108"/>
      <c r="LLA154" s="108"/>
      <c r="LLB154" s="108"/>
      <c r="LLC154" s="108"/>
      <c r="LLD154" s="108"/>
      <c r="LLE154" s="108"/>
      <c r="LLF154" s="108"/>
      <c r="LLG154" s="108"/>
      <c r="LLH154" s="108"/>
      <c r="LLI154" s="108"/>
      <c r="LLJ154" s="108"/>
      <c r="LLK154" s="108"/>
      <c r="LLL154" s="108"/>
      <c r="LLM154" s="108"/>
      <c r="LLN154" s="108"/>
      <c r="LLO154" s="108"/>
      <c r="LLP154" s="108"/>
      <c r="LLQ154" s="108"/>
      <c r="LLR154" s="108"/>
      <c r="LLS154" s="108"/>
      <c r="LLT154" s="108"/>
      <c r="LLU154" s="108"/>
      <c r="LLV154" s="108"/>
      <c r="LLW154" s="108"/>
      <c r="LLX154" s="108"/>
      <c r="LLY154" s="108"/>
      <c r="LLZ154" s="108"/>
      <c r="LMA154" s="108"/>
      <c r="LMB154" s="108"/>
      <c r="LMC154" s="108"/>
      <c r="LMD154" s="108"/>
      <c r="LME154" s="108"/>
      <c r="LMF154" s="108"/>
      <c r="LMG154" s="108"/>
      <c r="LMH154" s="108"/>
      <c r="LMI154" s="108"/>
      <c r="LMJ154" s="108"/>
      <c r="LMK154" s="108"/>
      <c r="LML154" s="108"/>
      <c r="LMM154" s="108"/>
      <c r="LMN154" s="108"/>
      <c r="LMO154" s="108"/>
      <c r="LMP154" s="108"/>
      <c r="LMQ154" s="108"/>
      <c r="LMR154" s="108"/>
      <c r="LMS154" s="108"/>
      <c r="LMT154" s="108"/>
      <c r="LMU154" s="108"/>
      <c r="LMV154" s="108"/>
      <c r="LMW154" s="108"/>
      <c r="LMX154" s="108"/>
      <c r="LMY154" s="108"/>
      <c r="LMZ154" s="108"/>
      <c r="LNA154" s="108"/>
      <c r="LNB154" s="108"/>
      <c r="LNC154" s="108"/>
      <c r="LND154" s="108"/>
      <c r="LNE154" s="108"/>
      <c r="LNF154" s="108"/>
      <c r="LNG154" s="108"/>
      <c r="LNH154" s="108"/>
      <c r="LNI154" s="108"/>
      <c r="LNJ154" s="108"/>
      <c r="LNK154" s="108"/>
      <c r="LNL154" s="108"/>
      <c r="LNM154" s="108"/>
      <c r="LNN154" s="108"/>
      <c r="LNO154" s="108"/>
      <c r="LNP154" s="108"/>
      <c r="LNQ154" s="108"/>
      <c r="LNR154" s="108"/>
      <c r="LNS154" s="108"/>
      <c r="LNT154" s="108"/>
      <c r="LNU154" s="108"/>
      <c r="LNV154" s="108"/>
      <c r="LNW154" s="108"/>
      <c r="LNX154" s="108"/>
      <c r="LNY154" s="108"/>
      <c r="LNZ154" s="108"/>
      <c r="LOA154" s="108"/>
      <c r="LOB154" s="108"/>
      <c r="LOC154" s="108"/>
      <c r="LOD154" s="108"/>
      <c r="LOE154" s="108"/>
      <c r="LOF154" s="108"/>
      <c r="LOG154" s="108"/>
      <c r="LOH154" s="108"/>
      <c r="LOI154" s="108"/>
      <c r="LOJ154" s="108"/>
      <c r="LOK154" s="108"/>
      <c r="LOL154" s="108"/>
      <c r="LOM154" s="108"/>
      <c r="LON154" s="108"/>
      <c r="LOO154" s="108"/>
      <c r="LOP154" s="108"/>
      <c r="LOQ154" s="108"/>
      <c r="LOR154" s="108"/>
      <c r="LOS154" s="108"/>
      <c r="LOT154" s="108"/>
      <c r="LOU154" s="108"/>
      <c r="LOV154" s="108"/>
      <c r="LOW154" s="108"/>
      <c r="LOX154" s="108"/>
      <c r="LOY154" s="108"/>
      <c r="LOZ154" s="108"/>
      <c r="LPA154" s="108"/>
      <c r="LPB154" s="108"/>
      <c r="LPC154" s="108"/>
      <c r="LPD154" s="108"/>
      <c r="LPE154" s="108"/>
      <c r="LPF154" s="108"/>
      <c r="LPG154" s="108"/>
      <c r="LPH154" s="108"/>
      <c r="LPI154" s="108"/>
      <c r="LPJ154" s="108"/>
      <c r="LPK154" s="108"/>
      <c r="LPL154" s="108"/>
      <c r="LPM154" s="108"/>
      <c r="LPN154" s="108"/>
      <c r="LPO154" s="108"/>
      <c r="LPP154" s="108"/>
      <c r="LPQ154" s="108"/>
      <c r="LPR154" s="108"/>
      <c r="LPS154" s="108"/>
      <c r="LPT154" s="108"/>
      <c r="LPU154" s="108"/>
      <c r="LPV154" s="108"/>
      <c r="LPW154" s="108"/>
      <c r="LPX154" s="108"/>
      <c r="LPY154" s="108"/>
      <c r="LPZ154" s="108"/>
      <c r="LQA154" s="108"/>
      <c r="LQB154" s="108"/>
      <c r="LQC154" s="108"/>
      <c r="LQD154" s="108"/>
      <c r="LQE154" s="108"/>
      <c r="LQF154" s="108"/>
      <c r="LQG154" s="108"/>
      <c r="LQH154" s="108"/>
      <c r="LQI154" s="108"/>
      <c r="LQJ154" s="108"/>
      <c r="LQK154" s="108"/>
      <c r="LQL154" s="108"/>
      <c r="LQM154" s="108"/>
      <c r="LQN154" s="108"/>
      <c r="LQO154" s="108"/>
      <c r="LQP154" s="108"/>
      <c r="LQQ154" s="108"/>
      <c r="LQR154" s="108"/>
      <c r="LQS154" s="108"/>
      <c r="LQT154" s="108"/>
      <c r="LQU154" s="108"/>
      <c r="LQV154" s="108"/>
      <c r="LQW154" s="108"/>
      <c r="LQX154" s="108"/>
      <c r="LQY154" s="108"/>
      <c r="LQZ154" s="108"/>
      <c r="LRA154" s="108"/>
      <c r="LRB154" s="108"/>
      <c r="LRC154" s="108"/>
      <c r="LRD154" s="108"/>
      <c r="LRE154" s="108"/>
      <c r="LRF154" s="108"/>
      <c r="LRG154" s="108"/>
      <c r="LRH154" s="108"/>
      <c r="LRI154" s="108"/>
      <c r="LRJ154" s="108"/>
      <c r="LRK154" s="108"/>
      <c r="LRL154" s="108"/>
      <c r="LRM154" s="108"/>
      <c r="LRN154" s="108"/>
      <c r="LRO154" s="108"/>
      <c r="LRP154" s="108"/>
      <c r="LRQ154" s="108"/>
      <c r="LRR154" s="108"/>
      <c r="LRS154" s="108"/>
      <c r="LRT154" s="108"/>
      <c r="LRU154" s="108"/>
      <c r="LRV154" s="108"/>
      <c r="LRW154" s="108"/>
      <c r="LRX154" s="108"/>
      <c r="LRY154" s="108"/>
      <c r="LRZ154" s="108"/>
      <c r="LSA154" s="108"/>
      <c r="LSB154" s="108"/>
      <c r="LSC154" s="108"/>
      <c r="LSD154" s="108"/>
      <c r="LSE154" s="108"/>
      <c r="LSF154" s="108"/>
      <c r="LSG154" s="108"/>
      <c r="LSH154" s="108"/>
      <c r="LSI154" s="108"/>
      <c r="LSJ154" s="108"/>
      <c r="LSK154" s="108"/>
      <c r="LSL154" s="108"/>
      <c r="LSM154" s="108"/>
      <c r="LSN154" s="108"/>
      <c r="LSO154" s="108"/>
      <c r="LSP154" s="108"/>
      <c r="LSQ154" s="108"/>
      <c r="LSR154" s="108"/>
      <c r="LSS154" s="108"/>
      <c r="LST154" s="108"/>
      <c r="LSU154" s="108"/>
      <c r="LSV154" s="108"/>
      <c r="LSW154" s="108"/>
      <c r="LSX154" s="108"/>
      <c r="LSY154" s="108"/>
      <c r="LSZ154" s="108"/>
      <c r="LTA154" s="108"/>
      <c r="LTB154" s="108"/>
      <c r="LTC154" s="108"/>
      <c r="LTD154" s="108"/>
      <c r="LTE154" s="108"/>
      <c r="LTF154" s="108"/>
      <c r="LTG154" s="108"/>
      <c r="LTH154" s="108"/>
      <c r="LTI154" s="108"/>
      <c r="LTJ154" s="108"/>
      <c r="LTK154" s="108"/>
      <c r="LTL154" s="108"/>
      <c r="LTM154" s="108"/>
      <c r="LTN154" s="108"/>
      <c r="LTO154" s="108"/>
      <c r="LTP154" s="108"/>
      <c r="LTQ154" s="108"/>
      <c r="LTR154" s="108"/>
      <c r="LTS154" s="108"/>
      <c r="LTT154" s="108"/>
      <c r="LTU154" s="108"/>
      <c r="LTV154" s="108"/>
      <c r="LTW154" s="108"/>
      <c r="LTX154" s="108"/>
      <c r="LTY154" s="108"/>
      <c r="LTZ154" s="108"/>
      <c r="LUA154" s="108"/>
      <c r="LUB154" s="108"/>
      <c r="LUC154" s="108"/>
      <c r="LUD154" s="108"/>
      <c r="LUE154" s="108"/>
      <c r="LUF154" s="108"/>
      <c r="LUG154" s="108"/>
      <c r="LUH154" s="108"/>
      <c r="LUI154" s="108"/>
      <c r="LUJ154" s="108"/>
      <c r="LUK154" s="108"/>
      <c r="LUL154" s="108"/>
      <c r="LUM154" s="108"/>
      <c r="LUN154" s="108"/>
      <c r="LUO154" s="108"/>
      <c r="LUP154" s="108"/>
      <c r="LUQ154" s="108"/>
      <c r="LUR154" s="108"/>
      <c r="LUS154" s="108"/>
      <c r="LUT154" s="108"/>
      <c r="LUU154" s="108"/>
      <c r="LUV154" s="108"/>
      <c r="LUW154" s="108"/>
      <c r="LUX154" s="108"/>
      <c r="LUY154" s="108"/>
      <c r="LUZ154" s="108"/>
      <c r="LVA154" s="108"/>
      <c r="LVB154" s="108"/>
      <c r="LVC154" s="108"/>
      <c r="LVD154" s="108"/>
      <c r="LVE154" s="108"/>
      <c r="LVF154" s="108"/>
      <c r="LVG154" s="108"/>
      <c r="LVH154" s="108"/>
      <c r="LVI154" s="108"/>
      <c r="LVJ154" s="108"/>
      <c r="LVK154" s="108"/>
      <c r="LVL154" s="108"/>
      <c r="LVM154" s="108"/>
      <c r="LVN154" s="108"/>
      <c r="LVO154" s="108"/>
      <c r="LVP154" s="108"/>
      <c r="LVQ154" s="108"/>
      <c r="LVR154" s="108"/>
      <c r="LVS154" s="108"/>
      <c r="LVT154" s="108"/>
      <c r="LVU154" s="108"/>
      <c r="LVV154" s="108"/>
      <c r="LVW154" s="108"/>
      <c r="LVX154" s="108"/>
      <c r="LVY154" s="108"/>
      <c r="LVZ154" s="108"/>
      <c r="LWA154" s="108"/>
      <c r="LWB154" s="108"/>
      <c r="LWC154" s="108"/>
      <c r="LWD154" s="108"/>
      <c r="LWE154" s="108"/>
      <c r="LWF154" s="108"/>
      <c r="LWG154" s="108"/>
      <c r="LWH154" s="108"/>
      <c r="LWI154" s="108"/>
      <c r="LWJ154" s="108"/>
      <c r="LWK154" s="108"/>
      <c r="LWL154" s="108"/>
      <c r="LWM154" s="108"/>
      <c r="LWN154" s="108"/>
      <c r="LWO154" s="108"/>
      <c r="LWP154" s="108"/>
      <c r="LWQ154" s="108"/>
      <c r="LWR154" s="108"/>
      <c r="LWS154" s="108"/>
      <c r="LWT154" s="108"/>
      <c r="LWU154" s="108"/>
      <c r="LWV154" s="108"/>
      <c r="LWW154" s="108"/>
      <c r="LWX154" s="108"/>
      <c r="LWY154" s="108"/>
      <c r="LWZ154" s="108"/>
      <c r="LXA154" s="108"/>
      <c r="LXB154" s="108"/>
      <c r="LXC154" s="108"/>
      <c r="LXD154" s="108"/>
      <c r="LXE154" s="108"/>
      <c r="LXF154" s="108"/>
      <c r="LXG154" s="108"/>
      <c r="LXH154" s="108"/>
      <c r="LXI154" s="108"/>
      <c r="LXJ154" s="108"/>
      <c r="LXK154" s="108"/>
      <c r="LXL154" s="108"/>
      <c r="LXM154" s="108"/>
      <c r="LXN154" s="108"/>
      <c r="LXO154" s="108"/>
      <c r="LXP154" s="108"/>
      <c r="LXQ154" s="108"/>
      <c r="LXR154" s="108"/>
      <c r="LXS154" s="108"/>
      <c r="LXT154" s="108"/>
      <c r="LXU154" s="108"/>
      <c r="LXV154" s="108"/>
      <c r="LXW154" s="108"/>
      <c r="LXX154" s="108"/>
      <c r="LXY154" s="108"/>
      <c r="LXZ154" s="108"/>
      <c r="LYA154" s="108"/>
      <c r="LYB154" s="108"/>
      <c r="LYC154" s="108"/>
      <c r="LYD154" s="108"/>
      <c r="LYE154" s="108"/>
      <c r="LYF154" s="108"/>
      <c r="LYG154" s="108"/>
      <c r="LYH154" s="108"/>
      <c r="LYI154" s="108"/>
      <c r="LYJ154" s="108"/>
      <c r="LYK154" s="108"/>
      <c r="LYL154" s="108"/>
      <c r="LYM154" s="108"/>
      <c r="LYN154" s="108"/>
      <c r="LYO154" s="108"/>
      <c r="LYP154" s="108"/>
      <c r="LYQ154" s="108"/>
      <c r="LYR154" s="108"/>
      <c r="LYS154" s="108"/>
      <c r="LYT154" s="108"/>
      <c r="LYU154" s="108"/>
      <c r="LYV154" s="108"/>
      <c r="LYW154" s="108"/>
      <c r="LYX154" s="108"/>
      <c r="LYY154" s="108"/>
      <c r="LYZ154" s="108"/>
      <c r="LZA154" s="108"/>
      <c r="LZB154" s="108"/>
      <c r="LZC154" s="108"/>
      <c r="LZD154" s="108"/>
      <c r="LZE154" s="108"/>
      <c r="LZF154" s="108"/>
      <c r="LZG154" s="108"/>
      <c r="LZH154" s="108"/>
      <c r="LZI154" s="108"/>
      <c r="LZJ154" s="108"/>
      <c r="LZK154" s="108"/>
      <c r="LZL154" s="108"/>
      <c r="LZM154" s="108"/>
      <c r="LZN154" s="108"/>
      <c r="LZO154" s="108"/>
      <c r="LZP154" s="108"/>
      <c r="LZQ154" s="108"/>
      <c r="LZR154" s="108"/>
      <c r="LZS154" s="108"/>
      <c r="LZT154" s="108"/>
      <c r="LZU154" s="108"/>
      <c r="LZV154" s="108"/>
      <c r="LZW154" s="108"/>
      <c r="LZX154" s="108"/>
      <c r="LZY154" s="108"/>
      <c r="LZZ154" s="108"/>
      <c r="MAA154" s="108"/>
      <c r="MAB154" s="108"/>
      <c r="MAC154" s="108"/>
      <c r="MAD154" s="108"/>
      <c r="MAE154" s="108"/>
      <c r="MAF154" s="108"/>
      <c r="MAG154" s="108"/>
      <c r="MAH154" s="108"/>
      <c r="MAI154" s="108"/>
      <c r="MAJ154" s="108"/>
      <c r="MAK154" s="108"/>
      <c r="MAL154" s="108"/>
      <c r="MAM154" s="108"/>
      <c r="MAN154" s="108"/>
      <c r="MAO154" s="108"/>
      <c r="MAP154" s="108"/>
      <c r="MAQ154" s="108"/>
      <c r="MAR154" s="108"/>
      <c r="MAS154" s="108"/>
      <c r="MAT154" s="108"/>
      <c r="MAU154" s="108"/>
      <c r="MAV154" s="108"/>
      <c r="MAW154" s="108"/>
      <c r="MAX154" s="108"/>
      <c r="MAY154" s="108"/>
      <c r="MAZ154" s="108"/>
      <c r="MBA154" s="108"/>
      <c r="MBB154" s="108"/>
      <c r="MBC154" s="108"/>
      <c r="MBD154" s="108"/>
      <c r="MBE154" s="108"/>
      <c r="MBF154" s="108"/>
      <c r="MBG154" s="108"/>
      <c r="MBH154" s="108"/>
      <c r="MBI154" s="108"/>
      <c r="MBJ154" s="108"/>
      <c r="MBK154" s="108"/>
      <c r="MBL154" s="108"/>
      <c r="MBM154" s="108"/>
      <c r="MBN154" s="108"/>
      <c r="MBO154" s="108"/>
      <c r="MBP154" s="108"/>
      <c r="MBQ154" s="108"/>
      <c r="MBR154" s="108"/>
      <c r="MBS154" s="108"/>
      <c r="MBT154" s="108"/>
      <c r="MBU154" s="108"/>
      <c r="MBV154" s="108"/>
      <c r="MBW154" s="108"/>
      <c r="MBX154" s="108"/>
      <c r="MBY154" s="108"/>
      <c r="MBZ154" s="108"/>
      <c r="MCA154" s="108"/>
      <c r="MCB154" s="108"/>
      <c r="MCC154" s="108"/>
      <c r="MCD154" s="108"/>
      <c r="MCE154" s="108"/>
      <c r="MCF154" s="108"/>
      <c r="MCG154" s="108"/>
      <c r="MCH154" s="108"/>
      <c r="MCI154" s="108"/>
      <c r="MCJ154" s="108"/>
      <c r="MCK154" s="108"/>
      <c r="MCL154" s="108"/>
      <c r="MCM154" s="108"/>
      <c r="MCN154" s="108"/>
      <c r="MCO154" s="108"/>
      <c r="MCP154" s="108"/>
      <c r="MCQ154" s="108"/>
      <c r="MCR154" s="108"/>
      <c r="MCS154" s="108"/>
      <c r="MCT154" s="108"/>
      <c r="MCU154" s="108"/>
      <c r="MCV154" s="108"/>
      <c r="MCW154" s="108"/>
      <c r="MCX154" s="108"/>
      <c r="MCY154" s="108"/>
      <c r="MCZ154" s="108"/>
      <c r="MDA154" s="108"/>
      <c r="MDB154" s="108"/>
      <c r="MDC154" s="108"/>
      <c r="MDD154" s="108"/>
      <c r="MDE154" s="108"/>
      <c r="MDF154" s="108"/>
      <c r="MDG154" s="108"/>
      <c r="MDH154" s="108"/>
      <c r="MDI154" s="108"/>
      <c r="MDJ154" s="108"/>
      <c r="MDK154" s="108"/>
      <c r="MDL154" s="108"/>
      <c r="MDM154" s="108"/>
      <c r="MDN154" s="108"/>
      <c r="MDO154" s="108"/>
      <c r="MDP154" s="108"/>
      <c r="MDQ154" s="108"/>
      <c r="MDR154" s="108"/>
      <c r="MDS154" s="108"/>
      <c r="MDT154" s="108"/>
      <c r="MDU154" s="108"/>
      <c r="MDV154" s="108"/>
      <c r="MDW154" s="108"/>
      <c r="MDX154" s="108"/>
      <c r="MDY154" s="108"/>
      <c r="MDZ154" s="108"/>
      <c r="MEA154" s="108"/>
      <c r="MEB154" s="108"/>
      <c r="MEC154" s="108"/>
      <c r="MED154" s="108"/>
      <c r="MEE154" s="108"/>
      <c r="MEF154" s="108"/>
      <c r="MEG154" s="108"/>
      <c r="MEH154" s="108"/>
      <c r="MEI154" s="108"/>
      <c r="MEJ154" s="108"/>
      <c r="MEK154" s="108"/>
      <c r="MEL154" s="108"/>
      <c r="MEM154" s="108"/>
      <c r="MEN154" s="108"/>
      <c r="MEO154" s="108"/>
      <c r="MEP154" s="108"/>
      <c r="MEQ154" s="108"/>
      <c r="MER154" s="108"/>
      <c r="MES154" s="108"/>
      <c r="MET154" s="108"/>
      <c r="MEU154" s="108"/>
      <c r="MEV154" s="108"/>
      <c r="MEW154" s="108"/>
      <c r="MEX154" s="108"/>
      <c r="MEY154" s="108"/>
      <c r="MEZ154" s="108"/>
      <c r="MFA154" s="108"/>
      <c r="MFB154" s="108"/>
      <c r="MFC154" s="108"/>
      <c r="MFD154" s="108"/>
      <c r="MFE154" s="108"/>
      <c r="MFF154" s="108"/>
      <c r="MFG154" s="108"/>
      <c r="MFH154" s="108"/>
      <c r="MFI154" s="108"/>
      <c r="MFJ154" s="108"/>
      <c r="MFK154" s="108"/>
      <c r="MFL154" s="108"/>
      <c r="MFM154" s="108"/>
      <c r="MFN154" s="108"/>
      <c r="MFO154" s="108"/>
      <c r="MFP154" s="108"/>
      <c r="MFQ154" s="108"/>
      <c r="MFR154" s="108"/>
      <c r="MFS154" s="108"/>
      <c r="MFT154" s="108"/>
      <c r="MFU154" s="108"/>
      <c r="MFV154" s="108"/>
      <c r="MFW154" s="108"/>
      <c r="MFX154" s="108"/>
      <c r="MFY154" s="108"/>
      <c r="MFZ154" s="108"/>
      <c r="MGA154" s="108"/>
      <c r="MGB154" s="108"/>
      <c r="MGC154" s="108"/>
      <c r="MGD154" s="108"/>
      <c r="MGE154" s="108"/>
      <c r="MGF154" s="108"/>
      <c r="MGG154" s="108"/>
      <c r="MGH154" s="108"/>
      <c r="MGI154" s="108"/>
      <c r="MGJ154" s="108"/>
      <c r="MGK154" s="108"/>
      <c r="MGL154" s="108"/>
      <c r="MGM154" s="108"/>
      <c r="MGN154" s="108"/>
      <c r="MGO154" s="108"/>
      <c r="MGP154" s="108"/>
      <c r="MGQ154" s="108"/>
      <c r="MGR154" s="108"/>
      <c r="MGS154" s="108"/>
      <c r="MGT154" s="108"/>
      <c r="MGU154" s="108"/>
      <c r="MGV154" s="108"/>
      <c r="MGW154" s="108"/>
      <c r="MGX154" s="108"/>
      <c r="MGY154" s="108"/>
      <c r="MGZ154" s="108"/>
      <c r="MHA154" s="108"/>
      <c r="MHB154" s="108"/>
      <c r="MHC154" s="108"/>
      <c r="MHD154" s="108"/>
      <c r="MHE154" s="108"/>
      <c r="MHF154" s="108"/>
      <c r="MHG154" s="108"/>
      <c r="MHH154" s="108"/>
      <c r="MHI154" s="108"/>
      <c r="MHJ154" s="108"/>
      <c r="MHK154" s="108"/>
      <c r="MHL154" s="108"/>
      <c r="MHM154" s="108"/>
      <c r="MHN154" s="108"/>
      <c r="MHO154" s="108"/>
      <c r="MHP154" s="108"/>
      <c r="MHQ154" s="108"/>
      <c r="MHR154" s="108"/>
      <c r="MHS154" s="108"/>
      <c r="MHT154" s="108"/>
      <c r="MHU154" s="108"/>
      <c r="MHV154" s="108"/>
      <c r="MHW154" s="108"/>
      <c r="MHX154" s="108"/>
      <c r="MHY154" s="108"/>
      <c r="MHZ154" s="108"/>
      <c r="MIA154" s="108"/>
      <c r="MIB154" s="108"/>
      <c r="MIC154" s="108"/>
      <c r="MID154" s="108"/>
      <c r="MIE154" s="108"/>
      <c r="MIF154" s="108"/>
      <c r="MIG154" s="108"/>
      <c r="MIH154" s="108"/>
      <c r="MII154" s="108"/>
      <c r="MIJ154" s="108"/>
      <c r="MIK154" s="108"/>
      <c r="MIL154" s="108"/>
      <c r="MIM154" s="108"/>
      <c r="MIN154" s="108"/>
      <c r="MIO154" s="108"/>
      <c r="MIP154" s="108"/>
      <c r="MIQ154" s="108"/>
      <c r="MIR154" s="108"/>
      <c r="MIS154" s="108"/>
      <c r="MIT154" s="108"/>
      <c r="MIU154" s="108"/>
      <c r="MIV154" s="108"/>
      <c r="MIW154" s="108"/>
      <c r="MIX154" s="108"/>
      <c r="MIY154" s="108"/>
      <c r="MIZ154" s="108"/>
      <c r="MJA154" s="108"/>
      <c r="MJB154" s="108"/>
      <c r="MJC154" s="108"/>
      <c r="MJD154" s="108"/>
      <c r="MJE154" s="108"/>
      <c r="MJF154" s="108"/>
      <c r="MJG154" s="108"/>
      <c r="MJH154" s="108"/>
      <c r="MJI154" s="108"/>
      <c r="MJJ154" s="108"/>
      <c r="MJK154" s="108"/>
      <c r="MJL154" s="108"/>
      <c r="MJM154" s="108"/>
      <c r="MJN154" s="108"/>
      <c r="MJO154" s="108"/>
      <c r="MJP154" s="108"/>
      <c r="MJQ154" s="108"/>
      <c r="MJR154" s="108"/>
      <c r="MJS154" s="108"/>
      <c r="MJT154" s="108"/>
      <c r="MJU154" s="108"/>
      <c r="MJV154" s="108"/>
      <c r="MJW154" s="108"/>
      <c r="MJX154" s="108"/>
      <c r="MJY154" s="108"/>
      <c r="MJZ154" s="108"/>
      <c r="MKA154" s="108"/>
      <c r="MKB154" s="108"/>
      <c r="MKC154" s="108"/>
      <c r="MKD154" s="108"/>
      <c r="MKE154" s="108"/>
      <c r="MKF154" s="108"/>
      <c r="MKG154" s="108"/>
      <c r="MKH154" s="108"/>
      <c r="MKI154" s="108"/>
      <c r="MKJ154" s="108"/>
      <c r="MKK154" s="108"/>
      <c r="MKL154" s="108"/>
      <c r="MKM154" s="108"/>
      <c r="MKN154" s="108"/>
      <c r="MKO154" s="108"/>
      <c r="MKP154" s="108"/>
      <c r="MKQ154" s="108"/>
      <c r="MKR154" s="108"/>
      <c r="MKS154" s="108"/>
      <c r="MKT154" s="108"/>
      <c r="MKU154" s="108"/>
      <c r="MKV154" s="108"/>
      <c r="MKW154" s="108"/>
      <c r="MKX154" s="108"/>
      <c r="MKY154" s="108"/>
      <c r="MKZ154" s="108"/>
      <c r="MLA154" s="108"/>
      <c r="MLB154" s="108"/>
      <c r="MLC154" s="108"/>
      <c r="MLD154" s="108"/>
      <c r="MLE154" s="108"/>
      <c r="MLF154" s="108"/>
      <c r="MLG154" s="108"/>
      <c r="MLH154" s="108"/>
      <c r="MLI154" s="108"/>
      <c r="MLJ154" s="108"/>
      <c r="MLK154" s="108"/>
      <c r="MLL154" s="108"/>
      <c r="MLM154" s="108"/>
      <c r="MLN154" s="108"/>
      <c r="MLO154" s="108"/>
      <c r="MLP154" s="108"/>
      <c r="MLQ154" s="108"/>
      <c r="MLR154" s="108"/>
      <c r="MLS154" s="108"/>
      <c r="MLT154" s="108"/>
      <c r="MLU154" s="108"/>
      <c r="MLV154" s="108"/>
      <c r="MLW154" s="108"/>
      <c r="MLX154" s="108"/>
      <c r="MLY154" s="108"/>
      <c r="MLZ154" s="108"/>
      <c r="MMA154" s="108"/>
      <c r="MMB154" s="108"/>
      <c r="MMC154" s="108"/>
      <c r="MMD154" s="108"/>
      <c r="MME154" s="108"/>
      <c r="MMF154" s="108"/>
      <c r="MMG154" s="108"/>
      <c r="MMH154" s="108"/>
      <c r="MMI154" s="108"/>
      <c r="MMJ154" s="108"/>
      <c r="MMK154" s="108"/>
      <c r="MML154" s="108"/>
      <c r="MMM154" s="108"/>
      <c r="MMN154" s="108"/>
      <c r="MMO154" s="108"/>
      <c r="MMP154" s="108"/>
      <c r="MMQ154" s="108"/>
      <c r="MMR154" s="108"/>
      <c r="MMS154" s="108"/>
      <c r="MMT154" s="108"/>
      <c r="MMU154" s="108"/>
      <c r="MMV154" s="108"/>
      <c r="MMW154" s="108"/>
      <c r="MMX154" s="108"/>
      <c r="MMY154" s="108"/>
      <c r="MMZ154" s="108"/>
      <c r="MNA154" s="108"/>
      <c r="MNB154" s="108"/>
      <c r="MNC154" s="108"/>
      <c r="MND154" s="108"/>
      <c r="MNE154" s="108"/>
      <c r="MNF154" s="108"/>
      <c r="MNG154" s="108"/>
      <c r="MNH154" s="108"/>
      <c r="MNI154" s="108"/>
      <c r="MNJ154" s="108"/>
      <c r="MNK154" s="108"/>
      <c r="MNL154" s="108"/>
      <c r="MNM154" s="108"/>
      <c r="MNN154" s="108"/>
      <c r="MNO154" s="108"/>
      <c r="MNP154" s="108"/>
      <c r="MNQ154" s="108"/>
      <c r="MNR154" s="108"/>
      <c r="MNS154" s="108"/>
      <c r="MNT154" s="108"/>
      <c r="MNU154" s="108"/>
      <c r="MNV154" s="108"/>
      <c r="MNW154" s="108"/>
      <c r="MNX154" s="108"/>
      <c r="MNY154" s="108"/>
      <c r="MNZ154" s="108"/>
      <c r="MOA154" s="108"/>
      <c r="MOB154" s="108"/>
      <c r="MOC154" s="108"/>
      <c r="MOD154" s="108"/>
      <c r="MOE154" s="108"/>
      <c r="MOF154" s="108"/>
      <c r="MOG154" s="108"/>
      <c r="MOH154" s="108"/>
      <c r="MOI154" s="108"/>
      <c r="MOJ154" s="108"/>
      <c r="MOK154" s="108"/>
      <c r="MOL154" s="108"/>
      <c r="MOM154" s="108"/>
      <c r="MON154" s="108"/>
      <c r="MOO154" s="108"/>
      <c r="MOP154" s="108"/>
      <c r="MOQ154" s="108"/>
      <c r="MOR154" s="108"/>
      <c r="MOS154" s="108"/>
      <c r="MOT154" s="108"/>
      <c r="MOU154" s="108"/>
      <c r="MOV154" s="108"/>
      <c r="MOW154" s="108"/>
      <c r="MOX154" s="108"/>
      <c r="MOY154" s="108"/>
      <c r="MOZ154" s="108"/>
      <c r="MPA154" s="108"/>
      <c r="MPB154" s="108"/>
      <c r="MPC154" s="108"/>
      <c r="MPD154" s="108"/>
      <c r="MPE154" s="108"/>
      <c r="MPF154" s="108"/>
      <c r="MPG154" s="108"/>
      <c r="MPH154" s="108"/>
      <c r="MPI154" s="108"/>
      <c r="MPJ154" s="108"/>
      <c r="MPK154" s="108"/>
      <c r="MPL154" s="108"/>
      <c r="MPM154" s="108"/>
      <c r="MPN154" s="108"/>
      <c r="MPO154" s="108"/>
      <c r="MPP154" s="108"/>
      <c r="MPQ154" s="108"/>
      <c r="MPR154" s="108"/>
      <c r="MPS154" s="108"/>
      <c r="MPT154" s="108"/>
      <c r="MPU154" s="108"/>
      <c r="MPV154" s="108"/>
      <c r="MPW154" s="108"/>
      <c r="MPX154" s="108"/>
      <c r="MPY154" s="108"/>
      <c r="MPZ154" s="108"/>
      <c r="MQA154" s="108"/>
      <c r="MQB154" s="108"/>
      <c r="MQC154" s="108"/>
      <c r="MQD154" s="108"/>
      <c r="MQE154" s="108"/>
      <c r="MQF154" s="108"/>
      <c r="MQG154" s="108"/>
      <c r="MQH154" s="108"/>
      <c r="MQI154" s="108"/>
      <c r="MQJ154" s="108"/>
      <c r="MQK154" s="108"/>
      <c r="MQL154" s="108"/>
      <c r="MQM154" s="108"/>
      <c r="MQN154" s="108"/>
      <c r="MQO154" s="108"/>
      <c r="MQP154" s="108"/>
      <c r="MQQ154" s="108"/>
      <c r="MQR154" s="108"/>
      <c r="MQS154" s="108"/>
      <c r="MQT154" s="108"/>
      <c r="MQU154" s="108"/>
      <c r="MQV154" s="108"/>
      <c r="MQW154" s="108"/>
      <c r="MQX154" s="108"/>
      <c r="MQY154" s="108"/>
      <c r="MQZ154" s="108"/>
      <c r="MRA154" s="108"/>
      <c r="MRB154" s="108"/>
      <c r="MRC154" s="108"/>
      <c r="MRD154" s="108"/>
      <c r="MRE154" s="108"/>
      <c r="MRF154" s="108"/>
      <c r="MRG154" s="108"/>
      <c r="MRH154" s="108"/>
      <c r="MRI154" s="108"/>
      <c r="MRJ154" s="108"/>
      <c r="MRK154" s="108"/>
      <c r="MRL154" s="108"/>
      <c r="MRM154" s="108"/>
      <c r="MRN154" s="108"/>
      <c r="MRO154" s="108"/>
      <c r="MRP154" s="108"/>
      <c r="MRQ154" s="108"/>
      <c r="MRR154" s="108"/>
      <c r="MRS154" s="108"/>
      <c r="MRT154" s="108"/>
      <c r="MRU154" s="108"/>
      <c r="MRV154" s="108"/>
      <c r="MRW154" s="108"/>
      <c r="MRX154" s="108"/>
      <c r="MRY154" s="108"/>
      <c r="MRZ154" s="108"/>
      <c r="MSA154" s="108"/>
      <c r="MSB154" s="108"/>
      <c r="MSC154" s="108"/>
      <c r="MSD154" s="108"/>
      <c r="MSE154" s="108"/>
      <c r="MSF154" s="108"/>
      <c r="MSG154" s="108"/>
      <c r="MSH154" s="108"/>
      <c r="MSI154" s="108"/>
      <c r="MSJ154" s="108"/>
      <c r="MSK154" s="108"/>
      <c r="MSL154" s="108"/>
      <c r="MSM154" s="108"/>
      <c r="MSN154" s="108"/>
      <c r="MSO154" s="108"/>
      <c r="MSP154" s="108"/>
      <c r="MSQ154" s="108"/>
      <c r="MSR154" s="108"/>
      <c r="MSS154" s="108"/>
      <c r="MST154" s="108"/>
      <c r="MSU154" s="108"/>
      <c r="MSV154" s="108"/>
      <c r="MSW154" s="108"/>
      <c r="MSX154" s="108"/>
      <c r="MSY154" s="108"/>
      <c r="MSZ154" s="108"/>
      <c r="MTA154" s="108"/>
      <c r="MTB154" s="108"/>
      <c r="MTC154" s="108"/>
      <c r="MTD154" s="108"/>
      <c r="MTE154" s="108"/>
      <c r="MTF154" s="108"/>
      <c r="MTG154" s="108"/>
      <c r="MTH154" s="108"/>
      <c r="MTI154" s="108"/>
      <c r="MTJ154" s="108"/>
      <c r="MTK154" s="108"/>
      <c r="MTL154" s="108"/>
      <c r="MTM154" s="108"/>
      <c r="MTN154" s="108"/>
      <c r="MTO154" s="108"/>
      <c r="MTP154" s="108"/>
      <c r="MTQ154" s="108"/>
      <c r="MTR154" s="108"/>
      <c r="MTS154" s="108"/>
      <c r="MTT154" s="108"/>
      <c r="MTU154" s="108"/>
      <c r="MTV154" s="108"/>
      <c r="MTW154" s="108"/>
      <c r="MTX154" s="108"/>
      <c r="MTY154" s="108"/>
      <c r="MTZ154" s="108"/>
      <c r="MUA154" s="108"/>
      <c r="MUB154" s="108"/>
      <c r="MUC154" s="108"/>
      <c r="MUD154" s="108"/>
      <c r="MUE154" s="108"/>
      <c r="MUF154" s="108"/>
      <c r="MUG154" s="108"/>
      <c r="MUH154" s="108"/>
      <c r="MUI154" s="108"/>
      <c r="MUJ154" s="108"/>
      <c r="MUK154" s="108"/>
      <c r="MUL154" s="108"/>
      <c r="MUM154" s="108"/>
      <c r="MUN154" s="108"/>
      <c r="MUO154" s="108"/>
      <c r="MUP154" s="108"/>
      <c r="MUQ154" s="108"/>
      <c r="MUR154" s="108"/>
      <c r="MUS154" s="108"/>
      <c r="MUT154" s="108"/>
      <c r="MUU154" s="108"/>
      <c r="MUV154" s="108"/>
      <c r="MUW154" s="108"/>
      <c r="MUX154" s="108"/>
      <c r="MUY154" s="108"/>
      <c r="MUZ154" s="108"/>
      <c r="MVA154" s="108"/>
      <c r="MVB154" s="108"/>
      <c r="MVC154" s="108"/>
      <c r="MVD154" s="108"/>
      <c r="MVE154" s="108"/>
      <c r="MVF154" s="108"/>
      <c r="MVG154" s="108"/>
      <c r="MVH154" s="108"/>
      <c r="MVI154" s="108"/>
      <c r="MVJ154" s="108"/>
      <c r="MVK154" s="108"/>
      <c r="MVL154" s="108"/>
      <c r="MVM154" s="108"/>
      <c r="MVN154" s="108"/>
      <c r="MVO154" s="108"/>
      <c r="MVP154" s="108"/>
      <c r="MVQ154" s="108"/>
      <c r="MVR154" s="108"/>
      <c r="MVS154" s="108"/>
      <c r="MVT154" s="108"/>
      <c r="MVU154" s="108"/>
      <c r="MVV154" s="108"/>
      <c r="MVW154" s="108"/>
      <c r="MVX154" s="108"/>
      <c r="MVY154" s="108"/>
      <c r="MVZ154" s="108"/>
      <c r="MWA154" s="108"/>
      <c r="MWB154" s="108"/>
      <c r="MWC154" s="108"/>
      <c r="MWD154" s="108"/>
      <c r="MWE154" s="108"/>
      <c r="MWF154" s="108"/>
      <c r="MWG154" s="108"/>
      <c r="MWH154" s="108"/>
      <c r="MWI154" s="108"/>
      <c r="MWJ154" s="108"/>
      <c r="MWK154" s="108"/>
      <c r="MWL154" s="108"/>
      <c r="MWM154" s="108"/>
      <c r="MWN154" s="108"/>
      <c r="MWO154" s="108"/>
      <c r="MWP154" s="108"/>
      <c r="MWQ154" s="108"/>
      <c r="MWR154" s="108"/>
      <c r="MWS154" s="108"/>
      <c r="MWT154" s="108"/>
      <c r="MWU154" s="108"/>
      <c r="MWV154" s="108"/>
      <c r="MWW154" s="108"/>
      <c r="MWX154" s="108"/>
      <c r="MWY154" s="108"/>
      <c r="MWZ154" s="108"/>
      <c r="MXA154" s="108"/>
      <c r="MXB154" s="108"/>
      <c r="MXC154" s="108"/>
      <c r="MXD154" s="108"/>
      <c r="MXE154" s="108"/>
      <c r="MXF154" s="108"/>
      <c r="MXG154" s="108"/>
      <c r="MXH154" s="108"/>
      <c r="MXI154" s="108"/>
      <c r="MXJ154" s="108"/>
      <c r="MXK154" s="108"/>
      <c r="MXL154" s="108"/>
      <c r="MXM154" s="108"/>
      <c r="MXN154" s="108"/>
      <c r="MXO154" s="108"/>
      <c r="MXP154" s="108"/>
      <c r="MXQ154" s="108"/>
      <c r="MXR154" s="108"/>
      <c r="MXS154" s="108"/>
      <c r="MXT154" s="108"/>
      <c r="MXU154" s="108"/>
      <c r="MXV154" s="108"/>
      <c r="MXW154" s="108"/>
      <c r="MXX154" s="108"/>
      <c r="MXY154" s="108"/>
      <c r="MXZ154" s="108"/>
      <c r="MYA154" s="108"/>
      <c r="MYB154" s="108"/>
      <c r="MYC154" s="108"/>
      <c r="MYD154" s="108"/>
      <c r="MYE154" s="108"/>
      <c r="MYF154" s="108"/>
      <c r="MYG154" s="108"/>
      <c r="MYH154" s="108"/>
      <c r="MYI154" s="108"/>
      <c r="MYJ154" s="108"/>
      <c r="MYK154" s="108"/>
      <c r="MYL154" s="108"/>
      <c r="MYM154" s="108"/>
      <c r="MYN154" s="108"/>
      <c r="MYO154" s="108"/>
      <c r="MYP154" s="108"/>
      <c r="MYQ154" s="108"/>
      <c r="MYR154" s="108"/>
      <c r="MYS154" s="108"/>
      <c r="MYT154" s="108"/>
      <c r="MYU154" s="108"/>
      <c r="MYV154" s="108"/>
      <c r="MYW154" s="108"/>
      <c r="MYX154" s="108"/>
      <c r="MYY154" s="108"/>
      <c r="MYZ154" s="108"/>
      <c r="MZA154" s="108"/>
      <c r="MZB154" s="108"/>
      <c r="MZC154" s="108"/>
      <c r="MZD154" s="108"/>
      <c r="MZE154" s="108"/>
      <c r="MZF154" s="108"/>
      <c r="MZG154" s="108"/>
      <c r="MZH154" s="108"/>
      <c r="MZI154" s="108"/>
      <c r="MZJ154" s="108"/>
      <c r="MZK154" s="108"/>
      <c r="MZL154" s="108"/>
      <c r="MZM154" s="108"/>
      <c r="MZN154" s="108"/>
      <c r="MZO154" s="108"/>
      <c r="MZP154" s="108"/>
      <c r="MZQ154" s="108"/>
      <c r="MZR154" s="108"/>
      <c r="MZS154" s="108"/>
      <c r="MZT154" s="108"/>
      <c r="MZU154" s="108"/>
      <c r="MZV154" s="108"/>
      <c r="MZW154" s="108"/>
      <c r="MZX154" s="108"/>
      <c r="MZY154" s="108"/>
      <c r="MZZ154" s="108"/>
      <c r="NAA154" s="108"/>
      <c r="NAB154" s="108"/>
      <c r="NAC154" s="108"/>
      <c r="NAD154" s="108"/>
      <c r="NAE154" s="108"/>
      <c r="NAF154" s="108"/>
      <c r="NAG154" s="108"/>
      <c r="NAH154" s="108"/>
      <c r="NAI154" s="108"/>
      <c r="NAJ154" s="108"/>
      <c r="NAK154" s="108"/>
      <c r="NAL154" s="108"/>
      <c r="NAM154" s="108"/>
      <c r="NAN154" s="108"/>
      <c r="NAO154" s="108"/>
      <c r="NAP154" s="108"/>
      <c r="NAQ154" s="108"/>
      <c r="NAR154" s="108"/>
      <c r="NAS154" s="108"/>
      <c r="NAT154" s="108"/>
      <c r="NAU154" s="108"/>
      <c r="NAV154" s="108"/>
      <c r="NAW154" s="108"/>
      <c r="NAX154" s="108"/>
      <c r="NAY154" s="108"/>
      <c r="NAZ154" s="108"/>
      <c r="NBA154" s="108"/>
      <c r="NBB154" s="108"/>
      <c r="NBC154" s="108"/>
      <c r="NBD154" s="108"/>
      <c r="NBE154" s="108"/>
      <c r="NBF154" s="108"/>
      <c r="NBG154" s="108"/>
      <c r="NBH154" s="108"/>
      <c r="NBI154" s="108"/>
      <c r="NBJ154" s="108"/>
      <c r="NBK154" s="108"/>
      <c r="NBL154" s="108"/>
      <c r="NBM154" s="108"/>
      <c r="NBN154" s="108"/>
      <c r="NBO154" s="108"/>
      <c r="NBP154" s="108"/>
      <c r="NBQ154" s="108"/>
      <c r="NBR154" s="108"/>
      <c r="NBS154" s="108"/>
      <c r="NBT154" s="108"/>
      <c r="NBU154" s="108"/>
      <c r="NBV154" s="108"/>
      <c r="NBW154" s="108"/>
      <c r="NBX154" s="108"/>
      <c r="NBY154" s="108"/>
      <c r="NBZ154" s="108"/>
      <c r="NCA154" s="108"/>
      <c r="NCB154" s="108"/>
      <c r="NCC154" s="108"/>
      <c r="NCD154" s="108"/>
      <c r="NCE154" s="108"/>
      <c r="NCF154" s="108"/>
      <c r="NCG154" s="108"/>
      <c r="NCH154" s="108"/>
      <c r="NCI154" s="108"/>
      <c r="NCJ154" s="108"/>
      <c r="NCK154" s="108"/>
      <c r="NCL154" s="108"/>
      <c r="NCM154" s="108"/>
      <c r="NCN154" s="108"/>
      <c r="NCO154" s="108"/>
      <c r="NCP154" s="108"/>
      <c r="NCQ154" s="108"/>
      <c r="NCR154" s="108"/>
      <c r="NCS154" s="108"/>
      <c r="NCT154" s="108"/>
      <c r="NCU154" s="108"/>
      <c r="NCV154" s="108"/>
      <c r="NCW154" s="108"/>
      <c r="NCX154" s="108"/>
      <c r="NCY154" s="108"/>
      <c r="NCZ154" s="108"/>
      <c r="NDA154" s="108"/>
      <c r="NDB154" s="108"/>
      <c r="NDC154" s="108"/>
      <c r="NDD154" s="108"/>
      <c r="NDE154" s="108"/>
      <c r="NDF154" s="108"/>
      <c r="NDG154" s="108"/>
      <c r="NDH154" s="108"/>
      <c r="NDI154" s="108"/>
      <c r="NDJ154" s="108"/>
      <c r="NDK154" s="108"/>
      <c r="NDL154" s="108"/>
      <c r="NDM154" s="108"/>
      <c r="NDN154" s="108"/>
      <c r="NDO154" s="108"/>
      <c r="NDP154" s="108"/>
      <c r="NDQ154" s="108"/>
      <c r="NDR154" s="108"/>
      <c r="NDS154" s="108"/>
      <c r="NDT154" s="108"/>
      <c r="NDU154" s="108"/>
      <c r="NDV154" s="108"/>
      <c r="NDW154" s="108"/>
      <c r="NDX154" s="108"/>
      <c r="NDY154" s="108"/>
      <c r="NDZ154" s="108"/>
      <c r="NEA154" s="108"/>
      <c r="NEB154" s="108"/>
      <c r="NEC154" s="108"/>
      <c r="NED154" s="108"/>
      <c r="NEE154" s="108"/>
      <c r="NEF154" s="108"/>
      <c r="NEG154" s="108"/>
      <c r="NEH154" s="108"/>
      <c r="NEI154" s="108"/>
      <c r="NEJ154" s="108"/>
      <c r="NEK154" s="108"/>
      <c r="NEL154" s="108"/>
      <c r="NEM154" s="108"/>
      <c r="NEN154" s="108"/>
      <c r="NEO154" s="108"/>
      <c r="NEP154" s="108"/>
      <c r="NEQ154" s="108"/>
      <c r="NER154" s="108"/>
      <c r="NES154" s="108"/>
      <c r="NET154" s="108"/>
      <c r="NEU154" s="108"/>
      <c r="NEV154" s="108"/>
      <c r="NEW154" s="108"/>
      <c r="NEX154" s="108"/>
      <c r="NEY154" s="108"/>
      <c r="NEZ154" s="108"/>
      <c r="NFA154" s="108"/>
      <c r="NFB154" s="108"/>
      <c r="NFC154" s="108"/>
      <c r="NFD154" s="108"/>
      <c r="NFE154" s="108"/>
      <c r="NFF154" s="108"/>
      <c r="NFG154" s="108"/>
      <c r="NFH154" s="108"/>
      <c r="NFI154" s="108"/>
      <c r="NFJ154" s="108"/>
      <c r="NFK154" s="108"/>
      <c r="NFL154" s="108"/>
      <c r="NFM154" s="108"/>
      <c r="NFN154" s="108"/>
      <c r="NFO154" s="108"/>
      <c r="NFP154" s="108"/>
      <c r="NFQ154" s="108"/>
      <c r="NFR154" s="108"/>
      <c r="NFS154" s="108"/>
      <c r="NFT154" s="108"/>
      <c r="NFU154" s="108"/>
      <c r="NFV154" s="108"/>
      <c r="NFW154" s="108"/>
      <c r="NFX154" s="108"/>
      <c r="NFY154" s="108"/>
      <c r="NFZ154" s="108"/>
      <c r="NGA154" s="108"/>
      <c r="NGB154" s="108"/>
      <c r="NGC154" s="108"/>
      <c r="NGD154" s="108"/>
      <c r="NGE154" s="108"/>
      <c r="NGF154" s="108"/>
      <c r="NGG154" s="108"/>
      <c r="NGH154" s="108"/>
      <c r="NGI154" s="108"/>
      <c r="NGJ154" s="108"/>
      <c r="NGK154" s="108"/>
      <c r="NGL154" s="108"/>
      <c r="NGM154" s="108"/>
      <c r="NGN154" s="108"/>
      <c r="NGO154" s="108"/>
      <c r="NGP154" s="108"/>
      <c r="NGQ154" s="108"/>
      <c r="NGR154" s="108"/>
      <c r="NGS154" s="108"/>
      <c r="NGT154" s="108"/>
      <c r="NGU154" s="108"/>
      <c r="NGV154" s="108"/>
      <c r="NGW154" s="108"/>
      <c r="NGX154" s="108"/>
      <c r="NGY154" s="108"/>
      <c r="NGZ154" s="108"/>
      <c r="NHA154" s="108"/>
      <c r="NHB154" s="108"/>
      <c r="NHC154" s="108"/>
      <c r="NHD154" s="108"/>
      <c r="NHE154" s="108"/>
      <c r="NHF154" s="108"/>
      <c r="NHG154" s="108"/>
      <c r="NHH154" s="108"/>
      <c r="NHI154" s="108"/>
      <c r="NHJ154" s="108"/>
      <c r="NHK154" s="108"/>
      <c r="NHL154" s="108"/>
      <c r="NHM154" s="108"/>
      <c r="NHN154" s="108"/>
      <c r="NHO154" s="108"/>
      <c r="NHP154" s="108"/>
      <c r="NHQ154" s="108"/>
      <c r="NHR154" s="108"/>
      <c r="NHS154" s="108"/>
      <c r="NHT154" s="108"/>
      <c r="NHU154" s="108"/>
      <c r="NHV154" s="108"/>
      <c r="NHW154" s="108"/>
      <c r="NHX154" s="108"/>
      <c r="NHY154" s="108"/>
      <c r="NHZ154" s="108"/>
      <c r="NIA154" s="108"/>
      <c r="NIB154" s="108"/>
      <c r="NIC154" s="108"/>
      <c r="NID154" s="108"/>
      <c r="NIE154" s="108"/>
      <c r="NIF154" s="108"/>
      <c r="NIG154" s="108"/>
      <c r="NIH154" s="108"/>
      <c r="NII154" s="108"/>
      <c r="NIJ154" s="108"/>
      <c r="NIK154" s="108"/>
      <c r="NIL154" s="108"/>
      <c r="NIM154" s="108"/>
      <c r="NIN154" s="108"/>
      <c r="NIO154" s="108"/>
      <c r="NIP154" s="108"/>
      <c r="NIQ154" s="108"/>
      <c r="NIR154" s="108"/>
      <c r="NIS154" s="108"/>
      <c r="NIT154" s="108"/>
      <c r="NIU154" s="108"/>
      <c r="NIV154" s="108"/>
      <c r="NIW154" s="108"/>
      <c r="NIX154" s="108"/>
      <c r="NIY154" s="108"/>
      <c r="NIZ154" s="108"/>
      <c r="NJA154" s="108"/>
      <c r="NJB154" s="108"/>
      <c r="NJC154" s="108"/>
      <c r="NJD154" s="108"/>
      <c r="NJE154" s="108"/>
      <c r="NJF154" s="108"/>
      <c r="NJG154" s="108"/>
      <c r="NJH154" s="108"/>
      <c r="NJI154" s="108"/>
      <c r="NJJ154" s="108"/>
      <c r="NJK154" s="108"/>
      <c r="NJL154" s="108"/>
      <c r="NJM154" s="108"/>
      <c r="NJN154" s="108"/>
      <c r="NJO154" s="108"/>
      <c r="NJP154" s="108"/>
      <c r="NJQ154" s="108"/>
      <c r="NJR154" s="108"/>
      <c r="NJS154" s="108"/>
      <c r="NJT154" s="108"/>
      <c r="NJU154" s="108"/>
      <c r="NJV154" s="108"/>
      <c r="NJW154" s="108"/>
      <c r="NJX154" s="108"/>
      <c r="NJY154" s="108"/>
      <c r="NJZ154" s="108"/>
      <c r="NKA154" s="108"/>
      <c r="NKB154" s="108"/>
      <c r="NKC154" s="108"/>
      <c r="NKD154" s="108"/>
      <c r="NKE154" s="108"/>
      <c r="NKF154" s="108"/>
      <c r="NKG154" s="108"/>
      <c r="NKH154" s="108"/>
      <c r="NKI154" s="108"/>
      <c r="NKJ154" s="108"/>
      <c r="NKK154" s="108"/>
      <c r="NKL154" s="108"/>
      <c r="NKM154" s="108"/>
      <c r="NKN154" s="108"/>
      <c r="NKO154" s="108"/>
      <c r="NKP154" s="108"/>
      <c r="NKQ154" s="108"/>
      <c r="NKR154" s="108"/>
      <c r="NKS154" s="108"/>
      <c r="NKT154" s="108"/>
      <c r="NKU154" s="108"/>
      <c r="NKV154" s="108"/>
      <c r="NKW154" s="108"/>
      <c r="NKX154" s="108"/>
      <c r="NKY154" s="108"/>
      <c r="NKZ154" s="108"/>
      <c r="NLA154" s="108"/>
      <c r="NLB154" s="108"/>
      <c r="NLC154" s="108"/>
      <c r="NLD154" s="108"/>
      <c r="NLE154" s="108"/>
      <c r="NLF154" s="108"/>
      <c r="NLG154" s="108"/>
      <c r="NLH154" s="108"/>
      <c r="NLI154" s="108"/>
      <c r="NLJ154" s="108"/>
      <c r="NLK154" s="108"/>
      <c r="NLL154" s="108"/>
      <c r="NLM154" s="108"/>
      <c r="NLN154" s="108"/>
      <c r="NLO154" s="108"/>
      <c r="NLP154" s="108"/>
      <c r="NLQ154" s="108"/>
      <c r="NLR154" s="108"/>
      <c r="NLS154" s="108"/>
      <c r="NLT154" s="108"/>
      <c r="NLU154" s="108"/>
      <c r="NLV154" s="108"/>
      <c r="NLW154" s="108"/>
      <c r="NLX154" s="108"/>
      <c r="NLY154" s="108"/>
      <c r="NLZ154" s="108"/>
      <c r="NMA154" s="108"/>
      <c r="NMB154" s="108"/>
      <c r="NMC154" s="108"/>
      <c r="NMD154" s="108"/>
      <c r="NME154" s="108"/>
      <c r="NMF154" s="108"/>
      <c r="NMG154" s="108"/>
      <c r="NMH154" s="108"/>
      <c r="NMI154" s="108"/>
      <c r="NMJ154" s="108"/>
      <c r="NMK154" s="108"/>
      <c r="NML154" s="108"/>
      <c r="NMM154" s="108"/>
      <c r="NMN154" s="108"/>
      <c r="NMO154" s="108"/>
      <c r="NMP154" s="108"/>
      <c r="NMQ154" s="108"/>
      <c r="NMR154" s="108"/>
      <c r="NMS154" s="108"/>
      <c r="NMT154" s="108"/>
      <c r="NMU154" s="108"/>
      <c r="NMV154" s="108"/>
      <c r="NMW154" s="108"/>
      <c r="NMX154" s="108"/>
      <c r="NMY154" s="108"/>
      <c r="NMZ154" s="108"/>
      <c r="NNA154" s="108"/>
      <c r="NNB154" s="108"/>
      <c r="NNC154" s="108"/>
      <c r="NND154" s="108"/>
      <c r="NNE154" s="108"/>
      <c r="NNF154" s="108"/>
      <c r="NNG154" s="108"/>
      <c r="NNH154" s="108"/>
      <c r="NNI154" s="108"/>
      <c r="NNJ154" s="108"/>
      <c r="NNK154" s="108"/>
      <c r="NNL154" s="108"/>
      <c r="NNM154" s="108"/>
      <c r="NNN154" s="108"/>
      <c r="NNO154" s="108"/>
      <c r="NNP154" s="108"/>
      <c r="NNQ154" s="108"/>
      <c r="NNR154" s="108"/>
      <c r="NNS154" s="108"/>
      <c r="NNT154" s="108"/>
      <c r="NNU154" s="108"/>
      <c r="NNV154" s="108"/>
      <c r="NNW154" s="108"/>
      <c r="NNX154" s="108"/>
      <c r="NNY154" s="108"/>
      <c r="NNZ154" s="108"/>
      <c r="NOA154" s="108"/>
      <c r="NOB154" s="108"/>
      <c r="NOC154" s="108"/>
      <c r="NOD154" s="108"/>
      <c r="NOE154" s="108"/>
      <c r="NOF154" s="108"/>
      <c r="NOG154" s="108"/>
      <c r="NOH154" s="108"/>
      <c r="NOI154" s="108"/>
      <c r="NOJ154" s="108"/>
      <c r="NOK154" s="108"/>
      <c r="NOL154" s="108"/>
      <c r="NOM154" s="108"/>
      <c r="NON154" s="108"/>
      <c r="NOO154" s="108"/>
      <c r="NOP154" s="108"/>
      <c r="NOQ154" s="108"/>
      <c r="NOR154" s="108"/>
      <c r="NOS154" s="108"/>
      <c r="NOT154" s="108"/>
      <c r="NOU154" s="108"/>
      <c r="NOV154" s="108"/>
      <c r="NOW154" s="108"/>
      <c r="NOX154" s="108"/>
      <c r="NOY154" s="108"/>
      <c r="NOZ154" s="108"/>
      <c r="NPA154" s="108"/>
      <c r="NPB154" s="108"/>
      <c r="NPC154" s="108"/>
      <c r="NPD154" s="108"/>
      <c r="NPE154" s="108"/>
      <c r="NPF154" s="108"/>
      <c r="NPG154" s="108"/>
      <c r="NPH154" s="108"/>
      <c r="NPI154" s="108"/>
      <c r="NPJ154" s="108"/>
      <c r="NPK154" s="108"/>
      <c r="NPL154" s="108"/>
      <c r="NPM154" s="108"/>
      <c r="NPN154" s="108"/>
      <c r="NPO154" s="108"/>
      <c r="NPP154" s="108"/>
      <c r="NPQ154" s="108"/>
      <c r="NPR154" s="108"/>
      <c r="NPS154" s="108"/>
      <c r="NPT154" s="108"/>
      <c r="NPU154" s="108"/>
      <c r="NPV154" s="108"/>
      <c r="NPW154" s="108"/>
      <c r="NPX154" s="108"/>
      <c r="NPY154" s="108"/>
      <c r="NPZ154" s="108"/>
      <c r="NQA154" s="108"/>
      <c r="NQB154" s="108"/>
      <c r="NQC154" s="108"/>
      <c r="NQD154" s="108"/>
      <c r="NQE154" s="108"/>
      <c r="NQF154" s="108"/>
      <c r="NQG154" s="108"/>
      <c r="NQH154" s="108"/>
      <c r="NQI154" s="108"/>
      <c r="NQJ154" s="108"/>
      <c r="NQK154" s="108"/>
      <c r="NQL154" s="108"/>
      <c r="NQM154" s="108"/>
      <c r="NQN154" s="108"/>
      <c r="NQO154" s="108"/>
      <c r="NQP154" s="108"/>
      <c r="NQQ154" s="108"/>
      <c r="NQR154" s="108"/>
      <c r="NQS154" s="108"/>
      <c r="NQT154" s="108"/>
      <c r="NQU154" s="108"/>
      <c r="NQV154" s="108"/>
      <c r="NQW154" s="108"/>
      <c r="NQX154" s="108"/>
      <c r="NQY154" s="108"/>
      <c r="NQZ154" s="108"/>
      <c r="NRA154" s="108"/>
      <c r="NRB154" s="108"/>
      <c r="NRC154" s="108"/>
      <c r="NRD154" s="108"/>
      <c r="NRE154" s="108"/>
      <c r="NRF154" s="108"/>
      <c r="NRG154" s="108"/>
      <c r="NRH154" s="108"/>
      <c r="NRI154" s="108"/>
      <c r="NRJ154" s="108"/>
      <c r="NRK154" s="108"/>
      <c r="NRL154" s="108"/>
      <c r="NRM154" s="108"/>
      <c r="NRN154" s="108"/>
      <c r="NRO154" s="108"/>
      <c r="NRP154" s="108"/>
      <c r="NRQ154" s="108"/>
      <c r="NRR154" s="108"/>
      <c r="NRS154" s="108"/>
      <c r="NRT154" s="108"/>
      <c r="NRU154" s="108"/>
      <c r="NRV154" s="108"/>
      <c r="NRW154" s="108"/>
      <c r="NRX154" s="108"/>
      <c r="NRY154" s="108"/>
      <c r="NRZ154" s="108"/>
      <c r="NSA154" s="108"/>
      <c r="NSB154" s="108"/>
      <c r="NSC154" s="108"/>
      <c r="NSD154" s="108"/>
      <c r="NSE154" s="108"/>
      <c r="NSF154" s="108"/>
      <c r="NSG154" s="108"/>
      <c r="NSH154" s="108"/>
      <c r="NSI154" s="108"/>
      <c r="NSJ154" s="108"/>
      <c r="NSK154" s="108"/>
      <c r="NSL154" s="108"/>
      <c r="NSM154" s="108"/>
      <c r="NSN154" s="108"/>
      <c r="NSO154" s="108"/>
      <c r="NSP154" s="108"/>
      <c r="NSQ154" s="108"/>
      <c r="NSR154" s="108"/>
      <c r="NSS154" s="108"/>
      <c r="NST154" s="108"/>
      <c r="NSU154" s="108"/>
      <c r="NSV154" s="108"/>
      <c r="NSW154" s="108"/>
      <c r="NSX154" s="108"/>
      <c r="NSY154" s="108"/>
      <c r="NSZ154" s="108"/>
      <c r="NTA154" s="108"/>
      <c r="NTB154" s="108"/>
      <c r="NTC154" s="108"/>
      <c r="NTD154" s="108"/>
      <c r="NTE154" s="108"/>
      <c r="NTF154" s="108"/>
      <c r="NTG154" s="108"/>
      <c r="NTH154" s="108"/>
      <c r="NTI154" s="108"/>
      <c r="NTJ154" s="108"/>
      <c r="NTK154" s="108"/>
      <c r="NTL154" s="108"/>
      <c r="NTM154" s="108"/>
      <c r="NTN154" s="108"/>
      <c r="NTO154" s="108"/>
      <c r="NTP154" s="108"/>
      <c r="NTQ154" s="108"/>
      <c r="NTR154" s="108"/>
      <c r="NTS154" s="108"/>
      <c r="NTT154" s="108"/>
      <c r="NTU154" s="108"/>
      <c r="NTV154" s="108"/>
      <c r="NTW154" s="108"/>
      <c r="NTX154" s="108"/>
      <c r="NTY154" s="108"/>
      <c r="NTZ154" s="108"/>
      <c r="NUA154" s="108"/>
      <c r="NUB154" s="108"/>
      <c r="NUC154" s="108"/>
      <c r="NUD154" s="108"/>
      <c r="NUE154" s="108"/>
      <c r="NUF154" s="108"/>
      <c r="NUG154" s="108"/>
      <c r="NUH154" s="108"/>
      <c r="NUI154" s="108"/>
      <c r="NUJ154" s="108"/>
      <c r="NUK154" s="108"/>
      <c r="NUL154" s="108"/>
      <c r="NUM154" s="108"/>
      <c r="NUN154" s="108"/>
      <c r="NUO154" s="108"/>
      <c r="NUP154" s="108"/>
      <c r="NUQ154" s="108"/>
      <c r="NUR154" s="108"/>
      <c r="NUS154" s="108"/>
      <c r="NUT154" s="108"/>
      <c r="NUU154" s="108"/>
      <c r="NUV154" s="108"/>
      <c r="NUW154" s="108"/>
      <c r="NUX154" s="108"/>
      <c r="NUY154" s="108"/>
      <c r="NUZ154" s="108"/>
      <c r="NVA154" s="108"/>
      <c r="NVB154" s="108"/>
      <c r="NVC154" s="108"/>
      <c r="NVD154" s="108"/>
      <c r="NVE154" s="108"/>
      <c r="NVF154" s="108"/>
      <c r="NVG154" s="108"/>
      <c r="NVH154" s="108"/>
      <c r="NVI154" s="108"/>
      <c r="NVJ154" s="108"/>
      <c r="NVK154" s="108"/>
      <c r="NVL154" s="108"/>
      <c r="NVM154" s="108"/>
      <c r="NVN154" s="108"/>
      <c r="NVO154" s="108"/>
      <c r="NVP154" s="108"/>
      <c r="NVQ154" s="108"/>
      <c r="NVR154" s="108"/>
      <c r="NVS154" s="108"/>
      <c r="NVT154" s="108"/>
      <c r="NVU154" s="108"/>
      <c r="NVV154" s="108"/>
      <c r="NVW154" s="108"/>
      <c r="NVX154" s="108"/>
      <c r="NVY154" s="108"/>
      <c r="NVZ154" s="108"/>
      <c r="NWA154" s="108"/>
      <c r="NWB154" s="108"/>
      <c r="NWC154" s="108"/>
      <c r="NWD154" s="108"/>
      <c r="NWE154" s="108"/>
      <c r="NWF154" s="108"/>
      <c r="NWG154" s="108"/>
      <c r="NWH154" s="108"/>
      <c r="NWI154" s="108"/>
      <c r="NWJ154" s="108"/>
      <c r="NWK154" s="108"/>
      <c r="NWL154" s="108"/>
      <c r="NWM154" s="108"/>
      <c r="NWN154" s="108"/>
      <c r="NWO154" s="108"/>
      <c r="NWP154" s="108"/>
      <c r="NWQ154" s="108"/>
      <c r="NWR154" s="108"/>
      <c r="NWS154" s="108"/>
      <c r="NWT154" s="108"/>
      <c r="NWU154" s="108"/>
      <c r="NWV154" s="108"/>
      <c r="NWW154" s="108"/>
      <c r="NWX154" s="108"/>
      <c r="NWY154" s="108"/>
      <c r="NWZ154" s="108"/>
      <c r="NXA154" s="108"/>
      <c r="NXB154" s="108"/>
      <c r="NXC154" s="108"/>
      <c r="NXD154" s="108"/>
      <c r="NXE154" s="108"/>
      <c r="NXF154" s="108"/>
      <c r="NXG154" s="108"/>
      <c r="NXH154" s="108"/>
      <c r="NXI154" s="108"/>
      <c r="NXJ154" s="108"/>
      <c r="NXK154" s="108"/>
      <c r="NXL154" s="108"/>
      <c r="NXM154" s="108"/>
      <c r="NXN154" s="108"/>
      <c r="NXO154" s="108"/>
      <c r="NXP154" s="108"/>
      <c r="NXQ154" s="108"/>
      <c r="NXR154" s="108"/>
      <c r="NXS154" s="108"/>
      <c r="NXT154" s="108"/>
      <c r="NXU154" s="108"/>
      <c r="NXV154" s="108"/>
      <c r="NXW154" s="108"/>
      <c r="NXX154" s="108"/>
      <c r="NXY154" s="108"/>
      <c r="NXZ154" s="108"/>
      <c r="NYA154" s="108"/>
      <c r="NYB154" s="108"/>
      <c r="NYC154" s="108"/>
      <c r="NYD154" s="108"/>
      <c r="NYE154" s="108"/>
      <c r="NYF154" s="108"/>
      <c r="NYG154" s="108"/>
      <c r="NYH154" s="108"/>
      <c r="NYI154" s="108"/>
      <c r="NYJ154" s="108"/>
      <c r="NYK154" s="108"/>
      <c r="NYL154" s="108"/>
      <c r="NYM154" s="108"/>
      <c r="NYN154" s="108"/>
      <c r="NYO154" s="108"/>
      <c r="NYP154" s="108"/>
      <c r="NYQ154" s="108"/>
      <c r="NYR154" s="108"/>
      <c r="NYS154" s="108"/>
      <c r="NYT154" s="108"/>
      <c r="NYU154" s="108"/>
      <c r="NYV154" s="108"/>
      <c r="NYW154" s="108"/>
      <c r="NYX154" s="108"/>
      <c r="NYY154" s="108"/>
      <c r="NYZ154" s="108"/>
      <c r="NZA154" s="108"/>
      <c r="NZB154" s="108"/>
      <c r="NZC154" s="108"/>
      <c r="NZD154" s="108"/>
      <c r="NZE154" s="108"/>
      <c r="NZF154" s="108"/>
      <c r="NZG154" s="108"/>
      <c r="NZH154" s="108"/>
      <c r="NZI154" s="108"/>
      <c r="NZJ154" s="108"/>
      <c r="NZK154" s="108"/>
      <c r="NZL154" s="108"/>
      <c r="NZM154" s="108"/>
      <c r="NZN154" s="108"/>
      <c r="NZO154" s="108"/>
      <c r="NZP154" s="108"/>
      <c r="NZQ154" s="108"/>
      <c r="NZR154" s="108"/>
      <c r="NZS154" s="108"/>
      <c r="NZT154" s="108"/>
      <c r="NZU154" s="108"/>
      <c r="NZV154" s="108"/>
      <c r="NZW154" s="108"/>
      <c r="NZX154" s="108"/>
      <c r="NZY154" s="108"/>
      <c r="NZZ154" s="108"/>
      <c r="OAA154" s="108"/>
      <c r="OAB154" s="108"/>
      <c r="OAC154" s="108"/>
      <c r="OAD154" s="108"/>
      <c r="OAE154" s="108"/>
      <c r="OAF154" s="108"/>
      <c r="OAG154" s="108"/>
      <c r="OAH154" s="108"/>
      <c r="OAI154" s="108"/>
      <c r="OAJ154" s="108"/>
      <c r="OAK154" s="108"/>
      <c r="OAL154" s="108"/>
      <c r="OAM154" s="108"/>
      <c r="OAN154" s="108"/>
      <c r="OAO154" s="108"/>
      <c r="OAP154" s="108"/>
      <c r="OAQ154" s="108"/>
      <c r="OAR154" s="108"/>
      <c r="OAS154" s="108"/>
      <c r="OAT154" s="108"/>
      <c r="OAU154" s="108"/>
      <c r="OAV154" s="108"/>
      <c r="OAW154" s="108"/>
      <c r="OAX154" s="108"/>
      <c r="OAY154" s="108"/>
      <c r="OAZ154" s="108"/>
      <c r="OBA154" s="108"/>
      <c r="OBB154" s="108"/>
      <c r="OBC154" s="108"/>
      <c r="OBD154" s="108"/>
      <c r="OBE154" s="108"/>
      <c r="OBF154" s="108"/>
      <c r="OBG154" s="108"/>
      <c r="OBH154" s="108"/>
      <c r="OBI154" s="108"/>
      <c r="OBJ154" s="108"/>
      <c r="OBK154" s="108"/>
      <c r="OBL154" s="108"/>
      <c r="OBM154" s="108"/>
      <c r="OBN154" s="108"/>
      <c r="OBO154" s="108"/>
      <c r="OBP154" s="108"/>
      <c r="OBQ154" s="108"/>
      <c r="OBR154" s="108"/>
      <c r="OBS154" s="108"/>
      <c r="OBT154" s="108"/>
      <c r="OBU154" s="108"/>
      <c r="OBV154" s="108"/>
      <c r="OBW154" s="108"/>
      <c r="OBX154" s="108"/>
      <c r="OBY154" s="108"/>
      <c r="OBZ154" s="108"/>
      <c r="OCA154" s="108"/>
      <c r="OCB154" s="108"/>
      <c r="OCC154" s="108"/>
      <c r="OCD154" s="108"/>
      <c r="OCE154" s="108"/>
      <c r="OCF154" s="108"/>
      <c r="OCG154" s="108"/>
      <c r="OCH154" s="108"/>
      <c r="OCI154" s="108"/>
      <c r="OCJ154" s="108"/>
      <c r="OCK154" s="108"/>
      <c r="OCL154" s="108"/>
      <c r="OCM154" s="108"/>
      <c r="OCN154" s="108"/>
      <c r="OCO154" s="108"/>
      <c r="OCP154" s="108"/>
      <c r="OCQ154" s="108"/>
      <c r="OCR154" s="108"/>
      <c r="OCS154" s="108"/>
      <c r="OCT154" s="108"/>
      <c r="OCU154" s="108"/>
      <c r="OCV154" s="108"/>
      <c r="OCW154" s="108"/>
      <c r="OCX154" s="108"/>
      <c r="OCY154" s="108"/>
      <c r="OCZ154" s="108"/>
      <c r="ODA154" s="108"/>
      <c r="ODB154" s="108"/>
      <c r="ODC154" s="108"/>
      <c r="ODD154" s="108"/>
      <c r="ODE154" s="108"/>
      <c r="ODF154" s="108"/>
      <c r="ODG154" s="108"/>
      <c r="ODH154" s="108"/>
      <c r="ODI154" s="108"/>
      <c r="ODJ154" s="108"/>
      <c r="ODK154" s="108"/>
      <c r="ODL154" s="108"/>
      <c r="ODM154" s="108"/>
      <c r="ODN154" s="108"/>
      <c r="ODO154" s="108"/>
      <c r="ODP154" s="108"/>
      <c r="ODQ154" s="108"/>
      <c r="ODR154" s="108"/>
      <c r="ODS154" s="108"/>
      <c r="ODT154" s="108"/>
      <c r="ODU154" s="108"/>
      <c r="ODV154" s="108"/>
      <c r="ODW154" s="108"/>
      <c r="ODX154" s="108"/>
      <c r="ODY154" s="108"/>
      <c r="ODZ154" s="108"/>
      <c r="OEA154" s="108"/>
      <c r="OEB154" s="108"/>
      <c r="OEC154" s="108"/>
      <c r="OED154" s="108"/>
      <c r="OEE154" s="108"/>
      <c r="OEF154" s="108"/>
      <c r="OEG154" s="108"/>
      <c r="OEH154" s="108"/>
      <c r="OEI154" s="108"/>
      <c r="OEJ154" s="108"/>
      <c r="OEK154" s="108"/>
      <c r="OEL154" s="108"/>
      <c r="OEM154" s="108"/>
      <c r="OEN154" s="108"/>
      <c r="OEO154" s="108"/>
      <c r="OEP154" s="108"/>
      <c r="OEQ154" s="108"/>
      <c r="OER154" s="108"/>
      <c r="OES154" s="108"/>
      <c r="OET154" s="108"/>
      <c r="OEU154" s="108"/>
      <c r="OEV154" s="108"/>
      <c r="OEW154" s="108"/>
      <c r="OEX154" s="108"/>
      <c r="OEY154" s="108"/>
      <c r="OEZ154" s="108"/>
      <c r="OFA154" s="108"/>
      <c r="OFB154" s="108"/>
      <c r="OFC154" s="108"/>
      <c r="OFD154" s="108"/>
      <c r="OFE154" s="108"/>
      <c r="OFF154" s="108"/>
      <c r="OFG154" s="108"/>
      <c r="OFH154" s="108"/>
      <c r="OFI154" s="108"/>
      <c r="OFJ154" s="108"/>
      <c r="OFK154" s="108"/>
      <c r="OFL154" s="108"/>
      <c r="OFM154" s="108"/>
      <c r="OFN154" s="108"/>
      <c r="OFO154" s="108"/>
      <c r="OFP154" s="108"/>
      <c r="OFQ154" s="108"/>
      <c r="OFR154" s="108"/>
      <c r="OFS154" s="108"/>
      <c r="OFT154" s="108"/>
      <c r="OFU154" s="108"/>
      <c r="OFV154" s="108"/>
      <c r="OFW154" s="108"/>
      <c r="OFX154" s="108"/>
      <c r="OFY154" s="108"/>
      <c r="OFZ154" s="108"/>
      <c r="OGA154" s="108"/>
      <c r="OGB154" s="108"/>
      <c r="OGC154" s="108"/>
      <c r="OGD154" s="108"/>
      <c r="OGE154" s="108"/>
      <c r="OGF154" s="108"/>
      <c r="OGG154" s="108"/>
      <c r="OGH154" s="108"/>
      <c r="OGI154" s="108"/>
      <c r="OGJ154" s="108"/>
      <c r="OGK154" s="108"/>
      <c r="OGL154" s="108"/>
      <c r="OGM154" s="108"/>
      <c r="OGN154" s="108"/>
      <c r="OGO154" s="108"/>
      <c r="OGP154" s="108"/>
      <c r="OGQ154" s="108"/>
      <c r="OGR154" s="108"/>
      <c r="OGS154" s="108"/>
      <c r="OGT154" s="108"/>
      <c r="OGU154" s="108"/>
      <c r="OGV154" s="108"/>
      <c r="OGW154" s="108"/>
      <c r="OGX154" s="108"/>
      <c r="OGY154" s="108"/>
      <c r="OGZ154" s="108"/>
      <c r="OHA154" s="108"/>
      <c r="OHB154" s="108"/>
      <c r="OHC154" s="108"/>
      <c r="OHD154" s="108"/>
      <c r="OHE154" s="108"/>
      <c r="OHF154" s="108"/>
      <c r="OHG154" s="108"/>
      <c r="OHH154" s="108"/>
      <c r="OHI154" s="108"/>
      <c r="OHJ154" s="108"/>
      <c r="OHK154" s="108"/>
      <c r="OHL154" s="108"/>
      <c r="OHM154" s="108"/>
      <c r="OHN154" s="108"/>
      <c r="OHO154" s="108"/>
      <c r="OHP154" s="108"/>
      <c r="OHQ154" s="108"/>
      <c r="OHR154" s="108"/>
      <c r="OHS154" s="108"/>
      <c r="OHT154" s="108"/>
      <c r="OHU154" s="108"/>
      <c r="OHV154" s="108"/>
      <c r="OHW154" s="108"/>
      <c r="OHX154" s="108"/>
      <c r="OHY154" s="108"/>
      <c r="OHZ154" s="108"/>
      <c r="OIA154" s="108"/>
      <c r="OIB154" s="108"/>
      <c r="OIC154" s="108"/>
      <c r="OID154" s="108"/>
      <c r="OIE154" s="108"/>
      <c r="OIF154" s="108"/>
      <c r="OIG154" s="108"/>
      <c r="OIH154" s="108"/>
      <c r="OII154" s="108"/>
      <c r="OIJ154" s="108"/>
      <c r="OIK154" s="108"/>
      <c r="OIL154" s="108"/>
      <c r="OIM154" s="108"/>
      <c r="OIN154" s="108"/>
      <c r="OIO154" s="108"/>
      <c r="OIP154" s="108"/>
      <c r="OIQ154" s="108"/>
      <c r="OIR154" s="108"/>
      <c r="OIS154" s="108"/>
      <c r="OIT154" s="108"/>
      <c r="OIU154" s="108"/>
      <c r="OIV154" s="108"/>
      <c r="OIW154" s="108"/>
      <c r="OIX154" s="108"/>
      <c r="OIY154" s="108"/>
      <c r="OIZ154" s="108"/>
      <c r="OJA154" s="108"/>
      <c r="OJB154" s="108"/>
      <c r="OJC154" s="108"/>
      <c r="OJD154" s="108"/>
      <c r="OJE154" s="108"/>
      <c r="OJF154" s="108"/>
      <c r="OJG154" s="108"/>
      <c r="OJH154" s="108"/>
      <c r="OJI154" s="108"/>
      <c r="OJJ154" s="108"/>
      <c r="OJK154" s="108"/>
      <c r="OJL154" s="108"/>
      <c r="OJM154" s="108"/>
      <c r="OJN154" s="108"/>
      <c r="OJO154" s="108"/>
      <c r="OJP154" s="108"/>
      <c r="OJQ154" s="108"/>
      <c r="OJR154" s="108"/>
      <c r="OJS154" s="108"/>
      <c r="OJT154" s="108"/>
      <c r="OJU154" s="108"/>
      <c r="OJV154" s="108"/>
      <c r="OJW154" s="108"/>
      <c r="OJX154" s="108"/>
      <c r="OJY154" s="108"/>
      <c r="OJZ154" s="108"/>
      <c r="OKA154" s="108"/>
      <c r="OKB154" s="108"/>
      <c r="OKC154" s="108"/>
      <c r="OKD154" s="108"/>
      <c r="OKE154" s="108"/>
      <c r="OKF154" s="108"/>
      <c r="OKG154" s="108"/>
      <c r="OKH154" s="108"/>
      <c r="OKI154" s="108"/>
      <c r="OKJ154" s="108"/>
      <c r="OKK154" s="108"/>
      <c r="OKL154" s="108"/>
      <c r="OKM154" s="108"/>
      <c r="OKN154" s="108"/>
      <c r="OKO154" s="108"/>
      <c r="OKP154" s="108"/>
      <c r="OKQ154" s="108"/>
      <c r="OKR154" s="108"/>
      <c r="OKS154" s="108"/>
      <c r="OKT154" s="108"/>
      <c r="OKU154" s="108"/>
      <c r="OKV154" s="108"/>
      <c r="OKW154" s="108"/>
      <c r="OKX154" s="108"/>
      <c r="OKY154" s="108"/>
      <c r="OKZ154" s="108"/>
      <c r="OLA154" s="108"/>
      <c r="OLB154" s="108"/>
      <c r="OLC154" s="108"/>
      <c r="OLD154" s="108"/>
      <c r="OLE154" s="108"/>
      <c r="OLF154" s="108"/>
      <c r="OLG154" s="108"/>
      <c r="OLH154" s="108"/>
      <c r="OLI154" s="108"/>
      <c r="OLJ154" s="108"/>
      <c r="OLK154" s="108"/>
      <c r="OLL154" s="108"/>
      <c r="OLM154" s="108"/>
      <c r="OLN154" s="108"/>
      <c r="OLO154" s="108"/>
      <c r="OLP154" s="108"/>
      <c r="OLQ154" s="108"/>
      <c r="OLR154" s="108"/>
      <c r="OLS154" s="108"/>
      <c r="OLT154" s="108"/>
      <c r="OLU154" s="108"/>
      <c r="OLV154" s="108"/>
      <c r="OLW154" s="108"/>
      <c r="OLX154" s="108"/>
      <c r="OLY154" s="108"/>
      <c r="OLZ154" s="108"/>
      <c r="OMA154" s="108"/>
      <c r="OMB154" s="108"/>
      <c r="OMC154" s="108"/>
      <c r="OMD154" s="108"/>
      <c r="OME154" s="108"/>
      <c r="OMF154" s="108"/>
      <c r="OMG154" s="108"/>
      <c r="OMH154" s="108"/>
      <c r="OMI154" s="108"/>
      <c r="OMJ154" s="108"/>
      <c r="OMK154" s="108"/>
      <c r="OML154" s="108"/>
      <c r="OMM154" s="108"/>
      <c r="OMN154" s="108"/>
      <c r="OMO154" s="108"/>
      <c r="OMP154" s="108"/>
      <c r="OMQ154" s="108"/>
      <c r="OMR154" s="108"/>
      <c r="OMS154" s="108"/>
      <c r="OMT154" s="108"/>
      <c r="OMU154" s="108"/>
      <c r="OMV154" s="108"/>
      <c r="OMW154" s="108"/>
      <c r="OMX154" s="108"/>
      <c r="OMY154" s="108"/>
      <c r="OMZ154" s="108"/>
      <c r="ONA154" s="108"/>
      <c r="ONB154" s="108"/>
      <c r="ONC154" s="108"/>
      <c r="OND154" s="108"/>
      <c r="ONE154" s="108"/>
      <c r="ONF154" s="108"/>
      <c r="ONG154" s="108"/>
      <c r="ONH154" s="108"/>
      <c r="ONI154" s="108"/>
      <c r="ONJ154" s="108"/>
      <c r="ONK154" s="108"/>
      <c r="ONL154" s="108"/>
      <c r="ONM154" s="108"/>
      <c r="ONN154" s="108"/>
      <c r="ONO154" s="108"/>
      <c r="ONP154" s="108"/>
      <c r="ONQ154" s="108"/>
      <c r="ONR154" s="108"/>
      <c r="ONS154" s="108"/>
      <c r="ONT154" s="108"/>
      <c r="ONU154" s="108"/>
      <c r="ONV154" s="108"/>
      <c r="ONW154" s="108"/>
      <c r="ONX154" s="108"/>
      <c r="ONY154" s="108"/>
      <c r="ONZ154" s="108"/>
      <c r="OOA154" s="108"/>
      <c r="OOB154" s="108"/>
      <c r="OOC154" s="108"/>
      <c r="OOD154" s="108"/>
      <c r="OOE154" s="108"/>
      <c r="OOF154" s="108"/>
      <c r="OOG154" s="108"/>
      <c r="OOH154" s="108"/>
      <c r="OOI154" s="108"/>
      <c r="OOJ154" s="108"/>
      <c r="OOK154" s="108"/>
      <c r="OOL154" s="108"/>
      <c r="OOM154" s="108"/>
      <c r="OON154" s="108"/>
      <c r="OOO154" s="108"/>
      <c r="OOP154" s="108"/>
      <c r="OOQ154" s="108"/>
      <c r="OOR154" s="108"/>
      <c r="OOS154" s="108"/>
      <c r="OOT154" s="108"/>
      <c r="OOU154" s="108"/>
      <c r="OOV154" s="108"/>
      <c r="OOW154" s="108"/>
      <c r="OOX154" s="108"/>
      <c r="OOY154" s="108"/>
      <c r="OOZ154" s="108"/>
      <c r="OPA154" s="108"/>
      <c r="OPB154" s="108"/>
      <c r="OPC154" s="108"/>
      <c r="OPD154" s="108"/>
      <c r="OPE154" s="108"/>
      <c r="OPF154" s="108"/>
      <c r="OPG154" s="108"/>
      <c r="OPH154" s="108"/>
      <c r="OPI154" s="108"/>
      <c r="OPJ154" s="108"/>
      <c r="OPK154" s="108"/>
      <c r="OPL154" s="108"/>
      <c r="OPM154" s="108"/>
      <c r="OPN154" s="108"/>
      <c r="OPO154" s="108"/>
      <c r="OPP154" s="108"/>
      <c r="OPQ154" s="108"/>
      <c r="OPR154" s="108"/>
      <c r="OPS154" s="108"/>
      <c r="OPT154" s="108"/>
      <c r="OPU154" s="108"/>
      <c r="OPV154" s="108"/>
      <c r="OPW154" s="108"/>
      <c r="OPX154" s="108"/>
      <c r="OPY154" s="108"/>
      <c r="OPZ154" s="108"/>
      <c r="OQA154" s="108"/>
      <c r="OQB154" s="108"/>
      <c r="OQC154" s="108"/>
      <c r="OQD154" s="108"/>
      <c r="OQE154" s="108"/>
      <c r="OQF154" s="108"/>
      <c r="OQG154" s="108"/>
      <c r="OQH154" s="108"/>
      <c r="OQI154" s="108"/>
      <c r="OQJ154" s="108"/>
      <c r="OQK154" s="108"/>
      <c r="OQL154" s="108"/>
      <c r="OQM154" s="108"/>
      <c r="OQN154" s="108"/>
      <c r="OQO154" s="108"/>
      <c r="OQP154" s="108"/>
      <c r="OQQ154" s="108"/>
      <c r="OQR154" s="108"/>
      <c r="OQS154" s="108"/>
      <c r="OQT154" s="108"/>
      <c r="OQU154" s="108"/>
      <c r="OQV154" s="108"/>
      <c r="OQW154" s="108"/>
      <c r="OQX154" s="108"/>
      <c r="OQY154" s="108"/>
      <c r="OQZ154" s="108"/>
      <c r="ORA154" s="108"/>
      <c r="ORB154" s="108"/>
      <c r="ORC154" s="108"/>
      <c r="ORD154" s="108"/>
      <c r="ORE154" s="108"/>
      <c r="ORF154" s="108"/>
      <c r="ORG154" s="108"/>
      <c r="ORH154" s="108"/>
      <c r="ORI154" s="108"/>
      <c r="ORJ154" s="108"/>
      <c r="ORK154" s="108"/>
      <c r="ORL154" s="108"/>
      <c r="ORM154" s="108"/>
      <c r="ORN154" s="108"/>
      <c r="ORO154" s="108"/>
      <c r="ORP154" s="108"/>
      <c r="ORQ154" s="108"/>
      <c r="ORR154" s="108"/>
      <c r="ORS154" s="108"/>
      <c r="ORT154" s="108"/>
      <c r="ORU154" s="108"/>
      <c r="ORV154" s="108"/>
      <c r="ORW154" s="108"/>
      <c r="ORX154" s="108"/>
      <c r="ORY154" s="108"/>
      <c r="ORZ154" s="108"/>
      <c r="OSA154" s="108"/>
      <c r="OSB154" s="108"/>
      <c r="OSC154" s="108"/>
      <c r="OSD154" s="108"/>
      <c r="OSE154" s="108"/>
      <c r="OSF154" s="108"/>
      <c r="OSG154" s="108"/>
      <c r="OSH154" s="108"/>
      <c r="OSI154" s="108"/>
      <c r="OSJ154" s="108"/>
      <c r="OSK154" s="108"/>
      <c r="OSL154" s="108"/>
      <c r="OSM154" s="108"/>
      <c r="OSN154" s="108"/>
      <c r="OSO154" s="108"/>
      <c r="OSP154" s="108"/>
      <c r="OSQ154" s="108"/>
      <c r="OSR154" s="108"/>
      <c r="OSS154" s="108"/>
      <c r="OST154" s="108"/>
      <c r="OSU154" s="108"/>
      <c r="OSV154" s="108"/>
      <c r="OSW154" s="108"/>
      <c r="OSX154" s="108"/>
      <c r="OSY154" s="108"/>
      <c r="OSZ154" s="108"/>
      <c r="OTA154" s="108"/>
      <c r="OTB154" s="108"/>
      <c r="OTC154" s="108"/>
      <c r="OTD154" s="108"/>
      <c r="OTE154" s="108"/>
      <c r="OTF154" s="108"/>
      <c r="OTG154" s="108"/>
      <c r="OTH154" s="108"/>
      <c r="OTI154" s="108"/>
      <c r="OTJ154" s="108"/>
      <c r="OTK154" s="108"/>
      <c r="OTL154" s="108"/>
      <c r="OTM154" s="108"/>
      <c r="OTN154" s="108"/>
      <c r="OTO154" s="108"/>
      <c r="OTP154" s="108"/>
      <c r="OTQ154" s="108"/>
      <c r="OTR154" s="108"/>
      <c r="OTS154" s="108"/>
      <c r="OTT154" s="108"/>
      <c r="OTU154" s="108"/>
      <c r="OTV154" s="108"/>
      <c r="OTW154" s="108"/>
      <c r="OTX154" s="108"/>
      <c r="OTY154" s="108"/>
      <c r="OTZ154" s="108"/>
      <c r="OUA154" s="108"/>
      <c r="OUB154" s="108"/>
      <c r="OUC154" s="108"/>
      <c r="OUD154" s="108"/>
      <c r="OUE154" s="108"/>
      <c r="OUF154" s="108"/>
      <c r="OUG154" s="108"/>
      <c r="OUH154" s="108"/>
      <c r="OUI154" s="108"/>
      <c r="OUJ154" s="108"/>
      <c r="OUK154" s="108"/>
      <c r="OUL154" s="108"/>
      <c r="OUM154" s="108"/>
      <c r="OUN154" s="108"/>
      <c r="OUO154" s="108"/>
      <c r="OUP154" s="108"/>
      <c r="OUQ154" s="108"/>
      <c r="OUR154" s="108"/>
      <c r="OUS154" s="108"/>
      <c r="OUT154" s="108"/>
      <c r="OUU154" s="108"/>
      <c r="OUV154" s="108"/>
      <c r="OUW154" s="108"/>
      <c r="OUX154" s="108"/>
      <c r="OUY154" s="108"/>
      <c r="OUZ154" s="108"/>
      <c r="OVA154" s="108"/>
      <c r="OVB154" s="108"/>
      <c r="OVC154" s="108"/>
      <c r="OVD154" s="108"/>
      <c r="OVE154" s="108"/>
      <c r="OVF154" s="108"/>
      <c r="OVG154" s="108"/>
      <c r="OVH154" s="108"/>
      <c r="OVI154" s="108"/>
      <c r="OVJ154" s="108"/>
      <c r="OVK154" s="108"/>
      <c r="OVL154" s="108"/>
      <c r="OVM154" s="108"/>
      <c r="OVN154" s="108"/>
      <c r="OVO154" s="108"/>
      <c r="OVP154" s="108"/>
      <c r="OVQ154" s="108"/>
      <c r="OVR154" s="108"/>
      <c r="OVS154" s="108"/>
      <c r="OVT154" s="108"/>
      <c r="OVU154" s="108"/>
      <c r="OVV154" s="108"/>
      <c r="OVW154" s="108"/>
      <c r="OVX154" s="108"/>
      <c r="OVY154" s="108"/>
      <c r="OVZ154" s="108"/>
      <c r="OWA154" s="108"/>
      <c r="OWB154" s="108"/>
      <c r="OWC154" s="108"/>
      <c r="OWD154" s="108"/>
      <c r="OWE154" s="108"/>
      <c r="OWF154" s="108"/>
      <c r="OWG154" s="108"/>
      <c r="OWH154" s="108"/>
      <c r="OWI154" s="108"/>
      <c r="OWJ154" s="108"/>
      <c r="OWK154" s="108"/>
      <c r="OWL154" s="108"/>
      <c r="OWM154" s="108"/>
      <c r="OWN154" s="108"/>
      <c r="OWO154" s="108"/>
      <c r="OWP154" s="108"/>
      <c r="OWQ154" s="108"/>
      <c r="OWR154" s="108"/>
      <c r="OWS154" s="108"/>
      <c r="OWT154" s="108"/>
      <c r="OWU154" s="108"/>
      <c r="OWV154" s="108"/>
      <c r="OWW154" s="108"/>
      <c r="OWX154" s="108"/>
      <c r="OWY154" s="108"/>
      <c r="OWZ154" s="108"/>
      <c r="OXA154" s="108"/>
      <c r="OXB154" s="108"/>
      <c r="OXC154" s="108"/>
      <c r="OXD154" s="108"/>
      <c r="OXE154" s="108"/>
      <c r="OXF154" s="108"/>
      <c r="OXG154" s="108"/>
      <c r="OXH154" s="108"/>
      <c r="OXI154" s="108"/>
      <c r="OXJ154" s="108"/>
      <c r="OXK154" s="108"/>
      <c r="OXL154" s="108"/>
      <c r="OXM154" s="108"/>
      <c r="OXN154" s="108"/>
      <c r="OXO154" s="108"/>
      <c r="OXP154" s="108"/>
      <c r="OXQ154" s="108"/>
      <c r="OXR154" s="108"/>
      <c r="OXS154" s="108"/>
      <c r="OXT154" s="108"/>
      <c r="OXU154" s="108"/>
      <c r="OXV154" s="108"/>
      <c r="OXW154" s="108"/>
      <c r="OXX154" s="108"/>
      <c r="OXY154" s="108"/>
      <c r="OXZ154" s="108"/>
      <c r="OYA154" s="108"/>
      <c r="OYB154" s="108"/>
      <c r="OYC154" s="108"/>
      <c r="OYD154" s="108"/>
      <c r="OYE154" s="108"/>
      <c r="OYF154" s="108"/>
      <c r="OYG154" s="108"/>
      <c r="OYH154" s="108"/>
      <c r="OYI154" s="108"/>
      <c r="OYJ154" s="108"/>
      <c r="OYK154" s="108"/>
      <c r="OYL154" s="108"/>
      <c r="OYM154" s="108"/>
      <c r="OYN154" s="108"/>
      <c r="OYO154" s="108"/>
      <c r="OYP154" s="108"/>
      <c r="OYQ154" s="108"/>
      <c r="OYR154" s="108"/>
      <c r="OYS154" s="108"/>
      <c r="OYT154" s="108"/>
      <c r="OYU154" s="108"/>
      <c r="OYV154" s="108"/>
      <c r="OYW154" s="108"/>
      <c r="OYX154" s="108"/>
      <c r="OYY154" s="108"/>
      <c r="OYZ154" s="108"/>
      <c r="OZA154" s="108"/>
      <c r="OZB154" s="108"/>
      <c r="OZC154" s="108"/>
      <c r="OZD154" s="108"/>
      <c r="OZE154" s="108"/>
      <c r="OZF154" s="108"/>
      <c r="OZG154" s="108"/>
      <c r="OZH154" s="108"/>
      <c r="OZI154" s="108"/>
      <c r="OZJ154" s="108"/>
      <c r="OZK154" s="108"/>
      <c r="OZL154" s="108"/>
      <c r="OZM154" s="108"/>
      <c r="OZN154" s="108"/>
      <c r="OZO154" s="108"/>
      <c r="OZP154" s="108"/>
      <c r="OZQ154" s="108"/>
      <c r="OZR154" s="108"/>
      <c r="OZS154" s="108"/>
      <c r="OZT154" s="108"/>
      <c r="OZU154" s="108"/>
      <c r="OZV154" s="108"/>
      <c r="OZW154" s="108"/>
      <c r="OZX154" s="108"/>
      <c r="OZY154" s="108"/>
      <c r="OZZ154" s="108"/>
      <c r="PAA154" s="108"/>
      <c r="PAB154" s="108"/>
      <c r="PAC154" s="108"/>
      <c r="PAD154" s="108"/>
      <c r="PAE154" s="108"/>
      <c r="PAF154" s="108"/>
      <c r="PAG154" s="108"/>
      <c r="PAH154" s="108"/>
      <c r="PAI154" s="108"/>
      <c r="PAJ154" s="108"/>
      <c r="PAK154" s="108"/>
      <c r="PAL154" s="108"/>
      <c r="PAM154" s="108"/>
      <c r="PAN154" s="108"/>
      <c r="PAO154" s="108"/>
      <c r="PAP154" s="108"/>
      <c r="PAQ154" s="108"/>
      <c r="PAR154" s="108"/>
      <c r="PAS154" s="108"/>
      <c r="PAT154" s="108"/>
      <c r="PAU154" s="108"/>
      <c r="PAV154" s="108"/>
      <c r="PAW154" s="108"/>
      <c r="PAX154" s="108"/>
      <c r="PAY154" s="108"/>
      <c r="PAZ154" s="108"/>
      <c r="PBA154" s="108"/>
      <c r="PBB154" s="108"/>
      <c r="PBC154" s="108"/>
      <c r="PBD154" s="108"/>
      <c r="PBE154" s="108"/>
      <c r="PBF154" s="108"/>
      <c r="PBG154" s="108"/>
      <c r="PBH154" s="108"/>
      <c r="PBI154" s="108"/>
      <c r="PBJ154" s="108"/>
      <c r="PBK154" s="108"/>
      <c r="PBL154" s="108"/>
      <c r="PBM154" s="108"/>
      <c r="PBN154" s="108"/>
      <c r="PBO154" s="108"/>
      <c r="PBP154" s="108"/>
      <c r="PBQ154" s="108"/>
      <c r="PBR154" s="108"/>
      <c r="PBS154" s="108"/>
      <c r="PBT154" s="108"/>
      <c r="PBU154" s="108"/>
      <c r="PBV154" s="108"/>
      <c r="PBW154" s="108"/>
      <c r="PBX154" s="108"/>
      <c r="PBY154" s="108"/>
      <c r="PBZ154" s="108"/>
      <c r="PCA154" s="108"/>
      <c r="PCB154" s="108"/>
      <c r="PCC154" s="108"/>
      <c r="PCD154" s="108"/>
      <c r="PCE154" s="108"/>
      <c r="PCF154" s="108"/>
      <c r="PCG154" s="108"/>
      <c r="PCH154" s="108"/>
      <c r="PCI154" s="108"/>
      <c r="PCJ154" s="108"/>
      <c r="PCK154" s="108"/>
      <c r="PCL154" s="108"/>
      <c r="PCM154" s="108"/>
      <c r="PCN154" s="108"/>
      <c r="PCO154" s="108"/>
      <c r="PCP154" s="108"/>
      <c r="PCQ154" s="108"/>
      <c r="PCR154" s="108"/>
      <c r="PCS154" s="108"/>
      <c r="PCT154" s="108"/>
      <c r="PCU154" s="108"/>
      <c r="PCV154" s="108"/>
      <c r="PCW154" s="108"/>
      <c r="PCX154" s="108"/>
      <c r="PCY154" s="108"/>
      <c r="PCZ154" s="108"/>
      <c r="PDA154" s="108"/>
      <c r="PDB154" s="108"/>
      <c r="PDC154" s="108"/>
      <c r="PDD154" s="108"/>
      <c r="PDE154" s="108"/>
      <c r="PDF154" s="108"/>
      <c r="PDG154" s="108"/>
      <c r="PDH154" s="108"/>
      <c r="PDI154" s="108"/>
      <c r="PDJ154" s="108"/>
      <c r="PDK154" s="108"/>
      <c r="PDL154" s="108"/>
      <c r="PDM154" s="108"/>
      <c r="PDN154" s="108"/>
      <c r="PDO154" s="108"/>
      <c r="PDP154" s="108"/>
      <c r="PDQ154" s="108"/>
      <c r="PDR154" s="108"/>
      <c r="PDS154" s="108"/>
      <c r="PDT154" s="108"/>
      <c r="PDU154" s="108"/>
      <c r="PDV154" s="108"/>
      <c r="PDW154" s="108"/>
      <c r="PDX154" s="108"/>
      <c r="PDY154" s="108"/>
      <c r="PDZ154" s="108"/>
      <c r="PEA154" s="108"/>
      <c r="PEB154" s="108"/>
      <c r="PEC154" s="108"/>
      <c r="PED154" s="108"/>
      <c r="PEE154" s="108"/>
      <c r="PEF154" s="108"/>
      <c r="PEG154" s="108"/>
      <c r="PEH154" s="108"/>
      <c r="PEI154" s="108"/>
      <c r="PEJ154" s="108"/>
      <c r="PEK154" s="108"/>
      <c r="PEL154" s="108"/>
      <c r="PEM154" s="108"/>
      <c r="PEN154" s="108"/>
      <c r="PEO154" s="108"/>
      <c r="PEP154" s="108"/>
      <c r="PEQ154" s="108"/>
      <c r="PER154" s="108"/>
      <c r="PES154" s="108"/>
      <c r="PET154" s="108"/>
      <c r="PEU154" s="108"/>
      <c r="PEV154" s="108"/>
      <c r="PEW154" s="108"/>
      <c r="PEX154" s="108"/>
      <c r="PEY154" s="108"/>
      <c r="PEZ154" s="108"/>
      <c r="PFA154" s="108"/>
      <c r="PFB154" s="108"/>
      <c r="PFC154" s="108"/>
      <c r="PFD154" s="108"/>
      <c r="PFE154" s="108"/>
      <c r="PFF154" s="108"/>
      <c r="PFG154" s="108"/>
      <c r="PFH154" s="108"/>
      <c r="PFI154" s="108"/>
      <c r="PFJ154" s="108"/>
      <c r="PFK154" s="108"/>
      <c r="PFL154" s="108"/>
      <c r="PFM154" s="108"/>
      <c r="PFN154" s="108"/>
      <c r="PFO154" s="108"/>
      <c r="PFP154" s="108"/>
      <c r="PFQ154" s="108"/>
      <c r="PFR154" s="108"/>
      <c r="PFS154" s="108"/>
      <c r="PFT154" s="108"/>
      <c r="PFU154" s="108"/>
      <c r="PFV154" s="108"/>
      <c r="PFW154" s="108"/>
      <c r="PFX154" s="108"/>
      <c r="PFY154" s="108"/>
      <c r="PFZ154" s="108"/>
      <c r="PGA154" s="108"/>
      <c r="PGB154" s="108"/>
      <c r="PGC154" s="108"/>
      <c r="PGD154" s="108"/>
      <c r="PGE154" s="108"/>
      <c r="PGF154" s="108"/>
      <c r="PGG154" s="108"/>
      <c r="PGH154" s="108"/>
      <c r="PGI154" s="108"/>
      <c r="PGJ154" s="108"/>
      <c r="PGK154" s="108"/>
      <c r="PGL154" s="108"/>
      <c r="PGM154" s="108"/>
      <c r="PGN154" s="108"/>
      <c r="PGO154" s="108"/>
      <c r="PGP154" s="108"/>
      <c r="PGQ154" s="108"/>
      <c r="PGR154" s="108"/>
      <c r="PGS154" s="108"/>
      <c r="PGT154" s="108"/>
      <c r="PGU154" s="108"/>
      <c r="PGV154" s="108"/>
      <c r="PGW154" s="108"/>
      <c r="PGX154" s="108"/>
      <c r="PGY154" s="108"/>
      <c r="PGZ154" s="108"/>
      <c r="PHA154" s="108"/>
      <c r="PHB154" s="108"/>
      <c r="PHC154" s="108"/>
      <c r="PHD154" s="108"/>
      <c r="PHE154" s="108"/>
      <c r="PHF154" s="108"/>
      <c r="PHG154" s="108"/>
      <c r="PHH154" s="108"/>
      <c r="PHI154" s="108"/>
      <c r="PHJ154" s="108"/>
      <c r="PHK154" s="108"/>
      <c r="PHL154" s="108"/>
      <c r="PHM154" s="108"/>
      <c r="PHN154" s="108"/>
      <c r="PHO154" s="108"/>
      <c r="PHP154" s="108"/>
      <c r="PHQ154" s="108"/>
      <c r="PHR154" s="108"/>
      <c r="PHS154" s="108"/>
      <c r="PHT154" s="108"/>
      <c r="PHU154" s="108"/>
      <c r="PHV154" s="108"/>
      <c r="PHW154" s="108"/>
      <c r="PHX154" s="108"/>
      <c r="PHY154" s="108"/>
      <c r="PHZ154" s="108"/>
      <c r="PIA154" s="108"/>
      <c r="PIB154" s="108"/>
      <c r="PIC154" s="108"/>
      <c r="PID154" s="108"/>
      <c r="PIE154" s="108"/>
      <c r="PIF154" s="108"/>
      <c r="PIG154" s="108"/>
      <c r="PIH154" s="108"/>
      <c r="PII154" s="108"/>
      <c r="PIJ154" s="108"/>
      <c r="PIK154" s="108"/>
      <c r="PIL154" s="108"/>
      <c r="PIM154" s="108"/>
      <c r="PIN154" s="108"/>
      <c r="PIO154" s="108"/>
      <c r="PIP154" s="108"/>
      <c r="PIQ154" s="108"/>
      <c r="PIR154" s="108"/>
      <c r="PIS154" s="108"/>
      <c r="PIT154" s="108"/>
      <c r="PIU154" s="108"/>
      <c r="PIV154" s="108"/>
      <c r="PIW154" s="108"/>
      <c r="PIX154" s="108"/>
      <c r="PIY154" s="108"/>
      <c r="PIZ154" s="108"/>
      <c r="PJA154" s="108"/>
      <c r="PJB154" s="108"/>
      <c r="PJC154" s="108"/>
      <c r="PJD154" s="108"/>
      <c r="PJE154" s="108"/>
      <c r="PJF154" s="108"/>
      <c r="PJG154" s="108"/>
      <c r="PJH154" s="108"/>
      <c r="PJI154" s="108"/>
      <c r="PJJ154" s="108"/>
      <c r="PJK154" s="108"/>
      <c r="PJL154" s="108"/>
      <c r="PJM154" s="108"/>
      <c r="PJN154" s="108"/>
      <c r="PJO154" s="108"/>
      <c r="PJP154" s="108"/>
      <c r="PJQ154" s="108"/>
      <c r="PJR154" s="108"/>
      <c r="PJS154" s="108"/>
      <c r="PJT154" s="108"/>
      <c r="PJU154" s="108"/>
      <c r="PJV154" s="108"/>
      <c r="PJW154" s="108"/>
      <c r="PJX154" s="108"/>
      <c r="PJY154" s="108"/>
      <c r="PJZ154" s="108"/>
      <c r="PKA154" s="108"/>
      <c r="PKB154" s="108"/>
      <c r="PKC154" s="108"/>
      <c r="PKD154" s="108"/>
      <c r="PKE154" s="108"/>
      <c r="PKF154" s="108"/>
      <c r="PKG154" s="108"/>
      <c r="PKH154" s="108"/>
      <c r="PKI154" s="108"/>
      <c r="PKJ154" s="108"/>
      <c r="PKK154" s="108"/>
      <c r="PKL154" s="108"/>
      <c r="PKM154" s="108"/>
      <c r="PKN154" s="108"/>
      <c r="PKO154" s="108"/>
      <c r="PKP154" s="108"/>
      <c r="PKQ154" s="108"/>
      <c r="PKR154" s="108"/>
      <c r="PKS154" s="108"/>
      <c r="PKT154" s="108"/>
      <c r="PKU154" s="108"/>
      <c r="PKV154" s="108"/>
      <c r="PKW154" s="108"/>
      <c r="PKX154" s="108"/>
      <c r="PKY154" s="108"/>
      <c r="PKZ154" s="108"/>
      <c r="PLA154" s="108"/>
      <c r="PLB154" s="108"/>
      <c r="PLC154" s="108"/>
      <c r="PLD154" s="108"/>
      <c r="PLE154" s="108"/>
      <c r="PLF154" s="108"/>
      <c r="PLG154" s="108"/>
      <c r="PLH154" s="108"/>
      <c r="PLI154" s="108"/>
      <c r="PLJ154" s="108"/>
      <c r="PLK154" s="108"/>
      <c r="PLL154" s="108"/>
      <c r="PLM154" s="108"/>
      <c r="PLN154" s="108"/>
      <c r="PLO154" s="108"/>
      <c r="PLP154" s="108"/>
      <c r="PLQ154" s="108"/>
      <c r="PLR154" s="108"/>
      <c r="PLS154" s="108"/>
      <c r="PLT154" s="108"/>
      <c r="PLU154" s="108"/>
      <c r="PLV154" s="108"/>
      <c r="PLW154" s="108"/>
      <c r="PLX154" s="108"/>
      <c r="PLY154" s="108"/>
      <c r="PLZ154" s="108"/>
      <c r="PMA154" s="108"/>
      <c r="PMB154" s="108"/>
      <c r="PMC154" s="108"/>
      <c r="PMD154" s="108"/>
      <c r="PME154" s="108"/>
      <c r="PMF154" s="108"/>
      <c r="PMG154" s="108"/>
      <c r="PMH154" s="108"/>
      <c r="PMI154" s="108"/>
      <c r="PMJ154" s="108"/>
      <c r="PMK154" s="108"/>
      <c r="PML154" s="108"/>
      <c r="PMM154" s="108"/>
      <c r="PMN154" s="108"/>
      <c r="PMO154" s="108"/>
      <c r="PMP154" s="108"/>
      <c r="PMQ154" s="108"/>
      <c r="PMR154" s="108"/>
      <c r="PMS154" s="108"/>
      <c r="PMT154" s="108"/>
      <c r="PMU154" s="108"/>
      <c r="PMV154" s="108"/>
      <c r="PMW154" s="108"/>
      <c r="PMX154" s="108"/>
      <c r="PMY154" s="108"/>
      <c r="PMZ154" s="108"/>
      <c r="PNA154" s="108"/>
      <c r="PNB154" s="108"/>
      <c r="PNC154" s="108"/>
      <c r="PND154" s="108"/>
      <c r="PNE154" s="108"/>
      <c r="PNF154" s="108"/>
      <c r="PNG154" s="108"/>
      <c r="PNH154" s="108"/>
      <c r="PNI154" s="108"/>
      <c r="PNJ154" s="108"/>
      <c r="PNK154" s="108"/>
      <c r="PNL154" s="108"/>
      <c r="PNM154" s="108"/>
      <c r="PNN154" s="108"/>
      <c r="PNO154" s="108"/>
      <c r="PNP154" s="108"/>
      <c r="PNQ154" s="108"/>
      <c r="PNR154" s="108"/>
      <c r="PNS154" s="108"/>
      <c r="PNT154" s="108"/>
      <c r="PNU154" s="108"/>
      <c r="PNV154" s="108"/>
      <c r="PNW154" s="108"/>
      <c r="PNX154" s="108"/>
      <c r="PNY154" s="108"/>
      <c r="PNZ154" s="108"/>
      <c r="POA154" s="108"/>
      <c r="POB154" s="108"/>
      <c r="POC154" s="108"/>
      <c r="POD154" s="108"/>
      <c r="POE154" s="108"/>
      <c r="POF154" s="108"/>
      <c r="POG154" s="108"/>
      <c r="POH154" s="108"/>
      <c r="POI154" s="108"/>
      <c r="POJ154" s="108"/>
      <c r="POK154" s="108"/>
      <c r="POL154" s="108"/>
      <c r="POM154" s="108"/>
      <c r="PON154" s="108"/>
      <c r="POO154" s="108"/>
      <c r="POP154" s="108"/>
      <c r="POQ154" s="108"/>
      <c r="POR154" s="108"/>
      <c r="POS154" s="108"/>
      <c r="POT154" s="108"/>
      <c r="POU154" s="108"/>
      <c r="POV154" s="108"/>
      <c r="POW154" s="108"/>
      <c r="POX154" s="108"/>
      <c r="POY154" s="108"/>
      <c r="POZ154" s="108"/>
      <c r="PPA154" s="108"/>
      <c r="PPB154" s="108"/>
      <c r="PPC154" s="108"/>
      <c r="PPD154" s="108"/>
      <c r="PPE154" s="108"/>
      <c r="PPF154" s="108"/>
      <c r="PPG154" s="108"/>
      <c r="PPH154" s="108"/>
      <c r="PPI154" s="108"/>
      <c r="PPJ154" s="108"/>
      <c r="PPK154" s="108"/>
      <c r="PPL154" s="108"/>
      <c r="PPM154" s="108"/>
      <c r="PPN154" s="108"/>
      <c r="PPO154" s="108"/>
      <c r="PPP154" s="108"/>
      <c r="PPQ154" s="108"/>
      <c r="PPR154" s="108"/>
      <c r="PPS154" s="108"/>
      <c r="PPT154" s="108"/>
      <c r="PPU154" s="108"/>
      <c r="PPV154" s="108"/>
      <c r="PPW154" s="108"/>
      <c r="PPX154" s="108"/>
      <c r="PPY154" s="108"/>
      <c r="PPZ154" s="108"/>
      <c r="PQA154" s="108"/>
      <c r="PQB154" s="108"/>
      <c r="PQC154" s="108"/>
      <c r="PQD154" s="108"/>
      <c r="PQE154" s="108"/>
      <c r="PQF154" s="108"/>
      <c r="PQG154" s="108"/>
      <c r="PQH154" s="108"/>
      <c r="PQI154" s="108"/>
      <c r="PQJ154" s="108"/>
      <c r="PQK154" s="108"/>
      <c r="PQL154" s="108"/>
      <c r="PQM154" s="108"/>
      <c r="PQN154" s="108"/>
      <c r="PQO154" s="108"/>
      <c r="PQP154" s="108"/>
      <c r="PQQ154" s="108"/>
      <c r="PQR154" s="108"/>
      <c r="PQS154" s="108"/>
      <c r="PQT154" s="108"/>
      <c r="PQU154" s="108"/>
      <c r="PQV154" s="108"/>
      <c r="PQW154" s="108"/>
      <c r="PQX154" s="108"/>
      <c r="PQY154" s="108"/>
      <c r="PQZ154" s="108"/>
      <c r="PRA154" s="108"/>
      <c r="PRB154" s="108"/>
      <c r="PRC154" s="108"/>
      <c r="PRD154" s="108"/>
      <c r="PRE154" s="108"/>
      <c r="PRF154" s="108"/>
      <c r="PRG154" s="108"/>
      <c r="PRH154" s="108"/>
      <c r="PRI154" s="108"/>
      <c r="PRJ154" s="108"/>
      <c r="PRK154" s="108"/>
      <c r="PRL154" s="108"/>
      <c r="PRM154" s="108"/>
      <c r="PRN154" s="108"/>
      <c r="PRO154" s="108"/>
      <c r="PRP154" s="108"/>
      <c r="PRQ154" s="108"/>
      <c r="PRR154" s="108"/>
      <c r="PRS154" s="108"/>
      <c r="PRT154" s="108"/>
      <c r="PRU154" s="108"/>
      <c r="PRV154" s="108"/>
      <c r="PRW154" s="108"/>
      <c r="PRX154" s="108"/>
      <c r="PRY154" s="108"/>
      <c r="PRZ154" s="108"/>
      <c r="PSA154" s="108"/>
      <c r="PSB154" s="108"/>
      <c r="PSC154" s="108"/>
      <c r="PSD154" s="108"/>
      <c r="PSE154" s="108"/>
      <c r="PSF154" s="108"/>
      <c r="PSG154" s="108"/>
      <c r="PSH154" s="108"/>
      <c r="PSI154" s="108"/>
      <c r="PSJ154" s="108"/>
      <c r="PSK154" s="108"/>
      <c r="PSL154" s="108"/>
      <c r="PSM154" s="108"/>
      <c r="PSN154" s="108"/>
      <c r="PSO154" s="108"/>
      <c r="PSP154" s="108"/>
      <c r="PSQ154" s="108"/>
      <c r="PSR154" s="108"/>
      <c r="PSS154" s="108"/>
      <c r="PST154" s="108"/>
      <c r="PSU154" s="108"/>
      <c r="PSV154" s="108"/>
      <c r="PSW154" s="108"/>
      <c r="PSX154" s="108"/>
      <c r="PSY154" s="108"/>
      <c r="PSZ154" s="108"/>
      <c r="PTA154" s="108"/>
      <c r="PTB154" s="108"/>
      <c r="PTC154" s="108"/>
      <c r="PTD154" s="108"/>
      <c r="PTE154" s="108"/>
      <c r="PTF154" s="108"/>
      <c r="PTG154" s="108"/>
      <c r="PTH154" s="108"/>
      <c r="PTI154" s="108"/>
      <c r="PTJ154" s="108"/>
      <c r="PTK154" s="108"/>
      <c r="PTL154" s="108"/>
      <c r="PTM154" s="108"/>
      <c r="PTN154" s="108"/>
      <c r="PTO154" s="108"/>
      <c r="PTP154" s="108"/>
      <c r="PTQ154" s="108"/>
      <c r="PTR154" s="108"/>
      <c r="PTS154" s="108"/>
      <c r="PTT154" s="108"/>
      <c r="PTU154" s="108"/>
      <c r="PTV154" s="108"/>
      <c r="PTW154" s="108"/>
      <c r="PTX154" s="108"/>
      <c r="PTY154" s="108"/>
      <c r="PTZ154" s="108"/>
      <c r="PUA154" s="108"/>
      <c r="PUB154" s="108"/>
      <c r="PUC154" s="108"/>
      <c r="PUD154" s="108"/>
      <c r="PUE154" s="108"/>
      <c r="PUF154" s="108"/>
      <c r="PUG154" s="108"/>
      <c r="PUH154" s="108"/>
      <c r="PUI154" s="108"/>
      <c r="PUJ154" s="108"/>
      <c r="PUK154" s="108"/>
      <c r="PUL154" s="108"/>
      <c r="PUM154" s="108"/>
      <c r="PUN154" s="108"/>
      <c r="PUO154" s="108"/>
      <c r="PUP154" s="108"/>
      <c r="PUQ154" s="108"/>
      <c r="PUR154" s="108"/>
      <c r="PUS154" s="108"/>
      <c r="PUT154" s="108"/>
      <c r="PUU154" s="108"/>
      <c r="PUV154" s="108"/>
      <c r="PUW154" s="108"/>
      <c r="PUX154" s="108"/>
      <c r="PUY154" s="108"/>
      <c r="PUZ154" s="108"/>
      <c r="PVA154" s="108"/>
      <c r="PVB154" s="108"/>
      <c r="PVC154" s="108"/>
      <c r="PVD154" s="108"/>
      <c r="PVE154" s="108"/>
      <c r="PVF154" s="108"/>
      <c r="PVG154" s="108"/>
      <c r="PVH154" s="108"/>
      <c r="PVI154" s="108"/>
      <c r="PVJ154" s="108"/>
      <c r="PVK154" s="108"/>
      <c r="PVL154" s="108"/>
      <c r="PVM154" s="108"/>
      <c r="PVN154" s="108"/>
      <c r="PVO154" s="108"/>
      <c r="PVP154" s="108"/>
      <c r="PVQ154" s="108"/>
      <c r="PVR154" s="108"/>
      <c r="PVS154" s="108"/>
      <c r="PVT154" s="108"/>
      <c r="PVU154" s="108"/>
      <c r="PVV154" s="108"/>
      <c r="PVW154" s="108"/>
      <c r="PVX154" s="108"/>
      <c r="PVY154" s="108"/>
      <c r="PVZ154" s="108"/>
      <c r="PWA154" s="108"/>
      <c r="PWB154" s="108"/>
      <c r="PWC154" s="108"/>
      <c r="PWD154" s="108"/>
      <c r="PWE154" s="108"/>
      <c r="PWF154" s="108"/>
      <c r="PWG154" s="108"/>
      <c r="PWH154" s="108"/>
      <c r="PWI154" s="108"/>
      <c r="PWJ154" s="108"/>
      <c r="PWK154" s="108"/>
      <c r="PWL154" s="108"/>
      <c r="PWM154" s="108"/>
      <c r="PWN154" s="108"/>
      <c r="PWO154" s="108"/>
      <c r="PWP154" s="108"/>
      <c r="PWQ154" s="108"/>
      <c r="PWR154" s="108"/>
      <c r="PWS154" s="108"/>
      <c r="PWT154" s="108"/>
      <c r="PWU154" s="108"/>
      <c r="PWV154" s="108"/>
      <c r="PWW154" s="108"/>
      <c r="PWX154" s="108"/>
      <c r="PWY154" s="108"/>
      <c r="PWZ154" s="108"/>
      <c r="PXA154" s="108"/>
      <c r="PXB154" s="108"/>
      <c r="PXC154" s="108"/>
      <c r="PXD154" s="108"/>
      <c r="PXE154" s="108"/>
      <c r="PXF154" s="108"/>
      <c r="PXG154" s="108"/>
      <c r="PXH154" s="108"/>
      <c r="PXI154" s="108"/>
      <c r="PXJ154" s="108"/>
      <c r="PXK154" s="108"/>
      <c r="PXL154" s="108"/>
      <c r="PXM154" s="108"/>
      <c r="PXN154" s="108"/>
      <c r="PXO154" s="108"/>
      <c r="PXP154" s="108"/>
      <c r="PXQ154" s="108"/>
      <c r="PXR154" s="108"/>
      <c r="PXS154" s="108"/>
      <c r="PXT154" s="108"/>
      <c r="PXU154" s="108"/>
      <c r="PXV154" s="108"/>
      <c r="PXW154" s="108"/>
      <c r="PXX154" s="108"/>
      <c r="PXY154" s="108"/>
      <c r="PXZ154" s="108"/>
      <c r="PYA154" s="108"/>
      <c r="PYB154" s="108"/>
      <c r="PYC154" s="108"/>
      <c r="PYD154" s="108"/>
      <c r="PYE154" s="108"/>
      <c r="PYF154" s="108"/>
      <c r="PYG154" s="108"/>
      <c r="PYH154" s="108"/>
      <c r="PYI154" s="108"/>
      <c r="PYJ154" s="108"/>
      <c r="PYK154" s="108"/>
      <c r="PYL154" s="108"/>
      <c r="PYM154" s="108"/>
      <c r="PYN154" s="108"/>
      <c r="PYO154" s="108"/>
      <c r="PYP154" s="108"/>
      <c r="PYQ154" s="108"/>
      <c r="PYR154" s="108"/>
      <c r="PYS154" s="108"/>
      <c r="PYT154" s="108"/>
      <c r="PYU154" s="108"/>
      <c r="PYV154" s="108"/>
      <c r="PYW154" s="108"/>
      <c r="PYX154" s="108"/>
      <c r="PYY154" s="108"/>
      <c r="PYZ154" s="108"/>
      <c r="PZA154" s="108"/>
      <c r="PZB154" s="108"/>
      <c r="PZC154" s="108"/>
      <c r="PZD154" s="108"/>
      <c r="PZE154" s="108"/>
      <c r="PZF154" s="108"/>
      <c r="PZG154" s="108"/>
      <c r="PZH154" s="108"/>
      <c r="PZI154" s="108"/>
      <c r="PZJ154" s="108"/>
      <c r="PZK154" s="108"/>
      <c r="PZL154" s="108"/>
      <c r="PZM154" s="108"/>
      <c r="PZN154" s="108"/>
      <c r="PZO154" s="108"/>
      <c r="PZP154" s="108"/>
      <c r="PZQ154" s="108"/>
      <c r="PZR154" s="108"/>
      <c r="PZS154" s="108"/>
      <c r="PZT154" s="108"/>
      <c r="PZU154" s="108"/>
      <c r="PZV154" s="108"/>
      <c r="PZW154" s="108"/>
      <c r="PZX154" s="108"/>
      <c r="PZY154" s="108"/>
      <c r="PZZ154" s="108"/>
      <c r="QAA154" s="108"/>
      <c r="QAB154" s="108"/>
      <c r="QAC154" s="108"/>
      <c r="QAD154" s="108"/>
      <c r="QAE154" s="108"/>
      <c r="QAF154" s="108"/>
      <c r="QAG154" s="108"/>
      <c r="QAH154" s="108"/>
      <c r="QAI154" s="108"/>
      <c r="QAJ154" s="108"/>
      <c r="QAK154" s="108"/>
      <c r="QAL154" s="108"/>
      <c r="QAM154" s="108"/>
      <c r="QAN154" s="108"/>
      <c r="QAO154" s="108"/>
      <c r="QAP154" s="108"/>
      <c r="QAQ154" s="108"/>
      <c r="QAR154" s="108"/>
      <c r="QAS154" s="108"/>
      <c r="QAT154" s="108"/>
      <c r="QAU154" s="108"/>
      <c r="QAV154" s="108"/>
      <c r="QAW154" s="108"/>
      <c r="QAX154" s="108"/>
      <c r="QAY154" s="108"/>
      <c r="QAZ154" s="108"/>
      <c r="QBA154" s="108"/>
      <c r="QBB154" s="108"/>
      <c r="QBC154" s="108"/>
      <c r="QBD154" s="108"/>
      <c r="QBE154" s="108"/>
      <c r="QBF154" s="108"/>
      <c r="QBG154" s="108"/>
      <c r="QBH154" s="108"/>
      <c r="QBI154" s="108"/>
      <c r="QBJ154" s="108"/>
      <c r="QBK154" s="108"/>
      <c r="QBL154" s="108"/>
      <c r="QBM154" s="108"/>
      <c r="QBN154" s="108"/>
      <c r="QBO154" s="108"/>
      <c r="QBP154" s="108"/>
      <c r="QBQ154" s="108"/>
      <c r="QBR154" s="108"/>
      <c r="QBS154" s="108"/>
      <c r="QBT154" s="108"/>
      <c r="QBU154" s="108"/>
      <c r="QBV154" s="108"/>
      <c r="QBW154" s="108"/>
      <c r="QBX154" s="108"/>
      <c r="QBY154" s="108"/>
      <c r="QBZ154" s="108"/>
      <c r="QCA154" s="108"/>
      <c r="QCB154" s="108"/>
      <c r="QCC154" s="108"/>
      <c r="QCD154" s="108"/>
      <c r="QCE154" s="108"/>
      <c r="QCF154" s="108"/>
      <c r="QCG154" s="108"/>
      <c r="QCH154" s="108"/>
      <c r="QCI154" s="108"/>
      <c r="QCJ154" s="108"/>
      <c r="QCK154" s="108"/>
      <c r="QCL154" s="108"/>
      <c r="QCM154" s="108"/>
      <c r="QCN154" s="108"/>
      <c r="QCO154" s="108"/>
      <c r="QCP154" s="108"/>
      <c r="QCQ154" s="108"/>
      <c r="QCR154" s="108"/>
      <c r="QCS154" s="108"/>
      <c r="QCT154" s="108"/>
      <c r="QCU154" s="108"/>
      <c r="QCV154" s="108"/>
      <c r="QCW154" s="108"/>
      <c r="QCX154" s="108"/>
      <c r="QCY154" s="108"/>
      <c r="QCZ154" s="108"/>
      <c r="QDA154" s="108"/>
      <c r="QDB154" s="108"/>
      <c r="QDC154" s="108"/>
      <c r="QDD154" s="108"/>
      <c r="QDE154" s="108"/>
      <c r="QDF154" s="108"/>
      <c r="QDG154" s="108"/>
      <c r="QDH154" s="108"/>
      <c r="QDI154" s="108"/>
      <c r="QDJ154" s="108"/>
      <c r="QDK154" s="108"/>
      <c r="QDL154" s="108"/>
      <c r="QDM154" s="108"/>
      <c r="QDN154" s="108"/>
      <c r="QDO154" s="108"/>
      <c r="QDP154" s="108"/>
      <c r="QDQ154" s="108"/>
      <c r="QDR154" s="108"/>
      <c r="QDS154" s="108"/>
      <c r="QDT154" s="108"/>
      <c r="QDU154" s="108"/>
      <c r="QDV154" s="108"/>
      <c r="QDW154" s="108"/>
      <c r="QDX154" s="108"/>
      <c r="QDY154" s="108"/>
      <c r="QDZ154" s="108"/>
      <c r="QEA154" s="108"/>
      <c r="QEB154" s="108"/>
      <c r="QEC154" s="108"/>
      <c r="QED154" s="108"/>
      <c r="QEE154" s="108"/>
      <c r="QEF154" s="108"/>
      <c r="QEG154" s="108"/>
      <c r="QEH154" s="108"/>
      <c r="QEI154" s="108"/>
      <c r="QEJ154" s="108"/>
      <c r="QEK154" s="108"/>
      <c r="QEL154" s="108"/>
      <c r="QEM154" s="108"/>
      <c r="QEN154" s="108"/>
      <c r="QEO154" s="108"/>
      <c r="QEP154" s="108"/>
      <c r="QEQ154" s="108"/>
      <c r="QER154" s="108"/>
      <c r="QES154" s="108"/>
      <c r="QET154" s="108"/>
      <c r="QEU154" s="108"/>
      <c r="QEV154" s="108"/>
      <c r="QEW154" s="108"/>
      <c r="QEX154" s="108"/>
      <c r="QEY154" s="108"/>
      <c r="QEZ154" s="108"/>
      <c r="QFA154" s="108"/>
      <c r="QFB154" s="108"/>
      <c r="QFC154" s="108"/>
      <c r="QFD154" s="108"/>
      <c r="QFE154" s="108"/>
      <c r="QFF154" s="108"/>
      <c r="QFG154" s="108"/>
      <c r="QFH154" s="108"/>
      <c r="QFI154" s="108"/>
      <c r="QFJ154" s="108"/>
      <c r="QFK154" s="108"/>
      <c r="QFL154" s="108"/>
      <c r="QFM154" s="108"/>
      <c r="QFN154" s="108"/>
      <c r="QFO154" s="108"/>
      <c r="QFP154" s="108"/>
      <c r="QFQ154" s="108"/>
      <c r="QFR154" s="108"/>
      <c r="QFS154" s="108"/>
      <c r="QFT154" s="108"/>
      <c r="QFU154" s="108"/>
      <c r="QFV154" s="108"/>
      <c r="QFW154" s="108"/>
      <c r="QFX154" s="108"/>
      <c r="QFY154" s="108"/>
      <c r="QFZ154" s="108"/>
      <c r="QGA154" s="108"/>
      <c r="QGB154" s="108"/>
      <c r="QGC154" s="108"/>
      <c r="QGD154" s="108"/>
      <c r="QGE154" s="108"/>
      <c r="QGF154" s="108"/>
      <c r="QGG154" s="108"/>
      <c r="QGH154" s="108"/>
      <c r="QGI154" s="108"/>
      <c r="QGJ154" s="108"/>
      <c r="QGK154" s="108"/>
      <c r="QGL154" s="108"/>
      <c r="QGM154" s="108"/>
      <c r="QGN154" s="108"/>
      <c r="QGO154" s="108"/>
      <c r="QGP154" s="108"/>
      <c r="QGQ154" s="108"/>
      <c r="QGR154" s="108"/>
      <c r="QGS154" s="108"/>
      <c r="QGT154" s="108"/>
      <c r="QGU154" s="108"/>
      <c r="QGV154" s="108"/>
      <c r="QGW154" s="108"/>
      <c r="QGX154" s="108"/>
      <c r="QGY154" s="108"/>
      <c r="QGZ154" s="108"/>
      <c r="QHA154" s="108"/>
      <c r="QHB154" s="108"/>
      <c r="QHC154" s="108"/>
      <c r="QHD154" s="108"/>
      <c r="QHE154" s="108"/>
      <c r="QHF154" s="108"/>
      <c r="QHG154" s="108"/>
      <c r="QHH154" s="108"/>
      <c r="QHI154" s="108"/>
      <c r="QHJ154" s="108"/>
      <c r="QHK154" s="108"/>
      <c r="QHL154" s="108"/>
      <c r="QHM154" s="108"/>
      <c r="QHN154" s="108"/>
      <c r="QHO154" s="108"/>
      <c r="QHP154" s="108"/>
      <c r="QHQ154" s="108"/>
      <c r="QHR154" s="108"/>
      <c r="QHS154" s="108"/>
      <c r="QHT154" s="108"/>
      <c r="QHU154" s="108"/>
      <c r="QHV154" s="108"/>
      <c r="QHW154" s="108"/>
      <c r="QHX154" s="108"/>
      <c r="QHY154" s="108"/>
      <c r="QHZ154" s="108"/>
      <c r="QIA154" s="108"/>
      <c r="QIB154" s="108"/>
      <c r="QIC154" s="108"/>
      <c r="QID154" s="108"/>
      <c r="QIE154" s="108"/>
      <c r="QIF154" s="108"/>
      <c r="QIG154" s="108"/>
      <c r="QIH154" s="108"/>
      <c r="QII154" s="108"/>
      <c r="QIJ154" s="108"/>
      <c r="QIK154" s="108"/>
      <c r="QIL154" s="108"/>
      <c r="QIM154" s="108"/>
      <c r="QIN154" s="108"/>
      <c r="QIO154" s="108"/>
      <c r="QIP154" s="108"/>
      <c r="QIQ154" s="108"/>
      <c r="QIR154" s="108"/>
      <c r="QIS154" s="108"/>
      <c r="QIT154" s="108"/>
      <c r="QIU154" s="108"/>
      <c r="QIV154" s="108"/>
      <c r="QIW154" s="108"/>
      <c r="QIX154" s="108"/>
      <c r="QIY154" s="108"/>
      <c r="QIZ154" s="108"/>
      <c r="QJA154" s="108"/>
      <c r="QJB154" s="108"/>
      <c r="QJC154" s="108"/>
      <c r="QJD154" s="108"/>
      <c r="QJE154" s="108"/>
      <c r="QJF154" s="108"/>
      <c r="QJG154" s="108"/>
      <c r="QJH154" s="108"/>
      <c r="QJI154" s="108"/>
      <c r="QJJ154" s="108"/>
      <c r="QJK154" s="108"/>
      <c r="QJL154" s="108"/>
      <c r="QJM154" s="108"/>
      <c r="QJN154" s="108"/>
      <c r="QJO154" s="108"/>
      <c r="QJP154" s="108"/>
      <c r="QJQ154" s="108"/>
      <c r="QJR154" s="108"/>
      <c r="QJS154" s="108"/>
      <c r="QJT154" s="108"/>
      <c r="QJU154" s="108"/>
      <c r="QJV154" s="108"/>
      <c r="QJW154" s="108"/>
      <c r="QJX154" s="108"/>
      <c r="QJY154" s="108"/>
      <c r="QJZ154" s="108"/>
      <c r="QKA154" s="108"/>
      <c r="QKB154" s="108"/>
      <c r="QKC154" s="108"/>
      <c r="QKD154" s="108"/>
      <c r="QKE154" s="108"/>
      <c r="QKF154" s="108"/>
      <c r="QKG154" s="108"/>
      <c r="QKH154" s="108"/>
      <c r="QKI154" s="108"/>
      <c r="QKJ154" s="108"/>
      <c r="QKK154" s="108"/>
      <c r="QKL154" s="108"/>
      <c r="QKM154" s="108"/>
      <c r="QKN154" s="108"/>
      <c r="QKO154" s="108"/>
      <c r="QKP154" s="108"/>
      <c r="QKQ154" s="108"/>
      <c r="QKR154" s="108"/>
      <c r="QKS154" s="108"/>
      <c r="QKT154" s="108"/>
      <c r="QKU154" s="108"/>
      <c r="QKV154" s="108"/>
      <c r="QKW154" s="108"/>
      <c r="QKX154" s="108"/>
      <c r="QKY154" s="108"/>
      <c r="QKZ154" s="108"/>
      <c r="QLA154" s="108"/>
      <c r="QLB154" s="108"/>
      <c r="QLC154" s="108"/>
      <c r="QLD154" s="108"/>
      <c r="QLE154" s="108"/>
      <c r="QLF154" s="108"/>
      <c r="QLG154" s="108"/>
      <c r="QLH154" s="108"/>
      <c r="QLI154" s="108"/>
      <c r="QLJ154" s="108"/>
      <c r="QLK154" s="108"/>
      <c r="QLL154" s="108"/>
      <c r="QLM154" s="108"/>
      <c r="QLN154" s="108"/>
      <c r="QLO154" s="108"/>
      <c r="QLP154" s="108"/>
      <c r="QLQ154" s="108"/>
      <c r="QLR154" s="108"/>
      <c r="QLS154" s="108"/>
      <c r="QLT154" s="108"/>
      <c r="QLU154" s="108"/>
      <c r="QLV154" s="108"/>
      <c r="QLW154" s="108"/>
      <c r="QLX154" s="108"/>
      <c r="QLY154" s="108"/>
      <c r="QLZ154" s="108"/>
      <c r="QMA154" s="108"/>
      <c r="QMB154" s="108"/>
      <c r="QMC154" s="108"/>
      <c r="QMD154" s="108"/>
      <c r="QME154" s="108"/>
      <c r="QMF154" s="108"/>
      <c r="QMG154" s="108"/>
      <c r="QMH154" s="108"/>
      <c r="QMI154" s="108"/>
      <c r="QMJ154" s="108"/>
      <c r="QMK154" s="108"/>
      <c r="QML154" s="108"/>
      <c r="QMM154" s="108"/>
      <c r="QMN154" s="108"/>
      <c r="QMO154" s="108"/>
      <c r="QMP154" s="108"/>
      <c r="QMQ154" s="108"/>
      <c r="QMR154" s="108"/>
      <c r="QMS154" s="108"/>
      <c r="QMT154" s="108"/>
      <c r="QMU154" s="108"/>
      <c r="QMV154" s="108"/>
      <c r="QMW154" s="108"/>
      <c r="QMX154" s="108"/>
      <c r="QMY154" s="108"/>
      <c r="QMZ154" s="108"/>
      <c r="QNA154" s="108"/>
      <c r="QNB154" s="108"/>
      <c r="QNC154" s="108"/>
      <c r="QND154" s="108"/>
      <c r="QNE154" s="108"/>
      <c r="QNF154" s="108"/>
      <c r="QNG154" s="108"/>
      <c r="QNH154" s="108"/>
      <c r="QNI154" s="108"/>
      <c r="QNJ154" s="108"/>
      <c r="QNK154" s="108"/>
      <c r="QNL154" s="108"/>
      <c r="QNM154" s="108"/>
      <c r="QNN154" s="108"/>
      <c r="QNO154" s="108"/>
      <c r="QNP154" s="108"/>
      <c r="QNQ154" s="108"/>
      <c r="QNR154" s="108"/>
      <c r="QNS154" s="108"/>
      <c r="QNT154" s="108"/>
      <c r="QNU154" s="108"/>
      <c r="QNV154" s="108"/>
      <c r="QNW154" s="108"/>
      <c r="QNX154" s="108"/>
      <c r="QNY154" s="108"/>
      <c r="QNZ154" s="108"/>
      <c r="QOA154" s="108"/>
      <c r="QOB154" s="108"/>
      <c r="QOC154" s="108"/>
      <c r="QOD154" s="108"/>
      <c r="QOE154" s="108"/>
      <c r="QOF154" s="108"/>
      <c r="QOG154" s="108"/>
      <c r="QOH154" s="108"/>
      <c r="QOI154" s="108"/>
      <c r="QOJ154" s="108"/>
      <c r="QOK154" s="108"/>
      <c r="QOL154" s="108"/>
      <c r="QOM154" s="108"/>
      <c r="QON154" s="108"/>
      <c r="QOO154" s="108"/>
      <c r="QOP154" s="108"/>
      <c r="QOQ154" s="108"/>
      <c r="QOR154" s="108"/>
      <c r="QOS154" s="108"/>
      <c r="QOT154" s="108"/>
      <c r="QOU154" s="108"/>
      <c r="QOV154" s="108"/>
      <c r="QOW154" s="108"/>
      <c r="QOX154" s="108"/>
      <c r="QOY154" s="108"/>
      <c r="QOZ154" s="108"/>
      <c r="QPA154" s="108"/>
      <c r="QPB154" s="108"/>
      <c r="QPC154" s="108"/>
      <c r="QPD154" s="108"/>
      <c r="QPE154" s="108"/>
      <c r="QPF154" s="108"/>
      <c r="QPG154" s="108"/>
      <c r="QPH154" s="108"/>
      <c r="QPI154" s="108"/>
      <c r="QPJ154" s="108"/>
      <c r="QPK154" s="108"/>
      <c r="QPL154" s="108"/>
      <c r="QPM154" s="108"/>
      <c r="QPN154" s="108"/>
      <c r="QPO154" s="108"/>
      <c r="QPP154" s="108"/>
      <c r="QPQ154" s="108"/>
      <c r="QPR154" s="108"/>
      <c r="QPS154" s="108"/>
      <c r="QPT154" s="108"/>
      <c r="QPU154" s="108"/>
      <c r="QPV154" s="108"/>
      <c r="QPW154" s="108"/>
      <c r="QPX154" s="108"/>
      <c r="QPY154" s="108"/>
      <c r="QPZ154" s="108"/>
      <c r="QQA154" s="108"/>
      <c r="QQB154" s="108"/>
      <c r="QQC154" s="108"/>
      <c r="QQD154" s="108"/>
      <c r="QQE154" s="108"/>
      <c r="QQF154" s="108"/>
      <c r="QQG154" s="108"/>
      <c r="QQH154" s="108"/>
      <c r="QQI154" s="108"/>
      <c r="QQJ154" s="108"/>
      <c r="QQK154" s="108"/>
      <c r="QQL154" s="108"/>
      <c r="QQM154" s="108"/>
      <c r="QQN154" s="108"/>
      <c r="QQO154" s="108"/>
      <c r="QQP154" s="108"/>
      <c r="QQQ154" s="108"/>
      <c r="QQR154" s="108"/>
      <c r="QQS154" s="108"/>
      <c r="QQT154" s="108"/>
      <c r="QQU154" s="108"/>
      <c r="QQV154" s="108"/>
      <c r="QQW154" s="108"/>
      <c r="QQX154" s="108"/>
      <c r="QQY154" s="108"/>
      <c r="QQZ154" s="108"/>
      <c r="QRA154" s="108"/>
      <c r="QRB154" s="108"/>
      <c r="QRC154" s="108"/>
      <c r="QRD154" s="108"/>
      <c r="QRE154" s="108"/>
      <c r="QRF154" s="108"/>
      <c r="QRG154" s="108"/>
      <c r="QRH154" s="108"/>
      <c r="QRI154" s="108"/>
      <c r="QRJ154" s="108"/>
      <c r="QRK154" s="108"/>
      <c r="QRL154" s="108"/>
      <c r="QRM154" s="108"/>
      <c r="QRN154" s="108"/>
      <c r="QRO154" s="108"/>
      <c r="QRP154" s="108"/>
      <c r="QRQ154" s="108"/>
      <c r="QRR154" s="108"/>
      <c r="QRS154" s="108"/>
      <c r="QRT154" s="108"/>
      <c r="QRU154" s="108"/>
      <c r="QRV154" s="108"/>
      <c r="QRW154" s="108"/>
      <c r="QRX154" s="108"/>
      <c r="QRY154" s="108"/>
      <c r="QRZ154" s="108"/>
      <c r="QSA154" s="108"/>
      <c r="QSB154" s="108"/>
      <c r="QSC154" s="108"/>
      <c r="QSD154" s="108"/>
      <c r="QSE154" s="108"/>
      <c r="QSF154" s="108"/>
      <c r="QSG154" s="108"/>
      <c r="QSH154" s="108"/>
      <c r="QSI154" s="108"/>
      <c r="QSJ154" s="108"/>
      <c r="QSK154" s="108"/>
      <c r="QSL154" s="108"/>
      <c r="QSM154" s="108"/>
      <c r="QSN154" s="108"/>
      <c r="QSO154" s="108"/>
      <c r="QSP154" s="108"/>
      <c r="QSQ154" s="108"/>
      <c r="QSR154" s="108"/>
      <c r="QSS154" s="108"/>
      <c r="QST154" s="108"/>
      <c r="QSU154" s="108"/>
      <c r="QSV154" s="108"/>
      <c r="QSW154" s="108"/>
      <c r="QSX154" s="108"/>
      <c r="QSY154" s="108"/>
      <c r="QSZ154" s="108"/>
      <c r="QTA154" s="108"/>
      <c r="QTB154" s="108"/>
      <c r="QTC154" s="108"/>
      <c r="QTD154" s="108"/>
      <c r="QTE154" s="108"/>
      <c r="QTF154" s="108"/>
      <c r="QTG154" s="108"/>
      <c r="QTH154" s="108"/>
      <c r="QTI154" s="108"/>
      <c r="QTJ154" s="108"/>
      <c r="QTK154" s="108"/>
      <c r="QTL154" s="108"/>
      <c r="QTM154" s="108"/>
      <c r="QTN154" s="108"/>
      <c r="QTO154" s="108"/>
      <c r="QTP154" s="108"/>
      <c r="QTQ154" s="108"/>
      <c r="QTR154" s="108"/>
      <c r="QTS154" s="108"/>
      <c r="QTT154" s="108"/>
      <c r="QTU154" s="108"/>
      <c r="QTV154" s="108"/>
      <c r="QTW154" s="108"/>
      <c r="QTX154" s="108"/>
      <c r="QTY154" s="108"/>
      <c r="QTZ154" s="108"/>
      <c r="QUA154" s="108"/>
      <c r="QUB154" s="108"/>
      <c r="QUC154" s="108"/>
      <c r="QUD154" s="108"/>
      <c r="QUE154" s="108"/>
      <c r="QUF154" s="108"/>
      <c r="QUG154" s="108"/>
      <c r="QUH154" s="108"/>
      <c r="QUI154" s="108"/>
      <c r="QUJ154" s="108"/>
      <c r="QUK154" s="108"/>
      <c r="QUL154" s="108"/>
      <c r="QUM154" s="108"/>
      <c r="QUN154" s="108"/>
      <c r="QUO154" s="108"/>
      <c r="QUP154" s="108"/>
      <c r="QUQ154" s="108"/>
      <c r="QUR154" s="108"/>
      <c r="QUS154" s="108"/>
      <c r="QUT154" s="108"/>
      <c r="QUU154" s="108"/>
      <c r="QUV154" s="108"/>
      <c r="QUW154" s="108"/>
      <c r="QUX154" s="108"/>
      <c r="QUY154" s="108"/>
      <c r="QUZ154" s="108"/>
      <c r="QVA154" s="108"/>
      <c r="QVB154" s="108"/>
      <c r="QVC154" s="108"/>
      <c r="QVD154" s="108"/>
      <c r="QVE154" s="108"/>
      <c r="QVF154" s="108"/>
      <c r="QVG154" s="108"/>
      <c r="QVH154" s="108"/>
      <c r="QVI154" s="108"/>
      <c r="QVJ154" s="108"/>
      <c r="QVK154" s="108"/>
      <c r="QVL154" s="108"/>
      <c r="QVM154" s="108"/>
      <c r="QVN154" s="108"/>
      <c r="QVO154" s="108"/>
      <c r="QVP154" s="108"/>
      <c r="QVQ154" s="108"/>
      <c r="QVR154" s="108"/>
      <c r="QVS154" s="108"/>
      <c r="QVT154" s="108"/>
      <c r="QVU154" s="108"/>
      <c r="QVV154" s="108"/>
      <c r="QVW154" s="108"/>
      <c r="QVX154" s="108"/>
      <c r="QVY154" s="108"/>
      <c r="QVZ154" s="108"/>
      <c r="QWA154" s="108"/>
      <c r="QWB154" s="108"/>
      <c r="QWC154" s="108"/>
      <c r="QWD154" s="108"/>
      <c r="QWE154" s="108"/>
      <c r="QWF154" s="108"/>
      <c r="QWG154" s="108"/>
      <c r="QWH154" s="108"/>
      <c r="QWI154" s="108"/>
      <c r="QWJ154" s="108"/>
      <c r="QWK154" s="108"/>
      <c r="QWL154" s="108"/>
      <c r="QWM154" s="108"/>
      <c r="QWN154" s="108"/>
      <c r="QWO154" s="108"/>
      <c r="QWP154" s="108"/>
      <c r="QWQ154" s="108"/>
      <c r="QWR154" s="108"/>
      <c r="QWS154" s="108"/>
      <c r="QWT154" s="108"/>
      <c r="QWU154" s="108"/>
      <c r="QWV154" s="108"/>
      <c r="QWW154" s="108"/>
      <c r="QWX154" s="108"/>
      <c r="QWY154" s="108"/>
      <c r="QWZ154" s="108"/>
      <c r="QXA154" s="108"/>
      <c r="QXB154" s="108"/>
      <c r="QXC154" s="108"/>
      <c r="QXD154" s="108"/>
      <c r="QXE154" s="108"/>
      <c r="QXF154" s="108"/>
      <c r="QXG154" s="108"/>
      <c r="QXH154" s="108"/>
      <c r="QXI154" s="108"/>
      <c r="QXJ154" s="108"/>
      <c r="QXK154" s="108"/>
      <c r="QXL154" s="108"/>
      <c r="QXM154" s="108"/>
      <c r="QXN154" s="108"/>
      <c r="QXO154" s="108"/>
      <c r="QXP154" s="108"/>
      <c r="QXQ154" s="108"/>
      <c r="QXR154" s="108"/>
      <c r="QXS154" s="108"/>
      <c r="QXT154" s="108"/>
      <c r="QXU154" s="108"/>
      <c r="QXV154" s="108"/>
      <c r="QXW154" s="108"/>
      <c r="QXX154" s="108"/>
      <c r="QXY154" s="108"/>
      <c r="QXZ154" s="108"/>
      <c r="QYA154" s="108"/>
      <c r="QYB154" s="108"/>
      <c r="QYC154" s="108"/>
      <c r="QYD154" s="108"/>
      <c r="QYE154" s="108"/>
      <c r="QYF154" s="108"/>
      <c r="QYG154" s="108"/>
      <c r="QYH154" s="108"/>
      <c r="QYI154" s="108"/>
      <c r="QYJ154" s="108"/>
      <c r="QYK154" s="108"/>
      <c r="QYL154" s="108"/>
      <c r="QYM154" s="108"/>
      <c r="QYN154" s="108"/>
      <c r="QYO154" s="108"/>
      <c r="QYP154" s="108"/>
      <c r="QYQ154" s="108"/>
      <c r="QYR154" s="108"/>
      <c r="QYS154" s="108"/>
      <c r="QYT154" s="108"/>
      <c r="QYU154" s="108"/>
      <c r="QYV154" s="108"/>
      <c r="QYW154" s="108"/>
      <c r="QYX154" s="108"/>
      <c r="QYY154" s="108"/>
      <c r="QYZ154" s="108"/>
      <c r="QZA154" s="108"/>
      <c r="QZB154" s="108"/>
      <c r="QZC154" s="108"/>
      <c r="QZD154" s="108"/>
      <c r="QZE154" s="108"/>
      <c r="QZF154" s="108"/>
      <c r="QZG154" s="108"/>
      <c r="QZH154" s="108"/>
      <c r="QZI154" s="108"/>
      <c r="QZJ154" s="108"/>
      <c r="QZK154" s="108"/>
      <c r="QZL154" s="108"/>
      <c r="QZM154" s="108"/>
      <c r="QZN154" s="108"/>
      <c r="QZO154" s="108"/>
      <c r="QZP154" s="108"/>
      <c r="QZQ154" s="108"/>
      <c r="QZR154" s="108"/>
      <c r="QZS154" s="108"/>
      <c r="QZT154" s="108"/>
      <c r="QZU154" s="108"/>
      <c r="QZV154" s="108"/>
      <c r="QZW154" s="108"/>
      <c r="QZX154" s="108"/>
      <c r="QZY154" s="108"/>
      <c r="QZZ154" s="108"/>
      <c r="RAA154" s="108"/>
      <c r="RAB154" s="108"/>
      <c r="RAC154" s="108"/>
      <c r="RAD154" s="108"/>
      <c r="RAE154" s="108"/>
      <c r="RAF154" s="108"/>
      <c r="RAG154" s="108"/>
      <c r="RAH154" s="108"/>
      <c r="RAI154" s="108"/>
      <c r="RAJ154" s="108"/>
      <c r="RAK154" s="108"/>
      <c r="RAL154" s="108"/>
      <c r="RAM154" s="108"/>
      <c r="RAN154" s="108"/>
      <c r="RAO154" s="108"/>
      <c r="RAP154" s="108"/>
      <c r="RAQ154" s="108"/>
      <c r="RAR154" s="108"/>
      <c r="RAS154" s="108"/>
      <c r="RAT154" s="108"/>
      <c r="RAU154" s="108"/>
      <c r="RAV154" s="108"/>
      <c r="RAW154" s="108"/>
      <c r="RAX154" s="108"/>
      <c r="RAY154" s="108"/>
      <c r="RAZ154" s="108"/>
      <c r="RBA154" s="108"/>
      <c r="RBB154" s="108"/>
      <c r="RBC154" s="108"/>
      <c r="RBD154" s="108"/>
      <c r="RBE154" s="108"/>
      <c r="RBF154" s="108"/>
      <c r="RBG154" s="108"/>
      <c r="RBH154" s="108"/>
      <c r="RBI154" s="108"/>
      <c r="RBJ154" s="108"/>
      <c r="RBK154" s="108"/>
      <c r="RBL154" s="108"/>
      <c r="RBM154" s="108"/>
      <c r="RBN154" s="108"/>
      <c r="RBO154" s="108"/>
      <c r="RBP154" s="108"/>
      <c r="RBQ154" s="108"/>
      <c r="RBR154" s="108"/>
      <c r="RBS154" s="108"/>
      <c r="RBT154" s="108"/>
      <c r="RBU154" s="108"/>
      <c r="RBV154" s="108"/>
      <c r="RBW154" s="108"/>
      <c r="RBX154" s="108"/>
      <c r="RBY154" s="108"/>
      <c r="RBZ154" s="108"/>
      <c r="RCA154" s="108"/>
      <c r="RCB154" s="108"/>
      <c r="RCC154" s="108"/>
      <c r="RCD154" s="108"/>
      <c r="RCE154" s="108"/>
      <c r="RCF154" s="108"/>
      <c r="RCG154" s="108"/>
      <c r="RCH154" s="108"/>
      <c r="RCI154" s="108"/>
      <c r="RCJ154" s="108"/>
      <c r="RCK154" s="108"/>
      <c r="RCL154" s="108"/>
      <c r="RCM154" s="108"/>
      <c r="RCN154" s="108"/>
      <c r="RCO154" s="108"/>
      <c r="RCP154" s="108"/>
      <c r="RCQ154" s="108"/>
      <c r="RCR154" s="108"/>
      <c r="RCS154" s="108"/>
      <c r="RCT154" s="108"/>
      <c r="RCU154" s="108"/>
      <c r="RCV154" s="108"/>
      <c r="RCW154" s="108"/>
      <c r="RCX154" s="108"/>
      <c r="RCY154" s="108"/>
      <c r="RCZ154" s="108"/>
      <c r="RDA154" s="108"/>
      <c r="RDB154" s="108"/>
      <c r="RDC154" s="108"/>
      <c r="RDD154" s="108"/>
      <c r="RDE154" s="108"/>
      <c r="RDF154" s="108"/>
      <c r="RDG154" s="108"/>
      <c r="RDH154" s="108"/>
      <c r="RDI154" s="108"/>
      <c r="RDJ154" s="108"/>
      <c r="RDK154" s="108"/>
      <c r="RDL154" s="108"/>
      <c r="RDM154" s="108"/>
      <c r="RDN154" s="108"/>
      <c r="RDO154" s="108"/>
      <c r="RDP154" s="108"/>
      <c r="RDQ154" s="108"/>
      <c r="RDR154" s="108"/>
      <c r="RDS154" s="108"/>
      <c r="RDT154" s="108"/>
      <c r="RDU154" s="108"/>
      <c r="RDV154" s="108"/>
      <c r="RDW154" s="108"/>
      <c r="RDX154" s="108"/>
      <c r="RDY154" s="108"/>
      <c r="RDZ154" s="108"/>
      <c r="REA154" s="108"/>
      <c r="REB154" s="108"/>
      <c r="REC154" s="108"/>
      <c r="RED154" s="108"/>
      <c r="REE154" s="108"/>
      <c r="REF154" s="108"/>
      <c r="REG154" s="108"/>
      <c r="REH154" s="108"/>
      <c r="REI154" s="108"/>
      <c r="REJ154" s="108"/>
      <c r="REK154" s="108"/>
      <c r="REL154" s="108"/>
      <c r="REM154" s="108"/>
      <c r="REN154" s="108"/>
      <c r="REO154" s="108"/>
      <c r="REP154" s="108"/>
      <c r="REQ154" s="108"/>
      <c r="RER154" s="108"/>
      <c r="RES154" s="108"/>
      <c r="RET154" s="108"/>
      <c r="REU154" s="108"/>
      <c r="REV154" s="108"/>
      <c r="REW154" s="108"/>
      <c r="REX154" s="108"/>
      <c r="REY154" s="108"/>
      <c r="REZ154" s="108"/>
      <c r="RFA154" s="108"/>
      <c r="RFB154" s="108"/>
      <c r="RFC154" s="108"/>
      <c r="RFD154" s="108"/>
      <c r="RFE154" s="108"/>
      <c r="RFF154" s="108"/>
      <c r="RFG154" s="108"/>
      <c r="RFH154" s="108"/>
      <c r="RFI154" s="108"/>
      <c r="RFJ154" s="108"/>
      <c r="RFK154" s="108"/>
      <c r="RFL154" s="108"/>
      <c r="RFM154" s="108"/>
      <c r="RFN154" s="108"/>
      <c r="RFO154" s="108"/>
      <c r="RFP154" s="108"/>
      <c r="RFQ154" s="108"/>
      <c r="RFR154" s="108"/>
      <c r="RFS154" s="108"/>
      <c r="RFT154" s="108"/>
      <c r="RFU154" s="108"/>
      <c r="RFV154" s="108"/>
      <c r="RFW154" s="108"/>
      <c r="RFX154" s="108"/>
      <c r="RFY154" s="108"/>
      <c r="RFZ154" s="108"/>
      <c r="RGA154" s="108"/>
      <c r="RGB154" s="108"/>
      <c r="RGC154" s="108"/>
      <c r="RGD154" s="108"/>
      <c r="RGE154" s="108"/>
      <c r="RGF154" s="108"/>
      <c r="RGG154" s="108"/>
      <c r="RGH154" s="108"/>
      <c r="RGI154" s="108"/>
      <c r="RGJ154" s="108"/>
      <c r="RGK154" s="108"/>
      <c r="RGL154" s="108"/>
      <c r="RGM154" s="108"/>
      <c r="RGN154" s="108"/>
      <c r="RGO154" s="108"/>
      <c r="RGP154" s="108"/>
      <c r="RGQ154" s="108"/>
      <c r="RGR154" s="108"/>
      <c r="RGS154" s="108"/>
      <c r="RGT154" s="108"/>
      <c r="RGU154" s="108"/>
      <c r="RGV154" s="108"/>
      <c r="RGW154" s="108"/>
      <c r="RGX154" s="108"/>
      <c r="RGY154" s="108"/>
      <c r="RGZ154" s="108"/>
      <c r="RHA154" s="108"/>
      <c r="RHB154" s="108"/>
      <c r="RHC154" s="108"/>
      <c r="RHD154" s="108"/>
      <c r="RHE154" s="108"/>
      <c r="RHF154" s="108"/>
      <c r="RHG154" s="108"/>
      <c r="RHH154" s="108"/>
      <c r="RHI154" s="108"/>
      <c r="RHJ154" s="108"/>
      <c r="RHK154" s="108"/>
      <c r="RHL154" s="108"/>
      <c r="RHM154" s="108"/>
      <c r="RHN154" s="108"/>
      <c r="RHO154" s="108"/>
      <c r="RHP154" s="108"/>
      <c r="RHQ154" s="108"/>
      <c r="RHR154" s="108"/>
      <c r="RHS154" s="108"/>
      <c r="RHT154" s="108"/>
      <c r="RHU154" s="108"/>
      <c r="RHV154" s="108"/>
      <c r="RHW154" s="108"/>
      <c r="RHX154" s="108"/>
      <c r="RHY154" s="108"/>
      <c r="RHZ154" s="108"/>
      <c r="RIA154" s="108"/>
      <c r="RIB154" s="108"/>
      <c r="RIC154" s="108"/>
      <c r="RID154" s="108"/>
      <c r="RIE154" s="108"/>
      <c r="RIF154" s="108"/>
      <c r="RIG154" s="108"/>
      <c r="RIH154" s="108"/>
      <c r="RII154" s="108"/>
      <c r="RIJ154" s="108"/>
      <c r="RIK154" s="108"/>
      <c r="RIL154" s="108"/>
      <c r="RIM154" s="108"/>
      <c r="RIN154" s="108"/>
      <c r="RIO154" s="108"/>
      <c r="RIP154" s="108"/>
      <c r="RIQ154" s="108"/>
      <c r="RIR154" s="108"/>
      <c r="RIS154" s="108"/>
      <c r="RIT154" s="108"/>
      <c r="RIU154" s="108"/>
      <c r="RIV154" s="108"/>
      <c r="RIW154" s="108"/>
      <c r="RIX154" s="108"/>
      <c r="RIY154" s="108"/>
      <c r="RIZ154" s="108"/>
      <c r="RJA154" s="108"/>
      <c r="RJB154" s="108"/>
      <c r="RJC154" s="108"/>
      <c r="RJD154" s="108"/>
      <c r="RJE154" s="108"/>
      <c r="RJF154" s="108"/>
      <c r="RJG154" s="108"/>
      <c r="RJH154" s="108"/>
      <c r="RJI154" s="108"/>
      <c r="RJJ154" s="108"/>
      <c r="RJK154" s="108"/>
      <c r="RJL154" s="108"/>
      <c r="RJM154" s="108"/>
      <c r="RJN154" s="108"/>
      <c r="RJO154" s="108"/>
      <c r="RJP154" s="108"/>
      <c r="RJQ154" s="108"/>
      <c r="RJR154" s="108"/>
      <c r="RJS154" s="108"/>
      <c r="RJT154" s="108"/>
      <c r="RJU154" s="108"/>
      <c r="RJV154" s="108"/>
      <c r="RJW154" s="108"/>
      <c r="RJX154" s="108"/>
      <c r="RJY154" s="108"/>
      <c r="RJZ154" s="108"/>
      <c r="RKA154" s="108"/>
      <c r="RKB154" s="108"/>
      <c r="RKC154" s="108"/>
      <c r="RKD154" s="108"/>
      <c r="RKE154" s="108"/>
      <c r="RKF154" s="108"/>
      <c r="RKG154" s="108"/>
      <c r="RKH154" s="108"/>
      <c r="RKI154" s="108"/>
      <c r="RKJ154" s="108"/>
      <c r="RKK154" s="108"/>
      <c r="RKL154" s="108"/>
      <c r="RKM154" s="108"/>
      <c r="RKN154" s="108"/>
      <c r="RKO154" s="108"/>
      <c r="RKP154" s="108"/>
      <c r="RKQ154" s="108"/>
      <c r="RKR154" s="108"/>
      <c r="RKS154" s="108"/>
      <c r="RKT154" s="108"/>
      <c r="RKU154" s="108"/>
      <c r="RKV154" s="108"/>
      <c r="RKW154" s="108"/>
      <c r="RKX154" s="108"/>
      <c r="RKY154" s="108"/>
      <c r="RKZ154" s="108"/>
      <c r="RLA154" s="108"/>
      <c r="RLB154" s="108"/>
      <c r="RLC154" s="108"/>
      <c r="RLD154" s="108"/>
      <c r="RLE154" s="108"/>
      <c r="RLF154" s="108"/>
      <c r="RLG154" s="108"/>
      <c r="RLH154" s="108"/>
      <c r="RLI154" s="108"/>
      <c r="RLJ154" s="108"/>
      <c r="RLK154" s="108"/>
      <c r="RLL154" s="108"/>
      <c r="RLM154" s="108"/>
      <c r="RLN154" s="108"/>
      <c r="RLO154" s="108"/>
      <c r="RLP154" s="108"/>
      <c r="RLQ154" s="108"/>
      <c r="RLR154" s="108"/>
      <c r="RLS154" s="108"/>
      <c r="RLT154" s="108"/>
      <c r="RLU154" s="108"/>
      <c r="RLV154" s="108"/>
      <c r="RLW154" s="108"/>
      <c r="RLX154" s="108"/>
      <c r="RLY154" s="108"/>
      <c r="RLZ154" s="108"/>
      <c r="RMA154" s="108"/>
      <c r="RMB154" s="108"/>
      <c r="RMC154" s="108"/>
      <c r="RMD154" s="108"/>
      <c r="RME154" s="108"/>
      <c r="RMF154" s="108"/>
      <c r="RMG154" s="108"/>
      <c r="RMH154" s="108"/>
      <c r="RMI154" s="108"/>
      <c r="RMJ154" s="108"/>
      <c r="RMK154" s="108"/>
      <c r="RML154" s="108"/>
      <c r="RMM154" s="108"/>
      <c r="RMN154" s="108"/>
      <c r="RMO154" s="108"/>
      <c r="RMP154" s="108"/>
      <c r="RMQ154" s="108"/>
      <c r="RMR154" s="108"/>
      <c r="RMS154" s="108"/>
      <c r="RMT154" s="108"/>
      <c r="RMU154" s="108"/>
      <c r="RMV154" s="108"/>
      <c r="RMW154" s="108"/>
      <c r="RMX154" s="108"/>
      <c r="RMY154" s="108"/>
      <c r="RMZ154" s="108"/>
      <c r="RNA154" s="108"/>
      <c r="RNB154" s="108"/>
      <c r="RNC154" s="108"/>
      <c r="RND154" s="108"/>
      <c r="RNE154" s="108"/>
      <c r="RNF154" s="108"/>
      <c r="RNG154" s="108"/>
      <c r="RNH154" s="108"/>
      <c r="RNI154" s="108"/>
      <c r="RNJ154" s="108"/>
      <c r="RNK154" s="108"/>
      <c r="RNL154" s="108"/>
      <c r="RNM154" s="108"/>
      <c r="RNN154" s="108"/>
      <c r="RNO154" s="108"/>
      <c r="RNP154" s="108"/>
      <c r="RNQ154" s="108"/>
      <c r="RNR154" s="108"/>
      <c r="RNS154" s="108"/>
      <c r="RNT154" s="108"/>
      <c r="RNU154" s="108"/>
      <c r="RNV154" s="108"/>
      <c r="RNW154" s="108"/>
      <c r="RNX154" s="108"/>
      <c r="RNY154" s="108"/>
      <c r="RNZ154" s="108"/>
      <c r="ROA154" s="108"/>
      <c r="ROB154" s="108"/>
      <c r="ROC154" s="108"/>
      <c r="ROD154" s="108"/>
      <c r="ROE154" s="108"/>
      <c r="ROF154" s="108"/>
      <c r="ROG154" s="108"/>
      <c r="ROH154" s="108"/>
      <c r="ROI154" s="108"/>
      <c r="ROJ154" s="108"/>
      <c r="ROK154" s="108"/>
      <c r="ROL154" s="108"/>
      <c r="ROM154" s="108"/>
      <c r="RON154" s="108"/>
      <c r="ROO154" s="108"/>
      <c r="ROP154" s="108"/>
      <c r="ROQ154" s="108"/>
      <c r="ROR154" s="108"/>
      <c r="ROS154" s="108"/>
      <c r="ROT154" s="108"/>
      <c r="ROU154" s="108"/>
      <c r="ROV154" s="108"/>
      <c r="ROW154" s="108"/>
      <c r="ROX154" s="108"/>
      <c r="ROY154" s="108"/>
      <c r="ROZ154" s="108"/>
      <c r="RPA154" s="108"/>
      <c r="RPB154" s="108"/>
      <c r="RPC154" s="108"/>
      <c r="RPD154" s="108"/>
      <c r="RPE154" s="108"/>
      <c r="RPF154" s="108"/>
      <c r="RPG154" s="108"/>
      <c r="RPH154" s="108"/>
      <c r="RPI154" s="108"/>
      <c r="RPJ154" s="108"/>
      <c r="RPK154" s="108"/>
      <c r="RPL154" s="108"/>
      <c r="RPM154" s="108"/>
      <c r="RPN154" s="108"/>
      <c r="RPO154" s="108"/>
      <c r="RPP154" s="108"/>
      <c r="RPQ154" s="108"/>
      <c r="RPR154" s="108"/>
      <c r="RPS154" s="108"/>
      <c r="RPT154" s="108"/>
      <c r="RPU154" s="108"/>
      <c r="RPV154" s="108"/>
      <c r="RPW154" s="108"/>
      <c r="RPX154" s="108"/>
      <c r="RPY154" s="108"/>
      <c r="RPZ154" s="108"/>
      <c r="RQA154" s="108"/>
      <c r="RQB154" s="108"/>
      <c r="RQC154" s="108"/>
      <c r="RQD154" s="108"/>
      <c r="RQE154" s="108"/>
      <c r="RQF154" s="108"/>
      <c r="RQG154" s="108"/>
      <c r="RQH154" s="108"/>
      <c r="RQI154" s="108"/>
      <c r="RQJ154" s="108"/>
      <c r="RQK154" s="108"/>
      <c r="RQL154" s="108"/>
      <c r="RQM154" s="108"/>
      <c r="RQN154" s="108"/>
      <c r="RQO154" s="108"/>
      <c r="RQP154" s="108"/>
      <c r="RQQ154" s="108"/>
      <c r="RQR154" s="108"/>
      <c r="RQS154" s="108"/>
      <c r="RQT154" s="108"/>
      <c r="RQU154" s="108"/>
      <c r="RQV154" s="108"/>
      <c r="RQW154" s="108"/>
      <c r="RQX154" s="108"/>
      <c r="RQY154" s="108"/>
      <c r="RQZ154" s="108"/>
      <c r="RRA154" s="108"/>
      <c r="RRB154" s="108"/>
      <c r="RRC154" s="108"/>
      <c r="RRD154" s="108"/>
      <c r="RRE154" s="108"/>
      <c r="RRF154" s="108"/>
      <c r="RRG154" s="108"/>
      <c r="RRH154" s="108"/>
      <c r="RRI154" s="108"/>
      <c r="RRJ154" s="108"/>
      <c r="RRK154" s="108"/>
      <c r="RRL154" s="108"/>
      <c r="RRM154" s="108"/>
      <c r="RRN154" s="108"/>
      <c r="RRO154" s="108"/>
      <c r="RRP154" s="108"/>
      <c r="RRQ154" s="108"/>
      <c r="RRR154" s="108"/>
      <c r="RRS154" s="108"/>
      <c r="RRT154" s="108"/>
      <c r="RRU154" s="108"/>
      <c r="RRV154" s="108"/>
      <c r="RRW154" s="108"/>
      <c r="RRX154" s="108"/>
      <c r="RRY154" s="108"/>
      <c r="RRZ154" s="108"/>
      <c r="RSA154" s="108"/>
      <c r="RSB154" s="108"/>
      <c r="RSC154" s="108"/>
      <c r="RSD154" s="108"/>
      <c r="RSE154" s="108"/>
      <c r="RSF154" s="108"/>
      <c r="RSG154" s="108"/>
      <c r="RSH154" s="108"/>
      <c r="RSI154" s="108"/>
      <c r="RSJ154" s="108"/>
      <c r="RSK154" s="108"/>
      <c r="RSL154" s="108"/>
      <c r="RSM154" s="108"/>
      <c r="RSN154" s="108"/>
      <c r="RSO154" s="108"/>
      <c r="RSP154" s="108"/>
      <c r="RSQ154" s="108"/>
      <c r="RSR154" s="108"/>
      <c r="RSS154" s="108"/>
      <c r="RST154" s="108"/>
      <c r="RSU154" s="108"/>
      <c r="RSV154" s="108"/>
      <c r="RSW154" s="108"/>
      <c r="RSX154" s="108"/>
      <c r="RSY154" s="108"/>
      <c r="RSZ154" s="108"/>
      <c r="RTA154" s="108"/>
      <c r="RTB154" s="108"/>
      <c r="RTC154" s="108"/>
      <c r="RTD154" s="108"/>
      <c r="RTE154" s="108"/>
      <c r="RTF154" s="108"/>
      <c r="RTG154" s="108"/>
      <c r="RTH154" s="108"/>
      <c r="RTI154" s="108"/>
      <c r="RTJ154" s="108"/>
      <c r="RTK154" s="108"/>
      <c r="RTL154" s="108"/>
      <c r="RTM154" s="108"/>
      <c r="RTN154" s="108"/>
      <c r="RTO154" s="108"/>
      <c r="RTP154" s="108"/>
      <c r="RTQ154" s="108"/>
      <c r="RTR154" s="108"/>
      <c r="RTS154" s="108"/>
      <c r="RTT154" s="108"/>
      <c r="RTU154" s="108"/>
      <c r="RTV154" s="108"/>
      <c r="RTW154" s="108"/>
      <c r="RTX154" s="108"/>
      <c r="RTY154" s="108"/>
      <c r="RTZ154" s="108"/>
      <c r="RUA154" s="108"/>
      <c r="RUB154" s="108"/>
      <c r="RUC154" s="108"/>
      <c r="RUD154" s="108"/>
      <c r="RUE154" s="108"/>
      <c r="RUF154" s="108"/>
      <c r="RUG154" s="108"/>
      <c r="RUH154" s="108"/>
      <c r="RUI154" s="108"/>
      <c r="RUJ154" s="108"/>
      <c r="RUK154" s="108"/>
      <c r="RUL154" s="108"/>
      <c r="RUM154" s="108"/>
      <c r="RUN154" s="108"/>
      <c r="RUO154" s="108"/>
      <c r="RUP154" s="108"/>
      <c r="RUQ154" s="108"/>
      <c r="RUR154" s="108"/>
      <c r="RUS154" s="108"/>
      <c r="RUT154" s="108"/>
      <c r="RUU154" s="108"/>
      <c r="RUV154" s="108"/>
      <c r="RUW154" s="108"/>
      <c r="RUX154" s="108"/>
      <c r="RUY154" s="108"/>
      <c r="RUZ154" s="108"/>
      <c r="RVA154" s="108"/>
      <c r="RVB154" s="108"/>
      <c r="RVC154" s="108"/>
      <c r="RVD154" s="108"/>
      <c r="RVE154" s="108"/>
      <c r="RVF154" s="108"/>
      <c r="RVG154" s="108"/>
      <c r="RVH154" s="108"/>
      <c r="RVI154" s="108"/>
      <c r="RVJ154" s="108"/>
      <c r="RVK154" s="108"/>
      <c r="RVL154" s="108"/>
      <c r="RVM154" s="108"/>
      <c r="RVN154" s="108"/>
      <c r="RVO154" s="108"/>
      <c r="RVP154" s="108"/>
      <c r="RVQ154" s="108"/>
      <c r="RVR154" s="108"/>
      <c r="RVS154" s="108"/>
      <c r="RVT154" s="108"/>
      <c r="RVU154" s="108"/>
      <c r="RVV154" s="108"/>
      <c r="RVW154" s="108"/>
      <c r="RVX154" s="108"/>
      <c r="RVY154" s="108"/>
      <c r="RVZ154" s="108"/>
      <c r="RWA154" s="108"/>
      <c r="RWB154" s="108"/>
      <c r="RWC154" s="108"/>
      <c r="RWD154" s="108"/>
      <c r="RWE154" s="108"/>
      <c r="RWF154" s="108"/>
      <c r="RWG154" s="108"/>
      <c r="RWH154" s="108"/>
      <c r="RWI154" s="108"/>
      <c r="RWJ154" s="108"/>
      <c r="RWK154" s="108"/>
      <c r="RWL154" s="108"/>
      <c r="RWM154" s="108"/>
      <c r="RWN154" s="108"/>
      <c r="RWO154" s="108"/>
      <c r="RWP154" s="108"/>
      <c r="RWQ154" s="108"/>
      <c r="RWR154" s="108"/>
      <c r="RWS154" s="108"/>
      <c r="RWT154" s="108"/>
      <c r="RWU154" s="108"/>
      <c r="RWV154" s="108"/>
      <c r="RWW154" s="108"/>
      <c r="RWX154" s="108"/>
      <c r="RWY154" s="108"/>
      <c r="RWZ154" s="108"/>
      <c r="RXA154" s="108"/>
      <c r="RXB154" s="108"/>
      <c r="RXC154" s="108"/>
      <c r="RXD154" s="108"/>
      <c r="RXE154" s="108"/>
      <c r="RXF154" s="108"/>
      <c r="RXG154" s="108"/>
      <c r="RXH154" s="108"/>
      <c r="RXI154" s="108"/>
      <c r="RXJ154" s="108"/>
      <c r="RXK154" s="108"/>
      <c r="RXL154" s="108"/>
      <c r="RXM154" s="108"/>
      <c r="RXN154" s="108"/>
      <c r="RXO154" s="108"/>
      <c r="RXP154" s="108"/>
      <c r="RXQ154" s="108"/>
      <c r="RXR154" s="108"/>
      <c r="RXS154" s="108"/>
      <c r="RXT154" s="108"/>
      <c r="RXU154" s="108"/>
      <c r="RXV154" s="108"/>
      <c r="RXW154" s="108"/>
      <c r="RXX154" s="108"/>
      <c r="RXY154" s="108"/>
      <c r="RXZ154" s="108"/>
      <c r="RYA154" s="108"/>
      <c r="RYB154" s="108"/>
      <c r="RYC154" s="108"/>
      <c r="RYD154" s="108"/>
      <c r="RYE154" s="108"/>
      <c r="RYF154" s="108"/>
      <c r="RYG154" s="108"/>
      <c r="RYH154" s="108"/>
      <c r="RYI154" s="108"/>
      <c r="RYJ154" s="108"/>
      <c r="RYK154" s="108"/>
      <c r="RYL154" s="108"/>
      <c r="RYM154" s="108"/>
      <c r="RYN154" s="108"/>
      <c r="RYO154" s="108"/>
      <c r="RYP154" s="108"/>
      <c r="RYQ154" s="108"/>
      <c r="RYR154" s="108"/>
      <c r="RYS154" s="108"/>
      <c r="RYT154" s="108"/>
      <c r="RYU154" s="108"/>
      <c r="RYV154" s="108"/>
      <c r="RYW154" s="108"/>
      <c r="RYX154" s="108"/>
      <c r="RYY154" s="108"/>
      <c r="RYZ154" s="108"/>
      <c r="RZA154" s="108"/>
      <c r="RZB154" s="108"/>
      <c r="RZC154" s="108"/>
      <c r="RZD154" s="108"/>
      <c r="RZE154" s="108"/>
      <c r="RZF154" s="108"/>
      <c r="RZG154" s="108"/>
      <c r="RZH154" s="108"/>
      <c r="RZI154" s="108"/>
      <c r="RZJ154" s="108"/>
      <c r="RZK154" s="108"/>
      <c r="RZL154" s="108"/>
      <c r="RZM154" s="108"/>
      <c r="RZN154" s="108"/>
      <c r="RZO154" s="108"/>
      <c r="RZP154" s="108"/>
      <c r="RZQ154" s="108"/>
      <c r="RZR154" s="108"/>
      <c r="RZS154" s="108"/>
      <c r="RZT154" s="108"/>
      <c r="RZU154" s="108"/>
      <c r="RZV154" s="108"/>
      <c r="RZW154" s="108"/>
      <c r="RZX154" s="108"/>
      <c r="RZY154" s="108"/>
      <c r="RZZ154" s="108"/>
      <c r="SAA154" s="108"/>
      <c r="SAB154" s="108"/>
      <c r="SAC154" s="108"/>
      <c r="SAD154" s="108"/>
      <c r="SAE154" s="108"/>
      <c r="SAF154" s="108"/>
      <c r="SAG154" s="108"/>
      <c r="SAH154" s="108"/>
      <c r="SAI154" s="108"/>
      <c r="SAJ154" s="108"/>
      <c r="SAK154" s="108"/>
      <c r="SAL154" s="108"/>
      <c r="SAM154" s="108"/>
      <c r="SAN154" s="108"/>
      <c r="SAO154" s="108"/>
      <c r="SAP154" s="108"/>
      <c r="SAQ154" s="108"/>
      <c r="SAR154" s="108"/>
      <c r="SAS154" s="108"/>
      <c r="SAT154" s="108"/>
      <c r="SAU154" s="108"/>
      <c r="SAV154" s="108"/>
      <c r="SAW154" s="108"/>
      <c r="SAX154" s="108"/>
      <c r="SAY154" s="108"/>
      <c r="SAZ154" s="108"/>
      <c r="SBA154" s="108"/>
      <c r="SBB154" s="108"/>
      <c r="SBC154" s="108"/>
      <c r="SBD154" s="108"/>
      <c r="SBE154" s="108"/>
      <c r="SBF154" s="108"/>
      <c r="SBG154" s="108"/>
      <c r="SBH154" s="108"/>
      <c r="SBI154" s="108"/>
      <c r="SBJ154" s="108"/>
      <c r="SBK154" s="108"/>
      <c r="SBL154" s="108"/>
      <c r="SBM154" s="108"/>
      <c r="SBN154" s="108"/>
      <c r="SBO154" s="108"/>
      <c r="SBP154" s="108"/>
      <c r="SBQ154" s="108"/>
      <c r="SBR154" s="108"/>
      <c r="SBS154" s="108"/>
      <c r="SBT154" s="108"/>
      <c r="SBU154" s="108"/>
      <c r="SBV154" s="108"/>
      <c r="SBW154" s="108"/>
      <c r="SBX154" s="108"/>
      <c r="SBY154" s="108"/>
      <c r="SBZ154" s="108"/>
      <c r="SCA154" s="108"/>
      <c r="SCB154" s="108"/>
      <c r="SCC154" s="108"/>
      <c r="SCD154" s="108"/>
      <c r="SCE154" s="108"/>
      <c r="SCF154" s="108"/>
      <c r="SCG154" s="108"/>
      <c r="SCH154" s="108"/>
      <c r="SCI154" s="108"/>
      <c r="SCJ154" s="108"/>
      <c r="SCK154" s="108"/>
      <c r="SCL154" s="108"/>
      <c r="SCM154" s="108"/>
      <c r="SCN154" s="108"/>
      <c r="SCO154" s="108"/>
      <c r="SCP154" s="108"/>
      <c r="SCQ154" s="108"/>
      <c r="SCR154" s="108"/>
      <c r="SCS154" s="108"/>
      <c r="SCT154" s="108"/>
      <c r="SCU154" s="108"/>
      <c r="SCV154" s="108"/>
      <c r="SCW154" s="108"/>
      <c r="SCX154" s="108"/>
      <c r="SCY154" s="108"/>
      <c r="SCZ154" s="108"/>
      <c r="SDA154" s="108"/>
      <c r="SDB154" s="108"/>
      <c r="SDC154" s="108"/>
      <c r="SDD154" s="108"/>
      <c r="SDE154" s="108"/>
      <c r="SDF154" s="108"/>
      <c r="SDG154" s="108"/>
      <c r="SDH154" s="108"/>
      <c r="SDI154" s="108"/>
      <c r="SDJ154" s="108"/>
      <c r="SDK154" s="108"/>
      <c r="SDL154" s="108"/>
      <c r="SDM154" s="108"/>
      <c r="SDN154" s="108"/>
      <c r="SDO154" s="108"/>
      <c r="SDP154" s="108"/>
      <c r="SDQ154" s="108"/>
      <c r="SDR154" s="108"/>
      <c r="SDS154" s="108"/>
      <c r="SDT154" s="108"/>
      <c r="SDU154" s="108"/>
      <c r="SDV154" s="108"/>
      <c r="SDW154" s="108"/>
      <c r="SDX154" s="108"/>
      <c r="SDY154" s="108"/>
      <c r="SDZ154" s="108"/>
      <c r="SEA154" s="108"/>
      <c r="SEB154" s="108"/>
      <c r="SEC154" s="108"/>
      <c r="SED154" s="108"/>
      <c r="SEE154" s="108"/>
      <c r="SEF154" s="108"/>
      <c r="SEG154" s="108"/>
      <c r="SEH154" s="108"/>
      <c r="SEI154" s="108"/>
      <c r="SEJ154" s="108"/>
      <c r="SEK154" s="108"/>
      <c r="SEL154" s="108"/>
      <c r="SEM154" s="108"/>
      <c r="SEN154" s="108"/>
      <c r="SEO154" s="108"/>
      <c r="SEP154" s="108"/>
      <c r="SEQ154" s="108"/>
      <c r="SER154" s="108"/>
      <c r="SES154" s="108"/>
      <c r="SET154" s="108"/>
      <c r="SEU154" s="108"/>
      <c r="SEV154" s="108"/>
      <c r="SEW154" s="108"/>
      <c r="SEX154" s="108"/>
      <c r="SEY154" s="108"/>
      <c r="SEZ154" s="108"/>
      <c r="SFA154" s="108"/>
      <c r="SFB154" s="108"/>
      <c r="SFC154" s="108"/>
      <c r="SFD154" s="108"/>
      <c r="SFE154" s="108"/>
      <c r="SFF154" s="108"/>
      <c r="SFG154" s="108"/>
      <c r="SFH154" s="108"/>
      <c r="SFI154" s="108"/>
      <c r="SFJ154" s="108"/>
      <c r="SFK154" s="108"/>
      <c r="SFL154" s="108"/>
      <c r="SFM154" s="108"/>
      <c r="SFN154" s="108"/>
      <c r="SFO154" s="108"/>
      <c r="SFP154" s="108"/>
      <c r="SFQ154" s="108"/>
      <c r="SFR154" s="108"/>
      <c r="SFS154" s="108"/>
      <c r="SFT154" s="108"/>
      <c r="SFU154" s="108"/>
      <c r="SFV154" s="108"/>
      <c r="SFW154" s="108"/>
      <c r="SFX154" s="108"/>
      <c r="SFY154" s="108"/>
      <c r="SFZ154" s="108"/>
      <c r="SGA154" s="108"/>
      <c r="SGB154" s="108"/>
      <c r="SGC154" s="108"/>
      <c r="SGD154" s="108"/>
      <c r="SGE154" s="108"/>
      <c r="SGF154" s="108"/>
      <c r="SGG154" s="108"/>
      <c r="SGH154" s="108"/>
      <c r="SGI154" s="108"/>
      <c r="SGJ154" s="108"/>
      <c r="SGK154" s="108"/>
      <c r="SGL154" s="108"/>
      <c r="SGM154" s="108"/>
      <c r="SGN154" s="108"/>
      <c r="SGO154" s="108"/>
      <c r="SGP154" s="108"/>
      <c r="SGQ154" s="108"/>
      <c r="SGR154" s="108"/>
      <c r="SGS154" s="108"/>
      <c r="SGT154" s="108"/>
      <c r="SGU154" s="108"/>
      <c r="SGV154" s="108"/>
      <c r="SGW154" s="108"/>
      <c r="SGX154" s="108"/>
      <c r="SGY154" s="108"/>
      <c r="SGZ154" s="108"/>
      <c r="SHA154" s="108"/>
      <c r="SHB154" s="108"/>
      <c r="SHC154" s="108"/>
      <c r="SHD154" s="108"/>
      <c r="SHE154" s="108"/>
      <c r="SHF154" s="108"/>
      <c r="SHG154" s="108"/>
      <c r="SHH154" s="108"/>
      <c r="SHI154" s="108"/>
      <c r="SHJ154" s="108"/>
      <c r="SHK154" s="108"/>
      <c r="SHL154" s="108"/>
      <c r="SHM154" s="108"/>
      <c r="SHN154" s="108"/>
      <c r="SHO154" s="108"/>
      <c r="SHP154" s="108"/>
      <c r="SHQ154" s="108"/>
      <c r="SHR154" s="108"/>
      <c r="SHS154" s="108"/>
      <c r="SHT154" s="108"/>
      <c r="SHU154" s="108"/>
      <c r="SHV154" s="108"/>
      <c r="SHW154" s="108"/>
      <c r="SHX154" s="108"/>
      <c r="SHY154" s="108"/>
      <c r="SHZ154" s="108"/>
      <c r="SIA154" s="108"/>
      <c r="SIB154" s="108"/>
      <c r="SIC154" s="108"/>
      <c r="SID154" s="108"/>
      <c r="SIE154" s="108"/>
      <c r="SIF154" s="108"/>
      <c r="SIG154" s="108"/>
      <c r="SIH154" s="108"/>
      <c r="SII154" s="108"/>
      <c r="SIJ154" s="108"/>
      <c r="SIK154" s="108"/>
      <c r="SIL154" s="108"/>
      <c r="SIM154" s="108"/>
      <c r="SIN154" s="108"/>
      <c r="SIO154" s="108"/>
      <c r="SIP154" s="108"/>
      <c r="SIQ154" s="108"/>
      <c r="SIR154" s="108"/>
      <c r="SIS154" s="108"/>
      <c r="SIT154" s="108"/>
      <c r="SIU154" s="108"/>
      <c r="SIV154" s="108"/>
      <c r="SIW154" s="108"/>
      <c r="SIX154" s="108"/>
      <c r="SIY154" s="108"/>
      <c r="SIZ154" s="108"/>
      <c r="SJA154" s="108"/>
      <c r="SJB154" s="108"/>
      <c r="SJC154" s="108"/>
      <c r="SJD154" s="108"/>
      <c r="SJE154" s="108"/>
      <c r="SJF154" s="108"/>
      <c r="SJG154" s="108"/>
      <c r="SJH154" s="108"/>
      <c r="SJI154" s="108"/>
      <c r="SJJ154" s="108"/>
      <c r="SJK154" s="108"/>
      <c r="SJL154" s="108"/>
      <c r="SJM154" s="108"/>
      <c r="SJN154" s="108"/>
      <c r="SJO154" s="108"/>
      <c r="SJP154" s="108"/>
      <c r="SJQ154" s="108"/>
      <c r="SJR154" s="108"/>
      <c r="SJS154" s="108"/>
      <c r="SJT154" s="108"/>
      <c r="SJU154" s="108"/>
      <c r="SJV154" s="108"/>
      <c r="SJW154" s="108"/>
      <c r="SJX154" s="108"/>
      <c r="SJY154" s="108"/>
      <c r="SJZ154" s="108"/>
      <c r="SKA154" s="108"/>
      <c r="SKB154" s="108"/>
      <c r="SKC154" s="108"/>
      <c r="SKD154" s="108"/>
      <c r="SKE154" s="108"/>
      <c r="SKF154" s="108"/>
      <c r="SKG154" s="108"/>
      <c r="SKH154" s="108"/>
      <c r="SKI154" s="108"/>
      <c r="SKJ154" s="108"/>
      <c r="SKK154" s="108"/>
      <c r="SKL154" s="108"/>
      <c r="SKM154" s="108"/>
      <c r="SKN154" s="108"/>
      <c r="SKO154" s="108"/>
      <c r="SKP154" s="108"/>
      <c r="SKQ154" s="108"/>
      <c r="SKR154" s="108"/>
      <c r="SKS154" s="108"/>
      <c r="SKT154" s="108"/>
      <c r="SKU154" s="108"/>
      <c r="SKV154" s="108"/>
      <c r="SKW154" s="108"/>
      <c r="SKX154" s="108"/>
      <c r="SKY154" s="108"/>
      <c r="SKZ154" s="108"/>
      <c r="SLA154" s="108"/>
      <c r="SLB154" s="108"/>
      <c r="SLC154" s="108"/>
      <c r="SLD154" s="108"/>
      <c r="SLE154" s="108"/>
      <c r="SLF154" s="108"/>
      <c r="SLG154" s="108"/>
      <c r="SLH154" s="108"/>
      <c r="SLI154" s="108"/>
      <c r="SLJ154" s="108"/>
      <c r="SLK154" s="108"/>
      <c r="SLL154" s="108"/>
      <c r="SLM154" s="108"/>
      <c r="SLN154" s="108"/>
      <c r="SLO154" s="108"/>
      <c r="SLP154" s="108"/>
      <c r="SLQ154" s="108"/>
      <c r="SLR154" s="108"/>
      <c r="SLS154" s="108"/>
      <c r="SLT154" s="108"/>
      <c r="SLU154" s="108"/>
      <c r="SLV154" s="108"/>
      <c r="SLW154" s="108"/>
      <c r="SLX154" s="108"/>
      <c r="SLY154" s="108"/>
      <c r="SLZ154" s="108"/>
      <c r="SMA154" s="108"/>
      <c r="SMB154" s="108"/>
      <c r="SMC154" s="108"/>
      <c r="SMD154" s="108"/>
      <c r="SME154" s="108"/>
      <c r="SMF154" s="108"/>
      <c r="SMG154" s="108"/>
      <c r="SMH154" s="108"/>
      <c r="SMI154" s="108"/>
      <c r="SMJ154" s="108"/>
      <c r="SMK154" s="108"/>
      <c r="SML154" s="108"/>
      <c r="SMM154" s="108"/>
      <c r="SMN154" s="108"/>
      <c r="SMO154" s="108"/>
      <c r="SMP154" s="108"/>
      <c r="SMQ154" s="108"/>
      <c r="SMR154" s="108"/>
      <c r="SMS154" s="108"/>
      <c r="SMT154" s="108"/>
      <c r="SMU154" s="108"/>
      <c r="SMV154" s="108"/>
      <c r="SMW154" s="108"/>
      <c r="SMX154" s="108"/>
      <c r="SMY154" s="108"/>
      <c r="SMZ154" s="108"/>
      <c r="SNA154" s="108"/>
      <c r="SNB154" s="108"/>
      <c r="SNC154" s="108"/>
      <c r="SND154" s="108"/>
      <c r="SNE154" s="108"/>
      <c r="SNF154" s="108"/>
      <c r="SNG154" s="108"/>
      <c r="SNH154" s="108"/>
      <c r="SNI154" s="108"/>
      <c r="SNJ154" s="108"/>
      <c r="SNK154" s="108"/>
      <c r="SNL154" s="108"/>
      <c r="SNM154" s="108"/>
      <c r="SNN154" s="108"/>
      <c r="SNO154" s="108"/>
      <c r="SNP154" s="108"/>
      <c r="SNQ154" s="108"/>
      <c r="SNR154" s="108"/>
      <c r="SNS154" s="108"/>
      <c r="SNT154" s="108"/>
      <c r="SNU154" s="108"/>
      <c r="SNV154" s="108"/>
      <c r="SNW154" s="108"/>
      <c r="SNX154" s="108"/>
      <c r="SNY154" s="108"/>
      <c r="SNZ154" s="108"/>
      <c r="SOA154" s="108"/>
      <c r="SOB154" s="108"/>
      <c r="SOC154" s="108"/>
      <c r="SOD154" s="108"/>
      <c r="SOE154" s="108"/>
      <c r="SOF154" s="108"/>
      <c r="SOG154" s="108"/>
      <c r="SOH154" s="108"/>
      <c r="SOI154" s="108"/>
      <c r="SOJ154" s="108"/>
      <c r="SOK154" s="108"/>
      <c r="SOL154" s="108"/>
      <c r="SOM154" s="108"/>
      <c r="SON154" s="108"/>
      <c r="SOO154" s="108"/>
      <c r="SOP154" s="108"/>
      <c r="SOQ154" s="108"/>
      <c r="SOR154" s="108"/>
      <c r="SOS154" s="108"/>
      <c r="SOT154" s="108"/>
      <c r="SOU154" s="108"/>
      <c r="SOV154" s="108"/>
      <c r="SOW154" s="108"/>
      <c r="SOX154" s="108"/>
      <c r="SOY154" s="108"/>
      <c r="SOZ154" s="108"/>
      <c r="SPA154" s="108"/>
      <c r="SPB154" s="108"/>
      <c r="SPC154" s="108"/>
      <c r="SPD154" s="108"/>
      <c r="SPE154" s="108"/>
      <c r="SPF154" s="108"/>
      <c r="SPG154" s="108"/>
      <c r="SPH154" s="108"/>
      <c r="SPI154" s="108"/>
      <c r="SPJ154" s="108"/>
      <c r="SPK154" s="108"/>
      <c r="SPL154" s="108"/>
      <c r="SPM154" s="108"/>
      <c r="SPN154" s="108"/>
      <c r="SPO154" s="108"/>
      <c r="SPP154" s="108"/>
      <c r="SPQ154" s="108"/>
      <c r="SPR154" s="108"/>
      <c r="SPS154" s="108"/>
      <c r="SPT154" s="108"/>
      <c r="SPU154" s="108"/>
      <c r="SPV154" s="108"/>
      <c r="SPW154" s="108"/>
      <c r="SPX154" s="108"/>
      <c r="SPY154" s="108"/>
      <c r="SPZ154" s="108"/>
      <c r="SQA154" s="108"/>
      <c r="SQB154" s="108"/>
      <c r="SQC154" s="108"/>
      <c r="SQD154" s="108"/>
      <c r="SQE154" s="108"/>
      <c r="SQF154" s="108"/>
      <c r="SQG154" s="108"/>
      <c r="SQH154" s="108"/>
      <c r="SQI154" s="108"/>
      <c r="SQJ154" s="108"/>
      <c r="SQK154" s="108"/>
      <c r="SQL154" s="108"/>
      <c r="SQM154" s="108"/>
      <c r="SQN154" s="108"/>
      <c r="SQO154" s="108"/>
      <c r="SQP154" s="108"/>
      <c r="SQQ154" s="108"/>
      <c r="SQR154" s="108"/>
      <c r="SQS154" s="108"/>
      <c r="SQT154" s="108"/>
      <c r="SQU154" s="108"/>
      <c r="SQV154" s="108"/>
      <c r="SQW154" s="108"/>
      <c r="SQX154" s="108"/>
      <c r="SQY154" s="108"/>
      <c r="SQZ154" s="108"/>
      <c r="SRA154" s="108"/>
      <c r="SRB154" s="108"/>
      <c r="SRC154" s="108"/>
      <c r="SRD154" s="108"/>
      <c r="SRE154" s="108"/>
      <c r="SRF154" s="108"/>
      <c r="SRG154" s="108"/>
      <c r="SRH154" s="108"/>
      <c r="SRI154" s="108"/>
      <c r="SRJ154" s="108"/>
      <c r="SRK154" s="108"/>
      <c r="SRL154" s="108"/>
      <c r="SRM154" s="108"/>
      <c r="SRN154" s="108"/>
      <c r="SRO154" s="108"/>
      <c r="SRP154" s="108"/>
      <c r="SRQ154" s="108"/>
      <c r="SRR154" s="108"/>
      <c r="SRS154" s="108"/>
      <c r="SRT154" s="108"/>
      <c r="SRU154" s="108"/>
      <c r="SRV154" s="108"/>
      <c r="SRW154" s="108"/>
      <c r="SRX154" s="108"/>
      <c r="SRY154" s="108"/>
      <c r="SRZ154" s="108"/>
      <c r="SSA154" s="108"/>
      <c r="SSB154" s="108"/>
      <c r="SSC154" s="108"/>
      <c r="SSD154" s="108"/>
      <c r="SSE154" s="108"/>
      <c r="SSF154" s="108"/>
      <c r="SSG154" s="108"/>
      <c r="SSH154" s="108"/>
      <c r="SSI154" s="108"/>
      <c r="SSJ154" s="108"/>
      <c r="SSK154" s="108"/>
      <c r="SSL154" s="108"/>
      <c r="SSM154" s="108"/>
      <c r="SSN154" s="108"/>
      <c r="SSO154" s="108"/>
      <c r="SSP154" s="108"/>
      <c r="SSQ154" s="108"/>
      <c r="SSR154" s="108"/>
      <c r="SSS154" s="108"/>
      <c r="SST154" s="108"/>
      <c r="SSU154" s="108"/>
      <c r="SSV154" s="108"/>
      <c r="SSW154" s="108"/>
      <c r="SSX154" s="108"/>
      <c r="SSY154" s="108"/>
      <c r="SSZ154" s="108"/>
      <c r="STA154" s="108"/>
      <c r="STB154" s="108"/>
      <c r="STC154" s="108"/>
      <c r="STD154" s="108"/>
      <c r="STE154" s="108"/>
      <c r="STF154" s="108"/>
      <c r="STG154" s="108"/>
      <c r="STH154" s="108"/>
      <c r="STI154" s="108"/>
      <c r="STJ154" s="108"/>
      <c r="STK154" s="108"/>
      <c r="STL154" s="108"/>
      <c r="STM154" s="108"/>
      <c r="STN154" s="108"/>
      <c r="STO154" s="108"/>
      <c r="STP154" s="108"/>
      <c r="STQ154" s="108"/>
      <c r="STR154" s="108"/>
      <c r="STS154" s="108"/>
      <c r="STT154" s="108"/>
      <c r="STU154" s="108"/>
      <c r="STV154" s="108"/>
      <c r="STW154" s="108"/>
      <c r="STX154" s="108"/>
      <c r="STY154" s="108"/>
      <c r="STZ154" s="108"/>
      <c r="SUA154" s="108"/>
      <c r="SUB154" s="108"/>
      <c r="SUC154" s="108"/>
      <c r="SUD154" s="108"/>
      <c r="SUE154" s="108"/>
      <c r="SUF154" s="108"/>
      <c r="SUG154" s="108"/>
      <c r="SUH154" s="108"/>
      <c r="SUI154" s="108"/>
      <c r="SUJ154" s="108"/>
      <c r="SUK154" s="108"/>
      <c r="SUL154" s="108"/>
      <c r="SUM154" s="108"/>
      <c r="SUN154" s="108"/>
      <c r="SUO154" s="108"/>
      <c r="SUP154" s="108"/>
      <c r="SUQ154" s="108"/>
      <c r="SUR154" s="108"/>
      <c r="SUS154" s="108"/>
      <c r="SUT154" s="108"/>
      <c r="SUU154" s="108"/>
      <c r="SUV154" s="108"/>
      <c r="SUW154" s="108"/>
      <c r="SUX154" s="108"/>
      <c r="SUY154" s="108"/>
      <c r="SUZ154" s="108"/>
      <c r="SVA154" s="108"/>
      <c r="SVB154" s="108"/>
      <c r="SVC154" s="108"/>
      <c r="SVD154" s="108"/>
      <c r="SVE154" s="108"/>
      <c r="SVF154" s="108"/>
      <c r="SVG154" s="108"/>
      <c r="SVH154" s="108"/>
      <c r="SVI154" s="108"/>
      <c r="SVJ154" s="108"/>
      <c r="SVK154" s="108"/>
      <c r="SVL154" s="108"/>
      <c r="SVM154" s="108"/>
      <c r="SVN154" s="108"/>
      <c r="SVO154" s="108"/>
      <c r="SVP154" s="108"/>
      <c r="SVQ154" s="108"/>
      <c r="SVR154" s="108"/>
      <c r="SVS154" s="108"/>
      <c r="SVT154" s="108"/>
      <c r="SVU154" s="108"/>
      <c r="SVV154" s="108"/>
      <c r="SVW154" s="108"/>
      <c r="SVX154" s="108"/>
      <c r="SVY154" s="108"/>
      <c r="SVZ154" s="108"/>
      <c r="SWA154" s="108"/>
      <c r="SWB154" s="108"/>
      <c r="SWC154" s="108"/>
      <c r="SWD154" s="108"/>
      <c r="SWE154" s="108"/>
      <c r="SWF154" s="108"/>
      <c r="SWG154" s="108"/>
      <c r="SWH154" s="108"/>
      <c r="SWI154" s="108"/>
      <c r="SWJ154" s="108"/>
      <c r="SWK154" s="108"/>
      <c r="SWL154" s="108"/>
      <c r="SWM154" s="108"/>
      <c r="SWN154" s="108"/>
      <c r="SWO154" s="108"/>
      <c r="SWP154" s="108"/>
      <c r="SWQ154" s="108"/>
      <c r="SWR154" s="108"/>
      <c r="SWS154" s="108"/>
      <c r="SWT154" s="108"/>
      <c r="SWU154" s="108"/>
      <c r="SWV154" s="108"/>
      <c r="SWW154" s="108"/>
      <c r="SWX154" s="108"/>
      <c r="SWY154" s="108"/>
      <c r="SWZ154" s="108"/>
      <c r="SXA154" s="108"/>
      <c r="SXB154" s="108"/>
      <c r="SXC154" s="108"/>
      <c r="SXD154" s="108"/>
      <c r="SXE154" s="108"/>
      <c r="SXF154" s="108"/>
      <c r="SXG154" s="108"/>
      <c r="SXH154" s="108"/>
      <c r="SXI154" s="108"/>
      <c r="SXJ154" s="108"/>
      <c r="SXK154" s="108"/>
      <c r="SXL154" s="108"/>
      <c r="SXM154" s="108"/>
      <c r="SXN154" s="108"/>
      <c r="SXO154" s="108"/>
      <c r="SXP154" s="108"/>
      <c r="SXQ154" s="108"/>
      <c r="SXR154" s="108"/>
      <c r="SXS154" s="108"/>
      <c r="SXT154" s="108"/>
      <c r="SXU154" s="108"/>
      <c r="SXV154" s="108"/>
      <c r="SXW154" s="108"/>
      <c r="SXX154" s="108"/>
      <c r="SXY154" s="108"/>
      <c r="SXZ154" s="108"/>
      <c r="SYA154" s="108"/>
      <c r="SYB154" s="108"/>
      <c r="SYC154" s="108"/>
      <c r="SYD154" s="108"/>
      <c r="SYE154" s="108"/>
      <c r="SYF154" s="108"/>
      <c r="SYG154" s="108"/>
      <c r="SYH154" s="108"/>
      <c r="SYI154" s="108"/>
      <c r="SYJ154" s="108"/>
      <c r="SYK154" s="108"/>
      <c r="SYL154" s="108"/>
      <c r="SYM154" s="108"/>
      <c r="SYN154" s="108"/>
      <c r="SYO154" s="108"/>
      <c r="SYP154" s="108"/>
      <c r="SYQ154" s="108"/>
      <c r="SYR154" s="108"/>
      <c r="SYS154" s="108"/>
      <c r="SYT154" s="108"/>
      <c r="SYU154" s="108"/>
      <c r="SYV154" s="108"/>
      <c r="SYW154" s="108"/>
      <c r="SYX154" s="108"/>
      <c r="SYY154" s="108"/>
      <c r="SYZ154" s="108"/>
      <c r="SZA154" s="108"/>
      <c r="SZB154" s="108"/>
      <c r="SZC154" s="108"/>
      <c r="SZD154" s="108"/>
      <c r="SZE154" s="108"/>
      <c r="SZF154" s="108"/>
      <c r="SZG154" s="108"/>
      <c r="SZH154" s="108"/>
      <c r="SZI154" s="108"/>
      <c r="SZJ154" s="108"/>
      <c r="SZK154" s="108"/>
      <c r="SZL154" s="108"/>
      <c r="SZM154" s="108"/>
      <c r="SZN154" s="108"/>
      <c r="SZO154" s="108"/>
      <c r="SZP154" s="108"/>
      <c r="SZQ154" s="108"/>
      <c r="SZR154" s="108"/>
      <c r="SZS154" s="108"/>
      <c r="SZT154" s="108"/>
      <c r="SZU154" s="108"/>
      <c r="SZV154" s="108"/>
      <c r="SZW154" s="108"/>
      <c r="SZX154" s="108"/>
      <c r="SZY154" s="108"/>
      <c r="SZZ154" s="108"/>
      <c r="TAA154" s="108"/>
      <c r="TAB154" s="108"/>
      <c r="TAC154" s="108"/>
      <c r="TAD154" s="108"/>
      <c r="TAE154" s="108"/>
      <c r="TAF154" s="108"/>
      <c r="TAG154" s="108"/>
      <c r="TAH154" s="108"/>
      <c r="TAI154" s="108"/>
      <c r="TAJ154" s="108"/>
      <c r="TAK154" s="108"/>
      <c r="TAL154" s="108"/>
      <c r="TAM154" s="108"/>
      <c r="TAN154" s="108"/>
      <c r="TAO154" s="108"/>
      <c r="TAP154" s="108"/>
      <c r="TAQ154" s="108"/>
      <c r="TAR154" s="108"/>
      <c r="TAS154" s="108"/>
      <c r="TAT154" s="108"/>
      <c r="TAU154" s="108"/>
      <c r="TAV154" s="108"/>
      <c r="TAW154" s="108"/>
      <c r="TAX154" s="108"/>
      <c r="TAY154" s="108"/>
      <c r="TAZ154" s="108"/>
      <c r="TBA154" s="108"/>
      <c r="TBB154" s="108"/>
      <c r="TBC154" s="108"/>
      <c r="TBD154" s="108"/>
      <c r="TBE154" s="108"/>
      <c r="TBF154" s="108"/>
      <c r="TBG154" s="108"/>
      <c r="TBH154" s="108"/>
      <c r="TBI154" s="108"/>
      <c r="TBJ154" s="108"/>
      <c r="TBK154" s="108"/>
      <c r="TBL154" s="108"/>
      <c r="TBM154" s="108"/>
      <c r="TBN154" s="108"/>
      <c r="TBO154" s="108"/>
      <c r="TBP154" s="108"/>
      <c r="TBQ154" s="108"/>
      <c r="TBR154" s="108"/>
      <c r="TBS154" s="108"/>
      <c r="TBT154" s="108"/>
      <c r="TBU154" s="108"/>
      <c r="TBV154" s="108"/>
      <c r="TBW154" s="108"/>
      <c r="TBX154" s="108"/>
      <c r="TBY154" s="108"/>
      <c r="TBZ154" s="108"/>
      <c r="TCA154" s="108"/>
      <c r="TCB154" s="108"/>
      <c r="TCC154" s="108"/>
      <c r="TCD154" s="108"/>
      <c r="TCE154" s="108"/>
      <c r="TCF154" s="108"/>
      <c r="TCG154" s="108"/>
      <c r="TCH154" s="108"/>
      <c r="TCI154" s="108"/>
      <c r="TCJ154" s="108"/>
      <c r="TCK154" s="108"/>
      <c r="TCL154" s="108"/>
      <c r="TCM154" s="108"/>
      <c r="TCN154" s="108"/>
      <c r="TCO154" s="108"/>
      <c r="TCP154" s="108"/>
      <c r="TCQ154" s="108"/>
      <c r="TCR154" s="108"/>
      <c r="TCS154" s="108"/>
      <c r="TCT154" s="108"/>
      <c r="TCU154" s="108"/>
      <c r="TCV154" s="108"/>
      <c r="TCW154" s="108"/>
      <c r="TCX154" s="108"/>
      <c r="TCY154" s="108"/>
      <c r="TCZ154" s="108"/>
      <c r="TDA154" s="108"/>
      <c r="TDB154" s="108"/>
      <c r="TDC154" s="108"/>
      <c r="TDD154" s="108"/>
      <c r="TDE154" s="108"/>
      <c r="TDF154" s="108"/>
      <c r="TDG154" s="108"/>
      <c r="TDH154" s="108"/>
      <c r="TDI154" s="108"/>
      <c r="TDJ154" s="108"/>
      <c r="TDK154" s="108"/>
      <c r="TDL154" s="108"/>
      <c r="TDM154" s="108"/>
      <c r="TDN154" s="108"/>
      <c r="TDO154" s="108"/>
      <c r="TDP154" s="108"/>
      <c r="TDQ154" s="108"/>
      <c r="TDR154" s="108"/>
      <c r="TDS154" s="108"/>
      <c r="TDT154" s="108"/>
      <c r="TDU154" s="108"/>
      <c r="TDV154" s="108"/>
      <c r="TDW154" s="108"/>
      <c r="TDX154" s="108"/>
      <c r="TDY154" s="108"/>
      <c r="TDZ154" s="108"/>
      <c r="TEA154" s="108"/>
      <c r="TEB154" s="108"/>
      <c r="TEC154" s="108"/>
      <c r="TED154" s="108"/>
      <c r="TEE154" s="108"/>
      <c r="TEF154" s="108"/>
      <c r="TEG154" s="108"/>
      <c r="TEH154" s="108"/>
      <c r="TEI154" s="108"/>
      <c r="TEJ154" s="108"/>
      <c r="TEK154" s="108"/>
      <c r="TEL154" s="108"/>
      <c r="TEM154" s="108"/>
      <c r="TEN154" s="108"/>
      <c r="TEO154" s="108"/>
      <c r="TEP154" s="108"/>
      <c r="TEQ154" s="108"/>
      <c r="TER154" s="108"/>
      <c r="TES154" s="108"/>
      <c r="TET154" s="108"/>
      <c r="TEU154" s="108"/>
      <c r="TEV154" s="108"/>
      <c r="TEW154" s="108"/>
      <c r="TEX154" s="108"/>
      <c r="TEY154" s="108"/>
      <c r="TEZ154" s="108"/>
      <c r="TFA154" s="108"/>
      <c r="TFB154" s="108"/>
      <c r="TFC154" s="108"/>
      <c r="TFD154" s="108"/>
      <c r="TFE154" s="108"/>
      <c r="TFF154" s="108"/>
      <c r="TFG154" s="108"/>
      <c r="TFH154" s="108"/>
      <c r="TFI154" s="108"/>
      <c r="TFJ154" s="108"/>
      <c r="TFK154" s="108"/>
      <c r="TFL154" s="108"/>
      <c r="TFM154" s="108"/>
      <c r="TFN154" s="108"/>
      <c r="TFO154" s="108"/>
      <c r="TFP154" s="108"/>
      <c r="TFQ154" s="108"/>
      <c r="TFR154" s="108"/>
      <c r="TFS154" s="108"/>
      <c r="TFT154" s="108"/>
      <c r="TFU154" s="108"/>
      <c r="TFV154" s="108"/>
      <c r="TFW154" s="108"/>
      <c r="TFX154" s="108"/>
      <c r="TFY154" s="108"/>
      <c r="TFZ154" s="108"/>
      <c r="TGA154" s="108"/>
      <c r="TGB154" s="108"/>
      <c r="TGC154" s="108"/>
      <c r="TGD154" s="108"/>
      <c r="TGE154" s="108"/>
      <c r="TGF154" s="108"/>
      <c r="TGG154" s="108"/>
      <c r="TGH154" s="108"/>
      <c r="TGI154" s="108"/>
      <c r="TGJ154" s="108"/>
      <c r="TGK154" s="108"/>
      <c r="TGL154" s="108"/>
      <c r="TGM154" s="108"/>
      <c r="TGN154" s="108"/>
      <c r="TGO154" s="108"/>
      <c r="TGP154" s="108"/>
      <c r="TGQ154" s="108"/>
      <c r="TGR154" s="108"/>
      <c r="TGS154" s="108"/>
      <c r="TGT154" s="108"/>
      <c r="TGU154" s="108"/>
      <c r="TGV154" s="108"/>
      <c r="TGW154" s="108"/>
      <c r="TGX154" s="108"/>
      <c r="TGY154" s="108"/>
      <c r="TGZ154" s="108"/>
      <c r="THA154" s="108"/>
      <c r="THB154" s="108"/>
      <c r="THC154" s="108"/>
      <c r="THD154" s="108"/>
      <c r="THE154" s="108"/>
      <c r="THF154" s="108"/>
      <c r="THG154" s="108"/>
      <c r="THH154" s="108"/>
      <c r="THI154" s="108"/>
      <c r="THJ154" s="108"/>
      <c r="THK154" s="108"/>
      <c r="THL154" s="108"/>
      <c r="THM154" s="108"/>
      <c r="THN154" s="108"/>
      <c r="THO154" s="108"/>
      <c r="THP154" s="108"/>
      <c r="THQ154" s="108"/>
      <c r="THR154" s="108"/>
      <c r="THS154" s="108"/>
      <c r="THT154" s="108"/>
      <c r="THU154" s="108"/>
      <c r="THV154" s="108"/>
      <c r="THW154" s="108"/>
      <c r="THX154" s="108"/>
      <c r="THY154" s="108"/>
      <c r="THZ154" s="108"/>
      <c r="TIA154" s="108"/>
      <c r="TIB154" s="108"/>
      <c r="TIC154" s="108"/>
      <c r="TID154" s="108"/>
      <c r="TIE154" s="108"/>
      <c r="TIF154" s="108"/>
      <c r="TIG154" s="108"/>
      <c r="TIH154" s="108"/>
      <c r="TII154" s="108"/>
      <c r="TIJ154" s="108"/>
      <c r="TIK154" s="108"/>
      <c r="TIL154" s="108"/>
      <c r="TIM154" s="108"/>
      <c r="TIN154" s="108"/>
      <c r="TIO154" s="108"/>
      <c r="TIP154" s="108"/>
      <c r="TIQ154" s="108"/>
      <c r="TIR154" s="108"/>
      <c r="TIS154" s="108"/>
      <c r="TIT154" s="108"/>
      <c r="TIU154" s="108"/>
      <c r="TIV154" s="108"/>
      <c r="TIW154" s="108"/>
      <c r="TIX154" s="108"/>
      <c r="TIY154" s="108"/>
      <c r="TIZ154" s="108"/>
      <c r="TJA154" s="108"/>
      <c r="TJB154" s="108"/>
      <c r="TJC154" s="108"/>
      <c r="TJD154" s="108"/>
      <c r="TJE154" s="108"/>
      <c r="TJF154" s="108"/>
      <c r="TJG154" s="108"/>
      <c r="TJH154" s="108"/>
      <c r="TJI154" s="108"/>
      <c r="TJJ154" s="108"/>
      <c r="TJK154" s="108"/>
      <c r="TJL154" s="108"/>
      <c r="TJM154" s="108"/>
      <c r="TJN154" s="108"/>
      <c r="TJO154" s="108"/>
      <c r="TJP154" s="108"/>
      <c r="TJQ154" s="108"/>
      <c r="TJR154" s="108"/>
      <c r="TJS154" s="108"/>
      <c r="TJT154" s="108"/>
      <c r="TJU154" s="108"/>
      <c r="TJV154" s="108"/>
      <c r="TJW154" s="108"/>
      <c r="TJX154" s="108"/>
      <c r="TJY154" s="108"/>
      <c r="TJZ154" s="108"/>
      <c r="TKA154" s="108"/>
      <c r="TKB154" s="108"/>
      <c r="TKC154" s="108"/>
      <c r="TKD154" s="108"/>
      <c r="TKE154" s="108"/>
      <c r="TKF154" s="108"/>
      <c r="TKG154" s="108"/>
      <c r="TKH154" s="108"/>
      <c r="TKI154" s="108"/>
      <c r="TKJ154" s="108"/>
      <c r="TKK154" s="108"/>
      <c r="TKL154" s="108"/>
      <c r="TKM154" s="108"/>
      <c r="TKN154" s="108"/>
      <c r="TKO154" s="108"/>
      <c r="TKP154" s="108"/>
      <c r="TKQ154" s="108"/>
      <c r="TKR154" s="108"/>
      <c r="TKS154" s="108"/>
      <c r="TKT154" s="108"/>
      <c r="TKU154" s="108"/>
      <c r="TKV154" s="108"/>
      <c r="TKW154" s="108"/>
      <c r="TKX154" s="108"/>
      <c r="TKY154" s="108"/>
      <c r="TKZ154" s="108"/>
      <c r="TLA154" s="108"/>
      <c r="TLB154" s="108"/>
      <c r="TLC154" s="108"/>
      <c r="TLD154" s="108"/>
      <c r="TLE154" s="108"/>
      <c r="TLF154" s="108"/>
      <c r="TLG154" s="108"/>
      <c r="TLH154" s="108"/>
      <c r="TLI154" s="108"/>
      <c r="TLJ154" s="108"/>
      <c r="TLK154" s="108"/>
      <c r="TLL154" s="108"/>
      <c r="TLM154" s="108"/>
      <c r="TLN154" s="108"/>
      <c r="TLO154" s="108"/>
      <c r="TLP154" s="108"/>
      <c r="TLQ154" s="108"/>
      <c r="TLR154" s="108"/>
      <c r="TLS154" s="108"/>
      <c r="TLT154" s="108"/>
      <c r="TLU154" s="108"/>
      <c r="TLV154" s="108"/>
      <c r="TLW154" s="108"/>
      <c r="TLX154" s="108"/>
      <c r="TLY154" s="108"/>
      <c r="TLZ154" s="108"/>
      <c r="TMA154" s="108"/>
      <c r="TMB154" s="108"/>
      <c r="TMC154" s="108"/>
      <c r="TMD154" s="108"/>
      <c r="TME154" s="108"/>
      <c r="TMF154" s="108"/>
      <c r="TMG154" s="108"/>
      <c r="TMH154" s="108"/>
      <c r="TMI154" s="108"/>
      <c r="TMJ154" s="108"/>
      <c r="TMK154" s="108"/>
      <c r="TML154" s="108"/>
      <c r="TMM154" s="108"/>
      <c r="TMN154" s="108"/>
      <c r="TMO154" s="108"/>
      <c r="TMP154" s="108"/>
      <c r="TMQ154" s="108"/>
      <c r="TMR154" s="108"/>
      <c r="TMS154" s="108"/>
      <c r="TMT154" s="108"/>
      <c r="TMU154" s="108"/>
      <c r="TMV154" s="108"/>
      <c r="TMW154" s="108"/>
      <c r="TMX154" s="108"/>
      <c r="TMY154" s="108"/>
      <c r="TMZ154" s="108"/>
      <c r="TNA154" s="108"/>
      <c r="TNB154" s="108"/>
      <c r="TNC154" s="108"/>
      <c r="TND154" s="108"/>
      <c r="TNE154" s="108"/>
      <c r="TNF154" s="108"/>
      <c r="TNG154" s="108"/>
      <c r="TNH154" s="108"/>
      <c r="TNI154" s="108"/>
      <c r="TNJ154" s="108"/>
      <c r="TNK154" s="108"/>
      <c r="TNL154" s="108"/>
      <c r="TNM154" s="108"/>
      <c r="TNN154" s="108"/>
      <c r="TNO154" s="108"/>
      <c r="TNP154" s="108"/>
      <c r="TNQ154" s="108"/>
      <c r="TNR154" s="108"/>
      <c r="TNS154" s="108"/>
      <c r="TNT154" s="108"/>
      <c r="TNU154" s="108"/>
      <c r="TNV154" s="108"/>
      <c r="TNW154" s="108"/>
      <c r="TNX154" s="108"/>
      <c r="TNY154" s="108"/>
      <c r="TNZ154" s="108"/>
      <c r="TOA154" s="108"/>
      <c r="TOB154" s="108"/>
      <c r="TOC154" s="108"/>
      <c r="TOD154" s="108"/>
      <c r="TOE154" s="108"/>
      <c r="TOF154" s="108"/>
      <c r="TOG154" s="108"/>
      <c r="TOH154" s="108"/>
      <c r="TOI154" s="108"/>
      <c r="TOJ154" s="108"/>
      <c r="TOK154" s="108"/>
      <c r="TOL154" s="108"/>
      <c r="TOM154" s="108"/>
      <c r="TON154" s="108"/>
      <c r="TOO154" s="108"/>
      <c r="TOP154" s="108"/>
      <c r="TOQ154" s="108"/>
      <c r="TOR154" s="108"/>
      <c r="TOS154" s="108"/>
      <c r="TOT154" s="108"/>
      <c r="TOU154" s="108"/>
      <c r="TOV154" s="108"/>
      <c r="TOW154" s="108"/>
      <c r="TOX154" s="108"/>
      <c r="TOY154" s="108"/>
      <c r="TOZ154" s="108"/>
      <c r="TPA154" s="108"/>
      <c r="TPB154" s="108"/>
      <c r="TPC154" s="108"/>
      <c r="TPD154" s="108"/>
      <c r="TPE154" s="108"/>
      <c r="TPF154" s="108"/>
      <c r="TPG154" s="108"/>
      <c r="TPH154" s="108"/>
      <c r="TPI154" s="108"/>
      <c r="TPJ154" s="108"/>
      <c r="TPK154" s="108"/>
      <c r="TPL154" s="108"/>
      <c r="TPM154" s="108"/>
      <c r="TPN154" s="108"/>
      <c r="TPO154" s="108"/>
      <c r="TPP154" s="108"/>
      <c r="TPQ154" s="108"/>
      <c r="TPR154" s="108"/>
      <c r="TPS154" s="108"/>
      <c r="TPT154" s="108"/>
      <c r="TPU154" s="108"/>
      <c r="TPV154" s="108"/>
      <c r="TPW154" s="108"/>
      <c r="TPX154" s="108"/>
      <c r="TPY154" s="108"/>
      <c r="TPZ154" s="108"/>
      <c r="TQA154" s="108"/>
      <c r="TQB154" s="108"/>
      <c r="TQC154" s="108"/>
      <c r="TQD154" s="108"/>
      <c r="TQE154" s="108"/>
      <c r="TQF154" s="108"/>
      <c r="TQG154" s="108"/>
      <c r="TQH154" s="108"/>
      <c r="TQI154" s="108"/>
      <c r="TQJ154" s="108"/>
      <c r="TQK154" s="108"/>
      <c r="TQL154" s="108"/>
      <c r="TQM154" s="108"/>
      <c r="TQN154" s="108"/>
      <c r="TQO154" s="108"/>
      <c r="TQP154" s="108"/>
      <c r="TQQ154" s="108"/>
      <c r="TQR154" s="108"/>
      <c r="TQS154" s="108"/>
      <c r="TQT154" s="108"/>
      <c r="TQU154" s="108"/>
      <c r="TQV154" s="108"/>
      <c r="TQW154" s="108"/>
      <c r="TQX154" s="108"/>
      <c r="TQY154" s="108"/>
      <c r="TQZ154" s="108"/>
      <c r="TRA154" s="108"/>
      <c r="TRB154" s="108"/>
      <c r="TRC154" s="108"/>
      <c r="TRD154" s="108"/>
      <c r="TRE154" s="108"/>
      <c r="TRF154" s="108"/>
      <c r="TRG154" s="108"/>
      <c r="TRH154" s="108"/>
      <c r="TRI154" s="108"/>
      <c r="TRJ154" s="108"/>
      <c r="TRK154" s="108"/>
      <c r="TRL154" s="108"/>
      <c r="TRM154" s="108"/>
      <c r="TRN154" s="108"/>
      <c r="TRO154" s="108"/>
      <c r="TRP154" s="108"/>
      <c r="TRQ154" s="108"/>
      <c r="TRR154" s="108"/>
      <c r="TRS154" s="108"/>
      <c r="TRT154" s="108"/>
      <c r="TRU154" s="108"/>
      <c r="TRV154" s="108"/>
      <c r="TRW154" s="108"/>
      <c r="TRX154" s="108"/>
      <c r="TRY154" s="108"/>
      <c r="TRZ154" s="108"/>
      <c r="TSA154" s="108"/>
      <c r="TSB154" s="108"/>
      <c r="TSC154" s="108"/>
      <c r="TSD154" s="108"/>
      <c r="TSE154" s="108"/>
      <c r="TSF154" s="108"/>
      <c r="TSG154" s="108"/>
      <c r="TSH154" s="108"/>
      <c r="TSI154" s="108"/>
      <c r="TSJ154" s="108"/>
      <c r="TSK154" s="108"/>
      <c r="TSL154" s="108"/>
      <c r="TSM154" s="108"/>
      <c r="TSN154" s="108"/>
      <c r="TSO154" s="108"/>
      <c r="TSP154" s="108"/>
      <c r="TSQ154" s="108"/>
      <c r="TSR154" s="108"/>
      <c r="TSS154" s="108"/>
      <c r="TST154" s="108"/>
      <c r="TSU154" s="108"/>
      <c r="TSV154" s="108"/>
      <c r="TSW154" s="108"/>
      <c r="TSX154" s="108"/>
      <c r="TSY154" s="108"/>
      <c r="TSZ154" s="108"/>
      <c r="TTA154" s="108"/>
      <c r="TTB154" s="108"/>
      <c r="TTC154" s="108"/>
      <c r="TTD154" s="108"/>
      <c r="TTE154" s="108"/>
      <c r="TTF154" s="108"/>
      <c r="TTG154" s="108"/>
      <c r="TTH154" s="108"/>
      <c r="TTI154" s="108"/>
      <c r="TTJ154" s="108"/>
      <c r="TTK154" s="108"/>
      <c r="TTL154" s="108"/>
      <c r="TTM154" s="108"/>
      <c r="TTN154" s="108"/>
      <c r="TTO154" s="108"/>
      <c r="TTP154" s="108"/>
      <c r="TTQ154" s="108"/>
      <c r="TTR154" s="108"/>
      <c r="TTS154" s="108"/>
      <c r="TTT154" s="108"/>
      <c r="TTU154" s="108"/>
      <c r="TTV154" s="108"/>
      <c r="TTW154" s="108"/>
      <c r="TTX154" s="108"/>
      <c r="TTY154" s="108"/>
      <c r="TTZ154" s="108"/>
      <c r="TUA154" s="108"/>
      <c r="TUB154" s="108"/>
      <c r="TUC154" s="108"/>
      <c r="TUD154" s="108"/>
      <c r="TUE154" s="108"/>
      <c r="TUF154" s="108"/>
      <c r="TUG154" s="108"/>
      <c r="TUH154" s="108"/>
      <c r="TUI154" s="108"/>
      <c r="TUJ154" s="108"/>
      <c r="TUK154" s="108"/>
      <c r="TUL154" s="108"/>
      <c r="TUM154" s="108"/>
      <c r="TUN154" s="108"/>
      <c r="TUO154" s="108"/>
      <c r="TUP154" s="108"/>
      <c r="TUQ154" s="108"/>
      <c r="TUR154" s="108"/>
      <c r="TUS154" s="108"/>
      <c r="TUT154" s="108"/>
      <c r="TUU154" s="108"/>
      <c r="TUV154" s="108"/>
      <c r="TUW154" s="108"/>
      <c r="TUX154" s="108"/>
      <c r="TUY154" s="108"/>
      <c r="TUZ154" s="108"/>
      <c r="TVA154" s="108"/>
      <c r="TVB154" s="108"/>
      <c r="TVC154" s="108"/>
      <c r="TVD154" s="108"/>
      <c r="TVE154" s="108"/>
      <c r="TVF154" s="108"/>
      <c r="TVG154" s="108"/>
      <c r="TVH154" s="108"/>
      <c r="TVI154" s="108"/>
      <c r="TVJ154" s="108"/>
      <c r="TVK154" s="108"/>
      <c r="TVL154" s="108"/>
      <c r="TVM154" s="108"/>
      <c r="TVN154" s="108"/>
      <c r="TVO154" s="108"/>
      <c r="TVP154" s="108"/>
      <c r="TVQ154" s="108"/>
      <c r="TVR154" s="108"/>
      <c r="TVS154" s="108"/>
      <c r="TVT154" s="108"/>
      <c r="TVU154" s="108"/>
      <c r="TVV154" s="108"/>
      <c r="TVW154" s="108"/>
      <c r="TVX154" s="108"/>
      <c r="TVY154" s="108"/>
      <c r="TVZ154" s="108"/>
      <c r="TWA154" s="108"/>
      <c r="TWB154" s="108"/>
      <c r="TWC154" s="108"/>
      <c r="TWD154" s="108"/>
      <c r="TWE154" s="108"/>
      <c r="TWF154" s="108"/>
      <c r="TWG154" s="108"/>
      <c r="TWH154" s="108"/>
      <c r="TWI154" s="108"/>
      <c r="TWJ154" s="108"/>
      <c r="TWK154" s="108"/>
      <c r="TWL154" s="108"/>
      <c r="TWM154" s="108"/>
      <c r="TWN154" s="108"/>
      <c r="TWO154" s="108"/>
      <c r="TWP154" s="108"/>
      <c r="TWQ154" s="108"/>
      <c r="TWR154" s="108"/>
      <c r="TWS154" s="108"/>
      <c r="TWT154" s="108"/>
      <c r="TWU154" s="108"/>
      <c r="TWV154" s="108"/>
      <c r="TWW154" s="108"/>
      <c r="TWX154" s="108"/>
      <c r="TWY154" s="108"/>
      <c r="TWZ154" s="108"/>
      <c r="TXA154" s="108"/>
      <c r="TXB154" s="108"/>
      <c r="TXC154" s="108"/>
      <c r="TXD154" s="108"/>
      <c r="TXE154" s="108"/>
      <c r="TXF154" s="108"/>
      <c r="TXG154" s="108"/>
      <c r="TXH154" s="108"/>
      <c r="TXI154" s="108"/>
      <c r="TXJ154" s="108"/>
      <c r="TXK154" s="108"/>
      <c r="TXL154" s="108"/>
      <c r="TXM154" s="108"/>
      <c r="TXN154" s="108"/>
      <c r="TXO154" s="108"/>
      <c r="TXP154" s="108"/>
      <c r="TXQ154" s="108"/>
      <c r="TXR154" s="108"/>
      <c r="TXS154" s="108"/>
      <c r="TXT154" s="108"/>
      <c r="TXU154" s="108"/>
      <c r="TXV154" s="108"/>
      <c r="TXW154" s="108"/>
      <c r="TXX154" s="108"/>
      <c r="TXY154" s="108"/>
      <c r="TXZ154" s="108"/>
      <c r="TYA154" s="108"/>
      <c r="TYB154" s="108"/>
      <c r="TYC154" s="108"/>
      <c r="TYD154" s="108"/>
      <c r="TYE154" s="108"/>
      <c r="TYF154" s="108"/>
      <c r="TYG154" s="108"/>
      <c r="TYH154" s="108"/>
      <c r="TYI154" s="108"/>
      <c r="TYJ154" s="108"/>
      <c r="TYK154" s="108"/>
      <c r="TYL154" s="108"/>
      <c r="TYM154" s="108"/>
      <c r="TYN154" s="108"/>
      <c r="TYO154" s="108"/>
      <c r="TYP154" s="108"/>
      <c r="TYQ154" s="108"/>
      <c r="TYR154" s="108"/>
      <c r="TYS154" s="108"/>
      <c r="TYT154" s="108"/>
      <c r="TYU154" s="108"/>
      <c r="TYV154" s="108"/>
      <c r="TYW154" s="108"/>
      <c r="TYX154" s="108"/>
      <c r="TYY154" s="108"/>
      <c r="TYZ154" s="108"/>
      <c r="TZA154" s="108"/>
      <c r="TZB154" s="108"/>
      <c r="TZC154" s="108"/>
      <c r="TZD154" s="108"/>
      <c r="TZE154" s="108"/>
      <c r="TZF154" s="108"/>
      <c r="TZG154" s="108"/>
      <c r="TZH154" s="108"/>
      <c r="TZI154" s="108"/>
      <c r="TZJ154" s="108"/>
      <c r="TZK154" s="108"/>
      <c r="TZL154" s="108"/>
      <c r="TZM154" s="108"/>
      <c r="TZN154" s="108"/>
      <c r="TZO154" s="108"/>
      <c r="TZP154" s="108"/>
      <c r="TZQ154" s="108"/>
      <c r="TZR154" s="108"/>
      <c r="TZS154" s="108"/>
      <c r="TZT154" s="108"/>
      <c r="TZU154" s="108"/>
      <c r="TZV154" s="108"/>
      <c r="TZW154" s="108"/>
      <c r="TZX154" s="108"/>
      <c r="TZY154" s="108"/>
      <c r="TZZ154" s="108"/>
      <c r="UAA154" s="108"/>
      <c r="UAB154" s="108"/>
      <c r="UAC154" s="108"/>
      <c r="UAD154" s="108"/>
      <c r="UAE154" s="108"/>
      <c r="UAF154" s="108"/>
      <c r="UAG154" s="108"/>
      <c r="UAH154" s="108"/>
      <c r="UAI154" s="108"/>
      <c r="UAJ154" s="108"/>
      <c r="UAK154" s="108"/>
      <c r="UAL154" s="108"/>
      <c r="UAM154" s="108"/>
      <c r="UAN154" s="108"/>
      <c r="UAO154" s="108"/>
      <c r="UAP154" s="108"/>
      <c r="UAQ154" s="108"/>
      <c r="UAR154" s="108"/>
      <c r="UAS154" s="108"/>
      <c r="UAT154" s="108"/>
      <c r="UAU154" s="108"/>
      <c r="UAV154" s="108"/>
      <c r="UAW154" s="108"/>
      <c r="UAX154" s="108"/>
      <c r="UAY154" s="108"/>
      <c r="UAZ154" s="108"/>
      <c r="UBA154" s="108"/>
      <c r="UBB154" s="108"/>
      <c r="UBC154" s="108"/>
      <c r="UBD154" s="108"/>
      <c r="UBE154" s="108"/>
      <c r="UBF154" s="108"/>
      <c r="UBG154" s="108"/>
      <c r="UBH154" s="108"/>
      <c r="UBI154" s="108"/>
      <c r="UBJ154" s="108"/>
      <c r="UBK154" s="108"/>
      <c r="UBL154" s="108"/>
      <c r="UBM154" s="108"/>
      <c r="UBN154" s="108"/>
      <c r="UBO154" s="108"/>
      <c r="UBP154" s="108"/>
      <c r="UBQ154" s="108"/>
      <c r="UBR154" s="108"/>
      <c r="UBS154" s="108"/>
      <c r="UBT154" s="108"/>
      <c r="UBU154" s="108"/>
      <c r="UBV154" s="108"/>
      <c r="UBW154" s="108"/>
      <c r="UBX154" s="108"/>
      <c r="UBY154" s="108"/>
      <c r="UBZ154" s="108"/>
      <c r="UCA154" s="108"/>
      <c r="UCB154" s="108"/>
      <c r="UCC154" s="108"/>
      <c r="UCD154" s="108"/>
      <c r="UCE154" s="108"/>
      <c r="UCF154" s="108"/>
      <c r="UCG154" s="108"/>
      <c r="UCH154" s="108"/>
      <c r="UCI154" s="108"/>
      <c r="UCJ154" s="108"/>
      <c r="UCK154" s="108"/>
      <c r="UCL154" s="108"/>
      <c r="UCM154" s="108"/>
      <c r="UCN154" s="108"/>
      <c r="UCO154" s="108"/>
      <c r="UCP154" s="108"/>
      <c r="UCQ154" s="108"/>
      <c r="UCR154" s="108"/>
      <c r="UCS154" s="108"/>
      <c r="UCT154" s="108"/>
      <c r="UCU154" s="108"/>
      <c r="UCV154" s="108"/>
      <c r="UCW154" s="108"/>
      <c r="UCX154" s="108"/>
      <c r="UCY154" s="108"/>
      <c r="UCZ154" s="108"/>
      <c r="UDA154" s="108"/>
      <c r="UDB154" s="108"/>
      <c r="UDC154" s="108"/>
      <c r="UDD154" s="108"/>
      <c r="UDE154" s="108"/>
      <c r="UDF154" s="108"/>
      <c r="UDG154" s="108"/>
      <c r="UDH154" s="108"/>
      <c r="UDI154" s="108"/>
      <c r="UDJ154" s="108"/>
      <c r="UDK154" s="108"/>
      <c r="UDL154" s="108"/>
      <c r="UDM154" s="108"/>
      <c r="UDN154" s="108"/>
      <c r="UDO154" s="108"/>
      <c r="UDP154" s="108"/>
      <c r="UDQ154" s="108"/>
      <c r="UDR154" s="108"/>
      <c r="UDS154" s="108"/>
      <c r="UDT154" s="108"/>
      <c r="UDU154" s="108"/>
      <c r="UDV154" s="108"/>
      <c r="UDW154" s="108"/>
      <c r="UDX154" s="108"/>
      <c r="UDY154" s="108"/>
      <c r="UDZ154" s="108"/>
      <c r="UEA154" s="108"/>
      <c r="UEB154" s="108"/>
      <c r="UEC154" s="108"/>
      <c r="UED154" s="108"/>
      <c r="UEE154" s="108"/>
      <c r="UEF154" s="108"/>
      <c r="UEG154" s="108"/>
      <c r="UEH154" s="108"/>
      <c r="UEI154" s="108"/>
      <c r="UEJ154" s="108"/>
      <c r="UEK154" s="108"/>
      <c r="UEL154" s="108"/>
      <c r="UEM154" s="108"/>
      <c r="UEN154" s="108"/>
      <c r="UEO154" s="108"/>
      <c r="UEP154" s="108"/>
      <c r="UEQ154" s="108"/>
      <c r="UER154" s="108"/>
      <c r="UES154" s="108"/>
      <c r="UET154" s="108"/>
      <c r="UEU154" s="108"/>
      <c r="UEV154" s="108"/>
      <c r="UEW154" s="108"/>
      <c r="UEX154" s="108"/>
      <c r="UEY154" s="108"/>
      <c r="UEZ154" s="108"/>
      <c r="UFA154" s="108"/>
      <c r="UFB154" s="108"/>
      <c r="UFC154" s="108"/>
      <c r="UFD154" s="108"/>
      <c r="UFE154" s="108"/>
      <c r="UFF154" s="108"/>
      <c r="UFG154" s="108"/>
      <c r="UFH154" s="108"/>
      <c r="UFI154" s="108"/>
      <c r="UFJ154" s="108"/>
      <c r="UFK154" s="108"/>
      <c r="UFL154" s="108"/>
      <c r="UFM154" s="108"/>
      <c r="UFN154" s="108"/>
      <c r="UFO154" s="108"/>
      <c r="UFP154" s="108"/>
      <c r="UFQ154" s="108"/>
      <c r="UFR154" s="108"/>
      <c r="UFS154" s="108"/>
      <c r="UFT154" s="108"/>
      <c r="UFU154" s="108"/>
      <c r="UFV154" s="108"/>
      <c r="UFW154" s="108"/>
      <c r="UFX154" s="108"/>
      <c r="UFY154" s="108"/>
      <c r="UFZ154" s="108"/>
      <c r="UGA154" s="108"/>
      <c r="UGB154" s="108"/>
      <c r="UGC154" s="108"/>
      <c r="UGD154" s="108"/>
      <c r="UGE154" s="108"/>
      <c r="UGF154" s="108"/>
      <c r="UGG154" s="108"/>
      <c r="UGH154" s="108"/>
      <c r="UGI154" s="108"/>
      <c r="UGJ154" s="108"/>
      <c r="UGK154" s="108"/>
      <c r="UGL154" s="108"/>
      <c r="UGM154" s="108"/>
      <c r="UGN154" s="108"/>
      <c r="UGO154" s="108"/>
      <c r="UGP154" s="108"/>
      <c r="UGQ154" s="108"/>
      <c r="UGR154" s="108"/>
      <c r="UGS154" s="108"/>
      <c r="UGT154" s="108"/>
      <c r="UGU154" s="108"/>
      <c r="UGV154" s="108"/>
      <c r="UGW154" s="108"/>
      <c r="UGX154" s="108"/>
      <c r="UGY154" s="108"/>
      <c r="UGZ154" s="108"/>
      <c r="UHA154" s="108"/>
      <c r="UHB154" s="108"/>
      <c r="UHC154" s="108"/>
      <c r="UHD154" s="108"/>
      <c r="UHE154" s="108"/>
      <c r="UHF154" s="108"/>
      <c r="UHG154" s="108"/>
      <c r="UHH154" s="108"/>
      <c r="UHI154" s="108"/>
      <c r="UHJ154" s="108"/>
      <c r="UHK154" s="108"/>
      <c r="UHL154" s="108"/>
      <c r="UHM154" s="108"/>
      <c r="UHN154" s="108"/>
      <c r="UHO154" s="108"/>
      <c r="UHP154" s="108"/>
      <c r="UHQ154" s="108"/>
      <c r="UHR154" s="108"/>
      <c r="UHS154" s="108"/>
      <c r="UHT154" s="108"/>
      <c r="UHU154" s="108"/>
      <c r="UHV154" s="108"/>
      <c r="UHW154" s="108"/>
      <c r="UHX154" s="108"/>
      <c r="UHY154" s="108"/>
      <c r="UHZ154" s="108"/>
      <c r="UIA154" s="108"/>
      <c r="UIB154" s="108"/>
      <c r="UIC154" s="108"/>
      <c r="UID154" s="108"/>
      <c r="UIE154" s="108"/>
      <c r="UIF154" s="108"/>
      <c r="UIG154" s="108"/>
      <c r="UIH154" s="108"/>
      <c r="UII154" s="108"/>
      <c r="UIJ154" s="108"/>
      <c r="UIK154" s="108"/>
      <c r="UIL154" s="108"/>
      <c r="UIM154" s="108"/>
      <c r="UIN154" s="108"/>
      <c r="UIO154" s="108"/>
      <c r="UIP154" s="108"/>
      <c r="UIQ154" s="108"/>
      <c r="UIR154" s="108"/>
      <c r="UIS154" s="108"/>
      <c r="UIT154" s="108"/>
      <c r="UIU154" s="108"/>
      <c r="UIV154" s="108"/>
      <c r="UIW154" s="108"/>
      <c r="UIX154" s="108"/>
      <c r="UIY154" s="108"/>
      <c r="UIZ154" s="108"/>
      <c r="UJA154" s="108"/>
      <c r="UJB154" s="108"/>
      <c r="UJC154" s="108"/>
      <c r="UJD154" s="108"/>
      <c r="UJE154" s="108"/>
      <c r="UJF154" s="108"/>
      <c r="UJG154" s="108"/>
      <c r="UJH154" s="108"/>
      <c r="UJI154" s="108"/>
      <c r="UJJ154" s="108"/>
      <c r="UJK154" s="108"/>
      <c r="UJL154" s="108"/>
      <c r="UJM154" s="108"/>
      <c r="UJN154" s="108"/>
      <c r="UJO154" s="108"/>
      <c r="UJP154" s="108"/>
      <c r="UJQ154" s="108"/>
      <c r="UJR154" s="108"/>
      <c r="UJS154" s="108"/>
      <c r="UJT154" s="108"/>
      <c r="UJU154" s="108"/>
      <c r="UJV154" s="108"/>
      <c r="UJW154" s="108"/>
      <c r="UJX154" s="108"/>
      <c r="UJY154" s="108"/>
      <c r="UJZ154" s="108"/>
      <c r="UKA154" s="108"/>
      <c r="UKB154" s="108"/>
      <c r="UKC154" s="108"/>
      <c r="UKD154" s="108"/>
      <c r="UKE154" s="108"/>
      <c r="UKF154" s="108"/>
      <c r="UKG154" s="108"/>
      <c r="UKH154" s="108"/>
      <c r="UKI154" s="108"/>
      <c r="UKJ154" s="108"/>
      <c r="UKK154" s="108"/>
      <c r="UKL154" s="108"/>
      <c r="UKM154" s="108"/>
      <c r="UKN154" s="108"/>
      <c r="UKO154" s="108"/>
      <c r="UKP154" s="108"/>
      <c r="UKQ154" s="108"/>
      <c r="UKR154" s="108"/>
      <c r="UKS154" s="108"/>
      <c r="UKT154" s="108"/>
      <c r="UKU154" s="108"/>
      <c r="UKV154" s="108"/>
      <c r="UKW154" s="108"/>
      <c r="UKX154" s="108"/>
      <c r="UKY154" s="108"/>
      <c r="UKZ154" s="108"/>
      <c r="ULA154" s="108"/>
      <c r="ULB154" s="108"/>
      <c r="ULC154" s="108"/>
      <c r="ULD154" s="108"/>
      <c r="ULE154" s="108"/>
      <c r="ULF154" s="108"/>
      <c r="ULG154" s="108"/>
      <c r="ULH154" s="108"/>
      <c r="ULI154" s="108"/>
      <c r="ULJ154" s="108"/>
      <c r="ULK154" s="108"/>
      <c r="ULL154" s="108"/>
      <c r="ULM154" s="108"/>
      <c r="ULN154" s="108"/>
      <c r="ULO154" s="108"/>
      <c r="ULP154" s="108"/>
      <c r="ULQ154" s="108"/>
      <c r="ULR154" s="108"/>
      <c r="ULS154" s="108"/>
      <c r="ULT154" s="108"/>
      <c r="ULU154" s="108"/>
      <c r="ULV154" s="108"/>
      <c r="ULW154" s="108"/>
      <c r="ULX154" s="108"/>
      <c r="ULY154" s="108"/>
      <c r="ULZ154" s="108"/>
      <c r="UMA154" s="108"/>
      <c r="UMB154" s="108"/>
      <c r="UMC154" s="108"/>
      <c r="UMD154" s="108"/>
      <c r="UME154" s="108"/>
      <c r="UMF154" s="108"/>
      <c r="UMG154" s="108"/>
      <c r="UMH154" s="108"/>
      <c r="UMI154" s="108"/>
      <c r="UMJ154" s="108"/>
      <c r="UMK154" s="108"/>
      <c r="UML154" s="108"/>
      <c r="UMM154" s="108"/>
      <c r="UMN154" s="108"/>
      <c r="UMO154" s="108"/>
      <c r="UMP154" s="108"/>
      <c r="UMQ154" s="108"/>
      <c r="UMR154" s="108"/>
      <c r="UMS154" s="108"/>
      <c r="UMT154" s="108"/>
      <c r="UMU154" s="108"/>
      <c r="UMV154" s="108"/>
      <c r="UMW154" s="108"/>
      <c r="UMX154" s="108"/>
      <c r="UMY154" s="108"/>
      <c r="UMZ154" s="108"/>
      <c r="UNA154" s="108"/>
      <c r="UNB154" s="108"/>
      <c r="UNC154" s="108"/>
      <c r="UND154" s="108"/>
      <c r="UNE154" s="108"/>
      <c r="UNF154" s="108"/>
      <c r="UNG154" s="108"/>
      <c r="UNH154" s="108"/>
      <c r="UNI154" s="108"/>
      <c r="UNJ154" s="108"/>
      <c r="UNK154" s="108"/>
      <c r="UNL154" s="108"/>
      <c r="UNM154" s="108"/>
      <c r="UNN154" s="108"/>
      <c r="UNO154" s="108"/>
      <c r="UNP154" s="108"/>
      <c r="UNQ154" s="108"/>
      <c r="UNR154" s="108"/>
      <c r="UNS154" s="108"/>
      <c r="UNT154" s="108"/>
      <c r="UNU154" s="108"/>
      <c r="UNV154" s="108"/>
      <c r="UNW154" s="108"/>
      <c r="UNX154" s="108"/>
      <c r="UNY154" s="108"/>
      <c r="UNZ154" s="108"/>
      <c r="UOA154" s="108"/>
      <c r="UOB154" s="108"/>
      <c r="UOC154" s="108"/>
      <c r="UOD154" s="108"/>
      <c r="UOE154" s="108"/>
      <c r="UOF154" s="108"/>
      <c r="UOG154" s="108"/>
      <c r="UOH154" s="108"/>
      <c r="UOI154" s="108"/>
      <c r="UOJ154" s="108"/>
      <c r="UOK154" s="108"/>
      <c r="UOL154" s="108"/>
      <c r="UOM154" s="108"/>
      <c r="UON154" s="108"/>
      <c r="UOO154" s="108"/>
      <c r="UOP154" s="108"/>
      <c r="UOQ154" s="108"/>
      <c r="UOR154" s="108"/>
      <c r="UOS154" s="108"/>
      <c r="UOT154" s="108"/>
      <c r="UOU154" s="108"/>
      <c r="UOV154" s="108"/>
      <c r="UOW154" s="108"/>
      <c r="UOX154" s="108"/>
      <c r="UOY154" s="108"/>
      <c r="UOZ154" s="108"/>
      <c r="UPA154" s="108"/>
      <c r="UPB154" s="108"/>
      <c r="UPC154" s="108"/>
      <c r="UPD154" s="108"/>
      <c r="UPE154" s="108"/>
      <c r="UPF154" s="108"/>
      <c r="UPG154" s="108"/>
      <c r="UPH154" s="108"/>
      <c r="UPI154" s="108"/>
      <c r="UPJ154" s="108"/>
      <c r="UPK154" s="108"/>
      <c r="UPL154" s="108"/>
      <c r="UPM154" s="108"/>
      <c r="UPN154" s="108"/>
      <c r="UPO154" s="108"/>
      <c r="UPP154" s="108"/>
      <c r="UPQ154" s="108"/>
      <c r="UPR154" s="108"/>
      <c r="UPS154" s="108"/>
      <c r="UPT154" s="108"/>
      <c r="UPU154" s="108"/>
      <c r="UPV154" s="108"/>
      <c r="UPW154" s="108"/>
      <c r="UPX154" s="108"/>
      <c r="UPY154" s="108"/>
      <c r="UPZ154" s="108"/>
      <c r="UQA154" s="108"/>
      <c r="UQB154" s="108"/>
      <c r="UQC154" s="108"/>
      <c r="UQD154" s="108"/>
      <c r="UQE154" s="108"/>
      <c r="UQF154" s="108"/>
      <c r="UQG154" s="108"/>
      <c r="UQH154" s="108"/>
      <c r="UQI154" s="108"/>
      <c r="UQJ154" s="108"/>
      <c r="UQK154" s="108"/>
      <c r="UQL154" s="108"/>
      <c r="UQM154" s="108"/>
      <c r="UQN154" s="108"/>
      <c r="UQO154" s="108"/>
      <c r="UQP154" s="108"/>
      <c r="UQQ154" s="108"/>
      <c r="UQR154" s="108"/>
      <c r="UQS154" s="108"/>
      <c r="UQT154" s="108"/>
      <c r="UQU154" s="108"/>
      <c r="UQV154" s="108"/>
      <c r="UQW154" s="108"/>
      <c r="UQX154" s="108"/>
      <c r="UQY154" s="108"/>
      <c r="UQZ154" s="108"/>
      <c r="URA154" s="108"/>
      <c r="URB154" s="108"/>
      <c r="URC154" s="108"/>
      <c r="URD154" s="108"/>
      <c r="URE154" s="108"/>
      <c r="URF154" s="108"/>
      <c r="URG154" s="108"/>
      <c r="URH154" s="108"/>
      <c r="URI154" s="108"/>
      <c r="URJ154" s="108"/>
      <c r="URK154" s="108"/>
      <c r="URL154" s="108"/>
      <c r="URM154" s="108"/>
      <c r="URN154" s="108"/>
      <c r="URO154" s="108"/>
      <c r="URP154" s="108"/>
      <c r="URQ154" s="108"/>
      <c r="URR154" s="108"/>
      <c r="URS154" s="108"/>
      <c r="URT154" s="108"/>
      <c r="URU154" s="108"/>
      <c r="URV154" s="108"/>
      <c r="URW154" s="108"/>
      <c r="URX154" s="108"/>
      <c r="URY154" s="108"/>
      <c r="URZ154" s="108"/>
      <c r="USA154" s="108"/>
      <c r="USB154" s="108"/>
      <c r="USC154" s="108"/>
      <c r="USD154" s="108"/>
      <c r="USE154" s="108"/>
      <c r="USF154" s="108"/>
      <c r="USG154" s="108"/>
      <c r="USH154" s="108"/>
      <c r="USI154" s="108"/>
      <c r="USJ154" s="108"/>
      <c r="USK154" s="108"/>
      <c r="USL154" s="108"/>
      <c r="USM154" s="108"/>
      <c r="USN154" s="108"/>
      <c r="USO154" s="108"/>
      <c r="USP154" s="108"/>
      <c r="USQ154" s="108"/>
      <c r="USR154" s="108"/>
      <c r="USS154" s="108"/>
      <c r="UST154" s="108"/>
      <c r="USU154" s="108"/>
      <c r="USV154" s="108"/>
      <c r="USW154" s="108"/>
      <c r="USX154" s="108"/>
      <c r="USY154" s="108"/>
      <c r="USZ154" s="108"/>
      <c r="UTA154" s="108"/>
      <c r="UTB154" s="108"/>
      <c r="UTC154" s="108"/>
      <c r="UTD154" s="108"/>
      <c r="UTE154" s="108"/>
      <c r="UTF154" s="108"/>
      <c r="UTG154" s="108"/>
      <c r="UTH154" s="108"/>
      <c r="UTI154" s="108"/>
      <c r="UTJ154" s="108"/>
      <c r="UTK154" s="108"/>
      <c r="UTL154" s="108"/>
      <c r="UTM154" s="108"/>
      <c r="UTN154" s="108"/>
      <c r="UTO154" s="108"/>
      <c r="UTP154" s="108"/>
      <c r="UTQ154" s="108"/>
      <c r="UTR154" s="108"/>
      <c r="UTS154" s="108"/>
      <c r="UTT154" s="108"/>
      <c r="UTU154" s="108"/>
      <c r="UTV154" s="108"/>
      <c r="UTW154" s="108"/>
      <c r="UTX154" s="108"/>
      <c r="UTY154" s="108"/>
      <c r="UTZ154" s="108"/>
      <c r="UUA154" s="108"/>
      <c r="UUB154" s="108"/>
      <c r="UUC154" s="108"/>
      <c r="UUD154" s="108"/>
      <c r="UUE154" s="108"/>
      <c r="UUF154" s="108"/>
      <c r="UUG154" s="108"/>
      <c r="UUH154" s="108"/>
      <c r="UUI154" s="108"/>
      <c r="UUJ154" s="108"/>
      <c r="UUK154" s="108"/>
      <c r="UUL154" s="108"/>
      <c r="UUM154" s="108"/>
      <c r="UUN154" s="108"/>
      <c r="UUO154" s="108"/>
      <c r="UUP154" s="108"/>
      <c r="UUQ154" s="108"/>
      <c r="UUR154" s="108"/>
      <c r="UUS154" s="108"/>
      <c r="UUT154" s="108"/>
      <c r="UUU154" s="108"/>
      <c r="UUV154" s="108"/>
      <c r="UUW154" s="108"/>
      <c r="UUX154" s="108"/>
      <c r="UUY154" s="108"/>
      <c r="UUZ154" s="108"/>
      <c r="UVA154" s="108"/>
      <c r="UVB154" s="108"/>
      <c r="UVC154" s="108"/>
      <c r="UVD154" s="108"/>
      <c r="UVE154" s="108"/>
      <c r="UVF154" s="108"/>
      <c r="UVG154" s="108"/>
      <c r="UVH154" s="108"/>
      <c r="UVI154" s="108"/>
      <c r="UVJ154" s="108"/>
      <c r="UVK154" s="108"/>
      <c r="UVL154" s="108"/>
      <c r="UVM154" s="108"/>
      <c r="UVN154" s="108"/>
      <c r="UVO154" s="108"/>
      <c r="UVP154" s="108"/>
      <c r="UVQ154" s="108"/>
      <c r="UVR154" s="108"/>
      <c r="UVS154" s="108"/>
      <c r="UVT154" s="108"/>
      <c r="UVU154" s="108"/>
      <c r="UVV154" s="108"/>
      <c r="UVW154" s="108"/>
      <c r="UVX154" s="108"/>
      <c r="UVY154" s="108"/>
      <c r="UVZ154" s="108"/>
      <c r="UWA154" s="108"/>
      <c r="UWB154" s="108"/>
      <c r="UWC154" s="108"/>
      <c r="UWD154" s="108"/>
      <c r="UWE154" s="108"/>
      <c r="UWF154" s="108"/>
      <c r="UWG154" s="108"/>
      <c r="UWH154" s="108"/>
      <c r="UWI154" s="108"/>
      <c r="UWJ154" s="108"/>
      <c r="UWK154" s="108"/>
      <c r="UWL154" s="108"/>
      <c r="UWM154" s="108"/>
      <c r="UWN154" s="108"/>
      <c r="UWO154" s="108"/>
      <c r="UWP154" s="108"/>
      <c r="UWQ154" s="108"/>
      <c r="UWR154" s="108"/>
      <c r="UWS154" s="108"/>
      <c r="UWT154" s="108"/>
      <c r="UWU154" s="108"/>
      <c r="UWV154" s="108"/>
      <c r="UWW154" s="108"/>
      <c r="UWX154" s="108"/>
      <c r="UWY154" s="108"/>
      <c r="UWZ154" s="108"/>
      <c r="UXA154" s="108"/>
      <c r="UXB154" s="108"/>
      <c r="UXC154" s="108"/>
      <c r="UXD154" s="108"/>
      <c r="UXE154" s="108"/>
      <c r="UXF154" s="108"/>
      <c r="UXG154" s="108"/>
      <c r="UXH154" s="108"/>
      <c r="UXI154" s="108"/>
      <c r="UXJ154" s="108"/>
      <c r="UXK154" s="108"/>
      <c r="UXL154" s="108"/>
      <c r="UXM154" s="108"/>
      <c r="UXN154" s="108"/>
      <c r="UXO154" s="108"/>
      <c r="UXP154" s="108"/>
      <c r="UXQ154" s="108"/>
      <c r="UXR154" s="108"/>
      <c r="UXS154" s="108"/>
      <c r="UXT154" s="108"/>
      <c r="UXU154" s="108"/>
      <c r="UXV154" s="108"/>
      <c r="UXW154" s="108"/>
      <c r="UXX154" s="108"/>
      <c r="UXY154" s="108"/>
      <c r="UXZ154" s="108"/>
      <c r="UYA154" s="108"/>
      <c r="UYB154" s="108"/>
      <c r="UYC154" s="108"/>
      <c r="UYD154" s="108"/>
      <c r="UYE154" s="108"/>
      <c r="UYF154" s="108"/>
      <c r="UYG154" s="108"/>
      <c r="UYH154" s="108"/>
      <c r="UYI154" s="108"/>
      <c r="UYJ154" s="108"/>
      <c r="UYK154" s="108"/>
      <c r="UYL154" s="108"/>
      <c r="UYM154" s="108"/>
      <c r="UYN154" s="108"/>
      <c r="UYO154" s="108"/>
      <c r="UYP154" s="108"/>
      <c r="UYQ154" s="108"/>
      <c r="UYR154" s="108"/>
      <c r="UYS154" s="108"/>
      <c r="UYT154" s="108"/>
      <c r="UYU154" s="108"/>
      <c r="UYV154" s="108"/>
      <c r="UYW154" s="108"/>
      <c r="UYX154" s="108"/>
      <c r="UYY154" s="108"/>
      <c r="UYZ154" s="108"/>
      <c r="UZA154" s="108"/>
      <c r="UZB154" s="108"/>
      <c r="UZC154" s="108"/>
      <c r="UZD154" s="108"/>
      <c r="UZE154" s="108"/>
      <c r="UZF154" s="108"/>
      <c r="UZG154" s="108"/>
      <c r="UZH154" s="108"/>
      <c r="UZI154" s="108"/>
      <c r="UZJ154" s="108"/>
      <c r="UZK154" s="108"/>
      <c r="UZL154" s="108"/>
      <c r="UZM154" s="108"/>
      <c r="UZN154" s="108"/>
      <c r="UZO154" s="108"/>
      <c r="UZP154" s="108"/>
      <c r="UZQ154" s="108"/>
      <c r="UZR154" s="108"/>
      <c r="UZS154" s="108"/>
      <c r="UZT154" s="108"/>
      <c r="UZU154" s="108"/>
      <c r="UZV154" s="108"/>
      <c r="UZW154" s="108"/>
      <c r="UZX154" s="108"/>
      <c r="UZY154" s="108"/>
      <c r="UZZ154" s="108"/>
      <c r="VAA154" s="108"/>
      <c r="VAB154" s="108"/>
      <c r="VAC154" s="108"/>
      <c r="VAD154" s="108"/>
      <c r="VAE154" s="108"/>
      <c r="VAF154" s="108"/>
      <c r="VAG154" s="108"/>
      <c r="VAH154" s="108"/>
      <c r="VAI154" s="108"/>
      <c r="VAJ154" s="108"/>
      <c r="VAK154" s="108"/>
      <c r="VAL154" s="108"/>
      <c r="VAM154" s="108"/>
      <c r="VAN154" s="108"/>
      <c r="VAO154" s="108"/>
      <c r="VAP154" s="108"/>
      <c r="VAQ154" s="108"/>
      <c r="VAR154" s="108"/>
      <c r="VAS154" s="108"/>
      <c r="VAT154" s="108"/>
      <c r="VAU154" s="108"/>
      <c r="VAV154" s="108"/>
      <c r="VAW154" s="108"/>
      <c r="VAX154" s="108"/>
      <c r="VAY154" s="108"/>
      <c r="VAZ154" s="108"/>
      <c r="VBA154" s="108"/>
      <c r="VBB154" s="108"/>
      <c r="VBC154" s="108"/>
      <c r="VBD154" s="108"/>
      <c r="VBE154" s="108"/>
      <c r="VBF154" s="108"/>
      <c r="VBG154" s="108"/>
      <c r="VBH154" s="108"/>
      <c r="VBI154" s="108"/>
      <c r="VBJ154" s="108"/>
      <c r="VBK154" s="108"/>
      <c r="VBL154" s="108"/>
      <c r="VBM154" s="108"/>
      <c r="VBN154" s="108"/>
      <c r="VBO154" s="108"/>
      <c r="VBP154" s="108"/>
      <c r="VBQ154" s="108"/>
      <c r="VBR154" s="108"/>
      <c r="VBS154" s="108"/>
      <c r="VBT154" s="108"/>
      <c r="VBU154" s="108"/>
      <c r="VBV154" s="108"/>
      <c r="VBW154" s="108"/>
      <c r="VBX154" s="108"/>
      <c r="VBY154" s="108"/>
      <c r="VBZ154" s="108"/>
      <c r="VCA154" s="108"/>
      <c r="VCB154" s="108"/>
      <c r="VCC154" s="108"/>
      <c r="VCD154" s="108"/>
      <c r="VCE154" s="108"/>
      <c r="VCF154" s="108"/>
      <c r="VCG154" s="108"/>
      <c r="VCH154" s="108"/>
      <c r="VCI154" s="108"/>
      <c r="VCJ154" s="108"/>
      <c r="VCK154" s="108"/>
      <c r="VCL154" s="108"/>
      <c r="VCM154" s="108"/>
      <c r="VCN154" s="108"/>
      <c r="VCO154" s="108"/>
      <c r="VCP154" s="108"/>
      <c r="VCQ154" s="108"/>
      <c r="VCR154" s="108"/>
      <c r="VCS154" s="108"/>
      <c r="VCT154" s="108"/>
      <c r="VCU154" s="108"/>
      <c r="VCV154" s="108"/>
      <c r="VCW154" s="108"/>
      <c r="VCX154" s="108"/>
      <c r="VCY154" s="108"/>
      <c r="VCZ154" s="108"/>
      <c r="VDA154" s="108"/>
      <c r="VDB154" s="108"/>
      <c r="VDC154" s="108"/>
      <c r="VDD154" s="108"/>
      <c r="VDE154" s="108"/>
      <c r="VDF154" s="108"/>
      <c r="VDG154" s="108"/>
      <c r="VDH154" s="108"/>
      <c r="VDI154" s="108"/>
      <c r="VDJ154" s="108"/>
      <c r="VDK154" s="108"/>
      <c r="VDL154" s="108"/>
      <c r="VDM154" s="108"/>
      <c r="VDN154" s="108"/>
      <c r="VDO154" s="108"/>
      <c r="VDP154" s="108"/>
      <c r="VDQ154" s="108"/>
      <c r="VDR154" s="108"/>
      <c r="VDS154" s="108"/>
      <c r="VDT154" s="108"/>
      <c r="VDU154" s="108"/>
      <c r="VDV154" s="108"/>
      <c r="VDW154" s="108"/>
      <c r="VDX154" s="108"/>
      <c r="VDY154" s="108"/>
      <c r="VDZ154" s="108"/>
      <c r="VEA154" s="108"/>
      <c r="VEB154" s="108"/>
      <c r="VEC154" s="108"/>
      <c r="VED154" s="108"/>
      <c r="VEE154" s="108"/>
      <c r="VEF154" s="108"/>
      <c r="VEG154" s="108"/>
      <c r="VEH154" s="108"/>
      <c r="VEI154" s="108"/>
      <c r="VEJ154" s="108"/>
      <c r="VEK154" s="108"/>
      <c r="VEL154" s="108"/>
      <c r="VEM154" s="108"/>
      <c r="VEN154" s="108"/>
      <c r="VEO154" s="108"/>
      <c r="VEP154" s="108"/>
      <c r="VEQ154" s="108"/>
      <c r="VER154" s="108"/>
      <c r="VES154" s="108"/>
      <c r="VET154" s="108"/>
      <c r="VEU154" s="108"/>
      <c r="VEV154" s="108"/>
      <c r="VEW154" s="108"/>
      <c r="VEX154" s="108"/>
      <c r="VEY154" s="108"/>
      <c r="VEZ154" s="108"/>
      <c r="VFA154" s="108"/>
      <c r="VFB154" s="108"/>
      <c r="VFC154" s="108"/>
      <c r="VFD154" s="108"/>
      <c r="VFE154" s="108"/>
      <c r="VFF154" s="108"/>
      <c r="VFG154" s="108"/>
      <c r="VFH154" s="108"/>
      <c r="VFI154" s="108"/>
      <c r="VFJ154" s="108"/>
      <c r="VFK154" s="108"/>
      <c r="VFL154" s="108"/>
      <c r="VFM154" s="108"/>
      <c r="VFN154" s="108"/>
      <c r="VFO154" s="108"/>
      <c r="VFP154" s="108"/>
      <c r="VFQ154" s="108"/>
      <c r="VFR154" s="108"/>
      <c r="VFS154" s="108"/>
      <c r="VFT154" s="108"/>
      <c r="VFU154" s="108"/>
      <c r="VFV154" s="108"/>
      <c r="VFW154" s="108"/>
      <c r="VFX154" s="108"/>
      <c r="VFY154" s="108"/>
      <c r="VFZ154" s="108"/>
      <c r="VGA154" s="108"/>
      <c r="VGB154" s="108"/>
      <c r="VGC154" s="108"/>
      <c r="VGD154" s="108"/>
      <c r="VGE154" s="108"/>
      <c r="VGF154" s="108"/>
      <c r="VGG154" s="108"/>
      <c r="VGH154" s="108"/>
      <c r="VGI154" s="108"/>
      <c r="VGJ154" s="108"/>
      <c r="VGK154" s="108"/>
      <c r="VGL154" s="108"/>
      <c r="VGM154" s="108"/>
      <c r="VGN154" s="108"/>
      <c r="VGO154" s="108"/>
      <c r="VGP154" s="108"/>
      <c r="VGQ154" s="108"/>
      <c r="VGR154" s="108"/>
      <c r="VGS154" s="108"/>
      <c r="VGT154" s="108"/>
      <c r="VGU154" s="108"/>
      <c r="VGV154" s="108"/>
      <c r="VGW154" s="108"/>
      <c r="VGX154" s="108"/>
      <c r="VGY154" s="108"/>
      <c r="VGZ154" s="108"/>
      <c r="VHA154" s="108"/>
      <c r="VHB154" s="108"/>
      <c r="VHC154" s="108"/>
      <c r="VHD154" s="108"/>
      <c r="VHE154" s="108"/>
      <c r="VHF154" s="108"/>
      <c r="VHG154" s="108"/>
      <c r="VHH154" s="108"/>
      <c r="VHI154" s="108"/>
      <c r="VHJ154" s="108"/>
      <c r="VHK154" s="108"/>
      <c r="VHL154" s="108"/>
      <c r="VHM154" s="108"/>
      <c r="VHN154" s="108"/>
      <c r="VHO154" s="108"/>
      <c r="VHP154" s="108"/>
      <c r="VHQ154" s="108"/>
      <c r="VHR154" s="108"/>
      <c r="VHS154" s="108"/>
      <c r="VHT154" s="108"/>
      <c r="VHU154" s="108"/>
      <c r="VHV154" s="108"/>
      <c r="VHW154" s="108"/>
      <c r="VHX154" s="108"/>
      <c r="VHY154" s="108"/>
      <c r="VHZ154" s="108"/>
      <c r="VIA154" s="108"/>
      <c r="VIB154" s="108"/>
      <c r="VIC154" s="108"/>
      <c r="VID154" s="108"/>
      <c r="VIE154" s="108"/>
      <c r="VIF154" s="108"/>
      <c r="VIG154" s="108"/>
      <c r="VIH154" s="108"/>
      <c r="VII154" s="108"/>
      <c r="VIJ154" s="108"/>
      <c r="VIK154" s="108"/>
      <c r="VIL154" s="108"/>
      <c r="VIM154" s="108"/>
      <c r="VIN154" s="108"/>
      <c r="VIO154" s="108"/>
      <c r="VIP154" s="108"/>
      <c r="VIQ154" s="108"/>
      <c r="VIR154" s="108"/>
      <c r="VIS154" s="108"/>
      <c r="VIT154" s="108"/>
      <c r="VIU154" s="108"/>
      <c r="VIV154" s="108"/>
      <c r="VIW154" s="108"/>
      <c r="VIX154" s="108"/>
      <c r="VIY154" s="108"/>
      <c r="VIZ154" s="108"/>
      <c r="VJA154" s="108"/>
      <c r="VJB154" s="108"/>
      <c r="VJC154" s="108"/>
      <c r="VJD154" s="108"/>
      <c r="VJE154" s="108"/>
      <c r="VJF154" s="108"/>
      <c r="VJG154" s="108"/>
      <c r="VJH154" s="108"/>
      <c r="VJI154" s="108"/>
      <c r="VJJ154" s="108"/>
      <c r="VJK154" s="108"/>
      <c r="VJL154" s="108"/>
      <c r="VJM154" s="108"/>
      <c r="VJN154" s="108"/>
      <c r="VJO154" s="108"/>
      <c r="VJP154" s="108"/>
      <c r="VJQ154" s="108"/>
      <c r="VJR154" s="108"/>
      <c r="VJS154" s="108"/>
      <c r="VJT154" s="108"/>
      <c r="VJU154" s="108"/>
      <c r="VJV154" s="108"/>
      <c r="VJW154" s="108"/>
      <c r="VJX154" s="108"/>
      <c r="VJY154" s="108"/>
      <c r="VJZ154" s="108"/>
      <c r="VKA154" s="108"/>
      <c r="VKB154" s="108"/>
      <c r="VKC154" s="108"/>
      <c r="VKD154" s="108"/>
      <c r="VKE154" s="108"/>
      <c r="VKF154" s="108"/>
      <c r="VKG154" s="108"/>
      <c r="VKH154" s="108"/>
      <c r="VKI154" s="108"/>
      <c r="VKJ154" s="108"/>
      <c r="VKK154" s="108"/>
      <c r="VKL154" s="108"/>
      <c r="VKM154" s="108"/>
      <c r="VKN154" s="108"/>
      <c r="VKO154" s="108"/>
      <c r="VKP154" s="108"/>
      <c r="VKQ154" s="108"/>
      <c r="VKR154" s="108"/>
      <c r="VKS154" s="108"/>
      <c r="VKT154" s="108"/>
      <c r="VKU154" s="108"/>
      <c r="VKV154" s="108"/>
      <c r="VKW154" s="108"/>
      <c r="VKX154" s="108"/>
      <c r="VKY154" s="108"/>
      <c r="VKZ154" s="108"/>
      <c r="VLA154" s="108"/>
      <c r="VLB154" s="108"/>
      <c r="VLC154" s="108"/>
      <c r="VLD154" s="108"/>
      <c r="VLE154" s="108"/>
      <c r="VLF154" s="108"/>
      <c r="VLG154" s="108"/>
      <c r="VLH154" s="108"/>
      <c r="VLI154" s="108"/>
      <c r="VLJ154" s="108"/>
      <c r="VLK154" s="108"/>
      <c r="VLL154" s="108"/>
      <c r="VLM154" s="108"/>
      <c r="VLN154" s="108"/>
      <c r="VLO154" s="108"/>
      <c r="VLP154" s="108"/>
      <c r="VLQ154" s="108"/>
      <c r="VLR154" s="108"/>
      <c r="VLS154" s="108"/>
      <c r="VLT154" s="108"/>
      <c r="VLU154" s="108"/>
      <c r="VLV154" s="108"/>
      <c r="VLW154" s="108"/>
      <c r="VLX154" s="108"/>
      <c r="VLY154" s="108"/>
      <c r="VLZ154" s="108"/>
      <c r="VMA154" s="108"/>
      <c r="VMB154" s="108"/>
      <c r="VMC154" s="108"/>
      <c r="VMD154" s="108"/>
      <c r="VME154" s="108"/>
      <c r="VMF154" s="108"/>
      <c r="VMG154" s="108"/>
      <c r="VMH154" s="108"/>
      <c r="VMI154" s="108"/>
      <c r="VMJ154" s="108"/>
      <c r="VMK154" s="108"/>
      <c r="VML154" s="108"/>
      <c r="VMM154" s="108"/>
      <c r="VMN154" s="108"/>
      <c r="VMO154" s="108"/>
      <c r="VMP154" s="108"/>
      <c r="VMQ154" s="108"/>
      <c r="VMR154" s="108"/>
      <c r="VMS154" s="108"/>
      <c r="VMT154" s="108"/>
      <c r="VMU154" s="108"/>
      <c r="VMV154" s="108"/>
      <c r="VMW154" s="108"/>
      <c r="VMX154" s="108"/>
      <c r="VMY154" s="108"/>
      <c r="VMZ154" s="108"/>
      <c r="VNA154" s="108"/>
      <c r="VNB154" s="108"/>
      <c r="VNC154" s="108"/>
      <c r="VND154" s="108"/>
      <c r="VNE154" s="108"/>
      <c r="VNF154" s="108"/>
      <c r="VNG154" s="108"/>
      <c r="VNH154" s="108"/>
      <c r="VNI154" s="108"/>
      <c r="VNJ154" s="108"/>
      <c r="VNK154" s="108"/>
      <c r="VNL154" s="108"/>
      <c r="VNM154" s="108"/>
      <c r="VNN154" s="108"/>
      <c r="VNO154" s="108"/>
      <c r="VNP154" s="108"/>
      <c r="VNQ154" s="108"/>
      <c r="VNR154" s="108"/>
      <c r="VNS154" s="108"/>
      <c r="VNT154" s="108"/>
      <c r="VNU154" s="108"/>
      <c r="VNV154" s="108"/>
      <c r="VNW154" s="108"/>
      <c r="VNX154" s="108"/>
      <c r="VNY154" s="108"/>
      <c r="VNZ154" s="108"/>
      <c r="VOA154" s="108"/>
      <c r="VOB154" s="108"/>
      <c r="VOC154" s="108"/>
      <c r="VOD154" s="108"/>
      <c r="VOE154" s="108"/>
      <c r="VOF154" s="108"/>
      <c r="VOG154" s="108"/>
      <c r="VOH154" s="108"/>
      <c r="VOI154" s="108"/>
      <c r="VOJ154" s="108"/>
      <c r="VOK154" s="108"/>
      <c r="VOL154" s="108"/>
      <c r="VOM154" s="108"/>
      <c r="VON154" s="108"/>
      <c r="VOO154" s="108"/>
      <c r="VOP154" s="108"/>
      <c r="VOQ154" s="108"/>
      <c r="VOR154" s="108"/>
      <c r="VOS154" s="108"/>
      <c r="VOT154" s="108"/>
      <c r="VOU154" s="108"/>
      <c r="VOV154" s="108"/>
      <c r="VOW154" s="108"/>
      <c r="VOX154" s="108"/>
      <c r="VOY154" s="108"/>
      <c r="VOZ154" s="108"/>
      <c r="VPA154" s="108"/>
      <c r="VPB154" s="108"/>
      <c r="VPC154" s="108"/>
      <c r="VPD154" s="108"/>
      <c r="VPE154" s="108"/>
      <c r="VPF154" s="108"/>
      <c r="VPG154" s="108"/>
      <c r="VPH154" s="108"/>
      <c r="VPI154" s="108"/>
      <c r="VPJ154" s="108"/>
      <c r="VPK154" s="108"/>
      <c r="VPL154" s="108"/>
      <c r="VPM154" s="108"/>
      <c r="VPN154" s="108"/>
      <c r="VPO154" s="108"/>
      <c r="VPP154" s="108"/>
      <c r="VPQ154" s="108"/>
      <c r="VPR154" s="108"/>
      <c r="VPS154" s="108"/>
      <c r="VPT154" s="108"/>
      <c r="VPU154" s="108"/>
      <c r="VPV154" s="108"/>
      <c r="VPW154" s="108"/>
      <c r="VPX154" s="108"/>
      <c r="VPY154" s="108"/>
      <c r="VPZ154" s="108"/>
      <c r="VQA154" s="108"/>
      <c r="VQB154" s="108"/>
      <c r="VQC154" s="108"/>
      <c r="VQD154" s="108"/>
      <c r="VQE154" s="108"/>
      <c r="VQF154" s="108"/>
      <c r="VQG154" s="108"/>
      <c r="VQH154" s="108"/>
      <c r="VQI154" s="108"/>
      <c r="VQJ154" s="108"/>
      <c r="VQK154" s="108"/>
      <c r="VQL154" s="108"/>
      <c r="VQM154" s="108"/>
      <c r="VQN154" s="108"/>
      <c r="VQO154" s="108"/>
      <c r="VQP154" s="108"/>
      <c r="VQQ154" s="108"/>
      <c r="VQR154" s="108"/>
      <c r="VQS154" s="108"/>
      <c r="VQT154" s="108"/>
      <c r="VQU154" s="108"/>
      <c r="VQV154" s="108"/>
      <c r="VQW154" s="108"/>
      <c r="VQX154" s="108"/>
      <c r="VQY154" s="108"/>
      <c r="VQZ154" s="108"/>
      <c r="VRA154" s="108"/>
      <c r="VRB154" s="108"/>
      <c r="VRC154" s="108"/>
      <c r="VRD154" s="108"/>
      <c r="VRE154" s="108"/>
      <c r="VRF154" s="108"/>
      <c r="VRG154" s="108"/>
      <c r="VRH154" s="108"/>
      <c r="VRI154" s="108"/>
      <c r="VRJ154" s="108"/>
      <c r="VRK154" s="108"/>
      <c r="VRL154" s="108"/>
      <c r="VRM154" s="108"/>
      <c r="VRN154" s="108"/>
      <c r="VRO154" s="108"/>
      <c r="VRP154" s="108"/>
      <c r="VRQ154" s="108"/>
      <c r="VRR154" s="108"/>
      <c r="VRS154" s="108"/>
      <c r="VRT154" s="108"/>
      <c r="VRU154" s="108"/>
      <c r="VRV154" s="108"/>
      <c r="VRW154" s="108"/>
      <c r="VRX154" s="108"/>
      <c r="VRY154" s="108"/>
      <c r="VRZ154" s="108"/>
      <c r="VSA154" s="108"/>
      <c r="VSB154" s="108"/>
      <c r="VSC154" s="108"/>
      <c r="VSD154" s="108"/>
      <c r="VSE154" s="108"/>
      <c r="VSF154" s="108"/>
      <c r="VSG154" s="108"/>
      <c r="VSH154" s="108"/>
      <c r="VSI154" s="108"/>
      <c r="VSJ154" s="108"/>
      <c r="VSK154" s="108"/>
      <c r="VSL154" s="108"/>
      <c r="VSM154" s="108"/>
      <c r="VSN154" s="108"/>
      <c r="VSO154" s="108"/>
      <c r="VSP154" s="108"/>
      <c r="VSQ154" s="108"/>
      <c r="VSR154" s="108"/>
      <c r="VSS154" s="108"/>
      <c r="VST154" s="108"/>
      <c r="VSU154" s="108"/>
      <c r="VSV154" s="108"/>
      <c r="VSW154" s="108"/>
      <c r="VSX154" s="108"/>
      <c r="VSY154" s="108"/>
      <c r="VSZ154" s="108"/>
      <c r="VTA154" s="108"/>
      <c r="VTB154" s="108"/>
      <c r="VTC154" s="108"/>
      <c r="VTD154" s="108"/>
      <c r="VTE154" s="108"/>
      <c r="VTF154" s="108"/>
      <c r="VTG154" s="108"/>
      <c r="VTH154" s="108"/>
      <c r="VTI154" s="108"/>
      <c r="VTJ154" s="108"/>
      <c r="VTK154" s="108"/>
      <c r="VTL154" s="108"/>
      <c r="VTM154" s="108"/>
      <c r="VTN154" s="108"/>
      <c r="VTO154" s="108"/>
      <c r="VTP154" s="108"/>
      <c r="VTQ154" s="108"/>
      <c r="VTR154" s="108"/>
      <c r="VTS154" s="108"/>
      <c r="VTT154" s="108"/>
      <c r="VTU154" s="108"/>
      <c r="VTV154" s="108"/>
      <c r="VTW154" s="108"/>
      <c r="VTX154" s="108"/>
      <c r="VTY154" s="108"/>
      <c r="VTZ154" s="108"/>
      <c r="VUA154" s="108"/>
      <c r="VUB154" s="108"/>
      <c r="VUC154" s="108"/>
      <c r="VUD154" s="108"/>
      <c r="VUE154" s="108"/>
      <c r="VUF154" s="108"/>
      <c r="VUG154" s="108"/>
      <c r="VUH154" s="108"/>
      <c r="VUI154" s="108"/>
      <c r="VUJ154" s="108"/>
      <c r="VUK154" s="108"/>
      <c r="VUL154" s="108"/>
      <c r="VUM154" s="108"/>
      <c r="VUN154" s="108"/>
      <c r="VUO154" s="108"/>
      <c r="VUP154" s="108"/>
      <c r="VUQ154" s="108"/>
      <c r="VUR154" s="108"/>
      <c r="VUS154" s="108"/>
      <c r="VUT154" s="108"/>
      <c r="VUU154" s="108"/>
      <c r="VUV154" s="108"/>
      <c r="VUW154" s="108"/>
      <c r="VUX154" s="108"/>
      <c r="VUY154" s="108"/>
      <c r="VUZ154" s="108"/>
      <c r="VVA154" s="108"/>
      <c r="VVB154" s="108"/>
      <c r="VVC154" s="108"/>
      <c r="VVD154" s="108"/>
      <c r="VVE154" s="108"/>
      <c r="VVF154" s="108"/>
      <c r="VVG154" s="108"/>
      <c r="VVH154" s="108"/>
      <c r="VVI154" s="108"/>
      <c r="VVJ154" s="108"/>
      <c r="VVK154" s="108"/>
      <c r="VVL154" s="108"/>
      <c r="VVM154" s="108"/>
      <c r="VVN154" s="108"/>
      <c r="VVO154" s="108"/>
      <c r="VVP154" s="108"/>
      <c r="VVQ154" s="108"/>
      <c r="VVR154" s="108"/>
      <c r="VVS154" s="108"/>
      <c r="VVT154" s="108"/>
      <c r="VVU154" s="108"/>
      <c r="VVV154" s="108"/>
      <c r="VVW154" s="108"/>
      <c r="VVX154" s="108"/>
      <c r="VVY154" s="108"/>
      <c r="VVZ154" s="108"/>
      <c r="VWA154" s="108"/>
      <c r="VWB154" s="108"/>
      <c r="VWC154" s="108"/>
      <c r="VWD154" s="108"/>
      <c r="VWE154" s="108"/>
      <c r="VWF154" s="108"/>
      <c r="VWG154" s="108"/>
      <c r="VWH154" s="108"/>
      <c r="VWI154" s="108"/>
      <c r="VWJ154" s="108"/>
      <c r="VWK154" s="108"/>
      <c r="VWL154" s="108"/>
      <c r="VWM154" s="108"/>
      <c r="VWN154" s="108"/>
      <c r="VWO154" s="108"/>
      <c r="VWP154" s="108"/>
      <c r="VWQ154" s="108"/>
      <c r="VWR154" s="108"/>
      <c r="VWS154" s="108"/>
      <c r="VWT154" s="108"/>
      <c r="VWU154" s="108"/>
      <c r="VWV154" s="108"/>
      <c r="VWW154" s="108"/>
      <c r="VWX154" s="108"/>
      <c r="VWY154" s="108"/>
      <c r="VWZ154" s="108"/>
      <c r="VXA154" s="108"/>
      <c r="VXB154" s="108"/>
      <c r="VXC154" s="108"/>
      <c r="VXD154" s="108"/>
      <c r="VXE154" s="108"/>
      <c r="VXF154" s="108"/>
      <c r="VXG154" s="108"/>
      <c r="VXH154" s="108"/>
      <c r="VXI154" s="108"/>
      <c r="VXJ154" s="108"/>
      <c r="VXK154" s="108"/>
      <c r="VXL154" s="108"/>
      <c r="VXM154" s="108"/>
      <c r="VXN154" s="108"/>
      <c r="VXO154" s="108"/>
      <c r="VXP154" s="108"/>
      <c r="VXQ154" s="108"/>
      <c r="VXR154" s="108"/>
      <c r="VXS154" s="108"/>
      <c r="VXT154" s="108"/>
      <c r="VXU154" s="108"/>
      <c r="VXV154" s="108"/>
      <c r="VXW154" s="108"/>
      <c r="VXX154" s="108"/>
      <c r="VXY154" s="108"/>
      <c r="VXZ154" s="108"/>
      <c r="VYA154" s="108"/>
      <c r="VYB154" s="108"/>
      <c r="VYC154" s="108"/>
      <c r="VYD154" s="108"/>
      <c r="VYE154" s="108"/>
      <c r="VYF154" s="108"/>
      <c r="VYG154" s="108"/>
      <c r="VYH154" s="108"/>
      <c r="VYI154" s="108"/>
      <c r="VYJ154" s="108"/>
      <c r="VYK154" s="108"/>
      <c r="VYL154" s="108"/>
      <c r="VYM154" s="108"/>
      <c r="VYN154" s="108"/>
      <c r="VYO154" s="108"/>
      <c r="VYP154" s="108"/>
      <c r="VYQ154" s="108"/>
      <c r="VYR154" s="108"/>
      <c r="VYS154" s="108"/>
      <c r="VYT154" s="108"/>
      <c r="VYU154" s="108"/>
      <c r="VYV154" s="108"/>
      <c r="VYW154" s="108"/>
      <c r="VYX154" s="108"/>
      <c r="VYY154" s="108"/>
      <c r="VYZ154" s="108"/>
      <c r="VZA154" s="108"/>
      <c r="VZB154" s="108"/>
      <c r="VZC154" s="108"/>
      <c r="VZD154" s="108"/>
      <c r="VZE154" s="108"/>
      <c r="VZF154" s="108"/>
      <c r="VZG154" s="108"/>
      <c r="VZH154" s="108"/>
      <c r="VZI154" s="108"/>
      <c r="VZJ154" s="108"/>
      <c r="VZK154" s="108"/>
      <c r="VZL154" s="108"/>
      <c r="VZM154" s="108"/>
      <c r="VZN154" s="108"/>
      <c r="VZO154" s="108"/>
      <c r="VZP154" s="108"/>
      <c r="VZQ154" s="108"/>
      <c r="VZR154" s="108"/>
      <c r="VZS154" s="108"/>
      <c r="VZT154" s="108"/>
      <c r="VZU154" s="108"/>
      <c r="VZV154" s="108"/>
      <c r="VZW154" s="108"/>
      <c r="VZX154" s="108"/>
      <c r="VZY154" s="108"/>
      <c r="VZZ154" s="108"/>
      <c r="WAA154" s="108"/>
      <c r="WAB154" s="108"/>
      <c r="WAC154" s="108"/>
      <c r="WAD154" s="108"/>
      <c r="WAE154" s="108"/>
      <c r="WAF154" s="108"/>
      <c r="WAG154" s="108"/>
      <c r="WAH154" s="108"/>
      <c r="WAI154" s="108"/>
      <c r="WAJ154" s="108"/>
      <c r="WAK154" s="108"/>
      <c r="WAL154" s="108"/>
      <c r="WAM154" s="108"/>
      <c r="WAN154" s="108"/>
      <c r="WAO154" s="108"/>
      <c r="WAP154" s="108"/>
      <c r="WAQ154" s="108"/>
      <c r="WAR154" s="108"/>
      <c r="WAS154" s="108"/>
      <c r="WAT154" s="108"/>
      <c r="WAU154" s="108"/>
      <c r="WAV154" s="108"/>
      <c r="WAW154" s="108"/>
      <c r="WAX154" s="108"/>
      <c r="WAY154" s="108"/>
      <c r="WAZ154" s="108"/>
      <c r="WBA154" s="108"/>
      <c r="WBB154" s="108"/>
      <c r="WBC154" s="108"/>
      <c r="WBD154" s="108"/>
      <c r="WBE154" s="108"/>
      <c r="WBF154" s="108"/>
      <c r="WBG154" s="108"/>
      <c r="WBH154" s="108"/>
      <c r="WBI154" s="108"/>
      <c r="WBJ154" s="108"/>
      <c r="WBK154" s="108"/>
      <c r="WBL154" s="108"/>
      <c r="WBM154" s="108"/>
      <c r="WBN154" s="108"/>
      <c r="WBO154" s="108"/>
      <c r="WBP154" s="108"/>
      <c r="WBQ154" s="108"/>
      <c r="WBR154" s="108"/>
      <c r="WBS154" s="108"/>
      <c r="WBT154" s="108"/>
      <c r="WBU154" s="108"/>
      <c r="WBV154" s="108"/>
      <c r="WBW154" s="108"/>
      <c r="WBX154" s="108"/>
      <c r="WBY154" s="108"/>
      <c r="WBZ154" s="108"/>
      <c r="WCA154" s="108"/>
      <c r="WCB154" s="108"/>
      <c r="WCC154" s="108"/>
      <c r="WCD154" s="108"/>
      <c r="WCE154" s="108"/>
      <c r="WCF154" s="108"/>
      <c r="WCG154" s="108"/>
      <c r="WCH154" s="108"/>
      <c r="WCI154" s="108"/>
      <c r="WCJ154" s="108"/>
      <c r="WCK154" s="108"/>
      <c r="WCL154" s="108"/>
      <c r="WCM154" s="108"/>
      <c r="WCN154" s="108"/>
      <c r="WCO154" s="108"/>
      <c r="WCP154" s="108"/>
      <c r="WCQ154" s="108"/>
      <c r="WCR154" s="108"/>
      <c r="WCS154" s="108"/>
      <c r="WCT154" s="108"/>
      <c r="WCU154" s="108"/>
      <c r="WCV154" s="108"/>
      <c r="WCW154" s="108"/>
      <c r="WCX154" s="108"/>
      <c r="WCY154" s="108"/>
      <c r="WCZ154" s="108"/>
      <c r="WDA154" s="108"/>
      <c r="WDB154" s="108"/>
      <c r="WDC154" s="108"/>
      <c r="WDD154" s="108"/>
      <c r="WDE154" s="108"/>
      <c r="WDF154" s="108"/>
      <c r="WDG154" s="108"/>
      <c r="WDH154" s="108"/>
      <c r="WDI154" s="108"/>
      <c r="WDJ154" s="108"/>
      <c r="WDK154" s="108"/>
      <c r="WDL154" s="108"/>
      <c r="WDM154" s="108"/>
      <c r="WDN154" s="108"/>
      <c r="WDO154" s="108"/>
      <c r="WDP154" s="108"/>
      <c r="WDQ154" s="108"/>
      <c r="WDR154" s="108"/>
      <c r="WDS154" s="108"/>
      <c r="WDT154" s="108"/>
      <c r="WDU154" s="108"/>
      <c r="WDV154" s="108"/>
      <c r="WDW154" s="108"/>
      <c r="WDX154" s="108"/>
      <c r="WDY154" s="108"/>
      <c r="WDZ154" s="108"/>
      <c r="WEA154" s="108"/>
      <c r="WEB154" s="108"/>
      <c r="WEC154" s="108"/>
      <c r="WED154" s="108"/>
      <c r="WEE154" s="108"/>
      <c r="WEF154" s="108"/>
      <c r="WEG154" s="108"/>
      <c r="WEH154" s="108"/>
      <c r="WEI154" s="108"/>
      <c r="WEJ154" s="108"/>
      <c r="WEK154" s="108"/>
      <c r="WEL154" s="108"/>
      <c r="WEM154" s="108"/>
      <c r="WEN154" s="108"/>
      <c r="WEO154" s="108"/>
      <c r="WEP154" s="108"/>
      <c r="WEQ154" s="108"/>
      <c r="WER154" s="108"/>
      <c r="WES154" s="108"/>
      <c r="WET154" s="108"/>
      <c r="WEU154" s="108"/>
      <c r="WEV154" s="108"/>
      <c r="WEW154" s="108"/>
      <c r="WEX154" s="108"/>
      <c r="WEY154" s="108"/>
      <c r="WEZ154" s="108"/>
      <c r="WFA154" s="108"/>
      <c r="WFB154" s="108"/>
      <c r="WFC154" s="108"/>
      <c r="WFD154" s="108"/>
      <c r="WFE154" s="108"/>
      <c r="WFF154" s="108"/>
      <c r="WFG154" s="108"/>
      <c r="WFH154" s="108"/>
      <c r="WFI154" s="108"/>
      <c r="WFJ154" s="108"/>
      <c r="WFK154" s="108"/>
      <c r="WFL154" s="108"/>
      <c r="WFM154" s="108"/>
      <c r="WFN154" s="108"/>
      <c r="WFO154" s="108"/>
      <c r="WFP154" s="108"/>
      <c r="WFQ154" s="108"/>
      <c r="WFR154" s="108"/>
      <c r="WFS154" s="108"/>
      <c r="WFT154" s="108"/>
      <c r="WFU154" s="108"/>
      <c r="WFV154" s="108"/>
      <c r="WFW154" s="108"/>
      <c r="WFX154" s="108"/>
      <c r="WFY154" s="108"/>
      <c r="WFZ154" s="108"/>
      <c r="WGA154" s="108"/>
      <c r="WGB154" s="108"/>
      <c r="WGC154" s="108"/>
      <c r="WGD154" s="108"/>
      <c r="WGE154" s="108"/>
      <c r="WGF154" s="108"/>
      <c r="WGG154" s="108"/>
      <c r="WGH154" s="108"/>
      <c r="WGI154" s="108"/>
      <c r="WGJ154" s="108"/>
      <c r="WGK154" s="108"/>
      <c r="WGL154" s="108"/>
      <c r="WGM154" s="108"/>
      <c r="WGN154" s="108"/>
      <c r="WGO154" s="108"/>
      <c r="WGP154" s="108"/>
      <c r="WGQ154" s="108"/>
      <c r="WGR154" s="108"/>
      <c r="WGS154" s="108"/>
      <c r="WGT154" s="108"/>
      <c r="WGU154" s="108"/>
      <c r="WGV154" s="108"/>
      <c r="WGW154" s="108"/>
      <c r="WGX154" s="108"/>
      <c r="WGY154" s="108"/>
      <c r="WGZ154" s="108"/>
      <c r="WHA154" s="108"/>
      <c r="WHB154" s="108"/>
      <c r="WHC154" s="108"/>
      <c r="WHD154" s="108"/>
      <c r="WHE154" s="108"/>
      <c r="WHF154" s="108"/>
      <c r="WHG154" s="108"/>
      <c r="WHH154" s="108"/>
      <c r="WHI154" s="108"/>
      <c r="WHJ154" s="108"/>
      <c r="WHK154" s="108"/>
      <c r="WHL154" s="108"/>
      <c r="WHM154" s="108"/>
      <c r="WHN154" s="108"/>
      <c r="WHO154" s="108"/>
      <c r="WHP154" s="108"/>
      <c r="WHQ154" s="108"/>
      <c r="WHR154" s="108"/>
      <c r="WHS154" s="108"/>
      <c r="WHT154" s="108"/>
      <c r="WHU154" s="108"/>
      <c r="WHV154" s="108"/>
      <c r="WHW154" s="108"/>
      <c r="WHX154" s="108"/>
      <c r="WHY154" s="108"/>
      <c r="WHZ154" s="108"/>
      <c r="WIA154" s="108"/>
      <c r="WIB154" s="108"/>
      <c r="WIC154" s="108"/>
      <c r="WID154" s="108"/>
      <c r="WIE154" s="108"/>
      <c r="WIF154" s="108"/>
      <c r="WIG154" s="108"/>
      <c r="WIH154" s="108"/>
      <c r="WII154" s="108"/>
      <c r="WIJ154" s="108"/>
      <c r="WIK154" s="108"/>
      <c r="WIL154" s="108"/>
      <c r="WIM154" s="108"/>
      <c r="WIN154" s="108"/>
      <c r="WIO154" s="108"/>
      <c r="WIP154" s="108"/>
      <c r="WIQ154" s="108"/>
      <c r="WIR154" s="108"/>
      <c r="WIS154" s="108"/>
      <c r="WIT154" s="108"/>
      <c r="WIU154" s="108"/>
      <c r="WIV154" s="108"/>
      <c r="WIW154" s="108"/>
      <c r="WIX154" s="108"/>
      <c r="WIY154" s="108"/>
      <c r="WIZ154" s="108"/>
      <c r="WJA154" s="108"/>
      <c r="WJB154" s="108"/>
      <c r="WJC154" s="108"/>
      <c r="WJD154" s="108"/>
      <c r="WJE154" s="108"/>
      <c r="WJF154" s="108"/>
      <c r="WJG154" s="108"/>
      <c r="WJH154" s="108"/>
      <c r="WJI154" s="108"/>
      <c r="WJJ154" s="108"/>
      <c r="WJK154" s="108"/>
      <c r="WJL154" s="108"/>
      <c r="WJM154" s="108"/>
      <c r="WJN154" s="108"/>
      <c r="WJO154" s="108"/>
      <c r="WJP154" s="108"/>
      <c r="WJQ154" s="108"/>
      <c r="WJR154" s="108"/>
      <c r="WJS154" s="108"/>
      <c r="WJT154" s="108"/>
      <c r="WJU154" s="108"/>
      <c r="WJV154" s="108"/>
      <c r="WJW154" s="108"/>
      <c r="WJX154" s="108"/>
      <c r="WJY154" s="108"/>
      <c r="WJZ154" s="108"/>
      <c r="WKA154" s="108"/>
      <c r="WKB154" s="108"/>
      <c r="WKC154" s="108"/>
      <c r="WKD154" s="108"/>
      <c r="WKE154" s="108"/>
      <c r="WKF154" s="108"/>
      <c r="WKG154" s="108"/>
      <c r="WKH154" s="108"/>
      <c r="WKI154" s="108"/>
      <c r="WKJ154" s="108"/>
      <c r="WKK154" s="108"/>
      <c r="WKL154" s="108"/>
      <c r="WKM154" s="108"/>
      <c r="WKN154" s="108"/>
      <c r="WKO154" s="108"/>
      <c r="WKP154" s="108"/>
      <c r="WKQ154" s="108"/>
      <c r="WKR154" s="108"/>
      <c r="WKS154" s="108"/>
      <c r="WKT154" s="108"/>
      <c r="WKU154" s="108"/>
      <c r="WKV154" s="108"/>
      <c r="WKW154" s="108"/>
      <c r="WKX154" s="108"/>
      <c r="WKY154" s="108"/>
      <c r="WKZ154" s="108"/>
      <c r="WLA154" s="108"/>
      <c r="WLB154" s="108"/>
      <c r="WLC154" s="108"/>
      <c r="WLD154" s="108"/>
      <c r="WLE154" s="108"/>
      <c r="WLF154" s="108"/>
      <c r="WLG154" s="108"/>
      <c r="WLH154" s="108"/>
      <c r="WLI154" s="108"/>
      <c r="WLJ154" s="108"/>
      <c r="WLK154" s="108"/>
      <c r="WLL154" s="108"/>
      <c r="WLM154" s="108"/>
      <c r="WLN154" s="108"/>
      <c r="WLO154" s="108"/>
      <c r="WLP154" s="108"/>
      <c r="WLQ154" s="108"/>
      <c r="WLR154" s="108"/>
      <c r="WLS154" s="108"/>
      <c r="WLT154" s="108"/>
      <c r="WLU154" s="108"/>
      <c r="WLV154" s="108"/>
      <c r="WLW154" s="108"/>
      <c r="WLX154" s="108"/>
      <c r="WLY154" s="108"/>
      <c r="WLZ154" s="108"/>
      <c r="WMA154" s="108"/>
      <c r="WMB154" s="108"/>
      <c r="WMC154" s="108"/>
      <c r="WMD154" s="108"/>
      <c r="WME154" s="108"/>
      <c r="WMF154" s="108"/>
      <c r="WMG154" s="108"/>
      <c r="WMH154" s="108"/>
      <c r="WMI154" s="108"/>
      <c r="WMJ154" s="108"/>
      <c r="WMK154" s="108"/>
      <c r="WML154" s="108"/>
      <c r="WMM154" s="108"/>
      <c r="WMN154" s="108"/>
      <c r="WMO154" s="108"/>
      <c r="WMP154" s="108"/>
      <c r="WMQ154" s="108"/>
      <c r="WMR154" s="108"/>
      <c r="WMS154" s="108"/>
      <c r="WMT154" s="108"/>
      <c r="WMU154" s="108"/>
      <c r="WMV154" s="108"/>
      <c r="WMW154" s="108"/>
      <c r="WMX154" s="108"/>
      <c r="WMY154" s="108"/>
      <c r="WMZ154" s="108"/>
      <c r="WNA154" s="108"/>
      <c r="WNB154" s="108"/>
      <c r="WNC154" s="108"/>
      <c r="WND154" s="108"/>
      <c r="WNE154" s="108"/>
      <c r="WNF154" s="108"/>
      <c r="WNG154" s="108"/>
      <c r="WNH154" s="108"/>
      <c r="WNI154" s="108"/>
      <c r="WNJ154" s="108"/>
      <c r="WNK154" s="108"/>
      <c r="WNL154" s="108"/>
      <c r="WNM154" s="108"/>
      <c r="WNN154" s="108"/>
      <c r="WNO154" s="108"/>
      <c r="WNP154" s="108"/>
      <c r="WNQ154" s="108"/>
      <c r="WNR154" s="108"/>
      <c r="WNS154" s="108"/>
      <c r="WNT154" s="108"/>
      <c r="WNU154" s="108"/>
      <c r="WNV154" s="108"/>
      <c r="WNW154" s="108"/>
      <c r="WNX154" s="108"/>
      <c r="WNY154" s="108"/>
      <c r="WNZ154" s="108"/>
      <c r="WOA154" s="108"/>
      <c r="WOB154" s="108"/>
      <c r="WOC154" s="108"/>
      <c r="WOD154" s="108"/>
      <c r="WOE154" s="108"/>
      <c r="WOF154" s="108"/>
      <c r="WOG154" s="108"/>
      <c r="WOH154" s="108"/>
      <c r="WOI154" s="108"/>
      <c r="WOJ154" s="108"/>
      <c r="WOK154" s="108"/>
      <c r="WOL154" s="108"/>
      <c r="WOM154" s="108"/>
      <c r="WON154" s="108"/>
      <c r="WOO154" s="108"/>
      <c r="WOP154" s="108"/>
      <c r="WOQ154" s="108"/>
      <c r="WOR154" s="108"/>
      <c r="WOS154" s="108"/>
      <c r="WOT154" s="108"/>
      <c r="WOU154" s="108"/>
      <c r="WOV154" s="108"/>
      <c r="WOW154" s="108"/>
      <c r="WOX154" s="108"/>
      <c r="WOY154" s="108"/>
      <c r="WOZ154" s="108"/>
      <c r="WPA154" s="108"/>
      <c r="WPB154" s="108"/>
      <c r="WPC154" s="108"/>
      <c r="WPD154" s="108"/>
      <c r="WPE154" s="108"/>
      <c r="WPF154" s="108"/>
      <c r="WPG154" s="108"/>
      <c r="WPH154" s="108"/>
      <c r="WPI154" s="108"/>
      <c r="WPJ154" s="108"/>
      <c r="WPK154" s="108"/>
      <c r="WPL154" s="108"/>
      <c r="WPM154" s="108"/>
      <c r="WPN154" s="108"/>
      <c r="WPO154" s="108"/>
      <c r="WPP154" s="108"/>
      <c r="WPQ154" s="108"/>
      <c r="WPR154" s="108"/>
      <c r="WPS154" s="108"/>
      <c r="WPT154" s="108"/>
      <c r="WPU154" s="108"/>
      <c r="WPV154" s="108"/>
      <c r="WPW154" s="108"/>
      <c r="WPX154" s="108"/>
      <c r="WPY154" s="108"/>
      <c r="WPZ154" s="108"/>
      <c r="WQA154" s="108"/>
      <c r="WQB154" s="108"/>
      <c r="WQC154" s="108"/>
      <c r="WQD154" s="108"/>
      <c r="WQE154" s="108"/>
      <c r="WQF154" s="108"/>
      <c r="WQG154" s="108"/>
      <c r="WQH154" s="108"/>
      <c r="WQI154" s="108"/>
      <c r="WQJ154" s="108"/>
      <c r="WQK154" s="108"/>
      <c r="WQL154" s="108"/>
      <c r="WQM154" s="108"/>
      <c r="WQN154" s="108"/>
      <c r="WQO154" s="108"/>
      <c r="WQP154" s="108"/>
      <c r="WQQ154" s="108"/>
      <c r="WQR154" s="108"/>
      <c r="WQS154" s="108"/>
      <c r="WQT154" s="108"/>
      <c r="WQU154" s="108"/>
      <c r="WQV154" s="108"/>
      <c r="WQW154" s="108"/>
      <c r="WQX154" s="108"/>
      <c r="WQY154" s="108"/>
      <c r="WQZ154" s="108"/>
      <c r="WRA154" s="108"/>
      <c r="WRB154" s="108"/>
      <c r="WRC154" s="108"/>
      <c r="WRD154" s="108"/>
      <c r="WRE154" s="108"/>
      <c r="WRF154" s="108"/>
      <c r="WRG154" s="108"/>
      <c r="WRH154" s="108"/>
      <c r="WRI154" s="108"/>
      <c r="WRJ154" s="108"/>
      <c r="WRK154" s="108"/>
      <c r="WRL154" s="108"/>
      <c r="WRM154" s="108"/>
      <c r="WRN154" s="108"/>
      <c r="WRO154" s="108"/>
      <c r="WRP154" s="108"/>
      <c r="WRQ154" s="108"/>
      <c r="WRR154" s="108"/>
      <c r="WRS154" s="108"/>
      <c r="WRT154" s="108"/>
      <c r="WRU154" s="108"/>
      <c r="WRV154" s="108"/>
      <c r="WRW154" s="108"/>
      <c r="WRX154" s="108"/>
      <c r="WRY154" s="108"/>
      <c r="WRZ154" s="108"/>
      <c r="WSA154" s="108"/>
      <c r="WSB154" s="108"/>
      <c r="WSC154" s="108"/>
      <c r="WSD154" s="108"/>
      <c r="WSE154" s="108"/>
      <c r="WSF154" s="108"/>
      <c r="WSG154" s="108"/>
      <c r="WSH154" s="108"/>
      <c r="WSI154" s="108"/>
      <c r="WSJ154" s="108"/>
      <c r="WSK154" s="108"/>
      <c r="WSL154" s="108"/>
      <c r="WSM154" s="108"/>
      <c r="WSN154" s="108"/>
      <c r="WSO154" s="108"/>
      <c r="WSP154" s="108"/>
      <c r="WSQ154" s="108"/>
      <c r="WSR154" s="108"/>
      <c r="WSS154" s="108"/>
      <c r="WST154" s="108"/>
      <c r="WSU154" s="108"/>
      <c r="WSV154" s="108"/>
      <c r="WSW154" s="108"/>
      <c r="WSX154" s="108"/>
      <c r="WSY154" s="108"/>
      <c r="WSZ154" s="108"/>
      <c r="WTA154" s="108"/>
      <c r="WTB154" s="108"/>
      <c r="WTC154" s="108"/>
      <c r="WTD154" s="108"/>
      <c r="WTE154" s="108"/>
      <c r="WTF154" s="108"/>
      <c r="WTG154" s="108"/>
      <c r="WTH154" s="108"/>
      <c r="WTI154" s="108"/>
      <c r="WTJ154" s="108"/>
      <c r="WTK154" s="108"/>
      <c r="WTL154" s="108"/>
      <c r="WTM154" s="108"/>
      <c r="WTN154" s="108"/>
      <c r="WTO154" s="108"/>
      <c r="WTP154" s="108"/>
      <c r="WTQ154" s="108"/>
      <c r="WTR154" s="108"/>
      <c r="WTS154" s="108"/>
      <c r="WTT154" s="108"/>
      <c r="WTU154" s="108"/>
      <c r="WTV154" s="108"/>
      <c r="WTW154" s="108"/>
      <c r="WTX154" s="108"/>
      <c r="WTY154" s="108"/>
      <c r="WTZ154" s="108"/>
      <c r="WUA154" s="108"/>
      <c r="WUB154" s="108"/>
      <c r="WUC154" s="108"/>
      <c r="WUD154" s="108"/>
      <c r="WUE154" s="108"/>
      <c r="WUF154" s="108"/>
      <c r="WUG154" s="108"/>
      <c r="WUH154" s="108"/>
      <c r="WUI154" s="108"/>
      <c r="WUJ154" s="108"/>
      <c r="WUK154" s="108"/>
      <c r="WUL154" s="108"/>
      <c r="WUM154" s="108"/>
      <c r="WUN154" s="108"/>
      <c r="WUO154" s="108"/>
      <c r="WUP154" s="108"/>
      <c r="WUQ154" s="108"/>
      <c r="WUR154" s="108"/>
      <c r="WUS154" s="108"/>
      <c r="WUT154" s="108"/>
      <c r="WUU154" s="108"/>
      <c r="WUV154" s="108"/>
      <c r="WUW154" s="108"/>
      <c r="WUX154" s="108"/>
      <c r="WUY154" s="108"/>
      <c r="WUZ154" s="108"/>
      <c r="WVA154" s="108"/>
      <c r="WVB154" s="108"/>
      <c r="WVC154" s="108"/>
      <c r="WVD154" s="108"/>
      <c r="WVE154" s="108"/>
      <c r="WVF154" s="108"/>
      <c r="WVG154" s="108"/>
      <c r="WVH154" s="108"/>
      <c r="WVI154" s="108"/>
      <c r="WVJ154" s="108"/>
      <c r="WVK154" s="108"/>
      <c r="WVL154" s="108"/>
      <c r="WVM154" s="108"/>
      <c r="WVN154" s="108"/>
      <c r="WVO154" s="108"/>
      <c r="WVP154" s="108"/>
      <c r="WVQ154" s="108"/>
      <c r="WVR154" s="108"/>
      <c r="WVS154" s="108"/>
      <c r="WVT154" s="108"/>
      <c r="WVU154" s="108"/>
      <c r="WVV154" s="108"/>
      <c r="WVW154" s="108"/>
      <c r="WVX154" s="108"/>
      <c r="WVY154" s="108"/>
      <c r="WVZ154" s="108"/>
      <c r="WWA154" s="108"/>
      <c r="WWB154" s="108"/>
      <c r="WWC154" s="108"/>
      <c r="WWD154" s="108"/>
      <c r="WWE154" s="108"/>
      <c r="WWF154" s="108"/>
      <c r="WWG154" s="108"/>
      <c r="WWH154" s="108"/>
      <c r="WWI154" s="108"/>
      <c r="WWJ154" s="108"/>
      <c r="WWK154" s="108"/>
      <c r="WWL154" s="108"/>
      <c r="WWM154" s="108"/>
      <c r="WWN154" s="108"/>
      <c r="WWO154" s="108"/>
      <c r="WWP154" s="108"/>
      <c r="WWQ154" s="108"/>
      <c r="WWR154" s="108"/>
      <c r="WWS154" s="108"/>
      <c r="WWT154" s="108"/>
      <c r="WWU154" s="108"/>
      <c r="WWV154" s="108"/>
      <c r="WWW154" s="108"/>
      <c r="WWX154" s="108"/>
      <c r="WWY154" s="108"/>
      <c r="WWZ154" s="108"/>
      <c r="WXA154" s="108"/>
      <c r="WXB154" s="108"/>
      <c r="WXC154" s="108"/>
      <c r="WXD154" s="108"/>
      <c r="WXE154" s="108"/>
      <c r="WXF154" s="108"/>
      <c r="WXG154" s="108"/>
      <c r="WXH154" s="108"/>
      <c r="WXI154" s="108"/>
      <c r="WXJ154" s="108"/>
      <c r="WXK154" s="108"/>
      <c r="WXL154" s="108"/>
      <c r="WXM154" s="108"/>
      <c r="WXN154" s="108"/>
      <c r="WXO154" s="108"/>
      <c r="WXP154" s="108"/>
      <c r="WXQ154" s="108"/>
      <c r="WXR154" s="108"/>
      <c r="WXS154" s="108"/>
      <c r="WXT154" s="108"/>
      <c r="WXU154" s="108"/>
      <c r="WXV154" s="108"/>
      <c r="WXW154" s="108"/>
      <c r="WXX154" s="108"/>
      <c r="WXY154" s="108"/>
      <c r="WXZ154" s="108"/>
      <c r="WYA154" s="108"/>
      <c r="WYB154" s="108"/>
      <c r="WYC154" s="108"/>
      <c r="WYD154" s="108"/>
      <c r="WYE154" s="108"/>
      <c r="WYF154" s="108"/>
      <c r="WYG154" s="108"/>
      <c r="WYH154" s="108"/>
      <c r="WYI154" s="108"/>
      <c r="WYJ154" s="108"/>
      <c r="WYK154" s="108"/>
      <c r="WYL154" s="108"/>
      <c r="WYM154" s="108"/>
      <c r="WYN154" s="108"/>
      <c r="WYO154" s="108"/>
      <c r="WYP154" s="108"/>
      <c r="WYQ154" s="108"/>
      <c r="WYR154" s="108"/>
      <c r="WYS154" s="108"/>
      <c r="WYT154" s="108"/>
      <c r="WYU154" s="108"/>
      <c r="WYV154" s="108"/>
      <c r="WYW154" s="108"/>
      <c r="WYX154" s="108"/>
      <c r="WYY154" s="108"/>
      <c r="WYZ154" s="108"/>
      <c r="WZA154" s="108"/>
      <c r="WZB154" s="108"/>
      <c r="WZC154" s="108"/>
      <c r="WZD154" s="108"/>
      <c r="WZE154" s="108"/>
      <c r="WZF154" s="108"/>
      <c r="WZG154" s="108"/>
      <c r="WZH154" s="108"/>
      <c r="WZI154" s="108"/>
      <c r="WZJ154" s="108"/>
      <c r="WZK154" s="108"/>
      <c r="WZL154" s="108"/>
      <c r="WZM154" s="108"/>
      <c r="WZN154" s="108"/>
      <c r="WZO154" s="108"/>
      <c r="WZP154" s="108"/>
      <c r="WZQ154" s="108"/>
      <c r="WZR154" s="108"/>
      <c r="WZS154" s="108"/>
      <c r="WZT154" s="108"/>
      <c r="WZU154" s="108"/>
      <c r="WZV154" s="108"/>
      <c r="WZW154" s="108"/>
      <c r="WZX154" s="108"/>
      <c r="WZY154" s="108"/>
      <c r="WZZ154" s="108"/>
      <c r="XAA154" s="108"/>
      <c r="XAB154" s="108"/>
      <c r="XAC154" s="108"/>
      <c r="XAD154" s="108"/>
      <c r="XAE154" s="108"/>
      <c r="XAF154" s="108"/>
      <c r="XAG154" s="108"/>
      <c r="XAH154" s="108"/>
      <c r="XAI154" s="108"/>
      <c r="XAJ154" s="108"/>
      <c r="XAK154" s="108"/>
      <c r="XAL154" s="108"/>
      <c r="XAM154" s="108"/>
      <c r="XAN154" s="108"/>
      <c r="XAO154" s="108"/>
      <c r="XAP154" s="108"/>
      <c r="XAQ154" s="108"/>
      <c r="XAR154" s="108"/>
      <c r="XAS154" s="108"/>
      <c r="XAT154" s="108"/>
      <c r="XAU154" s="108"/>
      <c r="XAV154" s="108"/>
      <c r="XAW154" s="108"/>
      <c r="XAX154" s="108"/>
      <c r="XAY154" s="108"/>
      <c r="XAZ154" s="108"/>
      <c r="XBA154" s="108"/>
      <c r="XBB154" s="108"/>
      <c r="XBC154" s="108"/>
      <c r="XBD154" s="108"/>
      <c r="XBE154" s="108"/>
      <c r="XBF154" s="108"/>
      <c r="XBG154" s="108"/>
      <c r="XBH154" s="108"/>
      <c r="XBI154" s="108"/>
      <c r="XBJ154" s="108"/>
      <c r="XBK154" s="108"/>
      <c r="XBL154" s="108"/>
      <c r="XBM154" s="108"/>
      <c r="XBN154" s="108"/>
      <c r="XBO154" s="108"/>
      <c r="XBP154" s="108"/>
      <c r="XBQ154" s="108"/>
      <c r="XBR154" s="108"/>
      <c r="XBS154" s="108"/>
      <c r="XBT154" s="108"/>
      <c r="XBU154" s="108"/>
      <c r="XBV154" s="108"/>
      <c r="XBW154" s="108"/>
      <c r="XBX154" s="108"/>
      <c r="XBY154" s="108"/>
      <c r="XBZ154" s="108"/>
      <c r="XCA154" s="108"/>
      <c r="XCB154" s="108"/>
      <c r="XCC154" s="108"/>
      <c r="XCD154" s="108"/>
      <c r="XCE154" s="108"/>
      <c r="XCF154" s="108"/>
      <c r="XCG154" s="108"/>
      <c r="XCH154" s="108"/>
      <c r="XCI154" s="108"/>
      <c r="XCJ154" s="108"/>
      <c r="XCK154" s="108"/>
      <c r="XCL154" s="108"/>
      <c r="XCM154" s="108"/>
      <c r="XCN154" s="108"/>
      <c r="XCO154" s="108"/>
      <c r="XCP154" s="108"/>
      <c r="XCQ154" s="108"/>
      <c r="XCR154" s="108"/>
      <c r="XCS154" s="108"/>
      <c r="XCT154" s="108"/>
      <c r="XCU154" s="108"/>
      <c r="XCV154" s="108"/>
      <c r="XCW154" s="108"/>
      <c r="XCX154" s="108"/>
      <c r="XCY154" s="108"/>
      <c r="XCZ154" s="108"/>
      <c r="XDA154" s="108"/>
      <c r="XDB154" s="108"/>
      <c r="XDC154" s="108"/>
      <c r="XDD154" s="108"/>
      <c r="XDE154" s="108"/>
      <c r="XDF154" s="108"/>
      <c r="XDG154" s="108"/>
      <c r="XDH154" s="108"/>
      <c r="XDI154" s="108"/>
      <c r="XDJ154" s="108"/>
      <c r="XDK154" s="108"/>
      <c r="XDL154" s="108"/>
      <c r="XDM154" s="108"/>
      <c r="XDN154" s="108"/>
      <c r="XDO154" s="108"/>
      <c r="XDP154" s="108"/>
      <c r="XDQ154" s="108"/>
      <c r="XDR154" s="108"/>
      <c r="XDS154" s="108"/>
      <c r="XDT154" s="108"/>
      <c r="XDU154" s="108"/>
      <c r="XDV154" s="108"/>
      <c r="XDW154" s="108"/>
      <c r="XDX154" s="108"/>
      <c r="XDY154" s="108"/>
      <c r="XDZ154" s="108"/>
      <c r="XEA154" s="108"/>
      <c r="XEB154" s="108"/>
      <c r="XEC154" s="108"/>
      <c r="XED154" s="108"/>
      <c r="XEE154" s="108"/>
      <c r="XEF154" s="108"/>
      <c r="XEG154" s="108"/>
      <c r="XEH154" s="108"/>
      <c r="XEI154" s="108"/>
      <c r="XEJ154" s="108"/>
      <c r="XEK154" s="108"/>
      <c r="XEL154" s="108"/>
      <c r="XEM154" s="108"/>
      <c r="XEN154" s="108"/>
      <c r="XEO154" s="108"/>
      <c r="XEP154" s="108"/>
    </row>
    <row r="155" spans="1:16370" hidden="1" outlineLevel="1">
      <c r="A155" s="70" t="s">
        <v>123</v>
      </c>
      <c r="B155" s="85" t="s">
        <v>85</v>
      </c>
      <c r="C155" s="72"/>
      <c r="D155" s="77">
        <f>'0'!D24</f>
        <v>2</v>
      </c>
      <c r="E155" s="77">
        <f>'0'!E24</f>
        <v>2</v>
      </c>
      <c r="F155" s="77">
        <f>'0'!F24</f>
        <v>3</v>
      </c>
      <c r="G155" s="77">
        <f>'0'!G24</f>
        <v>3</v>
      </c>
      <c r="H155" s="77">
        <f>'0'!H24</f>
        <v>3</v>
      </c>
      <c r="I155" s="77">
        <f>'0'!I24</f>
        <v>3</v>
      </c>
      <c r="J155" s="77">
        <f>'0'!J24</f>
        <v>4</v>
      </c>
      <c r="K155" s="77">
        <f>'0'!K24</f>
        <v>4</v>
      </c>
      <c r="L155" s="77">
        <f>'0'!L24</f>
        <v>5</v>
      </c>
      <c r="M155" s="77">
        <f>'0'!M24</f>
        <v>5</v>
      </c>
      <c r="N155" s="77">
        <f>'0'!N24</f>
        <v>5</v>
      </c>
      <c r="O155" s="77">
        <f>'0'!O24</f>
        <v>6</v>
      </c>
      <c r="P155" s="77">
        <f>'0'!P24</f>
        <v>6</v>
      </c>
      <c r="Q155" s="77">
        <f>'0'!Q24</f>
        <v>6</v>
      </c>
      <c r="R155" s="77">
        <f>'0'!R24</f>
        <v>6</v>
      </c>
      <c r="S155" s="77">
        <f>'0'!S24</f>
        <v>6</v>
      </c>
      <c r="T155" s="77">
        <f>'0'!T24</f>
        <v>6</v>
      </c>
      <c r="U155" s="77">
        <f>'0'!U24</f>
        <v>6</v>
      </c>
      <c r="V155" s="77">
        <f>'0'!V24</f>
        <v>6</v>
      </c>
      <c r="W155" s="77">
        <f>'0'!W24</f>
        <v>6</v>
      </c>
      <c r="X155" s="77">
        <f>'0'!X24</f>
        <v>6</v>
      </c>
      <c r="Y155" s="77">
        <f>'0'!Y24</f>
        <v>6</v>
      </c>
      <c r="Z155" s="77">
        <f>'0'!Z24</f>
        <v>6</v>
      </c>
      <c r="AA155" s="77">
        <f>'0'!AA24</f>
        <v>6</v>
      </c>
      <c r="AB155" s="77">
        <f>'0'!AB24</f>
        <v>6</v>
      </c>
      <c r="AC155" s="77">
        <f>'0'!AC24</f>
        <v>6</v>
      </c>
      <c r="AD155" s="77">
        <f>'0'!AD24</f>
        <v>6</v>
      </c>
      <c r="AE155" s="77">
        <f>'0'!AE24</f>
        <v>6</v>
      </c>
      <c r="AF155" s="77">
        <f>'0'!AF24</f>
        <v>6</v>
      </c>
      <c r="AG155" s="77">
        <f>'0'!AG24</f>
        <v>6</v>
      </c>
      <c r="AH155" s="77">
        <f>'0'!AH24</f>
        <v>6</v>
      </c>
      <c r="AI155" s="77">
        <f>'0'!AI24</f>
        <v>6</v>
      </c>
      <c r="AJ155" s="77">
        <f>'0'!AJ24</f>
        <v>6</v>
      </c>
      <c r="AK155" s="77">
        <f>'0'!AK24</f>
        <v>6</v>
      </c>
      <c r="AL155" s="77">
        <f>'0'!AL24</f>
        <v>6</v>
      </c>
      <c r="AM155" s="77">
        <f>'0'!AM24</f>
        <v>6</v>
      </c>
      <c r="AN155" s="81"/>
      <c r="AO155" s="75">
        <f>O155</f>
        <v>6</v>
      </c>
      <c r="AP155" s="75">
        <f>AA155</f>
        <v>6</v>
      </c>
      <c r="AQ155" s="75">
        <f>AM155</f>
        <v>6</v>
      </c>
    </row>
    <row r="156" spans="1:16370" hidden="1" outlineLevel="1">
      <c r="A156" s="70" t="s">
        <v>227</v>
      </c>
      <c r="B156" s="85" t="s">
        <v>85</v>
      </c>
      <c r="C156" s="72"/>
      <c r="D156" s="86">
        <v>100</v>
      </c>
      <c r="E156" s="86">
        <v>100</v>
      </c>
      <c r="F156" s="86">
        <v>100</v>
      </c>
      <c r="G156" s="86">
        <v>100</v>
      </c>
      <c r="H156" s="86">
        <v>100</v>
      </c>
      <c r="I156" s="86">
        <v>100</v>
      </c>
      <c r="J156" s="86">
        <v>100</v>
      </c>
      <c r="K156" s="86">
        <v>100</v>
      </c>
      <c r="L156" s="86">
        <v>100</v>
      </c>
      <c r="M156" s="86">
        <v>100</v>
      </c>
      <c r="N156" s="86">
        <v>100</v>
      </c>
      <c r="O156" s="86">
        <v>100</v>
      </c>
      <c r="P156" s="86">
        <v>100</v>
      </c>
      <c r="Q156" s="86">
        <v>100</v>
      </c>
      <c r="R156" s="86">
        <v>100</v>
      </c>
      <c r="S156" s="86">
        <v>100</v>
      </c>
      <c r="T156" s="86">
        <v>100</v>
      </c>
      <c r="U156" s="86">
        <v>100</v>
      </c>
      <c r="V156" s="86">
        <v>100</v>
      </c>
      <c r="W156" s="86">
        <v>100</v>
      </c>
      <c r="X156" s="86">
        <v>100</v>
      </c>
      <c r="Y156" s="86">
        <v>100</v>
      </c>
      <c r="Z156" s="86">
        <v>100</v>
      </c>
      <c r="AA156" s="86">
        <v>100</v>
      </c>
      <c r="AB156" s="86">
        <v>100</v>
      </c>
      <c r="AC156" s="86">
        <v>100</v>
      </c>
      <c r="AD156" s="86">
        <v>100</v>
      </c>
      <c r="AE156" s="86">
        <v>100</v>
      </c>
      <c r="AF156" s="86">
        <v>100</v>
      </c>
      <c r="AG156" s="86">
        <v>100</v>
      </c>
      <c r="AH156" s="86">
        <v>100</v>
      </c>
      <c r="AI156" s="86">
        <v>100</v>
      </c>
      <c r="AJ156" s="86">
        <v>100</v>
      </c>
      <c r="AK156" s="86">
        <v>100</v>
      </c>
      <c r="AL156" s="86">
        <v>100</v>
      </c>
      <c r="AM156" s="86">
        <v>100</v>
      </c>
      <c r="AN156" s="81"/>
      <c r="AO156" s="75">
        <f>AVERAGE(D156:O156)</f>
        <v>100</v>
      </c>
      <c r="AP156" s="75">
        <f>AVERAGE(P156:AA156)</f>
        <v>100</v>
      </c>
      <c r="AQ156" s="75">
        <f>AVERAGE(AB156:AM156)</f>
        <v>100</v>
      </c>
    </row>
    <row r="157" spans="1:16370" hidden="1" outlineLevel="1">
      <c r="A157" s="80" t="s">
        <v>228</v>
      </c>
      <c r="B157" s="85" t="s">
        <v>85</v>
      </c>
      <c r="D157" s="110">
        <f>D156*D155</f>
        <v>200</v>
      </c>
      <c r="E157" s="110">
        <f t="shared" ref="E157:AM157" si="176">E156*E155</f>
        <v>200</v>
      </c>
      <c r="F157" s="110">
        <f t="shared" si="176"/>
        <v>300</v>
      </c>
      <c r="G157" s="110">
        <f t="shared" si="176"/>
        <v>300</v>
      </c>
      <c r="H157" s="110">
        <f t="shared" si="176"/>
        <v>300</v>
      </c>
      <c r="I157" s="110">
        <f t="shared" si="176"/>
        <v>300</v>
      </c>
      <c r="J157" s="110">
        <f t="shared" si="176"/>
        <v>400</v>
      </c>
      <c r="K157" s="110">
        <f t="shared" si="176"/>
        <v>400</v>
      </c>
      <c r="L157" s="110">
        <f t="shared" si="176"/>
        <v>500</v>
      </c>
      <c r="M157" s="110">
        <f t="shared" si="176"/>
        <v>500</v>
      </c>
      <c r="N157" s="110">
        <f t="shared" si="176"/>
        <v>500</v>
      </c>
      <c r="O157" s="110">
        <f t="shared" si="176"/>
        <v>600</v>
      </c>
      <c r="P157" s="110">
        <f t="shared" si="176"/>
        <v>600</v>
      </c>
      <c r="Q157" s="110">
        <f t="shared" si="176"/>
        <v>600</v>
      </c>
      <c r="R157" s="110">
        <f t="shared" si="176"/>
        <v>600</v>
      </c>
      <c r="S157" s="110">
        <f t="shared" si="176"/>
        <v>600</v>
      </c>
      <c r="T157" s="110">
        <f t="shared" si="176"/>
        <v>600</v>
      </c>
      <c r="U157" s="110">
        <f t="shared" si="176"/>
        <v>600</v>
      </c>
      <c r="V157" s="110">
        <f t="shared" si="176"/>
        <v>600</v>
      </c>
      <c r="W157" s="110">
        <f t="shared" si="176"/>
        <v>600</v>
      </c>
      <c r="X157" s="110">
        <f t="shared" si="176"/>
        <v>600</v>
      </c>
      <c r="Y157" s="110">
        <f t="shared" si="176"/>
        <v>600</v>
      </c>
      <c r="Z157" s="110">
        <f t="shared" si="176"/>
        <v>600</v>
      </c>
      <c r="AA157" s="110">
        <f t="shared" si="176"/>
        <v>600</v>
      </c>
      <c r="AB157" s="110">
        <f t="shared" si="176"/>
        <v>600</v>
      </c>
      <c r="AC157" s="110">
        <f t="shared" si="176"/>
        <v>600</v>
      </c>
      <c r="AD157" s="110">
        <f t="shared" si="176"/>
        <v>600</v>
      </c>
      <c r="AE157" s="110">
        <f t="shared" si="176"/>
        <v>600</v>
      </c>
      <c r="AF157" s="110">
        <f t="shared" si="176"/>
        <v>600</v>
      </c>
      <c r="AG157" s="110">
        <f t="shared" si="176"/>
        <v>600</v>
      </c>
      <c r="AH157" s="110">
        <f t="shared" si="176"/>
        <v>600</v>
      </c>
      <c r="AI157" s="110">
        <f t="shared" si="176"/>
        <v>600</v>
      </c>
      <c r="AJ157" s="110">
        <f t="shared" si="176"/>
        <v>600</v>
      </c>
      <c r="AK157" s="110">
        <f t="shared" si="176"/>
        <v>600</v>
      </c>
      <c r="AL157" s="110">
        <f t="shared" si="176"/>
        <v>600</v>
      </c>
      <c r="AM157" s="110">
        <f t="shared" si="176"/>
        <v>600</v>
      </c>
    </row>
    <row r="158" spans="1:16370" hidden="1" outlineLevel="1">
      <c r="A158" s="80" t="s">
        <v>229</v>
      </c>
      <c r="B158" s="85" t="s">
        <v>78</v>
      </c>
      <c r="D158" s="104">
        <v>0.7</v>
      </c>
      <c r="E158" s="104">
        <v>0.7</v>
      </c>
      <c r="F158" s="104">
        <v>0.7</v>
      </c>
      <c r="G158" s="104">
        <v>0.7</v>
      </c>
      <c r="H158" s="104">
        <v>0.7</v>
      </c>
      <c r="I158" s="104">
        <v>0.7</v>
      </c>
      <c r="J158" s="104">
        <v>0.7</v>
      </c>
      <c r="K158" s="104">
        <v>0.7</v>
      </c>
      <c r="L158" s="104">
        <v>0.7</v>
      </c>
      <c r="M158" s="104">
        <v>0.7</v>
      </c>
      <c r="N158" s="104">
        <v>0.7</v>
      </c>
      <c r="O158" s="104">
        <v>0.7</v>
      </c>
      <c r="P158" s="104">
        <v>0.7</v>
      </c>
      <c r="Q158" s="104">
        <v>0.7</v>
      </c>
      <c r="R158" s="104">
        <v>0.7</v>
      </c>
      <c r="S158" s="104">
        <v>0.7</v>
      </c>
      <c r="T158" s="104">
        <v>0.7</v>
      </c>
      <c r="U158" s="104">
        <v>0.7</v>
      </c>
      <c r="V158" s="104">
        <v>0.7</v>
      </c>
      <c r="W158" s="104">
        <v>0.7</v>
      </c>
      <c r="X158" s="104">
        <v>0.7</v>
      </c>
      <c r="Y158" s="104">
        <v>0.7</v>
      </c>
      <c r="Z158" s="104">
        <v>0.7</v>
      </c>
      <c r="AA158" s="104">
        <v>0.7</v>
      </c>
      <c r="AB158" s="104">
        <v>0.7</v>
      </c>
      <c r="AC158" s="104">
        <v>0.7</v>
      </c>
      <c r="AD158" s="104">
        <v>0.7</v>
      </c>
      <c r="AE158" s="104">
        <v>0.7</v>
      </c>
      <c r="AF158" s="104">
        <v>0.7</v>
      </c>
      <c r="AG158" s="104">
        <v>0.7</v>
      </c>
      <c r="AH158" s="104">
        <v>0.7</v>
      </c>
      <c r="AI158" s="104">
        <v>0.7</v>
      </c>
      <c r="AJ158" s="104">
        <v>0.7</v>
      </c>
      <c r="AK158" s="104">
        <v>0.7</v>
      </c>
      <c r="AL158" s="104">
        <v>0.7</v>
      </c>
      <c r="AM158" s="104">
        <v>0.7</v>
      </c>
    </row>
    <row r="159" spans="1:16370" hidden="1" outlineLevel="1">
      <c r="A159" s="80" t="s">
        <v>230</v>
      </c>
      <c r="B159" s="85" t="s">
        <v>78</v>
      </c>
      <c r="D159" s="113">
        <f>D157*D158</f>
        <v>140</v>
      </c>
      <c r="E159" s="113">
        <f t="shared" ref="E159:AM159" si="177">E157*E158</f>
        <v>140</v>
      </c>
      <c r="F159" s="113">
        <f t="shared" si="177"/>
        <v>210</v>
      </c>
      <c r="G159" s="113">
        <f t="shared" si="177"/>
        <v>210</v>
      </c>
      <c r="H159" s="113">
        <f t="shared" si="177"/>
        <v>210</v>
      </c>
      <c r="I159" s="113">
        <f t="shared" si="177"/>
        <v>210</v>
      </c>
      <c r="J159" s="113">
        <f t="shared" si="177"/>
        <v>280</v>
      </c>
      <c r="K159" s="113">
        <f t="shared" si="177"/>
        <v>280</v>
      </c>
      <c r="L159" s="113">
        <f t="shared" si="177"/>
        <v>350</v>
      </c>
      <c r="M159" s="113">
        <f t="shared" si="177"/>
        <v>350</v>
      </c>
      <c r="N159" s="113">
        <f t="shared" si="177"/>
        <v>350</v>
      </c>
      <c r="O159" s="113">
        <f t="shared" si="177"/>
        <v>420</v>
      </c>
      <c r="P159" s="113">
        <f t="shared" si="177"/>
        <v>420</v>
      </c>
      <c r="Q159" s="113">
        <f t="shared" si="177"/>
        <v>420</v>
      </c>
      <c r="R159" s="113">
        <f t="shared" si="177"/>
        <v>420</v>
      </c>
      <c r="S159" s="113">
        <f t="shared" si="177"/>
        <v>420</v>
      </c>
      <c r="T159" s="113">
        <f t="shared" si="177"/>
        <v>420</v>
      </c>
      <c r="U159" s="113">
        <f t="shared" si="177"/>
        <v>420</v>
      </c>
      <c r="V159" s="113">
        <f t="shared" si="177"/>
        <v>420</v>
      </c>
      <c r="W159" s="113">
        <f t="shared" si="177"/>
        <v>420</v>
      </c>
      <c r="X159" s="113">
        <f t="shared" si="177"/>
        <v>420</v>
      </c>
      <c r="Y159" s="113">
        <f t="shared" si="177"/>
        <v>420</v>
      </c>
      <c r="Z159" s="113">
        <f t="shared" si="177"/>
        <v>420</v>
      </c>
      <c r="AA159" s="113">
        <f t="shared" si="177"/>
        <v>420</v>
      </c>
      <c r="AB159" s="113">
        <f t="shared" si="177"/>
        <v>420</v>
      </c>
      <c r="AC159" s="113">
        <f t="shared" si="177"/>
        <v>420</v>
      </c>
      <c r="AD159" s="113">
        <f t="shared" si="177"/>
        <v>420</v>
      </c>
      <c r="AE159" s="113">
        <f t="shared" si="177"/>
        <v>420</v>
      </c>
      <c r="AF159" s="113">
        <f t="shared" si="177"/>
        <v>420</v>
      </c>
      <c r="AG159" s="113">
        <f t="shared" si="177"/>
        <v>420</v>
      </c>
      <c r="AH159" s="113">
        <f t="shared" si="177"/>
        <v>420</v>
      </c>
      <c r="AI159" s="113">
        <f t="shared" si="177"/>
        <v>420</v>
      </c>
      <c r="AJ159" s="113">
        <f t="shared" si="177"/>
        <v>420</v>
      </c>
      <c r="AK159" s="113">
        <f t="shared" si="177"/>
        <v>420</v>
      </c>
      <c r="AL159" s="113">
        <f t="shared" si="177"/>
        <v>420</v>
      </c>
      <c r="AM159" s="113">
        <f t="shared" si="177"/>
        <v>420</v>
      </c>
    </row>
    <row r="160" spans="1:16370" hidden="1" outlineLevel="1">
      <c r="A160" s="80" t="s">
        <v>231</v>
      </c>
      <c r="B160" s="71" t="s">
        <v>79</v>
      </c>
      <c r="D160" s="92">
        <v>0.2</v>
      </c>
      <c r="E160" s="92">
        <v>0.2</v>
      </c>
      <c r="F160" s="92">
        <v>0.2</v>
      </c>
      <c r="G160" s="92">
        <v>0.2</v>
      </c>
      <c r="H160" s="92">
        <v>0.2</v>
      </c>
      <c r="I160" s="92">
        <v>0.2</v>
      </c>
      <c r="J160" s="92">
        <v>0.2</v>
      </c>
      <c r="K160" s="92">
        <v>0.2</v>
      </c>
      <c r="L160" s="92">
        <v>0.2</v>
      </c>
      <c r="M160" s="92">
        <v>0.2</v>
      </c>
      <c r="N160" s="92">
        <v>0.2</v>
      </c>
      <c r="O160" s="92">
        <v>0.2</v>
      </c>
      <c r="P160" s="92">
        <v>0.2</v>
      </c>
      <c r="Q160" s="92">
        <v>0.2</v>
      </c>
      <c r="R160" s="92">
        <v>0.2</v>
      </c>
      <c r="S160" s="92">
        <v>0.2</v>
      </c>
      <c r="T160" s="92">
        <v>0.2</v>
      </c>
      <c r="U160" s="92">
        <v>0.2</v>
      </c>
      <c r="V160" s="92">
        <v>0.2</v>
      </c>
      <c r="W160" s="92">
        <v>0.2</v>
      </c>
      <c r="X160" s="92">
        <v>0.2</v>
      </c>
      <c r="Y160" s="92">
        <v>0.2</v>
      </c>
      <c r="Z160" s="92">
        <v>0.2</v>
      </c>
      <c r="AA160" s="92">
        <v>0.2</v>
      </c>
      <c r="AB160" s="92">
        <v>0.2</v>
      </c>
      <c r="AC160" s="92">
        <v>0.2</v>
      </c>
      <c r="AD160" s="92">
        <v>0.2</v>
      </c>
      <c r="AE160" s="92">
        <v>0.2</v>
      </c>
      <c r="AF160" s="92">
        <v>0.2</v>
      </c>
      <c r="AG160" s="92">
        <v>0.2</v>
      </c>
      <c r="AH160" s="92">
        <v>0.2</v>
      </c>
      <c r="AI160" s="92">
        <v>0.2</v>
      </c>
      <c r="AJ160" s="92">
        <v>0.2</v>
      </c>
      <c r="AK160" s="92">
        <v>0.2</v>
      </c>
      <c r="AL160" s="92">
        <v>0.2</v>
      </c>
      <c r="AM160" s="92">
        <v>0.2</v>
      </c>
    </row>
    <row r="161" spans="1:43" hidden="1" outlineLevel="1">
      <c r="A161" s="80" t="s">
        <v>231</v>
      </c>
      <c r="B161" s="85" t="s">
        <v>78</v>
      </c>
      <c r="D161" s="111">
        <f>D159*D160</f>
        <v>28</v>
      </c>
      <c r="E161" s="111">
        <f t="shared" ref="E161:AM161" si="178">E159*E160</f>
        <v>28</v>
      </c>
      <c r="F161" s="111">
        <f t="shared" si="178"/>
        <v>42</v>
      </c>
      <c r="G161" s="111">
        <f t="shared" si="178"/>
        <v>42</v>
      </c>
      <c r="H161" s="111">
        <f t="shared" si="178"/>
        <v>42</v>
      </c>
      <c r="I161" s="111">
        <f t="shared" si="178"/>
        <v>42</v>
      </c>
      <c r="J161" s="111">
        <f t="shared" si="178"/>
        <v>56</v>
      </c>
      <c r="K161" s="111">
        <f t="shared" si="178"/>
        <v>56</v>
      </c>
      <c r="L161" s="111">
        <f t="shared" si="178"/>
        <v>70</v>
      </c>
      <c r="M161" s="111">
        <f t="shared" si="178"/>
        <v>70</v>
      </c>
      <c r="N161" s="111">
        <f t="shared" si="178"/>
        <v>70</v>
      </c>
      <c r="O161" s="111">
        <f t="shared" si="178"/>
        <v>84</v>
      </c>
      <c r="P161" s="111">
        <f t="shared" si="178"/>
        <v>84</v>
      </c>
      <c r="Q161" s="111">
        <f t="shared" si="178"/>
        <v>84</v>
      </c>
      <c r="R161" s="111">
        <f t="shared" si="178"/>
        <v>84</v>
      </c>
      <c r="S161" s="111">
        <f t="shared" si="178"/>
        <v>84</v>
      </c>
      <c r="T161" s="111">
        <f t="shared" si="178"/>
        <v>84</v>
      </c>
      <c r="U161" s="111">
        <f t="shared" si="178"/>
        <v>84</v>
      </c>
      <c r="V161" s="111">
        <f t="shared" si="178"/>
        <v>84</v>
      </c>
      <c r="W161" s="111">
        <f t="shared" si="178"/>
        <v>84</v>
      </c>
      <c r="X161" s="111">
        <f t="shared" si="178"/>
        <v>84</v>
      </c>
      <c r="Y161" s="111">
        <f t="shared" si="178"/>
        <v>84</v>
      </c>
      <c r="Z161" s="111">
        <f t="shared" si="178"/>
        <v>84</v>
      </c>
      <c r="AA161" s="111">
        <f t="shared" si="178"/>
        <v>84</v>
      </c>
      <c r="AB161" s="111">
        <f t="shared" si="178"/>
        <v>84</v>
      </c>
      <c r="AC161" s="111">
        <f t="shared" si="178"/>
        <v>84</v>
      </c>
      <c r="AD161" s="111">
        <f t="shared" si="178"/>
        <v>84</v>
      </c>
      <c r="AE161" s="111">
        <f t="shared" si="178"/>
        <v>84</v>
      </c>
      <c r="AF161" s="111">
        <f t="shared" si="178"/>
        <v>84</v>
      </c>
      <c r="AG161" s="111">
        <f t="shared" si="178"/>
        <v>84</v>
      </c>
      <c r="AH161" s="111">
        <f t="shared" si="178"/>
        <v>84</v>
      </c>
      <c r="AI161" s="111">
        <f t="shared" si="178"/>
        <v>84</v>
      </c>
      <c r="AJ161" s="111">
        <f t="shared" si="178"/>
        <v>84</v>
      </c>
      <c r="AK161" s="111">
        <f t="shared" si="178"/>
        <v>84</v>
      </c>
      <c r="AL161" s="111">
        <f t="shared" si="178"/>
        <v>84</v>
      </c>
      <c r="AM161" s="111">
        <f t="shared" si="178"/>
        <v>84</v>
      </c>
    </row>
    <row r="162" spans="1:43" hidden="1" outlineLevel="1">
      <c r="A162" s="80" t="s">
        <v>232</v>
      </c>
      <c r="B162" s="71" t="s">
        <v>79</v>
      </c>
      <c r="D162" s="92">
        <v>0.3</v>
      </c>
      <c r="E162" s="92">
        <v>0.3</v>
      </c>
      <c r="F162" s="92">
        <v>0.3</v>
      </c>
      <c r="G162" s="92">
        <v>0.3</v>
      </c>
      <c r="H162" s="92">
        <v>0.3</v>
      </c>
      <c r="I162" s="92">
        <v>0.3</v>
      </c>
      <c r="J162" s="92">
        <v>0.3</v>
      </c>
      <c r="K162" s="92">
        <v>0.3</v>
      </c>
      <c r="L162" s="92">
        <v>0.3</v>
      </c>
      <c r="M162" s="92">
        <v>0.3</v>
      </c>
      <c r="N162" s="92">
        <v>0.3</v>
      </c>
      <c r="O162" s="92">
        <v>0.3</v>
      </c>
      <c r="P162" s="92">
        <v>0.3</v>
      </c>
      <c r="Q162" s="92">
        <v>0.3</v>
      </c>
      <c r="R162" s="92">
        <v>0.3</v>
      </c>
      <c r="S162" s="92">
        <v>0.3</v>
      </c>
      <c r="T162" s="92">
        <v>0.3</v>
      </c>
      <c r="U162" s="92">
        <v>0.3</v>
      </c>
      <c r="V162" s="92">
        <v>0.3</v>
      </c>
      <c r="W162" s="92">
        <v>0.3</v>
      </c>
      <c r="X162" s="92">
        <v>0.3</v>
      </c>
      <c r="Y162" s="92">
        <v>0.3</v>
      </c>
      <c r="Z162" s="92">
        <v>0.3</v>
      </c>
      <c r="AA162" s="92">
        <v>0.3</v>
      </c>
      <c r="AB162" s="92">
        <v>0.3</v>
      </c>
      <c r="AC162" s="92">
        <v>0.3</v>
      </c>
      <c r="AD162" s="92">
        <v>0.3</v>
      </c>
      <c r="AE162" s="92">
        <v>0.3</v>
      </c>
      <c r="AF162" s="92">
        <v>0.3</v>
      </c>
      <c r="AG162" s="92">
        <v>0.3</v>
      </c>
      <c r="AH162" s="92">
        <v>0.3</v>
      </c>
      <c r="AI162" s="92">
        <v>0.3</v>
      </c>
      <c r="AJ162" s="92">
        <v>0.3</v>
      </c>
      <c r="AK162" s="92">
        <v>0.3</v>
      </c>
      <c r="AL162" s="92">
        <v>0.3</v>
      </c>
      <c r="AM162" s="92">
        <v>0.3</v>
      </c>
    </row>
    <row r="163" spans="1:43" hidden="1" outlineLevel="1">
      <c r="A163" s="80" t="s">
        <v>233</v>
      </c>
      <c r="B163" s="85" t="s">
        <v>78</v>
      </c>
      <c r="D163" s="73">
        <f>-D162*D161</f>
        <v>-8.4</v>
      </c>
      <c r="E163" s="73">
        <f t="shared" ref="E163:AM163" si="179">-E162*E161</f>
        <v>-8.4</v>
      </c>
      <c r="F163" s="73">
        <f t="shared" si="179"/>
        <v>-12.6</v>
      </c>
      <c r="G163" s="73">
        <f t="shared" si="179"/>
        <v>-12.6</v>
      </c>
      <c r="H163" s="73">
        <f t="shared" si="179"/>
        <v>-12.6</v>
      </c>
      <c r="I163" s="73">
        <f t="shared" si="179"/>
        <v>-12.6</v>
      </c>
      <c r="J163" s="73">
        <f t="shared" si="179"/>
        <v>-16.8</v>
      </c>
      <c r="K163" s="73">
        <f t="shared" si="179"/>
        <v>-16.8</v>
      </c>
      <c r="L163" s="73">
        <f t="shared" si="179"/>
        <v>-21</v>
      </c>
      <c r="M163" s="73">
        <f t="shared" si="179"/>
        <v>-21</v>
      </c>
      <c r="N163" s="73">
        <f t="shared" si="179"/>
        <v>-21</v>
      </c>
      <c r="O163" s="73">
        <f t="shared" si="179"/>
        <v>-25.2</v>
      </c>
      <c r="P163" s="73">
        <f t="shared" si="179"/>
        <v>-25.2</v>
      </c>
      <c r="Q163" s="73">
        <f t="shared" si="179"/>
        <v>-25.2</v>
      </c>
      <c r="R163" s="73">
        <f t="shared" si="179"/>
        <v>-25.2</v>
      </c>
      <c r="S163" s="73">
        <f t="shared" si="179"/>
        <v>-25.2</v>
      </c>
      <c r="T163" s="73">
        <f t="shared" si="179"/>
        <v>-25.2</v>
      </c>
      <c r="U163" s="73">
        <f t="shared" si="179"/>
        <v>-25.2</v>
      </c>
      <c r="V163" s="73">
        <f t="shared" si="179"/>
        <v>-25.2</v>
      </c>
      <c r="W163" s="73">
        <f t="shared" si="179"/>
        <v>-25.2</v>
      </c>
      <c r="X163" s="73">
        <f t="shared" si="179"/>
        <v>-25.2</v>
      </c>
      <c r="Y163" s="73">
        <f t="shared" si="179"/>
        <v>-25.2</v>
      </c>
      <c r="Z163" s="73">
        <f t="shared" si="179"/>
        <v>-25.2</v>
      </c>
      <c r="AA163" s="73">
        <f t="shared" si="179"/>
        <v>-25.2</v>
      </c>
      <c r="AB163" s="73">
        <f t="shared" si="179"/>
        <v>-25.2</v>
      </c>
      <c r="AC163" s="73">
        <f t="shared" si="179"/>
        <v>-25.2</v>
      </c>
      <c r="AD163" s="73">
        <f t="shared" si="179"/>
        <v>-25.2</v>
      </c>
      <c r="AE163" s="73">
        <f t="shared" si="179"/>
        <v>-25.2</v>
      </c>
      <c r="AF163" s="73">
        <f t="shared" si="179"/>
        <v>-25.2</v>
      </c>
      <c r="AG163" s="73">
        <f t="shared" si="179"/>
        <v>-25.2</v>
      </c>
      <c r="AH163" s="73">
        <f t="shared" si="179"/>
        <v>-25.2</v>
      </c>
      <c r="AI163" s="73">
        <f t="shared" si="179"/>
        <v>-25.2</v>
      </c>
      <c r="AJ163" s="73">
        <f t="shared" si="179"/>
        <v>-25.2</v>
      </c>
      <c r="AK163" s="73">
        <f t="shared" si="179"/>
        <v>-25.2</v>
      </c>
      <c r="AL163" s="73">
        <f t="shared" si="179"/>
        <v>-25.2</v>
      </c>
      <c r="AM163" s="73">
        <f t="shared" si="179"/>
        <v>-25.2</v>
      </c>
    </row>
    <row r="164" spans="1:43" hidden="1" outlineLevel="1">
      <c r="A164" s="70" t="s">
        <v>205</v>
      </c>
      <c r="B164" s="85" t="s">
        <v>78</v>
      </c>
      <c r="C164" s="72"/>
      <c r="D164" s="77">
        <f>-'OPEX+CAPEX'!E113</f>
        <v>-107.14285714285714</v>
      </c>
      <c r="E164" s="77">
        <f>-'OPEX+CAPEX'!F113</f>
        <v>-107.14285714285714</v>
      </c>
      <c r="F164" s="77">
        <f>-'OPEX+CAPEX'!G113</f>
        <v>-107.14285714285714</v>
      </c>
      <c r="G164" s="77">
        <f>-'OPEX+CAPEX'!H113</f>
        <v>-107.14285714285714</v>
      </c>
      <c r="H164" s="77">
        <f>-'OPEX+CAPEX'!I113</f>
        <v>-107.14285714285714</v>
      </c>
      <c r="I164" s="77">
        <f>-'OPEX+CAPEX'!J113</f>
        <v>-107.14285714285714</v>
      </c>
      <c r="J164" s="77">
        <f>-'OPEX+CAPEX'!K113</f>
        <v>-107.14285714285714</v>
      </c>
      <c r="K164" s="77">
        <f>-'OPEX+CAPEX'!L113</f>
        <v>-107.14285714285714</v>
      </c>
      <c r="L164" s="77">
        <f>-'OPEX+CAPEX'!M113</f>
        <v>-107.14285714285714</v>
      </c>
      <c r="M164" s="77">
        <f>-'OPEX+CAPEX'!N113</f>
        <v>-107.14285714285714</v>
      </c>
      <c r="N164" s="77">
        <f>-'OPEX+CAPEX'!O113</f>
        <v>-107.14285714285714</v>
      </c>
      <c r="O164" s="77">
        <f>-'OPEX+CAPEX'!P113</f>
        <v>-107.14285714285714</v>
      </c>
      <c r="P164" s="77">
        <f>-'OPEX+CAPEX'!Q113</f>
        <v>-107.14285714285714</v>
      </c>
      <c r="Q164" s="77">
        <f>-'OPEX+CAPEX'!R113</f>
        <v>-107.14285714285714</v>
      </c>
      <c r="R164" s="77">
        <f>-'OPEX+CAPEX'!S113</f>
        <v>-107.14285714285714</v>
      </c>
      <c r="S164" s="77">
        <f>-'OPEX+CAPEX'!T113</f>
        <v>-107.14285714285714</v>
      </c>
      <c r="T164" s="77">
        <f>-'OPEX+CAPEX'!U113</f>
        <v>-107.14285714285714</v>
      </c>
      <c r="U164" s="77">
        <f>-'OPEX+CAPEX'!V113</f>
        <v>-107.14285714285714</v>
      </c>
      <c r="V164" s="77">
        <f>-'OPEX+CAPEX'!W113</f>
        <v>-107.14285714285714</v>
      </c>
      <c r="W164" s="77">
        <f>-'OPEX+CAPEX'!X113</f>
        <v>-107.14285714285714</v>
      </c>
      <c r="X164" s="77">
        <f>-'OPEX+CAPEX'!Y113</f>
        <v>-107.14285714285714</v>
      </c>
      <c r="Y164" s="77">
        <f>-'OPEX+CAPEX'!Z113</f>
        <v>-107.14285714285714</v>
      </c>
      <c r="Z164" s="77">
        <f>-'OPEX+CAPEX'!AA113</f>
        <v>-107.14285714285714</v>
      </c>
      <c r="AA164" s="77">
        <f>-'OPEX+CAPEX'!AB113</f>
        <v>-107.14285714285714</v>
      </c>
      <c r="AB164" s="77">
        <f>-'OPEX+CAPEX'!AC113</f>
        <v>-107.14285714285714</v>
      </c>
      <c r="AC164" s="77">
        <f>-'OPEX+CAPEX'!AD113</f>
        <v>-107.14285714285714</v>
      </c>
      <c r="AD164" s="77">
        <f>-'OPEX+CAPEX'!AE113</f>
        <v>-107.14285714285714</v>
      </c>
      <c r="AE164" s="77">
        <f>-'OPEX+CAPEX'!AF113</f>
        <v>-107.14285714285714</v>
      </c>
      <c r="AF164" s="77">
        <f>-'OPEX+CAPEX'!AG113</f>
        <v>-107.14285714285714</v>
      </c>
      <c r="AG164" s="77">
        <f>-'OPEX+CAPEX'!AH113</f>
        <v>-107.14285714285714</v>
      </c>
      <c r="AH164" s="77">
        <f>-'OPEX+CAPEX'!AI113</f>
        <v>-107.14285714285714</v>
      </c>
      <c r="AI164" s="77">
        <f>-'OPEX+CAPEX'!AJ113</f>
        <v>-107.14285714285714</v>
      </c>
      <c r="AJ164" s="77">
        <f>-'OPEX+CAPEX'!AK113</f>
        <v>-107.14285714285714</v>
      </c>
      <c r="AK164" s="77">
        <f>-'OPEX+CAPEX'!AL113</f>
        <v>-107.14285714285714</v>
      </c>
      <c r="AL164" s="77">
        <f>-'OPEX+CAPEX'!AM113</f>
        <v>-107.14285714285714</v>
      </c>
      <c r="AM164" s="77">
        <f>-'OPEX+CAPEX'!AN113</f>
        <v>-107.14285714285714</v>
      </c>
      <c r="AN164" s="81"/>
      <c r="AO164" s="75">
        <f>SUM(D164:O164)</f>
        <v>-1285.7142857142856</v>
      </c>
      <c r="AP164" s="75">
        <f>SUM(P164:AA164)</f>
        <v>-1285.7142857142856</v>
      </c>
      <c r="AQ164" s="75">
        <f>SUM(AB164:AM164)</f>
        <v>-1285.7142857142856</v>
      </c>
    </row>
    <row r="165" spans="1:43" hidden="1" outlineLevel="1">
      <c r="A165" s="80" t="s">
        <v>177</v>
      </c>
      <c r="B165" s="85" t="s">
        <v>78</v>
      </c>
      <c r="D165" s="73">
        <f>D161+D163+D164</f>
        <v>-87.542857142857144</v>
      </c>
      <c r="E165" s="73">
        <f t="shared" ref="E165:AM165" si="180">E161+E163+E164</f>
        <v>-87.542857142857144</v>
      </c>
      <c r="F165" s="73">
        <f t="shared" si="180"/>
        <v>-77.742857142857133</v>
      </c>
      <c r="G165" s="73">
        <f t="shared" si="180"/>
        <v>-77.742857142857133</v>
      </c>
      <c r="H165" s="73">
        <f t="shared" si="180"/>
        <v>-77.742857142857133</v>
      </c>
      <c r="I165" s="73">
        <f t="shared" si="180"/>
        <v>-77.742857142857133</v>
      </c>
      <c r="J165" s="73">
        <f t="shared" si="180"/>
        <v>-67.942857142857136</v>
      </c>
      <c r="K165" s="73">
        <f t="shared" si="180"/>
        <v>-67.942857142857136</v>
      </c>
      <c r="L165" s="73">
        <f t="shared" si="180"/>
        <v>-58.142857142857139</v>
      </c>
      <c r="M165" s="73">
        <f t="shared" si="180"/>
        <v>-58.142857142857139</v>
      </c>
      <c r="N165" s="73">
        <f t="shared" si="180"/>
        <v>-58.142857142857139</v>
      </c>
      <c r="O165" s="73">
        <f t="shared" si="180"/>
        <v>-48.342857142857142</v>
      </c>
      <c r="P165" s="73">
        <f t="shared" si="180"/>
        <v>-48.342857142857142</v>
      </c>
      <c r="Q165" s="73">
        <f t="shared" si="180"/>
        <v>-48.342857142857142</v>
      </c>
      <c r="R165" s="73">
        <f t="shared" si="180"/>
        <v>-48.342857142857142</v>
      </c>
      <c r="S165" s="73">
        <f t="shared" si="180"/>
        <v>-48.342857142857142</v>
      </c>
      <c r="T165" s="73">
        <f t="shared" si="180"/>
        <v>-48.342857142857142</v>
      </c>
      <c r="U165" s="73">
        <f t="shared" si="180"/>
        <v>-48.342857142857142</v>
      </c>
      <c r="V165" s="73">
        <f t="shared" si="180"/>
        <v>-48.342857142857142</v>
      </c>
      <c r="W165" s="73">
        <f t="shared" si="180"/>
        <v>-48.342857142857142</v>
      </c>
      <c r="X165" s="73">
        <f t="shared" si="180"/>
        <v>-48.342857142857142</v>
      </c>
      <c r="Y165" s="73">
        <f t="shared" si="180"/>
        <v>-48.342857142857142</v>
      </c>
      <c r="Z165" s="73">
        <f t="shared" si="180"/>
        <v>-48.342857142857142</v>
      </c>
      <c r="AA165" s="73">
        <f t="shared" si="180"/>
        <v>-48.342857142857142</v>
      </c>
      <c r="AB165" s="73">
        <f t="shared" si="180"/>
        <v>-48.342857142857142</v>
      </c>
      <c r="AC165" s="73">
        <f t="shared" si="180"/>
        <v>-48.342857142857142</v>
      </c>
      <c r="AD165" s="73">
        <f t="shared" si="180"/>
        <v>-48.342857142857142</v>
      </c>
      <c r="AE165" s="73">
        <f t="shared" si="180"/>
        <v>-48.342857142857142</v>
      </c>
      <c r="AF165" s="73">
        <f t="shared" si="180"/>
        <v>-48.342857142857142</v>
      </c>
      <c r="AG165" s="73">
        <f t="shared" si="180"/>
        <v>-48.342857142857142</v>
      </c>
      <c r="AH165" s="73">
        <f t="shared" si="180"/>
        <v>-48.342857142857142</v>
      </c>
      <c r="AI165" s="73">
        <f t="shared" si="180"/>
        <v>-48.342857142857142</v>
      </c>
      <c r="AJ165" s="73">
        <f t="shared" si="180"/>
        <v>-48.342857142857142</v>
      </c>
      <c r="AK165" s="73">
        <f t="shared" si="180"/>
        <v>-48.342857142857142</v>
      </c>
      <c r="AL165" s="73">
        <f t="shared" si="180"/>
        <v>-48.342857142857142</v>
      </c>
      <c r="AM165" s="73">
        <f t="shared" si="180"/>
        <v>-48.342857142857142</v>
      </c>
      <c r="AO165" s="75">
        <f t="shared" ref="AO165" si="181">SUM(D165:O165)</f>
        <v>-844.71428571428567</v>
      </c>
      <c r="AP165" s="75">
        <f t="shared" ref="AP165" si="182">SUM(P165:AA165)</f>
        <v>-580.11428571428576</v>
      </c>
      <c r="AQ165" s="75">
        <f t="shared" ref="AQ165" si="183">SUM(AB165:AM165)</f>
        <v>-580.11428571428576</v>
      </c>
    </row>
    <row r="166" spans="1:43" collapsed="1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166F-F819-42E9-830B-7CB45486D148}">
  <sheetPr>
    <tabColor theme="0"/>
  </sheetPr>
  <dimension ref="A1:BN133"/>
  <sheetViews>
    <sheetView zoomScale="110" zoomScaleNormal="110" workbookViewId="0">
      <selection activeCell="A21" sqref="A21:XFD21"/>
    </sheetView>
  </sheetViews>
  <sheetFormatPr defaultColWidth="8" defaultRowHeight="11.4" outlineLevelCol="1"/>
  <cols>
    <col min="1" max="1" width="2" style="19" customWidth="1"/>
    <col min="2" max="2" width="46" style="35" customWidth="1"/>
    <col min="3" max="6" width="9" style="36" customWidth="1" outlineLevel="1"/>
    <col min="7" max="38" width="9" style="19" customWidth="1" outlineLevel="1"/>
    <col min="39" max="39" width="3.5546875" style="14" customWidth="1"/>
    <col min="40" max="42" width="9" style="19" customWidth="1"/>
    <col min="43" max="66" width="8" style="14"/>
    <col min="67" max="16384" width="8" style="19"/>
  </cols>
  <sheetData>
    <row r="1" spans="1:66" s="4" customFormat="1" ht="15.6">
      <c r="A1" s="6"/>
      <c r="B1" s="1" t="s">
        <v>56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N1" s="3"/>
      <c r="AO1" s="3"/>
      <c r="AP1" s="3"/>
    </row>
    <row r="2" spans="1:66" s="6" customFormat="1">
      <c r="B2" s="5" t="s">
        <v>0</v>
      </c>
      <c r="S2" s="7"/>
      <c r="T2" s="7"/>
    </row>
    <row r="3" spans="1:66" s="6" customFormat="1">
      <c r="A3" s="5"/>
      <c r="B3" s="5"/>
      <c r="S3" s="7"/>
      <c r="T3" s="7"/>
    </row>
    <row r="4" spans="1:66" s="12" customFormat="1" ht="12" customHeight="1">
      <c r="A4" s="8"/>
      <c r="B4" s="8"/>
      <c r="C4" s="9">
        <v>46023</v>
      </c>
      <c r="D4" s="9">
        <f>C4+31</f>
        <v>46054</v>
      </c>
      <c r="E4" s="9">
        <f t="shared" ref="E4:AL4" si="0">D4+31</f>
        <v>46085</v>
      </c>
      <c r="F4" s="9">
        <f t="shared" si="0"/>
        <v>46116</v>
      </c>
      <c r="G4" s="9">
        <f t="shared" si="0"/>
        <v>46147</v>
      </c>
      <c r="H4" s="9">
        <f t="shared" si="0"/>
        <v>46178</v>
      </c>
      <c r="I4" s="9">
        <f t="shared" si="0"/>
        <v>46209</v>
      </c>
      <c r="J4" s="9">
        <f t="shared" si="0"/>
        <v>46240</v>
      </c>
      <c r="K4" s="9">
        <f t="shared" si="0"/>
        <v>46271</v>
      </c>
      <c r="L4" s="9">
        <f t="shared" si="0"/>
        <v>46302</v>
      </c>
      <c r="M4" s="9">
        <f t="shared" si="0"/>
        <v>46333</v>
      </c>
      <c r="N4" s="9">
        <f t="shared" si="0"/>
        <v>46364</v>
      </c>
      <c r="O4" s="9">
        <f t="shared" si="0"/>
        <v>46395</v>
      </c>
      <c r="P4" s="9">
        <f t="shared" si="0"/>
        <v>46426</v>
      </c>
      <c r="Q4" s="9">
        <f t="shared" si="0"/>
        <v>46457</v>
      </c>
      <c r="R4" s="9">
        <f t="shared" si="0"/>
        <v>46488</v>
      </c>
      <c r="S4" s="9">
        <f t="shared" si="0"/>
        <v>46519</v>
      </c>
      <c r="T4" s="9">
        <f t="shared" si="0"/>
        <v>46550</v>
      </c>
      <c r="U4" s="9">
        <f t="shared" si="0"/>
        <v>46581</v>
      </c>
      <c r="V4" s="9">
        <f t="shared" si="0"/>
        <v>46612</v>
      </c>
      <c r="W4" s="9">
        <f t="shared" si="0"/>
        <v>46643</v>
      </c>
      <c r="X4" s="9">
        <f t="shared" si="0"/>
        <v>46674</v>
      </c>
      <c r="Y4" s="9">
        <f t="shared" si="0"/>
        <v>46705</v>
      </c>
      <c r="Z4" s="9">
        <f t="shared" si="0"/>
        <v>46736</v>
      </c>
      <c r="AA4" s="9">
        <f t="shared" si="0"/>
        <v>46767</v>
      </c>
      <c r="AB4" s="9">
        <f t="shared" si="0"/>
        <v>46798</v>
      </c>
      <c r="AC4" s="9">
        <f t="shared" si="0"/>
        <v>46829</v>
      </c>
      <c r="AD4" s="9">
        <f t="shared" si="0"/>
        <v>46860</v>
      </c>
      <c r="AE4" s="9">
        <f t="shared" si="0"/>
        <v>46891</v>
      </c>
      <c r="AF4" s="9">
        <f t="shared" si="0"/>
        <v>46922</v>
      </c>
      <c r="AG4" s="9">
        <f t="shared" si="0"/>
        <v>46953</v>
      </c>
      <c r="AH4" s="9">
        <f t="shared" si="0"/>
        <v>46984</v>
      </c>
      <c r="AI4" s="9">
        <f t="shared" si="0"/>
        <v>47015</v>
      </c>
      <c r="AJ4" s="9">
        <f t="shared" si="0"/>
        <v>47046</v>
      </c>
      <c r="AK4" s="9">
        <f t="shared" si="0"/>
        <v>47077</v>
      </c>
      <c r="AL4" s="9">
        <f t="shared" si="0"/>
        <v>47108</v>
      </c>
      <c r="AM4" s="10"/>
      <c r="AN4" s="11">
        <f>YEAR(N4)</f>
        <v>2026</v>
      </c>
      <c r="AO4" s="11">
        <f>YEAR(Z4)</f>
        <v>2027</v>
      </c>
      <c r="AP4" s="11">
        <f>YEAR(AL4)</f>
        <v>2028</v>
      </c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</row>
    <row r="5" spans="1:66" s="12" customFormat="1" ht="13.2" customHeight="1">
      <c r="A5" s="8"/>
      <c r="B5" s="8"/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3" t="s">
        <v>8</v>
      </c>
      <c r="K5" s="13" t="s">
        <v>9</v>
      </c>
      <c r="L5" s="13" t="s">
        <v>10</v>
      </c>
      <c r="M5" s="13" t="s">
        <v>11</v>
      </c>
      <c r="N5" s="13" t="s">
        <v>12</v>
      </c>
      <c r="O5" s="13" t="s">
        <v>13</v>
      </c>
      <c r="P5" s="13" t="s">
        <v>14</v>
      </c>
      <c r="Q5" s="13" t="s">
        <v>15</v>
      </c>
      <c r="R5" s="13" t="s">
        <v>16</v>
      </c>
      <c r="S5" s="13" t="s">
        <v>17</v>
      </c>
      <c r="T5" s="13" t="s">
        <v>18</v>
      </c>
      <c r="U5" s="13" t="s">
        <v>19</v>
      </c>
      <c r="V5" s="13" t="s">
        <v>20</v>
      </c>
      <c r="W5" s="13" t="s">
        <v>21</v>
      </c>
      <c r="X5" s="13" t="s">
        <v>22</v>
      </c>
      <c r="Y5" s="13" t="s">
        <v>23</v>
      </c>
      <c r="Z5" s="13" t="s">
        <v>24</v>
      </c>
      <c r="AA5" s="13" t="s">
        <v>25</v>
      </c>
      <c r="AB5" s="13" t="s">
        <v>26</v>
      </c>
      <c r="AC5" s="13" t="s">
        <v>27</v>
      </c>
      <c r="AD5" s="13" t="s">
        <v>28</v>
      </c>
      <c r="AE5" s="13" t="s">
        <v>29</v>
      </c>
      <c r="AF5" s="13" t="s">
        <v>30</v>
      </c>
      <c r="AG5" s="13" t="s">
        <v>31</v>
      </c>
      <c r="AH5" s="13" t="s">
        <v>32</v>
      </c>
      <c r="AI5" s="13" t="s">
        <v>33</v>
      </c>
      <c r="AJ5" s="13" t="s">
        <v>34</v>
      </c>
      <c r="AK5" s="13" t="s">
        <v>35</v>
      </c>
      <c r="AL5" s="13" t="s">
        <v>36</v>
      </c>
      <c r="AM5" s="10"/>
      <c r="AN5" s="13" t="s">
        <v>37</v>
      </c>
      <c r="AO5" s="13" t="s">
        <v>38</v>
      </c>
      <c r="AP5" s="13" t="s">
        <v>39</v>
      </c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 s="14" customFormat="1" ht="13.8">
      <c r="A6" s="44"/>
      <c r="B6" s="45" t="s">
        <v>58</v>
      </c>
      <c r="C6" s="16"/>
      <c r="D6" s="16"/>
      <c r="E6" s="16"/>
      <c r="F6" s="16"/>
    </row>
    <row r="7" spans="1:66" ht="13.8">
      <c r="A7" s="44"/>
      <c r="B7" s="46" t="s">
        <v>59</v>
      </c>
      <c r="C7" s="25">
        <f t="shared" ref="C7:AL7" si="1">SUM(C8:C11)</f>
        <v>25950</v>
      </c>
      <c r="D7" s="25">
        <f t="shared" si="1"/>
        <v>50755</v>
      </c>
      <c r="E7" s="25">
        <f t="shared" si="1"/>
        <v>74712.916666666657</v>
      </c>
      <c r="F7" s="25">
        <f t="shared" si="1"/>
        <v>98030.173611111109</v>
      </c>
      <c r="G7" s="25">
        <f t="shared" si="1"/>
        <v>120851.5480324074</v>
      </c>
      <c r="H7" s="25">
        <f t="shared" si="1"/>
        <v>143280.12273341051</v>
      </c>
      <c r="I7" s="25">
        <f t="shared" si="1"/>
        <v>163660.63719698429</v>
      </c>
      <c r="J7" s="25">
        <f t="shared" si="1"/>
        <v>185700.10055814098</v>
      </c>
      <c r="K7" s="25">
        <f t="shared" si="1"/>
        <v>209216.15870778836</v>
      </c>
      <c r="L7" s="25">
        <f t="shared" si="1"/>
        <v>234058.02316846765</v>
      </c>
      <c r="M7" s="25">
        <f t="shared" si="1"/>
        <v>260098.38413975862</v>
      </c>
      <c r="N7" s="25">
        <f t="shared" si="1"/>
        <v>287227.81628499879</v>
      </c>
      <c r="O7" s="25">
        <f t="shared" si="1"/>
        <v>311890.8632547289</v>
      </c>
      <c r="P7" s="25">
        <f t="shared" si="1"/>
        <v>334386.59020137694</v>
      </c>
      <c r="Q7" s="25">
        <f t="shared" si="1"/>
        <v>354957.96249651263</v>
      </c>
      <c r="R7" s="25">
        <f t="shared" si="1"/>
        <v>373806.91327419237</v>
      </c>
      <c r="S7" s="25">
        <f t="shared" si="1"/>
        <v>391104.6911584913</v>
      </c>
      <c r="T7" s="25">
        <f t="shared" si="1"/>
        <v>406999.03622227139</v>
      </c>
      <c r="U7" s="25">
        <f t="shared" si="1"/>
        <v>421619.21831062954</v>
      </c>
      <c r="V7" s="25">
        <f t="shared" si="1"/>
        <v>435079.62907821976</v>
      </c>
      <c r="W7" s="25">
        <f t="shared" si="1"/>
        <v>447482.39040624106</v>
      </c>
      <c r="X7" s="25">
        <f t="shared" si="1"/>
        <v>458919.28926208062</v>
      </c>
      <c r="Y7" s="25">
        <f t="shared" si="1"/>
        <v>469473.24719448033</v>
      </c>
      <c r="Z7" s="25">
        <f t="shared" si="1"/>
        <v>479219.4646199891</v>
      </c>
      <c r="AA7" s="25">
        <f t="shared" si="1"/>
        <v>488226.33458502253</v>
      </c>
      <c r="AB7" s="25">
        <f t="shared" si="1"/>
        <v>496556.19026962569</v>
      </c>
      <c r="AC7" s="25">
        <f t="shared" si="1"/>
        <v>504265.93012494908</v>
      </c>
      <c r="AD7" s="25">
        <f t="shared" si="1"/>
        <v>511407.55086639809</v>
      </c>
      <c r="AE7" s="25">
        <f t="shared" si="1"/>
        <v>518028.60935099475</v>
      </c>
      <c r="AF7" s="25">
        <f t="shared" si="1"/>
        <v>524172.6281651652</v>
      </c>
      <c r="AG7" s="25">
        <f t="shared" si="1"/>
        <v>529879.45554701472</v>
      </c>
      <c r="AH7" s="25">
        <f t="shared" si="1"/>
        <v>535185.58740406111</v>
      </c>
      <c r="AI7" s="25">
        <f t="shared" si="1"/>
        <v>540124.45722214342</v>
      </c>
      <c r="AJ7" s="25">
        <f t="shared" si="1"/>
        <v>544726.69829924521</v>
      </c>
      <c r="AK7" s="25">
        <f t="shared" si="1"/>
        <v>549020.38178249495</v>
      </c>
      <c r="AL7" s="25">
        <f t="shared" si="1"/>
        <v>553031.23330607836</v>
      </c>
      <c r="AN7" s="25">
        <f t="shared" ref="AN7:AN40" si="2">N7</f>
        <v>287227.81628499879</v>
      </c>
      <c r="AO7" s="25">
        <f t="shared" ref="AO7:AO40" si="3">Z7</f>
        <v>479219.4646199891</v>
      </c>
      <c r="AP7" s="25">
        <f t="shared" ref="AP7:AP40" si="4">AL7</f>
        <v>553031.23330607836</v>
      </c>
    </row>
    <row r="8" spans="1:66" ht="13.8">
      <c r="A8" s="44"/>
      <c r="B8" s="120" t="s">
        <v>96</v>
      </c>
      <c r="C8" s="30">
        <f>BaaS.1!D20</f>
        <v>22500</v>
      </c>
      <c r="D8" s="30">
        <f>BaaS.1!E20</f>
        <v>44625</v>
      </c>
      <c r="E8" s="30">
        <f>BaaS.1!F20</f>
        <v>66406.25</v>
      </c>
      <c r="F8" s="30">
        <f>BaaS.1!G20</f>
        <v>87872.395833333328</v>
      </c>
      <c r="G8" s="30">
        <f>BaaS.1!H20</f>
        <v>109049.69618055555</v>
      </c>
      <c r="H8" s="30">
        <f>BaaS.1!I20</f>
        <v>129962.2214988426</v>
      </c>
      <c r="I8" s="30">
        <f>BaaS.1!J20</f>
        <v>149132.03637393905</v>
      </c>
      <c r="J8" s="30">
        <f>BaaS.1!K20</f>
        <v>169704.3666761108</v>
      </c>
      <c r="K8" s="30">
        <f>BaaS.1!L20</f>
        <v>191562.33611976824</v>
      </c>
      <c r="L8" s="30">
        <f>BaaS.1!M20</f>
        <v>214598.80810978755</v>
      </c>
      <c r="M8" s="30">
        <f>BaaS.1!N20</f>
        <v>238715.57410063859</v>
      </c>
      <c r="N8" s="30">
        <f>BaaS.1!O20</f>
        <v>263822.60959225206</v>
      </c>
      <c r="O8" s="30">
        <f>BaaS.1!P20</f>
        <v>286837.39212623105</v>
      </c>
      <c r="P8" s="30">
        <f>BaaS.1!Q20</f>
        <v>307934.27611571178</v>
      </c>
      <c r="Q8" s="30">
        <f>BaaS.1!R20</f>
        <v>327273.08643940248</v>
      </c>
      <c r="R8" s="30">
        <f>BaaS.1!S20</f>
        <v>345000.32923611894</v>
      </c>
      <c r="S8" s="30">
        <f>BaaS.1!T20</f>
        <v>361250.30179977568</v>
      </c>
      <c r="T8" s="30">
        <f>BaaS.1!U20</f>
        <v>376146.10998312768</v>
      </c>
      <c r="U8" s="30">
        <f>BaaS.1!V20</f>
        <v>389800.60081786703</v>
      </c>
      <c r="V8" s="30">
        <f>BaaS.1!W20</f>
        <v>402317.21741637809</v>
      </c>
      <c r="W8" s="30">
        <f>BaaS.1!X20</f>
        <v>413790.7826316799</v>
      </c>
      <c r="X8" s="30">
        <f>BaaS.1!Y20</f>
        <v>424308.21741237323</v>
      </c>
      <c r="Y8" s="30">
        <f>BaaS.1!Z20</f>
        <v>433949.19929467543</v>
      </c>
      <c r="Z8" s="30">
        <f>BaaS.1!AA20</f>
        <v>442786.76602011913</v>
      </c>
      <c r="AA8" s="30">
        <f>BaaS.1!AB20</f>
        <v>450887.86885177589</v>
      </c>
      <c r="AB8" s="30">
        <f>BaaS.1!AC20</f>
        <v>458313.87978079455</v>
      </c>
      <c r="AC8" s="30">
        <f>BaaS.1!AD20</f>
        <v>465121.05646572832</v>
      </c>
      <c r="AD8" s="30">
        <f>BaaS.1!AE20</f>
        <v>471360.96842691762</v>
      </c>
      <c r="AE8" s="30">
        <f>BaaS.1!AF20</f>
        <v>477080.88772467448</v>
      </c>
      <c r="AF8" s="30">
        <f>BaaS.1!AG20</f>
        <v>482324.1470809516</v>
      </c>
      <c r="AG8" s="30">
        <f>BaaS.1!AH20</f>
        <v>487130.46815753897</v>
      </c>
      <c r="AH8" s="30">
        <f>BaaS.1!AI20</f>
        <v>491536.26247774402</v>
      </c>
      <c r="AI8" s="30">
        <f>BaaS.1!AJ20</f>
        <v>495574.90727126534</v>
      </c>
      <c r="AJ8" s="30">
        <f>BaaS.1!AK20</f>
        <v>499276.99833199318</v>
      </c>
      <c r="AK8" s="30">
        <f>BaaS.1!AL20</f>
        <v>502670.58180432703</v>
      </c>
      <c r="AL8" s="30">
        <f>BaaS.1!AM20</f>
        <v>505781.36665396637</v>
      </c>
      <c r="AN8" s="30">
        <f t="shared" ref="AN8:AN16" si="5">N8</f>
        <v>263822.60959225206</v>
      </c>
      <c r="AO8" s="30">
        <f t="shared" ref="AO8:AO16" si="6">Z8</f>
        <v>442786.76602011913</v>
      </c>
      <c r="AP8" s="30">
        <f t="shared" ref="AP8:AP16" si="7">AL8</f>
        <v>505781.36665396637</v>
      </c>
    </row>
    <row r="9" spans="1:66" ht="13.8">
      <c r="A9" s="44"/>
      <c r="B9" s="120" t="s">
        <v>102</v>
      </c>
      <c r="C9" s="30">
        <f>BaaS.1!D44</f>
        <v>1500</v>
      </c>
      <c r="D9" s="30">
        <f>BaaS.1!E44</f>
        <v>2600</v>
      </c>
      <c r="E9" s="30">
        <f>BaaS.1!F44</f>
        <v>3433.3333333333335</v>
      </c>
      <c r="F9" s="30">
        <f>BaaS.1!G44</f>
        <v>4088.8888888888896</v>
      </c>
      <c r="G9" s="30">
        <f>BaaS.1!H44</f>
        <v>4625.9259259259261</v>
      </c>
      <c r="H9" s="30">
        <f>BaaS.1!I44</f>
        <v>5083.950617283951</v>
      </c>
      <c r="I9" s="30">
        <f>BaaS.1!J44</f>
        <v>5389.300411522634</v>
      </c>
      <c r="J9" s="30">
        <f>BaaS.1!K44</f>
        <v>5792.8669410150897</v>
      </c>
      <c r="K9" s="30">
        <f>BaaS.1!L44</f>
        <v>6261.9112940100604</v>
      </c>
      <c r="L9" s="30">
        <f>BaaS.1!M44</f>
        <v>6774.6075293400409</v>
      </c>
      <c r="M9" s="30">
        <f>BaaS.1!N44</f>
        <v>7316.4050195600266</v>
      </c>
      <c r="N9" s="30">
        <f>BaaS.1!O44</f>
        <v>7877.6033463733511</v>
      </c>
      <c r="O9" s="30">
        <f>BaaS.1!P44</f>
        <v>8251.7355642489001</v>
      </c>
      <c r="P9" s="30">
        <f>BaaS.1!Q44</f>
        <v>8501.1570428325995</v>
      </c>
      <c r="Q9" s="30">
        <f>BaaS.1!R44</f>
        <v>8667.4380285550669</v>
      </c>
      <c r="R9" s="30">
        <f>BaaS.1!S44</f>
        <v>8778.2920190367113</v>
      </c>
      <c r="S9" s="30">
        <f>BaaS.1!T44</f>
        <v>8852.1946793578081</v>
      </c>
      <c r="T9" s="30">
        <f>BaaS.1!U44</f>
        <v>8901.4631195718721</v>
      </c>
      <c r="U9" s="30">
        <f>BaaS.1!V44</f>
        <v>8934.3087463812481</v>
      </c>
      <c r="V9" s="30">
        <f>BaaS.1!W44</f>
        <v>8956.2058309208314</v>
      </c>
      <c r="W9" s="30">
        <f>BaaS.1!X44</f>
        <v>8970.8038872805537</v>
      </c>
      <c r="X9" s="30">
        <f>BaaS.1!Y44</f>
        <v>8980.5359248537025</v>
      </c>
      <c r="Y9" s="30">
        <f>BaaS.1!Z44</f>
        <v>8987.0239499024683</v>
      </c>
      <c r="Z9" s="30">
        <f>BaaS.1!AA44</f>
        <v>8991.3492999349783</v>
      </c>
      <c r="AA9" s="30">
        <f>BaaS.1!AB44</f>
        <v>8994.2328666233188</v>
      </c>
      <c r="AB9" s="30">
        <f>BaaS.1!AC44</f>
        <v>8996.1552444155459</v>
      </c>
      <c r="AC9" s="30">
        <f>BaaS.1!AD44</f>
        <v>8997.4368296103639</v>
      </c>
      <c r="AD9" s="30">
        <f>BaaS.1!AE44</f>
        <v>8998.291219740242</v>
      </c>
      <c r="AE9" s="30">
        <f>BaaS.1!AF44</f>
        <v>8998.8608131601613</v>
      </c>
      <c r="AF9" s="30">
        <f>BaaS.1!AG44</f>
        <v>8999.2405421067742</v>
      </c>
      <c r="AG9" s="30">
        <f>BaaS.1!AH44</f>
        <v>8999.4936947378501</v>
      </c>
      <c r="AH9" s="30">
        <f>BaaS.1!AI44</f>
        <v>8999.6624631585673</v>
      </c>
      <c r="AI9" s="30">
        <f>BaaS.1!AJ44</f>
        <v>8999.7749754390443</v>
      </c>
      <c r="AJ9" s="30">
        <f>BaaS.1!AK44</f>
        <v>8999.8499836260289</v>
      </c>
      <c r="AK9" s="30">
        <f>BaaS.1!AL44</f>
        <v>8999.8999890840187</v>
      </c>
      <c r="AL9" s="30">
        <f>BaaS.1!AM44</f>
        <v>8999.9333260560124</v>
      </c>
      <c r="AN9" s="30">
        <f t="shared" si="5"/>
        <v>7877.6033463733511</v>
      </c>
      <c r="AO9" s="30">
        <f t="shared" si="6"/>
        <v>8991.3492999349783</v>
      </c>
      <c r="AP9" s="30">
        <f t="shared" si="7"/>
        <v>8999.9333260560124</v>
      </c>
    </row>
    <row r="10" spans="1:66" ht="13.8">
      <c r="A10" s="44"/>
      <c r="B10" s="120" t="s">
        <v>103</v>
      </c>
      <c r="C10" s="30">
        <f>BaaS.1!D66</f>
        <v>1500</v>
      </c>
      <c r="D10" s="30">
        <f>BaaS.1!E66</f>
        <v>2600</v>
      </c>
      <c r="E10" s="30">
        <f>BaaS.1!F66</f>
        <v>3433.3333333333335</v>
      </c>
      <c r="F10" s="30">
        <f>BaaS.1!G66</f>
        <v>4088.8888888888896</v>
      </c>
      <c r="G10" s="30">
        <f>BaaS.1!H66</f>
        <v>4625.9259259259261</v>
      </c>
      <c r="H10" s="30">
        <f>BaaS.1!I66</f>
        <v>5083.950617283951</v>
      </c>
      <c r="I10" s="30">
        <f>BaaS.1!J66</f>
        <v>5389.300411522634</v>
      </c>
      <c r="J10" s="30">
        <f>BaaS.1!K66</f>
        <v>5792.8669410150897</v>
      </c>
      <c r="K10" s="30">
        <f>BaaS.1!L66</f>
        <v>6261.9112940100604</v>
      </c>
      <c r="L10" s="30">
        <f>BaaS.1!M66</f>
        <v>6774.6075293400409</v>
      </c>
      <c r="M10" s="30">
        <f>BaaS.1!N66</f>
        <v>7316.4050195600266</v>
      </c>
      <c r="N10" s="30">
        <f>BaaS.1!O66</f>
        <v>7877.6033463733511</v>
      </c>
      <c r="O10" s="30">
        <f>BaaS.1!P66</f>
        <v>8251.7355642489001</v>
      </c>
      <c r="P10" s="30">
        <f>BaaS.1!Q66</f>
        <v>8501.1570428325995</v>
      </c>
      <c r="Q10" s="30">
        <f>BaaS.1!R66</f>
        <v>8667.4380285550669</v>
      </c>
      <c r="R10" s="30">
        <f>BaaS.1!S66</f>
        <v>8778.2920190367113</v>
      </c>
      <c r="S10" s="30">
        <f>BaaS.1!T66</f>
        <v>8852.1946793578081</v>
      </c>
      <c r="T10" s="30">
        <f>BaaS.1!U66</f>
        <v>8901.4631195718721</v>
      </c>
      <c r="U10" s="30">
        <f>BaaS.1!V66</f>
        <v>8934.3087463812481</v>
      </c>
      <c r="V10" s="30">
        <f>BaaS.1!W66</f>
        <v>8956.2058309208314</v>
      </c>
      <c r="W10" s="30">
        <f>BaaS.1!X66</f>
        <v>8970.8038872805537</v>
      </c>
      <c r="X10" s="30">
        <f>BaaS.1!Y66</f>
        <v>8980.5359248537025</v>
      </c>
      <c r="Y10" s="30">
        <f>BaaS.1!Z66</f>
        <v>8987.0239499024683</v>
      </c>
      <c r="Z10" s="30">
        <f>BaaS.1!AA66</f>
        <v>8991.3492999349783</v>
      </c>
      <c r="AA10" s="30">
        <f>BaaS.1!AB66</f>
        <v>8994.2328666233188</v>
      </c>
      <c r="AB10" s="30">
        <f>BaaS.1!AC66</f>
        <v>8996.1552444155459</v>
      </c>
      <c r="AC10" s="30">
        <f>BaaS.1!AD66</f>
        <v>8997.4368296103639</v>
      </c>
      <c r="AD10" s="30">
        <f>BaaS.1!AE66</f>
        <v>8998.291219740242</v>
      </c>
      <c r="AE10" s="30">
        <f>BaaS.1!AF66</f>
        <v>8998.8608131601613</v>
      </c>
      <c r="AF10" s="30">
        <f>BaaS.1!AG66</f>
        <v>8999.2405421067742</v>
      </c>
      <c r="AG10" s="30">
        <f>BaaS.1!AH66</f>
        <v>8999.4936947378501</v>
      </c>
      <c r="AH10" s="30">
        <f>BaaS.1!AI66</f>
        <v>8999.6624631585673</v>
      </c>
      <c r="AI10" s="30">
        <f>BaaS.1!AJ66</f>
        <v>8999.7749754390443</v>
      </c>
      <c r="AJ10" s="30">
        <f>BaaS.1!AK66</f>
        <v>8999.8499836260289</v>
      </c>
      <c r="AK10" s="30">
        <f>BaaS.1!AL66</f>
        <v>8999.8999890840187</v>
      </c>
      <c r="AL10" s="30">
        <f>BaaS.1!AM66</f>
        <v>8999.9333260560124</v>
      </c>
      <c r="AN10" s="30">
        <f t="shared" si="5"/>
        <v>7877.6033463733511</v>
      </c>
      <c r="AO10" s="30">
        <f t="shared" si="6"/>
        <v>8991.3492999349783</v>
      </c>
      <c r="AP10" s="30">
        <f t="shared" si="7"/>
        <v>8999.9333260560124</v>
      </c>
    </row>
    <row r="11" spans="1:66" ht="13.8">
      <c r="A11" s="44"/>
      <c r="B11" s="120" t="s">
        <v>108</v>
      </c>
      <c r="C11" s="30">
        <f>BaaS.1!D88</f>
        <v>450</v>
      </c>
      <c r="D11" s="30">
        <f>BaaS.1!E88</f>
        <v>930</v>
      </c>
      <c r="E11" s="30">
        <f>BaaS.1!F88</f>
        <v>1440</v>
      </c>
      <c r="F11" s="30">
        <f>BaaS.1!G88</f>
        <v>1980</v>
      </c>
      <c r="G11" s="30">
        <f>BaaS.1!H88</f>
        <v>2550</v>
      </c>
      <c r="H11" s="30">
        <f>BaaS.1!I88</f>
        <v>3150</v>
      </c>
      <c r="I11" s="30">
        <f>BaaS.1!J88</f>
        <v>3750</v>
      </c>
      <c r="J11" s="30">
        <f>BaaS.1!K88</f>
        <v>4410</v>
      </c>
      <c r="K11" s="30">
        <f>BaaS.1!L88</f>
        <v>5130</v>
      </c>
      <c r="L11" s="30">
        <f>BaaS.1!M88</f>
        <v>5910</v>
      </c>
      <c r="M11" s="30">
        <f>BaaS.1!N88</f>
        <v>6750</v>
      </c>
      <c r="N11" s="30">
        <f>BaaS.1!O88</f>
        <v>7650</v>
      </c>
      <c r="O11" s="30">
        <f>BaaS.1!P88</f>
        <v>8550</v>
      </c>
      <c r="P11" s="30">
        <f>BaaS.1!Q88</f>
        <v>9450</v>
      </c>
      <c r="Q11" s="30">
        <f>BaaS.1!R88</f>
        <v>10350</v>
      </c>
      <c r="R11" s="30">
        <f>BaaS.1!S88</f>
        <v>11250</v>
      </c>
      <c r="S11" s="30">
        <f>BaaS.1!T88</f>
        <v>12150</v>
      </c>
      <c r="T11" s="30">
        <f>BaaS.1!U88</f>
        <v>13050</v>
      </c>
      <c r="U11" s="30">
        <f>BaaS.1!V88</f>
        <v>13950</v>
      </c>
      <c r="V11" s="30">
        <f>BaaS.1!W88</f>
        <v>14850</v>
      </c>
      <c r="W11" s="30">
        <f>BaaS.1!X88</f>
        <v>15750</v>
      </c>
      <c r="X11" s="30">
        <f>BaaS.1!Y88</f>
        <v>16650</v>
      </c>
      <c r="Y11" s="30">
        <f>BaaS.1!Z88</f>
        <v>17550</v>
      </c>
      <c r="Z11" s="30">
        <f>BaaS.1!AA88</f>
        <v>18450</v>
      </c>
      <c r="AA11" s="30">
        <f>BaaS.1!AB88</f>
        <v>19350</v>
      </c>
      <c r="AB11" s="30">
        <f>BaaS.1!AC88</f>
        <v>20250</v>
      </c>
      <c r="AC11" s="30">
        <f>BaaS.1!AD88</f>
        <v>21150</v>
      </c>
      <c r="AD11" s="30">
        <f>BaaS.1!AE88</f>
        <v>22050</v>
      </c>
      <c r="AE11" s="30">
        <f>BaaS.1!AF88</f>
        <v>22950</v>
      </c>
      <c r="AF11" s="30">
        <f>BaaS.1!AG88</f>
        <v>23850</v>
      </c>
      <c r="AG11" s="30">
        <f>BaaS.1!AH88</f>
        <v>24750</v>
      </c>
      <c r="AH11" s="30">
        <f>BaaS.1!AI88</f>
        <v>25650</v>
      </c>
      <c r="AI11" s="30">
        <f>BaaS.1!AJ88</f>
        <v>26550</v>
      </c>
      <c r="AJ11" s="30">
        <f>BaaS.1!AK88</f>
        <v>27450</v>
      </c>
      <c r="AK11" s="30">
        <f>BaaS.1!AL88</f>
        <v>28350</v>
      </c>
      <c r="AL11" s="30">
        <f>BaaS.1!AM88</f>
        <v>29250</v>
      </c>
      <c r="AN11" s="30">
        <f t="shared" si="5"/>
        <v>7650</v>
      </c>
      <c r="AO11" s="30">
        <f t="shared" si="6"/>
        <v>18450</v>
      </c>
      <c r="AP11" s="30">
        <f t="shared" si="7"/>
        <v>29250</v>
      </c>
    </row>
    <row r="12" spans="1:66" ht="13.8">
      <c r="A12" s="44"/>
      <c r="B12" s="47" t="s">
        <v>60</v>
      </c>
      <c r="C12" s="25">
        <f t="shared" ref="C12:AL12" si="8">SUM(C13:C16)</f>
        <v>-633</v>
      </c>
      <c r="D12" s="25">
        <f t="shared" si="8"/>
        <v>-1220.7</v>
      </c>
      <c r="E12" s="25">
        <f t="shared" si="8"/>
        <v>-1777.0583333333334</v>
      </c>
      <c r="F12" s="25">
        <f t="shared" si="8"/>
        <v>-2311.5368055555555</v>
      </c>
      <c r="G12" s="25">
        <f t="shared" si="8"/>
        <v>-2830.5865162037035</v>
      </c>
      <c r="H12" s="25">
        <f t="shared" si="8"/>
        <v>-3338.6394917052476</v>
      </c>
      <c r="I12" s="25">
        <f t="shared" si="8"/>
        <v>-3796.5707686310448</v>
      </c>
      <c r="J12" s="25">
        <f t="shared" si="8"/>
        <v>-4296.7740276237255</v>
      </c>
      <c r="K12" s="25">
        <f t="shared" si="8"/>
        <v>-4833.6378517963703</v>
      </c>
      <c r="L12" s="25">
        <f t="shared" si="8"/>
        <v>-5402.8369151297557</v>
      </c>
      <c r="M12" s="25">
        <f t="shared" si="8"/>
        <v>-6000.9519839687746</v>
      </c>
      <c r="N12" s="25">
        <f t="shared" si="8"/>
        <v>-6625.2125264823753</v>
      </c>
      <c r="O12" s="25">
        <f t="shared" si="8"/>
        <v>-7188.9213989495111</v>
      </c>
      <c r="P12" s="25">
        <f t="shared" si="8"/>
        <v>-7701.8012265974958</v>
      </c>
      <c r="Q12" s="25">
        <f t="shared" si="8"/>
        <v>-8171.2055316435562</v>
      </c>
      <c r="R12" s="25">
        <f t="shared" si="8"/>
        <v>-8602.8357866260485</v>
      </c>
      <c r="S12" s="25">
        <f t="shared" si="8"/>
        <v>-9001.225503931295</v>
      </c>
      <c r="T12" s="25">
        <f t="shared" si="8"/>
        <v>-9370.0685116197419</v>
      </c>
      <c r="U12" s="25">
        <f t="shared" si="8"/>
        <v>-9712.4428909954659</v>
      </c>
      <c r="V12" s="25">
        <f t="shared" si="8"/>
        <v>-10030.964931419647</v>
      </c>
      <c r="W12" s="25">
        <f t="shared" si="8"/>
        <v>-10327.896041361655</v>
      </c>
      <c r="X12" s="25">
        <f t="shared" si="8"/>
        <v>-10605.217940732833</v>
      </c>
      <c r="Y12" s="25">
        <f t="shared" si="8"/>
        <v>-10864.686380883755</v>
      </c>
      <c r="Z12" s="25">
        <f t="shared" si="8"/>
        <v>-11107.870250395881</v>
      </c>
      <c r="AA12" s="25">
        <f t="shared" si="8"/>
        <v>-11336.180663697849</v>
      </c>
      <c r="AB12" s="25">
        <f t="shared" si="8"/>
        <v>-11550.893120057444</v>
      </c>
      <c r="AC12" s="25">
        <f t="shared" si="8"/>
        <v>-11753.164812275605</v>
      </c>
      <c r="AD12" s="25">
        <f t="shared" si="8"/>
        <v>-11944.048490512376</v>
      </c>
      <c r="AE12" s="25">
        <f t="shared" si="8"/>
        <v>-12124.503835809506</v>
      </c>
      <c r="AF12" s="25">
        <f t="shared" si="8"/>
        <v>-12295.40699582971</v>
      </c>
      <c r="AG12" s="25">
        <f t="shared" si="8"/>
        <v>-12457.558732624566</v>
      </c>
      <c r="AH12" s="25">
        <f t="shared" si="8"/>
        <v>-12611.691495870737</v>
      </c>
      <c r="AI12" s="25">
        <f t="shared" si="8"/>
        <v>-12758.47564296921</v>
      </c>
      <c r="AJ12" s="25">
        <f t="shared" si="8"/>
        <v>-12898.524965002469</v>
      </c>
      <c r="AK12" s="25">
        <f t="shared" si="8"/>
        <v>-13032.401634994942</v>
      </c>
      <c r="AL12" s="25">
        <f t="shared" si="8"/>
        <v>-13160.62066568493</v>
      </c>
      <c r="AN12" s="25">
        <f t="shared" si="5"/>
        <v>-6625.2125264823753</v>
      </c>
      <c r="AO12" s="25">
        <f t="shared" si="6"/>
        <v>-11107.870250395881</v>
      </c>
      <c r="AP12" s="25">
        <f t="shared" si="7"/>
        <v>-13160.62066568493</v>
      </c>
    </row>
    <row r="13" spans="1:66" ht="13.8">
      <c r="A13" s="44"/>
      <c r="B13" s="120" t="s">
        <v>96</v>
      </c>
      <c r="C13" s="30">
        <f>BaaS.1!D27</f>
        <v>-450</v>
      </c>
      <c r="D13" s="30">
        <f>BaaS.1!E27</f>
        <v>-892.5</v>
      </c>
      <c r="E13" s="30">
        <f>BaaS.1!F27</f>
        <v>-1328.125</v>
      </c>
      <c r="F13" s="30">
        <f>BaaS.1!G27</f>
        <v>-1757.4479166666665</v>
      </c>
      <c r="G13" s="30">
        <f>BaaS.1!H27</f>
        <v>-2180.9939236111109</v>
      </c>
      <c r="H13" s="30">
        <f>BaaS.1!I27</f>
        <v>-2599.2444299768522</v>
      </c>
      <c r="I13" s="30">
        <f>BaaS.1!J27</f>
        <v>-2982.6407274787812</v>
      </c>
      <c r="J13" s="30">
        <f>BaaS.1!K27</f>
        <v>-3394.0873335222163</v>
      </c>
      <c r="K13" s="30">
        <f>BaaS.1!L27</f>
        <v>-3831.2467223953649</v>
      </c>
      <c r="L13" s="30">
        <f>BaaS.1!M27</f>
        <v>-4291.9761621957514</v>
      </c>
      <c r="M13" s="30">
        <f>BaaS.1!N27</f>
        <v>-4774.3114820127721</v>
      </c>
      <c r="N13" s="30">
        <f>BaaS.1!O27</f>
        <v>-5276.4521918450409</v>
      </c>
      <c r="O13" s="30">
        <f>BaaS.1!P27</f>
        <v>-5736.7478425246209</v>
      </c>
      <c r="P13" s="30">
        <f>BaaS.1!Q27</f>
        <v>-6158.6855223142356</v>
      </c>
      <c r="Q13" s="30">
        <f>BaaS.1!R27</f>
        <v>-6545.4617287880501</v>
      </c>
      <c r="R13" s="30">
        <f>BaaS.1!S27</f>
        <v>-6900.0065847223786</v>
      </c>
      <c r="S13" s="30">
        <f>BaaS.1!T27</f>
        <v>-7225.0060359955141</v>
      </c>
      <c r="T13" s="30">
        <f>BaaS.1!U27</f>
        <v>-7522.9221996625538</v>
      </c>
      <c r="U13" s="30">
        <f>BaaS.1!V27</f>
        <v>-7796.0120163573411</v>
      </c>
      <c r="V13" s="30">
        <f>BaaS.1!W27</f>
        <v>-8046.3443483275623</v>
      </c>
      <c r="W13" s="30">
        <f>BaaS.1!X27</f>
        <v>-8275.8156526335988</v>
      </c>
      <c r="X13" s="30">
        <f>BaaS.1!Y27</f>
        <v>-8486.1643482474647</v>
      </c>
      <c r="Y13" s="30">
        <f>BaaS.1!Z27</f>
        <v>-8678.9839858935084</v>
      </c>
      <c r="Z13" s="30">
        <f>BaaS.1!AA27</f>
        <v>-8855.7353204023821</v>
      </c>
      <c r="AA13" s="30">
        <f>BaaS.1!AB27</f>
        <v>-9017.7573770355175</v>
      </c>
      <c r="AB13" s="30">
        <f>BaaS.1!AC27</f>
        <v>-9166.2775956158912</v>
      </c>
      <c r="AC13" s="30">
        <f>BaaS.1!AD27</f>
        <v>-9302.4211293145672</v>
      </c>
      <c r="AD13" s="30">
        <f>BaaS.1!AE27</f>
        <v>-9427.2193685383518</v>
      </c>
      <c r="AE13" s="30">
        <f>BaaS.1!AF27</f>
        <v>-9541.617754493489</v>
      </c>
      <c r="AF13" s="30">
        <f>BaaS.1!AG27</f>
        <v>-9646.4829416190314</v>
      </c>
      <c r="AG13" s="30">
        <f>BaaS.1!AH27</f>
        <v>-9742.6093631507792</v>
      </c>
      <c r="AH13" s="30">
        <f>BaaS.1!AI27</f>
        <v>-9830.7252495548801</v>
      </c>
      <c r="AI13" s="30">
        <f>BaaS.1!AJ27</f>
        <v>-9911.4981454253066</v>
      </c>
      <c r="AJ13" s="30">
        <f>BaaS.1!AK27</f>
        <v>-9985.5399666398644</v>
      </c>
      <c r="AK13" s="30">
        <f>BaaS.1!AL27</f>
        <v>-10053.411636086541</v>
      </c>
      <c r="AL13" s="30">
        <f>BaaS.1!AM27</f>
        <v>-10115.627333079328</v>
      </c>
      <c r="AN13" s="30">
        <f t="shared" si="5"/>
        <v>-5276.4521918450409</v>
      </c>
      <c r="AO13" s="30">
        <f t="shared" si="6"/>
        <v>-8855.7353204023821</v>
      </c>
      <c r="AP13" s="30">
        <f t="shared" si="7"/>
        <v>-10115.627333079328</v>
      </c>
    </row>
    <row r="14" spans="1:66" ht="13.8">
      <c r="A14" s="44"/>
      <c r="B14" s="120" t="s">
        <v>102</v>
      </c>
      <c r="C14" s="30">
        <f>BaaS.1!D49</f>
        <v>-75</v>
      </c>
      <c r="D14" s="30">
        <f>BaaS.1!E49</f>
        <v>-130</v>
      </c>
      <c r="E14" s="30">
        <f>BaaS.1!F49</f>
        <v>-171.66666666666669</v>
      </c>
      <c r="F14" s="30">
        <f>BaaS.1!G49</f>
        <v>-204.44444444444449</v>
      </c>
      <c r="G14" s="30">
        <f>BaaS.1!H49</f>
        <v>-231.2962962962963</v>
      </c>
      <c r="H14" s="30">
        <f>BaaS.1!I49</f>
        <v>-254.19753086419757</v>
      </c>
      <c r="I14" s="30">
        <f>BaaS.1!J49</f>
        <v>-269.46502057613174</v>
      </c>
      <c r="J14" s="30">
        <f>BaaS.1!K49</f>
        <v>-289.64334705075447</v>
      </c>
      <c r="K14" s="30">
        <f>BaaS.1!L49</f>
        <v>-313.09556470050302</v>
      </c>
      <c r="L14" s="30">
        <f>BaaS.1!M49</f>
        <v>-338.73037646700209</v>
      </c>
      <c r="M14" s="30">
        <f>BaaS.1!N49</f>
        <v>-365.82025097800135</v>
      </c>
      <c r="N14" s="30">
        <f>BaaS.1!O49</f>
        <v>-393.88016731866759</v>
      </c>
      <c r="O14" s="30">
        <f>BaaS.1!P49</f>
        <v>-412.58677821244504</v>
      </c>
      <c r="P14" s="30">
        <f>BaaS.1!Q49</f>
        <v>-425.05785214163001</v>
      </c>
      <c r="Q14" s="30">
        <f>BaaS.1!R49</f>
        <v>-433.37190142775336</v>
      </c>
      <c r="R14" s="30">
        <f>BaaS.1!S49</f>
        <v>-438.91460095183561</v>
      </c>
      <c r="S14" s="30">
        <f>BaaS.1!T49</f>
        <v>-442.60973396789041</v>
      </c>
      <c r="T14" s="30">
        <f>BaaS.1!U49</f>
        <v>-445.0731559785936</v>
      </c>
      <c r="U14" s="30">
        <f>BaaS.1!V49</f>
        <v>-446.7154373190624</v>
      </c>
      <c r="V14" s="30">
        <f>BaaS.1!W49</f>
        <v>-447.81029154604158</v>
      </c>
      <c r="W14" s="30">
        <f>BaaS.1!X49</f>
        <v>-448.54019436402768</v>
      </c>
      <c r="X14" s="30">
        <f>BaaS.1!Y49</f>
        <v>-449.02679624268512</v>
      </c>
      <c r="Y14" s="30">
        <f>BaaS.1!Z49</f>
        <v>-449.35119749512342</v>
      </c>
      <c r="Z14" s="30">
        <f>BaaS.1!AA49</f>
        <v>-449.56746499674892</v>
      </c>
      <c r="AA14" s="30">
        <f>BaaS.1!AB49</f>
        <v>-449.71164333116599</v>
      </c>
      <c r="AB14" s="30">
        <f>BaaS.1!AC49</f>
        <v>-449.80776222077731</v>
      </c>
      <c r="AC14" s="30">
        <f>BaaS.1!AD49</f>
        <v>-449.87184148051824</v>
      </c>
      <c r="AD14" s="30">
        <f>BaaS.1!AE49</f>
        <v>-449.91456098701212</v>
      </c>
      <c r="AE14" s="30">
        <f>BaaS.1!AF49</f>
        <v>-449.9430406580081</v>
      </c>
      <c r="AF14" s="30">
        <f>BaaS.1!AG49</f>
        <v>-449.96202710533873</v>
      </c>
      <c r="AG14" s="30">
        <f>BaaS.1!AH49</f>
        <v>-449.97468473689253</v>
      </c>
      <c r="AH14" s="30">
        <f>BaaS.1!AI49</f>
        <v>-449.98312315792839</v>
      </c>
      <c r="AI14" s="30">
        <f>BaaS.1!AJ49</f>
        <v>-449.98874877195226</v>
      </c>
      <c r="AJ14" s="30">
        <f>BaaS.1!AK49</f>
        <v>-449.99249918130147</v>
      </c>
      <c r="AK14" s="30">
        <f>BaaS.1!AL49</f>
        <v>-449.99499945420098</v>
      </c>
      <c r="AL14" s="30">
        <f>BaaS.1!AM49</f>
        <v>-449.99666630280063</v>
      </c>
      <c r="AN14" s="30">
        <f t="shared" si="5"/>
        <v>-393.88016731866759</v>
      </c>
      <c r="AO14" s="30">
        <f t="shared" si="6"/>
        <v>-449.56746499674892</v>
      </c>
      <c r="AP14" s="30">
        <f t="shared" si="7"/>
        <v>-449.99666630280063</v>
      </c>
    </row>
    <row r="15" spans="1:66" ht="13.8">
      <c r="A15" s="44"/>
      <c r="B15" s="120" t="s">
        <v>103</v>
      </c>
      <c r="C15" s="30">
        <f>BaaS.1!D71</f>
        <v>-75</v>
      </c>
      <c r="D15" s="30">
        <f>BaaS.1!E71</f>
        <v>-130</v>
      </c>
      <c r="E15" s="30">
        <f>BaaS.1!F71</f>
        <v>-171.66666666666669</v>
      </c>
      <c r="F15" s="30">
        <f>BaaS.1!G71</f>
        <v>-204.44444444444449</v>
      </c>
      <c r="G15" s="30">
        <f>BaaS.1!H71</f>
        <v>-231.2962962962963</v>
      </c>
      <c r="H15" s="30">
        <f>BaaS.1!I71</f>
        <v>-254.19753086419757</v>
      </c>
      <c r="I15" s="30">
        <f>BaaS.1!J71</f>
        <v>-269.46502057613174</v>
      </c>
      <c r="J15" s="30">
        <f>BaaS.1!K71</f>
        <v>-289.64334705075447</v>
      </c>
      <c r="K15" s="30">
        <f>BaaS.1!L71</f>
        <v>-313.09556470050302</v>
      </c>
      <c r="L15" s="30">
        <f>BaaS.1!M71</f>
        <v>-338.73037646700209</v>
      </c>
      <c r="M15" s="30">
        <f>BaaS.1!N71</f>
        <v>-365.82025097800135</v>
      </c>
      <c r="N15" s="30">
        <f>BaaS.1!O71</f>
        <v>-393.88016731866759</v>
      </c>
      <c r="O15" s="30">
        <f>BaaS.1!P71</f>
        <v>-412.58677821244504</v>
      </c>
      <c r="P15" s="30">
        <f>BaaS.1!Q71</f>
        <v>-425.05785214163001</v>
      </c>
      <c r="Q15" s="30">
        <f>BaaS.1!R71</f>
        <v>-433.37190142775336</v>
      </c>
      <c r="R15" s="30">
        <f>BaaS.1!S71</f>
        <v>-438.91460095183561</v>
      </c>
      <c r="S15" s="30">
        <f>BaaS.1!T71</f>
        <v>-442.60973396789041</v>
      </c>
      <c r="T15" s="30">
        <f>BaaS.1!U71</f>
        <v>-445.0731559785936</v>
      </c>
      <c r="U15" s="30">
        <f>BaaS.1!V71</f>
        <v>-446.7154373190624</v>
      </c>
      <c r="V15" s="30">
        <f>BaaS.1!W71</f>
        <v>-447.81029154604158</v>
      </c>
      <c r="W15" s="30">
        <f>BaaS.1!X71</f>
        <v>-448.54019436402768</v>
      </c>
      <c r="X15" s="30">
        <f>BaaS.1!Y71</f>
        <v>-449.02679624268512</v>
      </c>
      <c r="Y15" s="30">
        <f>BaaS.1!Z71</f>
        <v>-449.35119749512342</v>
      </c>
      <c r="Z15" s="30">
        <f>BaaS.1!AA71</f>
        <v>-449.56746499674892</v>
      </c>
      <c r="AA15" s="30">
        <f>BaaS.1!AB71</f>
        <v>-449.71164333116599</v>
      </c>
      <c r="AB15" s="30">
        <f>BaaS.1!AC71</f>
        <v>-449.80776222077731</v>
      </c>
      <c r="AC15" s="30">
        <f>BaaS.1!AD71</f>
        <v>-449.87184148051824</v>
      </c>
      <c r="AD15" s="30">
        <f>BaaS.1!AE71</f>
        <v>-449.91456098701212</v>
      </c>
      <c r="AE15" s="30">
        <f>BaaS.1!AF71</f>
        <v>-449.9430406580081</v>
      </c>
      <c r="AF15" s="30">
        <f>BaaS.1!AG71</f>
        <v>-449.96202710533873</v>
      </c>
      <c r="AG15" s="30">
        <f>BaaS.1!AH71</f>
        <v>-449.97468473689253</v>
      </c>
      <c r="AH15" s="30">
        <f>BaaS.1!AI71</f>
        <v>-449.98312315792839</v>
      </c>
      <c r="AI15" s="30">
        <f>BaaS.1!AJ71</f>
        <v>-449.98874877195226</v>
      </c>
      <c r="AJ15" s="30">
        <f>BaaS.1!AK71</f>
        <v>-449.99249918130147</v>
      </c>
      <c r="AK15" s="30">
        <f>BaaS.1!AL71</f>
        <v>-449.99499945420098</v>
      </c>
      <c r="AL15" s="30">
        <f>BaaS.1!AM71</f>
        <v>-449.99666630280063</v>
      </c>
      <c r="AN15" s="30">
        <f t="shared" si="5"/>
        <v>-393.88016731866759</v>
      </c>
      <c r="AO15" s="30">
        <f t="shared" si="6"/>
        <v>-449.56746499674892</v>
      </c>
      <c r="AP15" s="30">
        <f t="shared" si="7"/>
        <v>-449.99666630280063</v>
      </c>
    </row>
    <row r="16" spans="1:66" ht="13.8">
      <c r="A16" s="44"/>
      <c r="B16" s="120" t="s">
        <v>108</v>
      </c>
      <c r="C16" s="30">
        <f>BaaS.1!D96+BaaS.1!D97</f>
        <v>-33</v>
      </c>
      <c r="D16" s="30">
        <f>BaaS.1!E96+BaaS.1!E97</f>
        <v>-68.2</v>
      </c>
      <c r="E16" s="30">
        <f>BaaS.1!F96+BaaS.1!F97</f>
        <v>-105.6</v>
      </c>
      <c r="F16" s="30">
        <f>BaaS.1!G96+BaaS.1!G97</f>
        <v>-145.19999999999999</v>
      </c>
      <c r="G16" s="30">
        <f>BaaS.1!H96+BaaS.1!H97</f>
        <v>-187</v>
      </c>
      <c r="H16" s="30">
        <f>BaaS.1!I96+BaaS.1!I97</f>
        <v>-231</v>
      </c>
      <c r="I16" s="30">
        <f>BaaS.1!J96+BaaS.1!J97</f>
        <v>-275</v>
      </c>
      <c r="J16" s="30">
        <f>BaaS.1!K96+BaaS.1!K97</f>
        <v>-323.39999999999998</v>
      </c>
      <c r="K16" s="30">
        <f>BaaS.1!L96+BaaS.1!L97</f>
        <v>-376.2</v>
      </c>
      <c r="L16" s="30">
        <f>BaaS.1!M96+BaaS.1!M97</f>
        <v>-433.4</v>
      </c>
      <c r="M16" s="30">
        <f>BaaS.1!N96+BaaS.1!N97</f>
        <v>-495</v>
      </c>
      <c r="N16" s="30">
        <f>BaaS.1!O96+BaaS.1!O97</f>
        <v>-561</v>
      </c>
      <c r="O16" s="30">
        <f>BaaS.1!P96+BaaS.1!P97</f>
        <v>-627</v>
      </c>
      <c r="P16" s="30">
        <f>BaaS.1!Q96+BaaS.1!Q97</f>
        <v>-693</v>
      </c>
      <c r="Q16" s="30">
        <f>BaaS.1!R96+BaaS.1!R97</f>
        <v>-759</v>
      </c>
      <c r="R16" s="30">
        <f>BaaS.1!S96+BaaS.1!S97</f>
        <v>-825</v>
      </c>
      <c r="S16" s="30">
        <f>BaaS.1!T96+BaaS.1!T97</f>
        <v>-891</v>
      </c>
      <c r="T16" s="30">
        <f>BaaS.1!U96+BaaS.1!U97</f>
        <v>-957</v>
      </c>
      <c r="U16" s="30">
        <f>BaaS.1!V96+BaaS.1!V97</f>
        <v>-1023</v>
      </c>
      <c r="V16" s="30">
        <f>BaaS.1!W96+BaaS.1!W97</f>
        <v>-1089</v>
      </c>
      <c r="W16" s="30">
        <f>BaaS.1!X96+BaaS.1!X97</f>
        <v>-1155</v>
      </c>
      <c r="X16" s="30">
        <f>BaaS.1!Y96+BaaS.1!Y97</f>
        <v>-1221</v>
      </c>
      <c r="Y16" s="30">
        <f>BaaS.1!Z96+BaaS.1!Z97</f>
        <v>-1287</v>
      </c>
      <c r="Z16" s="30">
        <f>BaaS.1!AA96+BaaS.1!AA97</f>
        <v>-1353</v>
      </c>
      <c r="AA16" s="30">
        <f>BaaS.1!AB96+BaaS.1!AB97</f>
        <v>-1419</v>
      </c>
      <c r="AB16" s="30">
        <f>BaaS.1!AC96+BaaS.1!AC97</f>
        <v>-1485</v>
      </c>
      <c r="AC16" s="30">
        <f>BaaS.1!AD96+BaaS.1!AD97</f>
        <v>-1551</v>
      </c>
      <c r="AD16" s="30">
        <f>BaaS.1!AE96+BaaS.1!AE97</f>
        <v>-1617</v>
      </c>
      <c r="AE16" s="30">
        <f>BaaS.1!AF96+BaaS.1!AF97</f>
        <v>-1683</v>
      </c>
      <c r="AF16" s="30">
        <f>BaaS.1!AG96+BaaS.1!AG97</f>
        <v>-1749</v>
      </c>
      <c r="AG16" s="30">
        <f>BaaS.1!AH96+BaaS.1!AH97</f>
        <v>-1815</v>
      </c>
      <c r="AH16" s="30">
        <f>BaaS.1!AI96+BaaS.1!AI97</f>
        <v>-1881</v>
      </c>
      <c r="AI16" s="30">
        <f>BaaS.1!AJ96+BaaS.1!AJ97</f>
        <v>-1947</v>
      </c>
      <c r="AJ16" s="30">
        <f>BaaS.1!AK96+BaaS.1!AK97</f>
        <v>-2013</v>
      </c>
      <c r="AK16" s="30">
        <f>BaaS.1!AL96+BaaS.1!AL97</f>
        <v>-2079</v>
      </c>
      <c r="AL16" s="30">
        <f>BaaS.1!AM96+BaaS.1!AM97</f>
        <v>-2145</v>
      </c>
      <c r="AN16" s="30">
        <f t="shared" si="5"/>
        <v>-561</v>
      </c>
      <c r="AO16" s="30">
        <f t="shared" si="6"/>
        <v>-1353</v>
      </c>
      <c r="AP16" s="30">
        <f t="shared" si="7"/>
        <v>-2145</v>
      </c>
    </row>
    <row r="17" spans="1:66" ht="13.8">
      <c r="A17" s="44"/>
      <c r="B17" s="48" t="s">
        <v>61</v>
      </c>
      <c r="C17" s="40">
        <f t="shared" ref="C17:AL17" si="9">C7+C12</f>
        <v>25317</v>
      </c>
      <c r="D17" s="40">
        <f t="shared" si="9"/>
        <v>49534.3</v>
      </c>
      <c r="E17" s="40">
        <f t="shared" si="9"/>
        <v>72935.858333333323</v>
      </c>
      <c r="F17" s="40">
        <f t="shared" si="9"/>
        <v>95718.63680555555</v>
      </c>
      <c r="G17" s="40">
        <f t="shared" si="9"/>
        <v>118020.96151620369</v>
      </c>
      <c r="H17" s="40">
        <f t="shared" si="9"/>
        <v>139941.48324170525</v>
      </c>
      <c r="I17" s="40">
        <f t="shared" si="9"/>
        <v>159864.06642835325</v>
      </c>
      <c r="J17" s="40">
        <f t="shared" si="9"/>
        <v>181403.32653051725</v>
      </c>
      <c r="K17" s="40">
        <f t="shared" si="9"/>
        <v>204382.52085599198</v>
      </c>
      <c r="L17" s="40">
        <f t="shared" si="9"/>
        <v>228655.18625333789</v>
      </c>
      <c r="M17" s="40">
        <f t="shared" si="9"/>
        <v>254097.43215578984</v>
      </c>
      <c r="N17" s="40">
        <f t="shared" si="9"/>
        <v>280602.60375851643</v>
      </c>
      <c r="O17" s="40">
        <f t="shared" si="9"/>
        <v>304701.94185577938</v>
      </c>
      <c r="P17" s="40">
        <f t="shared" si="9"/>
        <v>326684.78897477943</v>
      </c>
      <c r="Q17" s="40">
        <f t="shared" si="9"/>
        <v>346786.7569648691</v>
      </c>
      <c r="R17" s="40">
        <f t="shared" si="9"/>
        <v>365204.07748756633</v>
      </c>
      <c r="S17" s="40">
        <f t="shared" si="9"/>
        <v>382103.46565456002</v>
      </c>
      <c r="T17" s="40">
        <f t="shared" si="9"/>
        <v>397628.96771065163</v>
      </c>
      <c r="U17" s="40">
        <f t="shared" si="9"/>
        <v>411906.77541963407</v>
      </c>
      <c r="V17" s="40">
        <f t="shared" si="9"/>
        <v>425048.66414680012</v>
      </c>
      <c r="W17" s="40">
        <f t="shared" si="9"/>
        <v>437154.49436487939</v>
      </c>
      <c r="X17" s="40">
        <f t="shared" si="9"/>
        <v>448314.07132134779</v>
      </c>
      <c r="Y17" s="40">
        <f t="shared" si="9"/>
        <v>458608.56081359659</v>
      </c>
      <c r="Z17" s="40">
        <f t="shared" si="9"/>
        <v>468111.59436959319</v>
      </c>
      <c r="AA17" s="40">
        <f t="shared" si="9"/>
        <v>476890.1539213247</v>
      </c>
      <c r="AB17" s="40">
        <f t="shared" si="9"/>
        <v>485005.29714956821</v>
      </c>
      <c r="AC17" s="40">
        <f t="shared" si="9"/>
        <v>492512.76531267347</v>
      </c>
      <c r="AD17" s="40">
        <f t="shared" si="9"/>
        <v>499463.50237588573</v>
      </c>
      <c r="AE17" s="40">
        <f t="shared" si="9"/>
        <v>505904.10551518522</v>
      </c>
      <c r="AF17" s="40">
        <f t="shared" si="9"/>
        <v>511877.22116933548</v>
      </c>
      <c r="AG17" s="40">
        <f t="shared" si="9"/>
        <v>517421.89681439014</v>
      </c>
      <c r="AH17" s="40">
        <f t="shared" si="9"/>
        <v>522573.89590819034</v>
      </c>
      <c r="AI17" s="40">
        <f t="shared" si="9"/>
        <v>527365.98157917417</v>
      </c>
      <c r="AJ17" s="40">
        <f t="shared" si="9"/>
        <v>531828.17333424278</v>
      </c>
      <c r="AK17" s="40">
        <f t="shared" si="9"/>
        <v>535987.98014750006</v>
      </c>
      <c r="AL17" s="40">
        <f t="shared" si="9"/>
        <v>539870.61264039343</v>
      </c>
      <c r="AN17" s="25">
        <f t="shared" si="2"/>
        <v>280602.60375851643</v>
      </c>
      <c r="AO17" s="25">
        <f t="shared" si="3"/>
        <v>468111.59436959319</v>
      </c>
      <c r="AP17" s="25">
        <f t="shared" si="4"/>
        <v>539870.61264039343</v>
      </c>
    </row>
    <row r="18" spans="1:66" s="21" customFormat="1" ht="13.8">
      <c r="A18" s="44"/>
      <c r="B18" s="46" t="s">
        <v>62</v>
      </c>
      <c r="C18" s="39">
        <f>SUM(C19:C20)</f>
        <v>2550</v>
      </c>
      <c r="D18" s="39">
        <f t="shared" ref="D18:AL18" si="10">SUM(D19:D20)</f>
        <v>10157.5</v>
      </c>
      <c r="E18" s="39">
        <f t="shared" si="10"/>
        <v>13812.5</v>
      </c>
      <c r="F18" s="39">
        <f t="shared" si="10"/>
        <v>16553.75</v>
      </c>
      <c r="G18" s="39">
        <f t="shared" si="10"/>
        <v>16270.416666666666</v>
      </c>
      <c r="H18" s="39">
        <f t="shared" si="10"/>
        <v>15987.083333333334</v>
      </c>
      <c r="I18" s="39">
        <f t="shared" si="10"/>
        <v>15703.75</v>
      </c>
      <c r="J18" s="39">
        <f t="shared" si="10"/>
        <v>18395.416666666668</v>
      </c>
      <c r="K18" s="39">
        <f t="shared" si="10"/>
        <v>18062.5</v>
      </c>
      <c r="L18" s="39">
        <f t="shared" si="10"/>
        <v>17729.583333333332</v>
      </c>
      <c r="M18" s="39">
        <f t="shared" si="10"/>
        <v>17396.666666666668</v>
      </c>
      <c r="N18" s="39">
        <f t="shared" si="10"/>
        <v>17063.75</v>
      </c>
      <c r="O18" s="39">
        <f t="shared" si="10"/>
        <v>16730.833333333336</v>
      </c>
      <c r="P18" s="39">
        <f t="shared" si="10"/>
        <v>16397.916666666668</v>
      </c>
      <c r="Q18" s="39">
        <f t="shared" si="10"/>
        <v>16065</v>
      </c>
      <c r="R18" s="39">
        <f t="shared" si="10"/>
        <v>15732.083333333334</v>
      </c>
      <c r="S18" s="39">
        <f t="shared" si="10"/>
        <v>15399.166666666668</v>
      </c>
      <c r="T18" s="39">
        <f t="shared" si="10"/>
        <v>15066.25</v>
      </c>
      <c r="U18" s="39">
        <f t="shared" si="10"/>
        <v>14733.333333333332</v>
      </c>
      <c r="V18" s="39">
        <f t="shared" si="10"/>
        <v>14400.416666666666</v>
      </c>
      <c r="W18" s="39">
        <f t="shared" si="10"/>
        <v>14067.5</v>
      </c>
      <c r="X18" s="39">
        <f t="shared" si="10"/>
        <v>13734.583333333332</v>
      </c>
      <c r="Y18" s="39">
        <f t="shared" si="10"/>
        <v>13401.666666666664</v>
      </c>
      <c r="Z18" s="39">
        <f t="shared" si="10"/>
        <v>13068.749999999998</v>
      </c>
      <c r="AA18" s="39">
        <f t="shared" si="10"/>
        <v>12735.833333333332</v>
      </c>
      <c r="AB18" s="39">
        <f t="shared" si="10"/>
        <v>12402.916666666664</v>
      </c>
      <c r="AC18" s="39">
        <f t="shared" si="10"/>
        <v>12069.999999999996</v>
      </c>
      <c r="AD18" s="39">
        <f t="shared" si="10"/>
        <v>11737.08333333333</v>
      </c>
      <c r="AE18" s="39">
        <f t="shared" si="10"/>
        <v>11404.166666666664</v>
      </c>
      <c r="AF18" s="39">
        <f t="shared" si="10"/>
        <v>11071.249999999998</v>
      </c>
      <c r="AG18" s="39">
        <f t="shared" si="10"/>
        <v>10738.333333333332</v>
      </c>
      <c r="AH18" s="39">
        <f t="shared" si="10"/>
        <v>10405.416666666666</v>
      </c>
      <c r="AI18" s="39">
        <f t="shared" si="10"/>
        <v>10072.5</v>
      </c>
      <c r="AJ18" s="39">
        <f t="shared" si="10"/>
        <v>9739.5833333333339</v>
      </c>
      <c r="AK18" s="39">
        <f t="shared" si="10"/>
        <v>9406.6666666666679</v>
      </c>
      <c r="AL18" s="39">
        <f t="shared" si="10"/>
        <v>9073.7500000000018</v>
      </c>
      <c r="AM18" s="20"/>
      <c r="AN18" s="30">
        <f t="shared" si="2"/>
        <v>17063.75</v>
      </c>
      <c r="AO18" s="30">
        <f t="shared" si="3"/>
        <v>13068.749999999998</v>
      </c>
      <c r="AP18" s="30">
        <f t="shared" si="4"/>
        <v>9073.7500000000018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</row>
    <row r="19" spans="1:66" s="21" customFormat="1" ht="13.8">
      <c r="A19" s="44"/>
      <c r="B19" s="120" t="s">
        <v>333</v>
      </c>
      <c r="C19" s="39">
        <f>'OPEX+CAPEX'!E17</f>
        <v>2550</v>
      </c>
      <c r="D19" s="39">
        <f>C19+'OPEX+CAPEX'!F17</f>
        <v>10200</v>
      </c>
      <c r="E19" s="39">
        <f>D19+'OPEX+CAPEX'!G17</f>
        <v>14025</v>
      </c>
      <c r="F19" s="39">
        <f>E19+'OPEX+CAPEX'!H17</f>
        <v>17000</v>
      </c>
      <c r="G19" s="39">
        <f>F19+'OPEX+CAPEX'!I17</f>
        <v>17000</v>
      </c>
      <c r="H19" s="39">
        <f>G19+'OPEX+CAPEX'!J17</f>
        <v>17000</v>
      </c>
      <c r="I19" s="39">
        <f>H19+'OPEX+CAPEX'!K17</f>
        <v>17000</v>
      </c>
      <c r="J19" s="39">
        <f>I19+'OPEX+CAPEX'!L17</f>
        <v>19975</v>
      </c>
      <c r="K19" s="39">
        <f>J19+'OPEX+CAPEX'!M17</f>
        <v>19975</v>
      </c>
      <c r="L19" s="39">
        <f>K19+'OPEX+CAPEX'!N17</f>
        <v>19975</v>
      </c>
      <c r="M19" s="39">
        <f>L19+'OPEX+CAPEX'!O17</f>
        <v>19975</v>
      </c>
      <c r="N19" s="39">
        <f>M19+'OPEX+CAPEX'!P17</f>
        <v>19975</v>
      </c>
      <c r="O19" s="39">
        <f>N19+'OPEX+CAPEX'!Q17</f>
        <v>19975</v>
      </c>
      <c r="P19" s="39">
        <f>O19+'OPEX+CAPEX'!R17</f>
        <v>19975</v>
      </c>
      <c r="Q19" s="39">
        <f>P19+'OPEX+CAPEX'!S17</f>
        <v>19975</v>
      </c>
      <c r="R19" s="39">
        <f>Q19+'OPEX+CAPEX'!T17</f>
        <v>19975</v>
      </c>
      <c r="S19" s="39">
        <f>R19+'OPEX+CAPEX'!U17</f>
        <v>19975</v>
      </c>
      <c r="T19" s="39">
        <f>S19+'OPEX+CAPEX'!V17</f>
        <v>19975</v>
      </c>
      <c r="U19" s="39">
        <f>T19+'OPEX+CAPEX'!W17</f>
        <v>19975</v>
      </c>
      <c r="V19" s="39">
        <f>U19+'OPEX+CAPEX'!X17</f>
        <v>19975</v>
      </c>
      <c r="W19" s="39">
        <f>V19+'OPEX+CAPEX'!Y17</f>
        <v>19975</v>
      </c>
      <c r="X19" s="39">
        <f>W19+'OPEX+CAPEX'!Z17</f>
        <v>19975</v>
      </c>
      <c r="Y19" s="39">
        <f>X19+'OPEX+CAPEX'!AA17</f>
        <v>19975</v>
      </c>
      <c r="Z19" s="39">
        <f>Y19+'OPEX+CAPEX'!AB17</f>
        <v>19975</v>
      </c>
      <c r="AA19" s="39">
        <f>Z19+'OPEX+CAPEX'!AC17</f>
        <v>19975</v>
      </c>
      <c r="AB19" s="39">
        <f>AA19+'OPEX+CAPEX'!AD17</f>
        <v>19975</v>
      </c>
      <c r="AC19" s="39">
        <f>AB19+'OPEX+CAPEX'!AE17</f>
        <v>19975</v>
      </c>
      <c r="AD19" s="39">
        <f>AC19+'OPEX+CAPEX'!AF17</f>
        <v>19975</v>
      </c>
      <c r="AE19" s="39">
        <f>AD19+'OPEX+CAPEX'!AG17</f>
        <v>19975</v>
      </c>
      <c r="AF19" s="39">
        <f>AE19+'OPEX+CAPEX'!AH17</f>
        <v>19975</v>
      </c>
      <c r="AG19" s="39">
        <f>AF19+'OPEX+CAPEX'!AI17</f>
        <v>19975</v>
      </c>
      <c r="AH19" s="39">
        <f>AG19+'OPEX+CAPEX'!AJ17</f>
        <v>19975</v>
      </c>
      <c r="AI19" s="39">
        <f>AH19+'OPEX+CAPEX'!AK17</f>
        <v>19975</v>
      </c>
      <c r="AJ19" s="39">
        <f>AI19+'OPEX+CAPEX'!AL17</f>
        <v>19975</v>
      </c>
      <c r="AK19" s="39">
        <f>AJ19+'OPEX+CAPEX'!AM17</f>
        <v>19975</v>
      </c>
      <c r="AL19" s="39">
        <f>AK19+'OPEX+CAPEX'!AN17</f>
        <v>19975</v>
      </c>
      <c r="AM19" s="20"/>
      <c r="AN19" s="30">
        <f t="shared" si="2"/>
        <v>19975</v>
      </c>
      <c r="AO19" s="30">
        <f t="shared" si="3"/>
        <v>19975</v>
      </c>
      <c r="AP19" s="30">
        <f t="shared" si="4"/>
        <v>19975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</row>
    <row r="20" spans="1:66" s="21" customFormat="1" ht="13.8">
      <c r="A20" s="44"/>
      <c r="B20" s="120" t="s">
        <v>334</v>
      </c>
      <c r="C20" s="39">
        <f>-'OPEX+CAPEX'!E8</f>
        <v>0</v>
      </c>
      <c r="D20" s="39">
        <f>C20-'OPEX+CAPEX'!F8</f>
        <v>-42.5</v>
      </c>
      <c r="E20" s="39">
        <f>D20-'OPEX+CAPEX'!G8</f>
        <v>-212.5</v>
      </c>
      <c r="F20" s="39">
        <f>E20-'OPEX+CAPEX'!H8</f>
        <v>-446.25</v>
      </c>
      <c r="G20" s="39">
        <f>F20-'OPEX+CAPEX'!I8</f>
        <v>-729.58333333333326</v>
      </c>
      <c r="H20" s="39">
        <f>G20-'OPEX+CAPEX'!J8</f>
        <v>-1012.9166666666665</v>
      </c>
      <c r="I20" s="39">
        <f>H20-'OPEX+CAPEX'!K8</f>
        <v>-1296.2499999999998</v>
      </c>
      <c r="J20" s="39">
        <f>I20-'OPEX+CAPEX'!L8</f>
        <v>-1579.583333333333</v>
      </c>
      <c r="K20" s="39">
        <f>J20-'OPEX+CAPEX'!M8</f>
        <v>-1912.4999999999998</v>
      </c>
      <c r="L20" s="39">
        <f>K20-'OPEX+CAPEX'!N8</f>
        <v>-2245.4166666666665</v>
      </c>
      <c r="M20" s="39">
        <f>L20-'OPEX+CAPEX'!O8</f>
        <v>-2578.333333333333</v>
      </c>
      <c r="N20" s="39">
        <f>M20-'OPEX+CAPEX'!P8</f>
        <v>-2911.2499999999995</v>
      </c>
      <c r="O20" s="39">
        <f>N20-'OPEX+CAPEX'!Q8</f>
        <v>-3244.1666666666661</v>
      </c>
      <c r="P20" s="39">
        <f>O20-'OPEX+CAPEX'!R8</f>
        <v>-3577.0833333333326</v>
      </c>
      <c r="Q20" s="39">
        <f>P20-'OPEX+CAPEX'!S8</f>
        <v>-3909.9999999999991</v>
      </c>
      <c r="R20" s="39">
        <f>Q20-'OPEX+CAPEX'!T8</f>
        <v>-4242.9166666666661</v>
      </c>
      <c r="S20" s="39">
        <f>R20-'OPEX+CAPEX'!U8</f>
        <v>-4575.833333333333</v>
      </c>
      <c r="T20" s="39">
        <f>S20-'OPEX+CAPEX'!V8</f>
        <v>-4908.75</v>
      </c>
      <c r="U20" s="39">
        <f>T20-'OPEX+CAPEX'!W8</f>
        <v>-5241.666666666667</v>
      </c>
      <c r="V20" s="39">
        <f>U20-'OPEX+CAPEX'!X8</f>
        <v>-5574.5833333333339</v>
      </c>
      <c r="W20" s="39">
        <f>V20-'OPEX+CAPEX'!Y8</f>
        <v>-5907.5000000000009</v>
      </c>
      <c r="X20" s="39">
        <f>W20-'OPEX+CAPEX'!Z8</f>
        <v>-6240.4166666666679</v>
      </c>
      <c r="Y20" s="39">
        <f>X20-'OPEX+CAPEX'!AA8</f>
        <v>-6573.3333333333348</v>
      </c>
      <c r="Z20" s="39">
        <f>Y20-'OPEX+CAPEX'!AB8</f>
        <v>-6906.2500000000018</v>
      </c>
      <c r="AA20" s="39">
        <f>Z20-'OPEX+CAPEX'!AC8</f>
        <v>-7239.1666666666688</v>
      </c>
      <c r="AB20" s="39">
        <f>AA20-'OPEX+CAPEX'!AD8</f>
        <v>-7572.0833333333358</v>
      </c>
      <c r="AC20" s="39">
        <f>AB20-'OPEX+CAPEX'!AE8</f>
        <v>-7905.0000000000027</v>
      </c>
      <c r="AD20" s="39">
        <f>AC20-'OPEX+CAPEX'!AF8</f>
        <v>-8237.9166666666697</v>
      </c>
      <c r="AE20" s="39">
        <f>AD20-'OPEX+CAPEX'!AG8</f>
        <v>-8570.8333333333358</v>
      </c>
      <c r="AF20" s="39">
        <f>AE20-'OPEX+CAPEX'!AH8</f>
        <v>-8903.7500000000018</v>
      </c>
      <c r="AG20" s="39">
        <f>AF20-'OPEX+CAPEX'!AI8</f>
        <v>-9236.6666666666679</v>
      </c>
      <c r="AH20" s="39">
        <f>AG20-'OPEX+CAPEX'!AJ8</f>
        <v>-9569.5833333333339</v>
      </c>
      <c r="AI20" s="39">
        <f>AH20-'OPEX+CAPEX'!AK8</f>
        <v>-9902.5</v>
      </c>
      <c r="AJ20" s="39">
        <f>AI20-'OPEX+CAPEX'!AL8</f>
        <v>-10235.416666666666</v>
      </c>
      <c r="AK20" s="39">
        <f>AJ20-'OPEX+CAPEX'!AM8</f>
        <v>-10568.333333333332</v>
      </c>
      <c r="AL20" s="39">
        <f>AK20-'OPEX+CAPEX'!AN8</f>
        <v>-10901.249999999998</v>
      </c>
      <c r="AM20" s="20"/>
      <c r="AN20" s="25">
        <f t="shared" si="2"/>
        <v>-2911.2499999999995</v>
      </c>
      <c r="AO20" s="25">
        <f t="shared" si="3"/>
        <v>-6906.2500000000018</v>
      </c>
      <c r="AP20" s="25">
        <f t="shared" si="4"/>
        <v>-10901.249999999998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</row>
    <row r="21" spans="1:66" ht="13.8">
      <c r="A21" s="44"/>
      <c r="B21" s="49" t="s">
        <v>63</v>
      </c>
      <c r="C21" s="50">
        <f>C7+C12</f>
        <v>25317</v>
      </c>
      <c r="D21" s="50">
        <f t="shared" ref="D21:AL21" si="11">D7+D12</f>
        <v>49534.3</v>
      </c>
      <c r="E21" s="50">
        <f t="shared" si="11"/>
        <v>72935.858333333323</v>
      </c>
      <c r="F21" s="50">
        <f t="shared" si="11"/>
        <v>95718.63680555555</v>
      </c>
      <c r="G21" s="50">
        <f t="shared" si="11"/>
        <v>118020.96151620369</v>
      </c>
      <c r="H21" s="50">
        <f t="shared" si="11"/>
        <v>139941.48324170525</v>
      </c>
      <c r="I21" s="50">
        <f t="shared" si="11"/>
        <v>159864.06642835325</v>
      </c>
      <c r="J21" s="50">
        <f t="shared" si="11"/>
        <v>181403.32653051725</v>
      </c>
      <c r="K21" s="50">
        <f t="shared" si="11"/>
        <v>204382.52085599198</v>
      </c>
      <c r="L21" s="50">
        <f t="shared" si="11"/>
        <v>228655.18625333789</v>
      </c>
      <c r="M21" s="50">
        <f t="shared" si="11"/>
        <v>254097.43215578984</v>
      </c>
      <c r="N21" s="50">
        <f t="shared" si="11"/>
        <v>280602.60375851643</v>
      </c>
      <c r="O21" s="50">
        <f t="shared" si="11"/>
        <v>304701.94185577938</v>
      </c>
      <c r="P21" s="50">
        <f t="shared" si="11"/>
        <v>326684.78897477943</v>
      </c>
      <c r="Q21" s="50">
        <f t="shared" si="11"/>
        <v>346786.7569648691</v>
      </c>
      <c r="R21" s="50">
        <f t="shared" si="11"/>
        <v>365204.07748756633</v>
      </c>
      <c r="S21" s="50">
        <f t="shared" si="11"/>
        <v>382103.46565456002</v>
      </c>
      <c r="T21" s="50">
        <f t="shared" si="11"/>
        <v>397628.96771065163</v>
      </c>
      <c r="U21" s="50">
        <f t="shared" si="11"/>
        <v>411906.77541963407</v>
      </c>
      <c r="V21" s="50">
        <f t="shared" si="11"/>
        <v>425048.66414680012</v>
      </c>
      <c r="W21" s="50">
        <f t="shared" si="11"/>
        <v>437154.49436487939</v>
      </c>
      <c r="X21" s="50">
        <f t="shared" si="11"/>
        <v>448314.07132134779</v>
      </c>
      <c r="Y21" s="50">
        <f t="shared" si="11"/>
        <v>458608.56081359659</v>
      </c>
      <c r="Z21" s="50">
        <f t="shared" si="11"/>
        <v>468111.59436959319</v>
      </c>
      <c r="AA21" s="50">
        <f t="shared" si="11"/>
        <v>476890.1539213247</v>
      </c>
      <c r="AB21" s="50">
        <f t="shared" si="11"/>
        <v>485005.29714956821</v>
      </c>
      <c r="AC21" s="50">
        <f t="shared" si="11"/>
        <v>492512.76531267347</v>
      </c>
      <c r="AD21" s="50">
        <f t="shared" si="11"/>
        <v>499463.50237588573</v>
      </c>
      <c r="AE21" s="50">
        <f t="shared" si="11"/>
        <v>505904.10551518522</v>
      </c>
      <c r="AF21" s="50">
        <f t="shared" si="11"/>
        <v>511877.22116933548</v>
      </c>
      <c r="AG21" s="50">
        <f t="shared" si="11"/>
        <v>517421.89681439014</v>
      </c>
      <c r="AH21" s="50">
        <f t="shared" si="11"/>
        <v>522573.89590819034</v>
      </c>
      <c r="AI21" s="50">
        <f t="shared" si="11"/>
        <v>527365.98157917417</v>
      </c>
      <c r="AJ21" s="50">
        <f t="shared" si="11"/>
        <v>531828.17333424278</v>
      </c>
      <c r="AK21" s="50">
        <f t="shared" si="11"/>
        <v>535987.98014750006</v>
      </c>
      <c r="AL21" s="50">
        <f t="shared" si="11"/>
        <v>539870.61264039343</v>
      </c>
      <c r="AN21" s="50">
        <f t="shared" si="2"/>
        <v>280602.60375851643</v>
      </c>
      <c r="AO21" s="50">
        <f t="shared" si="3"/>
        <v>468111.59436959319</v>
      </c>
      <c r="AP21" s="50">
        <f t="shared" si="4"/>
        <v>539870.61264039343</v>
      </c>
    </row>
    <row r="22" spans="1:66" s="14" customFormat="1" ht="13.8">
      <c r="A22" s="44"/>
      <c r="B22" s="135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N22" s="136"/>
      <c r="AO22" s="136"/>
      <c r="AP22" s="136"/>
    </row>
    <row r="23" spans="1:66" s="14" customFormat="1" ht="13.8">
      <c r="A23" s="44"/>
      <c r="B23" s="45" t="s">
        <v>64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N23" s="31"/>
      <c r="AO23" s="31"/>
      <c r="AP23" s="31"/>
    </row>
    <row r="24" spans="1:66" s="18" customFormat="1" ht="13.8">
      <c r="A24" s="44"/>
      <c r="B24" s="51" t="s">
        <v>65</v>
      </c>
      <c r="C24" s="52">
        <f>C25+C27+C31+C33</f>
        <v>134900</v>
      </c>
      <c r="D24" s="52">
        <f t="shared" ref="D24:AL24" si="12">D25+D27+D31+D33</f>
        <v>198515.1875</v>
      </c>
      <c r="E24" s="52">
        <f t="shared" si="12"/>
        <v>271554.40367187501</v>
      </c>
      <c r="F24" s="52">
        <f t="shared" si="12"/>
        <v>333915.40634013677</v>
      </c>
      <c r="G24" s="52">
        <f t="shared" si="12"/>
        <v>395842.8677576604</v>
      </c>
      <c r="H24" s="52">
        <f t="shared" si="12"/>
        <v>466013.74831130262</v>
      </c>
      <c r="I24" s="52">
        <f t="shared" si="12"/>
        <v>522507.07981172408</v>
      </c>
      <c r="J24" s="52">
        <f t="shared" si="12"/>
        <v>583201.46724277257</v>
      </c>
      <c r="K24" s="52">
        <f t="shared" si="12"/>
        <v>657845.28656811721</v>
      </c>
      <c r="L24" s="52">
        <f t="shared" si="12"/>
        <v>725941.23238605587</v>
      </c>
      <c r="M24" s="52">
        <f t="shared" si="12"/>
        <v>817464.88203416753</v>
      </c>
      <c r="N24" s="52">
        <f t="shared" si="12"/>
        <v>911763.01386504597</v>
      </c>
      <c r="O24" s="52">
        <f t="shared" si="12"/>
        <v>980201.96907266486</v>
      </c>
      <c r="P24" s="52">
        <f t="shared" si="12"/>
        <v>1043353.7028501777</v>
      </c>
      <c r="Q24" s="52">
        <f t="shared" si="12"/>
        <v>1091533.6867611492</v>
      </c>
      <c r="R24" s="52">
        <f t="shared" si="12"/>
        <v>1144738.65250549</v>
      </c>
      <c r="S24" s="52">
        <f t="shared" si="12"/>
        <v>1193833.2257862268</v>
      </c>
      <c r="T24" s="52">
        <f t="shared" si="12"/>
        <v>1239134.9582823922</v>
      </c>
      <c r="U24" s="52">
        <f t="shared" si="12"/>
        <v>1280936.8689623931</v>
      </c>
      <c r="V24" s="52">
        <f t="shared" si="12"/>
        <v>1319509.3393783243</v>
      </c>
      <c r="W24" s="52">
        <f t="shared" si="12"/>
        <v>1355101.862537791</v>
      </c>
      <c r="X24" s="52">
        <f t="shared" si="12"/>
        <v>1387944.6566652304</v>
      </c>
      <c r="Y24" s="52">
        <f t="shared" si="12"/>
        <v>1418250.1542908032</v>
      </c>
      <c r="Z24" s="52">
        <f t="shared" si="12"/>
        <v>1446214.3762985249</v>
      </c>
      <c r="AA24" s="52">
        <f t="shared" si="12"/>
        <v>1472018.1998211998</v>
      </c>
      <c r="AB24" s="52">
        <f t="shared" si="12"/>
        <v>1495828.5281831159</v>
      </c>
      <c r="AC24" s="52">
        <f t="shared" si="12"/>
        <v>1517799.3704578686</v>
      </c>
      <c r="AD24" s="52">
        <f t="shared" si="12"/>
        <v>1538072.8376240826</v>
      </c>
      <c r="AE24" s="52">
        <f t="shared" si="12"/>
        <v>1556780.0617623145</v>
      </c>
      <c r="AF24" s="52">
        <f t="shared" si="12"/>
        <v>1574042.0442386654</v>
      </c>
      <c r="AG24" s="52">
        <f t="shared" si="12"/>
        <v>1589970.4383612792</v>
      </c>
      <c r="AH24" s="52">
        <f t="shared" si="12"/>
        <v>1604668.2715720893</v>
      </c>
      <c r="AI24" s="52">
        <f t="shared" si="12"/>
        <v>1618230.6118450542</v>
      </c>
      <c r="AJ24" s="52">
        <f t="shared" si="12"/>
        <v>1630745.1826012661</v>
      </c>
      <c r="AK24" s="52">
        <f t="shared" si="12"/>
        <v>1642292.9301182958</v>
      </c>
      <c r="AL24" s="52">
        <f t="shared" si="12"/>
        <v>1652948.5471038702</v>
      </c>
      <c r="AM24" s="34"/>
      <c r="AN24" s="52">
        <f t="shared" si="2"/>
        <v>911763.01386504597</v>
      </c>
      <c r="AO24" s="52">
        <f t="shared" si="3"/>
        <v>1446214.3762985249</v>
      </c>
      <c r="AP24" s="52">
        <f t="shared" si="4"/>
        <v>1652948.5471038702</v>
      </c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 spans="1:66" ht="13.8">
      <c r="A25" s="44"/>
      <c r="B25" s="47" t="s">
        <v>66</v>
      </c>
      <c r="C25" s="30">
        <f>C26</f>
        <v>70000</v>
      </c>
      <c r="D25" s="30">
        <f t="shared" ref="D25:AL25" si="13">D26</f>
        <v>70000</v>
      </c>
      <c r="E25" s="30">
        <f t="shared" si="13"/>
        <v>80000</v>
      </c>
      <c r="F25" s="30">
        <f t="shared" si="13"/>
        <v>80000</v>
      </c>
      <c r="G25" s="30">
        <f t="shared" si="13"/>
        <v>80000</v>
      </c>
      <c r="H25" s="30">
        <f t="shared" si="13"/>
        <v>90000</v>
      </c>
      <c r="I25" s="30">
        <f t="shared" si="13"/>
        <v>90000</v>
      </c>
      <c r="J25" s="30">
        <f t="shared" si="13"/>
        <v>90000</v>
      </c>
      <c r="K25" s="30">
        <f t="shared" si="13"/>
        <v>100000</v>
      </c>
      <c r="L25" s="30">
        <f t="shared" si="13"/>
        <v>100000</v>
      </c>
      <c r="M25" s="30">
        <f t="shared" si="13"/>
        <v>120000</v>
      </c>
      <c r="N25" s="30">
        <f t="shared" si="13"/>
        <v>140000</v>
      </c>
      <c r="O25" s="30">
        <f t="shared" si="13"/>
        <v>140000</v>
      </c>
      <c r="P25" s="30">
        <f t="shared" si="13"/>
        <v>140000</v>
      </c>
      <c r="Q25" s="30">
        <f t="shared" si="13"/>
        <v>140000</v>
      </c>
      <c r="R25" s="30">
        <f t="shared" si="13"/>
        <v>140000</v>
      </c>
      <c r="S25" s="30">
        <f t="shared" si="13"/>
        <v>140000</v>
      </c>
      <c r="T25" s="30">
        <f t="shared" si="13"/>
        <v>140000</v>
      </c>
      <c r="U25" s="30">
        <f t="shared" si="13"/>
        <v>140000</v>
      </c>
      <c r="V25" s="30">
        <f t="shared" si="13"/>
        <v>140000</v>
      </c>
      <c r="W25" s="30">
        <f t="shared" si="13"/>
        <v>140000</v>
      </c>
      <c r="X25" s="30">
        <f t="shared" si="13"/>
        <v>140000</v>
      </c>
      <c r="Y25" s="30">
        <f t="shared" si="13"/>
        <v>140000</v>
      </c>
      <c r="Z25" s="30">
        <f t="shared" si="13"/>
        <v>140000</v>
      </c>
      <c r="AA25" s="30">
        <f t="shared" si="13"/>
        <v>140000</v>
      </c>
      <c r="AB25" s="30">
        <f t="shared" si="13"/>
        <v>140000</v>
      </c>
      <c r="AC25" s="30">
        <f t="shared" si="13"/>
        <v>140000</v>
      </c>
      <c r="AD25" s="30">
        <f t="shared" si="13"/>
        <v>140000</v>
      </c>
      <c r="AE25" s="30">
        <f t="shared" si="13"/>
        <v>140000</v>
      </c>
      <c r="AF25" s="30">
        <f t="shared" si="13"/>
        <v>140000</v>
      </c>
      <c r="AG25" s="30">
        <f t="shared" si="13"/>
        <v>140000</v>
      </c>
      <c r="AH25" s="30">
        <f t="shared" si="13"/>
        <v>140000</v>
      </c>
      <c r="AI25" s="30">
        <f t="shared" si="13"/>
        <v>140000</v>
      </c>
      <c r="AJ25" s="30">
        <f t="shared" si="13"/>
        <v>140000</v>
      </c>
      <c r="AK25" s="30">
        <f t="shared" si="13"/>
        <v>140000</v>
      </c>
      <c r="AL25" s="30">
        <f t="shared" si="13"/>
        <v>140000</v>
      </c>
      <c r="AN25" s="30">
        <f t="shared" si="2"/>
        <v>140000</v>
      </c>
      <c r="AO25" s="30">
        <f t="shared" si="3"/>
        <v>140000</v>
      </c>
      <c r="AP25" s="30">
        <f t="shared" si="4"/>
        <v>140000</v>
      </c>
    </row>
    <row r="26" spans="1:66" ht="13.8">
      <c r="A26" s="44"/>
      <c r="B26" s="120" t="s">
        <v>135</v>
      </c>
      <c r="C26" s="30">
        <f>BaaS.3!D26</f>
        <v>70000</v>
      </c>
      <c r="D26" s="30">
        <f>BaaS.3!E26</f>
        <v>70000</v>
      </c>
      <c r="E26" s="30">
        <f>BaaS.3!F26</f>
        <v>80000</v>
      </c>
      <c r="F26" s="30">
        <f>BaaS.3!G26</f>
        <v>80000</v>
      </c>
      <c r="G26" s="30">
        <f>BaaS.3!H26</f>
        <v>80000</v>
      </c>
      <c r="H26" s="30">
        <f>BaaS.3!I26</f>
        <v>90000</v>
      </c>
      <c r="I26" s="30">
        <f>BaaS.3!J26</f>
        <v>90000</v>
      </c>
      <c r="J26" s="30">
        <f>BaaS.3!K26</f>
        <v>90000</v>
      </c>
      <c r="K26" s="30">
        <f>BaaS.3!L26</f>
        <v>100000</v>
      </c>
      <c r="L26" s="30">
        <f>BaaS.3!M26</f>
        <v>100000</v>
      </c>
      <c r="M26" s="30">
        <f>BaaS.3!N26</f>
        <v>120000</v>
      </c>
      <c r="N26" s="30">
        <f>BaaS.3!O26</f>
        <v>140000</v>
      </c>
      <c r="O26" s="30">
        <f>BaaS.3!P26</f>
        <v>140000</v>
      </c>
      <c r="P26" s="30">
        <f>BaaS.3!Q26</f>
        <v>140000</v>
      </c>
      <c r="Q26" s="30">
        <f>BaaS.3!R26</f>
        <v>140000</v>
      </c>
      <c r="R26" s="30">
        <f>BaaS.3!S26</f>
        <v>140000</v>
      </c>
      <c r="S26" s="30">
        <f>BaaS.3!T26</f>
        <v>140000</v>
      </c>
      <c r="T26" s="30">
        <f>BaaS.3!U26</f>
        <v>140000</v>
      </c>
      <c r="U26" s="30">
        <f>BaaS.3!V26</f>
        <v>140000</v>
      </c>
      <c r="V26" s="30">
        <f>BaaS.3!W26</f>
        <v>140000</v>
      </c>
      <c r="W26" s="30">
        <f>BaaS.3!X26</f>
        <v>140000</v>
      </c>
      <c r="X26" s="30">
        <f>BaaS.3!Y26</f>
        <v>140000</v>
      </c>
      <c r="Y26" s="30">
        <f>BaaS.3!Z26</f>
        <v>140000</v>
      </c>
      <c r="Z26" s="30">
        <f>BaaS.3!AA26</f>
        <v>140000</v>
      </c>
      <c r="AA26" s="30">
        <f>BaaS.3!AB26</f>
        <v>140000</v>
      </c>
      <c r="AB26" s="30">
        <f>BaaS.3!AC26</f>
        <v>140000</v>
      </c>
      <c r="AC26" s="30">
        <f>BaaS.3!AD26</f>
        <v>140000</v>
      </c>
      <c r="AD26" s="30">
        <f>BaaS.3!AE26</f>
        <v>140000</v>
      </c>
      <c r="AE26" s="30">
        <f>BaaS.3!AF26</f>
        <v>140000</v>
      </c>
      <c r="AF26" s="30">
        <f>BaaS.3!AG26</f>
        <v>140000</v>
      </c>
      <c r="AG26" s="30">
        <f>BaaS.3!AH26</f>
        <v>140000</v>
      </c>
      <c r="AH26" s="30">
        <f>BaaS.3!AI26</f>
        <v>140000</v>
      </c>
      <c r="AI26" s="30">
        <f>BaaS.3!AJ26</f>
        <v>140000</v>
      </c>
      <c r="AJ26" s="30">
        <f>BaaS.3!AK26</f>
        <v>140000</v>
      </c>
      <c r="AK26" s="30">
        <f>BaaS.3!AL26</f>
        <v>140000</v>
      </c>
      <c r="AL26" s="30">
        <f>BaaS.3!AM26</f>
        <v>140000</v>
      </c>
      <c r="AN26" s="30">
        <f t="shared" ref="AN26:AN32" si="14">N26</f>
        <v>140000</v>
      </c>
      <c r="AO26" s="30">
        <f t="shared" ref="AO26:AO32" si="15">Z26</f>
        <v>140000</v>
      </c>
      <c r="AP26" s="30">
        <f t="shared" ref="AP26:AP32" si="16">AL26</f>
        <v>140000</v>
      </c>
    </row>
    <row r="27" spans="1:66" s="23" customFormat="1" ht="13.8">
      <c r="A27" s="44"/>
      <c r="B27" s="47" t="s">
        <v>67</v>
      </c>
      <c r="C27" s="30">
        <f>SUM(C28:C30)</f>
        <v>550</v>
      </c>
      <c r="D27" s="30">
        <f t="shared" ref="D27:AL27" si="17">SUM(D28:D30)</f>
        <v>700</v>
      </c>
      <c r="E27" s="30">
        <f t="shared" si="17"/>
        <v>900</v>
      </c>
      <c r="F27" s="30">
        <f t="shared" si="17"/>
        <v>1000</v>
      </c>
      <c r="G27" s="30">
        <f t="shared" si="17"/>
        <v>1200</v>
      </c>
      <c r="H27" s="30">
        <f t="shared" si="17"/>
        <v>1450</v>
      </c>
      <c r="I27" s="30">
        <f t="shared" si="17"/>
        <v>1650</v>
      </c>
      <c r="J27" s="30">
        <f t="shared" si="17"/>
        <v>1850</v>
      </c>
      <c r="K27" s="30">
        <f t="shared" si="17"/>
        <v>2150</v>
      </c>
      <c r="L27" s="30">
        <f t="shared" si="17"/>
        <v>2350</v>
      </c>
      <c r="M27" s="30">
        <f t="shared" si="17"/>
        <v>2700</v>
      </c>
      <c r="N27" s="30">
        <f t="shared" si="17"/>
        <v>2800</v>
      </c>
      <c r="O27" s="30">
        <f t="shared" si="17"/>
        <v>2800</v>
      </c>
      <c r="P27" s="30">
        <f t="shared" si="17"/>
        <v>2800</v>
      </c>
      <c r="Q27" s="30">
        <f t="shared" si="17"/>
        <v>2800</v>
      </c>
      <c r="R27" s="30">
        <f t="shared" si="17"/>
        <v>2800</v>
      </c>
      <c r="S27" s="30">
        <f t="shared" si="17"/>
        <v>2800</v>
      </c>
      <c r="T27" s="30">
        <f t="shared" si="17"/>
        <v>2800</v>
      </c>
      <c r="U27" s="30">
        <f t="shared" si="17"/>
        <v>2800</v>
      </c>
      <c r="V27" s="30">
        <f t="shared" si="17"/>
        <v>2800</v>
      </c>
      <c r="W27" s="30">
        <f t="shared" si="17"/>
        <v>2800</v>
      </c>
      <c r="X27" s="30">
        <f t="shared" si="17"/>
        <v>2800</v>
      </c>
      <c r="Y27" s="30">
        <f t="shared" si="17"/>
        <v>2800</v>
      </c>
      <c r="Z27" s="30">
        <f t="shared" si="17"/>
        <v>2800</v>
      </c>
      <c r="AA27" s="30">
        <f t="shared" si="17"/>
        <v>2800</v>
      </c>
      <c r="AB27" s="30">
        <f t="shared" si="17"/>
        <v>2800</v>
      </c>
      <c r="AC27" s="30">
        <f t="shared" si="17"/>
        <v>2800</v>
      </c>
      <c r="AD27" s="30">
        <f t="shared" si="17"/>
        <v>2800</v>
      </c>
      <c r="AE27" s="30">
        <f t="shared" si="17"/>
        <v>2800</v>
      </c>
      <c r="AF27" s="30">
        <f t="shared" si="17"/>
        <v>2800</v>
      </c>
      <c r="AG27" s="30">
        <f t="shared" si="17"/>
        <v>2800</v>
      </c>
      <c r="AH27" s="30">
        <f t="shared" si="17"/>
        <v>2800</v>
      </c>
      <c r="AI27" s="30">
        <f t="shared" si="17"/>
        <v>2800</v>
      </c>
      <c r="AJ27" s="30">
        <f t="shared" si="17"/>
        <v>2800</v>
      </c>
      <c r="AK27" s="30">
        <f t="shared" si="17"/>
        <v>2800</v>
      </c>
      <c r="AL27" s="30">
        <f t="shared" si="17"/>
        <v>2800</v>
      </c>
      <c r="AM27" s="22"/>
      <c r="AN27" s="30">
        <f t="shared" si="14"/>
        <v>2800</v>
      </c>
      <c r="AO27" s="30">
        <f t="shared" si="15"/>
        <v>2800</v>
      </c>
      <c r="AP27" s="30">
        <f t="shared" si="16"/>
        <v>2800</v>
      </c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</row>
    <row r="28" spans="1:66" s="23" customFormat="1" ht="13.8">
      <c r="A28" s="44"/>
      <c r="B28" s="120" t="s">
        <v>201</v>
      </c>
      <c r="C28" s="30">
        <f>BaaS.3!D52</f>
        <v>200</v>
      </c>
      <c r="D28" s="30">
        <f>BaaS.3!E52</f>
        <v>200</v>
      </c>
      <c r="E28" s="30">
        <f>BaaS.3!F52</f>
        <v>200</v>
      </c>
      <c r="F28" s="30">
        <f>BaaS.3!G52</f>
        <v>300</v>
      </c>
      <c r="G28" s="30">
        <f>BaaS.3!H52</f>
        <v>300</v>
      </c>
      <c r="H28" s="30">
        <f>BaaS.3!I52</f>
        <v>400</v>
      </c>
      <c r="I28" s="30">
        <f>BaaS.3!J52</f>
        <v>400</v>
      </c>
      <c r="J28" s="30">
        <f>BaaS.3!K52</f>
        <v>400</v>
      </c>
      <c r="K28" s="30">
        <f>BaaS.3!L52</f>
        <v>500</v>
      </c>
      <c r="L28" s="30">
        <f>BaaS.3!M52</f>
        <v>500</v>
      </c>
      <c r="M28" s="30">
        <f>BaaS.3!N52</f>
        <v>500</v>
      </c>
      <c r="N28" s="30">
        <f>BaaS.3!O52</f>
        <v>600</v>
      </c>
      <c r="O28" s="30">
        <f>BaaS.3!P52</f>
        <v>600</v>
      </c>
      <c r="P28" s="30">
        <f>BaaS.3!Q52</f>
        <v>600</v>
      </c>
      <c r="Q28" s="30">
        <f>BaaS.3!R52</f>
        <v>600</v>
      </c>
      <c r="R28" s="30">
        <f>BaaS.3!S52</f>
        <v>600</v>
      </c>
      <c r="S28" s="30">
        <f>BaaS.3!T52</f>
        <v>600</v>
      </c>
      <c r="T28" s="30">
        <f>BaaS.3!U52</f>
        <v>600</v>
      </c>
      <c r="U28" s="30">
        <f>BaaS.3!V52</f>
        <v>600</v>
      </c>
      <c r="V28" s="30">
        <f>BaaS.3!W52</f>
        <v>600</v>
      </c>
      <c r="W28" s="30">
        <f>BaaS.3!X52</f>
        <v>600</v>
      </c>
      <c r="X28" s="30">
        <f>BaaS.3!Y52</f>
        <v>600</v>
      </c>
      <c r="Y28" s="30">
        <f>BaaS.3!Z52</f>
        <v>600</v>
      </c>
      <c r="Z28" s="30">
        <f>BaaS.3!AA52</f>
        <v>600</v>
      </c>
      <c r="AA28" s="30">
        <f>BaaS.3!AB52</f>
        <v>600</v>
      </c>
      <c r="AB28" s="30">
        <f>BaaS.3!AC52</f>
        <v>600</v>
      </c>
      <c r="AC28" s="30">
        <f>BaaS.3!AD52</f>
        <v>600</v>
      </c>
      <c r="AD28" s="30">
        <f>BaaS.3!AE52</f>
        <v>600</v>
      </c>
      <c r="AE28" s="30">
        <f>BaaS.3!AF52</f>
        <v>600</v>
      </c>
      <c r="AF28" s="30">
        <f>BaaS.3!AG52</f>
        <v>600</v>
      </c>
      <c r="AG28" s="30">
        <f>BaaS.3!AH52</f>
        <v>600</v>
      </c>
      <c r="AH28" s="30">
        <f>BaaS.3!AI52</f>
        <v>600</v>
      </c>
      <c r="AI28" s="30">
        <f>BaaS.3!AJ52</f>
        <v>600</v>
      </c>
      <c r="AJ28" s="30">
        <f>BaaS.3!AK52</f>
        <v>600</v>
      </c>
      <c r="AK28" s="30">
        <f>BaaS.3!AL52</f>
        <v>600</v>
      </c>
      <c r="AL28" s="30">
        <f>BaaS.3!AM52</f>
        <v>600</v>
      </c>
      <c r="AM28" s="22"/>
      <c r="AN28" s="30">
        <f t="shared" si="14"/>
        <v>600</v>
      </c>
      <c r="AO28" s="30">
        <f t="shared" si="15"/>
        <v>600</v>
      </c>
      <c r="AP28" s="30">
        <f t="shared" si="16"/>
        <v>600</v>
      </c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</row>
    <row r="29" spans="1:66" s="23" customFormat="1" ht="13.8">
      <c r="A29" s="44"/>
      <c r="B29" s="120" t="s">
        <v>209</v>
      </c>
      <c r="C29" s="30">
        <f>BaaS.3!D66</f>
        <v>200</v>
      </c>
      <c r="D29" s="30">
        <f>BaaS.3!E66</f>
        <v>200</v>
      </c>
      <c r="E29" s="30">
        <f>BaaS.3!F66</f>
        <v>400</v>
      </c>
      <c r="F29" s="30">
        <f>BaaS.3!G66</f>
        <v>400</v>
      </c>
      <c r="G29" s="30">
        <f>BaaS.3!H66</f>
        <v>600</v>
      </c>
      <c r="H29" s="30">
        <f>BaaS.3!I66</f>
        <v>600</v>
      </c>
      <c r="I29" s="30">
        <f>BaaS.3!J66</f>
        <v>800</v>
      </c>
      <c r="J29" s="30">
        <f>BaaS.3!K66</f>
        <v>1000</v>
      </c>
      <c r="K29" s="30">
        <f>BaaS.3!L66</f>
        <v>1200</v>
      </c>
      <c r="L29" s="30">
        <f>BaaS.3!M66</f>
        <v>1400</v>
      </c>
      <c r="M29" s="30">
        <f>BaaS.3!N66</f>
        <v>1600</v>
      </c>
      <c r="N29" s="30">
        <f>BaaS.3!O66</f>
        <v>1600</v>
      </c>
      <c r="O29" s="30">
        <f>BaaS.3!P66</f>
        <v>1600</v>
      </c>
      <c r="P29" s="30">
        <f>BaaS.3!Q66</f>
        <v>1600</v>
      </c>
      <c r="Q29" s="30">
        <f>BaaS.3!R66</f>
        <v>1600</v>
      </c>
      <c r="R29" s="30">
        <f>BaaS.3!S66</f>
        <v>1600</v>
      </c>
      <c r="S29" s="30">
        <f>BaaS.3!T66</f>
        <v>1600</v>
      </c>
      <c r="T29" s="30">
        <f>BaaS.3!U66</f>
        <v>1600</v>
      </c>
      <c r="U29" s="30">
        <f>BaaS.3!V66</f>
        <v>1600</v>
      </c>
      <c r="V29" s="30">
        <f>BaaS.3!W66</f>
        <v>1600</v>
      </c>
      <c r="W29" s="30">
        <f>BaaS.3!X66</f>
        <v>1600</v>
      </c>
      <c r="X29" s="30">
        <f>BaaS.3!Y66</f>
        <v>1600</v>
      </c>
      <c r="Y29" s="30">
        <f>BaaS.3!Z66</f>
        <v>1600</v>
      </c>
      <c r="Z29" s="30">
        <f>BaaS.3!AA66</f>
        <v>1600</v>
      </c>
      <c r="AA29" s="30">
        <f>BaaS.3!AB66</f>
        <v>1600</v>
      </c>
      <c r="AB29" s="30">
        <f>BaaS.3!AC66</f>
        <v>1600</v>
      </c>
      <c r="AC29" s="30">
        <f>BaaS.3!AD66</f>
        <v>1600</v>
      </c>
      <c r="AD29" s="30">
        <f>BaaS.3!AE66</f>
        <v>1600</v>
      </c>
      <c r="AE29" s="30">
        <f>BaaS.3!AF66</f>
        <v>1600</v>
      </c>
      <c r="AF29" s="30">
        <f>BaaS.3!AG66</f>
        <v>1600</v>
      </c>
      <c r="AG29" s="30">
        <f>BaaS.3!AH66</f>
        <v>1600</v>
      </c>
      <c r="AH29" s="30">
        <f>BaaS.3!AI66</f>
        <v>1600</v>
      </c>
      <c r="AI29" s="30">
        <f>BaaS.3!AJ66</f>
        <v>1600</v>
      </c>
      <c r="AJ29" s="30">
        <f>BaaS.3!AK66</f>
        <v>1600</v>
      </c>
      <c r="AK29" s="30">
        <f>BaaS.3!AL66</f>
        <v>1600</v>
      </c>
      <c r="AL29" s="30">
        <f>BaaS.3!AM66</f>
        <v>1600</v>
      </c>
      <c r="AM29" s="22"/>
      <c r="AN29" s="30">
        <f t="shared" si="14"/>
        <v>1600</v>
      </c>
      <c r="AO29" s="30">
        <f t="shared" si="15"/>
        <v>1600</v>
      </c>
      <c r="AP29" s="30">
        <f t="shared" si="16"/>
        <v>1600</v>
      </c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</row>
    <row r="30" spans="1:66" s="23" customFormat="1" ht="13.8">
      <c r="A30" s="44"/>
      <c r="B30" s="120" t="s">
        <v>304</v>
      </c>
      <c r="C30" s="30">
        <f>BaaS.3!D81</f>
        <v>150</v>
      </c>
      <c r="D30" s="30">
        <f>BaaS.3!E81</f>
        <v>300</v>
      </c>
      <c r="E30" s="30">
        <f>BaaS.3!F81</f>
        <v>300</v>
      </c>
      <c r="F30" s="30">
        <f>BaaS.3!G81</f>
        <v>300</v>
      </c>
      <c r="G30" s="30">
        <f>BaaS.3!H81</f>
        <v>300</v>
      </c>
      <c r="H30" s="30">
        <f>BaaS.3!I81</f>
        <v>450</v>
      </c>
      <c r="I30" s="30">
        <f>BaaS.3!J81</f>
        <v>450</v>
      </c>
      <c r="J30" s="30">
        <f>BaaS.3!K81</f>
        <v>450</v>
      </c>
      <c r="K30" s="30">
        <f>BaaS.3!L81</f>
        <v>450</v>
      </c>
      <c r="L30" s="30">
        <f>BaaS.3!M81</f>
        <v>450</v>
      </c>
      <c r="M30" s="30">
        <f>BaaS.3!N81</f>
        <v>600</v>
      </c>
      <c r="N30" s="30">
        <f>BaaS.3!O81</f>
        <v>600</v>
      </c>
      <c r="O30" s="30">
        <f>BaaS.3!P81</f>
        <v>600</v>
      </c>
      <c r="P30" s="30">
        <f>BaaS.3!Q81</f>
        <v>600</v>
      </c>
      <c r="Q30" s="30">
        <f>BaaS.3!R81</f>
        <v>600</v>
      </c>
      <c r="R30" s="30">
        <f>BaaS.3!S81</f>
        <v>600</v>
      </c>
      <c r="S30" s="30">
        <f>BaaS.3!T81</f>
        <v>600</v>
      </c>
      <c r="T30" s="30">
        <f>BaaS.3!U81</f>
        <v>600</v>
      </c>
      <c r="U30" s="30">
        <f>BaaS.3!V81</f>
        <v>600</v>
      </c>
      <c r="V30" s="30">
        <f>BaaS.3!W81</f>
        <v>600</v>
      </c>
      <c r="W30" s="30">
        <f>BaaS.3!X81</f>
        <v>600</v>
      </c>
      <c r="X30" s="30">
        <f>BaaS.3!Y81</f>
        <v>600</v>
      </c>
      <c r="Y30" s="30">
        <f>BaaS.3!Z81</f>
        <v>600</v>
      </c>
      <c r="Z30" s="30">
        <f>BaaS.3!AA81</f>
        <v>600</v>
      </c>
      <c r="AA30" s="30">
        <f>BaaS.3!AB81</f>
        <v>600</v>
      </c>
      <c r="AB30" s="30">
        <f>BaaS.3!AC81</f>
        <v>600</v>
      </c>
      <c r="AC30" s="30">
        <f>BaaS.3!AD81</f>
        <v>600</v>
      </c>
      <c r="AD30" s="30">
        <f>BaaS.3!AE81</f>
        <v>600</v>
      </c>
      <c r="AE30" s="30">
        <f>BaaS.3!AF81</f>
        <v>600</v>
      </c>
      <c r="AF30" s="30">
        <f>BaaS.3!AG81</f>
        <v>600</v>
      </c>
      <c r="AG30" s="30">
        <f>BaaS.3!AH81</f>
        <v>600</v>
      </c>
      <c r="AH30" s="30">
        <f>BaaS.3!AI81</f>
        <v>600</v>
      </c>
      <c r="AI30" s="30">
        <f>BaaS.3!AJ81</f>
        <v>600</v>
      </c>
      <c r="AJ30" s="30">
        <f>BaaS.3!AK81</f>
        <v>600</v>
      </c>
      <c r="AK30" s="30">
        <f>BaaS.3!AL81</f>
        <v>600</v>
      </c>
      <c r="AL30" s="30">
        <f>BaaS.3!AM81</f>
        <v>600</v>
      </c>
      <c r="AM30" s="22"/>
      <c r="AN30" s="30">
        <f t="shared" si="14"/>
        <v>600</v>
      </c>
      <c r="AO30" s="30">
        <f t="shared" si="15"/>
        <v>600</v>
      </c>
      <c r="AP30" s="30">
        <f t="shared" si="16"/>
        <v>600</v>
      </c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</row>
    <row r="31" spans="1:66" ht="13.8">
      <c r="A31" s="44"/>
      <c r="B31" s="53" t="s">
        <v>68</v>
      </c>
      <c r="C31" s="30">
        <f>SUM(C32)</f>
        <v>64350</v>
      </c>
      <c r="D31" s="30">
        <f t="shared" ref="D31:AL31" si="18">SUM(D32)</f>
        <v>127815.1875</v>
      </c>
      <c r="E31" s="30">
        <f t="shared" si="18"/>
        <v>190654.40367187498</v>
      </c>
      <c r="F31" s="30">
        <f t="shared" si="18"/>
        <v>252915.40634013675</v>
      </c>
      <c r="G31" s="30">
        <f t="shared" si="18"/>
        <v>314642.8677576604</v>
      </c>
      <c r="H31" s="30">
        <f t="shared" si="18"/>
        <v>374563.74831130262</v>
      </c>
      <c r="I31" s="30">
        <f t="shared" si="18"/>
        <v>430857.07981172408</v>
      </c>
      <c r="J31" s="30">
        <f t="shared" si="18"/>
        <v>491351.46724277257</v>
      </c>
      <c r="K31" s="30">
        <f t="shared" si="18"/>
        <v>555695.28656811721</v>
      </c>
      <c r="L31" s="30">
        <f t="shared" si="18"/>
        <v>623591.23238605587</v>
      </c>
      <c r="M31" s="30">
        <f t="shared" si="18"/>
        <v>694764.88203416753</v>
      </c>
      <c r="N31" s="30">
        <f t="shared" si="18"/>
        <v>768963.01386504597</v>
      </c>
      <c r="O31" s="30">
        <f t="shared" si="18"/>
        <v>837401.96907266486</v>
      </c>
      <c r="P31" s="30">
        <f t="shared" si="18"/>
        <v>900553.70285017765</v>
      </c>
      <c r="Q31" s="30">
        <f t="shared" si="18"/>
        <v>948733.68676114909</v>
      </c>
      <c r="R31" s="30">
        <f t="shared" si="18"/>
        <v>1001938.65250549</v>
      </c>
      <c r="S31" s="30">
        <f t="shared" si="18"/>
        <v>1051033.2257862268</v>
      </c>
      <c r="T31" s="30">
        <f t="shared" si="18"/>
        <v>1096334.9582823922</v>
      </c>
      <c r="U31" s="30">
        <f t="shared" si="18"/>
        <v>1138136.8689623931</v>
      </c>
      <c r="V31" s="30">
        <f t="shared" si="18"/>
        <v>1176709.3393783243</v>
      </c>
      <c r="W31" s="30">
        <f t="shared" si="18"/>
        <v>1212301.862537791</v>
      </c>
      <c r="X31" s="30">
        <f t="shared" si="18"/>
        <v>1245144.6566652304</v>
      </c>
      <c r="Y31" s="30">
        <f t="shared" si="18"/>
        <v>1275450.1542908032</v>
      </c>
      <c r="Z31" s="30">
        <f t="shared" si="18"/>
        <v>1303414.3762985249</v>
      </c>
      <c r="AA31" s="30">
        <f t="shared" si="18"/>
        <v>1329218.1998211998</v>
      </c>
      <c r="AB31" s="30">
        <f t="shared" si="18"/>
        <v>1353028.5281831159</v>
      </c>
      <c r="AC31" s="30">
        <f t="shared" si="18"/>
        <v>1374999.3704578686</v>
      </c>
      <c r="AD31" s="30">
        <f t="shared" si="18"/>
        <v>1395272.8376240826</v>
      </c>
      <c r="AE31" s="30">
        <f t="shared" si="18"/>
        <v>1413980.0617623145</v>
      </c>
      <c r="AF31" s="30">
        <f t="shared" si="18"/>
        <v>1431242.0442386654</v>
      </c>
      <c r="AG31" s="30">
        <f t="shared" si="18"/>
        <v>1447170.4383612792</v>
      </c>
      <c r="AH31" s="30">
        <f t="shared" si="18"/>
        <v>1461868.2715720893</v>
      </c>
      <c r="AI31" s="30">
        <f t="shared" si="18"/>
        <v>1475430.6118450542</v>
      </c>
      <c r="AJ31" s="30">
        <f t="shared" si="18"/>
        <v>1487945.1826012661</v>
      </c>
      <c r="AK31" s="30">
        <f t="shared" si="18"/>
        <v>1499492.9301182958</v>
      </c>
      <c r="AL31" s="30">
        <f t="shared" si="18"/>
        <v>1510148.5471038702</v>
      </c>
      <c r="AN31" s="30">
        <f t="shared" si="14"/>
        <v>768963.01386504597</v>
      </c>
      <c r="AO31" s="30">
        <f t="shared" si="15"/>
        <v>1303414.3762985249</v>
      </c>
      <c r="AP31" s="30">
        <f t="shared" si="16"/>
        <v>1510148.5471038702</v>
      </c>
    </row>
    <row r="32" spans="1:66" ht="13.8">
      <c r="A32" s="44"/>
      <c r="B32" s="120" t="s">
        <v>271</v>
      </c>
      <c r="C32" s="30">
        <f>BaaS.2!D9</f>
        <v>64350</v>
      </c>
      <c r="D32" s="30">
        <f>BaaS.2!E9</f>
        <v>127815.1875</v>
      </c>
      <c r="E32" s="30">
        <f>BaaS.2!F9</f>
        <v>190654.40367187498</v>
      </c>
      <c r="F32" s="30">
        <f>BaaS.2!G9</f>
        <v>252915.40634013675</v>
      </c>
      <c r="G32" s="30">
        <f>BaaS.2!H9</f>
        <v>314642.8677576604</v>
      </c>
      <c r="H32" s="30">
        <f>BaaS.2!I9</f>
        <v>374563.74831130262</v>
      </c>
      <c r="I32" s="30">
        <f>BaaS.2!J9</f>
        <v>430857.07981172408</v>
      </c>
      <c r="J32" s="30">
        <f>BaaS.2!K9</f>
        <v>491351.46724277257</v>
      </c>
      <c r="K32" s="30">
        <f>BaaS.2!L9</f>
        <v>555695.28656811721</v>
      </c>
      <c r="L32" s="30">
        <f>BaaS.2!M9</f>
        <v>623591.23238605587</v>
      </c>
      <c r="M32" s="30">
        <f>BaaS.2!N9</f>
        <v>694764.88203416753</v>
      </c>
      <c r="N32" s="30">
        <f>BaaS.2!O9</f>
        <v>768963.01386504597</v>
      </c>
      <c r="O32" s="30">
        <f>BaaS.2!P9</f>
        <v>837401.96907266486</v>
      </c>
      <c r="P32" s="30">
        <f>BaaS.2!Q9</f>
        <v>900553.70285017765</v>
      </c>
      <c r="Q32" s="30">
        <f>BaaS.2!R9</f>
        <v>948733.68676114909</v>
      </c>
      <c r="R32" s="30">
        <f>BaaS.2!S9</f>
        <v>1001938.65250549</v>
      </c>
      <c r="S32" s="30">
        <f>BaaS.2!T9</f>
        <v>1051033.2257862268</v>
      </c>
      <c r="T32" s="30">
        <f>BaaS.2!U9</f>
        <v>1096334.9582823922</v>
      </c>
      <c r="U32" s="30">
        <f>BaaS.2!V9</f>
        <v>1138136.8689623931</v>
      </c>
      <c r="V32" s="30">
        <f>BaaS.2!W9</f>
        <v>1176709.3393783243</v>
      </c>
      <c r="W32" s="30">
        <f>BaaS.2!X9</f>
        <v>1212301.862537791</v>
      </c>
      <c r="X32" s="30">
        <f>BaaS.2!Y9</f>
        <v>1245144.6566652304</v>
      </c>
      <c r="Y32" s="30">
        <f>BaaS.2!Z9</f>
        <v>1275450.1542908032</v>
      </c>
      <c r="Z32" s="30">
        <f>BaaS.2!AA9</f>
        <v>1303414.3762985249</v>
      </c>
      <c r="AA32" s="30">
        <f>BaaS.2!AB9</f>
        <v>1329218.1998211998</v>
      </c>
      <c r="AB32" s="30">
        <f>BaaS.2!AC9</f>
        <v>1353028.5281831159</v>
      </c>
      <c r="AC32" s="30">
        <f>BaaS.2!AD9</f>
        <v>1374999.3704578686</v>
      </c>
      <c r="AD32" s="30">
        <f>BaaS.2!AE9</f>
        <v>1395272.8376240826</v>
      </c>
      <c r="AE32" s="30">
        <f>BaaS.2!AF9</f>
        <v>1413980.0617623145</v>
      </c>
      <c r="AF32" s="30">
        <f>BaaS.2!AG9</f>
        <v>1431242.0442386654</v>
      </c>
      <c r="AG32" s="30">
        <f>BaaS.2!AH9</f>
        <v>1447170.4383612792</v>
      </c>
      <c r="AH32" s="30">
        <f>BaaS.2!AI9</f>
        <v>1461868.2715720893</v>
      </c>
      <c r="AI32" s="30">
        <f>BaaS.2!AJ9</f>
        <v>1475430.6118450542</v>
      </c>
      <c r="AJ32" s="30">
        <f>BaaS.2!AK9</f>
        <v>1487945.1826012661</v>
      </c>
      <c r="AK32" s="30">
        <f>BaaS.2!AL9</f>
        <v>1499492.9301182958</v>
      </c>
      <c r="AL32" s="30">
        <f>BaaS.2!AM9</f>
        <v>1510148.5471038702</v>
      </c>
      <c r="AN32" s="30">
        <f t="shared" si="14"/>
        <v>768963.01386504597</v>
      </c>
      <c r="AO32" s="30">
        <f t="shared" si="15"/>
        <v>1303414.3762985249</v>
      </c>
      <c r="AP32" s="30">
        <f t="shared" si="16"/>
        <v>1510148.5471038702</v>
      </c>
    </row>
    <row r="33" spans="1:66" ht="13.8">
      <c r="A33" s="44"/>
      <c r="B33" s="53" t="s">
        <v>69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N33" s="30">
        <f t="shared" si="2"/>
        <v>0</v>
      </c>
      <c r="AO33" s="30">
        <f t="shared" si="3"/>
        <v>0</v>
      </c>
      <c r="AP33" s="30">
        <f t="shared" si="4"/>
        <v>0</v>
      </c>
    </row>
    <row r="34" spans="1:66" ht="13.8">
      <c r="A34" s="44"/>
      <c r="B34" s="49" t="s">
        <v>70</v>
      </c>
      <c r="C34" s="50">
        <f>C24</f>
        <v>134900</v>
      </c>
      <c r="D34" s="50">
        <f t="shared" ref="D34:AL34" si="19">D24</f>
        <v>198515.1875</v>
      </c>
      <c r="E34" s="50">
        <f t="shared" si="19"/>
        <v>271554.40367187501</v>
      </c>
      <c r="F34" s="50">
        <f t="shared" si="19"/>
        <v>333915.40634013677</v>
      </c>
      <c r="G34" s="50">
        <f t="shared" si="19"/>
        <v>395842.8677576604</v>
      </c>
      <c r="H34" s="50">
        <f t="shared" si="19"/>
        <v>466013.74831130262</v>
      </c>
      <c r="I34" s="50">
        <f t="shared" si="19"/>
        <v>522507.07981172408</v>
      </c>
      <c r="J34" s="50">
        <f t="shared" si="19"/>
        <v>583201.46724277257</v>
      </c>
      <c r="K34" s="50">
        <f t="shared" si="19"/>
        <v>657845.28656811721</v>
      </c>
      <c r="L34" s="50">
        <f t="shared" si="19"/>
        <v>725941.23238605587</v>
      </c>
      <c r="M34" s="50">
        <f t="shared" si="19"/>
        <v>817464.88203416753</v>
      </c>
      <c r="N34" s="50">
        <f t="shared" si="19"/>
        <v>911763.01386504597</v>
      </c>
      <c r="O34" s="50">
        <f t="shared" si="19"/>
        <v>980201.96907266486</v>
      </c>
      <c r="P34" s="50">
        <f t="shared" si="19"/>
        <v>1043353.7028501777</v>
      </c>
      <c r="Q34" s="50">
        <f t="shared" si="19"/>
        <v>1091533.6867611492</v>
      </c>
      <c r="R34" s="50">
        <f t="shared" si="19"/>
        <v>1144738.65250549</v>
      </c>
      <c r="S34" s="50">
        <f t="shared" si="19"/>
        <v>1193833.2257862268</v>
      </c>
      <c r="T34" s="50">
        <f t="shared" si="19"/>
        <v>1239134.9582823922</v>
      </c>
      <c r="U34" s="50">
        <f t="shared" si="19"/>
        <v>1280936.8689623931</v>
      </c>
      <c r="V34" s="50">
        <f t="shared" si="19"/>
        <v>1319509.3393783243</v>
      </c>
      <c r="W34" s="50">
        <f t="shared" si="19"/>
        <v>1355101.862537791</v>
      </c>
      <c r="X34" s="50">
        <f t="shared" si="19"/>
        <v>1387944.6566652304</v>
      </c>
      <c r="Y34" s="50">
        <f t="shared" si="19"/>
        <v>1418250.1542908032</v>
      </c>
      <c r="Z34" s="50">
        <f t="shared" si="19"/>
        <v>1446214.3762985249</v>
      </c>
      <c r="AA34" s="50">
        <f t="shared" si="19"/>
        <v>1472018.1998211998</v>
      </c>
      <c r="AB34" s="50">
        <f t="shared" si="19"/>
        <v>1495828.5281831159</v>
      </c>
      <c r="AC34" s="50">
        <f t="shared" si="19"/>
        <v>1517799.3704578686</v>
      </c>
      <c r="AD34" s="50">
        <f t="shared" si="19"/>
        <v>1538072.8376240826</v>
      </c>
      <c r="AE34" s="50">
        <f t="shared" si="19"/>
        <v>1556780.0617623145</v>
      </c>
      <c r="AF34" s="50">
        <f t="shared" si="19"/>
        <v>1574042.0442386654</v>
      </c>
      <c r="AG34" s="50">
        <f t="shared" si="19"/>
        <v>1589970.4383612792</v>
      </c>
      <c r="AH34" s="50">
        <f t="shared" si="19"/>
        <v>1604668.2715720893</v>
      </c>
      <c r="AI34" s="50">
        <f t="shared" si="19"/>
        <v>1618230.6118450542</v>
      </c>
      <c r="AJ34" s="50">
        <f t="shared" si="19"/>
        <v>1630745.1826012661</v>
      </c>
      <c r="AK34" s="50">
        <f t="shared" si="19"/>
        <v>1642292.9301182958</v>
      </c>
      <c r="AL34" s="50">
        <f t="shared" si="19"/>
        <v>1652948.5471038702</v>
      </c>
      <c r="AN34" s="50">
        <f t="shared" si="2"/>
        <v>911763.01386504597</v>
      </c>
      <c r="AO34" s="50">
        <f t="shared" si="3"/>
        <v>1446214.3762985249</v>
      </c>
      <c r="AP34" s="50">
        <f t="shared" si="4"/>
        <v>1652948.5471038702</v>
      </c>
    </row>
    <row r="35" spans="1:66" s="14" customFormat="1" ht="13.8">
      <c r="A35" s="44"/>
      <c r="B35" s="135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N35" s="136"/>
      <c r="AO35" s="136"/>
      <c r="AP35" s="136"/>
    </row>
    <row r="36" spans="1:66" s="14" customFormat="1" ht="13.8">
      <c r="A36" s="44"/>
      <c r="B36" s="45" t="s">
        <v>71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N36" s="31"/>
      <c r="AO36" s="31"/>
      <c r="AP36" s="31"/>
    </row>
    <row r="37" spans="1:66" ht="13.8">
      <c r="A37" s="44"/>
      <c r="B37" s="47" t="s">
        <v>72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>
        <f>N38</f>
        <v>417423.98980806395</v>
      </c>
      <c r="P37" s="30">
        <f>O37</f>
        <v>417423.98980806395</v>
      </c>
      <c r="Q37" s="30">
        <f t="shared" ref="Q37:Z37" si="20">P37</f>
        <v>417423.98980806395</v>
      </c>
      <c r="R37" s="30">
        <f t="shared" si="20"/>
        <v>417423.98980806395</v>
      </c>
      <c r="S37" s="30">
        <f t="shared" si="20"/>
        <v>417423.98980806395</v>
      </c>
      <c r="T37" s="30">
        <f t="shared" si="20"/>
        <v>417423.98980806395</v>
      </c>
      <c r="U37" s="30">
        <f t="shared" si="20"/>
        <v>417423.98980806395</v>
      </c>
      <c r="V37" s="30">
        <f t="shared" si="20"/>
        <v>417423.98980806395</v>
      </c>
      <c r="W37" s="30">
        <f t="shared" si="20"/>
        <v>417423.98980806395</v>
      </c>
      <c r="X37" s="30">
        <f t="shared" si="20"/>
        <v>417423.98980806395</v>
      </c>
      <c r="Y37" s="30">
        <f t="shared" si="20"/>
        <v>417423.98980806395</v>
      </c>
      <c r="Z37" s="30">
        <f t="shared" si="20"/>
        <v>417423.98980806395</v>
      </c>
      <c r="AA37" s="30">
        <f>Z37+Z38</f>
        <v>1041254.5519373085</v>
      </c>
      <c r="AB37" s="30">
        <f>AA37</f>
        <v>1041254.5519373085</v>
      </c>
      <c r="AC37" s="30">
        <f t="shared" ref="AC37:AL37" si="21">AB37</f>
        <v>1041254.5519373085</v>
      </c>
      <c r="AD37" s="30">
        <f t="shared" si="21"/>
        <v>1041254.5519373085</v>
      </c>
      <c r="AE37" s="30">
        <f t="shared" si="21"/>
        <v>1041254.5519373085</v>
      </c>
      <c r="AF37" s="30">
        <f t="shared" si="21"/>
        <v>1041254.5519373085</v>
      </c>
      <c r="AG37" s="30">
        <f t="shared" si="21"/>
        <v>1041254.5519373085</v>
      </c>
      <c r="AH37" s="30">
        <f t="shared" si="21"/>
        <v>1041254.5519373085</v>
      </c>
      <c r="AI37" s="30">
        <f t="shared" si="21"/>
        <v>1041254.5519373085</v>
      </c>
      <c r="AJ37" s="30">
        <f t="shared" si="21"/>
        <v>1041254.5519373085</v>
      </c>
      <c r="AK37" s="30">
        <f t="shared" si="21"/>
        <v>1041254.5519373085</v>
      </c>
      <c r="AL37" s="30">
        <f t="shared" si="21"/>
        <v>1041254.5519373085</v>
      </c>
      <c r="AN37" s="30">
        <f t="shared" si="2"/>
        <v>0</v>
      </c>
      <c r="AO37" s="30">
        <f t="shared" si="3"/>
        <v>417423.98980806395</v>
      </c>
      <c r="AP37" s="30">
        <f t="shared" si="4"/>
        <v>1041254.5519373085</v>
      </c>
    </row>
    <row r="38" spans="1:66" ht="13.8">
      <c r="A38" s="44"/>
      <c r="B38" s="47" t="s">
        <v>73</v>
      </c>
      <c r="C38" s="30">
        <f>PL!C148</f>
        <v>23055.210427754431</v>
      </c>
      <c r="D38" s="30">
        <f>PL!D148</f>
        <v>48793.582364087299</v>
      </c>
      <c r="E38" s="30">
        <f>PL!E148</f>
        <v>76259.95636517134</v>
      </c>
      <c r="F38" s="30">
        <f>PL!F148</f>
        <v>105903.87746943336</v>
      </c>
      <c r="G38" s="30">
        <f>PL!G148</f>
        <v>136970.55794055291</v>
      </c>
      <c r="H38" s="30">
        <f>PL!H148</f>
        <v>169694.68810534885</v>
      </c>
      <c r="I38" s="30">
        <f>PL!I148</f>
        <v>204206.82836488818</v>
      </c>
      <c r="J38" s="30">
        <f>PL!J148</f>
        <v>240885.02510494823</v>
      </c>
      <c r="K38" s="30">
        <f>PL!K148</f>
        <v>279923.48024944746</v>
      </c>
      <c r="L38" s="30">
        <f>PL!L148</f>
        <v>322085.49632328947</v>
      </c>
      <c r="M38" s="30">
        <f>PL!M148</f>
        <v>367551.71275940991</v>
      </c>
      <c r="N38" s="30">
        <f>PL!N148</f>
        <v>417423.98980806395</v>
      </c>
      <c r="O38" s="30">
        <f>PL!O148</f>
        <v>50544.092700766669</v>
      </c>
      <c r="P38" s="30">
        <f>PL!P148</f>
        <v>101429.91460179846</v>
      </c>
      <c r="Q38" s="30">
        <f>PL!Q148</f>
        <v>152597.30091889313</v>
      </c>
      <c r="R38" s="30">
        <f>PL!R148</f>
        <v>204052.19912851602</v>
      </c>
      <c r="S38" s="30">
        <f>PL!S148</f>
        <v>255772.79324827989</v>
      </c>
      <c r="T38" s="30">
        <f>PL!T148</f>
        <v>307738.91954009683</v>
      </c>
      <c r="U38" s="30">
        <f>PL!U148</f>
        <v>359933.25918901246</v>
      </c>
      <c r="V38" s="30">
        <f>PL!V148</f>
        <v>412340.22149611346</v>
      </c>
      <c r="W38" s="30">
        <f>PL!W148</f>
        <v>464945.69681283151</v>
      </c>
      <c r="X38" s="30">
        <f>PL!X148</f>
        <v>517736.86504149117</v>
      </c>
      <c r="Y38" s="30">
        <f>PL!Y148</f>
        <v>570702.04336411832</v>
      </c>
      <c r="Z38" s="30">
        <f>PL!Z148</f>
        <v>623830.56212924456</v>
      </c>
      <c r="AA38" s="30">
        <f>PL!AA148</f>
        <v>53282.099223579746</v>
      </c>
      <c r="AB38" s="30">
        <f>PL!AB148</f>
        <v>106708.8405244326</v>
      </c>
      <c r="AC38" s="30">
        <f>PL!AC148</f>
        <v>160272.03090310402</v>
      </c>
      <c r="AD38" s="30">
        <f>PL!AD148</f>
        <v>213964.15584330112</v>
      </c>
      <c r="AE38" s="30">
        <f>PL!AE148</f>
        <v>267778.31993892515</v>
      </c>
      <c r="AF38" s="30">
        <f>PL!AF148</f>
        <v>321708.1937418069</v>
      </c>
      <c r="AG38" s="30">
        <f>PL!AG148</f>
        <v>375747.96586203913</v>
      </c>
      <c r="AH38" s="30">
        <f>PL!AH148</f>
        <v>429892.29958534188</v>
      </c>
      <c r="AI38" s="30">
        <f>PL!AI148</f>
        <v>484136.29343428678</v>
      </c>
      <c r="AJ38" s="30">
        <f>PL!AJ148</f>
        <v>538475.44521522627</v>
      </c>
      <c r="AK38" s="30">
        <f>PL!AK148</f>
        <v>592905.61917566089</v>
      </c>
      <c r="AL38" s="30">
        <f>PL!AL148</f>
        <v>647423.01595773629</v>
      </c>
      <c r="AN38" s="30">
        <f t="shared" si="2"/>
        <v>417423.98980806395</v>
      </c>
      <c r="AO38" s="30">
        <f t="shared" si="3"/>
        <v>623830.56212924456</v>
      </c>
      <c r="AP38" s="30">
        <f t="shared" si="4"/>
        <v>647423.01595773629</v>
      </c>
    </row>
    <row r="39" spans="1:66" s="18" customFormat="1" ht="13.8">
      <c r="A39" s="44"/>
      <c r="B39" s="51" t="s">
        <v>74</v>
      </c>
      <c r="C39" s="52">
        <f>C37+C38</f>
        <v>23055.210427754431</v>
      </c>
      <c r="D39" s="52">
        <f t="shared" ref="D39:AK39" si="22">D37+D38</f>
        <v>48793.582364087299</v>
      </c>
      <c r="E39" s="52">
        <f t="shared" si="22"/>
        <v>76259.95636517134</v>
      </c>
      <c r="F39" s="52">
        <f t="shared" si="22"/>
        <v>105903.87746943336</v>
      </c>
      <c r="G39" s="52">
        <f t="shared" si="22"/>
        <v>136970.55794055291</v>
      </c>
      <c r="H39" s="52">
        <f t="shared" si="22"/>
        <v>169694.68810534885</v>
      </c>
      <c r="I39" s="52">
        <f t="shared" si="22"/>
        <v>204206.82836488818</v>
      </c>
      <c r="J39" s="52">
        <f t="shared" si="22"/>
        <v>240885.02510494823</v>
      </c>
      <c r="K39" s="52">
        <f t="shared" si="22"/>
        <v>279923.48024944746</v>
      </c>
      <c r="L39" s="52">
        <f t="shared" si="22"/>
        <v>322085.49632328947</v>
      </c>
      <c r="M39" s="52">
        <f t="shared" si="22"/>
        <v>367551.71275940991</v>
      </c>
      <c r="N39" s="52">
        <f t="shared" si="22"/>
        <v>417423.98980806395</v>
      </c>
      <c r="O39" s="52">
        <f t="shared" si="22"/>
        <v>467968.08250883064</v>
      </c>
      <c r="P39" s="52">
        <f t="shared" si="22"/>
        <v>518853.90440986241</v>
      </c>
      <c r="Q39" s="52">
        <f t="shared" si="22"/>
        <v>570021.29072695714</v>
      </c>
      <c r="R39" s="52">
        <f t="shared" si="22"/>
        <v>621476.18893657997</v>
      </c>
      <c r="S39" s="52">
        <f t="shared" si="22"/>
        <v>673196.78305634391</v>
      </c>
      <c r="T39" s="52">
        <f t="shared" si="22"/>
        <v>725162.90934816073</v>
      </c>
      <c r="U39" s="52">
        <f t="shared" si="22"/>
        <v>777357.24899707641</v>
      </c>
      <c r="V39" s="52">
        <f t="shared" si="22"/>
        <v>829764.21130417741</v>
      </c>
      <c r="W39" s="52">
        <f t="shared" si="22"/>
        <v>882369.68662089552</v>
      </c>
      <c r="X39" s="52">
        <f t="shared" si="22"/>
        <v>935160.85484955506</v>
      </c>
      <c r="Y39" s="52">
        <f t="shared" si="22"/>
        <v>988126.03317218227</v>
      </c>
      <c r="Z39" s="52">
        <f t="shared" si="22"/>
        <v>1041254.5519373085</v>
      </c>
      <c r="AA39" s="52">
        <f t="shared" si="22"/>
        <v>1094536.6511608884</v>
      </c>
      <c r="AB39" s="52">
        <f t="shared" si="22"/>
        <v>1147963.3924617411</v>
      </c>
      <c r="AC39" s="52">
        <f t="shared" si="22"/>
        <v>1201526.5828404126</v>
      </c>
      <c r="AD39" s="52">
        <f t="shared" si="22"/>
        <v>1255218.7077806096</v>
      </c>
      <c r="AE39" s="52">
        <f t="shared" si="22"/>
        <v>1309032.8718762337</v>
      </c>
      <c r="AF39" s="52">
        <f t="shared" si="22"/>
        <v>1362962.7456791154</v>
      </c>
      <c r="AG39" s="52">
        <f t="shared" si="22"/>
        <v>1417002.5177993476</v>
      </c>
      <c r="AH39" s="52">
        <f t="shared" si="22"/>
        <v>1471146.8515226503</v>
      </c>
      <c r="AI39" s="52">
        <f t="shared" si="22"/>
        <v>1525390.8453715954</v>
      </c>
      <c r="AJ39" s="52">
        <f t="shared" si="22"/>
        <v>1579729.9971525348</v>
      </c>
      <c r="AK39" s="52">
        <f t="shared" si="22"/>
        <v>1634160.1711129695</v>
      </c>
      <c r="AL39" s="52">
        <f>AL37+AL38</f>
        <v>1688677.5678950448</v>
      </c>
      <c r="AM39" s="34"/>
      <c r="AN39" s="52">
        <f t="shared" si="2"/>
        <v>417423.98980806395</v>
      </c>
      <c r="AO39" s="52">
        <f t="shared" si="3"/>
        <v>1041254.5519373085</v>
      </c>
      <c r="AP39" s="52">
        <f t="shared" si="4"/>
        <v>1688677.5678950448</v>
      </c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</row>
    <row r="40" spans="1:66" s="14" customFormat="1" ht="13.8">
      <c r="A40" s="44"/>
      <c r="B40" s="42" t="s">
        <v>75</v>
      </c>
      <c r="C40" s="43">
        <f t="shared" ref="C40:AL40" si="23">SUM(C34,C39)</f>
        <v>157955.21042775444</v>
      </c>
      <c r="D40" s="43">
        <f t="shared" si="23"/>
        <v>247308.76986408728</v>
      </c>
      <c r="E40" s="43">
        <f t="shared" si="23"/>
        <v>347814.36003704637</v>
      </c>
      <c r="F40" s="43">
        <f t="shared" si="23"/>
        <v>439819.28380957013</v>
      </c>
      <c r="G40" s="43">
        <f t="shared" si="23"/>
        <v>532813.42569821328</v>
      </c>
      <c r="H40" s="43">
        <f t="shared" si="23"/>
        <v>635708.43641665147</v>
      </c>
      <c r="I40" s="43">
        <f t="shared" si="23"/>
        <v>726713.90817661223</v>
      </c>
      <c r="J40" s="43">
        <f t="shared" si="23"/>
        <v>824086.49234772078</v>
      </c>
      <c r="K40" s="43">
        <f t="shared" si="23"/>
        <v>937768.76681756461</v>
      </c>
      <c r="L40" s="43">
        <f t="shared" si="23"/>
        <v>1048026.7287093453</v>
      </c>
      <c r="M40" s="43">
        <f t="shared" si="23"/>
        <v>1185016.5947935774</v>
      </c>
      <c r="N40" s="43">
        <f t="shared" si="23"/>
        <v>1329187.0036731099</v>
      </c>
      <c r="O40" s="43">
        <f t="shared" si="23"/>
        <v>1448170.0515814954</v>
      </c>
      <c r="P40" s="43">
        <f t="shared" si="23"/>
        <v>1562207.60726004</v>
      </c>
      <c r="Q40" s="43">
        <f t="shared" si="23"/>
        <v>1661554.9774881063</v>
      </c>
      <c r="R40" s="43">
        <f t="shared" si="23"/>
        <v>1766214.84144207</v>
      </c>
      <c r="S40" s="43">
        <f t="shared" si="23"/>
        <v>1867030.0088425707</v>
      </c>
      <c r="T40" s="43">
        <f t="shared" si="23"/>
        <v>1964297.867630553</v>
      </c>
      <c r="U40" s="43">
        <f t="shared" si="23"/>
        <v>2058294.1179594696</v>
      </c>
      <c r="V40" s="43">
        <f t="shared" si="23"/>
        <v>2149273.5506825019</v>
      </c>
      <c r="W40" s="43">
        <f t="shared" si="23"/>
        <v>2237471.5491586868</v>
      </c>
      <c r="X40" s="43">
        <f t="shared" si="23"/>
        <v>2323105.5115147857</v>
      </c>
      <c r="Y40" s="43">
        <f t="shared" si="23"/>
        <v>2406376.1874629855</v>
      </c>
      <c r="Z40" s="43">
        <f t="shared" si="23"/>
        <v>2487468.9282358335</v>
      </c>
      <c r="AA40" s="43">
        <f t="shared" si="23"/>
        <v>2566554.8509820881</v>
      </c>
      <c r="AB40" s="43">
        <f t="shared" si="23"/>
        <v>2643791.920644857</v>
      </c>
      <c r="AC40" s="43">
        <f t="shared" si="23"/>
        <v>2719325.9532982809</v>
      </c>
      <c r="AD40" s="43">
        <f t="shared" si="23"/>
        <v>2793291.5454046922</v>
      </c>
      <c r="AE40" s="43">
        <f t="shared" si="23"/>
        <v>2865812.9336385485</v>
      </c>
      <c r="AF40" s="43">
        <f t="shared" si="23"/>
        <v>2937004.789917781</v>
      </c>
      <c r="AG40" s="43">
        <f t="shared" si="23"/>
        <v>3006972.9561606268</v>
      </c>
      <c r="AH40" s="43">
        <f t="shared" si="23"/>
        <v>3075815.1230947394</v>
      </c>
      <c r="AI40" s="43">
        <f t="shared" si="23"/>
        <v>3143621.4572166493</v>
      </c>
      <c r="AJ40" s="43">
        <f t="shared" si="23"/>
        <v>3210475.1797538009</v>
      </c>
      <c r="AK40" s="43">
        <f t="shared" si="23"/>
        <v>3276453.1012312653</v>
      </c>
      <c r="AL40" s="43">
        <f t="shared" si="23"/>
        <v>3341626.1149989152</v>
      </c>
      <c r="AN40" s="43">
        <f t="shared" si="2"/>
        <v>1329187.0036731099</v>
      </c>
      <c r="AO40" s="43">
        <f t="shared" si="3"/>
        <v>2487468.9282358335</v>
      </c>
      <c r="AP40" s="43">
        <f t="shared" si="4"/>
        <v>3341626.1149989152</v>
      </c>
    </row>
    <row r="41" spans="1:66" s="14" customFormat="1" ht="13.8">
      <c r="A41" s="44"/>
      <c r="B41" s="15"/>
      <c r="C41" s="16"/>
      <c r="D41" s="16"/>
      <c r="E41" s="16"/>
      <c r="F41" s="16"/>
    </row>
    <row r="42" spans="1:66" s="14" customFormat="1">
      <c r="B42" s="15"/>
      <c r="C42" s="16"/>
      <c r="D42" s="16"/>
      <c r="E42" s="16"/>
      <c r="F42" s="16"/>
    </row>
    <row r="43" spans="1:66" s="14" customFormat="1">
      <c r="B43" s="15"/>
      <c r="C43" s="16"/>
      <c r="D43" s="16"/>
      <c r="E43" s="16"/>
      <c r="F43" s="16"/>
    </row>
    <row r="44" spans="1:66" s="14" customFormat="1">
      <c r="B44" s="15"/>
      <c r="C44" s="16"/>
      <c r="D44" s="16"/>
      <c r="E44" s="16"/>
      <c r="F44" s="16"/>
    </row>
    <row r="45" spans="1:66" s="14" customFormat="1">
      <c r="B45" s="15"/>
      <c r="C45" s="16"/>
      <c r="D45" s="16"/>
      <c r="E45" s="16"/>
      <c r="F45" s="16"/>
    </row>
    <row r="46" spans="1:66" s="14" customFormat="1">
      <c r="B46" s="15"/>
      <c r="C46" s="16"/>
      <c r="D46" s="16"/>
      <c r="E46" s="16"/>
      <c r="F46" s="16"/>
    </row>
    <row r="47" spans="1:66" s="14" customFormat="1">
      <c r="B47" s="15"/>
      <c r="C47" s="16"/>
      <c r="D47" s="16"/>
      <c r="E47" s="16"/>
      <c r="F47" s="16"/>
    </row>
    <row r="48" spans="1:66" s="14" customFormat="1">
      <c r="B48" s="15"/>
      <c r="C48" s="16"/>
      <c r="D48" s="16"/>
      <c r="E48" s="16"/>
      <c r="F48" s="16"/>
    </row>
    <row r="49" spans="2:6" s="14" customFormat="1">
      <c r="B49" s="15"/>
      <c r="C49" s="16"/>
      <c r="D49" s="16"/>
      <c r="E49" s="16"/>
      <c r="F49" s="16"/>
    </row>
    <row r="50" spans="2:6" s="14" customFormat="1">
      <c r="B50" s="15"/>
      <c r="C50" s="16"/>
      <c r="D50" s="16"/>
      <c r="E50" s="16"/>
      <c r="F50" s="16"/>
    </row>
    <row r="51" spans="2:6" s="14" customFormat="1">
      <c r="B51" s="15"/>
      <c r="C51" s="16"/>
      <c r="D51" s="16"/>
      <c r="E51" s="16"/>
      <c r="F51" s="16"/>
    </row>
    <row r="52" spans="2:6" s="14" customFormat="1">
      <c r="B52" s="15"/>
      <c r="C52" s="16"/>
      <c r="D52" s="16"/>
      <c r="E52" s="16"/>
      <c r="F52" s="16"/>
    </row>
    <row r="53" spans="2:6" s="14" customFormat="1">
      <c r="B53" s="15"/>
      <c r="C53" s="16"/>
      <c r="D53" s="16"/>
      <c r="E53" s="16"/>
      <c r="F53" s="16"/>
    </row>
    <row r="54" spans="2:6" s="14" customFormat="1">
      <c r="B54" s="15"/>
      <c r="C54" s="16"/>
      <c r="D54" s="16"/>
      <c r="E54" s="16"/>
      <c r="F54" s="16"/>
    </row>
    <row r="55" spans="2:6" s="14" customFormat="1">
      <c r="B55" s="15"/>
      <c r="C55" s="16"/>
      <c r="D55" s="16"/>
      <c r="E55" s="16"/>
      <c r="F55" s="16"/>
    </row>
    <row r="56" spans="2:6" s="14" customFormat="1">
      <c r="B56" s="15"/>
      <c r="C56" s="16"/>
      <c r="D56" s="16"/>
      <c r="E56" s="16"/>
      <c r="F56" s="16"/>
    </row>
    <row r="57" spans="2:6" s="14" customFormat="1">
      <c r="B57" s="15"/>
      <c r="C57" s="16"/>
      <c r="D57" s="16"/>
      <c r="E57" s="16"/>
      <c r="F57" s="16"/>
    </row>
    <row r="58" spans="2:6" s="14" customFormat="1">
      <c r="B58" s="15"/>
      <c r="C58" s="16"/>
      <c r="D58" s="16"/>
      <c r="E58" s="16"/>
      <c r="F58" s="16"/>
    </row>
    <row r="59" spans="2:6" s="14" customFormat="1">
      <c r="B59" s="15"/>
      <c r="C59" s="16"/>
      <c r="D59" s="16"/>
      <c r="E59" s="16"/>
      <c r="F59" s="16"/>
    </row>
    <row r="60" spans="2:6" s="14" customFormat="1">
      <c r="B60" s="15"/>
      <c r="C60" s="16"/>
      <c r="D60" s="16"/>
      <c r="E60" s="16"/>
      <c r="F60" s="16"/>
    </row>
    <row r="61" spans="2:6" s="14" customFormat="1">
      <c r="B61" s="15"/>
      <c r="C61" s="16"/>
      <c r="D61" s="16"/>
      <c r="E61" s="16"/>
      <c r="F61" s="16"/>
    </row>
    <row r="62" spans="2:6" s="14" customFormat="1">
      <c r="B62" s="15"/>
      <c r="C62" s="16"/>
      <c r="D62" s="16"/>
      <c r="E62" s="16"/>
      <c r="F62" s="16"/>
    </row>
    <row r="63" spans="2:6" s="14" customFormat="1">
      <c r="B63" s="15"/>
      <c r="C63" s="16"/>
      <c r="D63" s="16"/>
      <c r="E63" s="16"/>
      <c r="F63" s="16"/>
    </row>
    <row r="64" spans="2:6" s="14" customFormat="1">
      <c r="B64" s="15"/>
      <c r="C64" s="16"/>
      <c r="D64" s="16"/>
      <c r="E64" s="16"/>
      <c r="F64" s="16"/>
    </row>
    <row r="65" spans="2:6" s="14" customFormat="1">
      <c r="B65" s="15"/>
      <c r="C65" s="16"/>
      <c r="D65" s="16"/>
      <c r="E65" s="16"/>
      <c r="F65" s="16"/>
    </row>
    <row r="66" spans="2:6" s="14" customFormat="1">
      <c r="B66" s="15"/>
      <c r="C66" s="16"/>
      <c r="D66" s="16"/>
      <c r="E66" s="16"/>
      <c r="F66" s="16"/>
    </row>
    <row r="67" spans="2:6" s="14" customFormat="1">
      <c r="B67" s="15"/>
      <c r="C67" s="16"/>
      <c r="D67" s="16"/>
      <c r="E67" s="16"/>
      <c r="F67" s="16"/>
    </row>
    <row r="68" spans="2:6" s="14" customFormat="1">
      <c r="B68" s="15"/>
      <c r="C68" s="16"/>
      <c r="D68" s="16"/>
      <c r="E68" s="16"/>
      <c r="F68" s="16"/>
    </row>
    <row r="69" spans="2:6" s="14" customFormat="1">
      <c r="B69" s="15"/>
      <c r="C69" s="16"/>
      <c r="D69" s="16"/>
      <c r="E69" s="16"/>
      <c r="F69" s="16"/>
    </row>
    <row r="70" spans="2:6" s="14" customFormat="1">
      <c r="B70" s="15"/>
      <c r="C70" s="16"/>
      <c r="D70" s="16"/>
      <c r="E70" s="16"/>
      <c r="F70" s="16"/>
    </row>
    <row r="71" spans="2:6" s="14" customFormat="1">
      <c r="B71" s="15"/>
      <c r="C71" s="16"/>
      <c r="D71" s="16"/>
      <c r="E71" s="16"/>
      <c r="F71" s="16"/>
    </row>
    <row r="72" spans="2:6" s="14" customFormat="1">
      <c r="B72" s="15"/>
      <c r="C72" s="16"/>
      <c r="D72" s="16"/>
      <c r="E72" s="16"/>
      <c r="F72" s="16"/>
    </row>
    <row r="73" spans="2:6" s="14" customFormat="1">
      <c r="B73" s="15"/>
      <c r="C73" s="16"/>
      <c r="D73" s="16"/>
      <c r="E73" s="16"/>
      <c r="F73" s="16"/>
    </row>
    <row r="74" spans="2:6" s="14" customFormat="1">
      <c r="B74" s="15"/>
      <c r="C74" s="16"/>
      <c r="D74" s="16"/>
      <c r="E74" s="16"/>
      <c r="F74" s="16"/>
    </row>
    <row r="75" spans="2:6" s="14" customFormat="1">
      <c r="B75" s="15"/>
      <c r="C75" s="16"/>
      <c r="D75" s="16"/>
      <c r="E75" s="16"/>
      <c r="F75" s="16"/>
    </row>
    <row r="76" spans="2:6" s="14" customFormat="1">
      <c r="B76" s="15"/>
      <c r="C76" s="16"/>
      <c r="D76" s="16"/>
      <c r="E76" s="16"/>
      <c r="F76" s="16"/>
    </row>
    <row r="77" spans="2:6" s="14" customFormat="1">
      <c r="B77" s="15"/>
      <c r="C77" s="16"/>
      <c r="D77" s="16"/>
      <c r="E77" s="16"/>
      <c r="F77" s="16"/>
    </row>
    <row r="78" spans="2:6" s="14" customFormat="1">
      <c r="B78" s="15"/>
      <c r="C78" s="16"/>
      <c r="D78" s="16"/>
      <c r="E78" s="16"/>
      <c r="F78" s="16"/>
    </row>
    <row r="79" spans="2:6" s="14" customFormat="1">
      <c r="B79" s="15"/>
      <c r="C79" s="16"/>
      <c r="D79" s="16"/>
      <c r="E79" s="16"/>
      <c r="F79" s="16"/>
    </row>
    <row r="80" spans="2:6" s="14" customFormat="1">
      <c r="B80" s="15"/>
      <c r="C80" s="16"/>
      <c r="D80" s="16"/>
      <c r="E80" s="16"/>
      <c r="F80" s="16"/>
    </row>
    <row r="81" spans="2:6" s="14" customFormat="1">
      <c r="B81" s="15"/>
      <c r="C81" s="16"/>
      <c r="D81" s="16"/>
      <c r="E81" s="16"/>
      <c r="F81" s="16"/>
    </row>
    <row r="82" spans="2:6" s="14" customFormat="1">
      <c r="B82" s="15"/>
      <c r="C82" s="16"/>
      <c r="D82" s="16"/>
      <c r="E82" s="16"/>
      <c r="F82" s="16"/>
    </row>
    <row r="83" spans="2:6" s="14" customFormat="1">
      <c r="B83" s="15"/>
      <c r="C83" s="16"/>
      <c r="D83" s="16"/>
      <c r="E83" s="16"/>
      <c r="F83" s="16"/>
    </row>
    <row r="84" spans="2:6" s="14" customFormat="1">
      <c r="B84" s="15"/>
      <c r="C84" s="16"/>
      <c r="D84" s="16"/>
      <c r="E84" s="16"/>
      <c r="F84" s="16"/>
    </row>
    <row r="85" spans="2:6" s="14" customFormat="1">
      <c r="B85" s="15"/>
      <c r="C85" s="16"/>
      <c r="D85" s="16"/>
      <c r="E85" s="16"/>
      <c r="F85" s="16"/>
    </row>
    <row r="86" spans="2:6" s="14" customFormat="1">
      <c r="B86" s="15"/>
      <c r="C86" s="16"/>
      <c r="D86" s="16"/>
      <c r="E86" s="16"/>
      <c r="F86" s="16"/>
    </row>
    <row r="87" spans="2:6" s="14" customFormat="1">
      <c r="B87" s="15"/>
      <c r="C87" s="16"/>
      <c r="D87" s="16"/>
      <c r="E87" s="16"/>
      <c r="F87" s="16"/>
    </row>
    <row r="88" spans="2:6" s="14" customFormat="1">
      <c r="B88" s="15"/>
      <c r="C88" s="16"/>
      <c r="D88" s="16"/>
      <c r="E88" s="16"/>
      <c r="F88" s="16"/>
    </row>
    <row r="89" spans="2:6" s="14" customFormat="1">
      <c r="B89" s="15"/>
      <c r="C89" s="16"/>
      <c r="D89" s="16"/>
      <c r="E89" s="16"/>
      <c r="F89" s="16"/>
    </row>
    <row r="90" spans="2:6" s="14" customFormat="1">
      <c r="B90" s="15"/>
      <c r="C90" s="16"/>
      <c r="D90" s="16"/>
      <c r="E90" s="16"/>
      <c r="F90" s="16"/>
    </row>
    <row r="91" spans="2:6" s="14" customFormat="1">
      <c r="B91" s="15"/>
      <c r="C91" s="16"/>
      <c r="D91" s="16"/>
      <c r="E91" s="16"/>
      <c r="F91" s="16"/>
    </row>
    <row r="92" spans="2:6" s="14" customFormat="1">
      <c r="B92" s="15"/>
      <c r="C92" s="16"/>
      <c r="D92" s="16"/>
      <c r="E92" s="16"/>
      <c r="F92" s="16"/>
    </row>
    <row r="93" spans="2:6" s="14" customFormat="1">
      <c r="B93" s="15"/>
      <c r="C93" s="16"/>
      <c r="D93" s="16"/>
      <c r="E93" s="16"/>
      <c r="F93" s="16"/>
    </row>
    <row r="94" spans="2:6" s="14" customFormat="1">
      <c r="B94" s="15"/>
      <c r="C94" s="16"/>
      <c r="D94" s="16"/>
      <c r="E94" s="16"/>
      <c r="F94" s="16"/>
    </row>
    <row r="95" spans="2:6" s="14" customFormat="1">
      <c r="B95" s="15"/>
      <c r="C95" s="16"/>
      <c r="D95" s="16"/>
      <c r="E95" s="16"/>
      <c r="F95" s="16"/>
    </row>
    <row r="96" spans="2:6" s="14" customFormat="1">
      <c r="B96" s="15"/>
      <c r="C96" s="16"/>
      <c r="D96" s="16"/>
      <c r="E96" s="16"/>
      <c r="F96" s="16"/>
    </row>
    <row r="97" spans="2:6" s="14" customFormat="1">
      <c r="B97" s="15"/>
      <c r="C97" s="16"/>
      <c r="D97" s="16"/>
      <c r="E97" s="16"/>
      <c r="F97" s="16"/>
    </row>
    <row r="98" spans="2:6" s="14" customFormat="1">
      <c r="B98" s="15"/>
      <c r="C98" s="16"/>
      <c r="D98" s="16"/>
      <c r="E98" s="16"/>
      <c r="F98" s="16"/>
    </row>
    <row r="99" spans="2:6" s="14" customFormat="1">
      <c r="B99" s="15"/>
      <c r="C99" s="16"/>
      <c r="D99" s="16"/>
      <c r="E99" s="16"/>
      <c r="F99" s="16"/>
    </row>
    <row r="100" spans="2:6" s="14" customFormat="1">
      <c r="B100" s="15"/>
      <c r="C100" s="16"/>
      <c r="D100" s="16"/>
      <c r="E100" s="16"/>
      <c r="F100" s="16"/>
    </row>
    <row r="101" spans="2:6" s="14" customFormat="1">
      <c r="B101" s="15"/>
      <c r="C101" s="16"/>
      <c r="D101" s="16"/>
      <c r="E101" s="16"/>
      <c r="F101" s="16"/>
    </row>
    <row r="102" spans="2:6" s="14" customFormat="1">
      <c r="B102" s="15"/>
      <c r="C102" s="16"/>
      <c r="D102" s="16"/>
      <c r="E102" s="16"/>
      <c r="F102" s="16"/>
    </row>
    <row r="103" spans="2:6" s="14" customFormat="1">
      <c r="B103" s="15"/>
      <c r="C103" s="16"/>
      <c r="D103" s="16"/>
      <c r="E103" s="16"/>
      <c r="F103" s="16"/>
    </row>
    <row r="104" spans="2:6" s="14" customFormat="1">
      <c r="B104" s="15"/>
      <c r="C104" s="16"/>
      <c r="D104" s="16"/>
      <c r="E104" s="16"/>
      <c r="F104" s="16"/>
    </row>
    <row r="105" spans="2:6" s="14" customFormat="1">
      <c r="B105" s="15"/>
      <c r="C105" s="16"/>
      <c r="D105" s="16"/>
      <c r="E105" s="16"/>
      <c r="F105" s="16"/>
    </row>
    <row r="106" spans="2:6" s="14" customFormat="1">
      <c r="B106" s="15"/>
      <c r="C106" s="16"/>
      <c r="D106" s="16"/>
      <c r="E106" s="16"/>
      <c r="F106" s="16"/>
    </row>
    <row r="107" spans="2:6" s="14" customFormat="1">
      <c r="B107" s="15"/>
      <c r="C107" s="16"/>
      <c r="D107" s="16"/>
      <c r="E107" s="16"/>
      <c r="F107" s="16"/>
    </row>
    <row r="108" spans="2:6" s="14" customFormat="1">
      <c r="B108" s="15"/>
      <c r="C108" s="16"/>
      <c r="D108" s="16"/>
      <c r="E108" s="16"/>
      <c r="F108" s="16"/>
    </row>
    <row r="109" spans="2:6" s="14" customFormat="1">
      <c r="B109" s="15"/>
      <c r="C109" s="16"/>
      <c r="D109" s="16"/>
      <c r="E109" s="16"/>
      <c r="F109" s="16"/>
    </row>
    <row r="110" spans="2:6" s="14" customFormat="1">
      <c r="B110" s="15"/>
      <c r="C110" s="16"/>
      <c r="D110" s="16"/>
      <c r="E110" s="16"/>
      <c r="F110" s="16"/>
    </row>
    <row r="111" spans="2:6" s="14" customFormat="1">
      <c r="B111" s="15"/>
      <c r="C111" s="16"/>
      <c r="D111" s="16"/>
      <c r="E111" s="16"/>
      <c r="F111" s="16"/>
    </row>
    <row r="112" spans="2:6" s="14" customFormat="1">
      <c r="B112" s="15"/>
      <c r="C112" s="16"/>
      <c r="D112" s="16"/>
      <c r="E112" s="16"/>
      <c r="F112" s="16"/>
    </row>
    <row r="113" spans="2:6" s="14" customFormat="1">
      <c r="B113" s="15"/>
      <c r="C113" s="16"/>
      <c r="D113" s="16"/>
      <c r="E113" s="16"/>
      <c r="F113" s="16"/>
    </row>
    <row r="114" spans="2:6" s="14" customFormat="1">
      <c r="B114" s="15"/>
      <c r="C114" s="16"/>
      <c r="D114" s="16"/>
      <c r="E114" s="16"/>
      <c r="F114" s="16"/>
    </row>
    <row r="115" spans="2:6" s="14" customFormat="1">
      <c r="B115" s="15"/>
      <c r="C115" s="16"/>
      <c r="D115" s="16"/>
      <c r="E115" s="16"/>
      <c r="F115" s="16"/>
    </row>
    <row r="116" spans="2:6" s="14" customFormat="1">
      <c r="B116" s="15"/>
      <c r="C116" s="16"/>
      <c r="D116" s="16"/>
      <c r="E116" s="16"/>
      <c r="F116" s="16"/>
    </row>
    <row r="117" spans="2:6" s="14" customFormat="1">
      <c r="B117" s="15"/>
      <c r="C117" s="16"/>
      <c r="D117" s="16"/>
      <c r="E117" s="16"/>
      <c r="F117" s="16"/>
    </row>
    <row r="118" spans="2:6" s="14" customFormat="1">
      <c r="B118" s="15"/>
      <c r="C118" s="16"/>
      <c r="D118" s="16"/>
      <c r="E118" s="16"/>
      <c r="F118" s="16"/>
    </row>
    <row r="119" spans="2:6" s="14" customFormat="1">
      <c r="B119" s="15"/>
      <c r="C119" s="16"/>
      <c r="D119" s="16"/>
      <c r="E119" s="16"/>
      <c r="F119" s="16"/>
    </row>
    <row r="120" spans="2:6" s="14" customFormat="1">
      <c r="B120" s="15"/>
      <c r="C120" s="16"/>
      <c r="D120" s="16"/>
      <c r="E120" s="16"/>
      <c r="F120" s="16"/>
    </row>
    <row r="121" spans="2:6" s="14" customFormat="1">
      <c r="B121" s="15"/>
      <c r="C121" s="16"/>
      <c r="D121" s="16"/>
      <c r="E121" s="16"/>
      <c r="F121" s="16"/>
    </row>
    <row r="122" spans="2:6" s="14" customFormat="1">
      <c r="B122" s="15"/>
      <c r="C122" s="16"/>
      <c r="D122" s="16"/>
      <c r="E122" s="16"/>
      <c r="F122" s="16"/>
    </row>
    <row r="123" spans="2:6" s="14" customFormat="1">
      <c r="B123" s="15"/>
      <c r="C123" s="16"/>
      <c r="D123" s="16"/>
      <c r="E123" s="16"/>
      <c r="F123" s="16"/>
    </row>
    <row r="124" spans="2:6" s="14" customFormat="1">
      <c r="B124" s="15"/>
      <c r="C124" s="16"/>
      <c r="D124" s="16"/>
      <c r="E124" s="16"/>
      <c r="F124" s="16"/>
    </row>
    <row r="125" spans="2:6" s="14" customFormat="1">
      <c r="B125" s="15"/>
      <c r="C125" s="16"/>
      <c r="D125" s="16"/>
      <c r="E125" s="16"/>
      <c r="F125" s="16"/>
    </row>
    <row r="126" spans="2:6" s="14" customFormat="1">
      <c r="B126" s="15"/>
      <c r="C126" s="16"/>
      <c r="D126" s="16"/>
      <c r="E126" s="16"/>
      <c r="F126" s="16"/>
    </row>
    <row r="127" spans="2:6" s="14" customFormat="1">
      <c r="B127" s="15"/>
      <c r="C127" s="16"/>
      <c r="D127" s="16"/>
      <c r="E127" s="16"/>
      <c r="F127" s="16"/>
    </row>
    <row r="128" spans="2:6" s="14" customFormat="1">
      <c r="B128" s="15"/>
      <c r="C128" s="16"/>
      <c r="D128" s="16"/>
      <c r="E128" s="16"/>
      <c r="F128" s="16"/>
    </row>
    <row r="129" spans="1:6" s="14" customFormat="1">
      <c r="B129" s="15"/>
      <c r="C129" s="16"/>
      <c r="D129" s="16"/>
      <c r="E129" s="16"/>
      <c r="F129" s="16"/>
    </row>
    <row r="130" spans="1:6" s="14" customFormat="1">
      <c r="B130" s="15"/>
      <c r="C130" s="16"/>
      <c r="D130" s="16"/>
      <c r="E130" s="16"/>
      <c r="F130" s="16"/>
    </row>
    <row r="131" spans="1:6" s="14" customFormat="1">
      <c r="A131" s="19"/>
      <c r="B131" s="35"/>
      <c r="C131" s="16"/>
      <c r="D131" s="16"/>
      <c r="E131" s="16"/>
      <c r="F131" s="16"/>
    </row>
    <row r="132" spans="1:6" s="14" customFormat="1">
      <c r="A132" s="19"/>
      <c r="B132" s="35"/>
      <c r="C132" s="16"/>
      <c r="D132" s="16"/>
      <c r="E132" s="16"/>
      <c r="F132" s="16"/>
    </row>
    <row r="133" spans="1:6" s="14" customFormat="1">
      <c r="A133" s="19"/>
      <c r="B133" s="35"/>
      <c r="C133" s="16"/>
      <c r="D133" s="16"/>
      <c r="E133" s="16"/>
      <c r="F133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ADAF-EF7F-4D70-BFF3-73B301AE039D}">
  <sheetPr>
    <tabColor theme="0"/>
  </sheetPr>
  <dimension ref="A1:BN233"/>
  <sheetViews>
    <sheetView topLeftCell="A115" zoomScale="110" zoomScaleNormal="110" workbookViewId="0">
      <selection activeCell="B128" sqref="B128"/>
    </sheetView>
  </sheetViews>
  <sheetFormatPr defaultColWidth="8" defaultRowHeight="11.4" outlineLevelCol="1"/>
  <cols>
    <col min="1" max="1" width="2.109375" style="14" customWidth="1"/>
    <col min="2" max="2" width="46" style="35" customWidth="1"/>
    <col min="3" max="6" width="9" style="36" customWidth="1" outlineLevel="1"/>
    <col min="7" max="38" width="9" style="19" customWidth="1" outlineLevel="1"/>
    <col min="39" max="39" width="3.5546875" style="14" customWidth="1"/>
    <col min="40" max="42" width="9" style="19" customWidth="1"/>
    <col min="43" max="66" width="8" style="14"/>
    <col min="67" max="16384" width="8" style="19"/>
  </cols>
  <sheetData>
    <row r="1" spans="1:66" s="4" customFormat="1" ht="15.6">
      <c r="A1" s="123"/>
      <c r="B1" s="1" t="s">
        <v>57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N1" s="3"/>
      <c r="AO1" s="3"/>
      <c r="AP1" s="3"/>
    </row>
    <row r="2" spans="1:66" s="6" customFormat="1">
      <c r="B2" s="5" t="s">
        <v>0</v>
      </c>
      <c r="S2" s="7"/>
      <c r="T2" s="7"/>
    </row>
    <row r="3" spans="1:66" s="6" customFormat="1">
      <c r="A3" s="5"/>
      <c r="B3" s="5"/>
      <c r="S3" s="7"/>
      <c r="T3" s="7"/>
    </row>
    <row r="4" spans="1:66" s="12" customFormat="1" ht="12" customHeight="1">
      <c r="A4" s="8"/>
      <c r="B4" s="8"/>
      <c r="C4" s="9">
        <v>46023</v>
      </c>
      <c r="D4" s="9">
        <f>C4+31</f>
        <v>46054</v>
      </c>
      <c r="E4" s="9">
        <f t="shared" ref="E4:AL4" si="0">D4+31</f>
        <v>46085</v>
      </c>
      <c r="F4" s="9">
        <f t="shared" si="0"/>
        <v>46116</v>
      </c>
      <c r="G4" s="9">
        <f t="shared" si="0"/>
        <v>46147</v>
      </c>
      <c r="H4" s="9">
        <f t="shared" si="0"/>
        <v>46178</v>
      </c>
      <c r="I4" s="9">
        <f t="shared" si="0"/>
        <v>46209</v>
      </c>
      <c r="J4" s="9">
        <f t="shared" si="0"/>
        <v>46240</v>
      </c>
      <c r="K4" s="9">
        <f t="shared" si="0"/>
        <v>46271</v>
      </c>
      <c r="L4" s="9">
        <f t="shared" si="0"/>
        <v>46302</v>
      </c>
      <c r="M4" s="9">
        <f t="shared" si="0"/>
        <v>46333</v>
      </c>
      <c r="N4" s="9">
        <f t="shared" si="0"/>
        <v>46364</v>
      </c>
      <c r="O4" s="9">
        <f t="shared" si="0"/>
        <v>46395</v>
      </c>
      <c r="P4" s="9">
        <f t="shared" si="0"/>
        <v>46426</v>
      </c>
      <c r="Q4" s="9">
        <f t="shared" si="0"/>
        <v>46457</v>
      </c>
      <c r="R4" s="9">
        <f t="shared" si="0"/>
        <v>46488</v>
      </c>
      <c r="S4" s="9">
        <f t="shared" si="0"/>
        <v>46519</v>
      </c>
      <c r="T4" s="9">
        <f t="shared" si="0"/>
        <v>46550</v>
      </c>
      <c r="U4" s="9">
        <f t="shared" si="0"/>
        <v>46581</v>
      </c>
      <c r="V4" s="9">
        <f t="shared" si="0"/>
        <v>46612</v>
      </c>
      <c r="W4" s="9">
        <f t="shared" si="0"/>
        <v>46643</v>
      </c>
      <c r="X4" s="9">
        <f t="shared" si="0"/>
        <v>46674</v>
      </c>
      <c r="Y4" s="9">
        <f t="shared" si="0"/>
        <v>46705</v>
      </c>
      <c r="Z4" s="9">
        <f t="shared" si="0"/>
        <v>46736</v>
      </c>
      <c r="AA4" s="9">
        <f t="shared" si="0"/>
        <v>46767</v>
      </c>
      <c r="AB4" s="9">
        <f t="shared" si="0"/>
        <v>46798</v>
      </c>
      <c r="AC4" s="9">
        <f t="shared" si="0"/>
        <v>46829</v>
      </c>
      <c r="AD4" s="9">
        <f t="shared" si="0"/>
        <v>46860</v>
      </c>
      <c r="AE4" s="9">
        <f t="shared" si="0"/>
        <v>46891</v>
      </c>
      <c r="AF4" s="9">
        <f t="shared" si="0"/>
        <v>46922</v>
      </c>
      <c r="AG4" s="9">
        <f t="shared" si="0"/>
        <v>46953</v>
      </c>
      <c r="AH4" s="9">
        <f t="shared" si="0"/>
        <v>46984</v>
      </c>
      <c r="AI4" s="9">
        <f t="shared" si="0"/>
        <v>47015</v>
      </c>
      <c r="AJ4" s="9">
        <f t="shared" si="0"/>
        <v>47046</v>
      </c>
      <c r="AK4" s="9">
        <f t="shared" si="0"/>
        <v>47077</v>
      </c>
      <c r="AL4" s="9">
        <f t="shared" si="0"/>
        <v>47108</v>
      </c>
      <c r="AM4" s="10"/>
      <c r="AN4" s="122">
        <f>YEAR(N4)</f>
        <v>2026</v>
      </c>
      <c r="AO4" s="122">
        <f>YEAR(Z4)</f>
        <v>2027</v>
      </c>
      <c r="AP4" s="122">
        <f>YEAR(AL4)</f>
        <v>2028</v>
      </c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</row>
    <row r="5" spans="1:66" s="12" customFormat="1" ht="13.2" customHeight="1">
      <c r="A5" s="8"/>
      <c r="B5" s="8"/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3" t="s">
        <v>8</v>
      </c>
      <c r="K5" s="13" t="s">
        <v>9</v>
      </c>
      <c r="L5" s="13" t="s">
        <v>10</v>
      </c>
      <c r="M5" s="13" t="s">
        <v>11</v>
      </c>
      <c r="N5" s="13" t="s">
        <v>12</v>
      </c>
      <c r="O5" s="13" t="s">
        <v>13</v>
      </c>
      <c r="P5" s="13" t="s">
        <v>14</v>
      </c>
      <c r="Q5" s="13" t="s">
        <v>15</v>
      </c>
      <c r="R5" s="13" t="s">
        <v>16</v>
      </c>
      <c r="S5" s="13" t="s">
        <v>17</v>
      </c>
      <c r="T5" s="13" t="s">
        <v>18</v>
      </c>
      <c r="U5" s="13" t="s">
        <v>19</v>
      </c>
      <c r="V5" s="13" t="s">
        <v>20</v>
      </c>
      <c r="W5" s="13" t="s">
        <v>21</v>
      </c>
      <c r="X5" s="13" t="s">
        <v>22</v>
      </c>
      <c r="Y5" s="13" t="s">
        <v>23</v>
      </c>
      <c r="Z5" s="13" t="s">
        <v>24</v>
      </c>
      <c r="AA5" s="13" t="s">
        <v>25</v>
      </c>
      <c r="AB5" s="13" t="s">
        <v>26</v>
      </c>
      <c r="AC5" s="13" t="s">
        <v>27</v>
      </c>
      <c r="AD5" s="13" t="s">
        <v>28</v>
      </c>
      <c r="AE5" s="13" t="s">
        <v>29</v>
      </c>
      <c r="AF5" s="13" t="s">
        <v>30</v>
      </c>
      <c r="AG5" s="13" t="s">
        <v>31</v>
      </c>
      <c r="AH5" s="13" t="s">
        <v>32</v>
      </c>
      <c r="AI5" s="13" t="s">
        <v>33</v>
      </c>
      <c r="AJ5" s="13" t="s">
        <v>34</v>
      </c>
      <c r="AK5" s="13" t="s">
        <v>35</v>
      </c>
      <c r="AL5" s="13" t="s">
        <v>36</v>
      </c>
      <c r="AM5" s="10"/>
      <c r="AN5" s="13" t="s">
        <v>37</v>
      </c>
      <c r="AO5" s="13" t="s">
        <v>38</v>
      </c>
      <c r="AP5" s="13" t="s">
        <v>39</v>
      </c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 s="14" customFormat="1">
      <c r="C6" s="16"/>
      <c r="D6" s="16"/>
      <c r="E6" s="16"/>
      <c r="F6" s="16"/>
    </row>
    <row r="7" spans="1:66" s="14" customFormat="1" ht="12">
      <c r="B7" s="124" t="s">
        <v>95</v>
      </c>
      <c r="C7" s="25">
        <f t="shared" ref="C7:AL7" si="1">C8+C11</f>
        <v>78.45588235294116</v>
      </c>
      <c r="D7" s="25">
        <f t="shared" si="1"/>
        <v>238.10110294117646</v>
      </c>
      <c r="E7" s="25">
        <f t="shared" si="1"/>
        <v>402.21318423202592</v>
      </c>
      <c r="F7" s="25">
        <f t="shared" si="1"/>
        <v>569.15313946759238</v>
      </c>
      <c r="G7" s="25">
        <f t="shared" si="1"/>
        <v>737.88152708276607</v>
      </c>
      <c r="H7" s="25">
        <f t="shared" si="1"/>
        <v>907.75416761817064</v>
      </c>
      <c r="I7" s="25">
        <f t="shared" si="1"/>
        <v>1073.1559323960566</v>
      </c>
      <c r="J7" s="25">
        <f t="shared" si="1"/>
        <v>1239.2681750586867</v>
      </c>
      <c r="K7" s="25">
        <f t="shared" si="1"/>
        <v>1416.5011594483799</v>
      </c>
      <c r="L7" s="25">
        <f t="shared" si="1"/>
        <v>1604.5134684643763</v>
      </c>
      <c r="M7" s="25">
        <f t="shared" si="1"/>
        <v>1802.8784596540622</v>
      </c>
      <c r="N7" s="25">
        <f t="shared" si="1"/>
        <v>2011.129259584603</v>
      </c>
      <c r="O7" s="25">
        <f t="shared" si="1"/>
        <v>2218.3265936168746</v>
      </c>
      <c r="P7" s="25">
        <f t="shared" si="1"/>
        <v>2413.8703041341664</v>
      </c>
      <c r="Q7" s="25">
        <f t="shared" si="1"/>
        <v>2598.081991328916</v>
      </c>
      <c r="R7" s="25">
        <f t="shared" si="1"/>
        <v>2771.4729670776815</v>
      </c>
      <c r="S7" s="25">
        <f t="shared" si="1"/>
        <v>2934.6562750674157</v>
      </c>
      <c r="T7" s="25">
        <f t="shared" si="1"/>
        <v>3088.2900994334523</v>
      </c>
      <c r="U7" s="25">
        <f t="shared" si="1"/>
        <v>3233.0419272480422</v>
      </c>
      <c r="V7" s="25">
        <f t="shared" si="1"/>
        <v>3369.5663894039899</v>
      </c>
      <c r="W7" s="25">
        <f t="shared" si="1"/>
        <v>3498.4920760485265</v>
      </c>
      <c r="X7" s="25">
        <f t="shared" si="1"/>
        <v>3620.4142027025018</v>
      </c>
      <c r="Y7" s="25">
        <f t="shared" si="1"/>
        <v>3735.8910555172761</v>
      </c>
      <c r="Z7" s="25">
        <f t="shared" si="1"/>
        <v>3845.442844747562</v>
      </c>
      <c r="AA7" s="25">
        <f t="shared" si="1"/>
        <v>3949.5520617596776</v>
      </c>
      <c r="AB7" s="25">
        <f t="shared" si="1"/>
        <v>4048.6647449502307</v>
      </c>
      <c r="AC7" s="25">
        <f t="shared" si="1"/>
        <v>4143.1922659455149</v>
      </c>
      <c r="AD7" s="25">
        <f t="shared" si="1"/>
        <v>4233.5133841336892</v>
      </c>
      <c r="AE7" s="25">
        <f t="shared" si="1"/>
        <v>4319.9764081077128</v>
      </c>
      <c r="AF7" s="25">
        <f t="shared" si="1"/>
        <v>4402.9013624025729</v>
      </c>
      <c r="AG7" s="25">
        <f t="shared" si="1"/>
        <v>4482.5820972807323</v>
      </c>
      <c r="AH7" s="25">
        <f t="shared" si="1"/>
        <v>4559.2883051086073</v>
      </c>
      <c r="AI7" s="25">
        <f t="shared" si="1"/>
        <v>4633.2674236392922</v>
      </c>
      <c r="AJ7" s="25">
        <f t="shared" si="1"/>
        <v>4704.7464173134895</v>
      </c>
      <c r="AK7" s="25">
        <f t="shared" si="1"/>
        <v>4773.9334345354173</v>
      </c>
      <c r="AL7" s="25">
        <f t="shared" si="1"/>
        <v>4841.0193431202169</v>
      </c>
      <c r="AN7" s="25">
        <f>SUM(C7:N7)</f>
        <v>12081.005458300837</v>
      </c>
      <c r="AO7" s="25">
        <f>SUM(O7:Z7)</f>
        <v>37327.5467263264</v>
      </c>
      <c r="AP7" s="25">
        <f>SUM(AA7:AL7)</f>
        <v>53092.637248297149</v>
      </c>
    </row>
    <row r="8" spans="1:66">
      <c r="B8" s="125" t="s">
        <v>307</v>
      </c>
      <c r="C8" s="30">
        <f t="shared" ref="C8:AL8" si="2">SUM(C9:C10)</f>
        <v>233.45588235294116</v>
      </c>
      <c r="D8" s="30">
        <f t="shared" si="2"/>
        <v>697.54901960784309</v>
      </c>
      <c r="E8" s="30">
        <f t="shared" si="2"/>
        <v>1156.3112745098038</v>
      </c>
      <c r="F8" s="30">
        <f t="shared" si="2"/>
        <v>1610.3298611111106</v>
      </c>
      <c r="G8" s="30">
        <f t="shared" si="2"/>
        <v>2060.1430589596948</v>
      </c>
      <c r="H8" s="30">
        <f t="shared" si="2"/>
        <v>2506.2442909744914</v>
      </c>
      <c r="I8" s="30">
        <f t="shared" si="2"/>
        <v>2933.5221360076634</v>
      </c>
      <c r="J8" s="30">
        <f t="shared" si="2"/>
        <v>3359.1804220593126</v>
      </c>
      <c r="K8" s="30">
        <f t="shared" si="2"/>
        <v>3814.6245372145004</v>
      </c>
      <c r="L8" s="30">
        <f t="shared" si="2"/>
        <v>4297.6582767603504</v>
      </c>
      <c r="M8" s="30">
        <f t="shared" si="2"/>
        <v>4806.2684530433935</v>
      </c>
      <c r="N8" s="30">
        <f t="shared" si="2"/>
        <v>5338.6096440479478</v>
      </c>
      <c r="O8" s="30">
        <f t="shared" si="2"/>
        <v>5861.862761945913</v>
      </c>
      <c r="P8" s="30">
        <f t="shared" si="2"/>
        <v>6345.8006690386546</v>
      </c>
      <c r="Q8" s="30">
        <f t="shared" si="2"/>
        <v>6793.6996328932773</v>
      </c>
      <c r="R8" s="30">
        <f t="shared" si="2"/>
        <v>7208.5628987796217</v>
      </c>
      <c r="S8" s="30">
        <f t="shared" si="2"/>
        <v>7593.1434415283775</v>
      </c>
      <c r="T8" s="30">
        <f t="shared" si="2"/>
        <v>7949.9648214010122</v>
      </c>
      <c r="U8" s="30">
        <f t="shared" si="2"/>
        <v>8281.3403019705347</v>
      </c>
      <c r="V8" s="30">
        <f t="shared" si="2"/>
        <v>8589.3903748455396</v>
      </c>
      <c r="W8" s="30">
        <f t="shared" si="2"/>
        <v>8876.0588240005673</v>
      </c>
      <c r="X8" s="30">
        <f t="shared" si="2"/>
        <v>9143.1274514122852</v>
      </c>
      <c r="Y8" s="30">
        <f t="shared" si="2"/>
        <v>9392.2295755592986</v>
      </c>
      <c r="Z8" s="30">
        <f t="shared" si="2"/>
        <v>9624.8624050470062</v>
      </c>
      <c r="AA8" s="30">
        <f t="shared" si="2"/>
        <v>9842.3983810970076</v>
      </c>
      <c r="AB8" s="30">
        <f t="shared" si="2"/>
        <v>10046.09557482912</v>
      </c>
      <c r="AC8" s="30">
        <f t="shared" si="2"/>
        <v>10237.107218103165</v>
      </c>
      <c r="AD8" s="30">
        <f t="shared" si="2"/>
        <v>10416.49044012398</v>
      </c>
      <c r="AE8" s="30">
        <f t="shared" si="2"/>
        <v>10585.214275996001</v>
      </c>
      <c r="AF8" s="30">
        <f t="shared" si="2"/>
        <v>10744.167007898293</v>
      </c>
      <c r="AG8" s="30">
        <f t="shared" si="2"/>
        <v>10894.162894495003</v>
      </c>
      <c r="AH8" s="30">
        <f t="shared" si="2"/>
        <v>11035.948339561597</v>
      </c>
      <c r="AI8" s="30">
        <f t="shared" si="2"/>
        <v>11170.207546558915</v>
      </c>
      <c r="AJ8" s="30">
        <f t="shared" si="2"/>
        <v>11297.56770199273</v>
      </c>
      <c r="AK8" s="30">
        <f t="shared" si="2"/>
        <v>11418.603726826668</v>
      </c>
      <c r="AL8" s="30">
        <f t="shared" si="2"/>
        <v>11533.842631944051</v>
      </c>
      <c r="AN8" s="30">
        <f t="shared" ref="AN8:AN88" si="3">SUM(C8:N8)</f>
        <v>32813.896856649051</v>
      </c>
      <c r="AO8" s="30">
        <f t="shared" ref="AO8:AO88" si="4">SUM(O8:Z8)</f>
        <v>95660.043158422093</v>
      </c>
      <c r="AP8" s="30">
        <f t="shared" ref="AP8:AP88" si="5">SUM(AA8:AL8)</f>
        <v>129221.80573942651</v>
      </c>
    </row>
    <row r="9" spans="1:66" ht="13.8">
      <c r="B9" s="120" t="s">
        <v>96</v>
      </c>
      <c r="C9" s="30">
        <f>BaaS.1!D28</f>
        <v>220.58823529411762</v>
      </c>
      <c r="D9" s="30">
        <f>BaaS.1!E28</f>
        <v>658.08823529411757</v>
      </c>
      <c r="E9" s="30">
        <f>BaaS.1!F28</f>
        <v>1088.5416666666665</v>
      </c>
      <c r="F9" s="30">
        <f>BaaS.1!G28</f>
        <v>1512.5357434640518</v>
      </c>
      <c r="G9" s="30">
        <f>BaaS.1!H28</f>
        <v>1930.6087452342044</v>
      </c>
      <c r="H9" s="30">
        <f>BaaS.1!I28</f>
        <v>2343.25409489606</v>
      </c>
      <c r="I9" s="30">
        <f>BaaS.1!J28</f>
        <v>2736.2182144390358</v>
      </c>
      <c r="J9" s="30">
        <f>BaaS.1!K28</f>
        <v>3125.8470887259791</v>
      </c>
      <c r="K9" s="30">
        <f>BaaS.1!L28</f>
        <v>3541.8304195674414</v>
      </c>
      <c r="L9" s="30">
        <f>BaaS.1!M28</f>
        <v>3981.9720022505467</v>
      </c>
      <c r="M9" s="30">
        <f>BaaS.1!N28</f>
        <v>4444.2586491218253</v>
      </c>
      <c r="N9" s="30">
        <f>BaaS.1!O28</f>
        <v>4926.8449381655946</v>
      </c>
      <c r="O9" s="30">
        <f>BaaS.1!P28</f>
        <v>5398.6274678282662</v>
      </c>
      <c r="P9" s="30">
        <f>BaaS.1!Q28</f>
        <v>5831.0947866857132</v>
      </c>
      <c r="Q9" s="30">
        <f>BaaS.1!R28</f>
        <v>6227.5231623050422</v>
      </c>
      <c r="R9" s="30">
        <f>BaaS.1!S28</f>
        <v>6590.915839956092</v>
      </c>
      <c r="S9" s="30">
        <f>BaaS.1!T28</f>
        <v>6924.0257944695541</v>
      </c>
      <c r="T9" s="30">
        <f>BaaS.1!U28</f>
        <v>7229.376586106895</v>
      </c>
      <c r="U9" s="30">
        <f>BaaS.1!V28</f>
        <v>7509.281478441123</v>
      </c>
      <c r="V9" s="30">
        <f>BaaS.1!W28</f>
        <v>7765.8609630808332</v>
      </c>
      <c r="W9" s="30">
        <f>BaaS.1!X28</f>
        <v>8001.0588240005682</v>
      </c>
      <c r="X9" s="30">
        <f>BaaS.1!Y28</f>
        <v>8216.6568631769915</v>
      </c>
      <c r="Y9" s="30">
        <f>BaaS.1!Z28</f>
        <v>8414.2883990887112</v>
      </c>
      <c r="Z9" s="30">
        <f>BaaS.1!AA28</f>
        <v>8595.4506403411233</v>
      </c>
      <c r="AA9" s="30">
        <f>BaaS.1!AB28</f>
        <v>8761.516028155831</v>
      </c>
      <c r="AB9" s="30">
        <f>BaaS.1!AC28</f>
        <v>8913.7426336526496</v>
      </c>
      <c r="AC9" s="30">
        <f>BaaS.1!AD28</f>
        <v>9053.283688691401</v>
      </c>
      <c r="AD9" s="30">
        <f>BaaS.1!AE28</f>
        <v>9181.1963224769206</v>
      </c>
      <c r="AE9" s="30">
        <f>BaaS.1!AF28</f>
        <v>9298.4495701136475</v>
      </c>
      <c r="AF9" s="30">
        <f>BaaS.1!AG28</f>
        <v>9405.9317137806465</v>
      </c>
      <c r="AG9" s="30">
        <f>BaaS.1!AH28</f>
        <v>9504.457012142062</v>
      </c>
      <c r="AH9" s="30">
        <f>BaaS.1!AI28</f>
        <v>9594.7718689733629</v>
      </c>
      <c r="AI9" s="30">
        <f>BaaS.1!AJ28</f>
        <v>9677.5604877353853</v>
      </c>
      <c r="AJ9" s="30">
        <f>BaaS.1!AK28</f>
        <v>9753.4500549339064</v>
      </c>
      <c r="AK9" s="30">
        <f>BaaS.1!AL28</f>
        <v>9823.0154915325511</v>
      </c>
      <c r="AL9" s="30">
        <f>BaaS.1!AM28</f>
        <v>9886.7838084146406</v>
      </c>
      <c r="AN9" s="30">
        <f t="shared" si="3"/>
        <v>30510.588033119639</v>
      </c>
      <c r="AO9" s="30">
        <f t="shared" si="4"/>
        <v>86704.160805480918</v>
      </c>
      <c r="AP9" s="30">
        <f t="shared" si="5"/>
        <v>112854.15868060302</v>
      </c>
    </row>
    <row r="10" spans="1:66" ht="13.8">
      <c r="B10" s="120" t="s">
        <v>108</v>
      </c>
      <c r="C10" s="30">
        <f>BaaS.1!D98</f>
        <v>12.867647058823529</v>
      </c>
      <c r="D10" s="30">
        <f>BaaS.1!E98</f>
        <v>39.46078431372549</v>
      </c>
      <c r="E10" s="30">
        <f>BaaS.1!F98</f>
        <v>67.769607843137251</v>
      </c>
      <c r="F10" s="30">
        <f>BaaS.1!G98</f>
        <v>97.794117647058826</v>
      </c>
      <c r="G10" s="30">
        <f>BaaS.1!H98</f>
        <v>129.53431372549019</v>
      </c>
      <c r="H10" s="30">
        <f>BaaS.1!I98</f>
        <v>162.99019607843135</v>
      </c>
      <c r="I10" s="30">
        <f>BaaS.1!J98</f>
        <v>197.30392156862743</v>
      </c>
      <c r="J10" s="30">
        <f>BaaS.1!K98</f>
        <v>233.33333333333329</v>
      </c>
      <c r="K10" s="30">
        <f>BaaS.1!L98</f>
        <v>272.79411764705884</v>
      </c>
      <c r="L10" s="30">
        <f>BaaS.1!M98</f>
        <v>315.68627450980392</v>
      </c>
      <c r="M10" s="30">
        <f>BaaS.1!N98</f>
        <v>362.00980392156856</v>
      </c>
      <c r="N10" s="30">
        <f>BaaS.1!O98</f>
        <v>411.76470588235293</v>
      </c>
      <c r="O10" s="30">
        <f>BaaS.1!P98</f>
        <v>463.23529411764702</v>
      </c>
      <c r="P10" s="30">
        <f>BaaS.1!Q98</f>
        <v>514.7058823529411</v>
      </c>
      <c r="Q10" s="30">
        <f>BaaS.1!R98</f>
        <v>566.17647058823525</v>
      </c>
      <c r="R10" s="30">
        <f>BaaS.1!S98</f>
        <v>617.64705882352939</v>
      </c>
      <c r="S10" s="30">
        <f>BaaS.1!T98</f>
        <v>669.11764705882342</v>
      </c>
      <c r="T10" s="30">
        <f>BaaS.1!U98</f>
        <v>720.58823529411757</v>
      </c>
      <c r="U10" s="30">
        <f>BaaS.1!V98</f>
        <v>772.05882352941171</v>
      </c>
      <c r="V10" s="30">
        <f>BaaS.1!W98</f>
        <v>823.52941176470586</v>
      </c>
      <c r="W10" s="30">
        <f>BaaS.1!X98</f>
        <v>875</v>
      </c>
      <c r="X10" s="30">
        <f>BaaS.1!Y98</f>
        <v>926.47058823529403</v>
      </c>
      <c r="Y10" s="30">
        <f>BaaS.1!Z98</f>
        <v>977.94117647058818</v>
      </c>
      <c r="Z10" s="30">
        <f>BaaS.1!AA98</f>
        <v>1029.4117647058822</v>
      </c>
      <c r="AA10" s="30">
        <f>BaaS.1!AB98</f>
        <v>1080.8823529411764</v>
      </c>
      <c r="AB10" s="30">
        <f>BaaS.1!AC98</f>
        <v>1132.3529411764705</v>
      </c>
      <c r="AC10" s="30">
        <f>BaaS.1!AD98</f>
        <v>1183.8235294117646</v>
      </c>
      <c r="AD10" s="30">
        <f>BaaS.1!AE98</f>
        <v>1235.2941176470588</v>
      </c>
      <c r="AE10" s="30">
        <f>BaaS.1!AF98</f>
        <v>1286.7647058823527</v>
      </c>
      <c r="AF10" s="30">
        <f>BaaS.1!AG98</f>
        <v>1338.2352941176468</v>
      </c>
      <c r="AG10" s="30">
        <f>BaaS.1!AH98</f>
        <v>1389.7058823529412</v>
      </c>
      <c r="AH10" s="30">
        <f>BaaS.1!AI98</f>
        <v>1441.1764705882351</v>
      </c>
      <c r="AI10" s="30">
        <f>BaaS.1!AJ98</f>
        <v>1492.6470588235295</v>
      </c>
      <c r="AJ10" s="30">
        <f>BaaS.1!AK98</f>
        <v>1544.1176470588234</v>
      </c>
      <c r="AK10" s="30">
        <f>BaaS.1!AL98</f>
        <v>1595.5882352941173</v>
      </c>
      <c r="AL10" s="30">
        <f>BaaS.1!AM98</f>
        <v>1647.0588235294117</v>
      </c>
      <c r="AN10" s="30">
        <f t="shared" si="3"/>
        <v>2303.3088235294117</v>
      </c>
      <c r="AO10" s="30">
        <f t="shared" si="4"/>
        <v>8955.8823529411748</v>
      </c>
      <c r="AP10" s="30">
        <f t="shared" si="5"/>
        <v>16367.647058823528</v>
      </c>
    </row>
    <row r="11" spans="1:66">
      <c r="B11" s="125" t="s">
        <v>94</v>
      </c>
      <c r="C11" s="30">
        <f t="shared" ref="C11:AL11" si="6">SUM(C12:C15)</f>
        <v>-155</v>
      </c>
      <c r="D11" s="30">
        <f t="shared" si="6"/>
        <v>-459.44791666666663</v>
      </c>
      <c r="E11" s="30">
        <f t="shared" si="6"/>
        <v>-754.09809027777783</v>
      </c>
      <c r="F11" s="30">
        <f t="shared" si="6"/>
        <v>-1041.1767216435182</v>
      </c>
      <c r="G11" s="30">
        <f t="shared" si="6"/>
        <v>-1322.2615318769288</v>
      </c>
      <c r="H11" s="30">
        <f t="shared" si="6"/>
        <v>-1598.4901233563207</v>
      </c>
      <c r="I11" s="30">
        <f t="shared" si="6"/>
        <v>-1860.3662036116068</v>
      </c>
      <c r="J11" s="30">
        <f t="shared" si="6"/>
        <v>-2119.9122470006259</v>
      </c>
      <c r="K11" s="30">
        <f t="shared" si="6"/>
        <v>-2398.1233777661205</v>
      </c>
      <c r="L11" s="30">
        <f t="shared" si="6"/>
        <v>-2693.1448082959741</v>
      </c>
      <c r="M11" s="30">
        <f t="shared" si="6"/>
        <v>-3003.3899933893313</v>
      </c>
      <c r="N11" s="30">
        <f t="shared" si="6"/>
        <v>-3327.4803844633448</v>
      </c>
      <c r="O11" s="30">
        <f t="shared" si="6"/>
        <v>-3643.5361683290384</v>
      </c>
      <c r="P11" s="30">
        <f t="shared" si="6"/>
        <v>-3931.9303649044882</v>
      </c>
      <c r="Q11" s="30">
        <f t="shared" si="6"/>
        <v>-4195.6176415643613</v>
      </c>
      <c r="R11" s="30">
        <f t="shared" si="6"/>
        <v>-4437.0899317019403</v>
      </c>
      <c r="S11" s="30">
        <f t="shared" si="6"/>
        <v>-4658.4871664609618</v>
      </c>
      <c r="T11" s="30">
        <f t="shared" si="6"/>
        <v>-4861.6747219675599</v>
      </c>
      <c r="U11" s="30">
        <f t="shared" si="6"/>
        <v>-5048.2983747224926</v>
      </c>
      <c r="V11" s="30">
        <f t="shared" si="6"/>
        <v>-5219.8239854415497</v>
      </c>
      <c r="W11" s="30">
        <f t="shared" si="6"/>
        <v>-5377.5667479520407</v>
      </c>
      <c r="X11" s="30">
        <f t="shared" si="6"/>
        <v>-5522.7132487097833</v>
      </c>
      <c r="Y11" s="30">
        <f t="shared" si="6"/>
        <v>-5656.3385200420225</v>
      </c>
      <c r="Z11" s="30">
        <f t="shared" si="6"/>
        <v>-5779.4195602994441</v>
      </c>
      <c r="AA11" s="30">
        <f t="shared" si="6"/>
        <v>-5892.84631933733</v>
      </c>
      <c r="AB11" s="30">
        <f t="shared" si="6"/>
        <v>-5997.4308298788892</v>
      </c>
      <c r="AC11" s="30">
        <f t="shared" si="6"/>
        <v>-6093.9149521576501</v>
      </c>
      <c r="AD11" s="30">
        <f t="shared" si="6"/>
        <v>-6182.9770559902909</v>
      </c>
      <c r="AE11" s="30">
        <f t="shared" si="6"/>
        <v>-6265.2378678882878</v>
      </c>
      <c r="AF11" s="30">
        <f t="shared" si="6"/>
        <v>-6341.2656454957205</v>
      </c>
      <c r="AG11" s="30">
        <f t="shared" si="6"/>
        <v>-6411.5807972142702</v>
      </c>
      <c r="AH11" s="30">
        <f t="shared" si="6"/>
        <v>-6476.6600344529897</v>
      </c>
      <c r="AI11" s="30">
        <f t="shared" si="6"/>
        <v>-6536.9401229196228</v>
      </c>
      <c r="AJ11" s="30">
        <f t="shared" si="6"/>
        <v>-6592.8212846792403</v>
      </c>
      <c r="AK11" s="30">
        <f t="shared" si="6"/>
        <v>-6644.6702922912509</v>
      </c>
      <c r="AL11" s="30">
        <f t="shared" si="6"/>
        <v>-6692.8232888238344</v>
      </c>
      <c r="AN11" s="30">
        <f t="shared" si="3"/>
        <v>-20732.891398348216</v>
      </c>
      <c r="AO11" s="30">
        <f t="shared" si="4"/>
        <v>-58332.496432095686</v>
      </c>
      <c r="AP11" s="30">
        <f t="shared" si="5"/>
        <v>-76129.168491129356</v>
      </c>
    </row>
    <row r="12" spans="1:66" ht="13.8">
      <c r="B12" s="120" t="s">
        <v>96</v>
      </c>
      <c r="C12" s="30">
        <f>BaaS.1!D29</f>
        <v>-140.625</v>
      </c>
      <c r="D12" s="30">
        <f>BaaS.1!E29</f>
        <v>-419.53125</v>
      </c>
      <c r="E12" s="30">
        <f>BaaS.1!F29</f>
        <v>-693.9453125</v>
      </c>
      <c r="F12" s="30">
        <f>BaaS.1!G29</f>
        <v>-964.24153645833314</v>
      </c>
      <c r="G12" s="30">
        <f>BaaS.1!H29</f>
        <v>-1230.7630750868054</v>
      </c>
      <c r="H12" s="30">
        <f>BaaS.1!I29</f>
        <v>-1493.8244854962384</v>
      </c>
      <c r="I12" s="30">
        <f>BaaS.1!J29</f>
        <v>-1744.3391117048852</v>
      </c>
      <c r="J12" s="30">
        <f>BaaS.1!K29</f>
        <v>-1992.7275190628116</v>
      </c>
      <c r="K12" s="30">
        <f>BaaS.1!L29</f>
        <v>-2257.9168924742439</v>
      </c>
      <c r="L12" s="30">
        <f>BaaS.1!M29</f>
        <v>-2538.5071514347237</v>
      </c>
      <c r="M12" s="30">
        <f>BaaS.1!N29</f>
        <v>-2833.2148888151637</v>
      </c>
      <c r="N12" s="30">
        <f>BaaS.1!O29</f>
        <v>-3140.8636480805667</v>
      </c>
      <c r="O12" s="30">
        <f>BaaS.1!P29</f>
        <v>-3441.6250107405194</v>
      </c>
      <c r="P12" s="30">
        <f>BaaS.1!Q29</f>
        <v>-3717.3229265121422</v>
      </c>
      <c r="Q12" s="30">
        <f>BaaS.1!R29</f>
        <v>-3970.0460159694644</v>
      </c>
      <c r="R12" s="30">
        <f>BaaS.1!S29</f>
        <v>-4201.7088479720087</v>
      </c>
      <c r="S12" s="30">
        <f>BaaS.1!T29</f>
        <v>-4414.0664439743414</v>
      </c>
      <c r="T12" s="30">
        <f>BaaS.1!U29</f>
        <v>-4608.7275736431457</v>
      </c>
      <c r="U12" s="30">
        <f>BaaS.1!V29</f>
        <v>-4787.1669425062164</v>
      </c>
      <c r="V12" s="30">
        <f>BaaS.1!W29</f>
        <v>-4950.7363639640316</v>
      </c>
      <c r="W12" s="30">
        <f>BaaS.1!X29</f>
        <v>-5100.6750003003626</v>
      </c>
      <c r="X12" s="30">
        <f>BaaS.1!Y29</f>
        <v>-5238.1187502753319</v>
      </c>
      <c r="Y12" s="30">
        <f>BaaS.1!Z29</f>
        <v>-5364.1088544190543</v>
      </c>
      <c r="Z12" s="30">
        <f>BaaS.1!AA29</f>
        <v>-5479.5997832174653</v>
      </c>
      <c r="AA12" s="30">
        <f>BaaS.1!AB29</f>
        <v>-5585.4664679493435</v>
      </c>
      <c r="AB12" s="30">
        <f>BaaS.1!AC29</f>
        <v>-5682.5109289535649</v>
      </c>
      <c r="AC12" s="30">
        <f>BaaS.1!AD29</f>
        <v>-5771.4683515407678</v>
      </c>
      <c r="AD12" s="30">
        <f>BaaS.1!AE29</f>
        <v>-5853.0126555790366</v>
      </c>
      <c r="AE12" s="30">
        <f>BaaS.1!AF29</f>
        <v>-5927.7616009474505</v>
      </c>
      <c r="AF12" s="30">
        <f>BaaS.1!AG29</f>
        <v>-5996.2814675351628</v>
      </c>
      <c r="AG12" s="30">
        <f>BaaS.1!AH29</f>
        <v>-6059.0913452405657</v>
      </c>
      <c r="AH12" s="30">
        <f>BaaS.1!AI29</f>
        <v>-6116.6670664705189</v>
      </c>
      <c r="AI12" s="30">
        <f>BaaS.1!AJ29</f>
        <v>-6169.4448109313089</v>
      </c>
      <c r="AJ12" s="30">
        <f>BaaS.1!AK29</f>
        <v>-6217.8244100203656</v>
      </c>
      <c r="AK12" s="30">
        <f>BaaS.1!AL29</f>
        <v>-6262.1723758520011</v>
      </c>
      <c r="AL12" s="30">
        <f>BaaS.1!AM29</f>
        <v>-6302.8246778643334</v>
      </c>
      <c r="AN12" s="30">
        <f t="shared" si="3"/>
        <v>-19450.499871113774</v>
      </c>
      <c r="AO12" s="30">
        <f t="shared" si="4"/>
        <v>-55273.902513494089</v>
      </c>
      <c r="AP12" s="30">
        <f t="shared" si="5"/>
        <v>-71944.526158884415</v>
      </c>
    </row>
    <row r="13" spans="1:66" ht="13.8">
      <c r="B13" s="120" t="s">
        <v>102</v>
      </c>
      <c r="C13" s="30">
        <f>BaaS.1!D51</f>
        <v>-6.25</v>
      </c>
      <c r="D13" s="30">
        <f>BaaS.1!E51</f>
        <v>-17.083333333333332</v>
      </c>
      <c r="E13" s="30">
        <f>BaaS.1!F51</f>
        <v>-25.138888888888889</v>
      </c>
      <c r="F13" s="30">
        <f>BaaS.1!G51</f>
        <v>-31.342592592592595</v>
      </c>
      <c r="G13" s="30">
        <f>BaaS.1!H51</f>
        <v>-36.311728395061735</v>
      </c>
      <c r="H13" s="30">
        <f>BaaS.1!I51</f>
        <v>-40.457818930041157</v>
      </c>
      <c r="I13" s="30">
        <f>BaaS.1!J51</f>
        <v>-43.638545953360783</v>
      </c>
      <c r="J13" s="30">
        <f>BaaS.1!K51</f>
        <v>-46.592363968907186</v>
      </c>
      <c r="K13" s="30">
        <f>BaaS.1!L51</f>
        <v>-50.228242645938131</v>
      </c>
      <c r="L13" s="30">
        <f>BaaS.1!M51</f>
        <v>-54.318828430625423</v>
      </c>
      <c r="M13" s="30">
        <f>BaaS.1!N51</f>
        <v>-58.712552287083618</v>
      </c>
      <c r="N13" s="30">
        <f>BaaS.1!O51</f>
        <v>-63.308368191389071</v>
      </c>
      <c r="O13" s="30">
        <f>BaaS.1!P51</f>
        <v>-67.205578794259381</v>
      </c>
      <c r="P13" s="30">
        <f>BaaS.1!Q51</f>
        <v>-69.803719196172921</v>
      </c>
      <c r="Q13" s="30">
        <f>BaaS.1!R51</f>
        <v>-71.535812797448614</v>
      </c>
      <c r="R13" s="30">
        <f>BaaS.1!S51</f>
        <v>-72.690541864965752</v>
      </c>
      <c r="S13" s="30">
        <f>BaaS.1!T51</f>
        <v>-73.460361243310487</v>
      </c>
      <c r="T13" s="30">
        <f>BaaS.1!U51</f>
        <v>-73.973574162207001</v>
      </c>
      <c r="U13" s="30">
        <f>BaaS.1!V51</f>
        <v>-74.315716108138005</v>
      </c>
      <c r="V13" s="30">
        <f>BaaS.1!W51</f>
        <v>-74.543810738758665</v>
      </c>
      <c r="W13" s="30">
        <f>BaaS.1!X51</f>
        <v>-74.695873825839115</v>
      </c>
      <c r="X13" s="30">
        <f>BaaS.1!Y51</f>
        <v>-74.797249217226067</v>
      </c>
      <c r="Y13" s="30">
        <f>BaaS.1!Z51</f>
        <v>-74.86483281148405</v>
      </c>
      <c r="Z13" s="30">
        <f>BaaS.1!AA51</f>
        <v>-74.909888540989357</v>
      </c>
      <c r="AA13" s="30">
        <f>BaaS.1!AB51</f>
        <v>-74.939925693992919</v>
      </c>
      <c r="AB13" s="30">
        <f>BaaS.1!AC51</f>
        <v>-74.959950462661936</v>
      </c>
      <c r="AC13" s="30">
        <f>BaaS.1!AD51</f>
        <v>-74.973300308441296</v>
      </c>
      <c r="AD13" s="30">
        <f>BaaS.1!AE51</f>
        <v>-74.982200205627521</v>
      </c>
      <c r="AE13" s="30">
        <f>BaaS.1!AF51</f>
        <v>-74.988133470418362</v>
      </c>
      <c r="AF13" s="30">
        <f>BaaS.1!AG51</f>
        <v>-74.992088980278893</v>
      </c>
      <c r="AG13" s="30">
        <f>BaaS.1!AH51</f>
        <v>-74.994725986852615</v>
      </c>
      <c r="AH13" s="30">
        <f>BaaS.1!AI51</f>
        <v>-74.996483991235081</v>
      </c>
      <c r="AI13" s="30">
        <f>BaaS.1!AJ51</f>
        <v>-74.997655994156716</v>
      </c>
      <c r="AJ13" s="30">
        <f>BaaS.1!AK51</f>
        <v>-74.998437329437806</v>
      </c>
      <c r="AK13" s="30">
        <f>BaaS.1!AL51</f>
        <v>-74.998958219625209</v>
      </c>
      <c r="AL13" s="30">
        <f>BaaS.1!AM51</f>
        <v>-74.999305479750134</v>
      </c>
      <c r="AN13" s="30">
        <f t="shared" si="3"/>
        <v>-473.38326361722193</v>
      </c>
      <c r="AO13" s="30">
        <f t="shared" si="4"/>
        <v>-876.79695930079947</v>
      </c>
      <c r="AP13" s="30">
        <f t="shared" si="5"/>
        <v>-899.82116612247853</v>
      </c>
    </row>
    <row r="14" spans="1:66" ht="13.8">
      <c r="B14" s="120" t="s">
        <v>103</v>
      </c>
      <c r="C14" s="30">
        <f>BaaS.1!D73</f>
        <v>-6.25</v>
      </c>
      <c r="D14" s="30">
        <f>BaaS.1!E73</f>
        <v>-17.083333333333332</v>
      </c>
      <c r="E14" s="30">
        <f>BaaS.1!F73</f>
        <v>-25.138888888888889</v>
      </c>
      <c r="F14" s="30">
        <f>BaaS.1!G73</f>
        <v>-31.342592592592595</v>
      </c>
      <c r="G14" s="30">
        <f>BaaS.1!H73</f>
        <v>-36.311728395061735</v>
      </c>
      <c r="H14" s="30">
        <f>BaaS.1!I73</f>
        <v>-40.457818930041157</v>
      </c>
      <c r="I14" s="30">
        <f>BaaS.1!J73</f>
        <v>-43.638545953360783</v>
      </c>
      <c r="J14" s="30">
        <f>BaaS.1!K73</f>
        <v>-46.592363968907186</v>
      </c>
      <c r="K14" s="30">
        <f>BaaS.1!L73</f>
        <v>-50.228242645938131</v>
      </c>
      <c r="L14" s="30">
        <f>BaaS.1!M73</f>
        <v>-54.318828430625423</v>
      </c>
      <c r="M14" s="30">
        <f>BaaS.1!N73</f>
        <v>-58.712552287083618</v>
      </c>
      <c r="N14" s="30">
        <f>BaaS.1!O73</f>
        <v>-63.308368191389071</v>
      </c>
      <c r="O14" s="30">
        <f>BaaS.1!P73</f>
        <v>-67.205578794259381</v>
      </c>
      <c r="P14" s="30">
        <f>BaaS.1!Q73</f>
        <v>-69.803719196172921</v>
      </c>
      <c r="Q14" s="30">
        <f>BaaS.1!R73</f>
        <v>-71.535812797448614</v>
      </c>
      <c r="R14" s="30">
        <f>BaaS.1!S73</f>
        <v>-72.690541864965752</v>
      </c>
      <c r="S14" s="30">
        <f>BaaS.1!T73</f>
        <v>-73.460361243310487</v>
      </c>
      <c r="T14" s="30">
        <f>BaaS.1!U73</f>
        <v>-73.973574162207001</v>
      </c>
      <c r="U14" s="30">
        <f>BaaS.1!V73</f>
        <v>-74.315716108138005</v>
      </c>
      <c r="V14" s="30">
        <f>BaaS.1!W73</f>
        <v>-74.543810738758665</v>
      </c>
      <c r="W14" s="30">
        <f>BaaS.1!X73</f>
        <v>-74.695873825839115</v>
      </c>
      <c r="X14" s="30">
        <f>BaaS.1!Y73</f>
        <v>-74.797249217226067</v>
      </c>
      <c r="Y14" s="30">
        <f>BaaS.1!Z73</f>
        <v>-74.86483281148405</v>
      </c>
      <c r="Z14" s="30">
        <f>BaaS.1!AA73</f>
        <v>-74.909888540989357</v>
      </c>
      <c r="AA14" s="30">
        <f>BaaS.1!AB73</f>
        <v>-74.939925693992919</v>
      </c>
      <c r="AB14" s="30">
        <f>BaaS.1!AC73</f>
        <v>-74.959950462661936</v>
      </c>
      <c r="AC14" s="30">
        <f>BaaS.1!AD73</f>
        <v>-74.973300308441296</v>
      </c>
      <c r="AD14" s="30">
        <f>BaaS.1!AE73</f>
        <v>-74.982200205627521</v>
      </c>
      <c r="AE14" s="30">
        <f>BaaS.1!AF73</f>
        <v>-74.988133470418362</v>
      </c>
      <c r="AF14" s="30">
        <f>BaaS.1!AG73</f>
        <v>-74.992088980278893</v>
      </c>
      <c r="AG14" s="30">
        <f>BaaS.1!AH73</f>
        <v>-74.994725986852615</v>
      </c>
      <c r="AH14" s="30">
        <f>BaaS.1!AI73</f>
        <v>-74.996483991235081</v>
      </c>
      <c r="AI14" s="30">
        <f>BaaS.1!AJ73</f>
        <v>-74.997655994156716</v>
      </c>
      <c r="AJ14" s="30">
        <f>BaaS.1!AK73</f>
        <v>-74.998437329437806</v>
      </c>
      <c r="AK14" s="30">
        <f>BaaS.1!AL73</f>
        <v>-74.998958219625209</v>
      </c>
      <c r="AL14" s="30">
        <f>BaaS.1!AM73</f>
        <v>-74.999305479750134</v>
      </c>
      <c r="AN14" s="30">
        <f t="shared" si="3"/>
        <v>-473.38326361722193</v>
      </c>
      <c r="AO14" s="30">
        <f t="shared" si="4"/>
        <v>-876.79695930079947</v>
      </c>
      <c r="AP14" s="30">
        <f t="shared" si="5"/>
        <v>-899.82116612247853</v>
      </c>
    </row>
    <row r="15" spans="1:66" ht="13.8">
      <c r="B15" s="120" t="s">
        <v>108</v>
      </c>
      <c r="C15" s="30">
        <f>BaaS.1!D99</f>
        <v>-1.875</v>
      </c>
      <c r="D15" s="30">
        <f>BaaS.1!E99</f>
        <v>-5.75</v>
      </c>
      <c r="E15" s="30">
        <f>BaaS.1!F99</f>
        <v>-9.875</v>
      </c>
      <c r="F15" s="30">
        <f>BaaS.1!G99</f>
        <v>-14.25</v>
      </c>
      <c r="G15" s="30">
        <f>BaaS.1!H99</f>
        <v>-18.875</v>
      </c>
      <c r="H15" s="30">
        <f>BaaS.1!I99</f>
        <v>-23.75</v>
      </c>
      <c r="I15" s="30">
        <f>BaaS.1!J99</f>
        <v>-28.75</v>
      </c>
      <c r="J15" s="30">
        <f>BaaS.1!K99</f>
        <v>-34</v>
      </c>
      <c r="K15" s="30">
        <f>BaaS.1!L99</f>
        <v>-39.75</v>
      </c>
      <c r="L15" s="30">
        <f>BaaS.1!M99</f>
        <v>-46</v>
      </c>
      <c r="M15" s="30">
        <f>BaaS.1!N99</f>
        <v>-52.75</v>
      </c>
      <c r="N15" s="30">
        <f>BaaS.1!O99</f>
        <v>-60</v>
      </c>
      <c r="O15" s="30">
        <f>BaaS.1!P99</f>
        <v>-67.5</v>
      </c>
      <c r="P15" s="30">
        <f>BaaS.1!Q99</f>
        <v>-75</v>
      </c>
      <c r="Q15" s="30">
        <f>BaaS.1!R99</f>
        <v>-82.5</v>
      </c>
      <c r="R15" s="30">
        <f>BaaS.1!S99</f>
        <v>-90</v>
      </c>
      <c r="S15" s="30">
        <f>BaaS.1!T99</f>
        <v>-97.5</v>
      </c>
      <c r="T15" s="30">
        <f>BaaS.1!U99</f>
        <v>-105</v>
      </c>
      <c r="U15" s="30">
        <f>BaaS.1!V99</f>
        <v>-112.5</v>
      </c>
      <c r="V15" s="30">
        <f>BaaS.1!W99</f>
        <v>-120</v>
      </c>
      <c r="W15" s="30">
        <f>BaaS.1!X99</f>
        <v>-127.5</v>
      </c>
      <c r="X15" s="30">
        <f>BaaS.1!Y99</f>
        <v>-135</v>
      </c>
      <c r="Y15" s="30">
        <f>BaaS.1!Z99</f>
        <v>-142.5</v>
      </c>
      <c r="Z15" s="30">
        <f>BaaS.1!AA99</f>
        <v>-150</v>
      </c>
      <c r="AA15" s="30">
        <f>BaaS.1!AB99</f>
        <v>-157.5</v>
      </c>
      <c r="AB15" s="30">
        <f>BaaS.1!AC99</f>
        <v>-165</v>
      </c>
      <c r="AC15" s="30">
        <f>BaaS.1!AD99</f>
        <v>-172.5</v>
      </c>
      <c r="AD15" s="30">
        <f>BaaS.1!AE99</f>
        <v>-180</v>
      </c>
      <c r="AE15" s="30">
        <f>BaaS.1!AF99</f>
        <v>-187.5</v>
      </c>
      <c r="AF15" s="30">
        <f>BaaS.1!AG99</f>
        <v>-195</v>
      </c>
      <c r="AG15" s="30">
        <f>BaaS.1!AH99</f>
        <v>-202.5</v>
      </c>
      <c r="AH15" s="30">
        <f>BaaS.1!AI99</f>
        <v>-210</v>
      </c>
      <c r="AI15" s="30">
        <f>BaaS.1!AJ99</f>
        <v>-217.5</v>
      </c>
      <c r="AJ15" s="30">
        <f>BaaS.1!AK99</f>
        <v>-225</v>
      </c>
      <c r="AK15" s="30">
        <f>BaaS.1!AL99</f>
        <v>-232.5</v>
      </c>
      <c r="AL15" s="30">
        <f>BaaS.1!AM99</f>
        <v>-240</v>
      </c>
      <c r="AN15" s="30">
        <f t="shared" si="3"/>
        <v>-335.625</v>
      </c>
      <c r="AO15" s="30">
        <f t="shared" si="4"/>
        <v>-1305</v>
      </c>
      <c r="AP15" s="30">
        <f t="shared" si="5"/>
        <v>-2385</v>
      </c>
    </row>
    <row r="16" spans="1:66" ht="12">
      <c r="B16" s="124" t="s">
        <v>263</v>
      </c>
      <c r="C16" s="25">
        <f>C17+C21</f>
        <v>1498.5416666666665</v>
      </c>
      <c r="D16" s="25">
        <f t="shared" ref="D16:AL16" si="7">D17+D21</f>
        <v>3053.2209895833339</v>
      </c>
      <c r="E16" s="25">
        <f t="shared" si="7"/>
        <v>3172.7246593098953</v>
      </c>
      <c r="F16" s="25">
        <f t="shared" si="7"/>
        <v>3560.8081750100091</v>
      </c>
      <c r="G16" s="25">
        <f t="shared" si="7"/>
        <v>3931.2985617481645</v>
      </c>
      <c r="H16" s="25">
        <f t="shared" si="7"/>
        <v>4046.1720551514159</v>
      </c>
      <c r="I16" s="25">
        <f t="shared" si="7"/>
        <v>4425.0173567691891</v>
      </c>
      <c r="J16" s="25">
        <f t="shared" si="7"/>
        <v>4789.67378921208</v>
      </c>
      <c r="K16" s="25">
        <f t="shared" si="7"/>
        <v>4911.2056281757405</v>
      </c>
      <c r="L16" s="25">
        <f t="shared" si="7"/>
        <v>5305.572099128477</v>
      </c>
      <c r="M16" s="25">
        <f t="shared" si="7"/>
        <v>5719.380095350185</v>
      </c>
      <c r="N16" s="25">
        <f t="shared" si="7"/>
        <v>6171.6065799160133</v>
      </c>
      <c r="O16" s="25">
        <f t="shared" si="7"/>
        <v>6590.6374857814262</v>
      </c>
      <c r="P16" s="25">
        <f t="shared" si="7"/>
        <v>6700.2963932690327</v>
      </c>
      <c r="Q16" s="25">
        <f t="shared" si="7"/>
        <v>6785.1732307914535</v>
      </c>
      <c r="R16" s="25">
        <f t="shared" si="7"/>
        <v>6877.5602827221992</v>
      </c>
      <c r="S16" s="25">
        <f t="shared" si="7"/>
        <v>6962.80989857643</v>
      </c>
      <c r="T16" s="25">
        <f t="shared" si="7"/>
        <v>7041.4734867238494</v>
      </c>
      <c r="U16" s="25">
        <f t="shared" si="7"/>
        <v>7114.0598560373201</v>
      </c>
      <c r="V16" s="25">
        <f t="shared" si="7"/>
        <v>7181.0385069505974</v>
      </c>
      <c r="W16" s="25">
        <f t="shared" si="7"/>
        <v>7242.8426682634272</v>
      </c>
      <c r="X16" s="25">
        <f t="shared" si="7"/>
        <v>7299.8720993358511</v>
      </c>
      <c r="Y16" s="25">
        <f t="shared" si="7"/>
        <v>7352.4956757966938</v>
      </c>
      <c r="Z16" s="25">
        <f t="shared" si="7"/>
        <v>7401.0537754911074</v>
      </c>
      <c r="AA16" s="25">
        <f t="shared" si="7"/>
        <v>7445.8604800997673</v>
      </c>
      <c r="AB16" s="25">
        <f t="shared" si="7"/>
        <v>7487.2056066702644</v>
      </c>
      <c r="AC16" s="25">
        <f t="shared" si="7"/>
        <v>7525.3565822008204</v>
      </c>
      <c r="AD16" s="25">
        <f t="shared" si="7"/>
        <v>7560.5601734016273</v>
      </c>
      <c r="AE16" s="25">
        <f t="shared" si="7"/>
        <v>7593.044082821998</v>
      </c>
      <c r="AF16" s="25">
        <f t="shared" si="7"/>
        <v>7623.0184216674825</v>
      </c>
      <c r="AG16" s="25">
        <f t="shared" si="7"/>
        <v>7650.6770688332872</v>
      </c>
      <c r="AH16" s="25">
        <f t="shared" si="7"/>
        <v>7676.1989249444741</v>
      </c>
      <c r="AI16" s="25">
        <f t="shared" si="7"/>
        <v>7699.7490695142842</v>
      </c>
      <c r="AJ16" s="25">
        <f t="shared" si="7"/>
        <v>7721.4798287052654</v>
      </c>
      <c r="AK16" s="25">
        <f t="shared" si="7"/>
        <v>7741.5317605996315</v>
      </c>
      <c r="AL16" s="25">
        <f t="shared" si="7"/>
        <v>7760.0345643518049</v>
      </c>
      <c r="AN16" s="25">
        <f t="shared" si="3"/>
        <v>50585.221656021167</v>
      </c>
      <c r="AO16" s="25">
        <f t="shared" si="4"/>
        <v>84549.313359739404</v>
      </c>
      <c r="AP16" s="25">
        <f t="shared" si="5"/>
        <v>91484.716563810711</v>
      </c>
    </row>
    <row r="17" spans="2:42">
      <c r="B17" s="126" t="s">
        <v>306</v>
      </c>
      <c r="C17" s="39">
        <f>SUM(C18:C20)</f>
        <v>-381.37500000000006</v>
      </c>
      <c r="D17" s="39">
        <f t="shared" ref="D17:AL17" si="8">SUM(D18:D20)</f>
        <v>-1129.96359375</v>
      </c>
      <c r="E17" s="39">
        <f t="shared" si="8"/>
        <v>-1869.7392818359376</v>
      </c>
      <c r="F17" s="39">
        <f t="shared" si="8"/>
        <v>-2599.4905584034022</v>
      </c>
      <c r="G17" s="39">
        <f t="shared" si="8"/>
        <v>-3322.7565989038167</v>
      </c>
      <c r="H17" s="39">
        <f t="shared" si="8"/>
        <v>-4028.9543860599083</v>
      </c>
      <c r="I17" s="39">
        <f t="shared" si="8"/>
        <v>-4716.2881640509895</v>
      </c>
      <c r="J17" s="39">
        <f t="shared" si="8"/>
        <v>-5397.5498578178976</v>
      </c>
      <c r="K17" s="39">
        <f t="shared" si="8"/>
        <v>-6125.7727305635244</v>
      </c>
      <c r="L17" s="39">
        <f t="shared" si="8"/>
        <v>-6897.1713605660107</v>
      </c>
      <c r="M17" s="39">
        <f t="shared" si="8"/>
        <v>-7711.4106674513041</v>
      </c>
      <c r="N17" s="39">
        <f t="shared" si="8"/>
        <v>-8562.4127260787463</v>
      </c>
      <c r="O17" s="39">
        <f t="shared" si="8"/>
        <v>-9394.4624004699817</v>
      </c>
      <c r="P17" s="39">
        <f t="shared" si="8"/>
        <v>-10162.074752883251</v>
      </c>
      <c r="Q17" s="39">
        <f t="shared" si="8"/>
        <v>-10756.212615540186</v>
      </c>
      <c r="R17" s="39">
        <f t="shared" si="8"/>
        <v>-11402.921979055394</v>
      </c>
      <c r="S17" s="39">
        <f t="shared" si="8"/>
        <v>-11999.669290035017</v>
      </c>
      <c r="T17" s="39">
        <f t="shared" si="8"/>
        <v>-12550.314407066946</v>
      </c>
      <c r="U17" s="39">
        <f t="shared" si="8"/>
        <v>-13058.418992261248</v>
      </c>
      <c r="V17" s="39">
        <f t="shared" si="8"/>
        <v>-13527.269548654185</v>
      </c>
      <c r="W17" s="39">
        <f t="shared" si="8"/>
        <v>-13959.898677844008</v>
      </c>
      <c r="X17" s="39">
        <f t="shared" si="8"/>
        <v>-14359.104695350961</v>
      </c>
      <c r="Y17" s="39">
        <f t="shared" si="8"/>
        <v>-14727.469730576864</v>
      </c>
      <c r="Z17" s="39">
        <f t="shared" si="8"/>
        <v>-15067.376428437748</v>
      </c>
      <c r="AA17" s="39">
        <f t="shared" si="8"/>
        <v>-15381.023360698397</v>
      </c>
      <c r="AB17" s="39">
        <f t="shared" si="8"/>
        <v>-15670.439246691843</v>
      </c>
      <c r="AC17" s="39">
        <f t="shared" si="8"/>
        <v>-15937.496075405747</v>
      </c>
      <c r="AD17" s="39">
        <f t="shared" si="8"/>
        <v>-16183.921213811383</v>
      </c>
      <c r="AE17" s="39">
        <f t="shared" si="8"/>
        <v>-16411.308579753982</v>
      </c>
      <c r="AF17" s="39">
        <f t="shared" si="8"/>
        <v>-16621.128951672385</v>
      </c>
      <c r="AG17" s="39">
        <f t="shared" si="8"/>
        <v>-16814.73948183301</v>
      </c>
      <c r="AH17" s="39">
        <f t="shared" si="8"/>
        <v>-16993.392474611319</v>
      </c>
      <c r="AI17" s="39">
        <f t="shared" si="8"/>
        <v>-17158.243486600004</v>
      </c>
      <c r="AJ17" s="39">
        <f t="shared" si="8"/>
        <v>-17310.358800936872</v>
      </c>
      <c r="AK17" s="39">
        <f t="shared" si="8"/>
        <v>-17450.72232419745</v>
      </c>
      <c r="AL17" s="39">
        <f t="shared" si="8"/>
        <v>-17580.241950462638</v>
      </c>
      <c r="AN17" s="39">
        <f t="shared" si="3"/>
        <v>-52742.884925481529</v>
      </c>
      <c r="AO17" s="39">
        <f t="shared" si="4"/>
        <v>-150965.19351817577</v>
      </c>
      <c r="AP17" s="39">
        <f t="shared" si="5"/>
        <v>-199513.015946675</v>
      </c>
    </row>
    <row r="18" spans="2:42" ht="13.8">
      <c r="B18" s="120" t="s">
        <v>271</v>
      </c>
      <c r="C18" s="30">
        <f>BaaS.2!D10</f>
        <v>-375.37500000000006</v>
      </c>
      <c r="D18" s="30">
        <f>BaaS.2!E10</f>
        <v>-1120.96359375</v>
      </c>
      <c r="E18" s="30">
        <f>BaaS.2!F10</f>
        <v>-1857.7392818359376</v>
      </c>
      <c r="F18" s="30">
        <f>BaaS.2!G10</f>
        <v>-2587.4905584034022</v>
      </c>
      <c r="G18" s="30">
        <f>BaaS.2!H10</f>
        <v>-3310.7565989038167</v>
      </c>
      <c r="H18" s="30">
        <f>BaaS.2!I10</f>
        <v>-4013.9543860599083</v>
      </c>
      <c r="I18" s="30">
        <f>BaaS.2!J10</f>
        <v>-4698.2881640509895</v>
      </c>
      <c r="J18" s="30">
        <f>BaaS.2!K10</f>
        <v>-5379.5498578178976</v>
      </c>
      <c r="K18" s="30">
        <f>BaaS.2!L10</f>
        <v>-6107.7727305635244</v>
      </c>
      <c r="L18" s="30">
        <f>BaaS.2!M10</f>
        <v>-6879.1713605660107</v>
      </c>
      <c r="M18" s="30">
        <f>BaaS.2!N10</f>
        <v>-7690.4106674513041</v>
      </c>
      <c r="N18" s="30">
        <f>BaaS.2!O10</f>
        <v>-8538.4127260787463</v>
      </c>
      <c r="O18" s="30">
        <f>BaaS.2!P10</f>
        <v>-9370.4624004699817</v>
      </c>
      <c r="P18" s="30">
        <f>BaaS.2!Q10</f>
        <v>-10138.074752883251</v>
      </c>
      <c r="Q18" s="30">
        <f>BaaS.2!R10</f>
        <v>-10732.212615540186</v>
      </c>
      <c r="R18" s="30">
        <f>BaaS.2!S10</f>
        <v>-11378.921979055394</v>
      </c>
      <c r="S18" s="30">
        <f>BaaS.2!T10</f>
        <v>-11975.669290035017</v>
      </c>
      <c r="T18" s="30">
        <f>BaaS.2!U10</f>
        <v>-12526.314407066946</v>
      </c>
      <c r="U18" s="30">
        <f>BaaS.2!V10</f>
        <v>-13034.418992261248</v>
      </c>
      <c r="V18" s="30">
        <f>BaaS.2!W10</f>
        <v>-13503.269548654185</v>
      </c>
      <c r="W18" s="30">
        <f>BaaS.2!X10</f>
        <v>-13935.898677844008</v>
      </c>
      <c r="X18" s="30">
        <f>BaaS.2!Y10</f>
        <v>-14335.104695350961</v>
      </c>
      <c r="Y18" s="30">
        <f>BaaS.2!Z10</f>
        <v>-14703.469730576864</v>
      </c>
      <c r="Z18" s="30">
        <f>BaaS.2!AA10</f>
        <v>-15043.376428437748</v>
      </c>
      <c r="AA18" s="30">
        <f>BaaS.2!AB10</f>
        <v>-15357.023360698397</v>
      </c>
      <c r="AB18" s="30">
        <f>BaaS.2!AC10</f>
        <v>-15646.439246691843</v>
      </c>
      <c r="AC18" s="30">
        <f>BaaS.2!AD10</f>
        <v>-15913.496075405747</v>
      </c>
      <c r="AD18" s="30">
        <f>BaaS.2!AE10</f>
        <v>-16159.921213811383</v>
      </c>
      <c r="AE18" s="30">
        <f>BaaS.2!AF10</f>
        <v>-16387.308579753982</v>
      </c>
      <c r="AF18" s="30">
        <f>BaaS.2!AG10</f>
        <v>-16597.128951672385</v>
      </c>
      <c r="AG18" s="30">
        <f>BaaS.2!AH10</f>
        <v>-16790.73948183301</v>
      </c>
      <c r="AH18" s="30">
        <f>BaaS.2!AI10</f>
        <v>-16969.392474611319</v>
      </c>
      <c r="AI18" s="30">
        <f>BaaS.2!AJ10</f>
        <v>-17134.243486600004</v>
      </c>
      <c r="AJ18" s="30">
        <f>BaaS.2!AK10</f>
        <v>-17286.358800936872</v>
      </c>
      <c r="AK18" s="30">
        <f>BaaS.2!AL10</f>
        <v>-17426.72232419745</v>
      </c>
      <c r="AL18" s="30">
        <f>BaaS.2!AM10</f>
        <v>-17556.241950462638</v>
      </c>
      <c r="AN18" s="30">
        <f t="shared" ref="AN18" si="9">SUM(C18:N18)</f>
        <v>-52559.884925481529</v>
      </c>
      <c r="AO18" s="30">
        <f t="shared" ref="AO18" si="10">SUM(O18:Z18)</f>
        <v>-150677.19351817577</v>
      </c>
      <c r="AP18" s="30">
        <f t="shared" ref="AP18" si="11">SUM(AA18:AL18)</f>
        <v>-199225.015946675</v>
      </c>
    </row>
    <row r="19" spans="2:42" ht="13.8">
      <c r="B19" s="120" t="s">
        <v>308</v>
      </c>
      <c r="C19" s="30">
        <f>BaaS.3!D88</f>
        <v>-6</v>
      </c>
      <c r="D19" s="30">
        <f>BaaS.3!E88</f>
        <v>-9</v>
      </c>
      <c r="E19" s="30">
        <f>BaaS.3!F88</f>
        <v>-12</v>
      </c>
      <c r="F19" s="30">
        <f>BaaS.3!G88</f>
        <v>-12</v>
      </c>
      <c r="G19" s="30">
        <f>BaaS.3!H88</f>
        <v>-12</v>
      </c>
      <c r="H19" s="30">
        <f>BaaS.3!I88</f>
        <v>-15</v>
      </c>
      <c r="I19" s="30">
        <f>BaaS.3!J88</f>
        <v>-18</v>
      </c>
      <c r="J19" s="30">
        <f>BaaS.3!K88</f>
        <v>-18</v>
      </c>
      <c r="K19" s="30">
        <f>BaaS.3!L88</f>
        <v>-18</v>
      </c>
      <c r="L19" s="30">
        <f>BaaS.3!M88</f>
        <v>-18</v>
      </c>
      <c r="M19" s="30">
        <f>BaaS.3!N88</f>
        <v>-21</v>
      </c>
      <c r="N19" s="30">
        <f>BaaS.3!O88</f>
        <v>-24</v>
      </c>
      <c r="O19" s="30">
        <f>BaaS.3!P88</f>
        <v>-24</v>
      </c>
      <c r="P19" s="30">
        <f>BaaS.3!Q88</f>
        <v>-24</v>
      </c>
      <c r="Q19" s="30">
        <f>BaaS.3!R88</f>
        <v>-24</v>
      </c>
      <c r="R19" s="30">
        <f>BaaS.3!S88</f>
        <v>-24</v>
      </c>
      <c r="S19" s="30">
        <f>BaaS.3!T88</f>
        <v>-24</v>
      </c>
      <c r="T19" s="30">
        <f>BaaS.3!U88</f>
        <v>-24</v>
      </c>
      <c r="U19" s="30">
        <f>BaaS.3!V88</f>
        <v>-24</v>
      </c>
      <c r="V19" s="30">
        <f>BaaS.3!W88</f>
        <v>-24</v>
      </c>
      <c r="W19" s="30">
        <f>BaaS.3!X88</f>
        <v>-24</v>
      </c>
      <c r="X19" s="30">
        <f>BaaS.3!Y88</f>
        <v>-24</v>
      </c>
      <c r="Y19" s="30">
        <f>BaaS.3!Z88</f>
        <v>-24</v>
      </c>
      <c r="Z19" s="30">
        <f>BaaS.3!AA88</f>
        <v>-24</v>
      </c>
      <c r="AA19" s="30">
        <f>BaaS.3!AB88</f>
        <v>-24</v>
      </c>
      <c r="AB19" s="30">
        <f>BaaS.3!AC88</f>
        <v>-24</v>
      </c>
      <c r="AC19" s="30">
        <f>BaaS.3!AD88</f>
        <v>-24</v>
      </c>
      <c r="AD19" s="30">
        <f>BaaS.3!AE88</f>
        <v>-24</v>
      </c>
      <c r="AE19" s="30">
        <f>BaaS.3!AF88</f>
        <v>-24</v>
      </c>
      <c r="AF19" s="30">
        <f>BaaS.3!AG88</f>
        <v>-24</v>
      </c>
      <c r="AG19" s="30">
        <f>BaaS.3!AH88</f>
        <v>-24</v>
      </c>
      <c r="AH19" s="30">
        <f>BaaS.3!AI88</f>
        <v>-24</v>
      </c>
      <c r="AI19" s="30">
        <f>BaaS.3!AJ88</f>
        <v>-24</v>
      </c>
      <c r="AJ19" s="30">
        <f>BaaS.3!AK88</f>
        <v>-24</v>
      </c>
      <c r="AK19" s="30">
        <f>BaaS.3!AL88</f>
        <v>-24</v>
      </c>
      <c r="AL19" s="30">
        <f>BaaS.3!AM88</f>
        <v>-24</v>
      </c>
      <c r="AN19" s="30">
        <f t="shared" ref="AN19" si="12">SUM(C19:N19)</f>
        <v>-183</v>
      </c>
      <c r="AO19" s="30">
        <f t="shared" ref="AO19" si="13">SUM(O19:Z19)</f>
        <v>-288</v>
      </c>
      <c r="AP19" s="30">
        <f t="shared" ref="AP19" si="14">SUM(AA19:AL19)</f>
        <v>-288</v>
      </c>
    </row>
    <row r="20" spans="2:42">
      <c r="B20" s="126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N20" s="39"/>
      <c r="AO20" s="39"/>
      <c r="AP20" s="39"/>
    </row>
    <row r="21" spans="2:42">
      <c r="B21" s="125" t="s">
        <v>264</v>
      </c>
      <c r="C21" s="39">
        <f>SUM(C22:C27)</f>
        <v>1879.9166666666665</v>
      </c>
      <c r="D21" s="39">
        <f t="shared" ref="D21:AL21" si="15">SUM(D22:D27)</f>
        <v>4183.1845833333336</v>
      </c>
      <c r="E21" s="39">
        <f t="shared" si="15"/>
        <v>5042.4639411458329</v>
      </c>
      <c r="F21" s="39">
        <f t="shared" si="15"/>
        <v>6160.2987334134114</v>
      </c>
      <c r="G21" s="39">
        <f t="shared" si="15"/>
        <v>7254.0551606519812</v>
      </c>
      <c r="H21" s="39">
        <f t="shared" si="15"/>
        <v>8075.1264412113242</v>
      </c>
      <c r="I21" s="39">
        <f t="shared" si="15"/>
        <v>9141.3055208201786</v>
      </c>
      <c r="J21" s="39">
        <f t="shared" si="15"/>
        <v>10187.223647029978</v>
      </c>
      <c r="K21" s="39">
        <f t="shared" si="15"/>
        <v>11036.978358739265</v>
      </c>
      <c r="L21" s="39">
        <f t="shared" si="15"/>
        <v>12202.743459694488</v>
      </c>
      <c r="M21" s="39">
        <f t="shared" si="15"/>
        <v>13430.790762801489</v>
      </c>
      <c r="N21" s="39">
        <f t="shared" si="15"/>
        <v>14734.01930599476</v>
      </c>
      <c r="O21" s="39">
        <f t="shared" si="15"/>
        <v>15985.099886251408</v>
      </c>
      <c r="P21" s="39">
        <f t="shared" si="15"/>
        <v>16862.371146152283</v>
      </c>
      <c r="Q21" s="39">
        <f t="shared" si="15"/>
        <v>17541.385846331639</v>
      </c>
      <c r="R21" s="39">
        <f t="shared" si="15"/>
        <v>18280.482261777594</v>
      </c>
      <c r="S21" s="39">
        <f t="shared" si="15"/>
        <v>18962.479188611447</v>
      </c>
      <c r="T21" s="39">
        <f t="shared" si="15"/>
        <v>19591.787893790795</v>
      </c>
      <c r="U21" s="39">
        <f t="shared" si="15"/>
        <v>20172.478848298568</v>
      </c>
      <c r="V21" s="39">
        <f t="shared" si="15"/>
        <v>20708.308055604783</v>
      </c>
      <c r="W21" s="39">
        <f t="shared" si="15"/>
        <v>21202.741346107436</v>
      </c>
      <c r="X21" s="39">
        <f t="shared" si="15"/>
        <v>21658.976794686812</v>
      </c>
      <c r="Y21" s="39">
        <f t="shared" si="15"/>
        <v>22079.965406373558</v>
      </c>
      <c r="Z21" s="39">
        <f t="shared" si="15"/>
        <v>22468.430203928856</v>
      </c>
      <c r="AA21" s="39">
        <f t="shared" si="15"/>
        <v>22826.883840798164</v>
      </c>
      <c r="AB21" s="39">
        <f t="shared" si="15"/>
        <v>23157.644853362108</v>
      </c>
      <c r="AC21" s="39">
        <f t="shared" si="15"/>
        <v>23462.852657606567</v>
      </c>
      <c r="AD21" s="39">
        <f t="shared" si="15"/>
        <v>23744.481387213011</v>
      </c>
      <c r="AE21" s="39">
        <f t="shared" si="15"/>
        <v>24004.352662575981</v>
      </c>
      <c r="AF21" s="39">
        <f t="shared" si="15"/>
        <v>24244.147373339867</v>
      </c>
      <c r="AG21" s="39">
        <f t="shared" si="15"/>
        <v>24465.416550666298</v>
      </c>
      <c r="AH21" s="39">
        <f t="shared" si="15"/>
        <v>24669.591399555793</v>
      </c>
      <c r="AI21" s="39">
        <f t="shared" si="15"/>
        <v>24857.992556114288</v>
      </c>
      <c r="AJ21" s="39">
        <f t="shared" si="15"/>
        <v>25031.838629642138</v>
      </c>
      <c r="AK21" s="39">
        <f t="shared" si="15"/>
        <v>25192.254084797081</v>
      </c>
      <c r="AL21" s="39">
        <f t="shared" si="15"/>
        <v>25340.276514814443</v>
      </c>
      <c r="AN21" s="39">
        <f t="shared" si="3"/>
        <v>103328.10658150273</v>
      </c>
      <c r="AO21" s="39">
        <f t="shared" si="4"/>
        <v>235514.50687791515</v>
      </c>
      <c r="AP21" s="39">
        <f t="shared" si="5"/>
        <v>290997.7325104858</v>
      </c>
    </row>
    <row r="22" spans="2:42" ht="13.8">
      <c r="B22" s="120" t="s">
        <v>271</v>
      </c>
      <c r="C22" s="30">
        <f>BaaS.2!D11</f>
        <v>429</v>
      </c>
      <c r="D22" s="30">
        <f>BaaS.2!E11</f>
        <v>1281.1012499999999</v>
      </c>
      <c r="E22" s="30">
        <f>BaaS.2!F11</f>
        <v>2123.1306078124999</v>
      </c>
      <c r="F22" s="30">
        <f>BaaS.2!G11</f>
        <v>2957.1320667467453</v>
      </c>
      <c r="G22" s="30">
        <f>BaaS.2!H11</f>
        <v>3783.7218273186477</v>
      </c>
      <c r="H22" s="30">
        <f>BaaS.2!I11</f>
        <v>4587.3764412113233</v>
      </c>
      <c r="I22" s="30">
        <f>BaaS.2!J11</f>
        <v>5369.4721874868446</v>
      </c>
      <c r="J22" s="30">
        <f>BaaS.2!K11</f>
        <v>6148.0569803633107</v>
      </c>
      <c r="K22" s="30">
        <f>BaaS.2!L11</f>
        <v>6980.3116920725988</v>
      </c>
      <c r="L22" s="30">
        <f>BaaS.2!M11</f>
        <v>7861.9101263611537</v>
      </c>
      <c r="M22" s="30">
        <f>BaaS.2!N11</f>
        <v>8789.0407628014909</v>
      </c>
      <c r="N22" s="30">
        <f>BaaS.2!O11</f>
        <v>9758.1859726614239</v>
      </c>
      <c r="O22" s="30">
        <f>BaaS.2!P11</f>
        <v>10709.099886251406</v>
      </c>
      <c r="P22" s="30">
        <f>BaaS.2!Q11</f>
        <v>11586.371146152285</v>
      </c>
      <c r="Q22" s="30">
        <f>BaaS.2!R11</f>
        <v>12265.385846331639</v>
      </c>
      <c r="R22" s="30">
        <f>BaaS.2!S11</f>
        <v>13004.482261777594</v>
      </c>
      <c r="S22" s="30">
        <f>BaaS.2!T11</f>
        <v>13686.479188611447</v>
      </c>
      <c r="T22" s="30">
        <f>BaaS.2!U11</f>
        <v>14315.787893790795</v>
      </c>
      <c r="U22" s="30">
        <f>BaaS.2!V11</f>
        <v>14896.478848298568</v>
      </c>
      <c r="V22" s="30">
        <f>BaaS.2!W11</f>
        <v>15432.308055604784</v>
      </c>
      <c r="W22" s="30">
        <f>BaaS.2!X11</f>
        <v>15926.741346107436</v>
      </c>
      <c r="X22" s="30">
        <f>BaaS.2!Y11</f>
        <v>16382.976794686812</v>
      </c>
      <c r="Y22" s="30">
        <f>BaaS.2!Z11</f>
        <v>16803.965406373558</v>
      </c>
      <c r="Z22" s="30">
        <f>BaaS.2!AA11</f>
        <v>17192.430203928856</v>
      </c>
      <c r="AA22" s="30">
        <f>BaaS.2!AB11</f>
        <v>17550.883840798164</v>
      </c>
      <c r="AB22" s="30">
        <f>BaaS.2!AC11</f>
        <v>17881.644853362108</v>
      </c>
      <c r="AC22" s="30">
        <f>BaaS.2!AD11</f>
        <v>18186.852657606567</v>
      </c>
      <c r="AD22" s="30">
        <f>BaaS.2!AE11</f>
        <v>18468.481387213011</v>
      </c>
      <c r="AE22" s="30">
        <f>BaaS.2!AF11</f>
        <v>18728.352662575981</v>
      </c>
      <c r="AF22" s="30">
        <f>BaaS.2!AG11</f>
        <v>18968.147373339867</v>
      </c>
      <c r="AG22" s="30">
        <f>BaaS.2!AH11</f>
        <v>19189.416550666298</v>
      </c>
      <c r="AH22" s="30">
        <f>BaaS.2!AI11</f>
        <v>19393.591399555793</v>
      </c>
      <c r="AI22" s="30">
        <f>BaaS.2!AJ11</f>
        <v>19581.992556114288</v>
      </c>
      <c r="AJ22" s="30">
        <f>BaaS.2!AK11</f>
        <v>19755.838629642138</v>
      </c>
      <c r="AK22" s="30">
        <f>BaaS.2!AL11</f>
        <v>19916.254084797081</v>
      </c>
      <c r="AL22" s="30">
        <f>BaaS.2!AM11</f>
        <v>20064.276514814443</v>
      </c>
      <c r="AN22" s="30">
        <f t="shared" si="3"/>
        <v>60068.439914836039</v>
      </c>
      <c r="AO22" s="30">
        <f t="shared" si="4"/>
        <v>172202.50687791518</v>
      </c>
      <c r="AP22" s="30">
        <f t="shared" si="5"/>
        <v>227685.73251048574</v>
      </c>
    </row>
    <row r="23" spans="2:42" ht="13.8">
      <c r="B23" s="120" t="s">
        <v>135</v>
      </c>
      <c r="C23" s="30">
        <f>BaaS.3!D28</f>
        <v>1450</v>
      </c>
      <c r="D23" s="30">
        <f>BaaS.3!E28</f>
        <v>2900</v>
      </c>
      <c r="E23" s="30">
        <f>BaaS.3!F28</f>
        <v>2916.6666666666665</v>
      </c>
      <c r="F23" s="30">
        <f>BaaS.3!G28</f>
        <v>3200</v>
      </c>
      <c r="G23" s="30">
        <f>BaaS.3!H28</f>
        <v>3466.6666666666665</v>
      </c>
      <c r="H23" s="30">
        <f>BaaS.3!I28</f>
        <v>3483.3333333333335</v>
      </c>
      <c r="I23" s="30">
        <f>BaaS.3!J28</f>
        <v>3766.6666666666665</v>
      </c>
      <c r="J23" s="30">
        <f>BaaS.3!K28</f>
        <v>4033.3333333333335</v>
      </c>
      <c r="K23" s="30">
        <f>BaaS.3!L28</f>
        <v>4050</v>
      </c>
      <c r="L23" s="30">
        <f>BaaS.3!M28</f>
        <v>4333.333333333333</v>
      </c>
      <c r="M23" s="30">
        <f>BaaS.3!N28</f>
        <v>4633.333333333333</v>
      </c>
      <c r="N23" s="30">
        <f>BaaS.3!O28</f>
        <v>4966.666666666667</v>
      </c>
      <c r="O23" s="30">
        <f>BaaS.3!P28</f>
        <v>5266.666666666667</v>
      </c>
      <c r="P23" s="30">
        <f>BaaS.3!Q28</f>
        <v>5266.666666666667</v>
      </c>
      <c r="Q23" s="30">
        <f>BaaS.3!R28</f>
        <v>5266.666666666667</v>
      </c>
      <c r="R23" s="30">
        <f>BaaS.3!S28</f>
        <v>5266.666666666667</v>
      </c>
      <c r="S23" s="30">
        <f>BaaS.3!T28</f>
        <v>5266.666666666667</v>
      </c>
      <c r="T23" s="30">
        <f>BaaS.3!U28</f>
        <v>5266.666666666667</v>
      </c>
      <c r="U23" s="30">
        <f>BaaS.3!V28</f>
        <v>5266.666666666667</v>
      </c>
      <c r="V23" s="30">
        <f>BaaS.3!W28</f>
        <v>5266.666666666667</v>
      </c>
      <c r="W23" s="30">
        <f>BaaS.3!X28</f>
        <v>5266.666666666667</v>
      </c>
      <c r="X23" s="30">
        <f>BaaS.3!Y28</f>
        <v>5266.666666666667</v>
      </c>
      <c r="Y23" s="30">
        <f>BaaS.3!Z28</f>
        <v>5266.666666666667</v>
      </c>
      <c r="Z23" s="30">
        <f>BaaS.3!AA28</f>
        <v>5266.666666666667</v>
      </c>
      <c r="AA23" s="30">
        <f>BaaS.3!AB28</f>
        <v>5266.666666666667</v>
      </c>
      <c r="AB23" s="30">
        <f>BaaS.3!AC28</f>
        <v>5266.666666666667</v>
      </c>
      <c r="AC23" s="30">
        <f>BaaS.3!AD28</f>
        <v>5266.666666666667</v>
      </c>
      <c r="AD23" s="30">
        <f>BaaS.3!AE28</f>
        <v>5266.666666666667</v>
      </c>
      <c r="AE23" s="30">
        <f>BaaS.3!AF28</f>
        <v>5266.666666666667</v>
      </c>
      <c r="AF23" s="30">
        <f>BaaS.3!AG28</f>
        <v>5266.666666666667</v>
      </c>
      <c r="AG23" s="30">
        <f>BaaS.3!AH28</f>
        <v>5266.666666666667</v>
      </c>
      <c r="AH23" s="30">
        <f>BaaS.3!AI28</f>
        <v>5266.666666666667</v>
      </c>
      <c r="AI23" s="30">
        <f>BaaS.3!AJ28</f>
        <v>5266.666666666667</v>
      </c>
      <c r="AJ23" s="30">
        <f>BaaS.3!AK28</f>
        <v>5266.666666666667</v>
      </c>
      <c r="AK23" s="30">
        <f>BaaS.3!AL28</f>
        <v>5266.666666666667</v>
      </c>
      <c r="AL23" s="30">
        <f>BaaS.3!AM28</f>
        <v>5266.666666666667</v>
      </c>
      <c r="AN23" s="30">
        <f t="shared" ref="AN23" si="16">SUM(C23:N23)</f>
        <v>43200</v>
      </c>
      <c r="AO23" s="30">
        <f t="shared" ref="AO23" si="17">SUM(O23:Z23)</f>
        <v>63199.999999999993</v>
      </c>
      <c r="AP23" s="30">
        <f t="shared" ref="AP23" si="18">SUM(AA23:AL23)</f>
        <v>63199.999999999993</v>
      </c>
    </row>
    <row r="24" spans="2:42" ht="13.8">
      <c r="B24" s="120" t="s">
        <v>201</v>
      </c>
      <c r="C24" s="30">
        <f>BaaS.3!D54</f>
        <v>0.33333333333333331</v>
      </c>
      <c r="D24" s="30">
        <f>BaaS.3!E54</f>
        <v>0.66666666666666663</v>
      </c>
      <c r="E24" s="30">
        <f>BaaS.3!F54</f>
        <v>0.66666666666666663</v>
      </c>
      <c r="F24" s="30">
        <f>BaaS.3!G54</f>
        <v>0.83333333333333337</v>
      </c>
      <c r="G24" s="30">
        <f>BaaS.3!H54</f>
        <v>1</v>
      </c>
      <c r="H24" s="30">
        <f>BaaS.3!I54</f>
        <v>1.1666666666666667</v>
      </c>
      <c r="I24" s="30">
        <f>BaaS.3!J54</f>
        <v>1.3333333333333333</v>
      </c>
      <c r="J24" s="30">
        <f>BaaS.3!K54</f>
        <v>1.3333333333333333</v>
      </c>
      <c r="K24" s="30">
        <f>BaaS.3!L54</f>
        <v>1.5</v>
      </c>
      <c r="L24" s="30">
        <f>BaaS.3!M54</f>
        <v>1.6666666666666667</v>
      </c>
      <c r="M24" s="30">
        <f>BaaS.3!N54</f>
        <v>1.6666666666666667</v>
      </c>
      <c r="N24" s="30">
        <f>BaaS.3!O54</f>
        <v>1.8333333333333333</v>
      </c>
      <c r="O24" s="30">
        <f>BaaS.3!P54</f>
        <v>2</v>
      </c>
      <c r="P24" s="30">
        <f>BaaS.3!Q54</f>
        <v>2</v>
      </c>
      <c r="Q24" s="30">
        <f>BaaS.3!R54</f>
        <v>2</v>
      </c>
      <c r="R24" s="30">
        <f>BaaS.3!S54</f>
        <v>2</v>
      </c>
      <c r="S24" s="30">
        <f>BaaS.3!T54</f>
        <v>2</v>
      </c>
      <c r="T24" s="30">
        <f>BaaS.3!U54</f>
        <v>2</v>
      </c>
      <c r="U24" s="30">
        <f>BaaS.3!V54</f>
        <v>2</v>
      </c>
      <c r="V24" s="30">
        <f>BaaS.3!W54</f>
        <v>2</v>
      </c>
      <c r="W24" s="30">
        <f>BaaS.3!X54</f>
        <v>2</v>
      </c>
      <c r="X24" s="30">
        <f>BaaS.3!Y54</f>
        <v>2</v>
      </c>
      <c r="Y24" s="30">
        <f>BaaS.3!Z54</f>
        <v>2</v>
      </c>
      <c r="Z24" s="30">
        <f>BaaS.3!AA54</f>
        <v>2</v>
      </c>
      <c r="AA24" s="30">
        <f>BaaS.3!AB54</f>
        <v>2</v>
      </c>
      <c r="AB24" s="30">
        <f>BaaS.3!AC54</f>
        <v>2</v>
      </c>
      <c r="AC24" s="30">
        <f>BaaS.3!AD54</f>
        <v>2</v>
      </c>
      <c r="AD24" s="30">
        <f>BaaS.3!AE54</f>
        <v>2</v>
      </c>
      <c r="AE24" s="30">
        <f>BaaS.3!AF54</f>
        <v>2</v>
      </c>
      <c r="AF24" s="30">
        <f>BaaS.3!AG54</f>
        <v>2</v>
      </c>
      <c r="AG24" s="30">
        <f>BaaS.3!AH54</f>
        <v>2</v>
      </c>
      <c r="AH24" s="30">
        <f>BaaS.3!AI54</f>
        <v>2</v>
      </c>
      <c r="AI24" s="30">
        <f>BaaS.3!AJ54</f>
        <v>2</v>
      </c>
      <c r="AJ24" s="30">
        <f>BaaS.3!AK54</f>
        <v>2</v>
      </c>
      <c r="AK24" s="30">
        <f>BaaS.3!AL54</f>
        <v>2</v>
      </c>
      <c r="AL24" s="30">
        <f>BaaS.3!AM54</f>
        <v>2</v>
      </c>
      <c r="AN24" s="30">
        <f t="shared" ref="AN24" si="19">SUM(C24:N24)</f>
        <v>13.999999999999998</v>
      </c>
      <c r="AO24" s="30">
        <f t="shared" ref="AO24" si="20">SUM(O24:Z24)</f>
        <v>24</v>
      </c>
      <c r="AP24" s="30">
        <f t="shared" ref="AP24" si="21">SUM(AA24:AL24)</f>
        <v>24</v>
      </c>
    </row>
    <row r="25" spans="2:42" ht="13.8">
      <c r="B25" s="120" t="s">
        <v>209</v>
      </c>
      <c r="C25" s="30">
        <f>BaaS.3!D68</f>
        <v>0.33333333333333331</v>
      </c>
      <c r="D25" s="30">
        <f>BaaS.3!E68</f>
        <v>0.66666666666666663</v>
      </c>
      <c r="E25" s="30">
        <f>BaaS.3!F68</f>
        <v>1</v>
      </c>
      <c r="F25" s="30">
        <f>BaaS.3!G68</f>
        <v>1.3333333333333333</v>
      </c>
      <c r="G25" s="30">
        <f>BaaS.3!H68</f>
        <v>1.6666666666666667</v>
      </c>
      <c r="H25" s="30">
        <f>BaaS.3!I68</f>
        <v>2</v>
      </c>
      <c r="I25" s="30">
        <f>BaaS.3!J68</f>
        <v>2.3333333333333335</v>
      </c>
      <c r="J25" s="30">
        <f>BaaS.3!K68</f>
        <v>3</v>
      </c>
      <c r="K25" s="30">
        <f>BaaS.3!L68</f>
        <v>3.6666666666666665</v>
      </c>
      <c r="L25" s="30">
        <f>BaaS.3!M68</f>
        <v>4.333333333333333</v>
      </c>
      <c r="M25" s="30">
        <f>BaaS.3!N68</f>
        <v>5</v>
      </c>
      <c r="N25" s="30">
        <f>BaaS.3!O68</f>
        <v>5.333333333333333</v>
      </c>
      <c r="O25" s="30">
        <f>BaaS.3!P68</f>
        <v>5.333333333333333</v>
      </c>
      <c r="P25" s="30">
        <f>BaaS.3!Q68</f>
        <v>5.333333333333333</v>
      </c>
      <c r="Q25" s="30">
        <f>BaaS.3!R68</f>
        <v>5.333333333333333</v>
      </c>
      <c r="R25" s="30">
        <f>BaaS.3!S68</f>
        <v>5.333333333333333</v>
      </c>
      <c r="S25" s="30">
        <f>BaaS.3!T68</f>
        <v>5.333333333333333</v>
      </c>
      <c r="T25" s="30">
        <f>BaaS.3!U68</f>
        <v>5.333333333333333</v>
      </c>
      <c r="U25" s="30">
        <f>BaaS.3!V68</f>
        <v>5.333333333333333</v>
      </c>
      <c r="V25" s="30">
        <f>BaaS.3!W68</f>
        <v>5.333333333333333</v>
      </c>
      <c r="W25" s="30">
        <f>BaaS.3!X68</f>
        <v>5.333333333333333</v>
      </c>
      <c r="X25" s="30">
        <f>BaaS.3!Y68</f>
        <v>5.333333333333333</v>
      </c>
      <c r="Y25" s="30">
        <f>BaaS.3!Z68</f>
        <v>5.333333333333333</v>
      </c>
      <c r="Z25" s="30">
        <f>BaaS.3!AA68</f>
        <v>5.333333333333333</v>
      </c>
      <c r="AA25" s="30">
        <f>BaaS.3!AB68</f>
        <v>5.333333333333333</v>
      </c>
      <c r="AB25" s="30">
        <f>BaaS.3!AC68</f>
        <v>5.333333333333333</v>
      </c>
      <c r="AC25" s="30">
        <f>BaaS.3!AD68</f>
        <v>5.333333333333333</v>
      </c>
      <c r="AD25" s="30">
        <f>BaaS.3!AE68</f>
        <v>5.333333333333333</v>
      </c>
      <c r="AE25" s="30">
        <f>BaaS.3!AF68</f>
        <v>5.333333333333333</v>
      </c>
      <c r="AF25" s="30">
        <f>BaaS.3!AG68</f>
        <v>5.333333333333333</v>
      </c>
      <c r="AG25" s="30">
        <f>BaaS.3!AH68</f>
        <v>5.333333333333333</v>
      </c>
      <c r="AH25" s="30">
        <f>BaaS.3!AI68</f>
        <v>5.333333333333333</v>
      </c>
      <c r="AI25" s="30">
        <f>BaaS.3!AJ68</f>
        <v>5.333333333333333</v>
      </c>
      <c r="AJ25" s="30">
        <f>BaaS.3!AK68</f>
        <v>5.333333333333333</v>
      </c>
      <c r="AK25" s="30">
        <f>BaaS.3!AL68</f>
        <v>5.333333333333333</v>
      </c>
      <c r="AL25" s="30">
        <f>BaaS.3!AM68</f>
        <v>5.333333333333333</v>
      </c>
      <c r="AN25" s="30">
        <f t="shared" ref="AN25" si="22">SUM(C25:N25)</f>
        <v>30.666666666666664</v>
      </c>
      <c r="AO25" s="30">
        <f t="shared" ref="AO25" si="23">SUM(O25:Z25)</f>
        <v>64</v>
      </c>
      <c r="AP25" s="30">
        <f t="shared" ref="AP25" si="24">SUM(AA25:AL25)</f>
        <v>64</v>
      </c>
    </row>
    <row r="26" spans="2:42" ht="13.8">
      <c r="B26" s="120" t="s">
        <v>305</v>
      </c>
      <c r="C26" s="30">
        <f>BaaS.3!D85</f>
        <v>0.25</v>
      </c>
      <c r="D26" s="30">
        <f>BaaS.3!E85</f>
        <v>0.75</v>
      </c>
      <c r="E26" s="30">
        <f>BaaS.3!F85</f>
        <v>1</v>
      </c>
      <c r="F26" s="30">
        <f>BaaS.3!G85</f>
        <v>1</v>
      </c>
      <c r="G26" s="30">
        <f>BaaS.3!H85</f>
        <v>1</v>
      </c>
      <c r="H26" s="30">
        <f>BaaS.3!I85</f>
        <v>1.25</v>
      </c>
      <c r="I26" s="30">
        <f>BaaS.3!J85</f>
        <v>1.5</v>
      </c>
      <c r="J26" s="30">
        <f>BaaS.3!K85</f>
        <v>1.5</v>
      </c>
      <c r="K26" s="30">
        <f>BaaS.3!L85</f>
        <v>1.5</v>
      </c>
      <c r="L26" s="30">
        <f>BaaS.3!M85</f>
        <v>1.5</v>
      </c>
      <c r="M26" s="30">
        <f>BaaS.3!N85</f>
        <v>1.75</v>
      </c>
      <c r="N26" s="30">
        <f>BaaS.3!O85</f>
        <v>2</v>
      </c>
      <c r="O26" s="30">
        <f>BaaS.3!P85</f>
        <v>2</v>
      </c>
      <c r="P26" s="30">
        <f>BaaS.3!Q85</f>
        <v>2</v>
      </c>
      <c r="Q26" s="30">
        <f>BaaS.3!R85</f>
        <v>2</v>
      </c>
      <c r="R26" s="30">
        <f>BaaS.3!S85</f>
        <v>2</v>
      </c>
      <c r="S26" s="30">
        <f>BaaS.3!T85</f>
        <v>2</v>
      </c>
      <c r="T26" s="30">
        <f>BaaS.3!U85</f>
        <v>2</v>
      </c>
      <c r="U26" s="30">
        <f>BaaS.3!V85</f>
        <v>2</v>
      </c>
      <c r="V26" s="30">
        <f>BaaS.3!W85</f>
        <v>2</v>
      </c>
      <c r="W26" s="30">
        <f>BaaS.3!X85</f>
        <v>2</v>
      </c>
      <c r="X26" s="30">
        <f>BaaS.3!Y85</f>
        <v>2</v>
      </c>
      <c r="Y26" s="30">
        <f>BaaS.3!Z85</f>
        <v>2</v>
      </c>
      <c r="Z26" s="30">
        <f>BaaS.3!AA85</f>
        <v>2</v>
      </c>
      <c r="AA26" s="30">
        <f>BaaS.3!AB85</f>
        <v>2</v>
      </c>
      <c r="AB26" s="30">
        <f>BaaS.3!AC85</f>
        <v>2</v>
      </c>
      <c r="AC26" s="30">
        <f>BaaS.3!AD85</f>
        <v>2</v>
      </c>
      <c r="AD26" s="30">
        <f>BaaS.3!AE85</f>
        <v>2</v>
      </c>
      <c r="AE26" s="30">
        <f>BaaS.3!AF85</f>
        <v>2</v>
      </c>
      <c r="AF26" s="30">
        <f>BaaS.3!AG85</f>
        <v>2</v>
      </c>
      <c r="AG26" s="30">
        <f>BaaS.3!AH85</f>
        <v>2</v>
      </c>
      <c r="AH26" s="30">
        <f>BaaS.3!AI85</f>
        <v>2</v>
      </c>
      <c r="AI26" s="30">
        <f>BaaS.3!AJ85</f>
        <v>2</v>
      </c>
      <c r="AJ26" s="30">
        <f>BaaS.3!AK85</f>
        <v>2</v>
      </c>
      <c r="AK26" s="30">
        <f>BaaS.3!AL85</f>
        <v>2</v>
      </c>
      <c r="AL26" s="30">
        <f>BaaS.3!AM85</f>
        <v>2</v>
      </c>
      <c r="AN26" s="30">
        <f t="shared" ref="AN26" si="25">SUM(C26:N26)</f>
        <v>15</v>
      </c>
      <c r="AO26" s="30">
        <f t="shared" ref="AO26" si="26">SUM(O26:Z26)</f>
        <v>24</v>
      </c>
      <c r="AP26" s="30">
        <f t="shared" ref="AP26" si="27">SUM(AA26:AL26)</f>
        <v>24</v>
      </c>
    </row>
    <row r="27" spans="2:42">
      <c r="B27" s="125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N27" s="39"/>
      <c r="AO27" s="39"/>
      <c r="AP27" s="39"/>
    </row>
    <row r="28" spans="2:42" ht="24">
      <c r="B28" s="127" t="s">
        <v>44</v>
      </c>
      <c r="C28" s="30">
        <f>C7+C16</f>
        <v>1576.9975490196077</v>
      </c>
      <c r="D28" s="30">
        <f t="shared" ref="D28:AL28" si="28">D7+D16</f>
        <v>3291.3220925245105</v>
      </c>
      <c r="E28" s="30">
        <f t="shared" si="28"/>
        <v>3574.9378435419212</v>
      </c>
      <c r="F28" s="30">
        <f t="shared" si="28"/>
        <v>4129.9613144776013</v>
      </c>
      <c r="G28" s="30">
        <f t="shared" si="28"/>
        <v>4669.1800888309308</v>
      </c>
      <c r="H28" s="30">
        <f t="shared" si="28"/>
        <v>4953.9262227695863</v>
      </c>
      <c r="I28" s="30">
        <f t="shared" si="28"/>
        <v>5498.1732891652455</v>
      </c>
      <c r="J28" s="30">
        <f t="shared" si="28"/>
        <v>6028.9419642707671</v>
      </c>
      <c r="K28" s="30">
        <f t="shared" si="28"/>
        <v>6327.7067876241199</v>
      </c>
      <c r="L28" s="30">
        <f t="shared" si="28"/>
        <v>6910.0855675928533</v>
      </c>
      <c r="M28" s="30">
        <f t="shared" si="28"/>
        <v>7522.2585550042477</v>
      </c>
      <c r="N28" s="30">
        <f t="shared" si="28"/>
        <v>8182.7358395006158</v>
      </c>
      <c r="O28" s="30">
        <f t="shared" si="28"/>
        <v>8808.9640793983017</v>
      </c>
      <c r="P28" s="30">
        <f t="shared" si="28"/>
        <v>9114.1666974031996</v>
      </c>
      <c r="Q28" s="30">
        <f t="shared" si="28"/>
        <v>9383.2552221203696</v>
      </c>
      <c r="R28" s="30">
        <f t="shared" si="28"/>
        <v>9649.0332497998807</v>
      </c>
      <c r="S28" s="30">
        <f t="shared" si="28"/>
        <v>9897.4661736438466</v>
      </c>
      <c r="T28" s="30">
        <f t="shared" si="28"/>
        <v>10129.763586157302</v>
      </c>
      <c r="U28" s="30">
        <f t="shared" si="28"/>
        <v>10347.101783285361</v>
      </c>
      <c r="V28" s="30">
        <f t="shared" si="28"/>
        <v>10550.604896354587</v>
      </c>
      <c r="W28" s="30">
        <f t="shared" si="28"/>
        <v>10741.334744311953</v>
      </c>
      <c r="X28" s="30">
        <f t="shared" si="28"/>
        <v>10920.286302038352</v>
      </c>
      <c r="Y28" s="30">
        <f t="shared" si="28"/>
        <v>11088.386731313971</v>
      </c>
      <c r="Z28" s="30">
        <f t="shared" si="28"/>
        <v>11246.496620238669</v>
      </c>
      <c r="AA28" s="30">
        <f t="shared" si="28"/>
        <v>11395.412541859445</v>
      </c>
      <c r="AB28" s="30">
        <f t="shared" si="28"/>
        <v>11535.870351620495</v>
      </c>
      <c r="AC28" s="30">
        <f t="shared" si="28"/>
        <v>11668.548848146336</v>
      </c>
      <c r="AD28" s="30">
        <f t="shared" si="28"/>
        <v>11794.073557535317</v>
      </c>
      <c r="AE28" s="30">
        <f t="shared" si="28"/>
        <v>11913.02049092971</v>
      </c>
      <c r="AF28" s="30">
        <f t="shared" si="28"/>
        <v>12025.919784070054</v>
      </c>
      <c r="AG28" s="30">
        <f t="shared" si="28"/>
        <v>12133.25916611402</v>
      </c>
      <c r="AH28" s="30">
        <f t="shared" si="28"/>
        <v>12235.487230053081</v>
      </c>
      <c r="AI28" s="30">
        <f t="shared" si="28"/>
        <v>12333.016493153576</v>
      </c>
      <c r="AJ28" s="30">
        <f t="shared" si="28"/>
        <v>12426.226246018756</v>
      </c>
      <c r="AK28" s="30">
        <f t="shared" si="28"/>
        <v>12515.46519513505</v>
      </c>
      <c r="AL28" s="30">
        <f t="shared" si="28"/>
        <v>12601.053907472022</v>
      </c>
      <c r="AN28" s="30">
        <f t="shared" si="3"/>
        <v>62666.227114322013</v>
      </c>
      <c r="AO28" s="30">
        <f t="shared" si="4"/>
        <v>121876.8600860658</v>
      </c>
      <c r="AP28" s="30">
        <f t="shared" si="5"/>
        <v>144577.35381210785</v>
      </c>
    </row>
    <row r="29" spans="2:42" ht="22.8">
      <c r="B29" s="125" t="s">
        <v>45</v>
      </c>
      <c r="C29" s="30">
        <f>SUM(C30:C34)</f>
        <v>-648</v>
      </c>
      <c r="D29" s="30">
        <f t="shared" ref="D29:AL29" si="29">SUM(D30:D34)</f>
        <v>-588.70000000000005</v>
      </c>
      <c r="E29" s="30">
        <f t="shared" si="29"/>
        <v>-557.35833333333335</v>
      </c>
      <c r="F29" s="30">
        <f t="shared" si="29"/>
        <v>-535.47847222222219</v>
      </c>
      <c r="G29" s="30">
        <f t="shared" si="29"/>
        <v>-520.04971064814799</v>
      </c>
      <c r="H29" s="30">
        <f t="shared" si="29"/>
        <v>-509.05297550154387</v>
      </c>
      <c r="I29" s="30">
        <f t="shared" si="29"/>
        <v>-457.93127692579731</v>
      </c>
      <c r="J29" s="30">
        <f t="shared" si="29"/>
        <v>-502.20325899268062</v>
      </c>
      <c r="K29" s="30">
        <f t="shared" si="29"/>
        <v>-538.86382417264565</v>
      </c>
      <c r="L29" s="30">
        <f t="shared" si="29"/>
        <v>-571.19906333338463</v>
      </c>
      <c r="M29" s="30">
        <f t="shared" si="29"/>
        <v>-600.11506883901927</v>
      </c>
      <c r="N29" s="30">
        <f t="shared" si="29"/>
        <v>-626.26054251360119</v>
      </c>
      <c r="O29" s="30">
        <f t="shared" si="29"/>
        <v>-563.70887246713482</v>
      </c>
      <c r="P29" s="30">
        <f t="shared" si="29"/>
        <v>-512.87982764798471</v>
      </c>
      <c r="Q29" s="30">
        <f t="shared" si="29"/>
        <v>-469.40430504606115</v>
      </c>
      <c r="R29" s="30">
        <f t="shared" si="29"/>
        <v>-431.63025498249306</v>
      </c>
      <c r="S29" s="30">
        <f t="shared" si="29"/>
        <v>-398.38971730524509</v>
      </c>
      <c r="T29" s="30">
        <f t="shared" si="29"/>
        <v>-368.84300768844605</v>
      </c>
      <c r="U29" s="30">
        <f t="shared" si="29"/>
        <v>-342.37437937572486</v>
      </c>
      <c r="V29" s="30">
        <f t="shared" si="29"/>
        <v>-318.52204042417964</v>
      </c>
      <c r="W29" s="30">
        <f t="shared" si="29"/>
        <v>-296.93110994200867</v>
      </c>
      <c r="X29" s="30">
        <f t="shared" si="29"/>
        <v>-277.32189937118073</v>
      </c>
      <c r="Y29" s="30">
        <f t="shared" si="29"/>
        <v>-259.46844015092029</v>
      </c>
      <c r="Z29" s="30">
        <f t="shared" si="29"/>
        <v>-243.18386951212472</v>
      </c>
      <c r="AA29" s="30">
        <f t="shared" si="29"/>
        <v>-228.31041330196956</v>
      </c>
      <c r="AB29" s="30">
        <f t="shared" si="29"/>
        <v>-214.71245635959633</v>
      </c>
      <c r="AC29" s="30">
        <f t="shared" si="29"/>
        <v>-202.27169221815791</v>
      </c>
      <c r="AD29" s="30">
        <f t="shared" si="29"/>
        <v>-190.88367823677231</v>
      </c>
      <c r="AE29" s="30">
        <f t="shared" si="29"/>
        <v>-180.45534529712916</v>
      </c>
      <c r="AF29" s="30">
        <f t="shared" si="29"/>
        <v>-170.9031600202037</v>
      </c>
      <c r="AG29" s="30">
        <f t="shared" si="29"/>
        <v>-162.15173679485542</v>
      </c>
      <c r="AH29" s="30">
        <f t="shared" si="29"/>
        <v>-154.13276324617254</v>
      </c>
      <c r="AI29" s="30">
        <f t="shared" si="29"/>
        <v>-146.78414709847425</v>
      </c>
      <c r="AJ29" s="30">
        <f t="shared" si="29"/>
        <v>-140.0493220332562</v>
      </c>
      <c r="AK29" s="30">
        <f t="shared" si="29"/>
        <v>-133.87666999247563</v>
      </c>
      <c r="AL29" s="30">
        <f t="shared" si="29"/>
        <v>-128.21903068998665</v>
      </c>
      <c r="AN29" s="30">
        <f t="shared" si="3"/>
        <v>-6655.2125264823753</v>
      </c>
      <c r="AO29" s="30">
        <f t="shared" si="4"/>
        <v>-4482.657723913504</v>
      </c>
      <c r="AP29" s="30">
        <f t="shared" si="5"/>
        <v>-2052.7504152890497</v>
      </c>
    </row>
    <row r="30" spans="2:42" ht="13.8">
      <c r="B30" s="120" t="s">
        <v>96</v>
      </c>
      <c r="C30" s="30">
        <f>BaaS.1!D31</f>
        <v>-450</v>
      </c>
      <c r="D30" s="30">
        <f>BaaS.1!E31</f>
        <v>-442.5</v>
      </c>
      <c r="E30" s="30">
        <f>BaaS.1!F31</f>
        <v>-435.625</v>
      </c>
      <c r="F30" s="30">
        <f>BaaS.1!G31</f>
        <v>-429.32291666666652</v>
      </c>
      <c r="G30" s="30">
        <f>BaaS.1!H31</f>
        <v>-423.54600694444434</v>
      </c>
      <c r="H30" s="30">
        <f>BaaS.1!I31</f>
        <v>-418.25050636574133</v>
      </c>
      <c r="I30" s="30">
        <f>BaaS.1!J31</f>
        <v>-383.39629750192898</v>
      </c>
      <c r="J30" s="30">
        <f>BaaS.1!K31</f>
        <v>-411.44660604343517</v>
      </c>
      <c r="K30" s="30">
        <f>BaaS.1!L31</f>
        <v>-437.1593888731486</v>
      </c>
      <c r="L30" s="30">
        <f>BaaS.1!M31</f>
        <v>-460.72943980038644</v>
      </c>
      <c r="M30" s="30">
        <f>BaaS.1!N31</f>
        <v>-482.33531981702072</v>
      </c>
      <c r="N30" s="30">
        <f>BaaS.1!O31</f>
        <v>-502.14070983226884</v>
      </c>
      <c r="O30" s="30">
        <f>BaaS.1!P31</f>
        <v>-460.29565067957992</v>
      </c>
      <c r="P30" s="30">
        <f>BaaS.1!Q31</f>
        <v>-421.93767978961478</v>
      </c>
      <c r="Q30" s="30">
        <f>BaaS.1!R31</f>
        <v>-386.77620647381445</v>
      </c>
      <c r="R30" s="30">
        <f>BaaS.1!S31</f>
        <v>-354.54485593432855</v>
      </c>
      <c r="S30" s="30">
        <f>BaaS.1!T31</f>
        <v>-324.99945127313549</v>
      </c>
      <c r="T30" s="30">
        <f>BaaS.1!U31</f>
        <v>-297.91616366703965</v>
      </c>
      <c r="U30" s="30">
        <f>BaaS.1!V31</f>
        <v>-273.08981669478726</v>
      </c>
      <c r="V30" s="30">
        <f>BaaS.1!W31</f>
        <v>-250.33233197022128</v>
      </c>
      <c r="W30" s="30">
        <f>BaaS.1!X31</f>
        <v>-229.47130430603647</v>
      </c>
      <c r="X30" s="30">
        <f>BaaS.1!Y31</f>
        <v>-210.34869561386586</v>
      </c>
      <c r="Y30" s="30">
        <f>BaaS.1!Z31</f>
        <v>-192.8196376460437</v>
      </c>
      <c r="Z30" s="30">
        <f>BaaS.1!AA31</f>
        <v>-176.7513345088737</v>
      </c>
      <c r="AA30" s="30">
        <f>BaaS.1!AB31</f>
        <v>-162.02205663313543</v>
      </c>
      <c r="AB30" s="30">
        <f>BaaS.1!AC31</f>
        <v>-148.52021858037369</v>
      </c>
      <c r="AC30" s="30">
        <f>BaaS.1!AD31</f>
        <v>-136.14353369867604</v>
      </c>
      <c r="AD30" s="30">
        <f>BaaS.1!AE31</f>
        <v>-124.79823922378455</v>
      </c>
      <c r="AE30" s="30">
        <f>BaaS.1!AF31</f>
        <v>-114.3983859551372</v>
      </c>
      <c r="AF30" s="30">
        <f>BaaS.1!AG31</f>
        <v>-104.86518712554243</v>
      </c>
      <c r="AG30" s="30">
        <f>BaaS.1!AH31</f>
        <v>-96.126421531747837</v>
      </c>
      <c r="AH30" s="30">
        <f>BaaS.1!AI31</f>
        <v>-88.11588640410082</v>
      </c>
      <c r="AI30" s="30">
        <f>BaaS.1!AJ31</f>
        <v>-80.77289587042651</v>
      </c>
      <c r="AJ30" s="30">
        <f>BaaS.1!AK31</f>
        <v>-74.041821214557785</v>
      </c>
      <c r="AK30" s="30">
        <f>BaaS.1!AL31</f>
        <v>-67.871669446676606</v>
      </c>
      <c r="AL30" s="30">
        <f>BaaS.1!AM31</f>
        <v>-62.215696992787343</v>
      </c>
      <c r="AN30" s="30">
        <f t="shared" si="3"/>
        <v>-5276.4521918450409</v>
      </c>
      <c r="AO30" s="30">
        <f t="shared" si="4"/>
        <v>-3579.2831285573411</v>
      </c>
      <c r="AP30" s="30">
        <f t="shared" si="5"/>
        <v>-1259.8920126769463</v>
      </c>
    </row>
    <row r="31" spans="2:42" ht="13.8">
      <c r="B31" s="120" t="s">
        <v>102</v>
      </c>
      <c r="C31" s="30">
        <f>BaaS.1!D53</f>
        <v>-75</v>
      </c>
      <c r="D31" s="30">
        <f>BaaS.1!E53</f>
        <v>-55</v>
      </c>
      <c r="E31" s="30">
        <f>BaaS.1!F53</f>
        <v>-41.666666666666686</v>
      </c>
      <c r="F31" s="30">
        <f>BaaS.1!G53</f>
        <v>-32.7777777777778</v>
      </c>
      <c r="G31" s="30">
        <f>BaaS.1!H53</f>
        <v>-26.851851851851819</v>
      </c>
      <c r="H31" s="30">
        <f>BaaS.1!I53</f>
        <v>-22.90123456790127</v>
      </c>
      <c r="I31" s="30">
        <f>BaaS.1!J53</f>
        <v>-15.267489711934161</v>
      </c>
      <c r="J31" s="30">
        <f>BaaS.1!K53</f>
        <v>-20.178326474622736</v>
      </c>
      <c r="K31" s="30">
        <f>BaaS.1!L53</f>
        <v>-23.452217649748548</v>
      </c>
      <c r="L31" s="30">
        <f>BaaS.1!M53</f>
        <v>-25.63481176649907</v>
      </c>
      <c r="M31" s="30">
        <f>BaaS.1!N53</f>
        <v>-27.089874510999266</v>
      </c>
      <c r="N31" s="30">
        <f>BaaS.1!O53</f>
        <v>-28.059916340666234</v>
      </c>
      <c r="O31" s="30">
        <f>BaaS.1!P53</f>
        <v>-18.706610893777452</v>
      </c>
      <c r="P31" s="30">
        <f>BaaS.1!Q53</f>
        <v>-12.471073929184968</v>
      </c>
      <c r="Q31" s="30">
        <f>BaaS.1!R53</f>
        <v>-8.3140492861233497</v>
      </c>
      <c r="R31" s="30">
        <f>BaaS.1!S53</f>
        <v>-5.5426995240822521</v>
      </c>
      <c r="S31" s="30">
        <f>BaaS.1!T53</f>
        <v>-3.6951330160547968</v>
      </c>
      <c r="T31" s="30">
        <f>BaaS.1!U53</f>
        <v>-2.4634220107031979</v>
      </c>
      <c r="U31" s="30">
        <f>BaaS.1!V53</f>
        <v>-1.6422813404687986</v>
      </c>
      <c r="V31" s="30">
        <f>BaaS.1!W53</f>
        <v>-1.0948542269791801</v>
      </c>
      <c r="W31" s="30">
        <f>BaaS.1!X53</f>
        <v>-0.72990281798610113</v>
      </c>
      <c r="X31" s="30">
        <f>BaaS.1!Y53</f>
        <v>-0.48660187865743865</v>
      </c>
      <c r="Y31" s="30">
        <f>BaaS.1!Z53</f>
        <v>-0.32440125243829243</v>
      </c>
      <c r="Z31" s="30">
        <f>BaaS.1!AA53</f>
        <v>-0.21626750162550934</v>
      </c>
      <c r="AA31" s="30">
        <f>BaaS.1!AB53</f>
        <v>-0.14417833441706307</v>
      </c>
      <c r="AB31" s="30">
        <f>BaaS.1!AC53</f>
        <v>-9.6118889611318536E-2</v>
      </c>
      <c r="AC31" s="30">
        <f>BaaS.1!AD53</f>
        <v>-6.4079259740935868E-2</v>
      </c>
      <c r="AD31" s="30">
        <f>BaaS.1!AE53</f>
        <v>-4.2719506493881454E-2</v>
      </c>
      <c r="AE31" s="30">
        <f>BaaS.1!AF53</f>
        <v>-2.8479670995977813E-2</v>
      </c>
      <c r="AF31" s="30">
        <f>BaaS.1!AG53</f>
        <v>-1.8986447330632927E-2</v>
      </c>
      <c r="AG31" s="30">
        <f>BaaS.1!AH53</f>
        <v>-1.2657631553793181E-2</v>
      </c>
      <c r="AH31" s="30">
        <f>BaaS.1!AI53</f>
        <v>-8.4384210358621203E-3</v>
      </c>
      <c r="AI31" s="30">
        <f>BaaS.1!AJ53</f>
        <v>-5.6256140238701846E-3</v>
      </c>
      <c r="AJ31" s="30">
        <f>BaaS.1!AK53</f>
        <v>-3.7504093492088941E-3</v>
      </c>
      <c r="AK31" s="30">
        <f>BaaS.1!AL53</f>
        <v>-2.5002728995104917E-3</v>
      </c>
      <c r="AL31" s="30">
        <f>BaaS.1!AM53</f>
        <v>-1.6668485996547133E-3</v>
      </c>
      <c r="AN31" s="30">
        <f t="shared" si="3"/>
        <v>-393.88016731866759</v>
      </c>
      <c r="AO31" s="30">
        <f t="shared" si="4"/>
        <v>-55.687297678081336</v>
      </c>
      <c r="AP31" s="30">
        <f t="shared" si="5"/>
        <v>-0.42920130605170925</v>
      </c>
    </row>
    <row r="32" spans="2:42" ht="13.8">
      <c r="B32" s="120" t="s">
        <v>103</v>
      </c>
      <c r="C32" s="30">
        <f>BaaS.1!D75</f>
        <v>-75</v>
      </c>
      <c r="D32" s="30">
        <f>BaaS.1!E75</f>
        <v>-55</v>
      </c>
      <c r="E32" s="30">
        <f>BaaS.1!F75</f>
        <v>-41.666666666666686</v>
      </c>
      <c r="F32" s="30">
        <f>BaaS.1!G75</f>
        <v>-32.7777777777778</v>
      </c>
      <c r="G32" s="30">
        <f>BaaS.1!H75</f>
        <v>-26.851851851851819</v>
      </c>
      <c r="H32" s="30">
        <f>BaaS.1!I75</f>
        <v>-22.90123456790127</v>
      </c>
      <c r="I32" s="30">
        <f>BaaS.1!J75</f>
        <v>-15.267489711934161</v>
      </c>
      <c r="J32" s="30">
        <f>BaaS.1!K75</f>
        <v>-20.178326474622736</v>
      </c>
      <c r="K32" s="30">
        <f>BaaS.1!L75</f>
        <v>-23.452217649748548</v>
      </c>
      <c r="L32" s="30">
        <f>BaaS.1!M75</f>
        <v>-25.63481176649907</v>
      </c>
      <c r="M32" s="30">
        <f>BaaS.1!N75</f>
        <v>-27.089874510999266</v>
      </c>
      <c r="N32" s="30">
        <f>BaaS.1!O75</f>
        <v>-28.059916340666234</v>
      </c>
      <c r="O32" s="30">
        <f>BaaS.1!P75</f>
        <v>-18.706610893777452</v>
      </c>
      <c r="P32" s="30">
        <f>BaaS.1!Q75</f>
        <v>-12.471073929184968</v>
      </c>
      <c r="Q32" s="30">
        <f>BaaS.1!R75</f>
        <v>-8.3140492861233497</v>
      </c>
      <c r="R32" s="30">
        <f>BaaS.1!S75</f>
        <v>-5.5426995240822521</v>
      </c>
      <c r="S32" s="30">
        <f>BaaS.1!T75</f>
        <v>-3.6951330160547968</v>
      </c>
      <c r="T32" s="30">
        <f>BaaS.1!U75</f>
        <v>-2.4634220107031979</v>
      </c>
      <c r="U32" s="30">
        <f>BaaS.1!V75</f>
        <v>-1.6422813404687986</v>
      </c>
      <c r="V32" s="30">
        <f>BaaS.1!W75</f>
        <v>-1.0948542269791801</v>
      </c>
      <c r="W32" s="30">
        <f>BaaS.1!X75</f>
        <v>-0.72990281798610113</v>
      </c>
      <c r="X32" s="30">
        <f>BaaS.1!Y75</f>
        <v>-0.48660187865743865</v>
      </c>
      <c r="Y32" s="30">
        <f>BaaS.1!Z75</f>
        <v>-0.32440125243829243</v>
      </c>
      <c r="Z32" s="30">
        <f>BaaS.1!AA75</f>
        <v>-0.21626750162550934</v>
      </c>
      <c r="AA32" s="30">
        <f>BaaS.1!AB75</f>
        <v>-0.14417833441706307</v>
      </c>
      <c r="AB32" s="30">
        <f>BaaS.1!AC75</f>
        <v>-9.6118889611318536E-2</v>
      </c>
      <c r="AC32" s="30">
        <f>BaaS.1!AD75</f>
        <v>-6.4079259740935868E-2</v>
      </c>
      <c r="AD32" s="30">
        <f>BaaS.1!AE75</f>
        <v>-4.2719506493881454E-2</v>
      </c>
      <c r="AE32" s="30">
        <f>BaaS.1!AF75</f>
        <v>-2.8479670995977813E-2</v>
      </c>
      <c r="AF32" s="30">
        <f>BaaS.1!AG75</f>
        <v>-1.8986447330632927E-2</v>
      </c>
      <c r="AG32" s="30">
        <f>BaaS.1!AH75</f>
        <v>-1.2657631553793181E-2</v>
      </c>
      <c r="AH32" s="30">
        <f>BaaS.1!AI75</f>
        <v>-8.4384210358621203E-3</v>
      </c>
      <c r="AI32" s="30">
        <f>BaaS.1!AJ75</f>
        <v>-5.6256140238701846E-3</v>
      </c>
      <c r="AJ32" s="30">
        <f>BaaS.1!AK75</f>
        <v>-3.7504093492088941E-3</v>
      </c>
      <c r="AK32" s="30">
        <f>BaaS.1!AL75</f>
        <v>-2.5002728995104917E-3</v>
      </c>
      <c r="AL32" s="30">
        <f>BaaS.1!AM75</f>
        <v>-1.6668485996547133E-3</v>
      </c>
      <c r="AN32" s="30">
        <f t="shared" si="3"/>
        <v>-393.88016731866759</v>
      </c>
      <c r="AO32" s="30">
        <f t="shared" si="4"/>
        <v>-55.687297678081336</v>
      </c>
      <c r="AP32" s="30">
        <f t="shared" si="5"/>
        <v>-0.42920130605170925</v>
      </c>
    </row>
    <row r="33" spans="1:66" ht="13.8">
      <c r="B33" s="120" t="s">
        <v>108</v>
      </c>
      <c r="C33" s="30">
        <f>BaaS.1!D101</f>
        <v>-33</v>
      </c>
      <c r="D33" s="30">
        <f>BaaS.1!E101</f>
        <v>-35.200000000000003</v>
      </c>
      <c r="E33" s="30">
        <f>BaaS.1!F101</f>
        <v>-37.400000000000006</v>
      </c>
      <c r="F33" s="30">
        <f>BaaS.1!G101</f>
        <v>-39.6</v>
      </c>
      <c r="G33" s="30">
        <f>BaaS.1!H101</f>
        <v>-41.8</v>
      </c>
      <c r="H33" s="30">
        <f>BaaS.1!I101</f>
        <v>-44</v>
      </c>
      <c r="I33" s="30">
        <f>BaaS.1!J101</f>
        <v>-44</v>
      </c>
      <c r="J33" s="30">
        <f>BaaS.1!K101</f>
        <v>-48.400000000000006</v>
      </c>
      <c r="K33" s="30">
        <f>BaaS.1!L101</f>
        <v>-52.8</v>
      </c>
      <c r="L33" s="30">
        <f>BaaS.1!M101</f>
        <v>-57.2</v>
      </c>
      <c r="M33" s="30">
        <f>BaaS.1!N101</f>
        <v>-61.599999999999994</v>
      </c>
      <c r="N33" s="30">
        <f>BaaS.1!O101</f>
        <v>-66</v>
      </c>
      <c r="O33" s="30">
        <f>BaaS.1!P101</f>
        <v>-66</v>
      </c>
      <c r="P33" s="30">
        <f>BaaS.1!Q101</f>
        <v>-66</v>
      </c>
      <c r="Q33" s="30">
        <f>BaaS.1!R101</f>
        <v>-66</v>
      </c>
      <c r="R33" s="30">
        <f>BaaS.1!S101</f>
        <v>-66</v>
      </c>
      <c r="S33" s="30">
        <f>BaaS.1!T101</f>
        <v>-66</v>
      </c>
      <c r="T33" s="30">
        <f>BaaS.1!U101</f>
        <v>-66</v>
      </c>
      <c r="U33" s="30">
        <f>BaaS.1!V101</f>
        <v>-66</v>
      </c>
      <c r="V33" s="30">
        <f>BaaS.1!W101</f>
        <v>-66</v>
      </c>
      <c r="W33" s="30">
        <f>BaaS.1!X101</f>
        <v>-66</v>
      </c>
      <c r="X33" s="30">
        <f>BaaS.1!Y101</f>
        <v>-66</v>
      </c>
      <c r="Y33" s="30">
        <f>BaaS.1!Z101</f>
        <v>-66</v>
      </c>
      <c r="Z33" s="30">
        <f>BaaS.1!AA101</f>
        <v>-66</v>
      </c>
      <c r="AA33" s="30">
        <f>BaaS.1!AB101</f>
        <v>-66</v>
      </c>
      <c r="AB33" s="30">
        <f>BaaS.1!AC101</f>
        <v>-66</v>
      </c>
      <c r="AC33" s="30">
        <f>BaaS.1!AD101</f>
        <v>-66</v>
      </c>
      <c r="AD33" s="30">
        <f>BaaS.1!AE101</f>
        <v>-66</v>
      </c>
      <c r="AE33" s="30">
        <f>BaaS.1!AF101</f>
        <v>-66</v>
      </c>
      <c r="AF33" s="30">
        <f>BaaS.1!AG101</f>
        <v>-66</v>
      </c>
      <c r="AG33" s="30">
        <f>BaaS.1!AH101</f>
        <v>-66</v>
      </c>
      <c r="AH33" s="30">
        <f>BaaS.1!AI101</f>
        <v>-66</v>
      </c>
      <c r="AI33" s="30">
        <f>BaaS.1!AJ101</f>
        <v>-66</v>
      </c>
      <c r="AJ33" s="30">
        <f>BaaS.1!AK101</f>
        <v>-66</v>
      </c>
      <c r="AK33" s="30">
        <f>BaaS.1!AL101</f>
        <v>-66</v>
      </c>
      <c r="AL33" s="30">
        <f>BaaS.1!AM101</f>
        <v>-66</v>
      </c>
      <c r="AN33" s="30">
        <f t="shared" si="3"/>
        <v>-561</v>
      </c>
      <c r="AO33" s="30">
        <f t="shared" si="4"/>
        <v>-792</v>
      </c>
      <c r="AP33" s="30">
        <f t="shared" si="5"/>
        <v>-792</v>
      </c>
    </row>
    <row r="34" spans="1:66" ht="13.8">
      <c r="B34" s="120" t="s">
        <v>270</v>
      </c>
      <c r="C34" s="30">
        <f>BaaS.1!D115</f>
        <v>-15</v>
      </c>
      <c r="D34" s="30">
        <f>BaaS.1!E115</f>
        <v>-1</v>
      </c>
      <c r="E34" s="30">
        <f>BaaS.1!F115</f>
        <v>-1</v>
      </c>
      <c r="F34" s="30">
        <f>BaaS.1!G115</f>
        <v>-1</v>
      </c>
      <c r="G34" s="30">
        <f>BaaS.1!H115</f>
        <v>-1</v>
      </c>
      <c r="H34" s="30">
        <f>BaaS.1!I115</f>
        <v>-1</v>
      </c>
      <c r="I34" s="30">
        <f>BaaS.1!J115</f>
        <v>0</v>
      </c>
      <c r="J34" s="30">
        <f>BaaS.1!K115</f>
        <v>-2</v>
      </c>
      <c r="K34" s="30">
        <f>BaaS.1!L115</f>
        <v>-2</v>
      </c>
      <c r="L34" s="30">
        <f>BaaS.1!M115</f>
        <v>-2</v>
      </c>
      <c r="M34" s="30">
        <f>BaaS.1!N115</f>
        <v>-2</v>
      </c>
      <c r="N34" s="30">
        <f>BaaS.1!O115</f>
        <v>-2</v>
      </c>
      <c r="O34" s="30">
        <f>BaaS.1!P115</f>
        <v>0</v>
      </c>
      <c r="P34" s="30">
        <f>BaaS.1!Q115</f>
        <v>0</v>
      </c>
      <c r="Q34" s="30">
        <f>BaaS.1!R115</f>
        <v>0</v>
      </c>
      <c r="R34" s="30">
        <f>BaaS.1!S115</f>
        <v>0</v>
      </c>
      <c r="S34" s="30">
        <f>BaaS.1!T115</f>
        <v>0</v>
      </c>
      <c r="T34" s="30">
        <f>BaaS.1!U115</f>
        <v>0</v>
      </c>
      <c r="U34" s="30">
        <f>BaaS.1!V115</f>
        <v>0</v>
      </c>
      <c r="V34" s="30">
        <f>BaaS.1!W115</f>
        <v>0</v>
      </c>
      <c r="W34" s="30">
        <f>BaaS.1!X115</f>
        <v>0</v>
      </c>
      <c r="X34" s="30">
        <f>BaaS.1!Y115</f>
        <v>0</v>
      </c>
      <c r="Y34" s="30">
        <f>BaaS.1!Z115</f>
        <v>0</v>
      </c>
      <c r="Z34" s="30">
        <f>BaaS.1!AA115</f>
        <v>0</v>
      </c>
      <c r="AA34" s="30">
        <f>BaaS.1!AB115</f>
        <v>0</v>
      </c>
      <c r="AB34" s="30">
        <f>BaaS.1!AC115</f>
        <v>0</v>
      </c>
      <c r="AC34" s="30">
        <f>BaaS.1!AD115</f>
        <v>0</v>
      </c>
      <c r="AD34" s="30">
        <f>BaaS.1!AE115</f>
        <v>0</v>
      </c>
      <c r="AE34" s="30">
        <f>BaaS.1!AF115</f>
        <v>0</v>
      </c>
      <c r="AF34" s="30">
        <f>BaaS.1!AG115</f>
        <v>0</v>
      </c>
      <c r="AG34" s="30">
        <f>BaaS.1!AH115</f>
        <v>0</v>
      </c>
      <c r="AH34" s="30">
        <f>BaaS.1!AI115</f>
        <v>0</v>
      </c>
      <c r="AI34" s="30">
        <f>BaaS.1!AJ115</f>
        <v>0</v>
      </c>
      <c r="AJ34" s="30">
        <f>BaaS.1!AK115</f>
        <v>0</v>
      </c>
      <c r="AK34" s="30">
        <f>BaaS.1!AL115</f>
        <v>0</v>
      </c>
      <c r="AL34" s="30">
        <f>BaaS.1!AM115</f>
        <v>0</v>
      </c>
      <c r="AN34" s="30">
        <f t="shared" si="3"/>
        <v>-30</v>
      </c>
      <c r="AO34" s="30">
        <f t="shared" si="4"/>
        <v>0</v>
      </c>
      <c r="AP34" s="30">
        <f t="shared" si="5"/>
        <v>0</v>
      </c>
    </row>
    <row r="35" spans="1:66" s="18" customFormat="1" ht="12">
      <c r="A35" s="14"/>
      <c r="B35" s="127" t="s">
        <v>46</v>
      </c>
      <c r="C35" s="25">
        <f>C28+C29</f>
        <v>928.99754901960773</v>
      </c>
      <c r="D35" s="25">
        <f t="shared" ref="D35:AL35" si="30">D28+D29</f>
        <v>2702.6220925245107</v>
      </c>
      <c r="E35" s="25">
        <f t="shared" si="30"/>
        <v>3017.5795102085876</v>
      </c>
      <c r="F35" s="25">
        <f t="shared" si="30"/>
        <v>3594.4828422553792</v>
      </c>
      <c r="G35" s="25">
        <f t="shared" si="30"/>
        <v>4149.1303781827828</v>
      </c>
      <c r="H35" s="25">
        <f t="shared" si="30"/>
        <v>4444.8732472680422</v>
      </c>
      <c r="I35" s="25">
        <f t="shared" si="30"/>
        <v>5040.2420122394478</v>
      </c>
      <c r="J35" s="25">
        <f t="shared" si="30"/>
        <v>5526.7387052780869</v>
      </c>
      <c r="K35" s="25">
        <f t="shared" si="30"/>
        <v>5788.8429634514741</v>
      </c>
      <c r="L35" s="25">
        <f t="shared" si="30"/>
        <v>6338.8865042594689</v>
      </c>
      <c r="M35" s="25">
        <f t="shared" si="30"/>
        <v>6922.1434861652288</v>
      </c>
      <c r="N35" s="25">
        <f t="shared" si="30"/>
        <v>7556.4752969870151</v>
      </c>
      <c r="O35" s="25">
        <f t="shared" si="30"/>
        <v>8245.2552069311678</v>
      </c>
      <c r="P35" s="25">
        <f t="shared" si="30"/>
        <v>8601.2868697552149</v>
      </c>
      <c r="Q35" s="25">
        <f t="shared" si="30"/>
        <v>8913.8509170743091</v>
      </c>
      <c r="R35" s="25">
        <f t="shared" si="30"/>
        <v>9217.4029948173884</v>
      </c>
      <c r="S35" s="25">
        <f t="shared" si="30"/>
        <v>9499.0764563386019</v>
      </c>
      <c r="T35" s="25">
        <f t="shared" si="30"/>
        <v>9760.9205784688565</v>
      </c>
      <c r="U35" s="25">
        <f t="shared" si="30"/>
        <v>10004.727403909637</v>
      </c>
      <c r="V35" s="25">
        <f t="shared" si="30"/>
        <v>10232.082855930408</v>
      </c>
      <c r="W35" s="25">
        <f t="shared" si="30"/>
        <v>10444.403634369944</v>
      </c>
      <c r="X35" s="25">
        <f t="shared" si="30"/>
        <v>10642.96440266717</v>
      </c>
      <c r="Y35" s="25">
        <f t="shared" si="30"/>
        <v>10828.918291163051</v>
      </c>
      <c r="Z35" s="25">
        <f t="shared" si="30"/>
        <v>11003.312750726545</v>
      </c>
      <c r="AA35" s="25">
        <f t="shared" si="30"/>
        <v>11167.102128557475</v>
      </c>
      <c r="AB35" s="25">
        <f t="shared" si="30"/>
        <v>11321.157895260898</v>
      </c>
      <c r="AC35" s="25">
        <f t="shared" si="30"/>
        <v>11466.277155928179</v>
      </c>
      <c r="AD35" s="25">
        <f t="shared" si="30"/>
        <v>11603.189879298545</v>
      </c>
      <c r="AE35" s="25">
        <f t="shared" si="30"/>
        <v>11732.565145632581</v>
      </c>
      <c r="AF35" s="25">
        <f t="shared" si="30"/>
        <v>11855.016624049851</v>
      </c>
      <c r="AG35" s="25">
        <f t="shared" si="30"/>
        <v>11971.107429319163</v>
      </c>
      <c r="AH35" s="25">
        <f t="shared" si="30"/>
        <v>12081.354466806908</v>
      </c>
      <c r="AI35" s="25">
        <f t="shared" si="30"/>
        <v>12186.232346055102</v>
      </c>
      <c r="AJ35" s="25">
        <f t="shared" si="30"/>
        <v>12286.1769239855</v>
      </c>
      <c r="AK35" s="25">
        <f t="shared" si="30"/>
        <v>12381.588525142573</v>
      </c>
      <c r="AL35" s="25">
        <f t="shared" si="30"/>
        <v>12472.834876782035</v>
      </c>
      <c r="AM35" s="34"/>
      <c r="AN35" s="25">
        <f t="shared" si="3"/>
        <v>56011.014587839636</v>
      </c>
      <c r="AO35" s="25">
        <f t="shared" si="4"/>
        <v>117394.2023621523</v>
      </c>
      <c r="AP35" s="25">
        <f t="shared" si="5"/>
        <v>142524.6033968188</v>
      </c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 spans="1:66" ht="12">
      <c r="B36" s="128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N36" s="25">
        <f t="shared" si="3"/>
        <v>0</v>
      </c>
      <c r="AO36" s="25">
        <f t="shared" si="4"/>
        <v>0</v>
      </c>
      <c r="AP36" s="25">
        <f t="shared" si="5"/>
        <v>0</v>
      </c>
    </row>
    <row r="37" spans="1:66" s="23" customFormat="1">
      <c r="A37" s="14"/>
      <c r="B37" s="125" t="s">
        <v>47</v>
      </c>
      <c r="C37" s="30">
        <f>SUM(C38:C39)</f>
        <v>17</v>
      </c>
      <c r="D37" s="30">
        <f t="shared" ref="D37:AL37" si="31">SUM(D38:D39)</f>
        <v>17</v>
      </c>
      <c r="E37" s="30">
        <f t="shared" si="31"/>
        <v>17</v>
      </c>
      <c r="F37" s="30">
        <f t="shared" si="31"/>
        <v>34</v>
      </c>
      <c r="G37" s="30">
        <f t="shared" si="31"/>
        <v>34</v>
      </c>
      <c r="H37" s="30">
        <f t="shared" si="31"/>
        <v>34</v>
      </c>
      <c r="I37" s="30">
        <f t="shared" si="31"/>
        <v>51</v>
      </c>
      <c r="J37" s="30">
        <f t="shared" si="31"/>
        <v>51</v>
      </c>
      <c r="K37" s="30">
        <f t="shared" si="31"/>
        <v>68</v>
      </c>
      <c r="L37" s="30">
        <f t="shared" si="31"/>
        <v>85</v>
      </c>
      <c r="M37" s="30">
        <f t="shared" si="31"/>
        <v>85</v>
      </c>
      <c r="N37" s="30">
        <f t="shared" si="31"/>
        <v>102</v>
      </c>
      <c r="O37" s="30">
        <f t="shared" si="31"/>
        <v>102</v>
      </c>
      <c r="P37" s="30">
        <f t="shared" si="31"/>
        <v>102</v>
      </c>
      <c r="Q37" s="30">
        <f t="shared" si="31"/>
        <v>102</v>
      </c>
      <c r="R37" s="30">
        <f t="shared" si="31"/>
        <v>102</v>
      </c>
      <c r="S37" s="30">
        <f t="shared" si="31"/>
        <v>102</v>
      </c>
      <c r="T37" s="30">
        <f t="shared" si="31"/>
        <v>102</v>
      </c>
      <c r="U37" s="30">
        <f t="shared" si="31"/>
        <v>102</v>
      </c>
      <c r="V37" s="30">
        <f t="shared" si="31"/>
        <v>102</v>
      </c>
      <c r="W37" s="30">
        <f t="shared" si="31"/>
        <v>102</v>
      </c>
      <c r="X37" s="30">
        <f t="shared" si="31"/>
        <v>102</v>
      </c>
      <c r="Y37" s="30">
        <f t="shared" si="31"/>
        <v>102</v>
      </c>
      <c r="Z37" s="30">
        <f t="shared" si="31"/>
        <v>102</v>
      </c>
      <c r="AA37" s="30">
        <f t="shared" si="31"/>
        <v>102</v>
      </c>
      <c r="AB37" s="30">
        <f t="shared" si="31"/>
        <v>102</v>
      </c>
      <c r="AC37" s="30">
        <f t="shared" si="31"/>
        <v>102</v>
      </c>
      <c r="AD37" s="30">
        <f t="shared" si="31"/>
        <v>102</v>
      </c>
      <c r="AE37" s="30">
        <f t="shared" si="31"/>
        <v>102</v>
      </c>
      <c r="AF37" s="30">
        <f t="shared" si="31"/>
        <v>102</v>
      </c>
      <c r="AG37" s="30">
        <f t="shared" si="31"/>
        <v>102</v>
      </c>
      <c r="AH37" s="30">
        <f t="shared" si="31"/>
        <v>102</v>
      </c>
      <c r="AI37" s="30">
        <f t="shared" si="31"/>
        <v>102</v>
      </c>
      <c r="AJ37" s="30">
        <f t="shared" si="31"/>
        <v>102</v>
      </c>
      <c r="AK37" s="30">
        <f t="shared" si="31"/>
        <v>102</v>
      </c>
      <c r="AL37" s="30">
        <f t="shared" si="31"/>
        <v>102</v>
      </c>
      <c r="AM37" s="22"/>
      <c r="AN37" s="30">
        <f t="shared" si="3"/>
        <v>595</v>
      </c>
      <c r="AO37" s="30">
        <f t="shared" si="4"/>
        <v>1224</v>
      </c>
      <c r="AP37" s="30">
        <f t="shared" si="5"/>
        <v>1224</v>
      </c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</row>
    <row r="38" spans="1:66" ht="13.8">
      <c r="B38" s="120" t="s">
        <v>136</v>
      </c>
      <c r="C38" s="32">
        <f>BaaS.3!D100</f>
        <v>17</v>
      </c>
      <c r="D38" s="32">
        <f>BaaS.3!E100</f>
        <v>17</v>
      </c>
      <c r="E38" s="32">
        <f>BaaS.3!F100</f>
        <v>17</v>
      </c>
      <c r="F38" s="32">
        <f>BaaS.3!G100</f>
        <v>34</v>
      </c>
      <c r="G38" s="32">
        <f>BaaS.3!H100</f>
        <v>34</v>
      </c>
      <c r="H38" s="32">
        <f>BaaS.3!I100</f>
        <v>34</v>
      </c>
      <c r="I38" s="32">
        <f>BaaS.3!J100</f>
        <v>51</v>
      </c>
      <c r="J38" s="32">
        <f>BaaS.3!K100</f>
        <v>51</v>
      </c>
      <c r="K38" s="32">
        <f>BaaS.3!L100</f>
        <v>68</v>
      </c>
      <c r="L38" s="32">
        <f>BaaS.3!M100</f>
        <v>85</v>
      </c>
      <c r="M38" s="32">
        <f>BaaS.3!N100</f>
        <v>85</v>
      </c>
      <c r="N38" s="32">
        <f>BaaS.3!O100</f>
        <v>102</v>
      </c>
      <c r="O38" s="32">
        <f>BaaS.3!P100</f>
        <v>102</v>
      </c>
      <c r="P38" s="32">
        <f>BaaS.3!Q100</f>
        <v>102</v>
      </c>
      <c r="Q38" s="32">
        <f>BaaS.3!R100</f>
        <v>102</v>
      </c>
      <c r="R38" s="32">
        <f>BaaS.3!S100</f>
        <v>102</v>
      </c>
      <c r="S38" s="32">
        <f>BaaS.3!T100</f>
        <v>102</v>
      </c>
      <c r="T38" s="32">
        <f>BaaS.3!U100</f>
        <v>102</v>
      </c>
      <c r="U38" s="32">
        <f>BaaS.3!V100</f>
        <v>102</v>
      </c>
      <c r="V38" s="32">
        <f>BaaS.3!W100</f>
        <v>102</v>
      </c>
      <c r="W38" s="32">
        <f>BaaS.3!X100</f>
        <v>102</v>
      </c>
      <c r="X38" s="32">
        <f>BaaS.3!Y100</f>
        <v>102</v>
      </c>
      <c r="Y38" s="32">
        <f>BaaS.3!Z100</f>
        <v>102</v>
      </c>
      <c r="Z38" s="32">
        <f>BaaS.3!AA100</f>
        <v>102</v>
      </c>
      <c r="AA38" s="32">
        <f>BaaS.3!AB100</f>
        <v>102</v>
      </c>
      <c r="AB38" s="32">
        <f>BaaS.3!AC100</f>
        <v>102</v>
      </c>
      <c r="AC38" s="32">
        <f>BaaS.3!AD100</f>
        <v>102</v>
      </c>
      <c r="AD38" s="32">
        <f>BaaS.3!AE100</f>
        <v>102</v>
      </c>
      <c r="AE38" s="32">
        <f>BaaS.3!AF100</f>
        <v>102</v>
      </c>
      <c r="AF38" s="32">
        <f>BaaS.3!AG100</f>
        <v>102</v>
      </c>
      <c r="AG38" s="32">
        <f>BaaS.3!AH100</f>
        <v>102</v>
      </c>
      <c r="AH38" s="32">
        <f>BaaS.3!AI100</f>
        <v>102</v>
      </c>
      <c r="AI38" s="32">
        <f>BaaS.3!AJ100</f>
        <v>102</v>
      </c>
      <c r="AJ38" s="32">
        <f>BaaS.3!AK100</f>
        <v>102</v>
      </c>
      <c r="AK38" s="32">
        <f>BaaS.3!AL100</f>
        <v>102</v>
      </c>
      <c r="AL38" s="32">
        <f>BaaS.3!AM100</f>
        <v>102</v>
      </c>
      <c r="AN38" s="30">
        <f t="shared" ref="AN38" si="32">SUM(C38:N38)</f>
        <v>595</v>
      </c>
      <c r="AO38" s="30">
        <f t="shared" ref="AO38" si="33">SUM(O38:Z38)</f>
        <v>1224</v>
      </c>
      <c r="AP38" s="30">
        <f t="shared" ref="AP38" si="34">SUM(AA38:AL38)</f>
        <v>1224</v>
      </c>
    </row>
    <row r="39" spans="1:66" s="23" customFormat="1">
      <c r="A39" s="14"/>
      <c r="B39" s="125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22"/>
      <c r="AN39" s="30"/>
      <c r="AO39" s="30"/>
      <c r="AP39" s="30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</row>
    <row r="40" spans="1:66">
      <c r="B40" s="125" t="s">
        <v>40</v>
      </c>
      <c r="C40" s="32">
        <f>C41+C45+C57</f>
        <v>35850.029411764699</v>
      </c>
      <c r="D40" s="32">
        <f t="shared" ref="D40:AL40" si="35">D41+D45+D57</f>
        <v>36924.019607843133</v>
      </c>
      <c r="E40" s="32">
        <f t="shared" si="35"/>
        <v>39730.094771241827</v>
      </c>
      <c r="F40" s="32">
        <f t="shared" si="35"/>
        <v>41811.004357298472</v>
      </c>
      <c r="G40" s="32">
        <f t="shared" si="35"/>
        <v>43056.692447349313</v>
      </c>
      <c r="H40" s="32">
        <f t="shared" si="35"/>
        <v>45631.076010651173</v>
      </c>
      <c r="I40" s="32">
        <f t="shared" si="35"/>
        <v>47090.436294682484</v>
      </c>
      <c r="J40" s="32">
        <f t="shared" si="35"/>
        <v>49347.964065736029</v>
      </c>
      <c r="K40" s="32">
        <f t="shared" si="35"/>
        <v>52954.564279118138</v>
      </c>
      <c r="L40" s="32">
        <f t="shared" si="35"/>
        <v>56246.853310261766</v>
      </c>
      <c r="M40" s="32">
        <f t="shared" si="35"/>
        <v>61375.588481350977</v>
      </c>
      <c r="N40" s="32">
        <f t="shared" si="35"/>
        <v>67747.980556194772</v>
      </c>
      <c r="O40" s="32">
        <f t="shared" si="35"/>
        <v>67767.300762953382</v>
      </c>
      <c r="P40" s="32">
        <f t="shared" si="35"/>
        <v>67780.507698178058</v>
      </c>
      <c r="Q40" s="32">
        <f t="shared" si="35"/>
        <v>67789.639119046828</v>
      </c>
      <c r="R40" s="32">
        <f t="shared" si="35"/>
        <v>67796.053530344943</v>
      </c>
      <c r="S40" s="32">
        <f t="shared" si="35"/>
        <v>67800.65660192931</v>
      </c>
      <c r="T40" s="32">
        <f t="shared" si="35"/>
        <v>67804.0521137045</v>
      </c>
      <c r="U40" s="32">
        <f t="shared" si="35"/>
        <v>67806.642585606925</v>
      </c>
      <c r="V40" s="32">
        <f t="shared" si="35"/>
        <v>67808.696364260832</v>
      </c>
      <c r="W40" s="32">
        <f t="shared" si="35"/>
        <v>67810.392347415705</v>
      </c>
      <c r="X40" s="32">
        <f t="shared" si="35"/>
        <v>67811.84980023792</v>
      </c>
      <c r="Y40" s="32">
        <f t="shared" si="35"/>
        <v>67813.148232838357</v>
      </c>
      <c r="Z40" s="32">
        <f t="shared" si="35"/>
        <v>67814.340651957595</v>
      </c>
      <c r="AA40" s="32">
        <f t="shared" si="35"/>
        <v>67815.462395422714</v>
      </c>
      <c r="AB40" s="32">
        <f t="shared" si="35"/>
        <v>67816.537021785072</v>
      </c>
      <c r="AC40" s="32">
        <f t="shared" si="35"/>
        <v>67817.580236745605</v>
      </c>
      <c r="AD40" s="32">
        <f t="shared" si="35"/>
        <v>67818.602510771583</v>
      </c>
      <c r="AE40" s="32">
        <f t="shared" si="35"/>
        <v>67819.61082417451</v>
      </c>
      <c r="AF40" s="32">
        <f t="shared" si="35"/>
        <v>67820.609830495436</v>
      </c>
      <c r="AG40" s="32">
        <f t="shared" si="35"/>
        <v>67821.60263209499</v>
      </c>
      <c r="AH40" s="32">
        <f t="shared" si="35"/>
        <v>67822.591297213658</v>
      </c>
      <c r="AI40" s="32">
        <f t="shared" si="35"/>
        <v>67823.577204678382</v>
      </c>
      <c r="AJ40" s="32">
        <f t="shared" si="35"/>
        <v>67824.561273707164</v>
      </c>
      <c r="AK40" s="32">
        <f t="shared" si="35"/>
        <v>67825.54411711196</v>
      </c>
      <c r="AL40" s="32">
        <f t="shared" si="35"/>
        <v>67826.526143434123</v>
      </c>
      <c r="AN40" s="30">
        <f t="shared" si="3"/>
        <v>577766.30359349283</v>
      </c>
      <c r="AO40" s="30">
        <f t="shared" si="4"/>
        <v>813603.27980847436</v>
      </c>
      <c r="AP40" s="30">
        <f t="shared" si="5"/>
        <v>813852.80548763531</v>
      </c>
    </row>
    <row r="41" spans="1:66">
      <c r="B41" s="129" t="s">
        <v>267</v>
      </c>
      <c r="C41" s="32">
        <f t="shared" ref="C41:AL41" si="36">SUM(C42:C44)</f>
        <v>75.490196078431367</v>
      </c>
      <c r="D41" s="32">
        <f t="shared" si="36"/>
        <v>81.372549019607831</v>
      </c>
      <c r="E41" s="32">
        <f t="shared" si="36"/>
        <v>87.254901960784309</v>
      </c>
      <c r="F41" s="32">
        <f t="shared" si="36"/>
        <v>93.137254901960787</v>
      </c>
      <c r="G41" s="32">
        <f t="shared" si="36"/>
        <v>99.019607843137251</v>
      </c>
      <c r="H41" s="32">
        <f t="shared" si="36"/>
        <v>104.90196078431372</v>
      </c>
      <c r="I41" s="32">
        <f t="shared" si="36"/>
        <v>105.88235294117646</v>
      </c>
      <c r="J41" s="32">
        <f t="shared" si="36"/>
        <v>116.66666666666667</v>
      </c>
      <c r="K41" s="32">
        <f t="shared" si="36"/>
        <v>127.45098039215685</v>
      </c>
      <c r="L41" s="32">
        <f t="shared" si="36"/>
        <v>138.23529411764704</v>
      </c>
      <c r="M41" s="32">
        <f t="shared" si="36"/>
        <v>149.01960784313724</v>
      </c>
      <c r="N41" s="32">
        <f t="shared" si="36"/>
        <v>159.80392156862746</v>
      </c>
      <c r="O41" s="32">
        <f t="shared" si="36"/>
        <v>160.78431372549019</v>
      </c>
      <c r="P41" s="32">
        <f t="shared" si="36"/>
        <v>161.76470588235296</v>
      </c>
      <c r="Q41" s="32">
        <f t="shared" si="36"/>
        <v>162.74509803921569</v>
      </c>
      <c r="R41" s="32">
        <f t="shared" si="36"/>
        <v>163.72549019607843</v>
      </c>
      <c r="S41" s="32">
        <f t="shared" si="36"/>
        <v>164.70588235294119</v>
      </c>
      <c r="T41" s="32">
        <f t="shared" si="36"/>
        <v>165.68627450980392</v>
      </c>
      <c r="U41" s="32">
        <f t="shared" si="36"/>
        <v>166.66666666666666</v>
      </c>
      <c r="V41" s="32">
        <f t="shared" si="36"/>
        <v>167.64705882352942</v>
      </c>
      <c r="W41" s="32">
        <f t="shared" si="36"/>
        <v>168.62745098039215</v>
      </c>
      <c r="X41" s="32">
        <f t="shared" si="36"/>
        <v>169.60784313725492</v>
      </c>
      <c r="Y41" s="32">
        <f t="shared" si="36"/>
        <v>170.58823529411765</v>
      </c>
      <c r="Z41" s="32">
        <f t="shared" si="36"/>
        <v>171.56862745098039</v>
      </c>
      <c r="AA41" s="32">
        <f t="shared" si="36"/>
        <v>172.54901960784315</v>
      </c>
      <c r="AB41" s="32">
        <f t="shared" si="36"/>
        <v>173.52941176470588</v>
      </c>
      <c r="AC41" s="32">
        <f t="shared" si="36"/>
        <v>174.50980392156862</v>
      </c>
      <c r="AD41" s="32">
        <f t="shared" si="36"/>
        <v>175.49019607843138</v>
      </c>
      <c r="AE41" s="32">
        <f t="shared" si="36"/>
        <v>176.47058823529412</v>
      </c>
      <c r="AF41" s="32">
        <f t="shared" si="36"/>
        <v>177.45098039215685</v>
      </c>
      <c r="AG41" s="32">
        <f t="shared" si="36"/>
        <v>178.43137254901961</v>
      </c>
      <c r="AH41" s="32">
        <f t="shared" si="36"/>
        <v>179.41176470588235</v>
      </c>
      <c r="AI41" s="32">
        <f t="shared" si="36"/>
        <v>180.39215686274508</v>
      </c>
      <c r="AJ41" s="32">
        <f t="shared" si="36"/>
        <v>181.37254901960785</v>
      </c>
      <c r="AK41" s="32">
        <f t="shared" si="36"/>
        <v>182.35294117647058</v>
      </c>
      <c r="AL41" s="32">
        <f t="shared" si="36"/>
        <v>183.33333333333334</v>
      </c>
      <c r="AN41" s="30">
        <f t="shared" si="3"/>
        <v>1338.2352941176468</v>
      </c>
      <c r="AO41" s="30">
        <f t="shared" si="4"/>
        <v>1994.1176470588234</v>
      </c>
      <c r="AP41" s="30">
        <f t="shared" si="5"/>
        <v>2135.294117647059</v>
      </c>
    </row>
    <row r="42" spans="1:66" ht="13.8">
      <c r="B42" s="120" t="s">
        <v>101</v>
      </c>
      <c r="C42" s="30">
        <f>BaaS.1!D129</f>
        <v>1.9607843137254901</v>
      </c>
      <c r="D42" s="30">
        <f>BaaS.1!E129</f>
        <v>2.9411764705882351</v>
      </c>
      <c r="E42" s="30">
        <f>BaaS.1!F129</f>
        <v>3.9215686274509802</v>
      </c>
      <c r="F42" s="30">
        <f>BaaS.1!G129</f>
        <v>4.901960784313725</v>
      </c>
      <c r="G42" s="30">
        <f>BaaS.1!H129</f>
        <v>5.8823529411764701</v>
      </c>
      <c r="H42" s="30">
        <f>BaaS.1!I129</f>
        <v>6.8627450980392153</v>
      </c>
      <c r="I42" s="30">
        <f>BaaS.1!J129</f>
        <v>7.8431372549019605</v>
      </c>
      <c r="J42" s="30">
        <f>BaaS.1!K129</f>
        <v>8.8235294117647047</v>
      </c>
      <c r="K42" s="30">
        <f>BaaS.1!L129</f>
        <v>9.8039215686274499</v>
      </c>
      <c r="L42" s="30">
        <f>BaaS.1!M129</f>
        <v>10.784313725490195</v>
      </c>
      <c r="M42" s="30">
        <f>BaaS.1!N129</f>
        <v>11.76470588235294</v>
      </c>
      <c r="N42" s="30">
        <f>BaaS.1!O129</f>
        <v>12.745098039215685</v>
      </c>
      <c r="O42" s="30">
        <f>BaaS.1!P129</f>
        <v>13.725490196078431</v>
      </c>
      <c r="P42" s="30">
        <f>BaaS.1!Q129</f>
        <v>14.705882352941176</v>
      </c>
      <c r="Q42" s="30">
        <f>BaaS.1!R129</f>
        <v>15.686274509803921</v>
      </c>
      <c r="R42" s="30">
        <f>BaaS.1!S129</f>
        <v>16.666666666666664</v>
      </c>
      <c r="S42" s="30">
        <f>BaaS.1!T129</f>
        <v>17.647058823529409</v>
      </c>
      <c r="T42" s="30">
        <f>BaaS.1!U129</f>
        <v>18.627450980392155</v>
      </c>
      <c r="U42" s="30">
        <f>BaaS.1!V129</f>
        <v>19.6078431372549</v>
      </c>
      <c r="V42" s="30">
        <f>BaaS.1!W129</f>
        <v>20.588235294117645</v>
      </c>
      <c r="W42" s="30">
        <f>BaaS.1!X129</f>
        <v>21.56862745098039</v>
      </c>
      <c r="X42" s="30">
        <f>BaaS.1!Y129</f>
        <v>22.549019607843135</v>
      </c>
      <c r="Y42" s="30">
        <f>BaaS.1!Z129</f>
        <v>23.52941176470588</v>
      </c>
      <c r="Z42" s="30">
        <f>BaaS.1!AA129</f>
        <v>24.509803921568626</v>
      </c>
      <c r="AA42" s="30">
        <f>BaaS.1!AB129</f>
        <v>25.490196078431371</v>
      </c>
      <c r="AB42" s="30">
        <f>BaaS.1!AC129</f>
        <v>26.470588235294116</v>
      </c>
      <c r="AC42" s="30">
        <f>BaaS.1!AD129</f>
        <v>27.450980392156861</v>
      </c>
      <c r="AD42" s="30">
        <f>BaaS.1!AE129</f>
        <v>28.431372549019606</v>
      </c>
      <c r="AE42" s="30">
        <f>BaaS.1!AF129</f>
        <v>29.411764705882351</v>
      </c>
      <c r="AF42" s="30">
        <f>BaaS.1!AG129</f>
        <v>30.392156862745097</v>
      </c>
      <c r="AG42" s="30">
        <f>BaaS.1!AH129</f>
        <v>31.372549019607842</v>
      </c>
      <c r="AH42" s="30">
        <f>BaaS.1!AI129</f>
        <v>32.352941176470587</v>
      </c>
      <c r="AI42" s="30">
        <f>BaaS.1!AJ129</f>
        <v>33.333333333333329</v>
      </c>
      <c r="AJ42" s="30">
        <f>BaaS.1!AK129</f>
        <v>34.313725490196077</v>
      </c>
      <c r="AK42" s="30">
        <f>BaaS.1!AL129</f>
        <v>35.294117647058819</v>
      </c>
      <c r="AL42" s="30">
        <f>BaaS.1!AM129</f>
        <v>36.274509803921568</v>
      </c>
      <c r="AN42" s="30">
        <f t="shared" si="3"/>
        <v>88.235294117647058</v>
      </c>
      <c r="AO42" s="30">
        <f t="shared" si="4"/>
        <v>229.41176470588235</v>
      </c>
      <c r="AP42" s="30">
        <f t="shared" si="5"/>
        <v>370.58823529411762</v>
      </c>
    </row>
    <row r="43" spans="1:66" ht="13.8">
      <c r="B43" s="120" t="s">
        <v>134</v>
      </c>
      <c r="C43" s="32">
        <f>BaaS.3!D14</f>
        <v>73.529411764705884</v>
      </c>
      <c r="D43" s="32">
        <f>BaaS.3!E14</f>
        <v>78.431372549019599</v>
      </c>
      <c r="E43" s="32">
        <f>BaaS.3!F14</f>
        <v>83.333333333333329</v>
      </c>
      <c r="F43" s="32">
        <f>BaaS.3!G14</f>
        <v>88.235294117647058</v>
      </c>
      <c r="G43" s="32">
        <f>BaaS.3!H14</f>
        <v>93.137254901960787</v>
      </c>
      <c r="H43" s="32">
        <f>BaaS.3!I14</f>
        <v>98.039215686274503</v>
      </c>
      <c r="I43" s="32">
        <f>BaaS.3!J14</f>
        <v>98.039215686274503</v>
      </c>
      <c r="J43" s="32">
        <f>BaaS.3!K14</f>
        <v>107.84313725490196</v>
      </c>
      <c r="K43" s="32">
        <f>BaaS.3!L14</f>
        <v>117.64705882352941</v>
      </c>
      <c r="L43" s="32">
        <f>BaaS.3!M14</f>
        <v>127.45098039215685</v>
      </c>
      <c r="M43" s="32">
        <f>BaaS.3!N14</f>
        <v>137.25490196078431</v>
      </c>
      <c r="N43" s="32">
        <f>BaaS.3!O14</f>
        <v>147.05882352941177</v>
      </c>
      <c r="O43" s="32">
        <f>BaaS.3!P14</f>
        <v>147.05882352941177</v>
      </c>
      <c r="P43" s="32">
        <f>BaaS.3!Q14</f>
        <v>147.05882352941177</v>
      </c>
      <c r="Q43" s="32">
        <f>BaaS.3!R14</f>
        <v>147.05882352941177</v>
      </c>
      <c r="R43" s="32">
        <f>BaaS.3!S14</f>
        <v>147.05882352941177</v>
      </c>
      <c r="S43" s="32">
        <f>BaaS.3!T14</f>
        <v>147.05882352941177</v>
      </c>
      <c r="T43" s="32">
        <f>BaaS.3!U14</f>
        <v>147.05882352941177</v>
      </c>
      <c r="U43" s="32">
        <f>BaaS.3!V14</f>
        <v>147.05882352941177</v>
      </c>
      <c r="V43" s="32">
        <f>BaaS.3!W14</f>
        <v>147.05882352941177</v>
      </c>
      <c r="W43" s="32">
        <f>BaaS.3!X14</f>
        <v>147.05882352941177</v>
      </c>
      <c r="X43" s="32">
        <f>BaaS.3!Y14</f>
        <v>147.05882352941177</v>
      </c>
      <c r="Y43" s="32">
        <f>BaaS.3!Z14</f>
        <v>147.05882352941177</v>
      </c>
      <c r="Z43" s="32">
        <f>BaaS.3!AA14</f>
        <v>147.05882352941177</v>
      </c>
      <c r="AA43" s="32">
        <f>BaaS.3!AB14</f>
        <v>147.05882352941177</v>
      </c>
      <c r="AB43" s="32">
        <f>BaaS.3!AC14</f>
        <v>147.05882352941177</v>
      </c>
      <c r="AC43" s="32">
        <f>BaaS.3!AD14</f>
        <v>147.05882352941177</v>
      </c>
      <c r="AD43" s="32">
        <f>BaaS.3!AE14</f>
        <v>147.05882352941177</v>
      </c>
      <c r="AE43" s="32">
        <f>BaaS.3!AF14</f>
        <v>147.05882352941177</v>
      </c>
      <c r="AF43" s="32">
        <f>BaaS.3!AG14</f>
        <v>147.05882352941177</v>
      </c>
      <c r="AG43" s="32">
        <f>BaaS.3!AH14</f>
        <v>147.05882352941177</v>
      </c>
      <c r="AH43" s="32">
        <f>BaaS.3!AI14</f>
        <v>147.05882352941177</v>
      </c>
      <c r="AI43" s="32">
        <f>BaaS.3!AJ14</f>
        <v>147.05882352941177</v>
      </c>
      <c r="AJ43" s="32">
        <f>BaaS.3!AK14</f>
        <v>147.05882352941177</v>
      </c>
      <c r="AK43" s="32">
        <f>BaaS.3!AL14</f>
        <v>147.05882352941177</v>
      </c>
      <c r="AL43" s="32">
        <f>BaaS.3!AM14</f>
        <v>147.05882352941177</v>
      </c>
      <c r="AN43" s="30">
        <f t="shared" si="3"/>
        <v>1249.9999999999998</v>
      </c>
      <c r="AO43" s="30">
        <f t="shared" si="4"/>
        <v>1764.7058823529408</v>
      </c>
      <c r="AP43" s="30">
        <f t="shared" si="5"/>
        <v>1764.7058823529408</v>
      </c>
    </row>
    <row r="44" spans="1:66" ht="13.8">
      <c r="B44" s="120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N44" s="30">
        <f t="shared" si="3"/>
        <v>0</v>
      </c>
      <c r="AO44" s="30">
        <f t="shared" si="4"/>
        <v>0</v>
      </c>
      <c r="AP44" s="30">
        <f t="shared" si="5"/>
        <v>0</v>
      </c>
    </row>
    <row r="45" spans="1:66">
      <c r="B45" s="129" t="s">
        <v>266</v>
      </c>
      <c r="C45" s="32">
        <f t="shared" ref="C45:AL45" si="37">SUM(C46:C56)</f>
        <v>19904.441176470587</v>
      </c>
      <c r="D45" s="32">
        <f t="shared" si="37"/>
        <v>20972.549019607843</v>
      </c>
      <c r="E45" s="32">
        <f t="shared" si="37"/>
        <v>22240.879084967321</v>
      </c>
      <c r="F45" s="32">
        <f t="shared" si="37"/>
        <v>23286.494553376906</v>
      </c>
      <c r="G45" s="32">
        <f t="shared" si="37"/>
        <v>24526.300290486564</v>
      </c>
      <c r="H45" s="32">
        <f t="shared" si="37"/>
        <v>25562.938755749215</v>
      </c>
      <c r="I45" s="32">
        <f t="shared" si="37"/>
        <v>25991.906882917778</v>
      </c>
      <c r="J45" s="32">
        <f t="shared" si="37"/>
        <v>28238.650340245837</v>
      </c>
      <c r="K45" s="32">
        <f t="shared" si="37"/>
        <v>30302.603494804414</v>
      </c>
      <c r="L45" s="32">
        <f t="shared" si="37"/>
        <v>32554.696447516668</v>
      </c>
      <c r="M45" s="32">
        <f t="shared" si="37"/>
        <v>34608.921814684312</v>
      </c>
      <c r="N45" s="32">
        <f t="shared" si="37"/>
        <v>36877.392320900653</v>
      </c>
      <c r="O45" s="32">
        <f t="shared" si="37"/>
        <v>36895.732135502396</v>
      </c>
      <c r="P45" s="32">
        <f t="shared" si="37"/>
        <v>36907.958678570227</v>
      </c>
      <c r="Q45" s="32">
        <f t="shared" si="37"/>
        <v>36916.109707282114</v>
      </c>
      <c r="R45" s="32">
        <f t="shared" si="37"/>
        <v>36921.54372642337</v>
      </c>
      <c r="S45" s="32">
        <f t="shared" si="37"/>
        <v>36925.166405850876</v>
      </c>
      <c r="T45" s="32">
        <f t="shared" si="37"/>
        <v>36927.581525469213</v>
      </c>
      <c r="U45" s="32">
        <f t="shared" si="37"/>
        <v>36929.191605214764</v>
      </c>
      <c r="V45" s="32">
        <f t="shared" si="37"/>
        <v>36930.264991711803</v>
      </c>
      <c r="W45" s="32">
        <f t="shared" si="37"/>
        <v>36930.980582709832</v>
      </c>
      <c r="X45" s="32">
        <f t="shared" si="37"/>
        <v>36931.457643375179</v>
      </c>
      <c r="Y45" s="32">
        <f t="shared" si="37"/>
        <v>36931.775683818749</v>
      </c>
      <c r="Z45" s="32">
        <f t="shared" si="37"/>
        <v>36931.987710781126</v>
      </c>
      <c r="AA45" s="32">
        <f t="shared" si="37"/>
        <v>36932.129062089378</v>
      </c>
      <c r="AB45" s="32">
        <f t="shared" si="37"/>
        <v>36932.223296294876</v>
      </c>
      <c r="AC45" s="32">
        <f t="shared" si="37"/>
        <v>36932.28611909855</v>
      </c>
      <c r="AD45" s="32">
        <f t="shared" si="37"/>
        <v>36932.32800096766</v>
      </c>
      <c r="AE45" s="32">
        <f t="shared" si="37"/>
        <v>36932.355922213734</v>
      </c>
      <c r="AF45" s="32">
        <f t="shared" si="37"/>
        <v>36932.374536377785</v>
      </c>
      <c r="AG45" s="32">
        <f t="shared" si="37"/>
        <v>36932.386945820486</v>
      </c>
      <c r="AH45" s="32">
        <f t="shared" si="37"/>
        <v>36932.39521878228</v>
      </c>
      <c r="AI45" s="32">
        <f t="shared" si="37"/>
        <v>36932.400734090152</v>
      </c>
      <c r="AJ45" s="32">
        <f t="shared" si="37"/>
        <v>36932.404410962059</v>
      </c>
      <c r="AK45" s="32">
        <f t="shared" si="37"/>
        <v>36932.406862210002</v>
      </c>
      <c r="AL45" s="32">
        <f t="shared" si="37"/>
        <v>36932.408496375298</v>
      </c>
      <c r="AN45" s="30">
        <f t="shared" si="3"/>
        <v>325067.77418172808</v>
      </c>
      <c r="AO45" s="30">
        <f t="shared" si="4"/>
        <v>443079.7503967096</v>
      </c>
      <c r="AP45" s="30">
        <f t="shared" si="5"/>
        <v>443188.0996052823</v>
      </c>
    </row>
    <row r="46" spans="1:66" ht="13.8">
      <c r="B46" s="120" t="s">
        <v>102</v>
      </c>
      <c r="C46" s="30">
        <f>BaaS.1!D50</f>
        <v>73.529411764705884</v>
      </c>
      <c r="D46" s="30">
        <f>BaaS.1!E50</f>
        <v>78.431372549019599</v>
      </c>
      <c r="E46" s="30">
        <f>BaaS.1!F50</f>
        <v>83.333333333333329</v>
      </c>
      <c r="F46" s="30">
        <f>BaaS.1!G50</f>
        <v>88.235294117647058</v>
      </c>
      <c r="G46" s="30">
        <f>BaaS.1!H50</f>
        <v>93.137254901960787</v>
      </c>
      <c r="H46" s="30">
        <f>BaaS.1!I50</f>
        <v>98.039215686274503</v>
      </c>
      <c r="I46" s="30">
        <f>BaaS.1!J50</f>
        <v>98.039215686274503</v>
      </c>
      <c r="J46" s="30">
        <f>BaaS.1!K50</f>
        <v>107.84313725490196</v>
      </c>
      <c r="K46" s="30">
        <f>BaaS.1!L50</f>
        <v>117.64705882352941</v>
      </c>
      <c r="L46" s="30">
        <f>BaaS.1!M50</f>
        <v>127.45098039215685</v>
      </c>
      <c r="M46" s="30">
        <f>BaaS.1!N50</f>
        <v>137.25490196078431</v>
      </c>
      <c r="N46" s="30">
        <f>BaaS.1!O50</f>
        <v>147.05882352941177</v>
      </c>
      <c r="O46" s="30">
        <f>BaaS.1!P50</f>
        <v>147.05882352941177</v>
      </c>
      <c r="P46" s="30">
        <f>BaaS.1!Q50</f>
        <v>147.05882352941177</v>
      </c>
      <c r="Q46" s="30">
        <f>BaaS.1!R50</f>
        <v>147.05882352941177</v>
      </c>
      <c r="R46" s="30">
        <f>BaaS.1!S50</f>
        <v>147.05882352941177</v>
      </c>
      <c r="S46" s="30">
        <f>BaaS.1!T50</f>
        <v>147.05882352941177</v>
      </c>
      <c r="T46" s="30">
        <f>BaaS.1!U50</f>
        <v>147.05882352941177</v>
      </c>
      <c r="U46" s="30">
        <f>BaaS.1!V50</f>
        <v>147.05882352941177</v>
      </c>
      <c r="V46" s="30">
        <f>BaaS.1!W50</f>
        <v>147.05882352941177</v>
      </c>
      <c r="W46" s="30">
        <f>BaaS.1!X50</f>
        <v>147.05882352941177</v>
      </c>
      <c r="X46" s="30">
        <f>BaaS.1!Y50</f>
        <v>147.05882352941177</v>
      </c>
      <c r="Y46" s="30">
        <f>BaaS.1!Z50</f>
        <v>147.05882352941177</v>
      </c>
      <c r="Z46" s="30">
        <f>BaaS.1!AA50</f>
        <v>147.05882352941177</v>
      </c>
      <c r="AA46" s="30">
        <f>BaaS.1!AB50</f>
        <v>147.05882352941177</v>
      </c>
      <c r="AB46" s="30">
        <f>BaaS.1!AC50</f>
        <v>147.05882352941177</v>
      </c>
      <c r="AC46" s="30">
        <f>BaaS.1!AD50</f>
        <v>147.05882352941177</v>
      </c>
      <c r="AD46" s="30">
        <f>BaaS.1!AE50</f>
        <v>147.05882352941177</v>
      </c>
      <c r="AE46" s="30">
        <f>BaaS.1!AF50</f>
        <v>147.05882352941177</v>
      </c>
      <c r="AF46" s="30">
        <f>BaaS.1!AG50</f>
        <v>147.05882352941177</v>
      </c>
      <c r="AG46" s="30">
        <f>BaaS.1!AH50</f>
        <v>147.05882352941177</v>
      </c>
      <c r="AH46" s="30">
        <f>BaaS.1!AI50</f>
        <v>147.05882352941177</v>
      </c>
      <c r="AI46" s="30">
        <f>BaaS.1!AJ50</f>
        <v>147.05882352941177</v>
      </c>
      <c r="AJ46" s="30">
        <f>BaaS.1!AK50</f>
        <v>147.05882352941177</v>
      </c>
      <c r="AK46" s="30">
        <f>BaaS.1!AL50</f>
        <v>147.05882352941177</v>
      </c>
      <c r="AL46" s="30">
        <f>BaaS.1!AM50</f>
        <v>147.05882352941177</v>
      </c>
      <c r="AN46" s="30">
        <f t="shared" si="3"/>
        <v>1249.9999999999998</v>
      </c>
      <c r="AO46" s="30">
        <f t="shared" si="4"/>
        <v>1764.7058823529408</v>
      </c>
      <c r="AP46" s="30">
        <f t="shared" si="5"/>
        <v>1764.7058823529408</v>
      </c>
    </row>
    <row r="47" spans="1:66" ht="13.8">
      <c r="B47" s="120" t="s">
        <v>103</v>
      </c>
      <c r="C47" s="30">
        <f>BaaS.1!D72</f>
        <v>0</v>
      </c>
      <c r="D47" s="30">
        <f>BaaS.1!E72</f>
        <v>49.019607843137251</v>
      </c>
      <c r="E47" s="30">
        <f>BaaS.1!F72</f>
        <v>84.967320261437905</v>
      </c>
      <c r="F47" s="30">
        <f>BaaS.1!G72</f>
        <v>112.2004357298475</v>
      </c>
      <c r="G47" s="30">
        <f>BaaS.1!H72</f>
        <v>133.62381989832974</v>
      </c>
      <c r="H47" s="30">
        <f>BaaS.1!I72</f>
        <v>151.17404986686034</v>
      </c>
      <c r="I47" s="30">
        <f>BaaS.1!J72</f>
        <v>166.14217703542323</v>
      </c>
      <c r="J47" s="30">
        <f>BaaS.1!K72</f>
        <v>176.12092848113184</v>
      </c>
      <c r="K47" s="30">
        <f>BaaS.1!L72</f>
        <v>189.3093771573559</v>
      </c>
      <c r="L47" s="30">
        <f>BaaS.1!M72</f>
        <v>204.63762398725686</v>
      </c>
      <c r="M47" s="30">
        <f>BaaS.1!N72</f>
        <v>221.3924029196092</v>
      </c>
      <c r="N47" s="30">
        <f>BaaS.1!O72</f>
        <v>239.09820325359564</v>
      </c>
      <c r="O47" s="30">
        <f>BaaS.1!P72</f>
        <v>257.43801785533827</v>
      </c>
      <c r="P47" s="30">
        <f>BaaS.1!Q72</f>
        <v>269.66456092316668</v>
      </c>
      <c r="Q47" s="30">
        <f>BaaS.1!R72</f>
        <v>277.81558963505222</v>
      </c>
      <c r="R47" s="30">
        <f>BaaS.1!S72</f>
        <v>283.24960877630934</v>
      </c>
      <c r="S47" s="30">
        <f>BaaS.1!T72</f>
        <v>286.87228820381404</v>
      </c>
      <c r="T47" s="30">
        <f>BaaS.1!U72</f>
        <v>289.28740782215056</v>
      </c>
      <c r="U47" s="30">
        <f>BaaS.1!V72</f>
        <v>290.89748756770825</v>
      </c>
      <c r="V47" s="30">
        <f>BaaS.1!W72</f>
        <v>291.97087406474668</v>
      </c>
      <c r="W47" s="30">
        <f>BaaS.1!X72</f>
        <v>292.6864650627723</v>
      </c>
      <c r="X47" s="30">
        <f>BaaS.1!Y72</f>
        <v>293.16352572812264</v>
      </c>
      <c r="Y47" s="30">
        <f>BaaS.1!Z72</f>
        <v>293.48156617168962</v>
      </c>
      <c r="Z47" s="30">
        <f>BaaS.1!AA72</f>
        <v>293.69359313406761</v>
      </c>
      <c r="AA47" s="30">
        <f>BaaS.1!AB72</f>
        <v>293.83494444231951</v>
      </c>
      <c r="AB47" s="30">
        <f>BaaS.1!AC72</f>
        <v>293.92917864782089</v>
      </c>
      <c r="AC47" s="30">
        <f>BaaS.1!AD72</f>
        <v>293.99200145148842</v>
      </c>
      <c r="AD47" s="30">
        <f>BaaS.1!AE72</f>
        <v>294.03388332060018</v>
      </c>
      <c r="AE47" s="30">
        <f>BaaS.1!AF72</f>
        <v>294.0618045666746</v>
      </c>
      <c r="AF47" s="30">
        <f>BaaS.1!AG72</f>
        <v>294.08041873072426</v>
      </c>
      <c r="AG47" s="30">
        <f>BaaS.1!AH72</f>
        <v>294.09282817342398</v>
      </c>
      <c r="AH47" s="30">
        <f>BaaS.1!AI72</f>
        <v>294.10110113522387</v>
      </c>
      <c r="AI47" s="30">
        <f>BaaS.1!AJ72</f>
        <v>294.10661644309045</v>
      </c>
      <c r="AJ47" s="30">
        <f>BaaS.1!AK72</f>
        <v>294.11029331500146</v>
      </c>
      <c r="AK47" s="30">
        <f>BaaS.1!AL72</f>
        <v>294.11274456294211</v>
      </c>
      <c r="AL47" s="30">
        <f>BaaS.1!AM72</f>
        <v>294.11437872823592</v>
      </c>
      <c r="AN47" s="30">
        <f t="shared" si="3"/>
        <v>1727.685946433985</v>
      </c>
      <c r="AO47" s="30">
        <f t="shared" si="4"/>
        <v>3420.2209849449382</v>
      </c>
      <c r="AP47" s="30">
        <f t="shared" si="5"/>
        <v>3528.5701935175452</v>
      </c>
    </row>
    <row r="48" spans="1:66" ht="13.8">
      <c r="B48" s="120" t="s">
        <v>270</v>
      </c>
      <c r="C48" s="30">
        <f>BaaS.1!D116</f>
        <v>14.705882352941176</v>
      </c>
      <c r="D48" s="30">
        <f>BaaS.1!E116</f>
        <v>15.686274509803921</v>
      </c>
      <c r="E48" s="30">
        <f>BaaS.1!F116</f>
        <v>16.666666666666664</v>
      </c>
      <c r="F48" s="30">
        <f>BaaS.1!G116</f>
        <v>17.647058823529409</v>
      </c>
      <c r="G48" s="30">
        <f>BaaS.1!H116</f>
        <v>18.627450980392155</v>
      </c>
      <c r="H48" s="30">
        <f>BaaS.1!I116</f>
        <v>19.6078431372549</v>
      </c>
      <c r="I48" s="30">
        <f>BaaS.1!J116</f>
        <v>19.6078431372549</v>
      </c>
      <c r="J48" s="30">
        <f>BaaS.1!K116</f>
        <v>21.56862745098039</v>
      </c>
      <c r="K48" s="30">
        <f>BaaS.1!L116</f>
        <v>23.52941176470588</v>
      </c>
      <c r="L48" s="30">
        <f>BaaS.1!M116</f>
        <v>25.490196078431371</v>
      </c>
      <c r="M48" s="30">
        <f>BaaS.1!N116</f>
        <v>27.450980392156861</v>
      </c>
      <c r="N48" s="30">
        <f>BaaS.1!O116</f>
        <v>29.411764705882351</v>
      </c>
      <c r="O48" s="30">
        <f>BaaS.1!P116</f>
        <v>29.411764705882351</v>
      </c>
      <c r="P48" s="30">
        <f>BaaS.1!Q116</f>
        <v>29.411764705882351</v>
      </c>
      <c r="Q48" s="30">
        <f>BaaS.1!R116</f>
        <v>29.411764705882351</v>
      </c>
      <c r="R48" s="30">
        <f>BaaS.1!S116</f>
        <v>29.411764705882351</v>
      </c>
      <c r="S48" s="30">
        <f>BaaS.1!T116</f>
        <v>29.411764705882351</v>
      </c>
      <c r="T48" s="30">
        <f>BaaS.1!U116</f>
        <v>29.411764705882351</v>
      </c>
      <c r="U48" s="30">
        <f>BaaS.1!V116</f>
        <v>29.411764705882351</v>
      </c>
      <c r="V48" s="30">
        <f>BaaS.1!W116</f>
        <v>29.411764705882351</v>
      </c>
      <c r="W48" s="30">
        <f>BaaS.1!X116</f>
        <v>29.411764705882351</v>
      </c>
      <c r="X48" s="30">
        <f>BaaS.1!Y116</f>
        <v>29.411764705882351</v>
      </c>
      <c r="Y48" s="30">
        <f>BaaS.1!Z116</f>
        <v>29.411764705882351</v>
      </c>
      <c r="Z48" s="30">
        <f>BaaS.1!AA116</f>
        <v>29.411764705882351</v>
      </c>
      <c r="AA48" s="30">
        <f>BaaS.1!AB116</f>
        <v>29.411764705882351</v>
      </c>
      <c r="AB48" s="30">
        <f>BaaS.1!AC116</f>
        <v>29.411764705882351</v>
      </c>
      <c r="AC48" s="30">
        <f>BaaS.1!AD116</f>
        <v>29.411764705882351</v>
      </c>
      <c r="AD48" s="30">
        <f>BaaS.1!AE116</f>
        <v>29.411764705882351</v>
      </c>
      <c r="AE48" s="30">
        <f>BaaS.1!AF116</f>
        <v>29.411764705882351</v>
      </c>
      <c r="AF48" s="30">
        <f>BaaS.1!AG116</f>
        <v>29.411764705882351</v>
      </c>
      <c r="AG48" s="30">
        <f>BaaS.1!AH116</f>
        <v>29.411764705882351</v>
      </c>
      <c r="AH48" s="30">
        <f>BaaS.1!AI116</f>
        <v>29.411764705882351</v>
      </c>
      <c r="AI48" s="30">
        <f>BaaS.1!AJ116</f>
        <v>29.411764705882351</v>
      </c>
      <c r="AJ48" s="30">
        <f>BaaS.1!AK116</f>
        <v>29.411764705882351</v>
      </c>
      <c r="AK48" s="30">
        <f>BaaS.1!AL116</f>
        <v>29.411764705882351</v>
      </c>
      <c r="AL48" s="30">
        <f>BaaS.1!AM116</f>
        <v>29.411764705882351</v>
      </c>
      <c r="AN48" s="30">
        <f t="shared" si="3"/>
        <v>250</v>
      </c>
      <c r="AO48" s="30">
        <f t="shared" si="4"/>
        <v>352.94117647058829</v>
      </c>
      <c r="AP48" s="30">
        <f t="shared" si="5"/>
        <v>352.94117647058829</v>
      </c>
    </row>
    <row r="49" spans="2:42" ht="13.8">
      <c r="B49" s="120" t="s">
        <v>209</v>
      </c>
      <c r="C49" s="30">
        <f>BaaS.3!D70</f>
        <v>0</v>
      </c>
      <c r="D49" s="30">
        <f>BaaS.3!E70</f>
        <v>0</v>
      </c>
      <c r="E49" s="30">
        <f>BaaS.3!F70</f>
        <v>0</v>
      </c>
      <c r="F49" s="30">
        <f>BaaS.3!G70</f>
        <v>0</v>
      </c>
      <c r="G49" s="30">
        <f>BaaS.3!H70</f>
        <v>0</v>
      </c>
      <c r="H49" s="30">
        <f>BaaS.3!I70</f>
        <v>0</v>
      </c>
      <c r="I49" s="30">
        <f>BaaS.3!J70</f>
        <v>0</v>
      </c>
      <c r="J49" s="30">
        <f>BaaS.3!K70</f>
        <v>0</v>
      </c>
      <c r="K49" s="30">
        <f>BaaS.3!L70</f>
        <v>0</v>
      </c>
      <c r="L49" s="30">
        <f>BaaS.3!M70</f>
        <v>0</v>
      </c>
      <c r="M49" s="30">
        <f>BaaS.3!N70</f>
        <v>0</v>
      </c>
      <c r="N49" s="30">
        <f>BaaS.3!O70</f>
        <v>0</v>
      </c>
      <c r="O49" s="30">
        <f>BaaS.3!P70</f>
        <v>0</v>
      </c>
      <c r="P49" s="30">
        <f>BaaS.3!Q70</f>
        <v>0</v>
      </c>
      <c r="Q49" s="30">
        <f>BaaS.3!R70</f>
        <v>0</v>
      </c>
      <c r="R49" s="30">
        <f>BaaS.3!S70</f>
        <v>0</v>
      </c>
      <c r="S49" s="30">
        <f>BaaS.3!T70</f>
        <v>0</v>
      </c>
      <c r="T49" s="30">
        <f>BaaS.3!U70</f>
        <v>0</v>
      </c>
      <c r="U49" s="30">
        <f>BaaS.3!V70</f>
        <v>0</v>
      </c>
      <c r="V49" s="30">
        <f>BaaS.3!W70</f>
        <v>0</v>
      </c>
      <c r="W49" s="30">
        <f>BaaS.3!X70</f>
        <v>0</v>
      </c>
      <c r="X49" s="30">
        <f>BaaS.3!Y70</f>
        <v>0</v>
      </c>
      <c r="Y49" s="30">
        <f>BaaS.3!Z70</f>
        <v>0</v>
      </c>
      <c r="Z49" s="30">
        <f>BaaS.3!AA70</f>
        <v>0</v>
      </c>
      <c r="AA49" s="30">
        <f>BaaS.3!AB70</f>
        <v>0</v>
      </c>
      <c r="AB49" s="30">
        <f>BaaS.3!AC70</f>
        <v>0</v>
      </c>
      <c r="AC49" s="30">
        <f>BaaS.3!AD70</f>
        <v>0</v>
      </c>
      <c r="AD49" s="30">
        <f>BaaS.3!AE70</f>
        <v>0</v>
      </c>
      <c r="AE49" s="30">
        <f>BaaS.3!AF70</f>
        <v>0</v>
      </c>
      <c r="AF49" s="30">
        <f>BaaS.3!AG70</f>
        <v>0</v>
      </c>
      <c r="AG49" s="30">
        <f>BaaS.3!AH70</f>
        <v>0</v>
      </c>
      <c r="AH49" s="30">
        <f>BaaS.3!AI70</f>
        <v>0</v>
      </c>
      <c r="AI49" s="30">
        <f>BaaS.3!AJ70</f>
        <v>0</v>
      </c>
      <c r="AJ49" s="30">
        <f>BaaS.3!AK70</f>
        <v>0</v>
      </c>
      <c r="AK49" s="30">
        <f>BaaS.3!AL70</f>
        <v>0</v>
      </c>
      <c r="AL49" s="30">
        <f>BaaS.3!AM70</f>
        <v>0</v>
      </c>
      <c r="AN49" s="30">
        <f t="shared" si="3"/>
        <v>0</v>
      </c>
      <c r="AO49" s="30">
        <f t="shared" si="4"/>
        <v>0</v>
      </c>
      <c r="AP49" s="30">
        <f t="shared" si="5"/>
        <v>0</v>
      </c>
    </row>
    <row r="50" spans="2:42" ht="13.8">
      <c r="B50" s="120" t="s">
        <v>305</v>
      </c>
      <c r="C50" s="30">
        <f>BaaS.3!D87</f>
        <v>0.70588235294117641</v>
      </c>
      <c r="D50" s="30">
        <f>BaaS.3!E87</f>
        <v>1.4117647058823528</v>
      </c>
      <c r="E50" s="30">
        <f>BaaS.3!F87</f>
        <v>1.4117647058823528</v>
      </c>
      <c r="F50" s="30">
        <f>BaaS.3!G87</f>
        <v>1.4117647058823528</v>
      </c>
      <c r="G50" s="30">
        <f>BaaS.3!H87</f>
        <v>1.4117647058823528</v>
      </c>
      <c r="H50" s="30">
        <f>BaaS.3!I87</f>
        <v>2.1176470588235294</v>
      </c>
      <c r="I50" s="30">
        <f>BaaS.3!J87</f>
        <v>2.1176470588235294</v>
      </c>
      <c r="J50" s="30">
        <f>BaaS.3!K87</f>
        <v>2.1176470588235294</v>
      </c>
      <c r="K50" s="30">
        <f>BaaS.3!L87</f>
        <v>2.1176470588235294</v>
      </c>
      <c r="L50" s="30">
        <f>BaaS.3!M87</f>
        <v>2.1176470588235294</v>
      </c>
      <c r="M50" s="30">
        <f>BaaS.3!N87</f>
        <v>2.8235294117647056</v>
      </c>
      <c r="N50" s="30">
        <f>BaaS.3!O87</f>
        <v>2.8235294117647056</v>
      </c>
      <c r="O50" s="30">
        <f>BaaS.3!P87</f>
        <v>2.8235294117647056</v>
      </c>
      <c r="P50" s="30">
        <f>BaaS.3!Q87</f>
        <v>2.8235294117647056</v>
      </c>
      <c r="Q50" s="30">
        <f>BaaS.3!R87</f>
        <v>2.8235294117647056</v>
      </c>
      <c r="R50" s="30">
        <f>BaaS.3!S87</f>
        <v>2.8235294117647056</v>
      </c>
      <c r="S50" s="30">
        <f>BaaS.3!T87</f>
        <v>2.8235294117647056</v>
      </c>
      <c r="T50" s="30">
        <f>BaaS.3!U87</f>
        <v>2.8235294117647056</v>
      </c>
      <c r="U50" s="30">
        <f>BaaS.3!V87</f>
        <v>2.8235294117647056</v>
      </c>
      <c r="V50" s="30">
        <f>BaaS.3!W87</f>
        <v>2.8235294117647056</v>
      </c>
      <c r="W50" s="30">
        <f>BaaS.3!X87</f>
        <v>2.8235294117647056</v>
      </c>
      <c r="X50" s="30">
        <f>BaaS.3!Y87</f>
        <v>2.8235294117647056</v>
      </c>
      <c r="Y50" s="30">
        <f>BaaS.3!Z87</f>
        <v>2.8235294117647056</v>
      </c>
      <c r="Z50" s="30">
        <f>BaaS.3!AA87</f>
        <v>2.8235294117647056</v>
      </c>
      <c r="AA50" s="30">
        <f>BaaS.3!AB87</f>
        <v>2.8235294117647056</v>
      </c>
      <c r="AB50" s="30">
        <f>BaaS.3!AC87</f>
        <v>2.8235294117647056</v>
      </c>
      <c r="AC50" s="30">
        <f>BaaS.3!AD87</f>
        <v>2.8235294117647056</v>
      </c>
      <c r="AD50" s="30">
        <f>BaaS.3!AE87</f>
        <v>2.8235294117647056</v>
      </c>
      <c r="AE50" s="30">
        <f>BaaS.3!AF87</f>
        <v>2.8235294117647056</v>
      </c>
      <c r="AF50" s="30">
        <f>BaaS.3!AG87</f>
        <v>2.8235294117647056</v>
      </c>
      <c r="AG50" s="30">
        <f>BaaS.3!AH87</f>
        <v>2.8235294117647056</v>
      </c>
      <c r="AH50" s="30">
        <f>BaaS.3!AI87</f>
        <v>2.8235294117647056</v>
      </c>
      <c r="AI50" s="30">
        <f>BaaS.3!AJ87</f>
        <v>2.8235294117647056</v>
      </c>
      <c r="AJ50" s="30">
        <f>BaaS.3!AK87</f>
        <v>2.8235294117647056</v>
      </c>
      <c r="AK50" s="30">
        <f>BaaS.3!AL87</f>
        <v>2.8235294117647056</v>
      </c>
      <c r="AL50" s="30">
        <f>BaaS.3!AM87</f>
        <v>2.8235294117647056</v>
      </c>
      <c r="AN50" s="30">
        <f t="shared" si="3"/>
        <v>22.588235294117645</v>
      </c>
      <c r="AO50" s="30">
        <f t="shared" si="4"/>
        <v>33.882352941176471</v>
      </c>
      <c r="AP50" s="30">
        <f t="shared" si="5"/>
        <v>33.882352941176471</v>
      </c>
    </row>
    <row r="51" spans="2:42" ht="13.8">
      <c r="B51" s="120" t="s">
        <v>137</v>
      </c>
      <c r="C51" s="30">
        <f>BaaS.3!D111</f>
        <v>4600</v>
      </c>
      <c r="D51" s="30">
        <f>BaaS.3!E111</f>
        <v>4600</v>
      </c>
      <c r="E51" s="30">
        <f>BaaS.3!F111</f>
        <v>4800</v>
      </c>
      <c r="F51" s="30">
        <f>BaaS.3!G111</f>
        <v>4800</v>
      </c>
      <c r="G51" s="30">
        <f>BaaS.3!H111</f>
        <v>5000</v>
      </c>
      <c r="H51" s="30">
        <f>BaaS.3!I111</f>
        <v>5000</v>
      </c>
      <c r="I51" s="30">
        <f>BaaS.3!J111</f>
        <v>5400</v>
      </c>
      <c r="J51" s="30">
        <f>BaaS.3!K111</f>
        <v>5600</v>
      </c>
      <c r="K51" s="30">
        <f>BaaS.3!L111</f>
        <v>5600</v>
      </c>
      <c r="L51" s="30">
        <f>BaaS.3!M111</f>
        <v>5800</v>
      </c>
      <c r="M51" s="30">
        <f>BaaS.3!N111</f>
        <v>5800</v>
      </c>
      <c r="N51" s="30">
        <f>BaaS.3!O111</f>
        <v>6000</v>
      </c>
      <c r="O51" s="30">
        <f>BaaS.3!P111</f>
        <v>6000</v>
      </c>
      <c r="P51" s="30">
        <f>BaaS.3!Q111</f>
        <v>6000</v>
      </c>
      <c r="Q51" s="30">
        <f>BaaS.3!R111</f>
        <v>6000</v>
      </c>
      <c r="R51" s="30">
        <f>BaaS.3!S111</f>
        <v>6000</v>
      </c>
      <c r="S51" s="30">
        <f>BaaS.3!T111</f>
        <v>6000</v>
      </c>
      <c r="T51" s="30">
        <f>BaaS.3!U111</f>
        <v>6000</v>
      </c>
      <c r="U51" s="30">
        <f>BaaS.3!V111</f>
        <v>6000</v>
      </c>
      <c r="V51" s="30">
        <f>BaaS.3!W111</f>
        <v>6000</v>
      </c>
      <c r="W51" s="30">
        <f>BaaS.3!X111</f>
        <v>6000</v>
      </c>
      <c r="X51" s="30">
        <f>BaaS.3!Y111</f>
        <v>6000</v>
      </c>
      <c r="Y51" s="30">
        <f>BaaS.3!Z111</f>
        <v>6000</v>
      </c>
      <c r="Z51" s="30">
        <f>BaaS.3!AA111</f>
        <v>6000</v>
      </c>
      <c r="AA51" s="30">
        <f>BaaS.3!AB111</f>
        <v>6000</v>
      </c>
      <c r="AB51" s="30">
        <f>BaaS.3!AC111</f>
        <v>6000</v>
      </c>
      <c r="AC51" s="30">
        <f>BaaS.3!AD111</f>
        <v>6000</v>
      </c>
      <c r="AD51" s="30">
        <f>BaaS.3!AE111</f>
        <v>6000</v>
      </c>
      <c r="AE51" s="30">
        <f>BaaS.3!AF111</f>
        <v>6000</v>
      </c>
      <c r="AF51" s="30">
        <f>BaaS.3!AG111</f>
        <v>6000</v>
      </c>
      <c r="AG51" s="30">
        <f>BaaS.3!AH111</f>
        <v>6000</v>
      </c>
      <c r="AH51" s="30">
        <f>BaaS.3!AI111</f>
        <v>6000</v>
      </c>
      <c r="AI51" s="30">
        <f>BaaS.3!AJ111</f>
        <v>6000</v>
      </c>
      <c r="AJ51" s="30">
        <f>BaaS.3!AK111</f>
        <v>6000</v>
      </c>
      <c r="AK51" s="30">
        <f>BaaS.3!AL111</f>
        <v>6000</v>
      </c>
      <c r="AL51" s="30">
        <f>BaaS.3!AM111</f>
        <v>6000</v>
      </c>
      <c r="AN51" s="30">
        <f t="shared" ref="AN51" si="38">SUM(C51:N51)</f>
        <v>63000</v>
      </c>
      <c r="AO51" s="30">
        <f t="shared" ref="AO51" si="39">SUM(O51:Z51)</f>
        <v>72000</v>
      </c>
      <c r="AP51" s="30">
        <f t="shared" ref="AP51" si="40">SUM(AA51:AL51)</f>
        <v>72000</v>
      </c>
    </row>
    <row r="52" spans="2:42" ht="13.8">
      <c r="B52" s="120" t="s">
        <v>309</v>
      </c>
      <c r="C52" s="30">
        <f>BaaS.3!D123</f>
        <v>15000</v>
      </c>
      <c r="D52" s="30">
        <f>BaaS.3!E123</f>
        <v>16000</v>
      </c>
      <c r="E52" s="30">
        <f>BaaS.3!F123</f>
        <v>17000</v>
      </c>
      <c r="F52" s="30">
        <f>BaaS.3!G123</f>
        <v>18000</v>
      </c>
      <c r="G52" s="30">
        <f>BaaS.3!H123</f>
        <v>19000</v>
      </c>
      <c r="H52" s="30">
        <f>BaaS.3!I123</f>
        <v>20000</v>
      </c>
      <c r="I52" s="30">
        <f>BaaS.3!J123</f>
        <v>20000</v>
      </c>
      <c r="J52" s="30">
        <f>BaaS.3!K123</f>
        <v>22000</v>
      </c>
      <c r="K52" s="30">
        <f>BaaS.3!L123</f>
        <v>24000</v>
      </c>
      <c r="L52" s="30">
        <f>BaaS.3!M123</f>
        <v>26000</v>
      </c>
      <c r="M52" s="30">
        <f>BaaS.3!N123</f>
        <v>28000</v>
      </c>
      <c r="N52" s="30">
        <f>BaaS.3!O123</f>
        <v>30000</v>
      </c>
      <c r="O52" s="30">
        <f>BaaS.3!P123</f>
        <v>30000</v>
      </c>
      <c r="P52" s="30">
        <f>BaaS.3!Q123</f>
        <v>30000</v>
      </c>
      <c r="Q52" s="30">
        <f>BaaS.3!R123</f>
        <v>30000</v>
      </c>
      <c r="R52" s="30">
        <f>BaaS.3!S123</f>
        <v>30000</v>
      </c>
      <c r="S52" s="30">
        <f>BaaS.3!T123</f>
        <v>30000</v>
      </c>
      <c r="T52" s="30">
        <f>BaaS.3!U123</f>
        <v>30000</v>
      </c>
      <c r="U52" s="30">
        <f>BaaS.3!V123</f>
        <v>30000</v>
      </c>
      <c r="V52" s="30">
        <f>BaaS.3!W123</f>
        <v>30000</v>
      </c>
      <c r="W52" s="30">
        <f>BaaS.3!X123</f>
        <v>30000</v>
      </c>
      <c r="X52" s="30">
        <f>BaaS.3!Y123</f>
        <v>30000</v>
      </c>
      <c r="Y52" s="30">
        <f>BaaS.3!Z123</f>
        <v>30000</v>
      </c>
      <c r="Z52" s="30">
        <f>BaaS.3!AA123</f>
        <v>30000</v>
      </c>
      <c r="AA52" s="30">
        <f>BaaS.3!AB123</f>
        <v>30000</v>
      </c>
      <c r="AB52" s="30">
        <f>BaaS.3!AC123</f>
        <v>30000</v>
      </c>
      <c r="AC52" s="30">
        <f>BaaS.3!AD123</f>
        <v>30000</v>
      </c>
      <c r="AD52" s="30">
        <f>BaaS.3!AE123</f>
        <v>30000</v>
      </c>
      <c r="AE52" s="30">
        <f>BaaS.3!AF123</f>
        <v>30000</v>
      </c>
      <c r="AF52" s="30">
        <f>BaaS.3!AG123</f>
        <v>30000</v>
      </c>
      <c r="AG52" s="30">
        <f>BaaS.3!AH123</f>
        <v>30000</v>
      </c>
      <c r="AH52" s="30">
        <f>BaaS.3!AI123</f>
        <v>30000</v>
      </c>
      <c r="AI52" s="30">
        <f>BaaS.3!AJ123</f>
        <v>30000</v>
      </c>
      <c r="AJ52" s="30">
        <f>BaaS.3!AK123</f>
        <v>30000</v>
      </c>
      <c r="AK52" s="30">
        <f>BaaS.3!AL123</f>
        <v>30000</v>
      </c>
      <c r="AL52" s="30">
        <f>BaaS.3!AM123</f>
        <v>30000</v>
      </c>
      <c r="AN52" s="30">
        <f t="shared" ref="AN52" si="41">SUM(C52:N52)</f>
        <v>255000</v>
      </c>
      <c r="AO52" s="30">
        <f t="shared" ref="AO52" si="42">SUM(O52:Z52)</f>
        <v>360000</v>
      </c>
      <c r="AP52" s="30">
        <f t="shared" ref="AP52" si="43">SUM(AA52:AL52)</f>
        <v>360000</v>
      </c>
    </row>
    <row r="53" spans="2:42" ht="13.8">
      <c r="B53" s="120" t="s">
        <v>310</v>
      </c>
      <c r="C53" s="30">
        <f>BaaS.3!D136</f>
        <v>150</v>
      </c>
      <c r="D53" s="30">
        <f>BaaS.3!E136</f>
        <v>160</v>
      </c>
      <c r="E53" s="30">
        <f>BaaS.3!F136</f>
        <v>170</v>
      </c>
      <c r="F53" s="30">
        <f>BaaS.3!G136</f>
        <v>180</v>
      </c>
      <c r="G53" s="30">
        <f>BaaS.3!H136</f>
        <v>190</v>
      </c>
      <c r="H53" s="30">
        <f>BaaS.3!I136</f>
        <v>200</v>
      </c>
      <c r="I53" s="30">
        <f>BaaS.3!J136</f>
        <v>200</v>
      </c>
      <c r="J53" s="30">
        <f>BaaS.3!K136</f>
        <v>220</v>
      </c>
      <c r="K53" s="30">
        <f>BaaS.3!L136</f>
        <v>240</v>
      </c>
      <c r="L53" s="30">
        <f>BaaS.3!M136</f>
        <v>260</v>
      </c>
      <c r="M53" s="30">
        <f>BaaS.3!N136</f>
        <v>280</v>
      </c>
      <c r="N53" s="30">
        <f>BaaS.3!O136</f>
        <v>300</v>
      </c>
      <c r="O53" s="30">
        <f>BaaS.3!P136</f>
        <v>300</v>
      </c>
      <c r="P53" s="30">
        <f>BaaS.3!Q136</f>
        <v>300</v>
      </c>
      <c r="Q53" s="30">
        <f>BaaS.3!R136</f>
        <v>300</v>
      </c>
      <c r="R53" s="30">
        <f>BaaS.3!S136</f>
        <v>300</v>
      </c>
      <c r="S53" s="30">
        <f>BaaS.3!T136</f>
        <v>300</v>
      </c>
      <c r="T53" s="30">
        <f>BaaS.3!U136</f>
        <v>300</v>
      </c>
      <c r="U53" s="30">
        <f>BaaS.3!V136</f>
        <v>300</v>
      </c>
      <c r="V53" s="30">
        <f>BaaS.3!W136</f>
        <v>300</v>
      </c>
      <c r="W53" s="30">
        <f>BaaS.3!X136</f>
        <v>300</v>
      </c>
      <c r="X53" s="30">
        <f>BaaS.3!Y136</f>
        <v>300</v>
      </c>
      <c r="Y53" s="30">
        <f>BaaS.3!Z136</f>
        <v>300</v>
      </c>
      <c r="Z53" s="30">
        <f>BaaS.3!AA136</f>
        <v>300</v>
      </c>
      <c r="AA53" s="30">
        <f>BaaS.3!AB136</f>
        <v>300</v>
      </c>
      <c r="AB53" s="30">
        <f>BaaS.3!AC136</f>
        <v>300</v>
      </c>
      <c r="AC53" s="30">
        <f>BaaS.3!AD136</f>
        <v>300</v>
      </c>
      <c r="AD53" s="30">
        <f>BaaS.3!AE136</f>
        <v>300</v>
      </c>
      <c r="AE53" s="30">
        <f>BaaS.3!AF136</f>
        <v>300</v>
      </c>
      <c r="AF53" s="30">
        <f>BaaS.3!AG136</f>
        <v>300</v>
      </c>
      <c r="AG53" s="30">
        <f>BaaS.3!AH136</f>
        <v>300</v>
      </c>
      <c r="AH53" s="30">
        <f>BaaS.3!AI136</f>
        <v>300</v>
      </c>
      <c r="AI53" s="30">
        <f>BaaS.3!AJ136</f>
        <v>300</v>
      </c>
      <c r="AJ53" s="30">
        <f>BaaS.3!AK136</f>
        <v>300</v>
      </c>
      <c r="AK53" s="30">
        <f>BaaS.3!AL136</f>
        <v>300</v>
      </c>
      <c r="AL53" s="30">
        <f>BaaS.3!AM136</f>
        <v>300</v>
      </c>
      <c r="AN53" s="30">
        <f t="shared" ref="AN53" si="44">SUM(C53:N53)</f>
        <v>2550</v>
      </c>
      <c r="AO53" s="30">
        <f t="shared" ref="AO53" si="45">SUM(O53:Z53)</f>
        <v>3600</v>
      </c>
      <c r="AP53" s="30">
        <f t="shared" ref="AP53" si="46">SUM(AA53:AL53)</f>
        <v>3600</v>
      </c>
    </row>
    <row r="54" spans="2:42" ht="13.8">
      <c r="B54" s="120" t="s">
        <v>311</v>
      </c>
      <c r="C54" s="30">
        <f>BaaS.3!D150</f>
        <v>37.5</v>
      </c>
      <c r="D54" s="30">
        <f>BaaS.3!E150</f>
        <v>40</v>
      </c>
      <c r="E54" s="30">
        <f>BaaS.3!F150</f>
        <v>42.5</v>
      </c>
      <c r="F54" s="30">
        <f>BaaS.3!G150</f>
        <v>45</v>
      </c>
      <c r="G54" s="30">
        <f>BaaS.3!H150</f>
        <v>47.5</v>
      </c>
      <c r="H54" s="30">
        <f>BaaS.3!I150</f>
        <v>50</v>
      </c>
      <c r="I54" s="30">
        <f>BaaS.3!J150</f>
        <v>50</v>
      </c>
      <c r="J54" s="30">
        <f>BaaS.3!K150</f>
        <v>55</v>
      </c>
      <c r="K54" s="30">
        <f>BaaS.3!L150</f>
        <v>60</v>
      </c>
      <c r="L54" s="30">
        <f>BaaS.3!M150</f>
        <v>65</v>
      </c>
      <c r="M54" s="30">
        <f>BaaS.3!N150</f>
        <v>70</v>
      </c>
      <c r="N54" s="30">
        <f>BaaS.3!O150</f>
        <v>75</v>
      </c>
      <c r="O54" s="30">
        <f>BaaS.3!P150</f>
        <v>75</v>
      </c>
      <c r="P54" s="30">
        <f>BaaS.3!Q150</f>
        <v>75</v>
      </c>
      <c r="Q54" s="30">
        <f>BaaS.3!R150</f>
        <v>75</v>
      </c>
      <c r="R54" s="30">
        <f>BaaS.3!S150</f>
        <v>75</v>
      </c>
      <c r="S54" s="30">
        <f>BaaS.3!T150</f>
        <v>75</v>
      </c>
      <c r="T54" s="30">
        <f>BaaS.3!U150</f>
        <v>75</v>
      </c>
      <c r="U54" s="30">
        <f>BaaS.3!V150</f>
        <v>75</v>
      </c>
      <c r="V54" s="30">
        <f>BaaS.3!W150</f>
        <v>75</v>
      </c>
      <c r="W54" s="30">
        <f>BaaS.3!X150</f>
        <v>75</v>
      </c>
      <c r="X54" s="30">
        <f>BaaS.3!Y150</f>
        <v>75</v>
      </c>
      <c r="Y54" s="30">
        <f>BaaS.3!Z150</f>
        <v>75</v>
      </c>
      <c r="Z54" s="30">
        <f>BaaS.3!AA150</f>
        <v>75</v>
      </c>
      <c r="AA54" s="30">
        <f>BaaS.3!AB150</f>
        <v>75</v>
      </c>
      <c r="AB54" s="30">
        <f>BaaS.3!AC150</f>
        <v>75</v>
      </c>
      <c r="AC54" s="30">
        <f>BaaS.3!AD150</f>
        <v>75</v>
      </c>
      <c r="AD54" s="30">
        <f>BaaS.3!AE150</f>
        <v>75</v>
      </c>
      <c r="AE54" s="30">
        <f>BaaS.3!AF150</f>
        <v>75</v>
      </c>
      <c r="AF54" s="30">
        <f>BaaS.3!AG150</f>
        <v>75</v>
      </c>
      <c r="AG54" s="30">
        <f>BaaS.3!AH150</f>
        <v>75</v>
      </c>
      <c r="AH54" s="30">
        <f>BaaS.3!AI150</f>
        <v>75</v>
      </c>
      <c r="AI54" s="30">
        <f>BaaS.3!AJ150</f>
        <v>75</v>
      </c>
      <c r="AJ54" s="30">
        <f>BaaS.3!AK150</f>
        <v>75</v>
      </c>
      <c r="AK54" s="30">
        <f>BaaS.3!AL150</f>
        <v>75</v>
      </c>
      <c r="AL54" s="30">
        <f>BaaS.3!AM150</f>
        <v>75</v>
      </c>
      <c r="AN54" s="30">
        <f t="shared" ref="AN54" si="47">SUM(C54:N54)</f>
        <v>637.5</v>
      </c>
      <c r="AO54" s="30">
        <f t="shared" ref="AO54" si="48">SUM(O54:Z54)</f>
        <v>900</v>
      </c>
      <c r="AP54" s="30">
        <f t="shared" ref="AP54" si="49">SUM(AA54:AL54)</f>
        <v>900</v>
      </c>
    </row>
    <row r="55" spans="2:42" ht="13.8">
      <c r="B55" s="120" t="s">
        <v>170</v>
      </c>
      <c r="C55" s="30">
        <f>BaaS.3!D161</f>
        <v>28</v>
      </c>
      <c r="D55" s="30">
        <f>BaaS.3!E161</f>
        <v>28</v>
      </c>
      <c r="E55" s="30">
        <f>BaaS.3!F161</f>
        <v>42</v>
      </c>
      <c r="F55" s="30">
        <f>BaaS.3!G161</f>
        <v>42</v>
      </c>
      <c r="G55" s="30">
        <f>BaaS.3!H161</f>
        <v>42</v>
      </c>
      <c r="H55" s="30">
        <f>BaaS.3!I161</f>
        <v>42</v>
      </c>
      <c r="I55" s="30">
        <f>BaaS.3!J161</f>
        <v>56</v>
      </c>
      <c r="J55" s="30">
        <f>BaaS.3!K161</f>
        <v>56</v>
      </c>
      <c r="K55" s="30">
        <f>BaaS.3!L161</f>
        <v>70</v>
      </c>
      <c r="L55" s="30">
        <f>BaaS.3!M161</f>
        <v>70</v>
      </c>
      <c r="M55" s="30">
        <f>BaaS.3!N161</f>
        <v>70</v>
      </c>
      <c r="N55" s="30">
        <f>BaaS.3!O161</f>
        <v>84</v>
      </c>
      <c r="O55" s="30">
        <f>BaaS.3!P161</f>
        <v>84</v>
      </c>
      <c r="P55" s="30">
        <f>BaaS.3!Q161</f>
        <v>84</v>
      </c>
      <c r="Q55" s="30">
        <f>BaaS.3!R161</f>
        <v>84</v>
      </c>
      <c r="R55" s="30">
        <f>BaaS.3!S161</f>
        <v>84</v>
      </c>
      <c r="S55" s="30">
        <f>BaaS.3!T161</f>
        <v>84</v>
      </c>
      <c r="T55" s="30">
        <f>BaaS.3!U161</f>
        <v>84</v>
      </c>
      <c r="U55" s="30">
        <f>BaaS.3!V161</f>
        <v>84</v>
      </c>
      <c r="V55" s="30">
        <f>BaaS.3!W161</f>
        <v>84</v>
      </c>
      <c r="W55" s="30">
        <f>BaaS.3!X161</f>
        <v>84</v>
      </c>
      <c r="X55" s="30">
        <f>BaaS.3!Y161</f>
        <v>84</v>
      </c>
      <c r="Y55" s="30">
        <f>BaaS.3!Z161</f>
        <v>84</v>
      </c>
      <c r="Z55" s="30">
        <f>BaaS.3!AA161</f>
        <v>84</v>
      </c>
      <c r="AA55" s="30">
        <f>BaaS.3!AB161</f>
        <v>84</v>
      </c>
      <c r="AB55" s="30">
        <f>BaaS.3!AC161</f>
        <v>84</v>
      </c>
      <c r="AC55" s="30">
        <f>BaaS.3!AD161</f>
        <v>84</v>
      </c>
      <c r="AD55" s="30">
        <f>BaaS.3!AE161</f>
        <v>84</v>
      </c>
      <c r="AE55" s="30">
        <f>BaaS.3!AF161</f>
        <v>84</v>
      </c>
      <c r="AF55" s="30">
        <f>BaaS.3!AG161</f>
        <v>84</v>
      </c>
      <c r="AG55" s="30">
        <f>BaaS.3!AH161</f>
        <v>84</v>
      </c>
      <c r="AH55" s="30">
        <f>BaaS.3!AI161</f>
        <v>84</v>
      </c>
      <c r="AI55" s="30">
        <f>BaaS.3!AJ161</f>
        <v>84</v>
      </c>
      <c r="AJ55" s="30">
        <f>BaaS.3!AK161</f>
        <v>84</v>
      </c>
      <c r="AK55" s="30">
        <f>BaaS.3!AL161</f>
        <v>84</v>
      </c>
      <c r="AL55" s="30">
        <f>BaaS.3!AM161</f>
        <v>84</v>
      </c>
      <c r="AN55" s="30">
        <f t="shared" ref="AN55" si="50">SUM(C55:N55)</f>
        <v>630</v>
      </c>
      <c r="AO55" s="30">
        <f t="shared" ref="AO55" si="51">SUM(O55:Z55)</f>
        <v>1008</v>
      </c>
      <c r="AP55" s="30">
        <f t="shared" ref="AP55" si="52">SUM(AA55:AL55)</f>
        <v>1008</v>
      </c>
    </row>
    <row r="56" spans="2:42">
      <c r="B56" s="129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N56" s="30">
        <f t="shared" si="3"/>
        <v>0</v>
      </c>
      <c r="AO56" s="30">
        <f t="shared" si="4"/>
        <v>0</v>
      </c>
      <c r="AP56" s="30">
        <f t="shared" si="5"/>
        <v>0</v>
      </c>
    </row>
    <row r="57" spans="2:42">
      <c r="B57" s="129" t="s">
        <v>269</v>
      </c>
      <c r="C57" s="32">
        <f>SUM(C58:C60)</f>
        <v>15870.098039215685</v>
      </c>
      <c r="D57" s="32">
        <f t="shared" ref="D57:AL57" si="53">SUM(D58:D60)</f>
        <v>15870.098039215685</v>
      </c>
      <c r="E57" s="32">
        <f t="shared" si="53"/>
        <v>17401.960784313724</v>
      </c>
      <c r="F57" s="32">
        <f t="shared" si="53"/>
        <v>18431.372549019608</v>
      </c>
      <c r="G57" s="32">
        <f t="shared" si="53"/>
        <v>18431.372549019608</v>
      </c>
      <c r="H57" s="32">
        <f t="shared" si="53"/>
        <v>19963.235294117647</v>
      </c>
      <c r="I57" s="32">
        <f t="shared" si="53"/>
        <v>20992.647058823528</v>
      </c>
      <c r="J57" s="32">
        <f t="shared" si="53"/>
        <v>20992.647058823528</v>
      </c>
      <c r="K57" s="32">
        <f t="shared" si="53"/>
        <v>22524.509803921566</v>
      </c>
      <c r="L57" s="32">
        <f t="shared" si="53"/>
        <v>23553.921568627451</v>
      </c>
      <c r="M57" s="32">
        <f t="shared" si="53"/>
        <v>26617.647058823528</v>
      </c>
      <c r="N57" s="32">
        <f t="shared" si="53"/>
        <v>30710.784313725489</v>
      </c>
      <c r="O57" s="32">
        <f t="shared" si="53"/>
        <v>30710.784313725489</v>
      </c>
      <c r="P57" s="32">
        <f t="shared" si="53"/>
        <v>30710.784313725489</v>
      </c>
      <c r="Q57" s="32">
        <f t="shared" si="53"/>
        <v>30710.784313725489</v>
      </c>
      <c r="R57" s="32">
        <f t="shared" si="53"/>
        <v>30710.784313725489</v>
      </c>
      <c r="S57" s="32">
        <f t="shared" si="53"/>
        <v>30710.784313725489</v>
      </c>
      <c r="T57" s="32">
        <f t="shared" si="53"/>
        <v>30710.784313725489</v>
      </c>
      <c r="U57" s="32">
        <f t="shared" si="53"/>
        <v>30710.784313725489</v>
      </c>
      <c r="V57" s="32">
        <f t="shared" si="53"/>
        <v>30710.784313725489</v>
      </c>
      <c r="W57" s="32">
        <f t="shared" si="53"/>
        <v>30710.784313725489</v>
      </c>
      <c r="X57" s="32">
        <f t="shared" si="53"/>
        <v>30710.784313725489</v>
      </c>
      <c r="Y57" s="32">
        <f t="shared" si="53"/>
        <v>30710.784313725489</v>
      </c>
      <c r="Z57" s="32">
        <f t="shared" si="53"/>
        <v>30710.784313725489</v>
      </c>
      <c r="AA57" s="32">
        <f t="shared" si="53"/>
        <v>30710.784313725489</v>
      </c>
      <c r="AB57" s="32">
        <f t="shared" si="53"/>
        <v>30710.784313725489</v>
      </c>
      <c r="AC57" s="32">
        <f t="shared" si="53"/>
        <v>30710.784313725489</v>
      </c>
      <c r="AD57" s="32">
        <f t="shared" si="53"/>
        <v>30710.784313725489</v>
      </c>
      <c r="AE57" s="32">
        <f t="shared" si="53"/>
        <v>30710.784313725489</v>
      </c>
      <c r="AF57" s="32">
        <f t="shared" si="53"/>
        <v>30710.784313725489</v>
      </c>
      <c r="AG57" s="32">
        <f t="shared" si="53"/>
        <v>30710.784313725489</v>
      </c>
      <c r="AH57" s="32">
        <f t="shared" si="53"/>
        <v>30710.784313725489</v>
      </c>
      <c r="AI57" s="32">
        <f t="shared" si="53"/>
        <v>30710.784313725489</v>
      </c>
      <c r="AJ57" s="32">
        <f t="shared" si="53"/>
        <v>30710.784313725489</v>
      </c>
      <c r="AK57" s="32">
        <f t="shared" si="53"/>
        <v>30710.784313725489</v>
      </c>
      <c r="AL57" s="32">
        <f t="shared" si="53"/>
        <v>30710.784313725489</v>
      </c>
      <c r="AN57" s="30">
        <f t="shared" si="3"/>
        <v>251360.29411764702</v>
      </c>
      <c r="AO57" s="30">
        <f t="shared" si="4"/>
        <v>368529.41176470584</v>
      </c>
      <c r="AP57" s="30">
        <f t="shared" si="5"/>
        <v>368529.41176470584</v>
      </c>
    </row>
    <row r="58" spans="2:42" ht="13.8">
      <c r="B58" s="120" t="s">
        <v>135</v>
      </c>
      <c r="C58" s="30">
        <f>BaaS.3!D36</f>
        <v>15870.098039215685</v>
      </c>
      <c r="D58" s="30">
        <f>BaaS.3!E36</f>
        <v>15870.098039215685</v>
      </c>
      <c r="E58" s="30">
        <f>BaaS.3!F36</f>
        <v>17401.960784313724</v>
      </c>
      <c r="F58" s="30">
        <f>BaaS.3!G36</f>
        <v>18431.372549019608</v>
      </c>
      <c r="G58" s="30">
        <f>BaaS.3!H36</f>
        <v>18431.372549019608</v>
      </c>
      <c r="H58" s="30">
        <f>BaaS.3!I36</f>
        <v>19963.235294117647</v>
      </c>
      <c r="I58" s="30">
        <f>BaaS.3!J36</f>
        <v>20992.647058823528</v>
      </c>
      <c r="J58" s="30">
        <f>BaaS.3!K36</f>
        <v>20992.647058823528</v>
      </c>
      <c r="K58" s="30">
        <f>BaaS.3!L36</f>
        <v>22524.509803921566</v>
      </c>
      <c r="L58" s="30">
        <f>BaaS.3!M36</f>
        <v>23553.921568627451</v>
      </c>
      <c r="M58" s="30">
        <f>BaaS.3!N36</f>
        <v>26617.647058823528</v>
      </c>
      <c r="N58" s="30">
        <f>BaaS.3!O36</f>
        <v>30710.784313725489</v>
      </c>
      <c r="O58" s="30">
        <f>BaaS.3!P36</f>
        <v>30710.784313725489</v>
      </c>
      <c r="P58" s="30">
        <f>BaaS.3!Q36</f>
        <v>30710.784313725489</v>
      </c>
      <c r="Q58" s="30">
        <f>BaaS.3!R36</f>
        <v>30710.784313725489</v>
      </c>
      <c r="R58" s="30">
        <f>BaaS.3!S36</f>
        <v>30710.784313725489</v>
      </c>
      <c r="S58" s="30">
        <f>BaaS.3!T36</f>
        <v>30710.784313725489</v>
      </c>
      <c r="T58" s="30">
        <f>BaaS.3!U36</f>
        <v>30710.784313725489</v>
      </c>
      <c r="U58" s="30">
        <f>BaaS.3!V36</f>
        <v>30710.784313725489</v>
      </c>
      <c r="V58" s="30">
        <f>BaaS.3!W36</f>
        <v>30710.784313725489</v>
      </c>
      <c r="W58" s="30">
        <f>BaaS.3!X36</f>
        <v>30710.784313725489</v>
      </c>
      <c r="X58" s="30">
        <f>BaaS.3!Y36</f>
        <v>30710.784313725489</v>
      </c>
      <c r="Y58" s="30">
        <f>BaaS.3!Z36</f>
        <v>30710.784313725489</v>
      </c>
      <c r="Z58" s="30">
        <f>BaaS.3!AA36</f>
        <v>30710.784313725489</v>
      </c>
      <c r="AA58" s="30">
        <f>BaaS.3!AB36</f>
        <v>30710.784313725489</v>
      </c>
      <c r="AB58" s="30">
        <f>BaaS.3!AC36</f>
        <v>30710.784313725489</v>
      </c>
      <c r="AC58" s="30">
        <f>BaaS.3!AD36</f>
        <v>30710.784313725489</v>
      </c>
      <c r="AD58" s="30">
        <f>BaaS.3!AE36</f>
        <v>30710.784313725489</v>
      </c>
      <c r="AE58" s="30">
        <f>BaaS.3!AF36</f>
        <v>30710.784313725489</v>
      </c>
      <c r="AF58" s="30">
        <f>BaaS.3!AG36</f>
        <v>30710.784313725489</v>
      </c>
      <c r="AG58" s="30">
        <f>BaaS.3!AH36</f>
        <v>30710.784313725489</v>
      </c>
      <c r="AH58" s="30">
        <f>BaaS.3!AI36</f>
        <v>30710.784313725489</v>
      </c>
      <c r="AI58" s="30">
        <f>BaaS.3!AJ36</f>
        <v>30710.784313725489</v>
      </c>
      <c r="AJ58" s="30">
        <f>BaaS.3!AK36</f>
        <v>30710.784313725489</v>
      </c>
      <c r="AK58" s="30">
        <f>BaaS.3!AL36</f>
        <v>30710.784313725489</v>
      </c>
      <c r="AL58" s="30">
        <f>BaaS.3!AM36</f>
        <v>30710.784313725489</v>
      </c>
      <c r="AN58" s="30"/>
      <c r="AO58" s="30"/>
      <c r="AP58" s="30"/>
    </row>
    <row r="59" spans="2:42">
      <c r="B59" s="129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N59" s="30"/>
      <c r="AO59" s="30"/>
      <c r="AP59" s="30"/>
    </row>
    <row r="60" spans="2:42">
      <c r="B60" s="129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N60" s="30"/>
      <c r="AO60" s="30"/>
      <c r="AP60" s="30"/>
    </row>
    <row r="61" spans="2:42">
      <c r="B61" s="125" t="s">
        <v>41</v>
      </c>
      <c r="C61" s="32">
        <f>C62+C73</f>
        <v>-12254.72205882353</v>
      </c>
      <c r="D61" s="32">
        <f t="shared" ref="D61:AL61" si="54">D62+D73</f>
        <v>-12507.196862745097</v>
      </c>
      <c r="E61" s="32">
        <f t="shared" si="54"/>
        <v>-13750.771666666666</v>
      </c>
      <c r="F61" s="32">
        <f t="shared" si="54"/>
        <v>-14157.746470588236</v>
      </c>
      <c r="G61" s="32">
        <f t="shared" si="54"/>
        <v>-14459.621274509804</v>
      </c>
      <c r="H61" s="32">
        <f t="shared" si="54"/>
        <v>-15646.596078431372</v>
      </c>
      <c r="I61" s="32">
        <f t="shared" si="54"/>
        <v>-15905.896078431371</v>
      </c>
      <c r="J61" s="32">
        <f t="shared" si="54"/>
        <v>-16459.345686274508</v>
      </c>
      <c r="K61" s="32">
        <f t="shared" si="54"/>
        <v>-17909.595294117647</v>
      </c>
      <c r="L61" s="32">
        <f t="shared" si="54"/>
        <v>-18618.144901960783</v>
      </c>
      <c r="M61" s="32">
        <f t="shared" si="54"/>
        <v>-20997.194509803921</v>
      </c>
      <c r="N61" s="32">
        <f t="shared" si="54"/>
        <v>-23584.944117647057</v>
      </c>
      <c r="O61" s="32">
        <f t="shared" si="54"/>
        <v>-23584.944117647057</v>
      </c>
      <c r="P61" s="32">
        <f t="shared" si="54"/>
        <v>-23584.944117647057</v>
      </c>
      <c r="Q61" s="32">
        <f t="shared" si="54"/>
        <v>-23571.444117647057</v>
      </c>
      <c r="R61" s="32">
        <f t="shared" si="54"/>
        <v>-23571.444117647057</v>
      </c>
      <c r="S61" s="32">
        <f t="shared" si="54"/>
        <v>-23571.444117647057</v>
      </c>
      <c r="T61" s="32">
        <f t="shared" si="54"/>
        <v>-23571.444117647057</v>
      </c>
      <c r="U61" s="32">
        <f t="shared" si="54"/>
        <v>-23571.444117647057</v>
      </c>
      <c r="V61" s="32">
        <f t="shared" si="54"/>
        <v>-23571.444117647057</v>
      </c>
      <c r="W61" s="32">
        <f t="shared" si="54"/>
        <v>-23571.444117647057</v>
      </c>
      <c r="X61" s="32">
        <f t="shared" si="54"/>
        <v>-23571.444117647057</v>
      </c>
      <c r="Y61" s="32">
        <f t="shared" si="54"/>
        <v>-23571.444117647057</v>
      </c>
      <c r="Z61" s="32">
        <f t="shared" si="54"/>
        <v>-23571.444117647057</v>
      </c>
      <c r="AA61" s="32">
        <f t="shared" si="54"/>
        <v>-23571.444117647057</v>
      </c>
      <c r="AB61" s="32">
        <f t="shared" si="54"/>
        <v>-23571.444117647057</v>
      </c>
      <c r="AC61" s="32">
        <f t="shared" si="54"/>
        <v>-23571.444117647057</v>
      </c>
      <c r="AD61" s="32">
        <f t="shared" si="54"/>
        <v>-23571.444117647057</v>
      </c>
      <c r="AE61" s="32">
        <f t="shared" si="54"/>
        <v>-23571.444117647057</v>
      </c>
      <c r="AF61" s="32">
        <f t="shared" si="54"/>
        <v>-23571.444117647057</v>
      </c>
      <c r="AG61" s="32">
        <f t="shared" si="54"/>
        <v>-23571.444117647057</v>
      </c>
      <c r="AH61" s="32">
        <f t="shared" si="54"/>
        <v>-23571.444117647057</v>
      </c>
      <c r="AI61" s="32">
        <f t="shared" si="54"/>
        <v>-23571.444117647057</v>
      </c>
      <c r="AJ61" s="32">
        <f t="shared" si="54"/>
        <v>-23571.444117647057</v>
      </c>
      <c r="AK61" s="32">
        <f t="shared" si="54"/>
        <v>-23571.444117647057</v>
      </c>
      <c r="AL61" s="32">
        <f t="shared" si="54"/>
        <v>-23571.444117647057</v>
      </c>
      <c r="AN61" s="30">
        <f t="shared" si="3"/>
        <v>-196251.77499999997</v>
      </c>
      <c r="AO61" s="30">
        <f t="shared" si="4"/>
        <v>-282884.32941176475</v>
      </c>
      <c r="AP61" s="30">
        <f t="shared" si="5"/>
        <v>-282857.32941176475</v>
      </c>
    </row>
    <row r="62" spans="2:42">
      <c r="B62" s="129" t="s">
        <v>265</v>
      </c>
      <c r="C62" s="121">
        <f t="shared" ref="C62:AL62" si="55">SUM(C63:C72)</f>
        <v>-1452.1470588235293</v>
      </c>
      <c r="D62" s="121">
        <f t="shared" si="55"/>
        <v>-1498.056862745098</v>
      </c>
      <c r="E62" s="121">
        <f t="shared" si="55"/>
        <v>-1548.1666666666665</v>
      </c>
      <c r="F62" s="121">
        <f t="shared" si="55"/>
        <v>-1749.1764705882354</v>
      </c>
      <c r="G62" s="121">
        <f t="shared" si="55"/>
        <v>-1795.0862745098038</v>
      </c>
      <c r="H62" s="121">
        <f t="shared" si="55"/>
        <v>-1837.9960784313726</v>
      </c>
      <c r="I62" s="121">
        <f t="shared" si="55"/>
        <v>-1997.2960784313725</v>
      </c>
      <c r="J62" s="121">
        <f t="shared" si="55"/>
        <v>-2088.81568627451</v>
      </c>
      <c r="K62" s="121">
        <f t="shared" si="55"/>
        <v>-2189.6352941176469</v>
      </c>
      <c r="L62" s="121">
        <f t="shared" si="55"/>
        <v>-2436.2549019607841</v>
      </c>
      <c r="M62" s="121">
        <f t="shared" si="55"/>
        <v>-2527.7745098039213</v>
      </c>
      <c r="N62" s="121">
        <f t="shared" si="55"/>
        <v>-2778.5941176470583</v>
      </c>
      <c r="O62" s="121">
        <f t="shared" si="55"/>
        <v>-2778.5941176470583</v>
      </c>
      <c r="P62" s="121">
        <f t="shared" si="55"/>
        <v>-2778.5941176470583</v>
      </c>
      <c r="Q62" s="121">
        <f t="shared" si="55"/>
        <v>-2765.0941176470583</v>
      </c>
      <c r="R62" s="121">
        <f t="shared" si="55"/>
        <v>-2765.0941176470583</v>
      </c>
      <c r="S62" s="121">
        <f t="shared" si="55"/>
        <v>-2765.0941176470583</v>
      </c>
      <c r="T62" s="121">
        <f t="shared" si="55"/>
        <v>-2765.0941176470583</v>
      </c>
      <c r="U62" s="121">
        <f t="shared" si="55"/>
        <v>-2765.0941176470583</v>
      </c>
      <c r="V62" s="121">
        <f t="shared" si="55"/>
        <v>-2765.0941176470583</v>
      </c>
      <c r="W62" s="121">
        <f t="shared" si="55"/>
        <v>-2765.0941176470583</v>
      </c>
      <c r="X62" s="121">
        <f t="shared" si="55"/>
        <v>-2765.0941176470583</v>
      </c>
      <c r="Y62" s="121">
        <f t="shared" si="55"/>
        <v>-2765.0941176470583</v>
      </c>
      <c r="Z62" s="121">
        <f t="shared" si="55"/>
        <v>-2765.0941176470583</v>
      </c>
      <c r="AA62" s="121">
        <f t="shared" si="55"/>
        <v>-2765.0941176470583</v>
      </c>
      <c r="AB62" s="121">
        <f t="shared" si="55"/>
        <v>-2765.0941176470583</v>
      </c>
      <c r="AC62" s="121">
        <f t="shared" si="55"/>
        <v>-2765.0941176470583</v>
      </c>
      <c r="AD62" s="121">
        <f t="shared" si="55"/>
        <v>-2765.0941176470583</v>
      </c>
      <c r="AE62" s="121">
        <f t="shared" si="55"/>
        <v>-2765.0941176470583</v>
      </c>
      <c r="AF62" s="121">
        <f t="shared" si="55"/>
        <v>-2765.0941176470583</v>
      </c>
      <c r="AG62" s="121">
        <f t="shared" si="55"/>
        <v>-2765.0941176470583</v>
      </c>
      <c r="AH62" s="121">
        <f t="shared" si="55"/>
        <v>-2765.0941176470583</v>
      </c>
      <c r="AI62" s="121">
        <f t="shared" si="55"/>
        <v>-2765.0941176470583</v>
      </c>
      <c r="AJ62" s="121">
        <f t="shared" si="55"/>
        <v>-2765.0941176470583</v>
      </c>
      <c r="AK62" s="121">
        <f t="shared" si="55"/>
        <v>-2765.0941176470583</v>
      </c>
      <c r="AL62" s="121">
        <f t="shared" si="55"/>
        <v>-2765.0941176470583</v>
      </c>
      <c r="AN62" s="30">
        <f t="shared" si="3"/>
        <v>-23899</v>
      </c>
      <c r="AO62" s="30">
        <f t="shared" si="4"/>
        <v>-33208.129411764698</v>
      </c>
      <c r="AP62" s="30">
        <f t="shared" si="5"/>
        <v>-33181.129411764698</v>
      </c>
    </row>
    <row r="63" spans="2:42" ht="13.8">
      <c r="B63" s="120" t="s">
        <v>96</v>
      </c>
      <c r="C63" s="30">
        <f>BaaS.1!D30</f>
        <v>0</v>
      </c>
      <c r="D63" s="30">
        <f>BaaS.1!E30</f>
        <v>0</v>
      </c>
      <c r="E63" s="30">
        <f>BaaS.1!F30</f>
        <v>0</v>
      </c>
      <c r="F63" s="30">
        <f>BaaS.1!G30</f>
        <v>0</v>
      </c>
      <c r="G63" s="30">
        <f>BaaS.1!H30</f>
        <v>0</v>
      </c>
      <c r="H63" s="30">
        <f>BaaS.1!I30</f>
        <v>0</v>
      </c>
      <c r="I63" s="30">
        <f>BaaS.1!J30</f>
        <v>0</v>
      </c>
      <c r="J63" s="30">
        <f>BaaS.1!K30</f>
        <v>0</v>
      </c>
      <c r="K63" s="30">
        <f>BaaS.1!L30</f>
        <v>0</v>
      </c>
      <c r="L63" s="30">
        <f>BaaS.1!M30</f>
        <v>0</v>
      </c>
      <c r="M63" s="30">
        <f>BaaS.1!N30</f>
        <v>0</v>
      </c>
      <c r="N63" s="30">
        <f>BaaS.1!O30</f>
        <v>0</v>
      </c>
      <c r="O63" s="30">
        <f>BaaS.1!P30</f>
        <v>0</v>
      </c>
      <c r="P63" s="30">
        <f>BaaS.1!Q30</f>
        <v>0</v>
      </c>
      <c r="Q63" s="30">
        <f>BaaS.1!R30</f>
        <v>0</v>
      </c>
      <c r="R63" s="30">
        <f>BaaS.1!S30</f>
        <v>0</v>
      </c>
      <c r="S63" s="30">
        <f>BaaS.1!T30</f>
        <v>0</v>
      </c>
      <c r="T63" s="30">
        <f>BaaS.1!U30</f>
        <v>0</v>
      </c>
      <c r="U63" s="30">
        <f>BaaS.1!V30</f>
        <v>0</v>
      </c>
      <c r="V63" s="30">
        <f>BaaS.1!W30</f>
        <v>0</v>
      </c>
      <c r="W63" s="30">
        <f>BaaS.1!X30</f>
        <v>0</v>
      </c>
      <c r="X63" s="30">
        <f>BaaS.1!Y30</f>
        <v>0</v>
      </c>
      <c r="Y63" s="30">
        <f>BaaS.1!Z30</f>
        <v>0</v>
      </c>
      <c r="Z63" s="30">
        <f>BaaS.1!AA30</f>
        <v>0</v>
      </c>
      <c r="AA63" s="30">
        <f>BaaS.1!AB30</f>
        <v>0</v>
      </c>
      <c r="AB63" s="30">
        <f>BaaS.1!AC30</f>
        <v>0</v>
      </c>
      <c r="AC63" s="30">
        <f>BaaS.1!AD30</f>
        <v>0</v>
      </c>
      <c r="AD63" s="30">
        <f>BaaS.1!AE30</f>
        <v>0</v>
      </c>
      <c r="AE63" s="30">
        <f>BaaS.1!AF30</f>
        <v>0</v>
      </c>
      <c r="AF63" s="30">
        <f>BaaS.1!AG30</f>
        <v>0</v>
      </c>
      <c r="AG63" s="30">
        <f>BaaS.1!AH30</f>
        <v>0</v>
      </c>
      <c r="AH63" s="30">
        <f>BaaS.1!AI30</f>
        <v>0</v>
      </c>
      <c r="AI63" s="30">
        <f>BaaS.1!AJ30</f>
        <v>0</v>
      </c>
      <c r="AJ63" s="30">
        <f>BaaS.1!AK30</f>
        <v>0</v>
      </c>
      <c r="AK63" s="30">
        <f>BaaS.1!AL30</f>
        <v>0</v>
      </c>
      <c r="AL63" s="30">
        <f>BaaS.1!AM30</f>
        <v>0</v>
      </c>
      <c r="AN63" s="30">
        <f t="shared" si="3"/>
        <v>0</v>
      </c>
      <c r="AO63" s="30">
        <f t="shared" si="4"/>
        <v>0</v>
      </c>
      <c r="AP63" s="30">
        <f t="shared" si="5"/>
        <v>0</v>
      </c>
    </row>
    <row r="64" spans="2:42" ht="13.8">
      <c r="B64" s="120" t="s">
        <v>102</v>
      </c>
      <c r="C64" s="30">
        <f>BaaS.1!D52</f>
        <v>-15</v>
      </c>
      <c r="D64" s="30">
        <f>BaaS.1!E52</f>
        <v>-16</v>
      </c>
      <c r="E64" s="30">
        <f>BaaS.1!F52</f>
        <v>-17</v>
      </c>
      <c r="F64" s="30">
        <f>BaaS.1!G52</f>
        <v>-18</v>
      </c>
      <c r="G64" s="30">
        <f>BaaS.1!H52</f>
        <v>-19</v>
      </c>
      <c r="H64" s="30">
        <f>BaaS.1!I52</f>
        <v>-20</v>
      </c>
      <c r="I64" s="30">
        <f>BaaS.1!J52</f>
        <v>-20</v>
      </c>
      <c r="J64" s="30">
        <f>BaaS.1!K52</f>
        <v>-22</v>
      </c>
      <c r="K64" s="30">
        <f>BaaS.1!L52</f>
        <v>-24</v>
      </c>
      <c r="L64" s="30">
        <f>BaaS.1!M52</f>
        <v>-26</v>
      </c>
      <c r="M64" s="30">
        <f>BaaS.1!N52</f>
        <v>-28</v>
      </c>
      <c r="N64" s="30">
        <f>BaaS.1!O52</f>
        <v>-30</v>
      </c>
      <c r="O64" s="30">
        <f>BaaS.1!P52</f>
        <v>-30</v>
      </c>
      <c r="P64" s="30">
        <f>BaaS.1!Q52</f>
        <v>-30</v>
      </c>
      <c r="Q64" s="30">
        <f>BaaS.1!R52</f>
        <v>-30</v>
      </c>
      <c r="R64" s="30">
        <f>BaaS.1!S52</f>
        <v>-30</v>
      </c>
      <c r="S64" s="30">
        <f>BaaS.1!T52</f>
        <v>-30</v>
      </c>
      <c r="T64" s="30">
        <f>BaaS.1!U52</f>
        <v>-30</v>
      </c>
      <c r="U64" s="30">
        <f>BaaS.1!V52</f>
        <v>-30</v>
      </c>
      <c r="V64" s="30">
        <f>BaaS.1!W52</f>
        <v>-30</v>
      </c>
      <c r="W64" s="30">
        <f>BaaS.1!X52</f>
        <v>-30</v>
      </c>
      <c r="X64" s="30">
        <f>BaaS.1!Y52</f>
        <v>-30</v>
      </c>
      <c r="Y64" s="30">
        <f>BaaS.1!Z52</f>
        <v>-30</v>
      </c>
      <c r="Z64" s="30">
        <f>BaaS.1!AA52</f>
        <v>-30</v>
      </c>
      <c r="AA64" s="30">
        <f>BaaS.1!AB52</f>
        <v>-30</v>
      </c>
      <c r="AB64" s="30">
        <f>BaaS.1!AC52</f>
        <v>-30</v>
      </c>
      <c r="AC64" s="30">
        <f>BaaS.1!AD52</f>
        <v>-30</v>
      </c>
      <c r="AD64" s="30">
        <f>BaaS.1!AE52</f>
        <v>-30</v>
      </c>
      <c r="AE64" s="30">
        <f>BaaS.1!AF52</f>
        <v>-30</v>
      </c>
      <c r="AF64" s="30">
        <f>BaaS.1!AG52</f>
        <v>-30</v>
      </c>
      <c r="AG64" s="30">
        <f>BaaS.1!AH52</f>
        <v>-30</v>
      </c>
      <c r="AH64" s="30">
        <f>BaaS.1!AI52</f>
        <v>-30</v>
      </c>
      <c r="AI64" s="30">
        <f>BaaS.1!AJ52</f>
        <v>-30</v>
      </c>
      <c r="AJ64" s="30">
        <f>BaaS.1!AK52</f>
        <v>-30</v>
      </c>
      <c r="AK64" s="30">
        <f>BaaS.1!AL52</f>
        <v>-30</v>
      </c>
      <c r="AL64" s="30">
        <f>BaaS.1!AM52</f>
        <v>-30</v>
      </c>
      <c r="AN64" s="30">
        <f t="shared" si="3"/>
        <v>-255</v>
      </c>
      <c r="AO64" s="30">
        <f t="shared" si="4"/>
        <v>-360</v>
      </c>
      <c r="AP64" s="30">
        <f t="shared" si="5"/>
        <v>-360</v>
      </c>
    </row>
    <row r="65" spans="2:42" ht="13.8">
      <c r="B65" s="120" t="s">
        <v>103</v>
      </c>
      <c r="C65" s="30">
        <f>BaaS.1!D74</f>
        <v>-15</v>
      </c>
      <c r="D65" s="30">
        <f>BaaS.1!E74</f>
        <v>-16</v>
      </c>
      <c r="E65" s="30">
        <f>BaaS.1!F74</f>
        <v>-17</v>
      </c>
      <c r="F65" s="30">
        <f>BaaS.1!G74</f>
        <v>-18</v>
      </c>
      <c r="G65" s="30">
        <f>BaaS.1!H74</f>
        <v>-19</v>
      </c>
      <c r="H65" s="30">
        <f>BaaS.1!I74</f>
        <v>-20</v>
      </c>
      <c r="I65" s="30">
        <f>BaaS.1!J74</f>
        <v>-20</v>
      </c>
      <c r="J65" s="30">
        <f>BaaS.1!K74</f>
        <v>-22</v>
      </c>
      <c r="K65" s="30">
        <f>BaaS.1!L74</f>
        <v>-24</v>
      </c>
      <c r="L65" s="30">
        <f>BaaS.1!M74</f>
        <v>-26</v>
      </c>
      <c r="M65" s="30">
        <f>BaaS.1!N74</f>
        <v>-28</v>
      </c>
      <c r="N65" s="30">
        <f>BaaS.1!O74</f>
        <v>-30</v>
      </c>
      <c r="O65" s="30">
        <f>BaaS.1!P74</f>
        <v>-30</v>
      </c>
      <c r="P65" s="30">
        <f>BaaS.1!Q74</f>
        <v>-30</v>
      </c>
      <c r="Q65" s="30">
        <f>BaaS.1!R74</f>
        <v>-30</v>
      </c>
      <c r="R65" s="30">
        <f>BaaS.1!S74</f>
        <v>-30</v>
      </c>
      <c r="S65" s="30">
        <f>BaaS.1!T74</f>
        <v>-30</v>
      </c>
      <c r="T65" s="30">
        <f>BaaS.1!U74</f>
        <v>-30</v>
      </c>
      <c r="U65" s="30">
        <f>BaaS.1!V74</f>
        <v>-30</v>
      </c>
      <c r="V65" s="30">
        <f>BaaS.1!W74</f>
        <v>-30</v>
      </c>
      <c r="W65" s="30">
        <f>BaaS.1!X74</f>
        <v>-30</v>
      </c>
      <c r="X65" s="30">
        <f>BaaS.1!Y74</f>
        <v>-30</v>
      </c>
      <c r="Y65" s="30">
        <f>BaaS.1!Z74</f>
        <v>-30</v>
      </c>
      <c r="Z65" s="30">
        <f>BaaS.1!AA74</f>
        <v>-30</v>
      </c>
      <c r="AA65" s="30">
        <f>BaaS.1!AB74</f>
        <v>-30</v>
      </c>
      <c r="AB65" s="30">
        <f>BaaS.1!AC74</f>
        <v>-30</v>
      </c>
      <c r="AC65" s="30">
        <f>BaaS.1!AD74</f>
        <v>-30</v>
      </c>
      <c r="AD65" s="30">
        <f>BaaS.1!AE74</f>
        <v>-30</v>
      </c>
      <c r="AE65" s="30">
        <f>BaaS.1!AF74</f>
        <v>-30</v>
      </c>
      <c r="AF65" s="30">
        <f>BaaS.1!AG74</f>
        <v>-30</v>
      </c>
      <c r="AG65" s="30">
        <f>BaaS.1!AH74</f>
        <v>-30</v>
      </c>
      <c r="AH65" s="30">
        <f>BaaS.1!AI74</f>
        <v>-30</v>
      </c>
      <c r="AI65" s="30">
        <f>BaaS.1!AJ74</f>
        <v>-30</v>
      </c>
      <c r="AJ65" s="30">
        <f>BaaS.1!AK74</f>
        <v>-30</v>
      </c>
      <c r="AK65" s="30">
        <f>BaaS.1!AL74</f>
        <v>-30</v>
      </c>
      <c r="AL65" s="30">
        <f>BaaS.1!AM74</f>
        <v>-30</v>
      </c>
      <c r="AN65" s="30">
        <f t="shared" si="3"/>
        <v>-255</v>
      </c>
      <c r="AO65" s="30">
        <f t="shared" si="4"/>
        <v>-360</v>
      </c>
      <c r="AP65" s="30">
        <f t="shared" si="5"/>
        <v>-360</v>
      </c>
    </row>
    <row r="66" spans="2:42" ht="13.8">
      <c r="B66" s="120" t="s">
        <v>108</v>
      </c>
      <c r="C66" s="30">
        <f>BaaS.1!D100</f>
        <v>-15</v>
      </c>
      <c r="D66" s="30">
        <f>BaaS.1!E100</f>
        <v>-16</v>
      </c>
      <c r="E66" s="30">
        <f>BaaS.1!F100</f>
        <v>-17</v>
      </c>
      <c r="F66" s="30">
        <f>BaaS.1!G100</f>
        <v>-18</v>
      </c>
      <c r="G66" s="30">
        <f>BaaS.1!H100</f>
        <v>-19</v>
      </c>
      <c r="H66" s="30">
        <f>BaaS.1!I100</f>
        <v>-20</v>
      </c>
      <c r="I66" s="30">
        <f>BaaS.1!J100</f>
        <v>-20</v>
      </c>
      <c r="J66" s="30">
        <f>BaaS.1!K100</f>
        <v>-22</v>
      </c>
      <c r="K66" s="30">
        <f>BaaS.1!L100</f>
        <v>-24</v>
      </c>
      <c r="L66" s="30">
        <f>BaaS.1!M100</f>
        <v>-26</v>
      </c>
      <c r="M66" s="30">
        <f>BaaS.1!N100</f>
        <v>-28</v>
      </c>
      <c r="N66" s="30">
        <f>BaaS.1!O100</f>
        <v>-30</v>
      </c>
      <c r="O66" s="30">
        <f>BaaS.1!P100</f>
        <v>-30</v>
      </c>
      <c r="P66" s="30">
        <f>BaaS.1!Q100</f>
        <v>-30</v>
      </c>
      <c r="Q66" s="30">
        <f>BaaS.1!R100</f>
        <v>-30</v>
      </c>
      <c r="R66" s="30">
        <f>BaaS.1!S100</f>
        <v>-30</v>
      </c>
      <c r="S66" s="30">
        <f>BaaS.1!T100</f>
        <v>-30</v>
      </c>
      <c r="T66" s="30">
        <f>BaaS.1!U100</f>
        <v>-30</v>
      </c>
      <c r="U66" s="30">
        <f>BaaS.1!V100</f>
        <v>-30</v>
      </c>
      <c r="V66" s="30">
        <f>BaaS.1!W100</f>
        <v>-30</v>
      </c>
      <c r="W66" s="30">
        <f>BaaS.1!X100</f>
        <v>-30</v>
      </c>
      <c r="X66" s="30">
        <f>BaaS.1!Y100</f>
        <v>-30</v>
      </c>
      <c r="Y66" s="30">
        <f>BaaS.1!Z100</f>
        <v>-30</v>
      </c>
      <c r="Z66" s="30">
        <f>BaaS.1!AA100</f>
        <v>-30</v>
      </c>
      <c r="AA66" s="30">
        <f>BaaS.1!AB100</f>
        <v>-30</v>
      </c>
      <c r="AB66" s="30">
        <f>BaaS.1!AC100</f>
        <v>-30</v>
      </c>
      <c r="AC66" s="30">
        <f>BaaS.1!AD100</f>
        <v>-30</v>
      </c>
      <c r="AD66" s="30">
        <f>BaaS.1!AE100</f>
        <v>-30</v>
      </c>
      <c r="AE66" s="30">
        <f>BaaS.1!AF100</f>
        <v>-30</v>
      </c>
      <c r="AF66" s="30">
        <f>BaaS.1!AG100</f>
        <v>-30</v>
      </c>
      <c r="AG66" s="30">
        <f>BaaS.1!AH100</f>
        <v>-30</v>
      </c>
      <c r="AH66" s="30">
        <f>BaaS.1!AI100</f>
        <v>-30</v>
      </c>
      <c r="AI66" s="30">
        <f>BaaS.1!AJ100</f>
        <v>-30</v>
      </c>
      <c r="AJ66" s="30">
        <f>BaaS.1!AK100</f>
        <v>-30</v>
      </c>
      <c r="AK66" s="30">
        <f>BaaS.1!AL100</f>
        <v>-30</v>
      </c>
      <c r="AL66" s="30">
        <f>BaaS.1!AM100</f>
        <v>-30</v>
      </c>
      <c r="AN66" s="30">
        <f t="shared" si="3"/>
        <v>-255</v>
      </c>
      <c r="AO66" s="30">
        <f t="shared" si="4"/>
        <v>-360</v>
      </c>
      <c r="AP66" s="30">
        <f t="shared" si="5"/>
        <v>-360</v>
      </c>
    </row>
    <row r="67" spans="2:42" ht="13.8">
      <c r="B67" s="120" t="s">
        <v>270</v>
      </c>
      <c r="C67" s="30">
        <f>BaaS.1!D117</f>
        <v>-0.14705882352941177</v>
      </c>
      <c r="D67" s="30">
        <f>BaaS.1!E117</f>
        <v>-0.15686274509803921</v>
      </c>
      <c r="E67" s="30">
        <f>BaaS.1!F117</f>
        <v>-0.16666666666666666</v>
      </c>
      <c r="F67" s="30">
        <f>BaaS.1!G117</f>
        <v>-0.1764705882352941</v>
      </c>
      <c r="G67" s="30">
        <f>BaaS.1!H117</f>
        <v>-0.18627450980392155</v>
      </c>
      <c r="H67" s="30">
        <f>BaaS.1!I117</f>
        <v>-0.19607843137254899</v>
      </c>
      <c r="I67" s="30">
        <f>BaaS.1!J117</f>
        <v>-0.19607843137254899</v>
      </c>
      <c r="J67" s="30">
        <f>BaaS.1!K117</f>
        <v>-0.2156862745098039</v>
      </c>
      <c r="K67" s="30">
        <f>BaaS.1!L117</f>
        <v>-0.23529411764705882</v>
      </c>
      <c r="L67" s="30">
        <f>BaaS.1!M117</f>
        <v>-0.25490196078431371</v>
      </c>
      <c r="M67" s="30">
        <f>BaaS.1!N117</f>
        <v>-0.2745098039215686</v>
      </c>
      <c r="N67" s="30">
        <f>BaaS.1!O117</f>
        <v>-0.29411764705882354</v>
      </c>
      <c r="O67" s="30">
        <f>BaaS.1!P117</f>
        <v>-0.29411764705882354</v>
      </c>
      <c r="P67" s="30">
        <f>BaaS.1!Q117</f>
        <v>-0.29411764705882354</v>
      </c>
      <c r="Q67" s="30">
        <f>BaaS.1!R117</f>
        <v>-0.29411764705882354</v>
      </c>
      <c r="R67" s="30">
        <f>BaaS.1!S117</f>
        <v>-0.29411764705882354</v>
      </c>
      <c r="S67" s="30">
        <f>BaaS.1!T117</f>
        <v>-0.29411764705882354</v>
      </c>
      <c r="T67" s="30">
        <f>BaaS.1!U117</f>
        <v>-0.29411764705882354</v>
      </c>
      <c r="U67" s="30">
        <f>BaaS.1!V117</f>
        <v>-0.29411764705882354</v>
      </c>
      <c r="V67" s="30">
        <f>BaaS.1!W117</f>
        <v>-0.29411764705882354</v>
      </c>
      <c r="W67" s="30">
        <f>BaaS.1!X117</f>
        <v>-0.29411764705882354</v>
      </c>
      <c r="X67" s="30">
        <f>BaaS.1!Y117</f>
        <v>-0.29411764705882354</v>
      </c>
      <c r="Y67" s="30">
        <f>BaaS.1!Z117</f>
        <v>-0.29411764705882354</v>
      </c>
      <c r="Z67" s="30">
        <f>BaaS.1!AA117</f>
        <v>-0.29411764705882354</v>
      </c>
      <c r="AA67" s="30">
        <f>BaaS.1!AB117</f>
        <v>-0.29411764705882354</v>
      </c>
      <c r="AB67" s="30">
        <f>BaaS.1!AC117</f>
        <v>-0.29411764705882354</v>
      </c>
      <c r="AC67" s="30">
        <f>BaaS.1!AD117</f>
        <v>-0.29411764705882354</v>
      </c>
      <c r="AD67" s="30">
        <f>BaaS.1!AE117</f>
        <v>-0.29411764705882354</v>
      </c>
      <c r="AE67" s="30">
        <f>BaaS.1!AF117</f>
        <v>-0.29411764705882354</v>
      </c>
      <c r="AF67" s="30">
        <f>BaaS.1!AG117</f>
        <v>-0.29411764705882354</v>
      </c>
      <c r="AG67" s="30">
        <f>BaaS.1!AH117</f>
        <v>-0.29411764705882354</v>
      </c>
      <c r="AH67" s="30">
        <f>BaaS.1!AI117</f>
        <v>-0.29411764705882354</v>
      </c>
      <c r="AI67" s="30">
        <f>BaaS.1!AJ117</f>
        <v>-0.29411764705882354</v>
      </c>
      <c r="AJ67" s="30">
        <f>BaaS.1!AK117</f>
        <v>-0.29411764705882354</v>
      </c>
      <c r="AK67" s="30">
        <f>BaaS.1!AL117</f>
        <v>-0.29411764705882354</v>
      </c>
      <c r="AL67" s="30">
        <f>BaaS.1!AM117</f>
        <v>-0.29411764705882354</v>
      </c>
      <c r="AN67" s="30">
        <f t="shared" si="3"/>
        <v>-2.4999999999999996</v>
      </c>
      <c r="AO67" s="30">
        <f t="shared" si="4"/>
        <v>-3.5294117647058818</v>
      </c>
      <c r="AP67" s="30">
        <f t="shared" si="5"/>
        <v>-3.5294117647058818</v>
      </c>
    </row>
    <row r="68" spans="2:42" ht="13.8">
      <c r="B68" s="120" t="s">
        <v>272</v>
      </c>
      <c r="C68" s="30">
        <f>BaaS.2!D12</f>
        <v>-643.5</v>
      </c>
      <c r="D68" s="30">
        <f>BaaS.2!E12</f>
        <v>-686.4</v>
      </c>
      <c r="E68" s="30">
        <f>BaaS.2!F12</f>
        <v>-729.3</v>
      </c>
      <c r="F68" s="30">
        <f>BaaS.2!G12</f>
        <v>-772.2</v>
      </c>
      <c r="G68" s="30">
        <f>BaaS.2!H12</f>
        <v>-815.1</v>
      </c>
      <c r="H68" s="30">
        <f>BaaS.2!I12</f>
        <v>-855</v>
      </c>
      <c r="I68" s="30">
        <f>BaaS.2!J12</f>
        <v>-855</v>
      </c>
      <c r="J68" s="30">
        <f>BaaS.2!K12</f>
        <v>-940.5</v>
      </c>
      <c r="K68" s="30">
        <f>BaaS.2!L12</f>
        <v>-1026</v>
      </c>
      <c r="L68" s="30">
        <f>BaaS.2!M12</f>
        <v>-1111.5</v>
      </c>
      <c r="M68" s="30">
        <f>BaaS.2!N12</f>
        <v>-1197</v>
      </c>
      <c r="N68" s="30">
        <f>BaaS.2!O12</f>
        <v>-1282.5</v>
      </c>
      <c r="O68" s="30">
        <f>BaaS.2!P12</f>
        <v>-1282.5</v>
      </c>
      <c r="P68" s="30">
        <f>BaaS.2!Q12</f>
        <v>-1282.5</v>
      </c>
      <c r="Q68" s="30">
        <f>BaaS.2!R12</f>
        <v>-1269</v>
      </c>
      <c r="R68" s="30">
        <f>BaaS.2!S12</f>
        <v>-1269</v>
      </c>
      <c r="S68" s="30">
        <f>BaaS.2!T12</f>
        <v>-1269</v>
      </c>
      <c r="T68" s="30">
        <f>BaaS.2!U12</f>
        <v>-1269</v>
      </c>
      <c r="U68" s="30">
        <f>BaaS.2!V12</f>
        <v>-1269</v>
      </c>
      <c r="V68" s="30">
        <f>BaaS.2!W12</f>
        <v>-1269</v>
      </c>
      <c r="W68" s="30">
        <f>BaaS.2!X12</f>
        <v>-1269</v>
      </c>
      <c r="X68" s="30">
        <f>BaaS.2!Y12</f>
        <v>-1269</v>
      </c>
      <c r="Y68" s="30">
        <f>BaaS.2!Z12</f>
        <v>-1269</v>
      </c>
      <c r="Z68" s="30">
        <f>BaaS.2!AA12</f>
        <v>-1269</v>
      </c>
      <c r="AA68" s="30">
        <f>BaaS.2!AB12</f>
        <v>-1269</v>
      </c>
      <c r="AB68" s="30">
        <f>BaaS.2!AC12</f>
        <v>-1269</v>
      </c>
      <c r="AC68" s="30">
        <f>BaaS.2!AD12</f>
        <v>-1269</v>
      </c>
      <c r="AD68" s="30">
        <f>BaaS.2!AE12</f>
        <v>-1269</v>
      </c>
      <c r="AE68" s="30">
        <f>BaaS.2!AF12</f>
        <v>-1269</v>
      </c>
      <c r="AF68" s="30">
        <f>BaaS.2!AG12</f>
        <v>-1269</v>
      </c>
      <c r="AG68" s="30">
        <f>BaaS.2!AH12</f>
        <v>-1269</v>
      </c>
      <c r="AH68" s="30">
        <f>BaaS.2!AI12</f>
        <v>-1269</v>
      </c>
      <c r="AI68" s="30">
        <f>BaaS.2!AJ12</f>
        <v>-1269</v>
      </c>
      <c r="AJ68" s="30">
        <f>BaaS.2!AK12</f>
        <v>-1269</v>
      </c>
      <c r="AK68" s="30">
        <f>BaaS.2!AL12</f>
        <v>-1269</v>
      </c>
      <c r="AL68" s="30">
        <f>BaaS.2!AM12</f>
        <v>-1269</v>
      </c>
      <c r="AN68" s="30">
        <f t="shared" ref="AN68" si="56">SUM(C68:N68)</f>
        <v>-10914</v>
      </c>
      <c r="AO68" s="30">
        <f t="shared" ref="AO68" si="57">SUM(O68:Z68)</f>
        <v>-15255</v>
      </c>
      <c r="AP68" s="30">
        <f t="shared" ref="AP68" si="58">SUM(AA68:AL68)</f>
        <v>-15228</v>
      </c>
    </row>
    <row r="69" spans="2:42" ht="13.8">
      <c r="B69" s="120" t="s">
        <v>135</v>
      </c>
      <c r="C69" s="30">
        <f>BaaS.3!D42</f>
        <v>-750</v>
      </c>
      <c r="D69" s="30">
        <f>BaaS.3!E42</f>
        <v>-750</v>
      </c>
      <c r="E69" s="30">
        <f>BaaS.3!F42</f>
        <v>-750</v>
      </c>
      <c r="F69" s="30">
        <f>BaaS.3!G42</f>
        <v>-900</v>
      </c>
      <c r="G69" s="30">
        <f>BaaS.3!H42</f>
        <v>-900</v>
      </c>
      <c r="H69" s="30">
        <f>BaaS.3!I42</f>
        <v>-900</v>
      </c>
      <c r="I69" s="30">
        <f>BaaS.3!J42</f>
        <v>-1050</v>
      </c>
      <c r="J69" s="30">
        <f>BaaS.3!K42</f>
        <v>-1050</v>
      </c>
      <c r="K69" s="30">
        <f>BaaS.3!L42</f>
        <v>-1050</v>
      </c>
      <c r="L69" s="30">
        <f>BaaS.3!M42</f>
        <v>-1200</v>
      </c>
      <c r="M69" s="30">
        <f>BaaS.3!N42</f>
        <v>-1200</v>
      </c>
      <c r="N69" s="30">
        <f>BaaS.3!O42</f>
        <v>-1350</v>
      </c>
      <c r="O69" s="30">
        <f>BaaS.3!P42</f>
        <v>-1350</v>
      </c>
      <c r="P69" s="30">
        <f>BaaS.3!Q42</f>
        <v>-1350</v>
      </c>
      <c r="Q69" s="30">
        <f>BaaS.3!R42</f>
        <v>-1350</v>
      </c>
      <c r="R69" s="30">
        <f>BaaS.3!S42</f>
        <v>-1350</v>
      </c>
      <c r="S69" s="30">
        <f>BaaS.3!T42</f>
        <v>-1350</v>
      </c>
      <c r="T69" s="30">
        <f>BaaS.3!U42</f>
        <v>-1350</v>
      </c>
      <c r="U69" s="30">
        <f>BaaS.3!V42</f>
        <v>-1350</v>
      </c>
      <c r="V69" s="30">
        <f>BaaS.3!W42</f>
        <v>-1350</v>
      </c>
      <c r="W69" s="30">
        <f>BaaS.3!X42</f>
        <v>-1350</v>
      </c>
      <c r="X69" s="30">
        <f>BaaS.3!Y42</f>
        <v>-1350</v>
      </c>
      <c r="Y69" s="30">
        <f>BaaS.3!Z42</f>
        <v>-1350</v>
      </c>
      <c r="Z69" s="30">
        <f>BaaS.3!AA42</f>
        <v>-1350</v>
      </c>
      <c r="AA69" s="30">
        <f>BaaS.3!AB42</f>
        <v>-1350</v>
      </c>
      <c r="AB69" s="30">
        <f>BaaS.3!AC42</f>
        <v>-1350</v>
      </c>
      <c r="AC69" s="30">
        <f>BaaS.3!AD42</f>
        <v>-1350</v>
      </c>
      <c r="AD69" s="30">
        <f>BaaS.3!AE42</f>
        <v>-1350</v>
      </c>
      <c r="AE69" s="30">
        <f>BaaS.3!AF42</f>
        <v>-1350</v>
      </c>
      <c r="AF69" s="30">
        <f>BaaS.3!AG42</f>
        <v>-1350</v>
      </c>
      <c r="AG69" s="30">
        <f>BaaS.3!AH42</f>
        <v>-1350</v>
      </c>
      <c r="AH69" s="30">
        <f>BaaS.3!AI42</f>
        <v>-1350</v>
      </c>
      <c r="AI69" s="30">
        <f>BaaS.3!AJ42</f>
        <v>-1350</v>
      </c>
      <c r="AJ69" s="30">
        <f>BaaS.3!AK42</f>
        <v>-1350</v>
      </c>
      <c r="AK69" s="30">
        <f>BaaS.3!AL42</f>
        <v>-1350</v>
      </c>
      <c r="AL69" s="30">
        <f>BaaS.3!AM42</f>
        <v>-1350</v>
      </c>
      <c r="AN69" s="30"/>
      <c r="AO69" s="30"/>
      <c r="AP69" s="30"/>
    </row>
    <row r="70" spans="2:42" ht="13.8">
      <c r="B70" s="120" t="s">
        <v>136</v>
      </c>
      <c r="C70" s="32">
        <f>BaaS.3!D102</f>
        <v>-5.0999999999999996</v>
      </c>
      <c r="D70" s="32">
        <f>BaaS.3!E102</f>
        <v>-5.0999999999999996</v>
      </c>
      <c r="E70" s="32">
        <f>BaaS.3!F102</f>
        <v>-5.0999999999999996</v>
      </c>
      <c r="F70" s="32">
        <f>BaaS.3!G102</f>
        <v>-10.199999999999999</v>
      </c>
      <c r="G70" s="32">
        <f>BaaS.3!H102</f>
        <v>-10.199999999999999</v>
      </c>
      <c r="H70" s="32">
        <f>BaaS.3!I102</f>
        <v>-10.199999999999999</v>
      </c>
      <c r="I70" s="32">
        <f>BaaS.3!J102</f>
        <v>-15.299999999999999</v>
      </c>
      <c r="J70" s="32">
        <f>BaaS.3!K102</f>
        <v>-15.299999999999999</v>
      </c>
      <c r="K70" s="32">
        <f>BaaS.3!L102</f>
        <v>-20.399999999999999</v>
      </c>
      <c r="L70" s="32">
        <f>BaaS.3!M102</f>
        <v>-25.5</v>
      </c>
      <c r="M70" s="32">
        <f>BaaS.3!N102</f>
        <v>-25.5</v>
      </c>
      <c r="N70" s="32">
        <f>BaaS.3!O102</f>
        <v>-30.599999999999998</v>
      </c>
      <c r="O70" s="32">
        <f>BaaS.3!P102</f>
        <v>-30.599999999999998</v>
      </c>
      <c r="P70" s="32">
        <f>BaaS.3!Q102</f>
        <v>-30.599999999999998</v>
      </c>
      <c r="Q70" s="32">
        <f>BaaS.3!R102</f>
        <v>-30.599999999999998</v>
      </c>
      <c r="R70" s="32">
        <f>BaaS.3!S102</f>
        <v>-30.599999999999998</v>
      </c>
      <c r="S70" s="32">
        <f>BaaS.3!T102</f>
        <v>-30.599999999999998</v>
      </c>
      <c r="T70" s="32">
        <f>BaaS.3!U102</f>
        <v>-30.599999999999998</v>
      </c>
      <c r="U70" s="32">
        <f>BaaS.3!V102</f>
        <v>-30.599999999999998</v>
      </c>
      <c r="V70" s="32">
        <f>BaaS.3!W102</f>
        <v>-30.599999999999998</v>
      </c>
      <c r="W70" s="32">
        <f>BaaS.3!X102</f>
        <v>-30.599999999999998</v>
      </c>
      <c r="X70" s="32">
        <f>BaaS.3!Y102</f>
        <v>-30.599999999999998</v>
      </c>
      <c r="Y70" s="32">
        <f>BaaS.3!Z102</f>
        <v>-30.599999999999998</v>
      </c>
      <c r="Z70" s="32">
        <f>BaaS.3!AA102</f>
        <v>-30.599999999999998</v>
      </c>
      <c r="AA70" s="32">
        <f>BaaS.3!AB102</f>
        <v>-30.599999999999998</v>
      </c>
      <c r="AB70" s="32">
        <f>BaaS.3!AC102</f>
        <v>-30.599999999999998</v>
      </c>
      <c r="AC70" s="32">
        <f>BaaS.3!AD102</f>
        <v>-30.599999999999998</v>
      </c>
      <c r="AD70" s="32">
        <f>BaaS.3!AE102</f>
        <v>-30.599999999999998</v>
      </c>
      <c r="AE70" s="32">
        <f>BaaS.3!AF102</f>
        <v>-30.599999999999998</v>
      </c>
      <c r="AF70" s="32">
        <f>BaaS.3!AG102</f>
        <v>-30.599999999999998</v>
      </c>
      <c r="AG70" s="32">
        <f>BaaS.3!AH102</f>
        <v>-30.599999999999998</v>
      </c>
      <c r="AH70" s="32">
        <f>BaaS.3!AI102</f>
        <v>-30.599999999999998</v>
      </c>
      <c r="AI70" s="32">
        <f>BaaS.3!AJ102</f>
        <v>-30.599999999999998</v>
      </c>
      <c r="AJ70" s="32">
        <f>BaaS.3!AK102</f>
        <v>-30.599999999999998</v>
      </c>
      <c r="AK70" s="32">
        <f>BaaS.3!AL102</f>
        <v>-30.599999999999998</v>
      </c>
      <c r="AL70" s="32">
        <f>BaaS.3!AM102</f>
        <v>-30.599999999999998</v>
      </c>
      <c r="AN70" s="30">
        <f t="shared" ref="AN70:AN71" si="59">SUM(C70:N70)</f>
        <v>-178.5</v>
      </c>
      <c r="AO70" s="30">
        <f t="shared" ref="AO70:AO71" si="60">SUM(O70:Z70)</f>
        <v>-367.20000000000005</v>
      </c>
      <c r="AP70" s="30">
        <f t="shared" ref="AP70:AP71" si="61">SUM(AA70:AL70)</f>
        <v>-367.20000000000005</v>
      </c>
    </row>
    <row r="71" spans="2:42" ht="13.8">
      <c r="B71" s="120" t="s">
        <v>170</v>
      </c>
      <c r="C71" s="30">
        <f>BaaS.3!D163</f>
        <v>-8.4</v>
      </c>
      <c r="D71" s="30">
        <f>BaaS.3!E163</f>
        <v>-8.4</v>
      </c>
      <c r="E71" s="30">
        <f>BaaS.3!F163</f>
        <v>-12.6</v>
      </c>
      <c r="F71" s="30">
        <f>BaaS.3!G163</f>
        <v>-12.6</v>
      </c>
      <c r="G71" s="30">
        <f>BaaS.3!H163</f>
        <v>-12.6</v>
      </c>
      <c r="H71" s="30">
        <f>BaaS.3!I163</f>
        <v>-12.6</v>
      </c>
      <c r="I71" s="30">
        <f>BaaS.3!J163</f>
        <v>-16.8</v>
      </c>
      <c r="J71" s="30">
        <f>BaaS.3!K163</f>
        <v>-16.8</v>
      </c>
      <c r="K71" s="30">
        <f>BaaS.3!L163</f>
        <v>-21</v>
      </c>
      <c r="L71" s="30">
        <f>BaaS.3!M163</f>
        <v>-21</v>
      </c>
      <c r="M71" s="30">
        <f>BaaS.3!N163</f>
        <v>-21</v>
      </c>
      <c r="N71" s="30">
        <f>BaaS.3!O163</f>
        <v>-25.2</v>
      </c>
      <c r="O71" s="30">
        <f>BaaS.3!P163</f>
        <v>-25.2</v>
      </c>
      <c r="P71" s="30">
        <f>BaaS.3!Q163</f>
        <v>-25.2</v>
      </c>
      <c r="Q71" s="30">
        <f>BaaS.3!R163</f>
        <v>-25.2</v>
      </c>
      <c r="R71" s="30">
        <f>BaaS.3!S163</f>
        <v>-25.2</v>
      </c>
      <c r="S71" s="30">
        <f>BaaS.3!T163</f>
        <v>-25.2</v>
      </c>
      <c r="T71" s="30">
        <f>BaaS.3!U163</f>
        <v>-25.2</v>
      </c>
      <c r="U71" s="30">
        <f>BaaS.3!V163</f>
        <v>-25.2</v>
      </c>
      <c r="V71" s="30">
        <f>BaaS.3!W163</f>
        <v>-25.2</v>
      </c>
      <c r="W71" s="30">
        <f>BaaS.3!X163</f>
        <v>-25.2</v>
      </c>
      <c r="X71" s="30">
        <f>BaaS.3!Y163</f>
        <v>-25.2</v>
      </c>
      <c r="Y71" s="30">
        <f>BaaS.3!Z163</f>
        <v>-25.2</v>
      </c>
      <c r="Z71" s="30">
        <f>BaaS.3!AA163</f>
        <v>-25.2</v>
      </c>
      <c r="AA71" s="30">
        <f>BaaS.3!AB163</f>
        <v>-25.2</v>
      </c>
      <c r="AB71" s="30">
        <f>BaaS.3!AC163</f>
        <v>-25.2</v>
      </c>
      <c r="AC71" s="30">
        <f>BaaS.3!AD163</f>
        <v>-25.2</v>
      </c>
      <c r="AD71" s="30">
        <f>BaaS.3!AE163</f>
        <v>-25.2</v>
      </c>
      <c r="AE71" s="30">
        <f>BaaS.3!AF163</f>
        <v>-25.2</v>
      </c>
      <c r="AF71" s="30">
        <f>BaaS.3!AG163</f>
        <v>-25.2</v>
      </c>
      <c r="AG71" s="30">
        <f>BaaS.3!AH163</f>
        <v>-25.2</v>
      </c>
      <c r="AH71" s="30">
        <f>BaaS.3!AI163</f>
        <v>-25.2</v>
      </c>
      <c r="AI71" s="30">
        <f>BaaS.3!AJ163</f>
        <v>-25.2</v>
      </c>
      <c r="AJ71" s="30">
        <f>BaaS.3!AK163</f>
        <v>-25.2</v>
      </c>
      <c r="AK71" s="30">
        <f>BaaS.3!AL163</f>
        <v>-25.2</v>
      </c>
      <c r="AL71" s="30">
        <f>BaaS.3!AM163</f>
        <v>-25.2</v>
      </c>
      <c r="AN71" s="30">
        <f t="shared" si="59"/>
        <v>-189</v>
      </c>
      <c r="AO71" s="30">
        <f t="shared" si="60"/>
        <v>-302.39999999999992</v>
      </c>
      <c r="AP71" s="30">
        <f t="shared" si="61"/>
        <v>-302.39999999999992</v>
      </c>
    </row>
    <row r="72" spans="2:42" ht="13.8">
      <c r="B72" s="120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N72" s="30">
        <f t="shared" si="3"/>
        <v>0</v>
      </c>
      <c r="AO72" s="30">
        <f t="shared" si="4"/>
        <v>0</v>
      </c>
      <c r="AP72" s="30">
        <f t="shared" si="5"/>
        <v>0</v>
      </c>
    </row>
    <row r="73" spans="2:42">
      <c r="B73" s="129" t="s">
        <v>268</v>
      </c>
      <c r="C73" s="121">
        <f>SUM(C74:C81)</f>
        <v>-10802.575000000001</v>
      </c>
      <c r="D73" s="121">
        <f t="shared" ref="D73:AL73" si="62">SUM(D74:D81)</f>
        <v>-11009.14</v>
      </c>
      <c r="E73" s="121">
        <f t="shared" si="62"/>
        <v>-12202.605</v>
      </c>
      <c r="F73" s="121">
        <f t="shared" si="62"/>
        <v>-12408.57</v>
      </c>
      <c r="G73" s="121">
        <f t="shared" si="62"/>
        <v>-12664.535</v>
      </c>
      <c r="H73" s="121">
        <f t="shared" si="62"/>
        <v>-13808.599999999999</v>
      </c>
      <c r="I73" s="121">
        <f t="shared" si="62"/>
        <v>-13908.599999999999</v>
      </c>
      <c r="J73" s="121">
        <f t="shared" si="62"/>
        <v>-14370.529999999999</v>
      </c>
      <c r="K73" s="121">
        <f t="shared" si="62"/>
        <v>-15719.96</v>
      </c>
      <c r="L73" s="121">
        <f t="shared" si="62"/>
        <v>-16181.89</v>
      </c>
      <c r="M73" s="121">
        <f t="shared" si="62"/>
        <v>-18469.419999999998</v>
      </c>
      <c r="N73" s="121">
        <f t="shared" si="62"/>
        <v>-20806.349999999999</v>
      </c>
      <c r="O73" s="121">
        <f t="shared" si="62"/>
        <v>-20806.349999999999</v>
      </c>
      <c r="P73" s="121">
        <f t="shared" si="62"/>
        <v>-20806.349999999999</v>
      </c>
      <c r="Q73" s="121">
        <f t="shared" si="62"/>
        <v>-20806.349999999999</v>
      </c>
      <c r="R73" s="121">
        <f t="shared" si="62"/>
        <v>-20806.349999999999</v>
      </c>
      <c r="S73" s="121">
        <f t="shared" si="62"/>
        <v>-20806.349999999999</v>
      </c>
      <c r="T73" s="121">
        <f t="shared" si="62"/>
        <v>-20806.349999999999</v>
      </c>
      <c r="U73" s="121">
        <f t="shared" si="62"/>
        <v>-20806.349999999999</v>
      </c>
      <c r="V73" s="121">
        <f t="shared" si="62"/>
        <v>-20806.349999999999</v>
      </c>
      <c r="W73" s="121">
        <f t="shared" si="62"/>
        <v>-20806.349999999999</v>
      </c>
      <c r="X73" s="121">
        <f t="shared" si="62"/>
        <v>-20806.349999999999</v>
      </c>
      <c r="Y73" s="121">
        <f t="shared" si="62"/>
        <v>-20806.349999999999</v>
      </c>
      <c r="Z73" s="121">
        <f t="shared" si="62"/>
        <v>-20806.349999999999</v>
      </c>
      <c r="AA73" s="121">
        <f t="shared" si="62"/>
        <v>-20806.349999999999</v>
      </c>
      <c r="AB73" s="121">
        <f t="shared" si="62"/>
        <v>-20806.349999999999</v>
      </c>
      <c r="AC73" s="121">
        <f t="shared" si="62"/>
        <v>-20806.349999999999</v>
      </c>
      <c r="AD73" s="121">
        <f t="shared" si="62"/>
        <v>-20806.349999999999</v>
      </c>
      <c r="AE73" s="121">
        <f t="shared" si="62"/>
        <v>-20806.349999999999</v>
      </c>
      <c r="AF73" s="121">
        <f t="shared" si="62"/>
        <v>-20806.349999999999</v>
      </c>
      <c r="AG73" s="121">
        <f t="shared" si="62"/>
        <v>-20806.349999999999</v>
      </c>
      <c r="AH73" s="121">
        <f t="shared" si="62"/>
        <v>-20806.349999999999</v>
      </c>
      <c r="AI73" s="121">
        <f t="shared" si="62"/>
        <v>-20806.349999999999</v>
      </c>
      <c r="AJ73" s="121">
        <f t="shared" si="62"/>
        <v>-20806.349999999999</v>
      </c>
      <c r="AK73" s="121">
        <f t="shared" si="62"/>
        <v>-20806.349999999999</v>
      </c>
      <c r="AL73" s="121">
        <f t="shared" si="62"/>
        <v>-20806.349999999999</v>
      </c>
      <c r="AN73" s="30">
        <f t="shared" si="3"/>
        <v>-172352.77499999999</v>
      </c>
      <c r="AO73" s="30">
        <f t="shared" si="4"/>
        <v>-249676.20000000004</v>
      </c>
      <c r="AP73" s="30">
        <f t="shared" si="5"/>
        <v>-249676.20000000004</v>
      </c>
    </row>
    <row r="74" spans="2:42" ht="13.8">
      <c r="B74" s="120" t="s">
        <v>134</v>
      </c>
      <c r="C74" s="32">
        <f>BaaS.3!D16</f>
        <v>-36.975000000000001</v>
      </c>
      <c r="D74" s="32">
        <f>BaaS.3!E16</f>
        <v>-39.44</v>
      </c>
      <c r="E74" s="32">
        <f>BaaS.3!F16</f>
        <v>-41.905000000000001</v>
      </c>
      <c r="F74" s="32">
        <f>BaaS.3!G16</f>
        <v>-44.37</v>
      </c>
      <c r="G74" s="32">
        <f>BaaS.3!H16</f>
        <v>-46.835000000000001</v>
      </c>
      <c r="H74" s="32">
        <f>BaaS.3!I16</f>
        <v>-49.3</v>
      </c>
      <c r="I74" s="32">
        <f>BaaS.3!J16</f>
        <v>-49.3</v>
      </c>
      <c r="J74" s="32">
        <f>BaaS.3!K16</f>
        <v>-54.23</v>
      </c>
      <c r="K74" s="32">
        <f>BaaS.3!L16</f>
        <v>-59.16</v>
      </c>
      <c r="L74" s="32">
        <f>BaaS.3!M16</f>
        <v>-64.089999999999989</v>
      </c>
      <c r="M74" s="32">
        <f>BaaS.3!N16</f>
        <v>-69.02</v>
      </c>
      <c r="N74" s="32">
        <f>BaaS.3!O16</f>
        <v>-73.95</v>
      </c>
      <c r="O74" s="32">
        <f>BaaS.3!P16</f>
        <v>-73.95</v>
      </c>
      <c r="P74" s="32">
        <f>BaaS.3!Q16</f>
        <v>-73.95</v>
      </c>
      <c r="Q74" s="32">
        <f>BaaS.3!R16</f>
        <v>-73.95</v>
      </c>
      <c r="R74" s="32">
        <f>BaaS.3!S16</f>
        <v>-73.95</v>
      </c>
      <c r="S74" s="32">
        <f>BaaS.3!T16</f>
        <v>-73.95</v>
      </c>
      <c r="T74" s="32">
        <f>BaaS.3!U16</f>
        <v>-73.95</v>
      </c>
      <c r="U74" s="32">
        <f>BaaS.3!V16</f>
        <v>-73.95</v>
      </c>
      <c r="V74" s="32">
        <f>BaaS.3!W16</f>
        <v>-73.95</v>
      </c>
      <c r="W74" s="32">
        <f>BaaS.3!X16</f>
        <v>-73.95</v>
      </c>
      <c r="X74" s="32">
        <f>BaaS.3!Y16</f>
        <v>-73.95</v>
      </c>
      <c r="Y74" s="32">
        <f>BaaS.3!Z16</f>
        <v>-73.95</v>
      </c>
      <c r="Z74" s="32">
        <f>BaaS.3!AA16</f>
        <v>-73.95</v>
      </c>
      <c r="AA74" s="32">
        <f>BaaS.3!AB16</f>
        <v>-73.95</v>
      </c>
      <c r="AB74" s="32">
        <f>BaaS.3!AC16</f>
        <v>-73.95</v>
      </c>
      <c r="AC74" s="32">
        <f>BaaS.3!AD16</f>
        <v>-73.95</v>
      </c>
      <c r="AD74" s="32">
        <f>BaaS.3!AE16</f>
        <v>-73.95</v>
      </c>
      <c r="AE74" s="32">
        <f>BaaS.3!AF16</f>
        <v>-73.95</v>
      </c>
      <c r="AF74" s="32">
        <f>BaaS.3!AG16</f>
        <v>-73.95</v>
      </c>
      <c r="AG74" s="32">
        <f>BaaS.3!AH16</f>
        <v>-73.95</v>
      </c>
      <c r="AH74" s="32">
        <f>BaaS.3!AI16</f>
        <v>-73.95</v>
      </c>
      <c r="AI74" s="32">
        <f>BaaS.3!AJ16</f>
        <v>-73.95</v>
      </c>
      <c r="AJ74" s="32">
        <f>BaaS.3!AK16</f>
        <v>-73.95</v>
      </c>
      <c r="AK74" s="32">
        <f>BaaS.3!AL16</f>
        <v>-73.95</v>
      </c>
      <c r="AL74" s="32">
        <f>BaaS.3!AM16</f>
        <v>-73.95</v>
      </c>
      <c r="AN74" s="30">
        <f t="shared" ref="AN74" si="63">SUM(C74:N74)</f>
        <v>-628.57500000000005</v>
      </c>
      <c r="AO74" s="30">
        <f t="shared" ref="AO74" si="64">SUM(O74:Z74)</f>
        <v>-887.4000000000002</v>
      </c>
      <c r="AP74" s="30">
        <f t="shared" ref="AP74" si="65">SUM(AA74:AL74)</f>
        <v>-887.4000000000002</v>
      </c>
    </row>
    <row r="75" spans="2:42" ht="13.8">
      <c r="B75" s="120" t="s">
        <v>135</v>
      </c>
      <c r="C75" s="30">
        <f>BaaS.3!D38+BaaS.3!D40</f>
        <v>-6562.5</v>
      </c>
      <c r="D75" s="30">
        <f>BaaS.3!E38+BaaS.3!E40</f>
        <v>-6562.5</v>
      </c>
      <c r="E75" s="30">
        <f>BaaS.3!F38+BaaS.3!F40</f>
        <v>-7500</v>
      </c>
      <c r="F75" s="30">
        <f>BaaS.3!G38+BaaS.3!G40</f>
        <v>-7500</v>
      </c>
      <c r="G75" s="30">
        <f>BaaS.3!H38+BaaS.3!H40</f>
        <v>-7500</v>
      </c>
      <c r="H75" s="30">
        <f>BaaS.3!I38+BaaS.3!I40</f>
        <v>-8437.5</v>
      </c>
      <c r="I75" s="30">
        <f>BaaS.3!J38+BaaS.3!J40</f>
        <v>-8437.5</v>
      </c>
      <c r="J75" s="30">
        <f>BaaS.3!K38+BaaS.3!K40</f>
        <v>-8437.5</v>
      </c>
      <c r="K75" s="30">
        <f>BaaS.3!L38+BaaS.3!L40</f>
        <v>-9375</v>
      </c>
      <c r="L75" s="30">
        <f>BaaS.3!M38+BaaS.3!M40</f>
        <v>-9375</v>
      </c>
      <c r="M75" s="30">
        <f>BaaS.3!N38+BaaS.3!N40</f>
        <v>-11250</v>
      </c>
      <c r="N75" s="30">
        <f>BaaS.3!O38+BaaS.3!O40</f>
        <v>-13125</v>
      </c>
      <c r="O75" s="30">
        <f>BaaS.3!P38+BaaS.3!P40</f>
        <v>-13125</v>
      </c>
      <c r="P75" s="30">
        <f>BaaS.3!Q38+BaaS.3!Q40</f>
        <v>-13125</v>
      </c>
      <c r="Q75" s="30">
        <f>BaaS.3!R38+BaaS.3!R40</f>
        <v>-13125</v>
      </c>
      <c r="R75" s="30">
        <f>BaaS.3!S38+BaaS.3!S40</f>
        <v>-13125</v>
      </c>
      <c r="S75" s="30">
        <f>BaaS.3!T38+BaaS.3!T40</f>
        <v>-13125</v>
      </c>
      <c r="T75" s="30">
        <f>BaaS.3!U38+BaaS.3!U40</f>
        <v>-13125</v>
      </c>
      <c r="U75" s="30">
        <f>BaaS.3!V38+BaaS.3!V40</f>
        <v>-13125</v>
      </c>
      <c r="V75" s="30">
        <f>BaaS.3!W38+BaaS.3!W40</f>
        <v>-13125</v>
      </c>
      <c r="W75" s="30">
        <f>BaaS.3!X38+BaaS.3!X40</f>
        <v>-13125</v>
      </c>
      <c r="X75" s="30">
        <f>BaaS.3!Y38+BaaS.3!Y40</f>
        <v>-13125</v>
      </c>
      <c r="Y75" s="30">
        <f>BaaS.3!Z38+BaaS.3!Z40</f>
        <v>-13125</v>
      </c>
      <c r="Z75" s="30">
        <f>BaaS.3!AA38+BaaS.3!AA40</f>
        <v>-13125</v>
      </c>
      <c r="AA75" s="30">
        <f>BaaS.3!AB38+BaaS.3!AB40</f>
        <v>-13125</v>
      </c>
      <c r="AB75" s="30">
        <f>BaaS.3!AC38+BaaS.3!AC40</f>
        <v>-13125</v>
      </c>
      <c r="AC75" s="30">
        <f>BaaS.3!AD38+BaaS.3!AD40</f>
        <v>-13125</v>
      </c>
      <c r="AD75" s="30">
        <f>BaaS.3!AE38+BaaS.3!AE40</f>
        <v>-13125</v>
      </c>
      <c r="AE75" s="30">
        <f>BaaS.3!AF38+BaaS.3!AF40</f>
        <v>-13125</v>
      </c>
      <c r="AF75" s="30">
        <f>BaaS.3!AG38+BaaS.3!AG40</f>
        <v>-13125</v>
      </c>
      <c r="AG75" s="30">
        <f>BaaS.3!AH38+BaaS.3!AH40</f>
        <v>-13125</v>
      </c>
      <c r="AH75" s="30">
        <f>BaaS.3!AI38+BaaS.3!AI40</f>
        <v>-13125</v>
      </c>
      <c r="AI75" s="30">
        <f>BaaS.3!AJ38+BaaS.3!AJ40</f>
        <v>-13125</v>
      </c>
      <c r="AJ75" s="30">
        <f>BaaS.3!AK38+BaaS.3!AK40</f>
        <v>-13125</v>
      </c>
      <c r="AK75" s="30">
        <f>BaaS.3!AL38+BaaS.3!AL40</f>
        <v>-13125</v>
      </c>
      <c r="AL75" s="30">
        <f>BaaS.3!AM38+BaaS.3!AM40</f>
        <v>-13125</v>
      </c>
      <c r="AN75" s="30"/>
      <c r="AO75" s="30"/>
      <c r="AP75" s="30"/>
    </row>
    <row r="76" spans="2:42" ht="13.8">
      <c r="B76" s="120" t="s">
        <v>201</v>
      </c>
      <c r="C76" s="30">
        <f>BaaS.3!D56</f>
        <v>0</v>
      </c>
      <c r="D76" s="30">
        <f>BaaS.3!E56</f>
        <v>0</v>
      </c>
      <c r="E76" s="30">
        <f>BaaS.3!F56</f>
        <v>0</v>
      </c>
      <c r="F76" s="30">
        <f>BaaS.3!G56</f>
        <v>0</v>
      </c>
      <c r="G76" s="30">
        <f>BaaS.3!H56</f>
        <v>0</v>
      </c>
      <c r="H76" s="30">
        <f>BaaS.3!I56</f>
        <v>0</v>
      </c>
      <c r="I76" s="30">
        <f>BaaS.3!J56</f>
        <v>0</v>
      </c>
      <c r="J76" s="30">
        <f>BaaS.3!K56</f>
        <v>0</v>
      </c>
      <c r="K76" s="30">
        <f>BaaS.3!L56</f>
        <v>0</v>
      </c>
      <c r="L76" s="30">
        <f>BaaS.3!M56</f>
        <v>0</v>
      </c>
      <c r="M76" s="30">
        <f>BaaS.3!N56</f>
        <v>0</v>
      </c>
      <c r="N76" s="30">
        <f>BaaS.3!O56</f>
        <v>0</v>
      </c>
      <c r="O76" s="30">
        <f>BaaS.3!P56</f>
        <v>0</v>
      </c>
      <c r="P76" s="30">
        <f>BaaS.3!Q56</f>
        <v>0</v>
      </c>
      <c r="Q76" s="30">
        <f>BaaS.3!R56</f>
        <v>0</v>
      </c>
      <c r="R76" s="30">
        <f>BaaS.3!S56</f>
        <v>0</v>
      </c>
      <c r="S76" s="30">
        <f>BaaS.3!T56</f>
        <v>0</v>
      </c>
      <c r="T76" s="30">
        <f>BaaS.3!U56</f>
        <v>0</v>
      </c>
      <c r="U76" s="30">
        <f>BaaS.3!V56</f>
        <v>0</v>
      </c>
      <c r="V76" s="30">
        <f>BaaS.3!W56</f>
        <v>0</v>
      </c>
      <c r="W76" s="30">
        <f>BaaS.3!X56</f>
        <v>0</v>
      </c>
      <c r="X76" s="30">
        <f>BaaS.3!Y56</f>
        <v>0</v>
      </c>
      <c r="Y76" s="30">
        <f>BaaS.3!Z56</f>
        <v>0</v>
      </c>
      <c r="Z76" s="30">
        <f>BaaS.3!AA56</f>
        <v>0</v>
      </c>
      <c r="AA76" s="30">
        <f>BaaS.3!AB56</f>
        <v>0</v>
      </c>
      <c r="AB76" s="30">
        <f>BaaS.3!AC56</f>
        <v>0</v>
      </c>
      <c r="AC76" s="30">
        <f>BaaS.3!AD56</f>
        <v>0</v>
      </c>
      <c r="AD76" s="30">
        <f>BaaS.3!AE56</f>
        <v>0</v>
      </c>
      <c r="AE76" s="30">
        <f>BaaS.3!AF56</f>
        <v>0</v>
      </c>
      <c r="AF76" s="30">
        <f>BaaS.3!AG56</f>
        <v>0</v>
      </c>
      <c r="AG76" s="30">
        <f>BaaS.3!AH56</f>
        <v>0</v>
      </c>
      <c r="AH76" s="30">
        <f>BaaS.3!AI56</f>
        <v>0</v>
      </c>
      <c r="AI76" s="30">
        <f>BaaS.3!AJ56</f>
        <v>0</v>
      </c>
      <c r="AJ76" s="30">
        <f>BaaS.3!AK56</f>
        <v>0</v>
      </c>
      <c r="AK76" s="30">
        <f>BaaS.3!AL56</f>
        <v>0</v>
      </c>
      <c r="AL76" s="30">
        <f>BaaS.3!AM56</f>
        <v>0</v>
      </c>
      <c r="AN76" s="30"/>
      <c r="AO76" s="30"/>
      <c r="AP76" s="30"/>
    </row>
    <row r="77" spans="2:42" ht="13.8">
      <c r="B77" s="120" t="s">
        <v>305</v>
      </c>
      <c r="C77" s="30">
        <f>BaaS.3!D90</f>
        <v>-0.6</v>
      </c>
      <c r="D77" s="30">
        <f>BaaS.3!E90</f>
        <v>-1.2</v>
      </c>
      <c r="E77" s="30">
        <f>BaaS.3!F90</f>
        <v>-1.2</v>
      </c>
      <c r="F77" s="30">
        <f>BaaS.3!G90</f>
        <v>-1.2</v>
      </c>
      <c r="G77" s="30">
        <f>BaaS.3!H90</f>
        <v>-1.2</v>
      </c>
      <c r="H77" s="30">
        <f>BaaS.3!I90</f>
        <v>-1.8</v>
      </c>
      <c r="I77" s="30">
        <f>BaaS.3!J90</f>
        <v>-1.8</v>
      </c>
      <c r="J77" s="30">
        <f>BaaS.3!K90</f>
        <v>-1.8</v>
      </c>
      <c r="K77" s="30">
        <f>BaaS.3!L90</f>
        <v>-1.8</v>
      </c>
      <c r="L77" s="30">
        <f>BaaS.3!M90</f>
        <v>-1.8</v>
      </c>
      <c r="M77" s="30">
        <f>BaaS.3!N90</f>
        <v>-2.4</v>
      </c>
      <c r="N77" s="30">
        <f>BaaS.3!O90</f>
        <v>-2.4</v>
      </c>
      <c r="O77" s="30">
        <f>BaaS.3!P90</f>
        <v>-2.4</v>
      </c>
      <c r="P77" s="30">
        <f>BaaS.3!Q90</f>
        <v>-2.4</v>
      </c>
      <c r="Q77" s="30">
        <f>BaaS.3!R90</f>
        <v>-2.4</v>
      </c>
      <c r="R77" s="30">
        <f>BaaS.3!S90</f>
        <v>-2.4</v>
      </c>
      <c r="S77" s="30">
        <f>BaaS.3!T90</f>
        <v>-2.4</v>
      </c>
      <c r="T77" s="30">
        <f>BaaS.3!U90</f>
        <v>-2.4</v>
      </c>
      <c r="U77" s="30">
        <f>BaaS.3!V90</f>
        <v>-2.4</v>
      </c>
      <c r="V77" s="30">
        <f>BaaS.3!W90</f>
        <v>-2.4</v>
      </c>
      <c r="W77" s="30">
        <f>BaaS.3!X90</f>
        <v>-2.4</v>
      </c>
      <c r="X77" s="30">
        <f>BaaS.3!Y90</f>
        <v>-2.4</v>
      </c>
      <c r="Y77" s="30">
        <f>BaaS.3!Z90</f>
        <v>-2.4</v>
      </c>
      <c r="Z77" s="30">
        <f>BaaS.3!AA90</f>
        <v>-2.4</v>
      </c>
      <c r="AA77" s="30">
        <f>BaaS.3!AB90</f>
        <v>-2.4</v>
      </c>
      <c r="AB77" s="30">
        <f>BaaS.3!AC90</f>
        <v>-2.4</v>
      </c>
      <c r="AC77" s="30">
        <f>BaaS.3!AD90</f>
        <v>-2.4</v>
      </c>
      <c r="AD77" s="30">
        <f>BaaS.3!AE90</f>
        <v>-2.4</v>
      </c>
      <c r="AE77" s="30">
        <f>BaaS.3!AF90</f>
        <v>-2.4</v>
      </c>
      <c r="AF77" s="30">
        <f>BaaS.3!AG90</f>
        <v>-2.4</v>
      </c>
      <c r="AG77" s="30">
        <f>BaaS.3!AH90</f>
        <v>-2.4</v>
      </c>
      <c r="AH77" s="30">
        <f>BaaS.3!AI90</f>
        <v>-2.4</v>
      </c>
      <c r="AI77" s="30">
        <f>BaaS.3!AJ90</f>
        <v>-2.4</v>
      </c>
      <c r="AJ77" s="30">
        <f>BaaS.3!AK90</f>
        <v>-2.4</v>
      </c>
      <c r="AK77" s="30">
        <f>BaaS.3!AL90</f>
        <v>-2.4</v>
      </c>
      <c r="AL77" s="30">
        <f>BaaS.3!AM90</f>
        <v>-2.4</v>
      </c>
      <c r="AN77" s="30"/>
      <c r="AO77" s="30"/>
      <c r="AP77" s="30"/>
    </row>
    <row r="78" spans="2:42" ht="13.8">
      <c r="B78" s="120" t="s">
        <v>137</v>
      </c>
      <c r="C78" s="30">
        <f>BaaS.3!D113</f>
        <v>-1150</v>
      </c>
      <c r="D78" s="30">
        <f>BaaS.3!E113</f>
        <v>-1150</v>
      </c>
      <c r="E78" s="30">
        <f>BaaS.3!F113</f>
        <v>-1200</v>
      </c>
      <c r="F78" s="30">
        <f>BaaS.3!G113</f>
        <v>-1200</v>
      </c>
      <c r="G78" s="30">
        <f>BaaS.3!H113</f>
        <v>-1250</v>
      </c>
      <c r="H78" s="30">
        <f>BaaS.3!I113</f>
        <v>-1250</v>
      </c>
      <c r="I78" s="30">
        <f>BaaS.3!J113</f>
        <v>-1350</v>
      </c>
      <c r="J78" s="30">
        <f>BaaS.3!K113</f>
        <v>-1400</v>
      </c>
      <c r="K78" s="30">
        <f>BaaS.3!L113</f>
        <v>-1400</v>
      </c>
      <c r="L78" s="30">
        <f>BaaS.3!M113</f>
        <v>-1450</v>
      </c>
      <c r="M78" s="30">
        <f>BaaS.3!N113</f>
        <v>-1450</v>
      </c>
      <c r="N78" s="30">
        <f>BaaS.3!O113</f>
        <v>-1500</v>
      </c>
      <c r="O78" s="30">
        <f>BaaS.3!P113</f>
        <v>-1500</v>
      </c>
      <c r="P78" s="30">
        <f>BaaS.3!Q113</f>
        <v>-1500</v>
      </c>
      <c r="Q78" s="30">
        <f>BaaS.3!R113</f>
        <v>-1500</v>
      </c>
      <c r="R78" s="30">
        <f>BaaS.3!S113</f>
        <v>-1500</v>
      </c>
      <c r="S78" s="30">
        <f>BaaS.3!T113</f>
        <v>-1500</v>
      </c>
      <c r="T78" s="30">
        <f>BaaS.3!U113</f>
        <v>-1500</v>
      </c>
      <c r="U78" s="30">
        <f>BaaS.3!V113</f>
        <v>-1500</v>
      </c>
      <c r="V78" s="30">
        <f>BaaS.3!W113</f>
        <v>-1500</v>
      </c>
      <c r="W78" s="30">
        <f>BaaS.3!X113</f>
        <v>-1500</v>
      </c>
      <c r="X78" s="30">
        <f>BaaS.3!Y113</f>
        <v>-1500</v>
      </c>
      <c r="Y78" s="30">
        <f>BaaS.3!Z113</f>
        <v>-1500</v>
      </c>
      <c r="Z78" s="30">
        <f>BaaS.3!AA113</f>
        <v>-1500</v>
      </c>
      <c r="AA78" s="30">
        <f>BaaS.3!AB113</f>
        <v>-1500</v>
      </c>
      <c r="AB78" s="30">
        <f>BaaS.3!AC113</f>
        <v>-1500</v>
      </c>
      <c r="AC78" s="30">
        <f>BaaS.3!AD113</f>
        <v>-1500</v>
      </c>
      <c r="AD78" s="30">
        <f>BaaS.3!AE113</f>
        <v>-1500</v>
      </c>
      <c r="AE78" s="30">
        <f>BaaS.3!AF113</f>
        <v>-1500</v>
      </c>
      <c r="AF78" s="30">
        <f>BaaS.3!AG113</f>
        <v>-1500</v>
      </c>
      <c r="AG78" s="30">
        <f>BaaS.3!AH113</f>
        <v>-1500</v>
      </c>
      <c r="AH78" s="30">
        <f>BaaS.3!AI113</f>
        <v>-1500</v>
      </c>
      <c r="AI78" s="30">
        <f>BaaS.3!AJ113</f>
        <v>-1500</v>
      </c>
      <c r="AJ78" s="30">
        <f>BaaS.3!AK113</f>
        <v>-1500</v>
      </c>
      <c r="AK78" s="30">
        <f>BaaS.3!AL113</f>
        <v>-1500</v>
      </c>
      <c r="AL78" s="30">
        <f>BaaS.3!AM113</f>
        <v>-1500</v>
      </c>
      <c r="AN78" s="30"/>
      <c r="AO78" s="30"/>
      <c r="AP78" s="30"/>
    </row>
    <row r="79" spans="2:42" ht="13.8">
      <c r="B79" s="120" t="s">
        <v>309</v>
      </c>
      <c r="C79" s="30">
        <f>BaaS.3!D125+BaaS.3!D127</f>
        <v>-3007.5</v>
      </c>
      <c r="D79" s="30">
        <f>BaaS.3!E125+BaaS.3!E127</f>
        <v>-3208</v>
      </c>
      <c r="E79" s="30">
        <f>BaaS.3!F125+BaaS.3!F127</f>
        <v>-3408.5</v>
      </c>
      <c r="F79" s="30">
        <f>BaaS.3!G125+BaaS.3!G127</f>
        <v>-3609</v>
      </c>
      <c r="G79" s="30">
        <f>BaaS.3!H125+BaaS.3!H127</f>
        <v>-3809.5</v>
      </c>
      <c r="H79" s="30">
        <f>BaaS.3!I125+BaaS.3!I127</f>
        <v>-4010</v>
      </c>
      <c r="I79" s="30">
        <f>BaaS.3!J125+BaaS.3!J127</f>
        <v>-4010</v>
      </c>
      <c r="J79" s="30">
        <f>BaaS.3!K125+BaaS.3!K127</f>
        <v>-4411</v>
      </c>
      <c r="K79" s="30">
        <f>BaaS.3!L125+BaaS.3!L127</f>
        <v>-4812</v>
      </c>
      <c r="L79" s="30">
        <f>BaaS.3!M125+BaaS.3!M127</f>
        <v>-5213</v>
      </c>
      <c r="M79" s="30">
        <f>BaaS.3!N125+BaaS.3!N127</f>
        <v>-5614</v>
      </c>
      <c r="N79" s="30">
        <f>BaaS.3!O125+BaaS.3!O127</f>
        <v>-6015</v>
      </c>
      <c r="O79" s="30">
        <f>BaaS.3!P125+BaaS.3!P127</f>
        <v>-6015</v>
      </c>
      <c r="P79" s="30">
        <f>BaaS.3!Q125+BaaS.3!Q127</f>
        <v>-6015</v>
      </c>
      <c r="Q79" s="30">
        <f>BaaS.3!R125+BaaS.3!R127</f>
        <v>-6015</v>
      </c>
      <c r="R79" s="30">
        <f>BaaS.3!S125+BaaS.3!S127</f>
        <v>-6015</v>
      </c>
      <c r="S79" s="30">
        <f>BaaS.3!T125+BaaS.3!T127</f>
        <v>-6015</v>
      </c>
      <c r="T79" s="30">
        <f>BaaS.3!U125+BaaS.3!U127</f>
        <v>-6015</v>
      </c>
      <c r="U79" s="30">
        <f>BaaS.3!V125+BaaS.3!V127</f>
        <v>-6015</v>
      </c>
      <c r="V79" s="30">
        <f>BaaS.3!W125+BaaS.3!W127</f>
        <v>-6015</v>
      </c>
      <c r="W79" s="30">
        <f>BaaS.3!X125+BaaS.3!X127</f>
        <v>-6015</v>
      </c>
      <c r="X79" s="30">
        <f>BaaS.3!Y125+BaaS.3!Y127</f>
        <v>-6015</v>
      </c>
      <c r="Y79" s="30">
        <f>BaaS.3!Z125+BaaS.3!Z127</f>
        <v>-6015</v>
      </c>
      <c r="Z79" s="30">
        <f>BaaS.3!AA125+BaaS.3!AA127</f>
        <v>-6015</v>
      </c>
      <c r="AA79" s="30">
        <f>BaaS.3!AB125+BaaS.3!AB127</f>
        <v>-6015</v>
      </c>
      <c r="AB79" s="30">
        <f>BaaS.3!AC125+BaaS.3!AC127</f>
        <v>-6015</v>
      </c>
      <c r="AC79" s="30">
        <f>BaaS.3!AD125+BaaS.3!AD127</f>
        <v>-6015</v>
      </c>
      <c r="AD79" s="30">
        <f>BaaS.3!AE125+BaaS.3!AE127</f>
        <v>-6015</v>
      </c>
      <c r="AE79" s="30">
        <f>BaaS.3!AF125+BaaS.3!AF127</f>
        <v>-6015</v>
      </c>
      <c r="AF79" s="30">
        <f>BaaS.3!AG125+BaaS.3!AG127</f>
        <v>-6015</v>
      </c>
      <c r="AG79" s="30">
        <f>BaaS.3!AH125+BaaS.3!AH127</f>
        <v>-6015</v>
      </c>
      <c r="AH79" s="30">
        <f>BaaS.3!AI125+BaaS.3!AI127</f>
        <v>-6015</v>
      </c>
      <c r="AI79" s="30">
        <f>BaaS.3!AJ125+BaaS.3!AJ127</f>
        <v>-6015</v>
      </c>
      <c r="AJ79" s="30">
        <f>BaaS.3!AK125+BaaS.3!AK127</f>
        <v>-6015</v>
      </c>
      <c r="AK79" s="30">
        <f>BaaS.3!AL125+BaaS.3!AL127</f>
        <v>-6015</v>
      </c>
      <c r="AL79" s="30">
        <f>BaaS.3!AM125+BaaS.3!AM127</f>
        <v>-6015</v>
      </c>
      <c r="AN79" s="30">
        <f t="shared" ref="AN79" si="66">SUM(C79:N79)</f>
        <v>-51127.5</v>
      </c>
      <c r="AO79" s="30">
        <f t="shared" ref="AO79" si="67">SUM(O79:Z79)</f>
        <v>-72180</v>
      </c>
      <c r="AP79" s="30">
        <f t="shared" ref="AP79" si="68">SUM(AA79:AL79)</f>
        <v>-72180</v>
      </c>
    </row>
    <row r="80" spans="2:42" ht="13.8">
      <c r="B80" s="120" t="s">
        <v>310</v>
      </c>
      <c r="C80" s="30">
        <f>BaaS.3!D141</f>
        <v>-45</v>
      </c>
      <c r="D80" s="30">
        <f>BaaS.3!E141</f>
        <v>-48</v>
      </c>
      <c r="E80" s="30">
        <f>BaaS.3!F141</f>
        <v>-51</v>
      </c>
      <c r="F80" s="30">
        <f>BaaS.3!G141</f>
        <v>-54</v>
      </c>
      <c r="G80" s="30">
        <f>BaaS.3!H141</f>
        <v>-57</v>
      </c>
      <c r="H80" s="30">
        <f>BaaS.3!I141</f>
        <v>-60</v>
      </c>
      <c r="I80" s="30">
        <f>BaaS.3!J141</f>
        <v>-60</v>
      </c>
      <c r="J80" s="30">
        <f>BaaS.3!K141</f>
        <v>-66</v>
      </c>
      <c r="K80" s="30">
        <f>BaaS.3!L141</f>
        <v>-72</v>
      </c>
      <c r="L80" s="30">
        <f>BaaS.3!M141</f>
        <v>-78</v>
      </c>
      <c r="M80" s="30">
        <f>BaaS.3!N141</f>
        <v>-84</v>
      </c>
      <c r="N80" s="30">
        <f>BaaS.3!O141</f>
        <v>-90</v>
      </c>
      <c r="O80" s="30">
        <f>BaaS.3!P141</f>
        <v>-90</v>
      </c>
      <c r="P80" s="30">
        <f>BaaS.3!Q141</f>
        <v>-90</v>
      </c>
      <c r="Q80" s="30">
        <f>BaaS.3!R141</f>
        <v>-90</v>
      </c>
      <c r="R80" s="30">
        <f>BaaS.3!S141</f>
        <v>-90</v>
      </c>
      <c r="S80" s="30">
        <f>BaaS.3!T141</f>
        <v>-90</v>
      </c>
      <c r="T80" s="30">
        <f>BaaS.3!U141</f>
        <v>-90</v>
      </c>
      <c r="U80" s="30">
        <f>BaaS.3!V141</f>
        <v>-90</v>
      </c>
      <c r="V80" s="30">
        <f>BaaS.3!W141</f>
        <v>-90</v>
      </c>
      <c r="W80" s="30">
        <f>BaaS.3!X141</f>
        <v>-90</v>
      </c>
      <c r="X80" s="30">
        <f>BaaS.3!Y141</f>
        <v>-90</v>
      </c>
      <c r="Y80" s="30">
        <f>BaaS.3!Z141</f>
        <v>-90</v>
      </c>
      <c r="Z80" s="30">
        <f>BaaS.3!AA141</f>
        <v>-90</v>
      </c>
      <c r="AA80" s="30">
        <f>BaaS.3!AB141</f>
        <v>-90</v>
      </c>
      <c r="AB80" s="30">
        <f>BaaS.3!AC141</f>
        <v>-90</v>
      </c>
      <c r="AC80" s="30">
        <f>BaaS.3!AD141</f>
        <v>-90</v>
      </c>
      <c r="AD80" s="30">
        <f>BaaS.3!AE141</f>
        <v>-90</v>
      </c>
      <c r="AE80" s="30">
        <f>BaaS.3!AF141</f>
        <v>-90</v>
      </c>
      <c r="AF80" s="30">
        <f>BaaS.3!AG141</f>
        <v>-90</v>
      </c>
      <c r="AG80" s="30">
        <f>BaaS.3!AH141</f>
        <v>-90</v>
      </c>
      <c r="AH80" s="30">
        <f>BaaS.3!AI141</f>
        <v>-90</v>
      </c>
      <c r="AI80" s="30">
        <f>BaaS.3!AJ141</f>
        <v>-90</v>
      </c>
      <c r="AJ80" s="30">
        <f>BaaS.3!AK141</f>
        <v>-90</v>
      </c>
      <c r="AK80" s="30">
        <f>BaaS.3!AL141</f>
        <v>-90</v>
      </c>
      <c r="AL80" s="30">
        <f>BaaS.3!AM141</f>
        <v>-90</v>
      </c>
      <c r="AN80" s="30">
        <f t="shared" ref="AN80" si="69">SUM(C80:N80)</f>
        <v>-765</v>
      </c>
      <c r="AO80" s="30">
        <f t="shared" ref="AO80" si="70">SUM(O80:Z80)</f>
        <v>-1080</v>
      </c>
      <c r="AP80" s="30">
        <f t="shared" ref="AP80" si="71">SUM(AA80:AL80)</f>
        <v>-1080</v>
      </c>
    </row>
    <row r="81" spans="1:66" ht="13.8"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N81" s="30"/>
      <c r="AO81" s="30"/>
      <c r="AP81" s="30"/>
    </row>
    <row r="82" spans="1:66">
      <c r="B82" s="125" t="s">
        <v>48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N82" s="26">
        <f t="shared" si="3"/>
        <v>0</v>
      </c>
      <c r="AO82" s="26">
        <f t="shared" si="4"/>
        <v>0</v>
      </c>
      <c r="AP82" s="26">
        <f t="shared" si="5"/>
        <v>0</v>
      </c>
    </row>
    <row r="83" spans="1:66" s="28" customFormat="1" ht="12">
      <c r="A83" s="14"/>
      <c r="B83" s="127" t="s">
        <v>49</v>
      </c>
      <c r="C83" s="33">
        <f>C37+C40+C61+C82</f>
        <v>23612.30735294117</v>
      </c>
      <c r="D83" s="33">
        <f t="shared" ref="D83:AL83" si="72">D37+D40+D61+D82</f>
        <v>24433.822745098034</v>
      </c>
      <c r="E83" s="33">
        <f t="shared" si="72"/>
        <v>25996.32310457516</v>
      </c>
      <c r="F83" s="33">
        <f t="shared" si="72"/>
        <v>27687.257886710235</v>
      </c>
      <c r="G83" s="33">
        <f t="shared" si="72"/>
        <v>28631.071172839511</v>
      </c>
      <c r="H83" s="33">
        <f t="shared" si="72"/>
        <v>30018.479932219801</v>
      </c>
      <c r="I83" s="33">
        <f t="shared" si="72"/>
        <v>31235.540216251113</v>
      </c>
      <c r="J83" s="33">
        <f t="shared" si="72"/>
        <v>32939.618379461521</v>
      </c>
      <c r="K83" s="33">
        <f t="shared" si="72"/>
        <v>35112.968985000494</v>
      </c>
      <c r="L83" s="33">
        <f t="shared" si="72"/>
        <v>37713.708408300983</v>
      </c>
      <c r="M83" s="33">
        <f t="shared" si="72"/>
        <v>40463.393971547055</v>
      </c>
      <c r="N83" s="33">
        <f t="shared" si="72"/>
        <v>44265.036438547715</v>
      </c>
      <c r="O83" s="33">
        <f t="shared" si="72"/>
        <v>44284.356645306325</v>
      </c>
      <c r="P83" s="33">
        <f t="shared" si="72"/>
        <v>44297.563580531001</v>
      </c>
      <c r="Q83" s="33">
        <f t="shared" si="72"/>
        <v>44320.19500139977</v>
      </c>
      <c r="R83" s="33">
        <f t="shared" si="72"/>
        <v>44326.609412697886</v>
      </c>
      <c r="S83" s="33">
        <f t="shared" si="72"/>
        <v>44331.212484282252</v>
      </c>
      <c r="T83" s="33">
        <f t="shared" si="72"/>
        <v>44334.607996057443</v>
      </c>
      <c r="U83" s="33">
        <f t="shared" si="72"/>
        <v>44337.198467959868</v>
      </c>
      <c r="V83" s="33">
        <f t="shared" si="72"/>
        <v>44339.252246613774</v>
      </c>
      <c r="W83" s="33">
        <f t="shared" si="72"/>
        <v>44340.948229768648</v>
      </c>
      <c r="X83" s="33">
        <f t="shared" si="72"/>
        <v>44342.405682590863</v>
      </c>
      <c r="Y83" s="33">
        <f t="shared" si="72"/>
        <v>44343.7041151913</v>
      </c>
      <c r="Z83" s="33">
        <f t="shared" si="72"/>
        <v>44344.896534310537</v>
      </c>
      <c r="AA83" s="33">
        <f t="shared" si="72"/>
        <v>44346.018277775656</v>
      </c>
      <c r="AB83" s="33">
        <f t="shared" si="72"/>
        <v>44347.092904138015</v>
      </c>
      <c r="AC83" s="33">
        <f t="shared" si="72"/>
        <v>44348.136119098548</v>
      </c>
      <c r="AD83" s="33">
        <f t="shared" si="72"/>
        <v>44349.158393124526</v>
      </c>
      <c r="AE83" s="33">
        <f t="shared" si="72"/>
        <v>44350.166706527452</v>
      </c>
      <c r="AF83" s="33">
        <f t="shared" si="72"/>
        <v>44351.165712848378</v>
      </c>
      <c r="AG83" s="33">
        <f t="shared" si="72"/>
        <v>44352.158514447932</v>
      </c>
      <c r="AH83" s="33">
        <f t="shared" si="72"/>
        <v>44353.1471795666</v>
      </c>
      <c r="AI83" s="33">
        <f t="shared" si="72"/>
        <v>44354.133087031325</v>
      </c>
      <c r="AJ83" s="33">
        <f t="shared" si="72"/>
        <v>44355.117156060107</v>
      </c>
      <c r="AK83" s="33">
        <f t="shared" si="72"/>
        <v>44356.099999464903</v>
      </c>
      <c r="AL83" s="33">
        <f t="shared" si="72"/>
        <v>44357.082025787066</v>
      </c>
      <c r="AM83" s="27"/>
      <c r="AN83" s="33">
        <f t="shared" si="3"/>
        <v>382109.52859349281</v>
      </c>
      <c r="AO83" s="33">
        <f t="shared" si="4"/>
        <v>531942.95039670973</v>
      </c>
      <c r="AP83" s="33">
        <f t="shared" si="5"/>
        <v>532219.47607587057</v>
      </c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</row>
    <row r="84" spans="1:66" s="28" customFormat="1">
      <c r="A84" s="14"/>
      <c r="B84" s="29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7"/>
      <c r="AN84" s="26">
        <f t="shared" si="3"/>
        <v>0</v>
      </c>
      <c r="AO84" s="26">
        <f t="shared" si="4"/>
        <v>0</v>
      </c>
      <c r="AP84" s="26">
        <f t="shared" si="5"/>
        <v>0</v>
      </c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</row>
    <row r="85" spans="1:66" s="28" customFormat="1" ht="12">
      <c r="A85" s="14"/>
      <c r="B85" s="127" t="s">
        <v>50</v>
      </c>
      <c r="C85" s="33">
        <f>C86+C106+C113+C114</f>
        <v>-1486.0944742063491</v>
      </c>
      <c r="D85" s="33">
        <f t="shared" ref="D85:AL85" si="73">D86+D106+D113+D114</f>
        <v>-1398.0729012896822</v>
      </c>
      <c r="E85" s="33">
        <f t="shared" si="73"/>
        <v>-1547.5286136997036</v>
      </c>
      <c r="F85" s="33">
        <f t="shared" si="73"/>
        <v>-1637.8196247036078</v>
      </c>
      <c r="G85" s="33">
        <f t="shared" si="73"/>
        <v>-1713.5210799027359</v>
      </c>
      <c r="H85" s="33">
        <f t="shared" si="73"/>
        <v>-1739.2230146918973</v>
      </c>
      <c r="I85" s="33">
        <f t="shared" si="73"/>
        <v>-1763.6419689512372</v>
      </c>
      <c r="J85" s="33">
        <f t="shared" si="73"/>
        <v>-1788.1603446795441</v>
      </c>
      <c r="K85" s="33">
        <f t="shared" si="73"/>
        <v>-1863.3568039527363</v>
      </c>
      <c r="L85" s="33">
        <f t="shared" si="73"/>
        <v>-1890.5788387184607</v>
      </c>
      <c r="M85" s="33">
        <f t="shared" si="73"/>
        <v>-1919.3210215918687</v>
      </c>
      <c r="N85" s="33">
        <f t="shared" si="73"/>
        <v>-1949.2346868806928</v>
      </c>
      <c r="O85" s="33">
        <f t="shared" si="73"/>
        <v>-1985.5191514708238</v>
      </c>
      <c r="P85" s="33">
        <f t="shared" si="73"/>
        <v>-2013.0285492544228</v>
      </c>
      <c r="Q85" s="33">
        <f t="shared" si="73"/>
        <v>-2066.6596013794019</v>
      </c>
      <c r="R85" s="33">
        <f t="shared" si="73"/>
        <v>-2089.1141978923888</v>
      </c>
      <c r="S85" s="33">
        <f t="shared" si="73"/>
        <v>-2109.6948208569916</v>
      </c>
      <c r="T85" s="33">
        <f t="shared" si="73"/>
        <v>-2129.4022827093563</v>
      </c>
      <c r="U85" s="33">
        <f t="shared" si="73"/>
        <v>-2147.5862229538898</v>
      </c>
      <c r="V85" s="33">
        <f t="shared" si="73"/>
        <v>-2164.3727954431756</v>
      </c>
      <c r="W85" s="33">
        <f t="shared" si="73"/>
        <v>-2179.8765474205393</v>
      </c>
      <c r="X85" s="33">
        <f t="shared" si="73"/>
        <v>-2194.2018565983512</v>
      </c>
      <c r="Y85" s="33">
        <f t="shared" si="73"/>
        <v>-2207.4440837272</v>
      </c>
      <c r="Z85" s="33">
        <f t="shared" si="73"/>
        <v>-2219.6905199108332</v>
      </c>
      <c r="AA85" s="33">
        <f t="shared" si="73"/>
        <v>-2231.0211827533826</v>
      </c>
      <c r="AB85" s="33">
        <f t="shared" si="73"/>
        <v>-2241.5094985460637</v>
      </c>
      <c r="AC85" s="33">
        <f t="shared" si="73"/>
        <v>-2251.2228963553166</v>
      </c>
      <c r="AD85" s="33">
        <f t="shared" si="73"/>
        <v>-2260.2233322259699</v>
      </c>
      <c r="AE85" s="33">
        <f t="shared" si="73"/>
        <v>-2268.5677565360174</v>
      </c>
      <c r="AF85" s="33">
        <f t="shared" si="73"/>
        <v>-2276.3085340164521</v>
      </c>
      <c r="AG85" s="33">
        <f t="shared" si="73"/>
        <v>-2283.4938235348413</v>
      </c>
      <c r="AH85" s="33">
        <f t="shared" si="73"/>
        <v>-2290.1679230707459</v>
      </c>
      <c r="AI85" s="33">
        <f t="shared" si="73"/>
        <v>-2296.3715841415355</v>
      </c>
      <c r="AJ85" s="33">
        <f t="shared" si="73"/>
        <v>-2302.1422991061249</v>
      </c>
      <c r="AK85" s="33">
        <f t="shared" si="73"/>
        <v>-2307.5145641728795</v>
      </c>
      <c r="AL85" s="33">
        <f t="shared" si="73"/>
        <v>-2312.5201204936957</v>
      </c>
      <c r="AM85" s="27"/>
      <c r="AN85" s="33">
        <f t="shared" si="3"/>
        <v>-20696.553373268514</v>
      </c>
      <c r="AO85" s="33">
        <f t="shared" si="4"/>
        <v>-25506.590629617374</v>
      </c>
      <c r="AP85" s="33">
        <f t="shared" si="5"/>
        <v>-27321.063514953028</v>
      </c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</row>
    <row r="86" spans="1:66" ht="12">
      <c r="B86" s="125" t="s">
        <v>42</v>
      </c>
      <c r="C86" s="33">
        <f>SUM(C87:C105)</f>
        <v>-1351.0944742063491</v>
      </c>
      <c r="D86" s="33">
        <f t="shared" ref="D86:AL86" si="74">SUM(D87:D105)</f>
        <v>-1344.7562346230156</v>
      </c>
      <c r="E86" s="33">
        <f t="shared" si="74"/>
        <v>-1361.4106814080369</v>
      </c>
      <c r="F86" s="33">
        <f t="shared" si="74"/>
        <v>-1377.3971587726182</v>
      </c>
      <c r="G86" s="33">
        <f t="shared" si="74"/>
        <v>-1393.065262401735</v>
      </c>
      <c r="H86" s="33">
        <f t="shared" si="74"/>
        <v>-1408.4098251837477</v>
      </c>
      <c r="I86" s="33">
        <f t="shared" si="74"/>
        <v>-1422.6539176121571</v>
      </c>
      <c r="J86" s="33">
        <f t="shared" si="74"/>
        <v>-1437.4502756692918</v>
      </c>
      <c r="K86" s="33">
        <f t="shared" si="74"/>
        <v>-1453.2977583648615</v>
      </c>
      <c r="L86" s="33">
        <f t="shared" si="74"/>
        <v>-1470.0749425675531</v>
      </c>
      <c r="M86" s="33">
        <f t="shared" si="74"/>
        <v>-1487.7554783456874</v>
      </c>
      <c r="N86" s="33">
        <f t="shared" si="74"/>
        <v>-1506.0341773456742</v>
      </c>
      <c r="O86" s="33">
        <f t="shared" si="74"/>
        <v>-1523.0834934792226</v>
      </c>
      <c r="P86" s="33">
        <f t="shared" si="74"/>
        <v>-1538.6981340096136</v>
      </c>
      <c r="Q86" s="33">
        <f t="shared" si="74"/>
        <v>-1553.0299620524981</v>
      </c>
      <c r="R86" s="33">
        <f t="shared" si="74"/>
        <v>-1566.2069154247781</v>
      </c>
      <c r="S86" s="33">
        <f t="shared" si="74"/>
        <v>-1578.3387925847717</v>
      </c>
      <c r="T86" s="33">
        <f t="shared" si="74"/>
        <v>-1589.5212928517133</v>
      </c>
      <c r="U86" s="33">
        <f t="shared" si="74"/>
        <v>-1599.8388742815048</v>
      </c>
      <c r="V86" s="33">
        <f t="shared" si="74"/>
        <v>-1609.3668098394432</v>
      </c>
      <c r="W86" s="33">
        <f t="shared" si="74"/>
        <v>-1618.1726967254792</v>
      </c>
      <c r="X86" s="33">
        <f t="shared" si="74"/>
        <v>-1626.3175897720082</v>
      </c>
      <c r="Y86" s="33">
        <f t="shared" si="74"/>
        <v>-1633.856873793615</v>
      </c>
      <c r="Z86" s="33">
        <f t="shared" si="74"/>
        <v>-1640.8409523311636</v>
      </c>
      <c r="AA86" s="33">
        <f t="shared" si="74"/>
        <v>-1647.3158052042718</v>
      </c>
      <c r="AB86" s="33">
        <f t="shared" si="74"/>
        <v>-1653.3234505360865</v>
      </c>
      <c r="AC86" s="33">
        <f t="shared" si="74"/>
        <v>-1658.9023356882901</v>
      </c>
      <c r="AD86" s="33">
        <f t="shared" si="74"/>
        <v>-1664.0876740058879</v>
      </c>
      <c r="AE86" s="33">
        <f t="shared" si="74"/>
        <v>-1668.9117391958548</v>
      </c>
      <c r="AF86" s="33">
        <f t="shared" si="74"/>
        <v>-1673.4041257342521</v>
      </c>
      <c r="AG86" s="33">
        <f t="shared" si="74"/>
        <v>-1677.591981368093</v>
      </c>
      <c r="AH86" s="33">
        <f t="shared" si="74"/>
        <v>-1681.500216187417</v>
      </c>
      <c r="AI86" s="33">
        <f t="shared" si="74"/>
        <v>-1685.1516916470882</v>
      </c>
      <c r="AJ86" s="33">
        <f t="shared" si="74"/>
        <v>-1688.5673921546963</v>
      </c>
      <c r="AK86" s="33">
        <f t="shared" si="74"/>
        <v>-1691.7665813023527</v>
      </c>
      <c r="AL86" s="33">
        <f t="shared" si="74"/>
        <v>-1694.7669444337321</v>
      </c>
      <c r="AN86" s="33">
        <f t="shared" si="3"/>
        <v>-17013.400186500727</v>
      </c>
      <c r="AO86" s="33">
        <f t="shared" si="4"/>
        <v>-19077.272387145815</v>
      </c>
      <c r="AP86" s="33">
        <f t="shared" si="5"/>
        <v>-20085.289937458023</v>
      </c>
    </row>
    <row r="87" spans="1:66" ht="13.8">
      <c r="B87" s="120" t="s">
        <v>96</v>
      </c>
      <c r="C87" s="30">
        <f>-'OPEX+CAPEX'!E19</f>
        <v>-11.418749999999999</v>
      </c>
      <c r="D87" s="30">
        <f>-'OPEX+CAPEX'!F19</f>
        <v>-22.647187500000001</v>
      </c>
      <c r="E87" s="30">
        <f>-'OPEX+CAPEX'!G19</f>
        <v>-33.701171875</v>
      </c>
      <c r="F87" s="30">
        <f>-'OPEX+CAPEX'!H19</f>
        <v>-44.595240885416665</v>
      </c>
      <c r="G87" s="30">
        <f>-'OPEX+CAPEX'!I19</f>
        <v>-55.342720811631935</v>
      </c>
      <c r="H87" s="30">
        <f>-'OPEX+CAPEX'!J19</f>
        <v>-65.955827410662621</v>
      </c>
      <c r="I87" s="30">
        <f>-'OPEX+CAPEX'!K19</f>
        <v>-75.684508459774065</v>
      </c>
      <c r="J87" s="30">
        <f>-'OPEX+CAPEX'!L19</f>
        <v>-86.124966088126229</v>
      </c>
      <c r="K87" s="30">
        <f>-'OPEX+CAPEX'!M19</f>
        <v>-97.217885580782379</v>
      </c>
      <c r="L87" s="30">
        <f>-'OPEX+CAPEX'!N19</f>
        <v>-108.9088951157172</v>
      </c>
      <c r="M87" s="30">
        <f>-'OPEX+CAPEX'!O19</f>
        <v>-121.14815385607409</v>
      </c>
      <c r="N87" s="30">
        <f>-'OPEX+CAPEX'!P19</f>
        <v>-133.88997436806793</v>
      </c>
      <c r="O87" s="30">
        <f>-'OPEX+CAPEX'!Q19</f>
        <v>-145.56997650406225</v>
      </c>
      <c r="P87" s="30">
        <f>-'OPEX+CAPEX'!R19</f>
        <v>-156.27664512872371</v>
      </c>
      <c r="Q87" s="30">
        <f>-'OPEX+CAPEX'!S19</f>
        <v>-166.09109136799677</v>
      </c>
      <c r="R87" s="30">
        <f>-'OPEX+CAPEX'!T19</f>
        <v>-175.08766708733037</v>
      </c>
      <c r="S87" s="30">
        <f>-'OPEX+CAPEX'!U19</f>
        <v>-183.33452816338615</v>
      </c>
      <c r="T87" s="30">
        <f>-'OPEX+CAPEX'!V19</f>
        <v>-190.8941508164373</v>
      </c>
      <c r="U87" s="30">
        <f>-'OPEX+CAPEX'!W19</f>
        <v>-197.82380491506754</v>
      </c>
      <c r="V87" s="30">
        <f>-'OPEX+CAPEX'!X19</f>
        <v>-204.17598783881189</v>
      </c>
      <c r="W87" s="30">
        <f>-'OPEX+CAPEX'!Y19</f>
        <v>-209.99882218557755</v>
      </c>
      <c r="X87" s="30">
        <f>-'OPEX+CAPEX'!Z19</f>
        <v>-215.33642033677941</v>
      </c>
      <c r="Y87" s="30">
        <f>-'OPEX+CAPEX'!AA19</f>
        <v>-220.22921864204778</v>
      </c>
      <c r="Z87" s="30">
        <f>-'OPEX+CAPEX'!AB19</f>
        <v>-224.71428375521043</v>
      </c>
      <c r="AA87" s="30">
        <f>-'OPEX+CAPEX'!AC19</f>
        <v>-228.82559344227627</v>
      </c>
      <c r="AB87" s="30">
        <f>-'OPEX+CAPEX'!AD19</f>
        <v>-232.59429398875324</v>
      </c>
      <c r="AC87" s="30">
        <f>-'OPEX+CAPEX'!AE19</f>
        <v>-236.04893615635714</v>
      </c>
      <c r="AD87" s="30">
        <f>-'OPEX+CAPEX'!AF19</f>
        <v>-239.21569147666065</v>
      </c>
      <c r="AE87" s="30">
        <f>-'OPEX+CAPEX'!AG19</f>
        <v>-242.11855052027229</v>
      </c>
      <c r="AF87" s="30">
        <f>-'OPEX+CAPEX'!AH19</f>
        <v>-244.77950464358292</v>
      </c>
      <c r="AG87" s="30">
        <f>-'OPEX+CAPEX'!AI19</f>
        <v>-247.21871258995102</v>
      </c>
      <c r="AH87" s="30">
        <f>-'OPEX+CAPEX'!AJ19</f>
        <v>-249.4546532074551</v>
      </c>
      <c r="AI87" s="30">
        <f>-'OPEX+CAPEX'!AK19</f>
        <v>-251.50426544016716</v>
      </c>
      <c r="AJ87" s="30">
        <f>-'OPEX+CAPEX'!AL19</f>
        <v>-253.38307665348654</v>
      </c>
      <c r="AK87" s="30">
        <f>-'OPEX+CAPEX'!AM19</f>
        <v>-255.10532026569598</v>
      </c>
      <c r="AL87" s="30">
        <f>-'OPEX+CAPEX'!AN19</f>
        <v>-256.68404357688792</v>
      </c>
      <c r="AN87" s="30">
        <f t="shared" si="3"/>
        <v>-856.63528195125309</v>
      </c>
      <c r="AO87" s="30">
        <f t="shared" si="4"/>
        <v>-2289.5325967414315</v>
      </c>
      <c r="AP87" s="30">
        <f t="shared" si="5"/>
        <v>-2936.9326419615463</v>
      </c>
    </row>
    <row r="88" spans="1:66" ht="13.8">
      <c r="B88" s="120" t="s">
        <v>102</v>
      </c>
      <c r="C88" s="30">
        <f>-'OPEX+CAPEX'!E25</f>
        <v>-2.5375000000000001</v>
      </c>
      <c r="D88" s="30">
        <f>-'OPEX+CAPEX'!F25</f>
        <v>-4.1234374999999996</v>
      </c>
      <c r="E88" s="30">
        <f>-'OPEX+CAPEX'!G25</f>
        <v>-5.1247549019607836</v>
      </c>
      <c r="F88" s="30">
        <f>-'OPEX+CAPEX'!H25</f>
        <v>-5.7641975308641982</v>
      </c>
      <c r="G88" s="30">
        <f>-'OPEX+CAPEX'!I25</f>
        <v>-6.1780458089668615</v>
      </c>
      <c r="H88" s="30">
        <f>-'OPEX+CAPEX'!J25</f>
        <v>-6.4502623456790129</v>
      </c>
      <c r="I88" s="30">
        <f>-'OPEX+CAPEX'!K25</f>
        <v>-6.8376748971193413</v>
      </c>
      <c r="J88" s="30">
        <f>-'OPEX+CAPEX'!L25</f>
        <v>-6.6815453921935406</v>
      </c>
      <c r="K88" s="30">
        <f>-'OPEX+CAPEX'!M25</f>
        <v>-6.62066662856272</v>
      </c>
      <c r="L88" s="30">
        <f>-'OPEX+CAPEX'!N25</f>
        <v>-6.6117563868078291</v>
      </c>
      <c r="M88" s="30">
        <f>-'OPEX+CAPEX'!O25</f>
        <v>-6.630492048976274</v>
      </c>
      <c r="N88" s="30">
        <f>-'OPEX+CAPEX'!P25</f>
        <v>-6.6631394971407927</v>
      </c>
      <c r="O88" s="30">
        <f>-'OPEX+CAPEX'!Q25</f>
        <v>-6.979592998093862</v>
      </c>
      <c r="P88" s="30">
        <f>-'OPEX+CAPEX'!R25</f>
        <v>-7.1905619987292404</v>
      </c>
      <c r="Q88" s="30">
        <f>-'OPEX+CAPEX'!S25</f>
        <v>-7.3312079991528272</v>
      </c>
      <c r="R88" s="30">
        <f>-'OPEX+CAPEX'!T25</f>
        <v>-7.4249719994352175</v>
      </c>
      <c r="S88" s="30">
        <f>-'OPEX+CAPEX'!U25</f>
        <v>-7.4874813329568122</v>
      </c>
      <c r="T88" s="30">
        <f>-'OPEX+CAPEX'!V25</f>
        <v>-7.5291542219712086</v>
      </c>
      <c r="U88" s="30">
        <f>-'OPEX+CAPEX'!W25</f>
        <v>-7.5569361479808048</v>
      </c>
      <c r="V88" s="30">
        <f>-'OPEX+CAPEX'!X25</f>
        <v>-7.5754574319872034</v>
      </c>
      <c r="W88" s="30">
        <f>-'OPEX+CAPEX'!Y25</f>
        <v>-7.587804954658135</v>
      </c>
      <c r="X88" s="30">
        <f>-'OPEX+CAPEX'!Z25</f>
        <v>-7.5960366364387566</v>
      </c>
      <c r="Y88" s="30">
        <f>-'OPEX+CAPEX'!AA25</f>
        <v>-7.6015244242925037</v>
      </c>
      <c r="Z88" s="30">
        <f>-'OPEX+CAPEX'!AB25</f>
        <v>-7.6051829495283352</v>
      </c>
      <c r="AA88" s="30">
        <f>-'OPEX+CAPEX'!AC25</f>
        <v>-7.607621966352224</v>
      </c>
      <c r="AB88" s="30">
        <f>-'OPEX+CAPEX'!AD25</f>
        <v>-7.609247977568149</v>
      </c>
      <c r="AC88" s="30">
        <f>-'OPEX+CAPEX'!AE25</f>
        <v>-7.6103319850454323</v>
      </c>
      <c r="AD88" s="30">
        <f>-'OPEX+CAPEX'!AF25</f>
        <v>-7.6110546566969539</v>
      </c>
      <c r="AE88" s="30">
        <f>-'OPEX+CAPEX'!AG25</f>
        <v>-7.6115364377979704</v>
      </c>
      <c r="AF88" s="30">
        <f>-'OPEX+CAPEX'!AH25</f>
        <v>-7.6118576251986463</v>
      </c>
      <c r="AG88" s="30">
        <f>-'OPEX+CAPEX'!AI25</f>
        <v>-7.612071750132432</v>
      </c>
      <c r="AH88" s="30">
        <f>-'OPEX+CAPEX'!AJ25</f>
        <v>-7.6122145000882879</v>
      </c>
      <c r="AI88" s="30">
        <f>-'OPEX+CAPEX'!AK25</f>
        <v>-7.6123096667255252</v>
      </c>
      <c r="AJ88" s="30">
        <f>-'OPEX+CAPEX'!AL25</f>
        <v>-7.6123731111503501</v>
      </c>
      <c r="AK88" s="30">
        <f>-'OPEX+CAPEX'!AM25</f>
        <v>-7.6124154074335655</v>
      </c>
      <c r="AL88" s="30">
        <f>-'OPEX+CAPEX'!AN25</f>
        <v>-7.612443604955712</v>
      </c>
      <c r="AN88" s="30">
        <f t="shared" si="3"/>
        <v>-70.223472938271357</v>
      </c>
      <c r="AO88" s="30">
        <f t="shared" si="4"/>
        <v>-89.46591309522492</v>
      </c>
      <c r="AP88" s="30">
        <f t="shared" si="5"/>
        <v>-91.335478689145233</v>
      </c>
    </row>
    <row r="89" spans="1:66" ht="13.8">
      <c r="B89" s="120" t="s">
        <v>103</v>
      </c>
      <c r="C89" s="30">
        <f>-'OPEX+CAPEX'!E27</f>
        <v>-0.38062499999999999</v>
      </c>
      <c r="D89" s="30">
        <f>-'OPEX+CAPEX'!F27</f>
        <v>-0.65974999999999995</v>
      </c>
      <c r="E89" s="30">
        <f>-'OPEX+CAPEX'!G27</f>
        <v>-0.87120833333333336</v>
      </c>
      <c r="F89" s="30">
        <f>-'OPEX+CAPEX'!H27</f>
        <v>-1.0375555555555556</v>
      </c>
      <c r="G89" s="30">
        <f>-'OPEX+CAPEX'!I27</f>
        <v>-1.1738287037037036</v>
      </c>
      <c r="H89" s="30">
        <f>-'OPEX+CAPEX'!J27</f>
        <v>-1.2900524691358028</v>
      </c>
      <c r="I89" s="30">
        <f>-'OPEX+CAPEX'!K27</f>
        <v>-1.3675349794238685</v>
      </c>
      <c r="J89" s="30">
        <f>-'OPEX+CAPEX'!L27</f>
        <v>-1.469939986282579</v>
      </c>
      <c r="K89" s="30">
        <f>-'OPEX+CAPEX'!M27</f>
        <v>-1.5889599908550529</v>
      </c>
      <c r="L89" s="30">
        <f>-'OPEX+CAPEX'!N27</f>
        <v>-1.7190566605700353</v>
      </c>
      <c r="M89" s="30">
        <f>-'OPEX+CAPEX'!O27</f>
        <v>-1.8565377737133568</v>
      </c>
      <c r="N89" s="30">
        <f>-'OPEX+CAPEX'!P27</f>
        <v>-1.9989418491422379</v>
      </c>
      <c r="O89" s="30">
        <f>-'OPEX+CAPEX'!Q27</f>
        <v>-2.0938778994281586</v>
      </c>
      <c r="P89" s="30">
        <f>-'OPEX+CAPEX'!R27</f>
        <v>-2.1571685996187719</v>
      </c>
      <c r="Q89" s="30">
        <f>-'OPEX+CAPEX'!S27</f>
        <v>-2.1993623997458482</v>
      </c>
      <c r="R89" s="30">
        <f>-'OPEX+CAPEX'!T27</f>
        <v>-2.2274915998305653</v>
      </c>
      <c r="S89" s="30">
        <f>-'OPEX+CAPEX'!U27</f>
        <v>-2.2462443998870438</v>
      </c>
      <c r="T89" s="30">
        <f>-'OPEX+CAPEX'!V27</f>
        <v>-2.2587462665913627</v>
      </c>
      <c r="U89" s="30">
        <f>-'OPEX+CAPEX'!W27</f>
        <v>-2.2670808443942416</v>
      </c>
      <c r="V89" s="30">
        <f>-'OPEX+CAPEX'!X27</f>
        <v>-2.2726372295961608</v>
      </c>
      <c r="W89" s="30">
        <f>-'OPEX+CAPEX'!Y27</f>
        <v>-2.2763414863974405</v>
      </c>
      <c r="X89" s="30">
        <f>-'OPEX+CAPEX'!Z27</f>
        <v>-2.2788109909316274</v>
      </c>
      <c r="Y89" s="30">
        <f>-'OPEX+CAPEX'!AA27</f>
        <v>-2.2804573272877509</v>
      </c>
      <c r="Z89" s="30">
        <f>-'OPEX+CAPEX'!AB27</f>
        <v>-2.281554884858501</v>
      </c>
      <c r="AA89" s="30">
        <f>-'OPEX+CAPEX'!AC27</f>
        <v>-2.2822865899056675</v>
      </c>
      <c r="AB89" s="30">
        <f>-'OPEX+CAPEX'!AD27</f>
        <v>-2.282774393270445</v>
      </c>
      <c r="AC89" s="30">
        <f>-'OPEX+CAPEX'!AE27</f>
        <v>-2.2830995955136295</v>
      </c>
      <c r="AD89" s="30">
        <f>-'OPEX+CAPEX'!AF27</f>
        <v>-2.2833163970090862</v>
      </c>
      <c r="AE89" s="30">
        <f>-'OPEX+CAPEX'!AG27</f>
        <v>-2.2834609313393908</v>
      </c>
      <c r="AF89" s="30">
        <f>-'OPEX+CAPEX'!AH27</f>
        <v>-2.283557287559594</v>
      </c>
      <c r="AG89" s="30">
        <f>-'OPEX+CAPEX'!AI27</f>
        <v>-2.2836215250397296</v>
      </c>
      <c r="AH89" s="30">
        <f>-'OPEX+CAPEX'!AJ27</f>
        <v>-2.2836643500264864</v>
      </c>
      <c r="AI89" s="30">
        <f>-'OPEX+CAPEX'!AK27</f>
        <v>-2.2836929000176576</v>
      </c>
      <c r="AJ89" s="30">
        <f>-'OPEX+CAPEX'!AL27</f>
        <v>-2.283711933345105</v>
      </c>
      <c r="AK89" s="30">
        <f>-'OPEX+CAPEX'!AM27</f>
        <v>-2.2837246222300696</v>
      </c>
      <c r="AL89" s="30">
        <f>-'OPEX+CAPEX'!AN27</f>
        <v>-2.2837330814867132</v>
      </c>
      <c r="AN89" s="30">
        <f t="shared" ref="AN89:AN134" si="75">SUM(C89:N89)</f>
        <v>-15.413991301715523</v>
      </c>
      <c r="AO89" s="30">
        <f t="shared" ref="AO89:AO134" si="76">SUM(O89:Z89)</f>
        <v>-26.839773928567475</v>
      </c>
      <c r="AP89" s="30">
        <f t="shared" ref="AP89:AP134" si="77">SUM(AA89:AL89)</f>
        <v>-27.400643606743575</v>
      </c>
    </row>
    <row r="90" spans="1:66" ht="13.8">
      <c r="B90" s="120" t="s">
        <v>108</v>
      </c>
      <c r="C90" s="30">
        <f>-'OPEX+CAPEX'!E29</f>
        <v>-0.38062499999999999</v>
      </c>
      <c r="D90" s="30">
        <f>-'OPEX+CAPEX'!F29</f>
        <v>-0.78662500000000002</v>
      </c>
      <c r="E90" s="30">
        <f>-'OPEX+CAPEX'!G29</f>
        <v>-1.218</v>
      </c>
      <c r="F90" s="30">
        <f>-'OPEX+CAPEX'!H29</f>
        <v>-1.67475</v>
      </c>
      <c r="G90" s="30">
        <f>-'OPEX+CAPEX'!I29</f>
        <v>-2.1568749999999999</v>
      </c>
      <c r="H90" s="30">
        <f>-'OPEX+CAPEX'!J29</f>
        <v>-2.6643750000000002</v>
      </c>
      <c r="I90" s="30">
        <f>-'OPEX+CAPEX'!K29</f>
        <v>-3.171875</v>
      </c>
      <c r="J90" s="30">
        <f>-'OPEX+CAPEX'!L29</f>
        <v>-3.7301250000000001</v>
      </c>
      <c r="K90" s="30">
        <f>-'OPEX+CAPEX'!M29</f>
        <v>-4.3391250000000001</v>
      </c>
      <c r="L90" s="30">
        <f>-'OPEX+CAPEX'!N29</f>
        <v>-4.998875</v>
      </c>
      <c r="M90" s="30">
        <f>-'OPEX+CAPEX'!O29</f>
        <v>-5.7093749999999996</v>
      </c>
      <c r="N90" s="30">
        <f>-'OPEX+CAPEX'!P29</f>
        <v>-6.4706250000000001</v>
      </c>
      <c r="O90" s="30">
        <f>-'OPEX+CAPEX'!Q29</f>
        <v>-7.2318749999999996</v>
      </c>
      <c r="P90" s="30">
        <f>-'OPEX+CAPEX'!R29</f>
        <v>-7.993125</v>
      </c>
      <c r="Q90" s="30">
        <f>-'OPEX+CAPEX'!S29</f>
        <v>-8.7543749999999996</v>
      </c>
      <c r="R90" s="30">
        <f>-'OPEX+CAPEX'!T29</f>
        <v>-9.515625</v>
      </c>
      <c r="S90" s="30">
        <f>-'OPEX+CAPEX'!U29</f>
        <v>-10.276875</v>
      </c>
      <c r="T90" s="30">
        <f>-'OPEX+CAPEX'!V29</f>
        <v>-11.038125000000001</v>
      </c>
      <c r="U90" s="30">
        <f>-'OPEX+CAPEX'!W29</f>
        <v>-11.799375</v>
      </c>
      <c r="V90" s="30">
        <f>-'OPEX+CAPEX'!X29</f>
        <v>-12.560625</v>
      </c>
      <c r="W90" s="30">
        <f>-'OPEX+CAPEX'!Y29</f>
        <v>-13.321875</v>
      </c>
      <c r="X90" s="30">
        <f>-'OPEX+CAPEX'!Z29</f>
        <v>-14.083125000000001</v>
      </c>
      <c r="Y90" s="30">
        <f>-'OPEX+CAPEX'!AA29</f>
        <v>-14.844374999999999</v>
      </c>
      <c r="Z90" s="30">
        <f>-'OPEX+CAPEX'!AB29</f>
        <v>-15.605625</v>
      </c>
      <c r="AA90" s="30">
        <f>-'OPEX+CAPEX'!AC29</f>
        <v>-16.366875</v>
      </c>
      <c r="AB90" s="30">
        <f>-'OPEX+CAPEX'!AD29</f>
        <v>-17.128125000000001</v>
      </c>
      <c r="AC90" s="30">
        <f>-'OPEX+CAPEX'!AE29</f>
        <v>-17.889375000000001</v>
      </c>
      <c r="AD90" s="30">
        <f>-'OPEX+CAPEX'!AF29</f>
        <v>-18.650625000000002</v>
      </c>
      <c r="AE90" s="30">
        <f>-'OPEX+CAPEX'!AG29</f>
        <v>-19.411874999999998</v>
      </c>
      <c r="AF90" s="30">
        <f>-'OPEX+CAPEX'!AH29</f>
        <v>-20.173124999999999</v>
      </c>
      <c r="AG90" s="30">
        <f>-'OPEX+CAPEX'!AI29</f>
        <v>-20.934374999999999</v>
      </c>
      <c r="AH90" s="30">
        <f>-'OPEX+CAPEX'!AJ29</f>
        <v>-21.695625</v>
      </c>
      <c r="AI90" s="30">
        <f>-'OPEX+CAPEX'!AK29</f>
        <v>-22.456875</v>
      </c>
      <c r="AJ90" s="30">
        <f>-'OPEX+CAPEX'!AL29</f>
        <v>-23.218125000000001</v>
      </c>
      <c r="AK90" s="30">
        <f>-'OPEX+CAPEX'!AM29</f>
        <v>-23.979375000000001</v>
      </c>
      <c r="AL90" s="30">
        <f>-'OPEX+CAPEX'!AN29</f>
        <v>-24.740625000000001</v>
      </c>
      <c r="AN90" s="30">
        <f t="shared" si="75"/>
        <v>-37.301249999999996</v>
      </c>
      <c r="AO90" s="30">
        <f t="shared" si="76"/>
        <v>-137.02500000000001</v>
      </c>
      <c r="AP90" s="30">
        <f t="shared" si="77"/>
        <v>-246.64500000000001</v>
      </c>
    </row>
    <row r="91" spans="1:66" ht="13.8">
      <c r="B91" s="120" t="s">
        <v>270</v>
      </c>
      <c r="C91" s="30">
        <f>-'OPEX+CAPEX'!E31</f>
        <v>-0.38062499999999999</v>
      </c>
      <c r="D91" s="30">
        <f>-'OPEX+CAPEX'!F31</f>
        <v>-0.40600000000000003</v>
      </c>
      <c r="E91" s="30">
        <f>-'OPEX+CAPEX'!G31</f>
        <v>-0.43137500000000001</v>
      </c>
      <c r="F91" s="30">
        <f>-'OPEX+CAPEX'!H31</f>
        <v>-0.45674999999999999</v>
      </c>
      <c r="G91" s="30">
        <f>-'OPEX+CAPEX'!I31</f>
        <v>-0.48212500000000003</v>
      </c>
      <c r="H91" s="30">
        <f>-'OPEX+CAPEX'!J31</f>
        <v>-0.50749999999999995</v>
      </c>
      <c r="I91" s="30">
        <f>-'OPEX+CAPEX'!K31</f>
        <v>-0.50749999999999995</v>
      </c>
      <c r="J91" s="30">
        <f>-'OPEX+CAPEX'!L31</f>
        <v>-0.55825000000000002</v>
      </c>
      <c r="K91" s="30">
        <f>-'OPEX+CAPEX'!M31</f>
        <v>-0.60899999999999999</v>
      </c>
      <c r="L91" s="30">
        <f>-'OPEX+CAPEX'!N31</f>
        <v>-0.65974999999999995</v>
      </c>
      <c r="M91" s="30">
        <f>-'OPEX+CAPEX'!O31</f>
        <v>-0.71050000000000002</v>
      </c>
      <c r="N91" s="30">
        <f>-'OPEX+CAPEX'!P31</f>
        <v>-0.76124999999999998</v>
      </c>
      <c r="O91" s="30">
        <f>-'OPEX+CAPEX'!Q31</f>
        <v>-0.76124999999999998</v>
      </c>
      <c r="P91" s="30">
        <f>-'OPEX+CAPEX'!R31</f>
        <v>-0.76124999999999998</v>
      </c>
      <c r="Q91" s="30">
        <f>-'OPEX+CAPEX'!S31</f>
        <v>-0.76124999999999998</v>
      </c>
      <c r="R91" s="30">
        <f>-'OPEX+CAPEX'!T31</f>
        <v>-0.76124999999999998</v>
      </c>
      <c r="S91" s="30">
        <f>-'OPEX+CAPEX'!U31</f>
        <v>-0.76124999999999998</v>
      </c>
      <c r="T91" s="30">
        <f>-'OPEX+CAPEX'!V31</f>
        <v>-0.76124999999999998</v>
      </c>
      <c r="U91" s="30">
        <f>-'OPEX+CAPEX'!W31</f>
        <v>-0.76124999999999998</v>
      </c>
      <c r="V91" s="30">
        <f>-'OPEX+CAPEX'!X31</f>
        <v>-0.76124999999999998</v>
      </c>
      <c r="W91" s="30">
        <f>-'OPEX+CAPEX'!Y31</f>
        <v>-0.76124999999999998</v>
      </c>
      <c r="X91" s="30">
        <f>-'OPEX+CAPEX'!Z31</f>
        <v>-0.76124999999999998</v>
      </c>
      <c r="Y91" s="30">
        <f>-'OPEX+CAPEX'!AA31</f>
        <v>-0.76124999999999998</v>
      </c>
      <c r="Z91" s="30">
        <f>-'OPEX+CAPEX'!AB31</f>
        <v>-0.76124999999999998</v>
      </c>
      <c r="AA91" s="30">
        <f>-'OPEX+CAPEX'!AC31</f>
        <v>-0.76124999999999998</v>
      </c>
      <c r="AB91" s="30">
        <f>-'OPEX+CAPEX'!AD31</f>
        <v>-0.76124999999999998</v>
      </c>
      <c r="AC91" s="30">
        <f>-'OPEX+CAPEX'!AE31</f>
        <v>-0.76124999999999998</v>
      </c>
      <c r="AD91" s="30">
        <f>-'OPEX+CAPEX'!AF31</f>
        <v>-0.76124999999999998</v>
      </c>
      <c r="AE91" s="30">
        <f>-'OPEX+CAPEX'!AG31</f>
        <v>-0.76124999999999998</v>
      </c>
      <c r="AF91" s="30">
        <f>-'OPEX+CAPEX'!AH31</f>
        <v>-0.76124999999999998</v>
      </c>
      <c r="AG91" s="30">
        <f>-'OPEX+CAPEX'!AI31</f>
        <v>-0.76124999999999998</v>
      </c>
      <c r="AH91" s="30">
        <f>-'OPEX+CAPEX'!AJ31</f>
        <v>-0.76124999999999998</v>
      </c>
      <c r="AI91" s="30">
        <f>-'OPEX+CAPEX'!AK31</f>
        <v>-0.76124999999999998</v>
      </c>
      <c r="AJ91" s="30">
        <f>-'OPEX+CAPEX'!AL31</f>
        <v>-0.76124999999999998</v>
      </c>
      <c r="AK91" s="30">
        <f>-'OPEX+CAPEX'!AM31</f>
        <v>-0.76124999999999998</v>
      </c>
      <c r="AL91" s="30">
        <f>-'OPEX+CAPEX'!AN31</f>
        <v>-0.76124999999999998</v>
      </c>
      <c r="AN91" s="30">
        <f t="shared" si="75"/>
        <v>-6.4706249999999983</v>
      </c>
      <c r="AO91" s="30">
        <f t="shared" si="76"/>
        <v>-9.1350000000000016</v>
      </c>
      <c r="AP91" s="30">
        <f t="shared" si="77"/>
        <v>-9.1350000000000016</v>
      </c>
    </row>
    <row r="92" spans="1:66" ht="13.8">
      <c r="B92" s="120" t="s">
        <v>101</v>
      </c>
      <c r="C92" s="30">
        <f>-'OPEX+CAPEX'!E33</f>
        <v>-47.61904761904762</v>
      </c>
      <c r="D92" s="30">
        <f>-'OPEX+CAPEX'!F33</f>
        <v>-23.80952380952381</v>
      </c>
      <c r="E92" s="30">
        <f>-'OPEX+CAPEX'!G33</f>
        <v>-23.80952380952381</v>
      </c>
      <c r="F92" s="30">
        <f>-'OPEX+CAPEX'!H33</f>
        <v>-23.80952380952381</v>
      </c>
      <c r="G92" s="30">
        <f>-'OPEX+CAPEX'!I33</f>
        <v>-23.80952380952381</v>
      </c>
      <c r="H92" s="30">
        <f>-'OPEX+CAPEX'!J33</f>
        <v>-23.80952380952381</v>
      </c>
      <c r="I92" s="30">
        <f>-'OPEX+CAPEX'!K33</f>
        <v>-23.80952380952381</v>
      </c>
      <c r="J92" s="30">
        <f>-'OPEX+CAPEX'!L33</f>
        <v>-23.80952380952381</v>
      </c>
      <c r="K92" s="30">
        <f>-'OPEX+CAPEX'!M33</f>
        <v>-23.80952380952381</v>
      </c>
      <c r="L92" s="30">
        <f>-'OPEX+CAPEX'!N33</f>
        <v>-23.80952380952381</v>
      </c>
      <c r="M92" s="30">
        <f>-'OPEX+CAPEX'!O33</f>
        <v>-23.80952380952381</v>
      </c>
      <c r="N92" s="30">
        <f>-'OPEX+CAPEX'!P33</f>
        <v>-23.80952380952381</v>
      </c>
      <c r="O92" s="30">
        <f>-'OPEX+CAPEX'!Q33</f>
        <v>-23.80952380952381</v>
      </c>
      <c r="P92" s="30">
        <f>-'OPEX+CAPEX'!R33</f>
        <v>-23.80952380952381</v>
      </c>
      <c r="Q92" s="30">
        <f>-'OPEX+CAPEX'!S33</f>
        <v>-23.80952380952381</v>
      </c>
      <c r="R92" s="30">
        <f>-'OPEX+CAPEX'!T33</f>
        <v>-23.80952380952381</v>
      </c>
      <c r="S92" s="30">
        <f>-'OPEX+CAPEX'!U33</f>
        <v>-23.80952380952381</v>
      </c>
      <c r="T92" s="30">
        <f>-'OPEX+CAPEX'!V33</f>
        <v>-23.80952380952381</v>
      </c>
      <c r="U92" s="30">
        <f>-'OPEX+CAPEX'!W33</f>
        <v>-23.80952380952381</v>
      </c>
      <c r="V92" s="30">
        <f>-'OPEX+CAPEX'!X33</f>
        <v>-23.80952380952381</v>
      </c>
      <c r="W92" s="30">
        <f>-'OPEX+CAPEX'!Y33</f>
        <v>-23.80952380952381</v>
      </c>
      <c r="X92" s="30">
        <f>-'OPEX+CAPEX'!Z33</f>
        <v>-23.80952380952381</v>
      </c>
      <c r="Y92" s="30">
        <f>-'OPEX+CAPEX'!AA33</f>
        <v>-23.80952380952381</v>
      </c>
      <c r="Z92" s="30">
        <f>-'OPEX+CAPEX'!AB33</f>
        <v>-23.80952380952381</v>
      </c>
      <c r="AA92" s="30">
        <f>-'OPEX+CAPEX'!AC33</f>
        <v>-23.80952380952381</v>
      </c>
      <c r="AB92" s="30">
        <f>-'OPEX+CAPEX'!AD33</f>
        <v>-23.80952380952381</v>
      </c>
      <c r="AC92" s="30">
        <f>-'OPEX+CAPEX'!AE33</f>
        <v>-23.80952380952381</v>
      </c>
      <c r="AD92" s="30">
        <f>-'OPEX+CAPEX'!AF33</f>
        <v>-23.80952380952381</v>
      </c>
      <c r="AE92" s="30">
        <f>-'OPEX+CAPEX'!AG33</f>
        <v>-23.80952380952381</v>
      </c>
      <c r="AF92" s="30">
        <f>-'OPEX+CAPEX'!AH33</f>
        <v>-23.80952380952381</v>
      </c>
      <c r="AG92" s="30">
        <f>-'OPEX+CAPEX'!AI33</f>
        <v>-23.80952380952381</v>
      </c>
      <c r="AH92" s="30">
        <f>-'OPEX+CAPEX'!AJ33</f>
        <v>-23.80952380952381</v>
      </c>
      <c r="AI92" s="30">
        <f>-'OPEX+CAPEX'!AK33</f>
        <v>-23.80952380952381</v>
      </c>
      <c r="AJ92" s="30">
        <f>-'OPEX+CAPEX'!AL33</f>
        <v>-23.80952380952381</v>
      </c>
      <c r="AK92" s="30">
        <f>-'OPEX+CAPEX'!AM33</f>
        <v>-23.80952380952381</v>
      </c>
      <c r="AL92" s="30">
        <f>-'OPEX+CAPEX'!AN33</f>
        <v>-23.80952380952381</v>
      </c>
      <c r="AN92" s="30">
        <f t="shared" si="75"/>
        <v>-309.52380952380946</v>
      </c>
      <c r="AO92" s="30">
        <f t="shared" si="76"/>
        <v>-285.71428571428567</v>
      </c>
      <c r="AP92" s="30">
        <f t="shared" si="77"/>
        <v>-285.71428571428567</v>
      </c>
    </row>
    <row r="93" spans="1:66" ht="13.8">
      <c r="B93" s="120" t="s">
        <v>272</v>
      </c>
      <c r="C93" s="30">
        <f>-'OPEX+CAPEX'!E38</f>
        <v>-103.93214285714285</v>
      </c>
      <c r="D93" s="30">
        <f>-'OPEX+CAPEX'!F38</f>
        <v>-107.81021875</v>
      </c>
      <c r="E93" s="30">
        <f>-'OPEX+CAPEX'!G38</f>
        <v>-111.65004431361608</v>
      </c>
      <c r="F93" s="30">
        <f>-'OPEX+CAPEX'!H38</f>
        <v>-115.45453781665503</v>
      </c>
      <c r="G93" s="30">
        <f>-'OPEX+CAPEX'!I38</f>
        <v>-119.22642898219469</v>
      </c>
      <c r="H93" s="30">
        <f>-'OPEX+CAPEX'!J38</f>
        <v>-122.96823652969893</v>
      </c>
      <c r="I93" s="30">
        <f>-'OPEX+CAPEX'!K38</f>
        <v>-126.42014173615752</v>
      </c>
      <c r="J93" s="30">
        <f>-'OPEX+CAPEX'!L38</f>
        <v>-130.12965555189601</v>
      </c>
      <c r="K93" s="30">
        <f>-'OPEX+CAPEX'!M38</f>
        <v>-134.07521640275672</v>
      </c>
      <c r="L93" s="30">
        <f>-'OPEX+CAPEX'!N38</f>
        <v>-138.23859353144235</v>
      </c>
      <c r="M93" s="30">
        <f>-'OPEX+CAPEX'!O38</f>
        <v>-142.60295934946359</v>
      </c>
      <c r="N93" s="30">
        <f>-'OPEX+CAPEX'!P38</f>
        <v>-147.15278631386329</v>
      </c>
      <c r="O93" s="30">
        <f>-'OPEX+CAPEX'!Q38</f>
        <v>-151.34946076017846</v>
      </c>
      <c r="P93" s="30">
        <f>-'OPEX+CAPEX'!R38</f>
        <v>-155.22192296508192</v>
      </c>
      <c r="Q93" s="30">
        <f>-'OPEX+CAPEX'!S38</f>
        <v>-158.7952149681428</v>
      </c>
      <c r="R93" s="30">
        <f>-'OPEX+CAPEX'!T38</f>
        <v>-162.09244942072186</v>
      </c>
      <c r="S93" s="30">
        <f>-'OPEX+CAPEX'!U38</f>
        <v>-165.13495337108162</v>
      </c>
      <c r="T93" s="30">
        <f>-'OPEX+CAPEX'!V38</f>
        <v>-167.94240622925327</v>
      </c>
      <c r="U93" s="30">
        <f>-'OPEX+CAPEX'!W38</f>
        <v>-170.53296705660219</v>
      </c>
      <c r="V93" s="30">
        <f>-'OPEX+CAPEX'!X38</f>
        <v>-172.92339202158814</v>
      </c>
      <c r="W93" s="30">
        <f>-'OPEX+CAPEX'!Y38</f>
        <v>-175.12914278138624</v>
      </c>
      <c r="X93" s="30">
        <f>-'OPEX+CAPEX'!Z38</f>
        <v>-177.16448649039845</v>
      </c>
      <c r="Y93" s="30">
        <f>-'OPEX+CAPEX'!AA38</f>
        <v>-179.04258808252698</v>
      </c>
      <c r="Z93" s="30">
        <f>-'OPEX+CAPEX'!AB38</f>
        <v>-180.77559542410648</v>
      </c>
      <c r="AA93" s="30">
        <f>-'OPEX+CAPEX'!AC38</f>
        <v>-182.37471788827767</v>
      </c>
      <c r="AB93" s="30">
        <f>-'OPEX+CAPEX'!AD38</f>
        <v>-183.85029885903472</v>
      </c>
      <c r="AC93" s="30">
        <f>-'OPEX+CAPEX'!AE38</f>
        <v>-185.21188263391383</v>
      </c>
      <c r="AD93" s="30">
        <f>-'OPEX+CAPEX'!AF38</f>
        <v>-186.46827615806117</v>
      </c>
      <c r="AE93" s="30">
        <f>-'OPEX+CAPEX'!AG38</f>
        <v>-187.62760598898504</v>
      </c>
      <c r="AF93" s="30">
        <f>-'OPEX+CAPEX'!AH38</f>
        <v>-188.69737086045089</v>
      </c>
      <c r="AG93" s="30">
        <f>-'OPEX+CAPEX'!AI38</f>
        <v>-189.6844901855099</v>
      </c>
      <c r="AH93" s="30">
        <f>-'OPEX+CAPEX'!AJ38</f>
        <v>-190.59534881238716</v>
      </c>
      <c r="AI93" s="30">
        <f>-'OPEX+CAPEX'!AK38</f>
        <v>-191.43583832271781</v>
      </c>
      <c r="AJ93" s="30">
        <f>-'OPEX+CAPEX'!AL38</f>
        <v>-192.21139513925442</v>
      </c>
      <c r="AK93" s="30">
        <f>-'OPEX+CAPEX'!AM38</f>
        <v>-192.92703568953303</v>
      </c>
      <c r="AL93" s="30">
        <f>-'OPEX+CAPEX'!AN38</f>
        <v>-193.58738885294161</v>
      </c>
      <c r="AN93" s="30">
        <f t="shared" si="75"/>
        <v>-1499.6609621348873</v>
      </c>
      <c r="AO93" s="30">
        <f t="shared" si="76"/>
        <v>-2016.1045795710686</v>
      </c>
      <c r="AP93" s="30">
        <f t="shared" si="77"/>
        <v>-2264.6716493910676</v>
      </c>
    </row>
    <row r="94" spans="1:66" ht="13.8">
      <c r="B94" s="120" t="s">
        <v>134</v>
      </c>
      <c r="C94" s="30">
        <f>-'OPEX+CAPEX'!E50</f>
        <v>-100</v>
      </c>
      <c r="D94" s="30">
        <f>-'OPEX+CAPEX'!F50</f>
        <v>-100</v>
      </c>
      <c r="E94" s="30">
        <f>-'OPEX+CAPEX'!G50</f>
        <v>-100</v>
      </c>
      <c r="F94" s="30">
        <f>-'OPEX+CAPEX'!H50</f>
        <v>-100</v>
      </c>
      <c r="G94" s="30">
        <f>-'OPEX+CAPEX'!I50</f>
        <v>-100</v>
      </c>
      <c r="H94" s="30">
        <f>-'OPEX+CAPEX'!J50</f>
        <v>-100</v>
      </c>
      <c r="I94" s="30">
        <f>-'OPEX+CAPEX'!K50</f>
        <v>-100</v>
      </c>
      <c r="J94" s="30">
        <f>-'OPEX+CAPEX'!L50</f>
        <v>-100</v>
      </c>
      <c r="K94" s="30">
        <f>-'OPEX+CAPEX'!M50</f>
        <v>-100</v>
      </c>
      <c r="L94" s="30">
        <f>-'OPEX+CAPEX'!N50</f>
        <v>-100</v>
      </c>
      <c r="M94" s="30">
        <f>-'OPEX+CAPEX'!O50</f>
        <v>-100</v>
      </c>
      <c r="N94" s="30">
        <f>-'OPEX+CAPEX'!P50</f>
        <v>-100</v>
      </c>
      <c r="O94" s="30">
        <f>-'OPEX+CAPEX'!Q50</f>
        <v>-100</v>
      </c>
      <c r="P94" s="30">
        <f>-'OPEX+CAPEX'!R50</f>
        <v>-100</v>
      </c>
      <c r="Q94" s="30">
        <f>-'OPEX+CAPEX'!S50</f>
        <v>-100</v>
      </c>
      <c r="R94" s="30">
        <f>-'OPEX+CAPEX'!T50</f>
        <v>-100</v>
      </c>
      <c r="S94" s="30">
        <f>-'OPEX+CAPEX'!U50</f>
        <v>-100</v>
      </c>
      <c r="T94" s="30">
        <f>-'OPEX+CAPEX'!V50</f>
        <v>-100</v>
      </c>
      <c r="U94" s="30">
        <f>-'OPEX+CAPEX'!W50</f>
        <v>-100</v>
      </c>
      <c r="V94" s="30">
        <f>-'OPEX+CAPEX'!X50</f>
        <v>-100</v>
      </c>
      <c r="W94" s="30">
        <f>-'OPEX+CAPEX'!Y50</f>
        <v>-100</v>
      </c>
      <c r="X94" s="30">
        <f>-'OPEX+CAPEX'!Z50</f>
        <v>-100</v>
      </c>
      <c r="Y94" s="30">
        <f>-'OPEX+CAPEX'!AA50</f>
        <v>-100</v>
      </c>
      <c r="Z94" s="30">
        <f>-'OPEX+CAPEX'!AB50</f>
        <v>-100</v>
      </c>
      <c r="AA94" s="30">
        <f>-'OPEX+CAPEX'!AC50</f>
        <v>-100</v>
      </c>
      <c r="AB94" s="30">
        <f>-'OPEX+CAPEX'!AD50</f>
        <v>-100</v>
      </c>
      <c r="AC94" s="30">
        <f>-'OPEX+CAPEX'!AE50</f>
        <v>-100</v>
      </c>
      <c r="AD94" s="30">
        <f>-'OPEX+CAPEX'!AF50</f>
        <v>-100</v>
      </c>
      <c r="AE94" s="30">
        <f>-'OPEX+CAPEX'!AG50</f>
        <v>-100</v>
      </c>
      <c r="AF94" s="30">
        <f>-'OPEX+CAPEX'!AH50</f>
        <v>-100</v>
      </c>
      <c r="AG94" s="30">
        <f>-'OPEX+CAPEX'!AI50</f>
        <v>-100</v>
      </c>
      <c r="AH94" s="30">
        <f>-'OPEX+CAPEX'!AJ50</f>
        <v>-100</v>
      </c>
      <c r="AI94" s="30">
        <f>-'OPEX+CAPEX'!AK50</f>
        <v>-100</v>
      </c>
      <c r="AJ94" s="30">
        <f>-'OPEX+CAPEX'!AL50</f>
        <v>-100</v>
      </c>
      <c r="AK94" s="30">
        <f>-'OPEX+CAPEX'!AM50</f>
        <v>-100</v>
      </c>
      <c r="AL94" s="30">
        <f>-'OPEX+CAPEX'!AN50</f>
        <v>-100</v>
      </c>
      <c r="AN94" s="30">
        <f t="shared" si="75"/>
        <v>-1200</v>
      </c>
      <c r="AO94" s="30">
        <f t="shared" si="76"/>
        <v>-1200</v>
      </c>
      <c r="AP94" s="30">
        <f t="shared" si="77"/>
        <v>-1200</v>
      </c>
    </row>
    <row r="95" spans="1:66" ht="13.8">
      <c r="B95" s="120" t="s">
        <v>135</v>
      </c>
      <c r="C95" s="30">
        <f>-'OPEX+CAPEX'!E60</f>
        <v>-207.14285714285714</v>
      </c>
      <c r="D95" s="30">
        <f>-'OPEX+CAPEX'!F60</f>
        <v>-207.14285714285714</v>
      </c>
      <c r="E95" s="30">
        <f>-'OPEX+CAPEX'!G60</f>
        <v>-207.14285714285714</v>
      </c>
      <c r="F95" s="30">
        <f>-'OPEX+CAPEX'!H60</f>
        <v>-207.14285714285714</v>
      </c>
      <c r="G95" s="30">
        <f>-'OPEX+CAPEX'!I60</f>
        <v>-207.14285714285714</v>
      </c>
      <c r="H95" s="30">
        <f>-'OPEX+CAPEX'!J60</f>
        <v>-207.14285714285714</v>
      </c>
      <c r="I95" s="30">
        <f>-'OPEX+CAPEX'!K60</f>
        <v>-207.14285714285714</v>
      </c>
      <c r="J95" s="30">
        <f>-'OPEX+CAPEX'!L60</f>
        <v>-207.14285714285714</v>
      </c>
      <c r="K95" s="30">
        <f>-'OPEX+CAPEX'!M60</f>
        <v>-207.14285714285714</v>
      </c>
      <c r="L95" s="30">
        <f>-'OPEX+CAPEX'!N60</f>
        <v>-207.14285714285714</v>
      </c>
      <c r="M95" s="30">
        <f>-'OPEX+CAPEX'!O60</f>
        <v>-207.14285714285714</v>
      </c>
      <c r="N95" s="30">
        <f>-'OPEX+CAPEX'!P60</f>
        <v>-207.14285714285714</v>
      </c>
      <c r="O95" s="30">
        <f>-'OPEX+CAPEX'!Q60</f>
        <v>-207.14285714285714</v>
      </c>
      <c r="P95" s="30">
        <f>-'OPEX+CAPEX'!R60</f>
        <v>-207.14285714285714</v>
      </c>
      <c r="Q95" s="30">
        <f>-'OPEX+CAPEX'!S60</f>
        <v>-207.14285714285714</v>
      </c>
      <c r="R95" s="30">
        <f>-'OPEX+CAPEX'!T60</f>
        <v>-207.14285714285714</v>
      </c>
      <c r="S95" s="30">
        <f>-'OPEX+CAPEX'!U60</f>
        <v>-207.14285714285714</v>
      </c>
      <c r="T95" s="30">
        <f>-'OPEX+CAPEX'!V60</f>
        <v>-207.14285714285714</v>
      </c>
      <c r="U95" s="30">
        <f>-'OPEX+CAPEX'!W60</f>
        <v>-207.14285714285714</v>
      </c>
      <c r="V95" s="30">
        <f>-'OPEX+CAPEX'!X60</f>
        <v>-207.14285714285714</v>
      </c>
      <c r="W95" s="30">
        <f>-'OPEX+CAPEX'!Y60</f>
        <v>-207.14285714285714</v>
      </c>
      <c r="X95" s="30">
        <f>-'OPEX+CAPEX'!Z60</f>
        <v>-207.14285714285714</v>
      </c>
      <c r="Y95" s="30">
        <f>-'OPEX+CAPEX'!AA60</f>
        <v>-207.14285714285714</v>
      </c>
      <c r="Z95" s="30">
        <f>-'OPEX+CAPEX'!AB60</f>
        <v>-207.14285714285714</v>
      </c>
      <c r="AA95" s="30">
        <f>-'OPEX+CAPEX'!AC60</f>
        <v>-207.14285714285714</v>
      </c>
      <c r="AB95" s="30">
        <f>-'OPEX+CAPEX'!AD60</f>
        <v>-207.14285714285714</v>
      </c>
      <c r="AC95" s="30">
        <f>-'OPEX+CAPEX'!AE60</f>
        <v>-207.14285714285714</v>
      </c>
      <c r="AD95" s="30">
        <f>-'OPEX+CAPEX'!AF60</f>
        <v>-207.14285714285714</v>
      </c>
      <c r="AE95" s="30">
        <f>-'OPEX+CAPEX'!AG60</f>
        <v>-207.14285714285714</v>
      </c>
      <c r="AF95" s="30">
        <f>-'OPEX+CAPEX'!AH60</f>
        <v>-207.14285714285714</v>
      </c>
      <c r="AG95" s="30">
        <f>-'OPEX+CAPEX'!AI60</f>
        <v>-207.14285714285714</v>
      </c>
      <c r="AH95" s="30">
        <f>-'OPEX+CAPEX'!AJ60</f>
        <v>-207.14285714285714</v>
      </c>
      <c r="AI95" s="30">
        <f>-'OPEX+CAPEX'!AK60</f>
        <v>-207.14285714285714</v>
      </c>
      <c r="AJ95" s="30">
        <f>-'OPEX+CAPEX'!AL60</f>
        <v>-207.14285714285714</v>
      </c>
      <c r="AK95" s="30">
        <f>-'OPEX+CAPEX'!AM60</f>
        <v>-207.14285714285714</v>
      </c>
      <c r="AL95" s="30">
        <f>-'OPEX+CAPEX'!AN60</f>
        <v>-207.14285714285714</v>
      </c>
      <c r="AN95" s="30">
        <f t="shared" ref="AN95" si="78">SUM(C95:N95)</f>
        <v>-2485.7142857142862</v>
      </c>
      <c r="AO95" s="30">
        <f t="shared" ref="AO95" si="79">SUM(O95:Z95)</f>
        <v>-2485.7142857142862</v>
      </c>
      <c r="AP95" s="30">
        <f t="shared" ref="AP95" si="80">SUM(AA95:AL95)</f>
        <v>-2485.7142857142862</v>
      </c>
    </row>
    <row r="96" spans="1:66" ht="13.8">
      <c r="B96" s="120" t="s">
        <v>201</v>
      </c>
      <c r="C96" s="30">
        <f>-'OPEX+CAPEX'!E69</f>
        <v>-107.14285714285714</v>
      </c>
      <c r="D96" s="30">
        <f>-'OPEX+CAPEX'!F69</f>
        <v>-107.14285714285714</v>
      </c>
      <c r="E96" s="30">
        <f>-'OPEX+CAPEX'!G69</f>
        <v>-107.14285714285714</v>
      </c>
      <c r="F96" s="30">
        <f>-'OPEX+CAPEX'!H69</f>
        <v>-107.14285714285714</v>
      </c>
      <c r="G96" s="30">
        <f>-'OPEX+CAPEX'!I69</f>
        <v>-107.14285714285714</v>
      </c>
      <c r="H96" s="30">
        <f>-'OPEX+CAPEX'!J69</f>
        <v>-107.14285714285714</v>
      </c>
      <c r="I96" s="30">
        <f>-'OPEX+CAPEX'!K69</f>
        <v>-107.14285714285714</v>
      </c>
      <c r="J96" s="30">
        <f>-'OPEX+CAPEX'!L69</f>
        <v>-107.14285714285714</v>
      </c>
      <c r="K96" s="30">
        <f>-'OPEX+CAPEX'!M69</f>
        <v>-107.14285714285714</v>
      </c>
      <c r="L96" s="30">
        <f>-'OPEX+CAPEX'!N69</f>
        <v>-107.14285714285714</v>
      </c>
      <c r="M96" s="30">
        <f>-'OPEX+CAPEX'!O69</f>
        <v>-107.14285714285714</v>
      </c>
      <c r="N96" s="30">
        <f>-'OPEX+CAPEX'!P69</f>
        <v>-107.14285714285714</v>
      </c>
      <c r="O96" s="30">
        <f>-'OPEX+CAPEX'!Q69</f>
        <v>-107.14285714285714</v>
      </c>
      <c r="P96" s="30">
        <f>-'OPEX+CAPEX'!R69</f>
        <v>-107.14285714285714</v>
      </c>
      <c r="Q96" s="30">
        <f>-'OPEX+CAPEX'!S69</f>
        <v>-107.14285714285714</v>
      </c>
      <c r="R96" s="30">
        <f>-'OPEX+CAPEX'!T69</f>
        <v>-107.14285714285714</v>
      </c>
      <c r="S96" s="30">
        <f>-'OPEX+CAPEX'!U69</f>
        <v>-107.14285714285714</v>
      </c>
      <c r="T96" s="30">
        <f>-'OPEX+CAPEX'!V69</f>
        <v>-107.14285714285714</v>
      </c>
      <c r="U96" s="30">
        <f>-'OPEX+CAPEX'!W69</f>
        <v>-107.14285714285714</v>
      </c>
      <c r="V96" s="30">
        <f>-'OPEX+CAPEX'!X69</f>
        <v>-107.14285714285714</v>
      </c>
      <c r="W96" s="30">
        <f>-'OPEX+CAPEX'!Y69</f>
        <v>-107.14285714285714</v>
      </c>
      <c r="X96" s="30">
        <f>-'OPEX+CAPEX'!Z69</f>
        <v>-107.14285714285714</v>
      </c>
      <c r="Y96" s="30">
        <f>-'OPEX+CAPEX'!AA69</f>
        <v>-107.14285714285714</v>
      </c>
      <c r="Z96" s="30">
        <f>-'OPEX+CAPEX'!AB69</f>
        <v>-107.14285714285714</v>
      </c>
      <c r="AA96" s="30">
        <f>-'OPEX+CAPEX'!AC69</f>
        <v>-107.14285714285714</v>
      </c>
      <c r="AB96" s="30">
        <f>-'OPEX+CAPEX'!AD69</f>
        <v>-107.14285714285714</v>
      </c>
      <c r="AC96" s="30">
        <f>-'OPEX+CAPEX'!AE69</f>
        <v>-107.14285714285714</v>
      </c>
      <c r="AD96" s="30">
        <f>-'OPEX+CAPEX'!AF69</f>
        <v>-107.14285714285714</v>
      </c>
      <c r="AE96" s="30">
        <f>-'OPEX+CAPEX'!AG69</f>
        <v>-107.14285714285714</v>
      </c>
      <c r="AF96" s="30">
        <f>-'OPEX+CAPEX'!AH69</f>
        <v>-107.14285714285714</v>
      </c>
      <c r="AG96" s="30">
        <f>-'OPEX+CAPEX'!AI69</f>
        <v>-107.14285714285714</v>
      </c>
      <c r="AH96" s="30">
        <f>-'OPEX+CAPEX'!AJ69</f>
        <v>-107.14285714285714</v>
      </c>
      <c r="AI96" s="30">
        <f>-'OPEX+CAPEX'!AK69</f>
        <v>-107.14285714285714</v>
      </c>
      <c r="AJ96" s="30">
        <f>-'OPEX+CAPEX'!AL69</f>
        <v>-107.14285714285714</v>
      </c>
      <c r="AK96" s="30">
        <f>-'OPEX+CAPEX'!AM69</f>
        <v>-107.14285714285714</v>
      </c>
      <c r="AL96" s="30">
        <f>-'OPEX+CAPEX'!AN69</f>
        <v>-107.14285714285714</v>
      </c>
      <c r="AN96" s="30">
        <f t="shared" ref="AN96:AN97" si="81">SUM(C96:N96)</f>
        <v>-1285.7142857142856</v>
      </c>
      <c r="AO96" s="30">
        <f t="shared" ref="AO96:AO97" si="82">SUM(O96:Z96)</f>
        <v>-1285.7142857142856</v>
      </c>
      <c r="AP96" s="30">
        <f t="shared" ref="AP96:AP97" si="83">SUM(AA96:AL96)</f>
        <v>-1285.7142857142856</v>
      </c>
    </row>
    <row r="97" spans="2:42" ht="13.8">
      <c r="B97" s="120" t="s">
        <v>209</v>
      </c>
      <c r="C97" s="30">
        <f>-'OPEX+CAPEX'!E75</f>
        <v>-100.0911111111111</v>
      </c>
      <c r="D97" s="30">
        <f>-'OPEX+CAPEX'!F75</f>
        <v>-100.0911111111111</v>
      </c>
      <c r="E97" s="30">
        <f>-'OPEX+CAPEX'!G75</f>
        <v>-100.18222222222222</v>
      </c>
      <c r="F97" s="30">
        <f>-'OPEX+CAPEX'!H75</f>
        <v>-100.18222222222222</v>
      </c>
      <c r="G97" s="30">
        <f>-'OPEX+CAPEX'!I75</f>
        <v>-100.27333333333333</v>
      </c>
      <c r="H97" s="30">
        <f>-'OPEX+CAPEX'!J75</f>
        <v>-100.27333333333333</v>
      </c>
      <c r="I97" s="30">
        <f>-'OPEX+CAPEX'!K75</f>
        <v>-100.36444444444444</v>
      </c>
      <c r="J97" s="30">
        <f>-'OPEX+CAPEX'!L75</f>
        <v>-100.45555555555556</v>
      </c>
      <c r="K97" s="30">
        <f>-'OPEX+CAPEX'!M75</f>
        <v>-100.54666666666667</v>
      </c>
      <c r="L97" s="30">
        <f>-'OPEX+CAPEX'!N75</f>
        <v>-100.63777777777779</v>
      </c>
      <c r="M97" s="30">
        <f>-'OPEX+CAPEX'!O75</f>
        <v>-100.72888888888889</v>
      </c>
      <c r="N97" s="30">
        <f>-'OPEX+CAPEX'!P75</f>
        <v>-100.72888888888889</v>
      </c>
      <c r="O97" s="30">
        <f>-'OPEX+CAPEX'!Q75</f>
        <v>-100.72888888888889</v>
      </c>
      <c r="P97" s="30">
        <f>-'OPEX+CAPEX'!R75</f>
        <v>-100.72888888888889</v>
      </c>
      <c r="Q97" s="30">
        <f>-'OPEX+CAPEX'!S75</f>
        <v>-100.72888888888889</v>
      </c>
      <c r="R97" s="30">
        <f>-'OPEX+CAPEX'!T75</f>
        <v>-100.72888888888889</v>
      </c>
      <c r="S97" s="30">
        <f>-'OPEX+CAPEX'!U75</f>
        <v>-100.72888888888889</v>
      </c>
      <c r="T97" s="30">
        <f>-'OPEX+CAPEX'!V75</f>
        <v>-100.72888888888889</v>
      </c>
      <c r="U97" s="30">
        <f>-'OPEX+CAPEX'!W75</f>
        <v>-100.72888888888889</v>
      </c>
      <c r="V97" s="30">
        <f>-'OPEX+CAPEX'!X75</f>
        <v>-100.72888888888889</v>
      </c>
      <c r="W97" s="30">
        <f>-'OPEX+CAPEX'!Y75</f>
        <v>-100.72888888888889</v>
      </c>
      <c r="X97" s="30">
        <f>-'OPEX+CAPEX'!Z75</f>
        <v>-100.72888888888889</v>
      </c>
      <c r="Y97" s="30">
        <f>-'OPEX+CAPEX'!AA75</f>
        <v>-100.72888888888889</v>
      </c>
      <c r="Z97" s="30">
        <f>-'OPEX+CAPEX'!AB75</f>
        <v>-100.72888888888889</v>
      </c>
      <c r="AA97" s="30">
        <f>-'OPEX+CAPEX'!AC75</f>
        <v>-100.72888888888889</v>
      </c>
      <c r="AB97" s="30">
        <f>-'OPEX+CAPEX'!AD75</f>
        <v>-100.72888888888889</v>
      </c>
      <c r="AC97" s="30">
        <f>-'OPEX+CAPEX'!AE75</f>
        <v>-100.72888888888889</v>
      </c>
      <c r="AD97" s="30">
        <f>-'OPEX+CAPEX'!AF75</f>
        <v>-100.72888888888889</v>
      </c>
      <c r="AE97" s="30">
        <f>-'OPEX+CAPEX'!AG75</f>
        <v>-100.72888888888889</v>
      </c>
      <c r="AF97" s="30">
        <f>-'OPEX+CAPEX'!AH75</f>
        <v>-100.72888888888889</v>
      </c>
      <c r="AG97" s="30">
        <f>-'OPEX+CAPEX'!AI75</f>
        <v>-100.72888888888889</v>
      </c>
      <c r="AH97" s="30">
        <f>-'OPEX+CAPEX'!AJ75</f>
        <v>-100.72888888888889</v>
      </c>
      <c r="AI97" s="30">
        <f>-'OPEX+CAPEX'!AK75</f>
        <v>-100.72888888888889</v>
      </c>
      <c r="AJ97" s="30">
        <f>-'OPEX+CAPEX'!AL75</f>
        <v>-100.72888888888889</v>
      </c>
      <c r="AK97" s="30">
        <f>-'OPEX+CAPEX'!AM75</f>
        <v>-100.72888888888889</v>
      </c>
      <c r="AL97" s="30">
        <f>-'OPEX+CAPEX'!AN75</f>
        <v>-100.72888888888889</v>
      </c>
      <c r="AN97" s="30">
        <f t="shared" si="81"/>
        <v>-1204.5555555555552</v>
      </c>
      <c r="AO97" s="30">
        <f t="shared" si="82"/>
        <v>-1208.7466666666664</v>
      </c>
      <c r="AP97" s="30">
        <f t="shared" si="83"/>
        <v>-1208.7466666666664</v>
      </c>
    </row>
    <row r="98" spans="2:42" ht="13.8">
      <c r="B98" s="120" t="s">
        <v>305</v>
      </c>
      <c r="C98" s="30">
        <f>-'OPEX+CAPEX'!E87</f>
        <v>-107.21119047619047</v>
      </c>
      <c r="D98" s="30">
        <f>-'OPEX+CAPEX'!F87</f>
        <v>-107.27952380952382</v>
      </c>
      <c r="E98" s="30">
        <f>-'OPEX+CAPEX'!G87</f>
        <v>-107.27952380952382</v>
      </c>
      <c r="F98" s="30">
        <f>-'OPEX+CAPEX'!H87</f>
        <v>-107.27952380952382</v>
      </c>
      <c r="G98" s="30">
        <f>-'OPEX+CAPEX'!I87</f>
        <v>-107.27952380952382</v>
      </c>
      <c r="H98" s="30">
        <f>-'OPEX+CAPEX'!J87</f>
        <v>-107.34785714285715</v>
      </c>
      <c r="I98" s="30">
        <f>-'OPEX+CAPEX'!K87</f>
        <v>-107.34785714285715</v>
      </c>
      <c r="J98" s="30">
        <f>-'OPEX+CAPEX'!L87</f>
        <v>-107.34785714285715</v>
      </c>
      <c r="K98" s="30">
        <f>-'OPEX+CAPEX'!M87</f>
        <v>-107.34785714285715</v>
      </c>
      <c r="L98" s="30">
        <f>-'OPEX+CAPEX'!N87</f>
        <v>-107.34785714285715</v>
      </c>
      <c r="M98" s="30">
        <f>-'OPEX+CAPEX'!O87</f>
        <v>-107.41619047619048</v>
      </c>
      <c r="N98" s="30">
        <f>-'OPEX+CAPEX'!P87</f>
        <v>-107.41619047619048</v>
      </c>
      <c r="O98" s="30">
        <f>-'OPEX+CAPEX'!Q87</f>
        <v>-107.41619047619048</v>
      </c>
      <c r="P98" s="30">
        <f>-'OPEX+CAPEX'!R87</f>
        <v>-107.41619047619048</v>
      </c>
      <c r="Q98" s="30">
        <f>-'OPEX+CAPEX'!S87</f>
        <v>-107.41619047619048</v>
      </c>
      <c r="R98" s="30">
        <f>-'OPEX+CAPEX'!T87</f>
        <v>-107.41619047619048</v>
      </c>
      <c r="S98" s="30">
        <f>-'OPEX+CAPEX'!U87</f>
        <v>-107.41619047619048</v>
      </c>
      <c r="T98" s="30">
        <f>-'OPEX+CAPEX'!V87</f>
        <v>-107.41619047619048</v>
      </c>
      <c r="U98" s="30">
        <f>-'OPEX+CAPEX'!W87</f>
        <v>-107.41619047619048</v>
      </c>
      <c r="V98" s="30">
        <f>-'OPEX+CAPEX'!X87</f>
        <v>-107.41619047619048</v>
      </c>
      <c r="W98" s="30">
        <f>-'OPEX+CAPEX'!Y87</f>
        <v>-107.41619047619048</v>
      </c>
      <c r="X98" s="30">
        <f>-'OPEX+CAPEX'!Z87</f>
        <v>-107.41619047619048</v>
      </c>
      <c r="Y98" s="30">
        <f>-'OPEX+CAPEX'!AA87</f>
        <v>-107.41619047619048</v>
      </c>
      <c r="Z98" s="30">
        <f>-'OPEX+CAPEX'!AB87</f>
        <v>-107.41619047619048</v>
      </c>
      <c r="AA98" s="30">
        <f>-'OPEX+CAPEX'!AC87</f>
        <v>-107.41619047619048</v>
      </c>
      <c r="AB98" s="30">
        <f>-'OPEX+CAPEX'!AD87</f>
        <v>-107.41619047619048</v>
      </c>
      <c r="AC98" s="30">
        <f>-'OPEX+CAPEX'!AE87</f>
        <v>-107.41619047619048</v>
      </c>
      <c r="AD98" s="30">
        <f>-'OPEX+CAPEX'!AF87</f>
        <v>-107.41619047619048</v>
      </c>
      <c r="AE98" s="30">
        <f>-'OPEX+CAPEX'!AG87</f>
        <v>-107.41619047619048</v>
      </c>
      <c r="AF98" s="30">
        <f>-'OPEX+CAPEX'!AH87</f>
        <v>-107.41619047619048</v>
      </c>
      <c r="AG98" s="30">
        <f>-'OPEX+CAPEX'!AI87</f>
        <v>-107.41619047619048</v>
      </c>
      <c r="AH98" s="30">
        <f>-'OPEX+CAPEX'!AJ87</f>
        <v>-107.41619047619048</v>
      </c>
      <c r="AI98" s="30">
        <f>-'OPEX+CAPEX'!AK87</f>
        <v>-107.41619047619048</v>
      </c>
      <c r="AJ98" s="30">
        <f>-'OPEX+CAPEX'!AL87</f>
        <v>-107.41619047619048</v>
      </c>
      <c r="AK98" s="30">
        <f>-'OPEX+CAPEX'!AM87</f>
        <v>-107.41619047619048</v>
      </c>
      <c r="AL98" s="30">
        <f>-'OPEX+CAPEX'!AN87</f>
        <v>-107.41619047619048</v>
      </c>
      <c r="AN98" s="30">
        <f t="shared" ref="AN98" si="84">SUM(C98:N98)</f>
        <v>-1287.9009523809523</v>
      </c>
      <c r="AO98" s="30">
        <f t="shared" ref="AO98" si="85">SUM(O98:Z98)</f>
        <v>-1288.9942857142853</v>
      </c>
      <c r="AP98" s="30">
        <f t="shared" ref="AP98" si="86">SUM(AA98:AL98)</f>
        <v>-1288.9942857142853</v>
      </c>
    </row>
    <row r="99" spans="2:42" ht="13.8">
      <c r="B99" s="120" t="s">
        <v>136</v>
      </c>
      <c r="C99" s="30">
        <f>-'OPEX+CAPEX'!E95</f>
        <v>-107.14285714285714</v>
      </c>
      <c r="D99" s="30">
        <f>-'OPEX+CAPEX'!F95</f>
        <v>-107.14285714285714</v>
      </c>
      <c r="E99" s="30">
        <f>-'OPEX+CAPEX'!G95</f>
        <v>-107.14285714285714</v>
      </c>
      <c r="F99" s="30">
        <f>-'OPEX+CAPEX'!H95</f>
        <v>-107.14285714285714</v>
      </c>
      <c r="G99" s="30">
        <f>-'OPEX+CAPEX'!I95</f>
        <v>-107.14285714285714</v>
      </c>
      <c r="H99" s="30">
        <f>-'OPEX+CAPEX'!J95</f>
        <v>-107.14285714285714</v>
      </c>
      <c r="I99" s="30">
        <f>-'OPEX+CAPEX'!K95</f>
        <v>-107.14285714285714</v>
      </c>
      <c r="J99" s="30">
        <f>-'OPEX+CAPEX'!L95</f>
        <v>-107.14285714285714</v>
      </c>
      <c r="K99" s="30">
        <f>-'OPEX+CAPEX'!M95</f>
        <v>-107.14285714285714</v>
      </c>
      <c r="L99" s="30">
        <f>-'OPEX+CAPEX'!N95</f>
        <v>-107.14285714285714</v>
      </c>
      <c r="M99" s="30">
        <f>-'OPEX+CAPEX'!O95</f>
        <v>-107.14285714285714</v>
      </c>
      <c r="N99" s="30">
        <f>-'OPEX+CAPEX'!P95</f>
        <v>-107.14285714285714</v>
      </c>
      <c r="O99" s="30">
        <f>-'OPEX+CAPEX'!Q95</f>
        <v>-107.14285714285714</v>
      </c>
      <c r="P99" s="30">
        <f>-'OPEX+CAPEX'!R95</f>
        <v>-107.14285714285714</v>
      </c>
      <c r="Q99" s="30">
        <f>-'OPEX+CAPEX'!S95</f>
        <v>-107.14285714285714</v>
      </c>
      <c r="R99" s="30">
        <f>-'OPEX+CAPEX'!T95</f>
        <v>-107.14285714285714</v>
      </c>
      <c r="S99" s="30">
        <f>-'OPEX+CAPEX'!U95</f>
        <v>-107.14285714285714</v>
      </c>
      <c r="T99" s="30">
        <f>-'OPEX+CAPEX'!V95</f>
        <v>-107.14285714285714</v>
      </c>
      <c r="U99" s="30">
        <f>-'OPEX+CAPEX'!W95</f>
        <v>-107.14285714285714</v>
      </c>
      <c r="V99" s="30">
        <f>-'OPEX+CAPEX'!X95</f>
        <v>-107.14285714285714</v>
      </c>
      <c r="W99" s="30">
        <f>-'OPEX+CAPEX'!Y95</f>
        <v>-107.14285714285714</v>
      </c>
      <c r="X99" s="30">
        <f>-'OPEX+CAPEX'!Z95</f>
        <v>-107.14285714285714</v>
      </c>
      <c r="Y99" s="30">
        <f>-'OPEX+CAPEX'!AA95</f>
        <v>-107.14285714285714</v>
      </c>
      <c r="Z99" s="30">
        <f>-'OPEX+CAPEX'!AB95</f>
        <v>-107.14285714285714</v>
      </c>
      <c r="AA99" s="30">
        <f>-'OPEX+CAPEX'!AC95</f>
        <v>-107.14285714285714</v>
      </c>
      <c r="AB99" s="30">
        <f>-'OPEX+CAPEX'!AD95</f>
        <v>-107.14285714285714</v>
      </c>
      <c r="AC99" s="30">
        <f>-'OPEX+CAPEX'!AE95</f>
        <v>-107.14285714285714</v>
      </c>
      <c r="AD99" s="30">
        <f>-'OPEX+CAPEX'!AF95</f>
        <v>-107.14285714285714</v>
      </c>
      <c r="AE99" s="30">
        <f>-'OPEX+CAPEX'!AG95</f>
        <v>-107.14285714285714</v>
      </c>
      <c r="AF99" s="30">
        <f>-'OPEX+CAPEX'!AH95</f>
        <v>-107.14285714285714</v>
      </c>
      <c r="AG99" s="30">
        <f>-'OPEX+CAPEX'!AI95</f>
        <v>-107.14285714285714</v>
      </c>
      <c r="AH99" s="30">
        <f>-'OPEX+CAPEX'!AJ95</f>
        <v>-107.14285714285714</v>
      </c>
      <c r="AI99" s="30">
        <f>-'OPEX+CAPEX'!AK95</f>
        <v>-107.14285714285714</v>
      </c>
      <c r="AJ99" s="30">
        <f>-'OPEX+CAPEX'!AL95</f>
        <v>-107.14285714285714</v>
      </c>
      <c r="AK99" s="30">
        <f>-'OPEX+CAPEX'!AM95</f>
        <v>-107.14285714285714</v>
      </c>
      <c r="AL99" s="30">
        <f>-'OPEX+CAPEX'!AN95</f>
        <v>-107.14285714285714</v>
      </c>
      <c r="AN99" s="30">
        <f t="shared" ref="AN99" si="87">SUM(C99:N99)</f>
        <v>-1285.7142857142856</v>
      </c>
      <c r="AO99" s="30">
        <f t="shared" ref="AO99" si="88">SUM(O99:Z99)</f>
        <v>-1285.7142857142856</v>
      </c>
      <c r="AP99" s="30">
        <f t="shared" ref="AP99" si="89">SUM(AA99:AL99)</f>
        <v>-1285.7142857142856</v>
      </c>
    </row>
    <row r="100" spans="2:42" ht="13.8">
      <c r="B100" s="120" t="s">
        <v>137</v>
      </c>
      <c r="C100" s="30">
        <f>-'OPEX+CAPEX'!E98</f>
        <v>-107.14285714285714</v>
      </c>
      <c r="D100" s="30">
        <f>-'OPEX+CAPEX'!F98</f>
        <v>-107.14285714285714</v>
      </c>
      <c r="E100" s="30">
        <f>-'OPEX+CAPEX'!G98</f>
        <v>-107.14285714285714</v>
      </c>
      <c r="F100" s="30">
        <f>-'OPEX+CAPEX'!H98</f>
        <v>-107.14285714285714</v>
      </c>
      <c r="G100" s="30">
        <f>-'OPEX+CAPEX'!I98</f>
        <v>-107.14285714285714</v>
      </c>
      <c r="H100" s="30">
        <f>-'OPEX+CAPEX'!J98</f>
        <v>-107.14285714285714</v>
      </c>
      <c r="I100" s="30">
        <f>-'OPEX+CAPEX'!K98</f>
        <v>-107.14285714285714</v>
      </c>
      <c r="J100" s="30">
        <f>-'OPEX+CAPEX'!L98</f>
        <v>-107.14285714285714</v>
      </c>
      <c r="K100" s="30">
        <f>-'OPEX+CAPEX'!M98</f>
        <v>-107.14285714285714</v>
      </c>
      <c r="L100" s="30">
        <f>-'OPEX+CAPEX'!N98</f>
        <v>-107.14285714285714</v>
      </c>
      <c r="M100" s="30">
        <f>-'OPEX+CAPEX'!O98</f>
        <v>-107.14285714285714</v>
      </c>
      <c r="N100" s="30">
        <f>-'OPEX+CAPEX'!P98</f>
        <v>-107.14285714285714</v>
      </c>
      <c r="O100" s="30">
        <f>-'OPEX+CAPEX'!Q98</f>
        <v>-107.14285714285714</v>
      </c>
      <c r="P100" s="30">
        <f>-'OPEX+CAPEX'!R98</f>
        <v>-107.14285714285714</v>
      </c>
      <c r="Q100" s="30">
        <f>-'OPEX+CAPEX'!S98</f>
        <v>-107.14285714285714</v>
      </c>
      <c r="R100" s="30">
        <f>-'OPEX+CAPEX'!T98</f>
        <v>-107.14285714285714</v>
      </c>
      <c r="S100" s="30">
        <f>-'OPEX+CAPEX'!U98</f>
        <v>-107.14285714285714</v>
      </c>
      <c r="T100" s="30">
        <f>-'OPEX+CAPEX'!V98</f>
        <v>-107.14285714285714</v>
      </c>
      <c r="U100" s="30">
        <f>-'OPEX+CAPEX'!W98</f>
        <v>-107.14285714285714</v>
      </c>
      <c r="V100" s="30">
        <f>-'OPEX+CAPEX'!X98</f>
        <v>-107.14285714285714</v>
      </c>
      <c r="W100" s="30">
        <f>-'OPEX+CAPEX'!Y98</f>
        <v>-107.14285714285714</v>
      </c>
      <c r="X100" s="30">
        <f>-'OPEX+CAPEX'!Z98</f>
        <v>-107.14285714285714</v>
      </c>
      <c r="Y100" s="30">
        <f>-'OPEX+CAPEX'!AA98</f>
        <v>-107.14285714285714</v>
      </c>
      <c r="Z100" s="30">
        <f>-'OPEX+CAPEX'!AB98</f>
        <v>-107.14285714285714</v>
      </c>
      <c r="AA100" s="30">
        <f>-'OPEX+CAPEX'!AC98</f>
        <v>-107.14285714285714</v>
      </c>
      <c r="AB100" s="30">
        <f>-'OPEX+CAPEX'!AD98</f>
        <v>-107.14285714285714</v>
      </c>
      <c r="AC100" s="30">
        <f>-'OPEX+CAPEX'!AE98</f>
        <v>-107.14285714285714</v>
      </c>
      <c r="AD100" s="30">
        <f>-'OPEX+CAPEX'!AF98</f>
        <v>-107.14285714285714</v>
      </c>
      <c r="AE100" s="30">
        <f>-'OPEX+CAPEX'!AG98</f>
        <v>-107.14285714285714</v>
      </c>
      <c r="AF100" s="30">
        <f>-'OPEX+CAPEX'!AH98</f>
        <v>-107.14285714285714</v>
      </c>
      <c r="AG100" s="30">
        <f>-'OPEX+CAPEX'!AI98</f>
        <v>-107.14285714285714</v>
      </c>
      <c r="AH100" s="30">
        <f>-'OPEX+CAPEX'!AJ98</f>
        <v>-107.14285714285714</v>
      </c>
      <c r="AI100" s="30">
        <f>-'OPEX+CAPEX'!AK98</f>
        <v>-107.14285714285714</v>
      </c>
      <c r="AJ100" s="30">
        <f>-'OPEX+CAPEX'!AL98</f>
        <v>-107.14285714285714</v>
      </c>
      <c r="AK100" s="30">
        <f>-'OPEX+CAPEX'!AM98</f>
        <v>-107.14285714285714</v>
      </c>
      <c r="AL100" s="30">
        <f>-'OPEX+CAPEX'!AN98</f>
        <v>-107.14285714285714</v>
      </c>
      <c r="AN100" s="30">
        <f t="shared" ref="AN100" si="90">SUM(C100:N100)</f>
        <v>-1285.7142857142856</v>
      </c>
      <c r="AO100" s="30">
        <f t="shared" ref="AO100" si="91">SUM(O100:Z100)</f>
        <v>-1285.7142857142856</v>
      </c>
      <c r="AP100" s="30">
        <f t="shared" ref="AP100" si="92">SUM(AA100:AL100)</f>
        <v>-1285.7142857142856</v>
      </c>
    </row>
    <row r="101" spans="2:42" ht="13.8">
      <c r="B101" s="120" t="s">
        <v>309</v>
      </c>
      <c r="C101" s="30">
        <f>-'OPEX+CAPEX'!E104</f>
        <v>-27.142857142857146</v>
      </c>
      <c r="D101" s="30">
        <f>-'OPEX+CAPEX'!F104</f>
        <v>-27.142857142857146</v>
      </c>
      <c r="E101" s="30">
        <f>-'OPEX+CAPEX'!G104</f>
        <v>-27.142857142857146</v>
      </c>
      <c r="F101" s="30">
        <f>-'OPEX+CAPEX'!H104</f>
        <v>-27.142857142857146</v>
      </c>
      <c r="G101" s="30">
        <f>-'OPEX+CAPEX'!I104</f>
        <v>-27.142857142857146</v>
      </c>
      <c r="H101" s="30">
        <f>-'OPEX+CAPEX'!J104</f>
        <v>-27.142857142857146</v>
      </c>
      <c r="I101" s="30">
        <f>-'OPEX+CAPEX'!K104</f>
        <v>-27.142857142857146</v>
      </c>
      <c r="J101" s="30">
        <f>-'OPEX+CAPEX'!L104</f>
        <v>-27.142857142857146</v>
      </c>
      <c r="K101" s="30">
        <f>-'OPEX+CAPEX'!M104</f>
        <v>-27.142857142857146</v>
      </c>
      <c r="L101" s="30">
        <f>-'OPEX+CAPEX'!N104</f>
        <v>-27.142857142857146</v>
      </c>
      <c r="M101" s="30">
        <f>-'OPEX+CAPEX'!O104</f>
        <v>-27.142857142857146</v>
      </c>
      <c r="N101" s="30">
        <f>-'OPEX+CAPEX'!P104</f>
        <v>-27.142857142857146</v>
      </c>
      <c r="O101" s="30">
        <f>-'OPEX+CAPEX'!Q104</f>
        <v>-27.142857142857146</v>
      </c>
      <c r="P101" s="30">
        <f>-'OPEX+CAPEX'!R104</f>
        <v>-27.142857142857146</v>
      </c>
      <c r="Q101" s="30">
        <f>-'OPEX+CAPEX'!S104</f>
        <v>-27.142857142857146</v>
      </c>
      <c r="R101" s="30">
        <f>-'OPEX+CAPEX'!T104</f>
        <v>-27.142857142857146</v>
      </c>
      <c r="S101" s="30">
        <f>-'OPEX+CAPEX'!U104</f>
        <v>-27.142857142857146</v>
      </c>
      <c r="T101" s="30">
        <f>-'OPEX+CAPEX'!V104</f>
        <v>-27.142857142857146</v>
      </c>
      <c r="U101" s="30">
        <f>-'OPEX+CAPEX'!W104</f>
        <v>-27.142857142857146</v>
      </c>
      <c r="V101" s="30">
        <f>-'OPEX+CAPEX'!X104</f>
        <v>-27.142857142857146</v>
      </c>
      <c r="W101" s="30">
        <f>-'OPEX+CAPEX'!Y104</f>
        <v>-27.142857142857146</v>
      </c>
      <c r="X101" s="30">
        <f>-'OPEX+CAPEX'!Z104</f>
        <v>-27.142857142857146</v>
      </c>
      <c r="Y101" s="30">
        <f>-'OPEX+CAPEX'!AA104</f>
        <v>-27.142857142857146</v>
      </c>
      <c r="Z101" s="30">
        <f>-'OPEX+CAPEX'!AB104</f>
        <v>-27.142857142857146</v>
      </c>
      <c r="AA101" s="30">
        <f>-'OPEX+CAPEX'!AC104</f>
        <v>-27.142857142857146</v>
      </c>
      <c r="AB101" s="30">
        <f>-'OPEX+CAPEX'!AD104</f>
        <v>-27.142857142857146</v>
      </c>
      <c r="AC101" s="30">
        <f>-'OPEX+CAPEX'!AE104</f>
        <v>-27.142857142857146</v>
      </c>
      <c r="AD101" s="30">
        <f>-'OPEX+CAPEX'!AF104</f>
        <v>-27.142857142857146</v>
      </c>
      <c r="AE101" s="30">
        <f>-'OPEX+CAPEX'!AG104</f>
        <v>-27.142857142857146</v>
      </c>
      <c r="AF101" s="30">
        <f>-'OPEX+CAPEX'!AH104</f>
        <v>-27.142857142857146</v>
      </c>
      <c r="AG101" s="30">
        <f>-'OPEX+CAPEX'!AI104</f>
        <v>-27.142857142857146</v>
      </c>
      <c r="AH101" s="30">
        <f>-'OPEX+CAPEX'!AJ104</f>
        <v>-27.142857142857146</v>
      </c>
      <c r="AI101" s="30">
        <f>-'OPEX+CAPEX'!AK104</f>
        <v>-27.142857142857146</v>
      </c>
      <c r="AJ101" s="30">
        <f>-'OPEX+CAPEX'!AL104</f>
        <v>-27.142857142857146</v>
      </c>
      <c r="AK101" s="30">
        <f>-'OPEX+CAPEX'!AM104</f>
        <v>-27.142857142857146</v>
      </c>
      <c r="AL101" s="30">
        <f>-'OPEX+CAPEX'!AN104</f>
        <v>-27.142857142857146</v>
      </c>
      <c r="AN101" s="30">
        <f t="shared" ref="AN101" si="93">SUM(C101:N101)</f>
        <v>-325.71428571428578</v>
      </c>
      <c r="AO101" s="30">
        <f t="shared" ref="AO101" si="94">SUM(O101:Z101)</f>
        <v>-325.71428571428578</v>
      </c>
      <c r="AP101" s="30">
        <f t="shared" ref="AP101" si="95">SUM(AA101:AL101)</f>
        <v>-325.71428571428578</v>
      </c>
    </row>
    <row r="102" spans="2:42" ht="13.8">
      <c r="B102" s="120" t="s">
        <v>310</v>
      </c>
      <c r="C102" s="30">
        <f>-'OPEX+CAPEX'!E107</f>
        <v>-107.14285714285714</v>
      </c>
      <c r="D102" s="30">
        <f>-'OPEX+CAPEX'!F107</f>
        <v>-107.14285714285714</v>
      </c>
      <c r="E102" s="30">
        <f>-'OPEX+CAPEX'!G107</f>
        <v>-107.14285714285714</v>
      </c>
      <c r="F102" s="30">
        <f>-'OPEX+CAPEX'!H107</f>
        <v>-107.14285714285714</v>
      </c>
      <c r="G102" s="30">
        <f>-'OPEX+CAPEX'!I107</f>
        <v>-107.14285714285714</v>
      </c>
      <c r="H102" s="30">
        <f>-'OPEX+CAPEX'!J107</f>
        <v>-107.14285714285714</v>
      </c>
      <c r="I102" s="30">
        <f>-'OPEX+CAPEX'!K107</f>
        <v>-107.14285714285714</v>
      </c>
      <c r="J102" s="30">
        <f>-'OPEX+CAPEX'!L107</f>
        <v>-107.14285714285714</v>
      </c>
      <c r="K102" s="30">
        <f>-'OPEX+CAPEX'!M107</f>
        <v>-107.14285714285714</v>
      </c>
      <c r="L102" s="30">
        <f>-'OPEX+CAPEX'!N107</f>
        <v>-107.14285714285714</v>
      </c>
      <c r="M102" s="30">
        <f>-'OPEX+CAPEX'!O107</f>
        <v>-107.14285714285714</v>
      </c>
      <c r="N102" s="30">
        <f>-'OPEX+CAPEX'!P107</f>
        <v>-107.14285714285714</v>
      </c>
      <c r="O102" s="30">
        <f>-'OPEX+CAPEX'!Q107</f>
        <v>-107.14285714285714</v>
      </c>
      <c r="P102" s="30">
        <f>-'OPEX+CAPEX'!R107</f>
        <v>-107.14285714285714</v>
      </c>
      <c r="Q102" s="30">
        <f>-'OPEX+CAPEX'!S107</f>
        <v>-107.14285714285714</v>
      </c>
      <c r="R102" s="30">
        <f>-'OPEX+CAPEX'!T107</f>
        <v>-107.14285714285714</v>
      </c>
      <c r="S102" s="30">
        <f>-'OPEX+CAPEX'!U107</f>
        <v>-107.14285714285714</v>
      </c>
      <c r="T102" s="30">
        <f>-'OPEX+CAPEX'!V107</f>
        <v>-107.14285714285714</v>
      </c>
      <c r="U102" s="30">
        <f>-'OPEX+CAPEX'!W107</f>
        <v>-107.14285714285714</v>
      </c>
      <c r="V102" s="30">
        <f>-'OPEX+CAPEX'!X107</f>
        <v>-107.14285714285714</v>
      </c>
      <c r="W102" s="30">
        <f>-'OPEX+CAPEX'!Y107</f>
        <v>-107.14285714285714</v>
      </c>
      <c r="X102" s="30">
        <f>-'OPEX+CAPEX'!Z107</f>
        <v>-107.14285714285714</v>
      </c>
      <c r="Y102" s="30">
        <f>-'OPEX+CAPEX'!AA107</f>
        <v>-107.14285714285714</v>
      </c>
      <c r="Z102" s="30">
        <f>-'OPEX+CAPEX'!AB107</f>
        <v>-107.14285714285714</v>
      </c>
      <c r="AA102" s="30">
        <f>-'OPEX+CAPEX'!AC107</f>
        <v>-107.14285714285714</v>
      </c>
      <c r="AB102" s="30">
        <f>-'OPEX+CAPEX'!AD107</f>
        <v>-107.14285714285714</v>
      </c>
      <c r="AC102" s="30">
        <f>-'OPEX+CAPEX'!AE107</f>
        <v>-107.14285714285714</v>
      </c>
      <c r="AD102" s="30">
        <f>-'OPEX+CAPEX'!AF107</f>
        <v>-107.14285714285714</v>
      </c>
      <c r="AE102" s="30">
        <f>-'OPEX+CAPEX'!AG107</f>
        <v>-107.14285714285714</v>
      </c>
      <c r="AF102" s="30">
        <f>-'OPEX+CAPEX'!AH107</f>
        <v>-107.14285714285714</v>
      </c>
      <c r="AG102" s="30">
        <f>-'OPEX+CAPEX'!AI107</f>
        <v>-107.14285714285714</v>
      </c>
      <c r="AH102" s="30">
        <f>-'OPEX+CAPEX'!AJ107</f>
        <v>-107.14285714285714</v>
      </c>
      <c r="AI102" s="30">
        <f>-'OPEX+CAPEX'!AK107</f>
        <v>-107.14285714285714</v>
      </c>
      <c r="AJ102" s="30">
        <f>-'OPEX+CAPEX'!AL107</f>
        <v>-107.14285714285714</v>
      </c>
      <c r="AK102" s="30">
        <f>-'OPEX+CAPEX'!AM107</f>
        <v>-107.14285714285714</v>
      </c>
      <c r="AL102" s="30">
        <f>-'OPEX+CAPEX'!AN107</f>
        <v>-107.14285714285714</v>
      </c>
      <c r="AN102" s="30">
        <f t="shared" ref="AN102" si="96">SUM(C102:N102)</f>
        <v>-1285.7142857142856</v>
      </c>
      <c r="AO102" s="30">
        <f t="shared" ref="AO102" si="97">SUM(O102:Z102)</f>
        <v>-1285.7142857142856</v>
      </c>
      <c r="AP102" s="30">
        <f t="shared" ref="AP102" si="98">SUM(AA102:AL102)</f>
        <v>-1285.7142857142856</v>
      </c>
    </row>
    <row r="103" spans="2:42" ht="13.8">
      <c r="B103" s="120" t="s">
        <v>311</v>
      </c>
      <c r="C103" s="30">
        <f>-'OPEX+CAPEX'!E110</f>
        <v>-107.14285714285714</v>
      </c>
      <c r="D103" s="30">
        <f>-'OPEX+CAPEX'!F110</f>
        <v>-107.14285714285714</v>
      </c>
      <c r="E103" s="30">
        <f>-'OPEX+CAPEX'!G110</f>
        <v>-107.14285714285714</v>
      </c>
      <c r="F103" s="30">
        <f>-'OPEX+CAPEX'!H110</f>
        <v>-107.14285714285714</v>
      </c>
      <c r="G103" s="30">
        <f>-'OPEX+CAPEX'!I110</f>
        <v>-107.14285714285714</v>
      </c>
      <c r="H103" s="30">
        <f>-'OPEX+CAPEX'!J110</f>
        <v>-107.14285714285714</v>
      </c>
      <c r="I103" s="30">
        <f>-'OPEX+CAPEX'!K110</f>
        <v>-107.14285714285714</v>
      </c>
      <c r="J103" s="30">
        <f>-'OPEX+CAPEX'!L110</f>
        <v>-107.14285714285714</v>
      </c>
      <c r="K103" s="30">
        <f>-'OPEX+CAPEX'!M110</f>
        <v>-107.14285714285714</v>
      </c>
      <c r="L103" s="30">
        <f>-'OPEX+CAPEX'!N110</f>
        <v>-107.14285714285714</v>
      </c>
      <c r="M103" s="30">
        <f>-'OPEX+CAPEX'!O110</f>
        <v>-107.14285714285714</v>
      </c>
      <c r="N103" s="30">
        <f>-'OPEX+CAPEX'!P110</f>
        <v>-107.14285714285714</v>
      </c>
      <c r="O103" s="30">
        <f>-'OPEX+CAPEX'!Q110</f>
        <v>-107.14285714285714</v>
      </c>
      <c r="P103" s="30">
        <f>-'OPEX+CAPEX'!R110</f>
        <v>-107.14285714285714</v>
      </c>
      <c r="Q103" s="30">
        <f>-'OPEX+CAPEX'!S110</f>
        <v>-107.14285714285714</v>
      </c>
      <c r="R103" s="30">
        <f>-'OPEX+CAPEX'!T110</f>
        <v>-107.14285714285714</v>
      </c>
      <c r="S103" s="30">
        <f>-'OPEX+CAPEX'!U110</f>
        <v>-107.14285714285714</v>
      </c>
      <c r="T103" s="30">
        <f>-'OPEX+CAPEX'!V110</f>
        <v>-107.14285714285714</v>
      </c>
      <c r="U103" s="30">
        <f>-'OPEX+CAPEX'!W110</f>
        <v>-107.14285714285714</v>
      </c>
      <c r="V103" s="30">
        <f>-'OPEX+CAPEX'!X110</f>
        <v>-107.14285714285714</v>
      </c>
      <c r="W103" s="30">
        <f>-'OPEX+CAPEX'!Y110</f>
        <v>-107.14285714285714</v>
      </c>
      <c r="X103" s="30">
        <f>-'OPEX+CAPEX'!Z110</f>
        <v>-107.14285714285714</v>
      </c>
      <c r="Y103" s="30">
        <f>-'OPEX+CAPEX'!AA110</f>
        <v>-107.14285714285714</v>
      </c>
      <c r="Z103" s="30">
        <f>-'OPEX+CAPEX'!AB110</f>
        <v>-107.14285714285714</v>
      </c>
      <c r="AA103" s="30">
        <f>-'OPEX+CAPEX'!AC110</f>
        <v>-107.14285714285714</v>
      </c>
      <c r="AB103" s="30">
        <f>-'OPEX+CAPEX'!AD110</f>
        <v>-107.14285714285714</v>
      </c>
      <c r="AC103" s="30">
        <f>-'OPEX+CAPEX'!AE110</f>
        <v>-107.14285714285714</v>
      </c>
      <c r="AD103" s="30">
        <f>-'OPEX+CAPEX'!AF110</f>
        <v>-107.14285714285714</v>
      </c>
      <c r="AE103" s="30">
        <f>-'OPEX+CAPEX'!AG110</f>
        <v>-107.14285714285714</v>
      </c>
      <c r="AF103" s="30">
        <f>-'OPEX+CAPEX'!AH110</f>
        <v>-107.14285714285714</v>
      </c>
      <c r="AG103" s="30">
        <f>-'OPEX+CAPEX'!AI110</f>
        <v>-107.14285714285714</v>
      </c>
      <c r="AH103" s="30">
        <f>-'OPEX+CAPEX'!AJ110</f>
        <v>-107.14285714285714</v>
      </c>
      <c r="AI103" s="30">
        <f>-'OPEX+CAPEX'!AK110</f>
        <v>-107.14285714285714</v>
      </c>
      <c r="AJ103" s="30">
        <f>-'OPEX+CAPEX'!AL110</f>
        <v>-107.14285714285714</v>
      </c>
      <c r="AK103" s="30">
        <f>-'OPEX+CAPEX'!AM110</f>
        <v>-107.14285714285714</v>
      </c>
      <c r="AL103" s="30">
        <f>-'OPEX+CAPEX'!AN110</f>
        <v>-107.14285714285714</v>
      </c>
      <c r="AN103" s="30">
        <f t="shared" ref="AN103" si="99">SUM(C103:N103)</f>
        <v>-1285.7142857142856</v>
      </c>
      <c r="AO103" s="30">
        <f t="shared" ref="AO103" si="100">SUM(O103:Z103)</f>
        <v>-1285.7142857142856</v>
      </c>
      <c r="AP103" s="30">
        <f t="shared" ref="AP103" si="101">SUM(AA103:AL103)</f>
        <v>-1285.7142857142856</v>
      </c>
    </row>
    <row r="104" spans="2:42" ht="13.8">
      <c r="B104" s="120" t="s">
        <v>170</v>
      </c>
      <c r="C104" s="30">
        <f>-'OPEX+CAPEX'!E113</f>
        <v>-107.14285714285714</v>
      </c>
      <c r="D104" s="30">
        <f>-'OPEX+CAPEX'!F113</f>
        <v>-107.14285714285714</v>
      </c>
      <c r="E104" s="30">
        <f>-'OPEX+CAPEX'!G113</f>
        <v>-107.14285714285714</v>
      </c>
      <c r="F104" s="30">
        <f>-'OPEX+CAPEX'!H113</f>
        <v>-107.14285714285714</v>
      </c>
      <c r="G104" s="30">
        <f>-'OPEX+CAPEX'!I113</f>
        <v>-107.14285714285714</v>
      </c>
      <c r="H104" s="30">
        <f>-'OPEX+CAPEX'!J113</f>
        <v>-107.14285714285714</v>
      </c>
      <c r="I104" s="30">
        <f>-'OPEX+CAPEX'!K113</f>
        <v>-107.14285714285714</v>
      </c>
      <c r="J104" s="30">
        <f>-'OPEX+CAPEX'!L113</f>
        <v>-107.14285714285714</v>
      </c>
      <c r="K104" s="30">
        <f>-'OPEX+CAPEX'!M113</f>
        <v>-107.14285714285714</v>
      </c>
      <c r="L104" s="30">
        <f>-'OPEX+CAPEX'!N113</f>
        <v>-107.14285714285714</v>
      </c>
      <c r="M104" s="30">
        <f>-'OPEX+CAPEX'!O113</f>
        <v>-107.14285714285714</v>
      </c>
      <c r="N104" s="30">
        <f>-'OPEX+CAPEX'!P113</f>
        <v>-107.14285714285714</v>
      </c>
      <c r="O104" s="30">
        <f>-'OPEX+CAPEX'!Q113</f>
        <v>-107.14285714285714</v>
      </c>
      <c r="P104" s="30">
        <f>-'OPEX+CAPEX'!R113</f>
        <v>-107.14285714285714</v>
      </c>
      <c r="Q104" s="30">
        <f>-'OPEX+CAPEX'!S113</f>
        <v>-107.14285714285714</v>
      </c>
      <c r="R104" s="30">
        <f>-'OPEX+CAPEX'!T113</f>
        <v>-107.14285714285714</v>
      </c>
      <c r="S104" s="30">
        <f>-'OPEX+CAPEX'!U113</f>
        <v>-107.14285714285714</v>
      </c>
      <c r="T104" s="30">
        <f>-'OPEX+CAPEX'!V113</f>
        <v>-107.14285714285714</v>
      </c>
      <c r="U104" s="30">
        <f>-'OPEX+CAPEX'!W113</f>
        <v>-107.14285714285714</v>
      </c>
      <c r="V104" s="30">
        <f>-'OPEX+CAPEX'!X113</f>
        <v>-107.14285714285714</v>
      </c>
      <c r="W104" s="30">
        <f>-'OPEX+CAPEX'!Y113</f>
        <v>-107.14285714285714</v>
      </c>
      <c r="X104" s="30">
        <f>-'OPEX+CAPEX'!Z113</f>
        <v>-107.14285714285714</v>
      </c>
      <c r="Y104" s="30">
        <f>-'OPEX+CAPEX'!AA113</f>
        <v>-107.14285714285714</v>
      </c>
      <c r="Z104" s="30">
        <f>-'OPEX+CAPEX'!AB113</f>
        <v>-107.14285714285714</v>
      </c>
      <c r="AA104" s="30">
        <f>-'OPEX+CAPEX'!AC113</f>
        <v>-107.14285714285714</v>
      </c>
      <c r="AB104" s="30">
        <f>-'OPEX+CAPEX'!AD113</f>
        <v>-107.14285714285714</v>
      </c>
      <c r="AC104" s="30">
        <f>-'OPEX+CAPEX'!AE113</f>
        <v>-107.14285714285714</v>
      </c>
      <c r="AD104" s="30">
        <f>-'OPEX+CAPEX'!AF113</f>
        <v>-107.14285714285714</v>
      </c>
      <c r="AE104" s="30">
        <f>-'OPEX+CAPEX'!AG113</f>
        <v>-107.14285714285714</v>
      </c>
      <c r="AF104" s="30">
        <f>-'OPEX+CAPEX'!AH113</f>
        <v>-107.14285714285714</v>
      </c>
      <c r="AG104" s="30">
        <f>-'OPEX+CAPEX'!AI113</f>
        <v>-107.14285714285714</v>
      </c>
      <c r="AH104" s="30">
        <f>-'OPEX+CAPEX'!AJ113</f>
        <v>-107.14285714285714</v>
      </c>
      <c r="AI104" s="30">
        <f>-'OPEX+CAPEX'!AK113</f>
        <v>-107.14285714285714</v>
      </c>
      <c r="AJ104" s="30">
        <f>-'OPEX+CAPEX'!AL113</f>
        <v>-107.14285714285714</v>
      </c>
      <c r="AK104" s="30">
        <f>-'OPEX+CAPEX'!AM113</f>
        <v>-107.14285714285714</v>
      </c>
      <c r="AL104" s="30">
        <f>-'OPEX+CAPEX'!AN113</f>
        <v>-107.14285714285714</v>
      </c>
      <c r="AN104" s="30">
        <f t="shared" ref="AN104" si="102">SUM(C104:N104)</f>
        <v>-1285.7142857142856</v>
      </c>
      <c r="AO104" s="30">
        <f t="shared" ref="AO104" si="103">SUM(O104:Z104)</f>
        <v>-1285.7142857142856</v>
      </c>
      <c r="AP104" s="30">
        <f t="shared" ref="AP104" si="104">SUM(AA104:AL104)</f>
        <v>-1285.7142857142856</v>
      </c>
    </row>
    <row r="105" spans="2:42">
      <c r="B105" s="1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N105" s="26">
        <f t="shared" si="75"/>
        <v>0</v>
      </c>
      <c r="AO105" s="26">
        <f t="shared" si="76"/>
        <v>0</v>
      </c>
      <c r="AP105" s="26">
        <f t="shared" si="77"/>
        <v>0</v>
      </c>
    </row>
    <row r="106" spans="2:42">
      <c r="B106" s="125" t="s">
        <v>43</v>
      </c>
      <c r="C106" s="26">
        <f>SUM(C107:C112)</f>
        <v>0</v>
      </c>
      <c r="D106" s="26">
        <f t="shared" ref="D106:AL106" si="105">SUM(D107:D112)</f>
        <v>-42.5</v>
      </c>
      <c r="E106" s="26">
        <f t="shared" si="105"/>
        <v>-170</v>
      </c>
      <c r="F106" s="26">
        <f t="shared" si="105"/>
        <v>-233.75</v>
      </c>
      <c r="G106" s="26">
        <f t="shared" si="105"/>
        <v>-283.33333333333331</v>
      </c>
      <c r="H106" s="26">
        <f t="shared" si="105"/>
        <v>-283.33333333333331</v>
      </c>
      <c r="I106" s="26">
        <f t="shared" si="105"/>
        <v>-283.33333333333331</v>
      </c>
      <c r="J106" s="26">
        <f t="shared" si="105"/>
        <v>-283.33333333333331</v>
      </c>
      <c r="K106" s="26">
        <f t="shared" si="105"/>
        <v>-332.91666666666669</v>
      </c>
      <c r="L106" s="26">
        <f t="shared" si="105"/>
        <v>-332.91666666666669</v>
      </c>
      <c r="M106" s="26">
        <f t="shared" si="105"/>
        <v>-332.91666666666669</v>
      </c>
      <c r="N106" s="26">
        <f t="shared" si="105"/>
        <v>-332.91666666666669</v>
      </c>
      <c r="O106" s="26">
        <f t="shared" si="105"/>
        <v>-332.91666666666669</v>
      </c>
      <c r="P106" s="26">
        <f t="shared" si="105"/>
        <v>-332.91666666666669</v>
      </c>
      <c r="Q106" s="26">
        <f t="shared" si="105"/>
        <v>-332.91666666666669</v>
      </c>
      <c r="R106" s="26">
        <f t="shared" si="105"/>
        <v>-332.91666666666669</v>
      </c>
      <c r="S106" s="26">
        <f t="shared" si="105"/>
        <v>-332.91666666666669</v>
      </c>
      <c r="T106" s="26">
        <f t="shared" si="105"/>
        <v>-332.91666666666669</v>
      </c>
      <c r="U106" s="26">
        <f t="shared" si="105"/>
        <v>-332.91666666666669</v>
      </c>
      <c r="V106" s="26">
        <f t="shared" si="105"/>
        <v>-332.91666666666669</v>
      </c>
      <c r="W106" s="26">
        <f t="shared" si="105"/>
        <v>-332.91666666666669</v>
      </c>
      <c r="X106" s="26">
        <f t="shared" si="105"/>
        <v>-332.91666666666669</v>
      </c>
      <c r="Y106" s="26">
        <f t="shared" si="105"/>
        <v>-332.91666666666669</v>
      </c>
      <c r="Z106" s="26">
        <f t="shared" si="105"/>
        <v>-332.91666666666669</v>
      </c>
      <c r="AA106" s="26">
        <f t="shared" si="105"/>
        <v>-332.91666666666669</v>
      </c>
      <c r="AB106" s="26">
        <f t="shared" si="105"/>
        <v>-332.91666666666669</v>
      </c>
      <c r="AC106" s="26">
        <f t="shared" si="105"/>
        <v>-332.91666666666669</v>
      </c>
      <c r="AD106" s="26">
        <f t="shared" si="105"/>
        <v>-332.91666666666669</v>
      </c>
      <c r="AE106" s="26">
        <f t="shared" si="105"/>
        <v>-332.91666666666669</v>
      </c>
      <c r="AF106" s="26">
        <f t="shared" si="105"/>
        <v>-332.91666666666669</v>
      </c>
      <c r="AG106" s="26">
        <f t="shared" si="105"/>
        <v>-332.91666666666669</v>
      </c>
      <c r="AH106" s="26">
        <f t="shared" si="105"/>
        <v>-332.91666666666669</v>
      </c>
      <c r="AI106" s="26">
        <f t="shared" si="105"/>
        <v>-332.91666666666669</v>
      </c>
      <c r="AJ106" s="26">
        <f t="shared" si="105"/>
        <v>-332.91666666666669</v>
      </c>
      <c r="AK106" s="26">
        <f t="shared" si="105"/>
        <v>-332.91666666666669</v>
      </c>
      <c r="AL106" s="26">
        <f t="shared" si="105"/>
        <v>-332.91666666666669</v>
      </c>
      <c r="AN106" s="26">
        <f t="shared" si="75"/>
        <v>-2911.2499999999995</v>
      </c>
      <c r="AO106" s="26">
        <f t="shared" si="76"/>
        <v>-3994.9999999999995</v>
      </c>
      <c r="AP106" s="26">
        <f t="shared" si="77"/>
        <v>-3994.9999999999995</v>
      </c>
    </row>
    <row r="107" spans="2:42" ht="13.8">
      <c r="B107" s="120" t="s">
        <v>272</v>
      </c>
      <c r="C107" s="30">
        <f>-'OPEX+CAPEX'!E45</f>
        <v>0</v>
      </c>
      <c r="D107" s="30">
        <f>-'OPEX+CAPEX'!F45</f>
        <v>0</v>
      </c>
      <c r="E107" s="30">
        <f>-'OPEX+CAPEX'!G45</f>
        <v>0</v>
      </c>
      <c r="F107" s="30">
        <f>-'OPEX+CAPEX'!H45</f>
        <v>0</v>
      </c>
      <c r="G107" s="30">
        <f>-'OPEX+CAPEX'!I45</f>
        <v>-24.791666666666668</v>
      </c>
      <c r="H107" s="30">
        <f>-'OPEX+CAPEX'!J45</f>
        <v>-24.791666666666668</v>
      </c>
      <c r="I107" s="30">
        <f>-'OPEX+CAPEX'!K45</f>
        <v>-24.791666666666668</v>
      </c>
      <c r="J107" s="30">
        <f>-'OPEX+CAPEX'!L45</f>
        <v>-24.791666666666668</v>
      </c>
      <c r="K107" s="30">
        <f>-'OPEX+CAPEX'!M45</f>
        <v>-24.791666666666668</v>
      </c>
      <c r="L107" s="30">
        <f>-'OPEX+CAPEX'!N45</f>
        <v>-24.791666666666668</v>
      </c>
      <c r="M107" s="30">
        <f>-'OPEX+CAPEX'!O45</f>
        <v>-24.791666666666668</v>
      </c>
      <c r="N107" s="30">
        <f>-'OPEX+CAPEX'!P45</f>
        <v>-24.791666666666668</v>
      </c>
      <c r="O107" s="30">
        <f>-'OPEX+CAPEX'!Q45</f>
        <v>-24.791666666666668</v>
      </c>
      <c r="P107" s="30">
        <f>-'OPEX+CAPEX'!R45</f>
        <v>-24.791666666666668</v>
      </c>
      <c r="Q107" s="30">
        <f>-'OPEX+CAPEX'!S45</f>
        <v>-24.791666666666668</v>
      </c>
      <c r="R107" s="30">
        <f>-'OPEX+CAPEX'!T45</f>
        <v>-24.791666666666668</v>
      </c>
      <c r="S107" s="30">
        <f>-'OPEX+CAPEX'!U45</f>
        <v>-24.791666666666668</v>
      </c>
      <c r="T107" s="30">
        <f>-'OPEX+CAPEX'!V45</f>
        <v>-24.791666666666668</v>
      </c>
      <c r="U107" s="30">
        <f>-'OPEX+CAPEX'!W45</f>
        <v>-24.791666666666668</v>
      </c>
      <c r="V107" s="30">
        <f>-'OPEX+CAPEX'!X45</f>
        <v>-24.791666666666668</v>
      </c>
      <c r="W107" s="30">
        <f>-'OPEX+CAPEX'!Y45</f>
        <v>-24.791666666666668</v>
      </c>
      <c r="X107" s="30">
        <f>-'OPEX+CAPEX'!Z45</f>
        <v>-24.791666666666668</v>
      </c>
      <c r="Y107" s="30">
        <f>-'OPEX+CAPEX'!AA45</f>
        <v>-24.791666666666668</v>
      </c>
      <c r="Z107" s="30">
        <f>-'OPEX+CAPEX'!AB45</f>
        <v>-24.791666666666668</v>
      </c>
      <c r="AA107" s="30">
        <f>-'OPEX+CAPEX'!AC45</f>
        <v>-24.791666666666668</v>
      </c>
      <c r="AB107" s="30">
        <f>-'OPEX+CAPEX'!AD45</f>
        <v>-24.791666666666668</v>
      </c>
      <c r="AC107" s="30">
        <f>-'OPEX+CAPEX'!AE45</f>
        <v>-24.791666666666668</v>
      </c>
      <c r="AD107" s="30">
        <f>-'OPEX+CAPEX'!AF45</f>
        <v>-24.791666666666668</v>
      </c>
      <c r="AE107" s="30">
        <f>-'OPEX+CAPEX'!AG45</f>
        <v>-24.791666666666668</v>
      </c>
      <c r="AF107" s="30">
        <f>-'OPEX+CAPEX'!AH45</f>
        <v>-24.791666666666668</v>
      </c>
      <c r="AG107" s="30">
        <f>-'OPEX+CAPEX'!AI45</f>
        <v>-24.791666666666668</v>
      </c>
      <c r="AH107" s="30">
        <f>-'OPEX+CAPEX'!AJ45</f>
        <v>-24.791666666666668</v>
      </c>
      <c r="AI107" s="30">
        <f>-'OPEX+CAPEX'!AK45</f>
        <v>-24.791666666666668</v>
      </c>
      <c r="AJ107" s="30">
        <f>-'OPEX+CAPEX'!AL45</f>
        <v>-24.791666666666668</v>
      </c>
      <c r="AK107" s="30">
        <f>-'OPEX+CAPEX'!AM45</f>
        <v>-24.791666666666668</v>
      </c>
      <c r="AL107" s="30">
        <f>-'OPEX+CAPEX'!AN45</f>
        <v>-24.791666666666668</v>
      </c>
      <c r="AN107" s="30">
        <f t="shared" si="75"/>
        <v>-198.33333333333331</v>
      </c>
      <c r="AO107" s="30">
        <f t="shared" si="76"/>
        <v>-297.5</v>
      </c>
      <c r="AP107" s="30">
        <f t="shared" si="77"/>
        <v>-297.5</v>
      </c>
    </row>
    <row r="108" spans="2:42" ht="13.8">
      <c r="B108" s="120" t="s">
        <v>134</v>
      </c>
      <c r="C108" s="30">
        <f>-'OPEX+CAPEX'!E52</f>
        <v>0</v>
      </c>
      <c r="D108" s="30">
        <f>-'OPEX+CAPEX'!F52</f>
        <v>-42.5</v>
      </c>
      <c r="E108" s="30">
        <f>-'OPEX+CAPEX'!G52</f>
        <v>-106.25</v>
      </c>
      <c r="F108" s="30">
        <f>-'OPEX+CAPEX'!H52</f>
        <v>-170</v>
      </c>
      <c r="G108" s="30">
        <f>-'OPEX+CAPEX'!I52</f>
        <v>-170</v>
      </c>
      <c r="H108" s="30">
        <f>-'OPEX+CAPEX'!J52</f>
        <v>-170</v>
      </c>
      <c r="I108" s="30">
        <f>-'OPEX+CAPEX'!K52</f>
        <v>-170</v>
      </c>
      <c r="J108" s="30">
        <f>-'OPEX+CAPEX'!L52</f>
        <v>-170</v>
      </c>
      <c r="K108" s="30">
        <f>-'OPEX+CAPEX'!M52</f>
        <v>-170</v>
      </c>
      <c r="L108" s="30">
        <f>-'OPEX+CAPEX'!N52</f>
        <v>-170</v>
      </c>
      <c r="M108" s="30">
        <f>-'OPEX+CAPEX'!O52</f>
        <v>-170</v>
      </c>
      <c r="N108" s="30">
        <f>-'OPEX+CAPEX'!P52</f>
        <v>-170</v>
      </c>
      <c r="O108" s="30">
        <f>-'OPEX+CAPEX'!Q52</f>
        <v>-170</v>
      </c>
      <c r="P108" s="30">
        <f>-'OPEX+CAPEX'!R52</f>
        <v>-170</v>
      </c>
      <c r="Q108" s="30">
        <f>-'OPEX+CAPEX'!S52</f>
        <v>-170</v>
      </c>
      <c r="R108" s="30">
        <f>-'OPEX+CAPEX'!T52</f>
        <v>-170</v>
      </c>
      <c r="S108" s="30">
        <f>-'OPEX+CAPEX'!U52</f>
        <v>-170</v>
      </c>
      <c r="T108" s="30">
        <f>-'OPEX+CAPEX'!V52</f>
        <v>-170</v>
      </c>
      <c r="U108" s="30">
        <f>-'OPEX+CAPEX'!W52</f>
        <v>-170</v>
      </c>
      <c r="V108" s="30">
        <f>-'OPEX+CAPEX'!X52</f>
        <v>-170</v>
      </c>
      <c r="W108" s="30">
        <f>-'OPEX+CAPEX'!Y52</f>
        <v>-170</v>
      </c>
      <c r="X108" s="30">
        <f>-'OPEX+CAPEX'!Z52</f>
        <v>-170</v>
      </c>
      <c r="Y108" s="30">
        <f>-'OPEX+CAPEX'!AA52</f>
        <v>-170</v>
      </c>
      <c r="Z108" s="30">
        <f>-'OPEX+CAPEX'!AB52</f>
        <v>-170</v>
      </c>
      <c r="AA108" s="30">
        <f>-'OPEX+CAPEX'!AC52</f>
        <v>-170</v>
      </c>
      <c r="AB108" s="30">
        <f>-'OPEX+CAPEX'!AD52</f>
        <v>-170</v>
      </c>
      <c r="AC108" s="30">
        <f>-'OPEX+CAPEX'!AE52</f>
        <v>-170</v>
      </c>
      <c r="AD108" s="30">
        <f>-'OPEX+CAPEX'!AF52</f>
        <v>-170</v>
      </c>
      <c r="AE108" s="30">
        <f>-'OPEX+CAPEX'!AG52</f>
        <v>-170</v>
      </c>
      <c r="AF108" s="30">
        <f>-'OPEX+CAPEX'!AH52</f>
        <v>-170</v>
      </c>
      <c r="AG108" s="30">
        <f>-'OPEX+CAPEX'!AI52</f>
        <v>-170</v>
      </c>
      <c r="AH108" s="30">
        <f>-'OPEX+CAPEX'!AJ52</f>
        <v>-170</v>
      </c>
      <c r="AI108" s="30">
        <f>-'OPEX+CAPEX'!AK52</f>
        <v>-170</v>
      </c>
      <c r="AJ108" s="30">
        <f>-'OPEX+CAPEX'!AL52</f>
        <v>-170</v>
      </c>
      <c r="AK108" s="30">
        <f>-'OPEX+CAPEX'!AM52</f>
        <v>-170</v>
      </c>
      <c r="AL108" s="30">
        <f>-'OPEX+CAPEX'!AN52</f>
        <v>-170</v>
      </c>
      <c r="AN108" s="30">
        <f t="shared" ref="AN108:AN112" si="106">SUM(C108:N108)</f>
        <v>-1678.75</v>
      </c>
      <c r="AO108" s="30">
        <f t="shared" ref="AO108:AO112" si="107">SUM(O108:Z108)</f>
        <v>-2040</v>
      </c>
      <c r="AP108" s="30">
        <f t="shared" ref="AP108:AP112" si="108">SUM(AA108:AL108)</f>
        <v>-2040</v>
      </c>
    </row>
    <row r="109" spans="2:42" ht="13.8">
      <c r="B109" s="120" t="s">
        <v>135</v>
      </c>
      <c r="C109" s="30">
        <f>-'OPEX+CAPEX'!E64</f>
        <v>0</v>
      </c>
      <c r="D109" s="30">
        <f>-'OPEX+CAPEX'!F64</f>
        <v>0</v>
      </c>
      <c r="E109" s="30">
        <f>-'OPEX+CAPEX'!G64</f>
        <v>-31.875</v>
      </c>
      <c r="F109" s="30">
        <f>-'OPEX+CAPEX'!H64</f>
        <v>-31.875</v>
      </c>
      <c r="G109" s="30">
        <f>-'OPEX+CAPEX'!I64</f>
        <v>-31.875</v>
      </c>
      <c r="H109" s="30">
        <f>-'OPEX+CAPEX'!J64</f>
        <v>-31.875</v>
      </c>
      <c r="I109" s="30">
        <f>-'OPEX+CAPEX'!K64</f>
        <v>-31.875</v>
      </c>
      <c r="J109" s="30">
        <f>-'OPEX+CAPEX'!L64</f>
        <v>-31.875</v>
      </c>
      <c r="K109" s="30">
        <f>-'OPEX+CAPEX'!M64</f>
        <v>-31.875</v>
      </c>
      <c r="L109" s="30">
        <f>-'OPEX+CAPEX'!N64</f>
        <v>-31.875</v>
      </c>
      <c r="M109" s="30">
        <f>-'OPEX+CAPEX'!O64</f>
        <v>-31.875</v>
      </c>
      <c r="N109" s="30">
        <f>-'OPEX+CAPEX'!P64</f>
        <v>-31.875</v>
      </c>
      <c r="O109" s="30">
        <f>-'OPEX+CAPEX'!Q64</f>
        <v>-31.875</v>
      </c>
      <c r="P109" s="30">
        <f>-'OPEX+CAPEX'!R64</f>
        <v>-31.875</v>
      </c>
      <c r="Q109" s="30">
        <f>-'OPEX+CAPEX'!S64</f>
        <v>-31.875</v>
      </c>
      <c r="R109" s="30">
        <f>-'OPEX+CAPEX'!T64</f>
        <v>-31.875</v>
      </c>
      <c r="S109" s="30">
        <f>-'OPEX+CAPEX'!U64</f>
        <v>-31.875</v>
      </c>
      <c r="T109" s="30">
        <f>-'OPEX+CAPEX'!V64</f>
        <v>-31.875</v>
      </c>
      <c r="U109" s="30">
        <f>-'OPEX+CAPEX'!W64</f>
        <v>-31.875</v>
      </c>
      <c r="V109" s="30">
        <f>-'OPEX+CAPEX'!X64</f>
        <v>-31.875</v>
      </c>
      <c r="W109" s="30">
        <f>-'OPEX+CAPEX'!Y64</f>
        <v>-31.875</v>
      </c>
      <c r="X109" s="30">
        <f>-'OPEX+CAPEX'!Z64</f>
        <v>-31.875</v>
      </c>
      <c r="Y109" s="30">
        <f>-'OPEX+CAPEX'!AA64</f>
        <v>-31.875</v>
      </c>
      <c r="Z109" s="30">
        <f>-'OPEX+CAPEX'!AB64</f>
        <v>-31.875</v>
      </c>
      <c r="AA109" s="30">
        <f>-'OPEX+CAPEX'!AC64</f>
        <v>-31.875</v>
      </c>
      <c r="AB109" s="30">
        <f>-'OPEX+CAPEX'!AD64</f>
        <v>-31.875</v>
      </c>
      <c r="AC109" s="30">
        <f>-'OPEX+CAPEX'!AE64</f>
        <v>-31.875</v>
      </c>
      <c r="AD109" s="30">
        <f>-'OPEX+CAPEX'!AF64</f>
        <v>-31.875</v>
      </c>
      <c r="AE109" s="30">
        <f>-'OPEX+CAPEX'!AG64</f>
        <v>-31.875</v>
      </c>
      <c r="AF109" s="30">
        <f>-'OPEX+CAPEX'!AH64</f>
        <v>-31.875</v>
      </c>
      <c r="AG109" s="30">
        <f>-'OPEX+CAPEX'!AI64</f>
        <v>-31.875</v>
      </c>
      <c r="AH109" s="30">
        <f>-'OPEX+CAPEX'!AJ64</f>
        <v>-31.875</v>
      </c>
      <c r="AI109" s="30">
        <f>-'OPEX+CAPEX'!AK64</f>
        <v>-31.875</v>
      </c>
      <c r="AJ109" s="30">
        <f>-'OPEX+CAPEX'!AL64</f>
        <v>-31.875</v>
      </c>
      <c r="AK109" s="30">
        <f>-'OPEX+CAPEX'!AM64</f>
        <v>-31.875</v>
      </c>
      <c r="AL109" s="30">
        <f>-'OPEX+CAPEX'!AN64</f>
        <v>-31.875</v>
      </c>
      <c r="AN109" s="30">
        <f t="shared" si="106"/>
        <v>-318.75</v>
      </c>
      <c r="AO109" s="30">
        <f t="shared" si="107"/>
        <v>-382.5</v>
      </c>
      <c r="AP109" s="30">
        <f t="shared" si="108"/>
        <v>-382.5</v>
      </c>
    </row>
    <row r="110" spans="2:42" ht="13.8">
      <c r="B110" s="120" t="s">
        <v>201</v>
      </c>
      <c r="C110" s="30">
        <f>-'OPEX+CAPEX'!E72</f>
        <v>0</v>
      </c>
      <c r="D110" s="30">
        <f>-'OPEX+CAPEX'!F72</f>
        <v>0</v>
      </c>
      <c r="E110" s="30">
        <f>-'OPEX+CAPEX'!G72</f>
        <v>0</v>
      </c>
      <c r="F110" s="30">
        <f>-'OPEX+CAPEX'!H72</f>
        <v>0</v>
      </c>
      <c r="G110" s="30">
        <f>-'OPEX+CAPEX'!I72</f>
        <v>0</v>
      </c>
      <c r="H110" s="30">
        <f>-'OPEX+CAPEX'!J72</f>
        <v>0</v>
      </c>
      <c r="I110" s="30">
        <f>-'OPEX+CAPEX'!K72</f>
        <v>0</v>
      </c>
      <c r="J110" s="30">
        <f>-'OPEX+CAPEX'!L72</f>
        <v>0</v>
      </c>
      <c r="K110" s="30">
        <f>-'OPEX+CAPEX'!M72</f>
        <v>-49.583333333333336</v>
      </c>
      <c r="L110" s="30">
        <f>-'OPEX+CAPEX'!N72</f>
        <v>-49.583333333333336</v>
      </c>
      <c r="M110" s="30">
        <f>-'OPEX+CAPEX'!O72</f>
        <v>-49.583333333333336</v>
      </c>
      <c r="N110" s="30">
        <f>-'OPEX+CAPEX'!P72</f>
        <v>-49.583333333333336</v>
      </c>
      <c r="O110" s="30">
        <f>-'OPEX+CAPEX'!Q72</f>
        <v>-49.583333333333336</v>
      </c>
      <c r="P110" s="30">
        <f>-'OPEX+CAPEX'!R72</f>
        <v>-49.583333333333336</v>
      </c>
      <c r="Q110" s="30">
        <f>-'OPEX+CAPEX'!S72</f>
        <v>-49.583333333333336</v>
      </c>
      <c r="R110" s="30">
        <f>-'OPEX+CAPEX'!T72</f>
        <v>-49.583333333333336</v>
      </c>
      <c r="S110" s="30">
        <f>-'OPEX+CAPEX'!U72</f>
        <v>-49.583333333333336</v>
      </c>
      <c r="T110" s="30">
        <f>-'OPEX+CAPEX'!V72</f>
        <v>-49.583333333333336</v>
      </c>
      <c r="U110" s="30">
        <f>-'OPEX+CAPEX'!W72</f>
        <v>-49.583333333333336</v>
      </c>
      <c r="V110" s="30">
        <f>-'OPEX+CAPEX'!X72</f>
        <v>-49.583333333333336</v>
      </c>
      <c r="W110" s="30">
        <f>-'OPEX+CAPEX'!Y72</f>
        <v>-49.583333333333336</v>
      </c>
      <c r="X110" s="30">
        <f>-'OPEX+CAPEX'!Z72</f>
        <v>-49.583333333333336</v>
      </c>
      <c r="Y110" s="30">
        <f>-'OPEX+CAPEX'!AA72</f>
        <v>-49.583333333333336</v>
      </c>
      <c r="Z110" s="30">
        <f>-'OPEX+CAPEX'!AB72</f>
        <v>-49.583333333333336</v>
      </c>
      <c r="AA110" s="30">
        <f>-'OPEX+CAPEX'!AC72</f>
        <v>-49.583333333333336</v>
      </c>
      <c r="AB110" s="30">
        <f>-'OPEX+CAPEX'!AD72</f>
        <v>-49.583333333333336</v>
      </c>
      <c r="AC110" s="30">
        <f>-'OPEX+CAPEX'!AE72</f>
        <v>-49.583333333333336</v>
      </c>
      <c r="AD110" s="30">
        <f>-'OPEX+CAPEX'!AF72</f>
        <v>-49.583333333333336</v>
      </c>
      <c r="AE110" s="30">
        <f>-'OPEX+CAPEX'!AG72</f>
        <v>-49.583333333333336</v>
      </c>
      <c r="AF110" s="30">
        <f>-'OPEX+CAPEX'!AH72</f>
        <v>-49.583333333333336</v>
      </c>
      <c r="AG110" s="30">
        <f>-'OPEX+CAPEX'!AI72</f>
        <v>-49.583333333333336</v>
      </c>
      <c r="AH110" s="30">
        <f>-'OPEX+CAPEX'!AJ72</f>
        <v>-49.583333333333336</v>
      </c>
      <c r="AI110" s="30">
        <f>-'OPEX+CAPEX'!AK72</f>
        <v>-49.583333333333336</v>
      </c>
      <c r="AJ110" s="30">
        <f>-'OPEX+CAPEX'!AL72</f>
        <v>-49.583333333333336</v>
      </c>
      <c r="AK110" s="30">
        <f>-'OPEX+CAPEX'!AM72</f>
        <v>-49.583333333333336</v>
      </c>
      <c r="AL110" s="30">
        <f>-'OPEX+CAPEX'!AN72</f>
        <v>-49.583333333333336</v>
      </c>
      <c r="AN110" s="30">
        <f t="shared" si="106"/>
        <v>-198.33333333333334</v>
      </c>
      <c r="AO110" s="30">
        <f t="shared" si="107"/>
        <v>-595</v>
      </c>
      <c r="AP110" s="30">
        <f t="shared" si="108"/>
        <v>-595</v>
      </c>
    </row>
    <row r="111" spans="2:42" ht="13.8">
      <c r="B111" s="120" t="s">
        <v>209</v>
      </c>
      <c r="C111" s="30">
        <f>-'OPEX+CAPEX'!E82</f>
        <v>0</v>
      </c>
      <c r="D111" s="30">
        <f>-'OPEX+CAPEX'!F82</f>
        <v>0</v>
      </c>
      <c r="E111" s="30">
        <f>-'OPEX+CAPEX'!G82</f>
        <v>0</v>
      </c>
      <c r="F111" s="30">
        <f>-'OPEX+CAPEX'!H82</f>
        <v>0</v>
      </c>
      <c r="G111" s="30">
        <f>-'OPEX+CAPEX'!I82</f>
        <v>-24.791666666666668</v>
      </c>
      <c r="H111" s="30">
        <f>-'OPEX+CAPEX'!J82</f>
        <v>-24.791666666666668</v>
      </c>
      <c r="I111" s="30">
        <f>-'OPEX+CAPEX'!K82</f>
        <v>-24.791666666666668</v>
      </c>
      <c r="J111" s="30">
        <f>-'OPEX+CAPEX'!L82</f>
        <v>-24.791666666666668</v>
      </c>
      <c r="K111" s="30">
        <f>-'OPEX+CAPEX'!M82</f>
        <v>-24.791666666666668</v>
      </c>
      <c r="L111" s="30">
        <f>-'OPEX+CAPEX'!N82</f>
        <v>-24.791666666666668</v>
      </c>
      <c r="M111" s="30">
        <f>-'OPEX+CAPEX'!O82</f>
        <v>-24.791666666666668</v>
      </c>
      <c r="N111" s="30">
        <f>-'OPEX+CAPEX'!P82</f>
        <v>-24.791666666666668</v>
      </c>
      <c r="O111" s="30">
        <f>-'OPEX+CAPEX'!Q82</f>
        <v>-24.791666666666668</v>
      </c>
      <c r="P111" s="30">
        <f>-'OPEX+CAPEX'!R82</f>
        <v>-24.791666666666668</v>
      </c>
      <c r="Q111" s="30">
        <f>-'OPEX+CAPEX'!S82</f>
        <v>-24.791666666666668</v>
      </c>
      <c r="R111" s="30">
        <f>-'OPEX+CAPEX'!T82</f>
        <v>-24.791666666666668</v>
      </c>
      <c r="S111" s="30">
        <f>-'OPEX+CAPEX'!U82</f>
        <v>-24.791666666666668</v>
      </c>
      <c r="T111" s="30">
        <f>-'OPEX+CAPEX'!V82</f>
        <v>-24.791666666666668</v>
      </c>
      <c r="U111" s="30">
        <f>-'OPEX+CAPEX'!W82</f>
        <v>-24.791666666666668</v>
      </c>
      <c r="V111" s="30">
        <f>-'OPEX+CAPEX'!X82</f>
        <v>-24.791666666666668</v>
      </c>
      <c r="W111" s="30">
        <f>-'OPEX+CAPEX'!Y82</f>
        <v>-24.791666666666668</v>
      </c>
      <c r="X111" s="30">
        <f>-'OPEX+CAPEX'!Z82</f>
        <v>-24.791666666666668</v>
      </c>
      <c r="Y111" s="30">
        <f>-'OPEX+CAPEX'!AA82</f>
        <v>-24.791666666666668</v>
      </c>
      <c r="Z111" s="30">
        <f>-'OPEX+CAPEX'!AB82</f>
        <v>-24.791666666666668</v>
      </c>
      <c r="AA111" s="30">
        <f>-'OPEX+CAPEX'!AC82</f>
        <v>-24.791666666666668</v>
      </c>
      <c r="AB111" s="30">
        <f>-'OPEX+CAPEX'!AD82</f>
        <v>-24.791666666666668</v>
      </c>
      <c r="AC111" s="30">
        <f>-'OPEX+CAPEX'!AE82</f>
        <v>-24.791666666666668</v>
      </c>
      <c r="AD111" s="30">
        <f>-'OPEX+CAPEX'!AF82</f>
        <v>-24.791666666666668</v>
      </c>
      <c r="AE111" s="30">
        <f>-'OPEX+CAPEX'!AG82</f>
        <v>-24.791666666666668</v>
      </c>
      <c r="AF111" s="30">
        <f>-'OPEX+CAPEX'!AH82</f>
        <v>-24.791666666666668</v>
      </c>
      <c r="AG111" s="30">
        <f>-'OPEX+CAPEX'!AI82</f>
        <v>-24.791666666666668</v>
      </c>
      <c r="AH111" s="30">
        <f>-'OPEX+CAPEX'!AJ82</f>
        <v>-24.791666666666668</v>
      </c>
      <c r="AI111" s="30">
        <f>-'OPEX+CAPEX'!AK82</f>
        <v>-24.791666666666668</v>
      </c>
      <c r="AJ111" s="30">
        <f>-'OPEX+CAPEX'!AL82</f>
        <v>-24.791666666666668</v>
      </c>
      <c r="AK111" s="30">
        <f>-'OPEX+CAPEX'!AM82</f>
        <v>-24.791666666666668</v>
      </c>
      <c r="AL111" s="30">
        <f>-'OPEX+CAPEX'!AN82</f>
        <v>-24.791666666666668</v>
      </c>
      <c r="AN111" s="30">
        <f t="shared" si="106"/>
        <v>-198.33333333333331</v>
      </c>
      <c r="AO111" s="30">
        <f t="shared" si="107"/>
        <v>-297.5</v>
      </c>
      <c r="AP111" s="30">
        <f t="shared" si="108"/>
        <v>-297.5</v>
      </c>
    </row>
    <row r="112" spans="2:42" ht="13.8">
      <c r="B112" s="120" t="s">
        <v>137</v>
      </c>
      <c r="C112" s="30">
        <f>-'OPEX+CAPEX'!E101</f>
        <v>0</v>
      </c>
      <c r="D112" s="30">
        <f>-'OPEX+CAPEX'!F101</f>
        <v>0</v>
      </c>
      <c r="E112" s="30">
        <f>-'OPEX+CAPEX'!G101</f>
        <v>-31.875</v>
      </c>
      <c r="F112" s="30">
        <f>-'OPEX+CAPEX'!H101</f>
        <v>-31.875</v>
      </c>
      <c r="G112" s="30">
        <f>-'OPEX+CAPEX'!I101</f>
        <v>-31.875</v>
      </c>
      <c r="H112" s="30">
        <f>-'OPEX+CAPEX'!J101</f>
        <v>-31.875</v>
      </c>
      <c r="I112" s="30">
        <f>-'OPEX+CAPEX'!K101</f>
        <v>-31.875</v>
      </c>
      <c r="J112" s="30">
        <f>-'OPEX+CAPEX'!L101</f>
        <v>-31.875</v>
      </c>
      <c r="K112" s="30">
        <f>-'OPEX+CAPEX'!M101</f>
        <v>-31.875</v>
      </c>
      <c r="L112" s="30">
        <f>-'OPEX+CAPEX'!N101</f>
        <v>-31.875</v>
      </c>
      <c r="M112" s="30">
        <f>-'OPEX+CAPEX'!O101</f>
        <v>-31.875</v>
      </c>
      <c r="N112" s="30">
        <f>-'OPEX+CAPEX'!P101</f>
        <v>-31.875</v>
      </c>
      <c r="O112" s="30">
        <f>-'OPEX+CAPEX'!Q101</f>
        <v>-31.875</v>
      </c>
      <c r="P112" s="30">
        <f>-'OPEX+CAPEX'!R101</f>
        <v>-31.875</v>
      </c>
      <c r="Q112" s="30">
        <f>-'OPEX+CAPEX'!S101</f>
        <v>-31.875</v>
      </c>
      <c r="R112" s="30">
        <f>-'OPEX+CAPEX'!T101</f>
        <v>-31.875</v>
      </c>
      <c r="S112" s="30">
        <f>-'OPEX+CAPEX'!U101</f>
        <v>-31.875</v>
      </c>
      <c r="T112" s="30">
        <f>-'OPEX+CAPEX'!V101</f>
        <v>-31.875</v>
      </c>
      <c r="U112" s="30">
        <f>-'OPEX+CAPEX'!W101</f>
        <v>-31.875</v>
      </c>
      <c r="V112" s="30">
        <f>-'OPEX+CAPEX'!X101</f>
        <v>-31.875</v>
      </c>
      <c r="W112" s="30">
        <f>-'OPEX+CAPEX'!Y101</f>
        <v>-31.875</v>
      </c>
      <c r="X112" s="30">
        <f>-'OPEX+CAPEX'!Z101</f>
        <v>-31.875</v>
      </c>
      <c r="Y112" s="30">
        <f>-'OPEX+CAPEX'!AA101</f>
        <v>-31.875</v>
      </c>
      <c r="Z112" s="30">
        <f>-'OPEX+CAPEX'!AB101</f>
        <v>-31.875</v>
      </c>
      <c r="AA112" s="30">
        <f>-'OPEX+CAPEX'!AC101</f>
        <v>-31.875</v>
      </c>
      <c r="AB112" s="30">
        <f>-'OPEX+CAPEX'!AD101</f>
        <v>-31.875</v>
      </c>
      <c r="AC112" s="30">
        <f>-'OPEX+CAPEX'!AE101</f>
        <v>-31.875</v>
      </c>
      <c r="AD112" s="30">
        <f>-'OPEX+CAPEX'!AF101</f>
        <v>-31.875</v>
      </c>
      <c r="AE112" s="30">
        <f>-'OPEX+CAPEX'!AG101</f>
        <v>-31.875</v>
      </c>
      <c r="AF112" s="30">
        <f>-'OPEX+CAPEX'!AH101</f>
        <v>-31.875</v>
      </c>
      <c r="AG112" s="30">
        <f>-'OPEX+CAPEX'!AI101</f>
        <v>-31.875</v>
      </c>
      <c r="AH112" s="30">
        <f>-'OPEX+CAPEX'!AJ101</f>
        <v>-31.875</v>
      </c>
      <c r="AI112" s="30">
        <f>-'OPEX+CAPEX'!AK101</f>
        <v>-31.875</v>
      </c>
      <c r="AJ112" s="30">
        <f>-'OPEX+CAPEX'!AL101</f>
        <v>-31.875</v>
      </c>
      <c r="AK112" s="30">
        <f>-'OPEX+CAPEX'!AM101</f>
        <v>-31.875</v>
      </c>
      <c r="AL112" s="30">
        <f>-'OPEX+CAPEX'!AN101</f>
        <v>-31.875</v>
      </c>
      <c r="AN112" s="30">
        <f t="shared" si="106"/>
        <v>-318.75</v>
      </c>
      <c r="AO112" s="30">
        <f t="shared" si="107"/>
        <v>-382.5</v>
      </c>
      <c r="AP112" s="30">
        <f t="shared" si="108"/>
        <v>-382.5</v>
      </c>
    </row>
    <row r="113" spans="2:42">
      <c r="B113" s="125" t="s">
        <v>51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N113" s="26">
        <f t="shared" si="75"/>
        <v>0</v>
      </c>
      <c r="AO113" s="26">
        <f t="shared" si="76"/>
        <v>0</v>
      </c>
      <c r="AP113" s="26">
        <f t="shared" si="77"/>
        <v>0</v>
      </c>
    </row>
    <row r="114" spans="2:42">
      <c r="B114" s="125" t="s">
        <v>52</v>
      </c>
      <c r="C114" s="30">
        <f>C115+C120</f>
        <v>-135</v>
      </c>
      <c r="D114" s="30">
        <f>D115+D120</f>
        <v>-10.816666666666666</v>
      </c>
      <c r="E114" s="30">
        <f>E115+E120</f>
        <v>-16.117932291666673</v>
      </c>
      <c r="F114" s="30">
        <f t="shared" ref="F114:AL114" si="109">F115+F120</f>
        <v>-26.672465930989588</v>
      </c>
      <c r="G114" s="30">
        <f t="shared" si="109"/>
        <v>-37.122484167667643</v>
      </c>
      <c r="H114" s="30">
        <f t="shared" si="109"/>
        <v>-47.479856174816426</v>
      </c>
      <c r="I114" s="30">
        <f t="shared" si="109"/>
        <v>-57.654718005746908</v>
      </c>
      <c r="J114" s="30">
        <f t="shared" si="109"/>
        <v>-67.376735676918898</v>
      </c>
      <c r="K114" s="30">
        <f t="shared" si="109"/>
        <v>-77.142378921208064</v>
      </c>
      <c r="L114" s="30">
        <f t="shared" si="109"/>
        <v>-87.587229484240837</v>
      </c>
      <c r="M114" s="30">
        <f t="shared" si="109"/>
        <v>-98.648876579514436</v>
      </c>
      <c r="N114" s="30">
        <f t="shared" si="109"/>
        <v>-110.28384286835197</v>
      </c>
      <c r="O114" s="30">
        <f t="shared" si="109"/>
        <v>-129.51899132493443</v>
      </c>
      <c r="P114" s="30">
        <f t="shared" si="109"/>
        <v>-141.41374857814259</v>
      </c>
      <c r="Q114" s="30">
        <f t="shared" si="109"/>
        <v>-180.71297266023689</v>
      </c>
      <c r="R114" s="30">
        <f t="shared" si="109"/>
        <v>-189.99061580094389</v>
      </c>
      <c r="S114" s="30">
        <f t="shared" si="109"/>
        <v>-198.43936160555327</v>
      </c>
      <c r="T114" s="30">
        <f t="shared" si="109"/>
        <v>-206.96432319097639</v>
      </c>
      <c r="U114" s="30">
        <f t="shared" si="109"/>
        <v>-214.83068200571827</v>
      </c>
      <c r="V114" s="30">
        <f t="shared" si="109"/>
        <v>-222.08931893706549</v>
      </c>
      <c r="W114" s="30">
        <f t="shared" si="109"/>
        <v>-228.78718402839311</v>
      </c>
      <c r="X114" s="30">
        <f t="shared" si="109"/>
        <v>-234.96760015967629</v>
      </c>
      <c r="Y114" s="30">
        <f t="shared" si="109"/>
        <v>-240.67054326691843</v>
      </c>
      <c r="Z114" s="30">
        <f t="shared" si="109"/>
        <v>-245.93290091300284</v>
      </c>
      <c r="AA114" s="30">
        <f t="shared" si="109"/>
        <v>-250.78871088244401</v>
      </c>
      <c r="AB114" s="30">
        <f t="shared" si="109"/>
        <v>-255.26938134331036</v>
      </c>
      <c r="AC114" s="30">
        <f t="shared" si="109"/>
        <v>-259.40389400035968</v>
      </c>
      <c r="AD114" s="30">
        <f t="shared" si="109"/>
        <v>-263.21899155341544</v>
      </c>
      <c r="AE114" s="30">
        <f t="shared" si="109"/>
        <v>-266.73935067349595</v>
      </c>
      <c r="AF114" s="30">
        <f t="shared" si="109"/>
        <v>-269.98774161553308</v>
      </c>
      <c r="AG114" s="30">
        <f t="shared" si="109"/>
        <v>-272.98517550008171</v>
      </c>
      <c r="AH114" s="30">
        <f t="shared" si="109"/>
        <v>-275.75104021666209</v>
      </c>
      <c r="AI114" s="30">
        <f t="shared" si="109"/>
        <v>-278.30322582778069</v>
      </c>
      <c r="AJ114" s="30">
        <f t="shared" si="109"/>
        <v>-280.65824028476197</v>
      </c>
      <c r="AK114" s="30">
        <f t="shared" si="109"/>
        <v>-282.83131620386007</v>
      </c>
      <c r="AL114" s="30">
        <f t="shared" si="109"/>
        <v>-284.83650939329686</v>
      </c>
      <c r="AN114" s="30">
        <f t="shared" si="75"/>
        <v>-771.90318676778816</v>
      </c>
      <c r="AO114" s="30">
        <f t="shared" si="76"/>
        <v>-2434.3182424715619</v>
      </c>
      <c r="AP114" s="30">
        <f t="shared" si="77"/>
        <v>-3240.7735774950024</v>
      </c>
    </row>
    <row r="115" spans="2:42">
      <c r="B115" s="129" t="s">
        <v>336</v>
      </c>
      <c r="C115" s="30">
        <f>SUM(C116:C119)</f>
        <v>0</v>
      </c>
      <c r="D115" s="30">
        <f>SUM(D116:D119)</f>
        <v>-10.816666666666666</v>
      </c>
      <c r="E115" s="30">
        <f t="shared" ref="E115:AL115" si="110">SUM(E116:E119)</f>
        <v>-16.117932291666673</v>
      </c>
      <c r="F115" s="30">
        <f t="shared" si="110"/>
        <v>-26.672465930989588</v>
      </c>
      <c r="G115" s="30">
        <f t="shared" si="110"/>
        <v>-37.122484167667643</v>
      </c>
      <c r="H115" s="30">
        <f t="shared" si="110"/>
        <v>-47.479856174816426</v>
      </c>
      <c r="I115" s="30">
        <f t="shared" si="110"/>
        <v>-57.654718005746908</v>
      </c>
      <c r="J115" s="30">
        <f t="shared" si="110"/>
        <v>-67.376735676918898</v>
      </c>
      <c r="K115" s="30">
        <f t="shared" si="110"/>
        <v>-77.142378921208064</v>
      </c>
      <c r="L115" s="30">
        <f t="shared" si="110"/>
        <v>-87.587229484240837</v>
      </c>
      <c r="M115" s="30">
        <f t="shared" si="110"/>
        <v>-98.648876579514436</v>
      </c>
      <c r="N115" s="30">
        <f t="shared" si="110"/>
        <v>-110.28384286835197</v>
      </c>
      <c r="O115" s="30">
        <f t="shared" si="110"/>
        <v>-122.4356579916011</v>
      </c>
      <c r="P115" s="30">
        <f t="shared" si="110"/>
        <v>-134.33041524480925</v>
      </c>
      <c r="Q115" s="30">
        <f t="shared" si="110"/>
        <v>-145.29630599357023</v>
      </c>
      <c r="R115" s="30">
        <f t="shared" si="110"/>
        <v>-154.57394913427723</v>
      </c>
      <c r="S115" s="30">
        <f t="shared" si="110"/>
        <v>-163.02269493888662</v>
      </c>
      <c r="T115" s="30">
        <f t="shared" si="110"/>
        <v>-171.54765652430973</v>
      </c>
      <c r="U115" s="30">
        <f t="shared" si="110"/>
        <v>-179.41401533905162</v>
      </c>
      <c r="V115" s="30">
        <f t="shared" si="110"/>
        <v>-186.67265227039883</v>
      </c>
      <c r="W115" s="30">
        <f t="shared" si="110"/>
        <v>-193.37051736172646</v>
      </c>
      <c r="X115" s="30">
        <f t="shared" si="110"/>
        <v>-199.55093349300964</v>
      </c>
      <c r="Y115" s="30">
        <f t="shared" si="110"/>
        <v>-205.25387660025177</v>
      </c>
      <c r="Z115" s="30">
        <f t="shared" si="110"/>
        <v>-210.51623424633618</v>
      </c>
      <c r="AA115" s="30">
        <f t="shared" si="110"/>
        <v>-215.37204421577735</v>
      </c>
      <c r="AB115" s="30">
        <f t="shared" si="110"/>
        <v>-219.8527146766437</v>
      </c>
      <c r="AC115" s="30">
        <f t="shared" si="110"/>
        <v>-223.987227333693</v>
      </c>
      <c r="AD115" s="30">
        <f t="shared" si="110"/>
        <v>-227.80232488674875</v>
      </c>
      <c r="AE115" s="30">
        <f t="shared" si="110"/>
        <v>-231.32268400682926</v>
      </c>
      <c r="AF115" s="30">
        <f t="shared" si="110"/>
        <v>-234.57107494886642</v>
      </c>
      <c r="AG115" s="30">
        <f t="shared" si="110"/>
        <v>-237.56850883341502</v>
      </c>
      <c r="AH115" s="30">
        <f t="shared" si="110"/>
        <v>-240.33437354999541</v>
      </c>
      <c r="AI115" s="30">
        <f t="shared" si="110"/>
        <v>-242.88655916111404</v>
      </c>
      <c r="AJ115" s="30">
        <f t="shared" si="110"/>
        <v>-245.24157361809532</v>
      </c>
      <c r="AK115" s="30">
        <f t="shared" si="110"/>
        <v>-247.41464953719338</v>
      </c>
      <c r="AL115" s="30">
        <f t="shared" si="110"/>
        <v>-249.41984272663018</v>
      </c>
      <c r="AN115" s="30"/>
      <c r="AO115" s="30"/>
      <c r="AP115" s="30"/>
    </row>
    <row r="116" spans="2:42" ht="13.8">
      <c r="B116" s="120" t="s">
        <v>272</v>
      </c>
      <c r="C116" s="30">
        <f>BaaS.2!D13</f>
        <v>0</v>
      </c>
      <c r="D116" s="30">
        <f>BaaS.2!E13</f>
        <v>-10.725</v>
      </c>
      <c r="E116" s="30">
        <f>BaaS.2!F13</f>
        <v>-16.013765625000001</v>
      </c>
      <c r="F116" s="30">
        <f>BaaS.2!G13</f>
        <v>-26.539132597656252</v>
      </c>
      <c r="G116" s="30">
        <f>BaaS.2!H13</f>
        <v>-36.964150834334312</v>
      </c>
      <c r="H116" s="30">
        <f>BaaS.2!I13</f>
        <v>-47.296522841483096</v>
      </c>
      <c r="I116" s="30">
        <f>BaaS.2!J13</f>
        <v>-57.433884672413576</v>
      </c>
      <c r="J116" s="30">
        <f>BaaS.2!K13</f>
        <v>-67.118402343585572</v>
      </c>
      <c r="K116" s="30">
        <f>BaaS.2!L13</f>
        <v>-76.850712254541392</v>
      </c>
      <c r="L116" s="30">
        <f>BaaS.2!M13</f>
        <v>-87.253896150907494</v>
      </c>
      <c r="M116" s="30">
        <f>BaaS.2!N13</f>
        <v>-98.273876579514436</v>
      </c>
      <c r="N116" s="30">
        <f>BaaS.2!O13</f>
        <v>-109.86300953501863</v>
      </c>
      <c r="O116" s="30">
        <f>BaaS.2!P13</f>
        <v>-121.97732465826778</v>
      </c>
      <c r="P116" s="30">
        <f>BaaS.2!Q13</f>
        <v>-133.86374857814258</v>
      </c>
      <c r="Q116" s="30">
        <f>BaaS.2!R13</f>
        <v>-144.82963932690356</v>
      </c>
      <c r="R116" s="30">
        <f>BaaS.2!S13</f>
        <v>-154.10728246761056</v>
      </c>
      <c r="S116" s="30">
        <f>BaaS.2!T13</f>
        <v>-162.55602827221995</v>
      </c>
      <c r="T116" s="30">
        <f>BaaS.2!U13</f>
        <v>-171.08098985764306</v>
      </c>
      <c r="U116" s="30">
        <f>BaaS.2!V13</f>
        <v>-178.94734867238495</v>
      </c>
      <c r="V116" s="30">
        <f>BaaS.2!W13</f>
        <v>-186.20598560373216</v>
      </c>
      <c r="W116" s="30">
        <f>BaaS.2!X13</f>
        <v>-192.90385069505979</v>
      </c>
      <c r="X116" s="30">
        <f>BaaS.2!Y13</f>
        <v>-199.08426682634297</v>
      </c>
      <c r="Y116" s="30">
        <f>BaaS.2!Z13</f>
        <v>-204.7872099335851</v>
      </c>
      <c r="Z116" s="30">
        <f>BaaS.2!AA13</f>
        <v>-210.04956757966951</v>
      </c>
      <c r="AA116" s="30">
        <f>BaaS.2!AB13</f>
        <v>-214.90537754911068</v>
      </c>
      <c r="AB116" s="30">
        <f>BaaS.2!AC13</f>
        <v>-219.38604800997703</v>
      </c>
      <c r="AC116" s="30">
        <f>BaaS.2!AD13</f>
        <v>-223.52056066702633</v>
      </c>
      <c r="AD116" s="30">
        <f>BaaS.2!AE13</f>
        <v>-227.33565822008208</v>
      </c>
      <c r="AE116" s="30">
        <f>BaaS.2!AF13</f>
        <v>-230.85601734016259</v>
      </c>
      <c r="AF116" s="30">
        <f>BaaS.2!AG13</f>
        <v>-234.10440828219976</v>
      </c>
      <c r="AG116" s="30">
        <f>BaaS.2!AH13</f>
        <v>-237.10184216674836</v>
      </c>
      <c r="AH116" s="30">
        <f>BaaS.2!AI13</f>
        <v>-239.86770688332874</v>
      </c>
      <c r="AI116" s="30">
        <f>BaaS.2!AJ13</f>
        <v>-242.41989249444737</v>
      </c>
      <c r="AJ116" s="30">
        <f>BaaS.2!AK13</f>
        <v>-244.77490695142865</v>
      </c>
      <c r="AK116" s="30">
        <f>BaaS.2!AL13</f>
        <v>-246.94798287052672</v>
      </c>
      <c r="AL116" s="30">
        <f>BaaS.2!AM13</f>
        <v>-248.95317605996351</v>
      </c>
      <c r="AN116" s="30">
        <f t="shared" ref="AN116:AN120" si="111">SUM(C116:N116)</f>
        <v>-634.33235343445472</v>
      </c>
      <c r="AO116" s="30">
        <f t="shared" ref="AO116:AO120" si="112">SUM(O116:Z116)</f>
        <v>-2060.3932424715622</v>
      </c>
      <c r="AP116" s="30">
        <f t="shared" ref="AP116:AP120" si="113">SUM(AA116:AL116)</f>
        <v>-2810.1735774950021</v>
      </c>
    </row>
    <row r="117" spans="2:42" ht="13.8">
      <c r="B117" s="120" t="s">
        <v>201</v>
      </c>
      <c r="C117" s="30">
        <f>BaaS.3!D57</f>
        <v>0</v>
      </c>
      <c r="D117" s="30">
        <f>BaaS.3!E57</f>
        <v>-3.3333333333333333E-2</v>
      </c>
      <c r="E117" s="30">
        <f>BaaS.3!F57</f>
        <v>-3.3333333333333333E-2</v>
      </c>
      <c r="F117" s="30">
        <f>BaaS.3!G57</f>
        <v>-3.3333333333333333E-2</v>
      </c>
      <c r="G117" s="30">
        <f>BaaS.3!H57</f>
        <v>-4.1666666666666664E-2</v>
      </c>
      <c r="H117" s="30">
        <f>BaaS.3!I57</f>
        <v>-4.9999999999999996E-2</v>
      </c>
      <c r="I117" s="30">
        <f>BaaS.3!J57</f>
        <v>-5.8333333333333341E-2</v>
      </c>
      <c r="J117" s="30">
        <f>BaaS.3!K57</f>
        <v>-6.6666666666666666E-2</v>
      </c>
      <c r="K117" s="30">
        <f>BaaS.3!L57</f>
        <v>-6.6666666666666666E-2</v>
      </c>
      <c r="L117" s="30">
        <f>BaaS.3!M57</f>
        <v>-7.4999999999999997E-2</v>
      </c>
      <c r="M117" s="30">
        <f>BaaS.3!N57</f>
        <v>-8.3333333333333329E-2</v>
      </c>
      <c r="N117" s="30">
        <f>BaaS.3!O57</f>
        <v>-8.3333333333333329E-2</v>
      </c>
      <c r="O117" s="30">
        <f>BaaS.3!P57</f>
        <v>-9.1666666666666674E-2</v>
      </c>
      <c r="P117" s="30">
        <f>BaaS.3!Q57</f>
        <v>-9.9999999999999992E-2</v>
      </c>
      <c r="Q117" s="30">
        <f>BaaS.3!R57</f>
        <v>-9.9999999999999992E-2</v>
      </c>
      <c r="R117" s="30">
        <f>BaaS.3!S57</f>
        <v>-9.9999999999999992E-2</v>
      </c>
      <c r="S117" s="30">
        <f>BaaS.3!T57</f>
        <v>-9.9999999999999992E-2</v>
      </c>
      <c r="T117" s="30">
        <f>BaaS.3!U57</f>
        <v>-9.9999999999999992E-2</v>
      </c>
      <c r="U117" s="30">
        <f>BaaS.3!V57</f>
        <v>-9.9999999999999992E-2</v>
      </c>
      <c r="V117" s="30">
        <f>BaaS.3!W57</f>
        <v>-9.9999999999999992E-2</v>
      </c>
      <c r="W117" s="30">
        <f>BaaS.3!X57</f>
        <v>-9.9999999999999992E-2</v>
      </c>
      <c r="X117" s="30">
        <f>BaaS.3!Y57</f>
        <v>-9.9999999999999992E-2</v>
      </c>
      <c r="Y117" s="30">
        <f>BaaS.3!Z57</f>
        <v>-9.9999999999999992E-2</v>
      </c>
      <c r="Z117" s="30">
        <f>BaaS.3!AA57</f>
        <v>-9.9999999999999992E-2</v>
      </c>
      <c r="AA117" s="30">
        <f>BaaS.3!AB57</f>
        <v>-9.9999999999999992E-2</v>
      </c>
      <c r="AB117" s="30">
        <f>BaaS.3!AC57</f>
        <v>-9.9999999999999992E-2</v>
      </c>
      <c r="AC117" s="30">
        <f>BaaS.3!AD57</f>
        <v>-9.9999999999999992E-2</v>
      </c>
      <c r="AD117" s="30">
        <f>BaaS.3!AE57</f>
        <v>-9.9999999999999992E-2</v>
      </c>
      <c r="AE117" s="30">
        <f>BaaS.3!AF57</f>
        <v>-9.9999999999999992E-2</v>
      </c>
      <c r="AF117" s="30">
        <f>BaaS.3!AG57</f>
        <v>-9.9999999999999992E-2</v>
      </c>
      <c r="AG117" s="30">
        <f>BaaS.3!AH57</f>
        <v>-9.9999999999999992E-2</v>
      </c>
      <c r="AH117" s="30">
        <f>BaaS.3!AI57</f>
        <v>-9.9999999999999992E-2</v>
      </c>
      <c r="AI117" s="30">
        <f>BaaS.3!AJ57</f>
        <v>-9.9999999999999992E-2</v>
      </c>
      <c r="AJ117" s="30">
        <f>BaaS.3!AK57</f>
        <v>-9.9999999999999992E-2</v>
      </c>
      <c r="AK117" s="30">
        <f>BaaS.3!AL57</f>
        <v>-9.9999999999999992E-2</v>
      </c>
      <c r="AL117" s="30">
        <f>BaaS.3!AM57</f>
        <v>-9.9999999999999992E-2</v>
      </c>
      <c r="AN117" s="30">
        <f t="shared" si="111"/>
        <v>-0.625</v>
      </c>
      <c r="AO117" s="30">
        <f t="shared" si="112"/>
        <v>-1.1916666666666667</v>
      </c>
      <c r="AP117" s="30">
        <f t="shared" si="113"/>
        <v>-1.2</v>
      </c>
    </row>
    <row r="118" spans="2:42" ht="13.8">
      <c r="B118" s="120" t="s">
        <v>209</v>
      </c>
      <c r="C118" s="30">
        <f>BaaS.3!D72</f>
        <v>0</v>
      </c>
      <c r="D118" s="30">
        <f>BaaS.3!E72</f>
        <v>-3.3333333333333333E-2</v>
      </c>
      <c r="E118" s="30">
        <f>BaaS.3!F72</f>
        <v>-3.3333333333333333E-2</v>
      </c>
      <c r="F118" s="30">
        <f>BaaS.3!G72</f>
        <v>-4.9999999999999996E-2</v>
      </c>
      <c r="G118" s="30">
        <f>BaaS.3!H72</f>
        <v>-6.6666666666666666E-2</v>
      </c>
      <c r="H118" s="30">
        <f>BaaS.3!I72</f>
        <v>-8.3333333333333329E-2</v>
      </c>
      <c r="I118" s="30">
        <f>BaaS.3!J72</f>
        <v>-9.9999999999999992E-2</v>
      </c>
      <c r="J118" s="30">
        <f>BaaS.3!K72</f>
        <v>-0.11666666666666668</v>
      </c>
      <c r="K118" s="30">
        <f>BaaS.3!L72</f>
        <v>-0.15</v>
      </c>
      <c r="L118" s="30">
        <f>BaaS.3!M72</f>
        <v>-0.18333333333333335</v>
      </c>
      <c r="M118" s="30">
        <f>BaaS.3!N72</f>
        <v>-0.21666666666666667</v>
      </c>
      <c r="N118" s="30">
        <f>BaaS.3!O72</f>
        <v>-0.25</v>
      </c>
      <c r="O118" s="30">
        <f>BaaS.3!P72</f>
        <v>-0.26666666666666666</v>
      </c>
      <c r="P118" s="30">
        <f>BaaS.3!Q72</f>
        <v>-0.26666666666666666</v>
      </c>
      <c r="Q118" s="30">
        <f>BaaS.3!R72</f>
        <v>-0.26666666666666666</v>
      </c>
      <c r="R118" s="30">
        <f>BaaS.3!S72</f>
        <v>-0.26666666666666666</v>
      </c>
      <c r="S118" s="30">
        <f>BaaS.3!T72</f>
        <v>-0.26666666666666666</v>
      </c>
      <c r="T118" s="30">
        <f>BaaS.3!U72</f>
        <v>-0.26666666666666666</v>
      </c>
      <c r="U118" s="30">
        <f>BaaS.3!V72</f>
        <v>-0.26666666666666666</v>
      </c>
      <c r="V118" s="30">
        <f>BaaS.3!W72</f>
        <v>-0.26666666666666666</v>
      </c>
      <c r="W118" s="30">
        <f>BaaS.3!X72</f>
        <v>-0.26666666666666666</v>
      </c>
      <c r="X118" s="30">
        <f>BaaS.3!Y72</f>
        <v>-0.26666666666666666</v>
      </c>
      <c r="Y118" s="30">
        <f>BaaS.3!Z72</f>
        <v>-0.26666666666666666</v>
      </c>
      <c r="Z118" s="30">
        <f>BaaS.3!AA72</f>
        <v>-0.26666666666666666</v>
      </c>
      <c r="AA118" s="30">
        <f>BaaS.3!AB72</f>
        <v>-0.26666666666666666</v>
      </c>
      <c r="AB118" s="30">
        <f>BaaS.3!AC72</f>
        <v>-0.26666666666666666</v>
      </c>
      <c r="AC118" s="30">
        <f>BaaS.3!AD72</f>
        <v>-0.26666666666666666</v>
      </c>
      <c r="AD118" s="30">
        <f>BaaS.3!AE72</f>
        <v>-0.26666666666666666</v>
      </c>
      <c r="AE118" s="30">
        <f>BaaS.3!AF72</f>
        <v>-0.26666666666666666</v>
      </c>
      <c r="AF118" s="30">
        <f>BaaS.3!AG72</f>
        <v>-0.26666666666666666</v>
      </c>
      <c r="AG118" s="30">
        <f>BaaS.3!AH72</f>
        <v>-0.26666666666666666</v>
      </c>
      <c r="AH118" s="30">
        <f>BaaS.3!AI72</f>
        <v>-0.26666666666666666</v>
      </c>
      <c r="AI118" s="30">
        <f>BaaS.3!AJ72</f>
        <v>-0.26666666666666666</v>
      </c>
      <c r="AJ118" s="30">
        <f>BaaS.3!AK72</f>
        <v>-0.26666666666666666</v>
      </c>
      <c r="AK118" s="30">
        <f>BaaS.3!AL72</f>
        <v>-0.26666666666666666</v>
      </c>
      <c r="AL118" s="30">
        <f>BaaS.3!AM72</f>
        <v>-0.26666666666666666</v>
      </c>
      <c r="AN118" s="30">
        <f t="shared" si="111"/>
        <v>-1.2833333333333332</v>
      </c>
      <c r="AO118" s="30">
        <f t="shared" si="112"/>
        <v>-3.1999999999999997</v>
      </c>
      <c r="AP118" s="30">
        <f t="shared" si="113"/>
        <v>-3.1999999999999997</v>
      </c>
    </row>
    <row r="119" spans="2:42" ht="13.8">
      <c r="B119" s="120" t="s">
        <v>305</v>
      </c>
      <c r="C119" s="30">
        <f>BaaS.3!D91</f>
        <v>0</v>
      </c>
      <c r="D119" s="30">
        <f>BaaS.3!E91</f>
        <v>-2.4999999999999998E-2</v>
      </c>
      <c r="E119" s="30">
        <f>BaaS.3!F91</f>
        <v>-3.7499999999999999E-2</v>
      </c>
      <c r="F119" s="30">
        <f>BaaS.3!G91</f>
        <v>-4.9999999999999996E-2</v>
      </c>
      <c r="G119" s="30">
        <f>BaaS.3!H91</f>
        <v>-4.9999999999999996E-2</v>
      </c>
      <c r="H119" s="30">
        <f>BaaS.3!I91</f>
        <v>-4.9999999999999996E-2</v>
      </c>
      <c r="I119" s="30">
        <f>BaaS.3!J91</f>
        <v>-6.25E-2</v>
      </c>
      <c r="J119" s="30">
        <f>BaaS.3!K91</f>
        <v>-7.4999999999999997E-2</v>
      </c>
      <c r="K119" s="30">
        <f>BaaS.3!L91</f>
        <v>-7.4999999999999997E-2</v>
      </c>
      <c r="L119" s="30">
        <f>BaaS.3!M91</f>
        <v>-7.4999999999999997E-2</v>
      </c>
      <c r="M119" s="30">
        <f>BaaS.3!N91</f>
        <v>-7.4999999999999997E-2</v>
      </c>
      <c r="N119" s="30">
        <f>BaaS.3!O91</f>
        <v>-8.7500000000000008E-2</v>
      </c>
      <c r="O119" s="30">
        <f>BaaS.3!P91</f>
        <v>-9.9999999999999992E-2</v>
      </c>
      <c r="P119" s="30">
        <f>BaaS.3!Q91</f>
        <v>-9.9999999999999992E-2</v>
      </c>
      <c r="Q119" s="30">
        <f>BaaS.3!R91</f>
        <v>-9.9999999999999992E-2</v>
      </c>
      <c r="R119" s="30">
        <f>BaaS.3!S91</f>
        <v>-9.9999999999999992E-2</v>
      </c>
      <c r="S119" s="30">
        <f>BaaS.3!T91</f>
        <v>-9.9999999999999992E-2</v>
      </c>
      <c r="T119" s="30">
        <f>BaaS.3!U91</f>
        <v>-9.9999999999999992E-2</v>
      </c>
      <c r="U119" s="30">
        <f>BaaS.3!V91</f>
        <v>-9.9999999999999992E-2</v>
      </c>
      <c r="V119" s="30">
        <f>BaaS.3!W91</f>
        <v>-9.9999999999999992E-2</v>
      </c>
      <c r="W119" s="30">
        <f>BaaS.3!X91</f>
        <v>-9.9999999999999992E-2</v>
      </c>
      <c r="X119" s="30">
        <f>BaaS.3!Y91</f>
        <v>-9.9999999999999992E-2</v>
      </c>
      <c r="Y119" s="30">
        <f>BaaS.3!Z91</f>
        <v>-9.9999999999999992E-2</v>
      </c>
      <c r="Z119" s="30">
        <f>BaaS.3!AA91</f>
        <v>-9.9999999999999992E-2</v>
      </c>
      <c r="AA119" s="30">
        <f>BaaS.3!AB91</f>
        <v>-9.9999999999999992E-2</v>
      </c>
      <c r="AB119" s="30">
        <f>BaaS.3!AC91</f>
        <v>-9.9999999999999992E-2</v>
      </c>
      <c r="AC119" s="30">
        <f>BaaS.3!AD91</f>
        <v>-9.9999999999999992E-2</v>
      </c>
      <c r="AD119" s="30">
        <f>BaaS.3!AE91</f>
        <v>-9.9999999999999992E-2</v>
      </c>
      <c r="AE119" s="30">
        <f>BaaS.3!AF91</f>
        <v>-9.9999999999999992E-2</v>
      </c>
      <c r="AF119" s="30">
        <f>BaaS.3!AG91</f>
        <v>-9.9999999999999992E-2</v>
      </c>
      <c r="AG119" s="30">
        <f>BaaS.3!AH91</f>
        <v>-9.9999999999999992E-2</v>
      </c>
      <c r="AH119" s="30">
        <f>BaaS.3!AI91</f>
        <v>-9.9999999999999992E-2</v>
      </c>
      <c r="AI119" s="30">
        <f>BaaS.3!AJ91</f>
        <v>-9.9999999999999992E-2</v>
      </c>
      <c r="AJ119" s="30">
        <f>BaaS.3!AK91</f>
        <v>-9.9999999999999992E-2</v>
      </c>
      <c r="AK119" s="30">
        <f>BaaS.3!AL91</f>
        <v>-9.9999999999999992E-2</v>
      </c>
      <c r="AL119" s="30">
        <f>BaaS.3!AM91</f>
        <v>-9.9999999999999992E-2</v>
      </c>
      <c r="AN119" s="30">
        <f t="shared" si="111"/>
        <v>-0.66249999999999998</v>
      </c>
      <c r="AO119" s="30">
        <f t="shared" si="112"/>
        <v>-1.2</v>
      </c>
      <c r="AP119" s="30">
        <f t="shared" si="113"/>
        <v>-1.2</v>
      </c>
    </row>
    <row r="120" spans="2:42">
      <c r="B120" s="129" t="s">
        <v>335</v>
      </c>
      <c r="C120" s="30">
        <f>SUM(C121:C124)</f>
        <v>-135</v>
      </c>
      <c r="D120" s="30">
        <f t="shared" ref="D120:AL120" si="114">SUM(D121:D124)</f>
        <v>0</v>
      </c>
      <c r="E120" s="30">
        <f t="shared" si="114"/>
        <v>0</v>
      </c>
      <c r="F120" s="30">
        <f t="shared" si="114"/>
        <v>0</v>
      </c>
      <c r="G120" s="30">
        <f t="shared" si="114"/>
        <v>0</v>
      </c>
      <c r="H120" s="30">
        <f t="shared" si="114"/>
        <v>0</v>
      </c>
      <c r="I120" s="30">
        <f t="shared" si="114"/>
        <v>0</v>
      </c>
      <c r="J120" s="30">
        <f t="shared" si="114"/>
        <v>0</v>
      </c>
      <c r="K120" s="30">
        <f t="shared" si="114"/>
        <v>0</v>
      </c>
      <c r="L120" s="30">
        <f t="shared" si="114"/>
        <v>0</v>
      </c>
      <c r="M120" s="30">
        <f t="shared" si="114"/>
        <v>0</v>
      </c>
      <c r="N120" s="30">
        <f t="shared" si="114"/>
        <v>0</v>
      </c>
      <c r="O120" s="30">
        <f t="shared" si="114"/>
        <v>-7.083333333333333</v>
      </c>
      <c r="P120" s="30">
        <f t="shared" si="114"/>
        <v>-7.083333333333333</v>
      </c>
      <c r="Q120" s="30">
        <f t="shared" si="114"/>
        <v>-35.416666666666664</v>
      </c>
      <c r="R120" s="30">
        <f t="shared" si="114"/>
        <v>-35.416666666666664</v>
      </c>
      <c r="S120" s="30">
        <f t="shared" si="114"/>
        <v>-35.416666666666664</v>
      </c>
      <c r="T120" s="30">
        <f t="shared" si="114"/>
        <v>-35.416666666666664</v>
      </c>
      <c r="U120" s="30">
        <f t="shared" si="114"/>
        <v>-35.416666666666664</v>
      </c>
      <c r="V120" s="30">
        <f t="shared" si="114"/>
        <v>-35.416666666666664</v>
      </c>
      <c r="W120" s="30">
        <f t="shared" si="114"/>
        <v>-35.416666666666664</v>
      </c>
      <c r="X120" s="30">
        <f t="shared" si="114"/>
        <v>-35.416666666666664</v>
      </c>
      <c r="Y120" s="30">
        <f t="shared" si="114"/>
        <v>-35.416666666666664</v>
      </c>
      <c r="Z120" s="30">
        <f t="shared" si="114"/>
        <v>-35.416666666666664</v>
      </c>
      <c r="AA120" s="30">
        <f t="shared" si="114"/>
        <v>-35.416666666666664</v>
      </c>
      <c r="AB120" s="30">
        <f t="shared" si="114"/>
        <v>-35.416666666666664</v>
      </c>
      <c r="AC120" s="30">
        <f t="shared" si="114"/>
        <v>-35.416666666666664</v>
      </c>
      <c r="AD120" s="30">
        <f t="shared" si="114"/>
        <v>-35.416666666666664</v>
      </c>
      <c r="AE120" s="30">
        <f t="shared" si="114"/>
        <v>-35.416666666666664</v>
      </c>
      <c r="AF120" s="30">
        <f t="shared" si="114"/>
        <v>-35.416666666666664</v>
      </c>
      <c r="AG120" s="30">
        <f t="shared" si="114"/>
        <v>-35.416666666666664</v>
      </c>
      <c r="AH120" s="30">
        <f t="shared" si="114"/>
        <v>-35.416666666666664</v>
      </c>
      <c r="AI120" s="30">
        <f t="shared" si="114"/>
        <v>-35.416666666666664</v>
      </c>
      <c r="AJ120" s="30">
        <f t="shared" si="114"/>
        <v>-35.416666666666664</v>
      </c>
      <c r="AK120" s="30">
        <f t="shared" si="114"/>
        <v>-35.416666666666664</v>
      </c>
      <c r="AL120" s="30">
        <f t="shared" si="114"/>
        <v>-35.416666666666664</v>
      </c>
      <c r="AN120" s="30">
        <f t="shared" si="111"/>
        <v>-135</v>
      </c>
      <c r="AO120" s="30">
        <f t="shared" si="112"/>
        <v>-368.33333333333337</v>
      </c>
      <c r="AP120" s="30">
        <f t="shared" si="113"/>
        <v>-425.00000000000006</v>
      </c>
    </row>
    <row r="121" spans="2:42" ht="13.8">
      <c r="B121" s="120" t="s">
        <v>272</v>
      </c>
      <c r="C121" s="30">
        <f>-'OPEX+CAPEX'!E46</f>
        <v>0</v>
      </c>
      <c r="D121" s="30">
        <f>-'OPEX+CAPEX'!F46</f>
        <v>0</v>
      </c>
      <c r="E121" s="30">
        <f>-'OPEX+CAPEX'!G46</f>
        <v>0</v>
      </c>
      <c r="F121" s="30">
        <f>-'OPEX+CAPEX'!H46</f>
        <v>0</v>
      </c>
      <c r="G121" s="30">
        <f>-'OPEX+CAPEX'!I46</f>
        <v>0</v>
      </c>
      <c r="H121" s="30">
        <f>-'OPEX+CAPEX'!J46</f>
        <v>0</v>
      </c>
      <c r="I121" s="30">
        <f>-'OPEX+CAPEX'!K46</f>
        <v>0</v>
      </c>
      <c r="J121" s="30">
        <f>-'OPEX+CAPEX'!L46</f>
        <v>0</v>
      </c>
      <c r="K121" s="30">
        <f>-'OPEX+CAPEX'!M46</f>
        <v>0</v>
      </c>
      <c r="L121" s="30">
        <f>-'OPEX+CAPEX'!N46</f>
        <v>0</v>
      </c>
      <c r="M121" s="30">
        <f>-'OPEX+CAPEX'!O46</f>
        <v>0</v>
      </c>
      <c r="N121" s="30">
        <f>-'OPEX+CAPEX'!P46</f>
        <v>0</v>
      </c>
      <c r="O121" s="30">
        <f>-'OPEX+CAPEX'!Q46</f>
        <v>0</v>
      </c>
      <c r="P121" s="30">
        <f>-'OPEX+CAPEX'!R46</f>
        <v>0</v>
      </c>
      <c r="Q121" s="30">
        <f>-'OPEX+CAPEX'!S46</f>
        <v>-14.166666666666666</v>
      </c>
      <c r="R121" s="30">
        <f>-'OPEX+CAPEX'!T46</f>
        <v>-14.166666666666666</v>
      </c>
      <c r="S121" s="30">
        <f>-'OPEX+CAPEX'!U46</f>
        <v>-14.166666666666666</v>
      </c>
      <c r="T121" s="30">
        <f>-'OPEX+CAPEX'!V46</f>
        <v>-14.166666666666666</v>
      </c>
      <c r="U121" s="30">
        <f>-'OPEX+CAPEX'!W46</f>
        <v>-14.166666666666666</v>
      </c>
      <c r="V121" s="30">
        <f>-'OPEX+CAPEX'!X46</f>
        <v>-14.166666666666666</v>
      </c>
      <c r="W121" s="30">
        <f>-'OPEX+CAPEX'!Y46</f>
        <v>-14.166666666666666</v>
      </c>
      <c r="X121" s="30">
        <f>-'OPEX+CAPEX'!Z46</f>
        <v>-14.166666666666666</v>
      </c>
      <c r="Y121" s="30">
        <f>-'OPEX+CAPEX'!AA46</f>
        <v>-14.166666666666666</v>
      </c>
      <c r="Z121" s="30">
        <f>-'OPEX+CAPEX'!AB46</f>
        <v>-14.166666666666666</v>
      </c>
      <c r="AA121" s="30">
        <f>-'OPEX+CAPEX'!AC46</f>
        <v>-14.166666666666666</v>
      </c>
      <c r="AB121" s="30">
        <f>-'OPEX+CAPEX'!AD46</f>
        <v>-14.166666666666666</v>
      </c>
      <c r="AC121" s="30">
        <f>-'OPEX+CAPEX'!AE46</f>
        <v>-14.166666666666666</v>
      </c>
      <c r="AD121" s="30">
        <f>-'OPEX+CAPEX'!AF46</f>
        <v>-14.166666666666666</v>
      </c>
      <c r="AE121" s="30">
        <f>-'OPEX+CAPEX'!AG46</f>
        <v>-14.166666666666666</v>
      </c>
      <c r="AF121" s="30">
        <f>-'OPEX+CAPEX'!AH46</f>
        <v>-14.166666666666666</v>
      </c>
      <c r="AG121" s="30">
        <f>-'OPEX+CAPEX'!AI46</f>
        <v>-14.166666666666666</v>
      </c>
      <c r="AH121" s="30">
        <f>-'OPEX+CAPEX'!AJ46</f>
        <v>-14.166666666666666</v>
      </c>
      <c r="AI121" s="30">
        <f>-'OPEX+CAPEX'!AK46</f>
        <v>-14.166666666666666</v>
      </c>
      <c r="AJ121" s="30">
        <f>-'OPEX+CAPEX'!AL46</f>
        <v>-14.166666666666666</v>
      </c>
      <c r="AK121" s="30">
        <f>-'OPEX+CAPEX'!AM46</f>
        <v>-14.166666666666666</v>
      </c>
      <c r="AL121" s="30">
        <f>-'OPEX+CAPEX'!AN46</f>
        <v>-14.166666666666666</v>
      </c>
      <c r="AN121" s="30">
        <f t="shared" ref="AN121:AN124" si="115">SUM(C121:N121)</f>
        <v>0</v>
      </c>
      <c r="AO121" s="30">
        <f t="shared" ref="AO121:AO124" si="116">SUM(O121:Z121)</f>
        <v>-141.66666666666669</v>
      </c>
      <c r="AP121" s="30">
        <f t="shared" ref="AP121:AP124" si="117">SUM(AA121:AL121)</f>
        <v>-170</v>
      </c>
    </row>
    <row r="122" spans="2:42" ht="13.8">
      <c r="B122" s="120" t="s">
        <v>134</v>
      </c>
      <c r="C122" s="30">
        <f>-'OPEX+CAPEX'!E53</f>
        <v>0</v>
      </c>
      <c r="D122" s="30">
        <f>-'OPEX+CAPEX'!F53</f>
        <v>0</v>
      </c>
      <c r="E122" s="30">
        <f>-'OPEX+CAPEX'!G53</f>
        <v>0</v>
      </c>
      <c r="F122" s="30">
        <f>-'OPEX+CAPEX'!H53</f>
        <v>0</v>
      </c>
      <c r="G122" s="30">
        <f>-'OPEX+CAPEX'!I53</f>
        <v>0</v>
      </c>
      <c r="H122" s="30">
        <f>-'OPEX+CAPEX'!J53</f>
        <v>0</v>
      </c>
      <c r="I122" s="30">
        <f>-'OPEX+CAPEX'!K53</f>
        <v>0</v>
      </c>
      <c r="J122" s="30">
        <f>-'OPEX+CAPEX'!L53</f>
        <v>0</v>
      </c>
      <c r="K122" s="30">
        <f>-'OPEX+CAPEX'!M53</f>
        <v>0</v>
      </c>
      <c r="L122" s="30">
        <f>-'OPEX+CAPEX'!N53</f>
        <v>0</v>
      </c>
      <c r="M122" s="30">
        <f>-'OPEX+CAPEX'!O53</f>
        <v>0</v>
      </c>
      <c r="N122" s="30">
        <f>-'OPEX+CAPEX'!P53</f>
        <v>0</v>
      </c>
      <c r="O122" s="30">
        <f>-'OPEX+CAPEX'!Q53</f>
        <v>-7.083333333333333</v>
      </c>
      <c r="P122" s="30">
        <f>-'OPEX+CAPEX'!R53</f>
        <v>-7.083333333333333</v>
      </c>
      <c r="Q122" s="30">
        <f>-'OPEX+CAPEX'!S53</f>
        <v>-7.083333333333333</v>
      </c>
      <c r="R122" s="30">
        <f>-'OPEX+CAPEX'!T53</f>
        <v>-7.083333333333333</v>
      </c>
      <c r="S122" s="30">
        <f>-'OPEX+CAPEX'!U53</f>
        <v>-7.083333333333333</v>
      </c>
      <c r="T122" s="30">
        <f>-'OPEX+CAPEX'!V53</f>
        <v>-7.083333333333333</v>
      </c>
      <c r="U122" s="30">
        <f>-'OPEX+CAPEX'!W53</f>
        <v>-7.083333333333333</v>
      </c>
      <c r="V122" s="30">
        <f>-'OPEX+CAPEX'!X53</f>
        <v>-7.083333333333333</v>
      </c>
      <c r="W122" s="30">
        <f>-'OPEX+CAPEX'!Y53</f>
        <v>-7.083333333333333</v>
      </c>
      <c r="X122" s="30">
        <f>-'OPEX+CAPEX'!Z53</f>
        <v>-7.083333333333333</v>
      </c>
      <c r="Y122" s="30">
        <f>-'OPEX+CAPEX'!AA53</f>
        <v>-7.083333333333333</v>
      </c>
      <c r="Z122" s="30">
        <f>-'OPEX+CAPEX'!AB53</f>
        <v>-7.083333333333333</v>
      </c>
      <c r="AA122" s="30">
        <f>-'OPEX+CAPEX'!AC53</f>
        <v>-7.083333333333333</v>
      </c>
      <c r="AB122" s="30">
        <f>-'OPEX+CAPEX'!AD53</f>
        <v>-7.083333333333333</v>
      </c>
      <c r="AC122" s="30">
        <f>-'OPEX+CAPEX'!AE53</f>
        <v>-7.083333333333333</v>
      </c>
      <c r="AD122" s="30">
        <f>-'OPEX+CAPEX'!AF53</f>
        <v>-7.083333333333333</v>
      </c>
      <c r="AE122" s="30">
        <f>-'OPEX+CAPEX'!AG53</f>
        <v>-7.083333333333333</v>
      </c>
      <c r="AF122" s="30">
        <f>-'OPEX+CAPEX'!AH53</f>
        <v>-7.083333333333333</v>
      </c>
      <c r="AG122" s="30">
        <f>-'OPEX+CAPEX'!AI53</f>
        <v>-7.083333333333333</v>
      </c>
      <c r="AH122" s="30">
        <f>-'OPEX+CAPEX'!AJ53</f>
        <v>-7.083333333333333</v>
      </c>
      <c r="AI122" s="30">
        <f>-'OPEX+CAPEX'!AK53</f>
        <v>-7.083333333333333</v>
      </c>
      <c r="AJ122" s="30">
        <f>-'OPEX+CAPEX'!AL53</f>
        <v>-7.083333333333333</v>
      </c>
      <c r="AK122" s="30">
        <f>-'OPEX+CAPEX'!AM53</f>
        <v>-7.083333333333333</v>
      </c>
      <c r="AL122" s="30">
        <f>-'OPEX+CAPEX'!AN53</f>
        <v>-7.083333333333333</v>
      </c>
      <c r="AN122" s="30">
        <f t="shared" si="115"/>
        <v>0</v>
      </c>
      <c r="AO122" s="30">
        <f t="shared" si="116"/>
        <v>-85</v>
      </c>
      <c r="AP122" s="30">
        <f t="shared" si="117"/>
        <v>-85</v>
      </c>
    </row>
    <row r="123" spans="2:42" ht="13.8">
      <c r="B123" s="120" t="s">
        <v>135</v>
      </c>
      <c r="C123" s="30">
        <f>-'OPEX+CAPEX'!E65</f>
        <v>-135</v>
      </c>
      <c r="D123" s="30">
        <f>-'OPEX+CAPEX'!F65</f>
        <v>0</v>
      </c>
      <c r="E123" s="30">
        <f>-'OPEX+CAPEX'!G65</f>
        <v>0</v>
      </c>
      <c r="F123" s="30">
        <f>-'OPEX+CAPEX'!H65</f>
        <v>0</v>
      </c>
      <c r="G123" s="30">
        <f>-'OPEX+CAPEX'!I65</f>
        <v>0</v>
      </c>
      <c r="H123" s="30">
        <f>-'OPEX+CAPEX'!J65</f>
        <v>0</v>
      </c>
      <c r="I123" s="30">
        <f>-'OPEX+CAPEX'!K65</f>
        <v>0</v>
      </c>
      <c r="J123" s="30">
        <f>-'OPEX+CAPEX'!L65</f>
        <v>0</v>
      </c>
      <c r="K123" s="30">
        <f>-'OPEX+CAPEX'!M65</f>
        <v>0</v>
      </c>
      <c r="L123" s="30">
        <f>-'OPEX+CAPEX'!N65</f>
        <v>0</v>
      </c>
      <c r="M123" s="30">
        <f>-'OPEX+CAPEX'!O65</f>
        <v>0</v>
      </c>
      <c r="N123" s="30">
        <f>-'OPEX+CAPEX'!P65</f>
        <v>0</v>
      </c>
      <c r="O123" s="30">
        <f>-'OPEX+CAPEX'!Q65</f>
        <v>0</v>
      </c>
      <c r="P123" s="30">
        <f>-'OPEX+CAPEX'!R65</f>
        <v>0</v>
      </c>
      <c r="Q123" s="30">
        <f>-'OPEX+CAPEX'!S65</f>
        <v>0</v>
      </c>
      <c r="R123" s="30">
        <f>-'OPEX+CAPEX'!T65</f>
        <v>0</v>
      </c>
      <c r="S123" s="30">
        <f>-'OPEX+CAPEX'!U65</f>
        <v>0</v>
      </c>
      <c r="T123" s="30">
        <f>-'OPEX+CAPEX'!V65</f>
        <v>0</v>
      </c>
      <c r="U123" s="30">
        <f>-'OPEX+CAPEX'!W65</f>
        <v>0</v>
      </c>
      <c r="V123" s="30">
        <f>-'OPEX+CAPEX'!X65</f>
        <v>0</v>
      </c>
      <c r="W123" s="30">
        <f>-'OPEX+CAPEX'!Y65</f>
        <v>0</v>
      </c>
      <c r="X123" s="30">
        <f>-'OPEX+CAPEX'!Z65</f>
        <v>0</v>
      </c>
      <c r="Y123" s="30">
        <f>-'OPEX+CAPEX'!AA65</f>
        <v>0</v>
      </c>
      <c r="Z123" s="30">
        <f>-'OPEX+CAPEX'!AB65</f>
        <v>0</v>
      </c>
      <c r="AA123" s="30">
        <f>-'OPEX+CAPEX'!AC65</f>
        <v>0</v>
      </c>
      <c r="AB123" s="30">
        <f>-'OPEX+CAPEX'!AD65</f>
        <v>0</v>
      </c>
      <c r="AC123" s="30">
        <f>-'OPEX+CAPEX'!AE65</f>
        <v>0</v>
      </c>
      <c r="AD123" s="30">
        <f>-'OPEX+CAPEX'!AF65</f>
        <v>0</v>
      </c>
      <c r="AE123" s="30">
        <f>-'OPEX+CAPEX'!AG65</f>
        <v>0</v>
      </c>
      <c r="AF123" s="30">
        <f>-'OPEX+CAPEX'!AH65</f>
        <v>0</v>
      </c>
      <c r="AG123" s="30">
        <f>-'OPEX+CAPEX'!AI65</f>
        <v>0</v>
      </c>
      <c r="AH123" s="30">
        <f>-'OPEX+CAPEX'!AJ65</f>
        <v>0</v>
      </c>
      <c r="AI123" s="30">
        <f>-'OPEX+CAPEX'!AK65</f>
        <v>0</v>
      </c>
      <c r="AJ123" s="30">
        <f>-'OPEX+CAPEX'!AL65</f>
        <v>0</v>
      </c>
      <c r="AK123" s="30">
        <f>-'OPEX+CAPEX'!AM65</f>
        <v>0</v>
      </c>
      <c r="AL123" s="30">
        <f>-'OPEX+CAPEX'!AN65</f>
        <v>0</v>
      </c>
      <c r="AN123" s="30">
        <f t="shared" si="115"/>
        <v>-135</v>
      </c>
      <c r="AO123" s="30">
        <f t="shared" si="116"/>
        <v>0</v>
      </c>
      <c r="AP123" s="30">
        <f t="shared" si="117"/>
        <v>0</v>
      </c>
    </row>
    <row r="124" spans="2:42" ht="13.8">
      <c r="B124" s="120" t="s">
        <v>209</v>
      </c>
      <c r="C124" s="30">
        <f>-'OPEX+CAPEX'!E83</f>
        <v>0</v>
      </c>
      <c r="D124" s="30">
        <f>-'OPEX+CAPEX'!F83</f>
        <v>0</v>
      </c>
      <c r="E124" s="30">
        <f>-'OPEX+CAPEX'!G83</f>
        <v>0</v>
      </c>
      <c r="F124" s="30">
        <f>-'OPEX+CAPEX'!H83</f>
        <v>0</v>
      </c>
      <c r="G124" s="30">
        <f>-'OPEX+CAPEX'!I83</f>
        <v>0</v>
      </c>
      <c r="H124" s="30">
        <f>-'OPEX+CAPEX'!J83</f>
        <v>0</v>
      </c>
      <c r="I124" s="30">
        <f>-'OPEX+CAPEX'!K83</f>
        <v>0</v>
      </c>
      <c r="J124" s="30">
        <f>-'OPEX+CAPEX'!L83</f>
        <v>0</v>
      </c>
      <c r="K124" s="30">
        <f>-'OPEX+CAPEX'!M83</f>
        <v>0</v>
      </c>
      <c r="L124" s="30">
        <f>-'OPEX+CAPEX'!N83</f>
        <v>0</v>
      </c>
      <c r="M124" s="30">
        <f>-'OPEX+CAPEX'!O83</f>
        <v>0</v>
      </c>
      <c r="N124" s="30">
        <f>-'OPEX+CAPEX'!P83</f>
        <v>0</v>
      </c>
      <c r="O124" s="30">
        <f>-'OPEX+CAPEX'!Q83</f>
        <v>0</v>
      </c>
      <c r="P124" s="30">
        <f>-'OPEX+CAPEX'!R83</f>
        <v>0</v>
      </c>
      <c r="Q124" s="30">
        <f>-'OPEX+CAPEX'!S83</f>
        <v>-14.166666666666666</v>
      </c>
      <c r="R124" s="30">
        <f>-'OPEX+CAPEX'!T83</f>
        <v>-14.166666666666666</v>
      </c>
      <c r="S124" s="30">
        <f>-'OPEX+CAPEX'!U83</f>
        <v>-14.166666666666666</v>
      </c>
      <c r="T124" s="30">
        <f>-'OPEX+CAPEX'!V83</f>
        <v>-14.166666666666666</v>
      </c>
      <c r="U124" s="30">
        <f>-'OPEX+CAPEX'!W83</f>
        <v>-14.166666666666666</v>
      </c>
      <c r="V124" s="30">
        <f>-'OPEX+CAPEX'!X83</f>
        <v>-14.166666666666666</v>
      </c>
      <c r="W124" s="30">
        <f>-'OPEX+CAPEX'!Y83</f>
        <v>-14.166666666666666</v>
      </c>
      <c r="X124" s="30">
        <f>-'OPEX+CAPEX'!Z83</f>
        <v>-14.166666666666666</v>
      </c>
      <c r="Y124" s="30">
        <f>-'OPEX+CAPEX'!AA83</f>
        <v>-14.166666666666666</v>
      </c>
      <c r="Z124" s="30">
        <f>-'OPEX+CAPEX'!AB83</f>
        <v>-14.166666666666666</v>
      </c>
      <c r="AA124" s="30">
        <f>-'OPEX+CAPEX'!AC83</f>
        <v>-14.166666666666666</v>
      </c>
      <c r="AB124" s="30">
        <f>-'OPEX+CAPEX'!AD83</f>
        <v>-14.166666666666666</v>
      </c>
      <c r="AC124" s="30">
        <f>-'OPEX+CAPEX'!AE83</f>
        <v>-14.166666666666666</v>
      </c>
      <c r="AD124" s="30">
        <f>-'OPEX+CAPEX'!AF83</f>
        <v>-14.166666666666666</v>
      </c>
      <c r="AE124" s="30">
        <f>-'OPEX+CAPEX'!AG83</f>
        <v>-14.166666666666666</v>
      </c>
      <c r="AF124" s="30">
        <f>-'OPEX+CAPEX'!AH83</f>
        <v>-14.166666666666666</v>
      </c>
      <c r="AG124" s="30">
        <f>-'OPEX+CAPEX'!AI83</f>
        <v>-14.166666666666666</v>
      </c>
      <c r="AH124" s="30">
        <f>-'OPEX+CAPEX'!AJ83</f>
        <v>-14.166666666666666</v>
      </c>
      <c r="AI124" s="30">
        <f>-'OPEX+CAPEX'!AK83</f>
        <v>-14.166666666666666</v>
      </c>
      <c r="AJ124" s="30">
        <f>-'OPEX+CAPEX'!AL83</f>
        <v>-14.166666666666666</v>
      </c>
      <c r="AK124" s="30">
        <f>-'OPEX+CAPEX'!AM83</f>
        <v>-14.166666666666666</v>
      </c>
      <c r="AL124" s="30">
        <f>-'OPEX+CAPEX'!AN83</f>
        <v>-14.166666666666666</v>
      </c>
      <c r="AN124" s="30">
        <f t="shared" si="115"/>
        <v>0</v>
      </c>
      <c r="AO124" s="30">
        <f t="shared" si="116"/>
        <v>-141.66666666666669</v>
      </c>
      <c r="AP124" s="30">
        <f t="shared" si="117"/>
        <v>-170</v>
      </c>
    </row>
    <row r="125" spans="2:42" ht="13.8">
      <c r="B125" s="12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N125" s="30">
        <f t="shared" ref="AN125" si="118">SUM(C125:N125)</f>
        <v>0</v>
      </c>
      <c r="AO125" s="30">
        <f t="shared" ref="AO125" si="119">SUM(O125:Z125)</f>
        <v>0</v>
      </c>
      <c r="AP125" s="30">
        <f t="shared" ref="AP125" si="120">SUM(AA125:AL125)</f>
        <v>0</v>
      </c>
    </row>
    <row r="126" spans="2:42" ht="12">
      <c r="B126" s="24" t="s">
        <v>53</v>
      </c>
      <c r="C126" s="30">
        <f t="shared" ref="C126:AL126" si="121">SUM(C35,C83,C85)</f>
        <v>23055.210427754431</v>
      </c>
      <c r="D126" s="30">
        <f t="shared" si="121"/>
        <v>25738.371936332864</v>
      </c>
      <c r="E126" s="30">
        <f t="shared" si="121"/>
        <v>27466.374001084045</v>
      </c>
      <c r="F126" s="30">
        <f t="shared" si="121"/>
        <v>29643.921104262008</v>
      </c>
      <c r="G126" s="30">
        <f t="shared" si="121"/>
        <v>31066.680471119555</v>
      </c>
      <c r="H126" s="30">
        <f t="shared" si="121"/>
        <v>32724.130164795948</v>
      </c>
      <c r="I126" s="30">
        <f t="shared" si="121"/>
        <v>34512.140259539323</v>
      </c>
      <c r="J126" s="30">
        <f t="shared" si="121"/>
        <v>36678.196740060062</v>
      </c>
      <c r="K126" s="30">
        <f t="shared" si="121"/>
        <v>39038.455144499232</v>
      </c>
      <c r="L126" s="30">
        <f t="shared" si="121"/>
        <v>42162.016073841995</v>
      </c>
      <c r="M126" s="30">
        <f t="shared" si="121"/>
        <v>45466.21643612042</v>
      </c>
      <c r="N126" s="30">
        <f t="shared" si="121"/>
        <v>49872.277048654039</v>
      </c>
      <c r="O126" s="30">
        <f t="shared" si="121"/>
        <v>50544.092700766669</v>
      </c>
      <c r="P126" s="30">
        <f t="shared" si="121"/>
        <v>50885.821901031799</v>
      </c>
      <c r="Q126" s="30">
        <f t="shared" si="121"/>
        <v>51167.386317094672</v>
      </c>
      <c r="R126" s="30">
        <f t="shared" si="121"/>
        <v>51454.898209622879</v>
      </c>
      <c r="S126" s="30">
        <f t="shared" si="121"/>
        <v>51720.594119763868</v>
      </c>
      <c r="T126" s="30">
        <f t="shared" si="121"/>
        <v>51966.126291816938</v>
      </c>
      <c r="U126" s="30">
        <f t="shared" si="121"/>
        <v>52194.339648915615</v>
      </c>
      <c r="V126" s="30">
        <f t="shared" si="121"/>
        <v>52406.962307101006</v>
      </c>
      <c r="W126" s="30">
        <f t="shared" si="121"/>
        <v>52605.475316718046</v>
      </c>
      <c r="X126" s="30">
        <f t="shared" si="121"/>
        <v>52791.168228659684</v>
      </c>
      <c r="Y126" s="30">
        <f t="shared" si="121"/>
        <v>52965.178322627151</v>
      </c>
      <c r="Z126" s="30">
        <f t="shared" si="121"/>
        <v>53128.518765126253</v>
      </c>
      <c r="AA126" s="30">
        <f t="shared" si="121"/>
        <v>53282.099223579746</v>
      </c>
      <c r="AB126" s="30">
        <f t="shared" si="121"/>
        <v>53426.741300852853</v>
      </c>
      <c r="AC126" s="30">
        <f t="shared" si="121"/>
        <v>53563.190378671417</v>
      </c>
      <c r="AD126" s="30">
        <f t="shared" si="121"/>
        <v>53692.1249401971</v>
      </c>
      <c r="AE126" s="30">
        <f t="shared" si="121"/>
        <v>53814.164095624015</v>
      </c>
      <c r="AF126" s="30">
        <f t="shared" si="121"/>
        <v>53929.873802881775</v>
      </c>
      <c r="AG126" s="30">
        <f t="shared" si="121"/>
        <v>54039.772120232257</v>
      </c>
      <c r="AH126" s="30">
        <f t="shared" si="121"/>
        <v>54144.333723302763</v>
      </c>
      <c r="AI126" s="30">
        <f t="shared" si="121"/>
        <v>54243.99384894489</v>
      </c>
      <c r="AJ126" s="30">
        <f t="shared" si="121"/>
        <v>54339.151780939479</v>
      </c>
      <c r="AK126" s="30">
        <f t="shared" si="121"/>
        <v>54430.173960434593</v>
      </c>
      <c r="AL126" s="30">
        <f t="shared" si="121"/>
        <v>54517.396782075404</v>
      </c>
      <c r="AN126" s="30">
        <f t="shared" si="75"/>
        <v>417423.98980806395</v>
      </c>
      <c r="AO126" s="30">
        <f t="shared" si="76"/>
        <v>623830.56212924456</v>
      </c>
      <c r="AP126" s="30">
        <f t="shared" si="77"/>
        <v>647423.01595773629</v>
      </c>
    </row>
    <row r="127" spans="2:42" ht="12">
      <c r="B127" s="24" t="s">
        <v>54</v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N127" s="30">
        <f t="shared" si="75"/>
        <v>0</v>
      </c>
      <c r="AO127" s="30">
        <f t="shared" si="76"/>
        <v>0</v>
      </c>
      <c r="AP127" s="30">
        <f t="shared" si="77"/>
        <v>0</v>
      </c>
    </row>
    <row r="128" spans="2:42" ht="12">
      <c r="B128" s="24" t="s">
        <v>55</v>
      </c>
      <c r="C128" s="25">
        <f>SUM(C126:C127)</f>
        <v>23055.210427754431</v>
      </c>
      <c r="D128" s="25">
        <f>SUM(D126:D127)</f>
        <v>25738.371936332864</v>
      </c>
      <c r="E128" s="25">
        <f t="shared" ref="E128:AK128" si="122">SUM(E126:E127)</f>
        <v>27466.374001084045</v>
      </c>
      <c r="F128" s="25">
        <f t="shared" si="122"/>
        <v>29643.921104262008</v>
      </c>
      <c r="G128" s="25">
        <f t="shared" si="122"/>
        <v>31066.680471119555</v>
      </c>
      <c r="H128" s="25">
        <f t="shared" si="122"/>
        <v>32724.130164795948</v>
      </c>
      <c r="I128" s="25">
        <f t="shared" si="122"/>
        <v>34512.140259539323</v>
      </c>
      <c r="J128" s="25">
        <f t="shared" si="122"/>
        <v>36678.196740060062</v>
      </c>
      <c r="K128" s="25">
        <f t="shared" si="122"/>
        <v>39038.455144499232</v>
      </c>
      <c r="L128" s="25">
        <f t="shared" si="122"/>
        <v>42162.016073841995</v>
      </c>
      <c r="M128" s="25">
        <f t="shared" si="122"/>
        <v>45466.21643612042</v>
      </c>
      <c r="N128" s="25">
        <f t="shared" si="122"/>
        <v>49872.277048654039</v>
      </c>
      <c r="O128" s="25">
        <f t="shared" si="122"/>
        <v>50544.092700766669</v>
      </c>
      <c r="P128" s="25">
        <f t="shared" si="122"/>
        <v>50885.821901031799</v>
      </c>
      <c r="Q128" s="25">
        <f t="shared" si="122"/>
        <v>51167.386317094672</v>
      </c>
      <c r="R128" s="25">
        <f t="shared" si="122"/>
        <v>51454.898209622879</v>
      </c>
      <c r="S128" s="25">
        <f t="shared" si="122"/>
        <v>51720.594119763868</v>
      </c>
      <c r="T128" s="25">
        <f t="shared" si="122"/>
        <v>51966.126291816938</v>
      </c>
      <c r="U128" s="25">
        <f t="shared" si="122"/>
        <v>52194.339648915615</v>
      </c>
      <c r="V128" s="25">
        <f t="shared" si="122"/>
        <v>52406.962307101006</v>
      </c>
      <c r="W128" s="25">
        <f t="shared" si="122"/>
        <v>52605.475316718046</v>
      </c>
      <c r="X128" s="25">
        <f t="shared" si="122"/>
        <v>52791.168228659684</v>
      </c>
      <c r="Y128" s="25">
        <f>SUM(Y126:Y127)</f>
        <v>52965.178322627151</v>
      </c>
      <c r="Z128" s="25">
        <f t="shared" si="122"/>
        <v>53128.518765126253</v>
      </c>
      <c r="AA128" s="25">
        <f t="shared" si="122"/>
        <v>53282.099223579746</v>
      </c>
      <c r="AB128" s="25">
        <f t="shared" si="122"/>
        <v>53426.741300852853</v>
      </c>
      <c r="AC128" s="25">
        <f t="shared" si="122"/>
        <v>53563.190378671417</v>
      </c>
      <c r="AD128" s="25">
        <f t="shared" si="122"/>
        <v>53692.1249401971</v>
      </c>
      <c r="AE128" s="25">
        <f t="shared" si="122"/>
        <v>53814.164095624015</v>
      </c>
      <c r="AF128" s="25">
        <f t="shared" si="122"/>
        <v>53929.873802881775</v>
      </c>
      <c r="AG128" s="25">
        <f t="shared" si="122"/>
        <v>54039.772120232257</v>
      </c>
      <c r="AH128" s="25">
        <f t="shared" si="122"/>
        <v>54144.333723302763</v>
      </c>
      <c r="AI128" s="25">
        <f t="shared" si="122"/>
        <v>54243.99384894489</v>
      </c>
      <c r="AJ128" s="25">
        <f t="shared" si="122"/>
        <v>54339.151780939479</v>
      </c>
      <c r="AK128" s="25">
        <f t="shared" si="122"/>
        <v>54430.173960434593</v>
      </c>
      <c r="AL128" s="25">
        <f>SUM(AL126:AL127)</f>
        <v>54517.396782075404</v>
      </c>
      <c r="AN128" s="25">
        <f t="shared" si="75"/>
        <v>417423.98980806395</v>
      </c>
      <c r="AO128" s="25">
        <f t="shared" si="76"/>
        <v>623830.56212924456</v>
      </c>
      <c r="AP128" s="25">
        <f t="shared" si="77"/>
        <v>647423.01595773629</v>
      </c>
    </row>
    <row r="129" spans="2:42" ht="13.8">
      <c r="B129" s="120" t="s">
        <v>96</v>
      </c>
      <c r="C129" s="30">
        <f>C9+C12+C30+C63+C87</f>
        <v>-381.45551470588236</v>
      </c>
      <c r="D129" s="30">
        <f t="shared" ref="D129:AL129" si="123">D9+D12+D30+D63+D87</f>
        <v>-226.59020220588243</v>
      </c>
      <c r="E129" s="30">
        <f t="shared" si="123"/>
        <v>-74.729817708333485</v>
      </c>
      <c r="F129" s="30">
        <f t="shared" si="123"/>
        <v>74.376049453635517</v>
      </c>
      <c r="G129" s="30">
        <f t="shared" si="123"/>
        <v>220.95694239132274</v>
      </c>
      <c r="H129" s="30">
        <f t="shared" si="123"/>
        <v>365.22327562341769</v>
      </c>
      <c r="I129" s="30">
        <f t="shared" si="123"/>
        <v>532.79829677244754</v>
      </c>
      <c r="J129" s="30">
        <f t="shared" si="123"/>
        <v>635.54799753160614</v>
      </c>
      <c r="K129" s="30">
        <f t="shared" si="123"/>
        <v>749.53625263926642</v>
      </c>
      <c r="L129" s="30">
        <f t="shared" si="123"/>
        <v>873.82651589971931</v>
      </c>
      <c r="M129" s="30">
        <f t="shared" si="123"/>
        <v>1007.5602866335669</v>
      </c>
      <c r="N129" s="30">
        <f t="shared" si="123"/>
        <v>1149.9506058846912</v>
      </c>
      <c r="O129" s="30">
        <f t="shared" si="123"/>
        <v>1351.1368299041046</v>
      </c>
      <c r="P129" s="30">
        <f t="shared" si="123"/>
        <v>1535.5575352552326</v>
      </c>
      <c r="Q129" s="30">
        <f t="shared" si="123"/>
        <v>1704.6098484937665</v>
      </c>
      <c r="R129" s="30">
        <f t="shared" si="123"/>
        <v>1859.5744689624244</v>
      </c>
      <c r="S129" s="30">
        <f t="shared" si="123"/>
        <v>2001.6253710586911</v>
      </c>
      <c r="T129" s="30">
        <f t="shared" si="123"/>
        <v>2131.8386979802726</v>
      </c>
      <c r="U129" s="30">
        <f t="shared" si="123"/>
        <v>2251.2009143250516</v>
      </c>
      <c r="V129" s="30">
        <f t="shared" si="123"/>
        <v>2360.6162793077683</v>
      </c>
      <c r="W129" s="30">
        <f t="shared" si="123"/>
        <v>2460.9136972085917</v>
      </c>
      <c r="X129" s="30">
        <f t="shared" si="123"/>
        <v>2552.8529969510141</v>
      </c>
      <c r="Y129" s="30">
        <f t="shared" si="123"/>
        <v>2637.1306883815655</v>
      </c>
      <c r="Z129" s="30">
        <f t="shared" si="123"/>
        <v>2714.3852388595737</v>
      </c>
      <c r="AA129" s="30">
        <f t="shared" si="123"/>
        <v>2785.2019101310757</v>
      </c>
      <c r="AB129" s="30">
        <f t="shared" si="123"/>
        <v>2850.1171921299579</v>
      </c>
      <c r="AC129" s="30">
        <f t="shared" si="123"/>
        <v>2909.6228672955999</v>
      </c>
      <c r="AD129" s="30">
        <f t="shared" si="123"/>
        <v>2964.1697361974389</v>
      </c>
      <c r="AE129" s="30">
        <f t="shared" si="123"/>
        <v>3014.1710326907873</v>
      </c>
      <c r="AF129" s="30">
        <f t="shared" si="123"/>
        <v>3060.0055544763582</v>
      </c>
      <c r="AG129" s="30">
        <f t="shared" si="123"/>
        <v>3102.0205327797976</v>
      </c>
      <c r="AH129" s="30">
        <f t="shared" si="123"/>
        <v>3140.5342628912881</v>
      </c>
      <c r="AI129" s="30">
        <f t="shared" si="123"/>
        <v>3175.8385154934826</v>
      </c>
      <c r="AJ129" s="30">
        <f t="shared" si="123"/>
        <v>3208.2007470454964</v>
      </c>
      <c r="AK129" s="30">
        <f t="shared" si="123"/>
        <v>3237.8661259681776</v>
      </c>
      <c r="AL129" s="30">
        <f t="shared" si="123"/>
        <v>3265.0593899806317</v>
      </c>
      <c r="AN129" s="30">
        <f t="shared" si="75"/>
        <v>4927.0006882095749</v>
      </c>
      <c r="AO129" s="30">
        <f t="shared" si="76"/>
        <v>25561.442566688056</v>
      </c>
      <c r="AP129" s="30">
        <f t="shared" si="77"/>
        <v>36712.807867080097</v>
      </c>
    </row>
    <row r="130" spans="2:42" ht="13.8">
      <c r="B130" s="120" t="s">
        <v>102</v>
      </c>
      <c r="C130" s="30">
        <f>C13+C31+C46+C64+C88</f>
        <v>-25.258088235294117</v>
      </c>
      <c r="D130" s="30">
        <f t="shared" ref="D130:AL130" si="124">D13+D31+D46+D64+D88</f>
        <v>-13.775398284313729</v>
      </c>
      <c r="E130" s="30">
        <f t="shared" si="124"/>
        <v>-5.5969771241830264</v>
      </c>
      <c r="F130" s="30">
        <f t="shared" si="124"/>
        <v>0.35072621641246471</v>
      </c>
      <c r="G130" s="30">
        <f t="shared" si="124"/>
        <v>4.7956288460803718</v>
      </c>
      <c r="H130" s="30">
        <f t="shared" si="124"/>
        <v>8.2298998426530634</v>
      </c>
      <c r="I130" s="30">
        <f t="shared" si="124"/>
        <v>12.295505123860217</v>
      </c>
      <c r="J130" s="30">
        <f t="shared" si="124"/>
        <v>12.390901419178491</v>
      </c>
      <c r="K130" s="30">
        <f t="shared" si="124"/>
        <v>13.34593189928</v>
      </c>
      <c r="L130" s="30">
        <f t="shared" si="124"/>
        <v>14.885583808224535</v>
      </c>
      <c r="M130" s="30">
        <f t="shared" si="124"/>
        <v>16.82198311372516</v>
      </c>
      <c r="N130" s="30">
        <f t="shared" si="124"/>
        <v>19.027399500215676</v>
      </c>
      <c r="O130" s="30">
        <f t="shared" si="124"/>
        <v>24.167040843281072</v>
      </c>
      <c r="P130" s="30">
        <f t="shared" si="124"/>
        <v>27.593468405324639</v>
      </c>
      <c r="Q130" s="30">
        <f t="shared" si="124"/>
        <v>29.877753446686977</v>
      </c>
      <c r="R130" s="30">
        <f t="shared" si="124"/>
        <v>31.400610140928546</v>
      </c>
      <c r="S130" s="30">
        <f t="shared" si="124"/>
        <v>32.415847937089673</v>
      </c>
      <c r="T130" s="30">
        <f t="shared" si="124"/>
        <v>33.092673134530358</v>
      </c>
      <c r="U130" s="30">
        <f t="shared" si="124"/>
        <v>33.543889932824158</v>
      </c>
      <c r="V130" s="30">
        <f t="shared" si="124"/>
        <v>33.844701131686719</v>
      </c>
      <c r="W130" s="30">
        <f t="shared" si="124"/>
        <v>34.04524193092842</v>
      </c>
      <c r="X130" s="30">
        <f t="shared" si="124"/>
        <v>34.178935797089508</v>
      </c>
      <c r="Y130" s="30">
        <f t="shared" si="124"/>
        <v>34.26806504119692</v>
      </c>
      <c r="Z130" s="30">
        <f t="shared" si="124"/>
        <v>34.327484537268568</v>
      </c>
      <c r="AA130" s="30">
        <f t="shared" si="124"/>
        <v>34.36709753464956</v>
      </c>
      <c r="AB130" s="30">
        <f t="shared" si="124"/>
        <v>34.393506199570368</v>
      </c>
      <c r="AC130" s="30">
        <f t="shared" si="124"/>
        <v>34.411111976184102</v>
      </c>
      <c r="AD130" s="30">
        <f t="shared" si="124"/>
        <v>34.422849160593415</v>
      </c>
      <c r="AE130" s="30">
        <f t="shared" si="124"/>
        <v>34.430673950199456</v>
      </c>
      <c r="AF130" s="30">
        <f t="shared" si="124"/>
        <v>34.435890476603596</v>
      </c>
      <c r="AG130" s="30">
        <f t="shared" si="124"/>
        <v>34.439368160872931</v>
      </c>
      <c r="AH130" s="30">
        <f t="shared" si="124"/>
        <v>34.44168661705254</v>
      </c>
      <c r="AI130" s="30">
        <f t="shared" si="124"/>
        <v>34.443232254505659</v>
      </c>
      <c r="AJ130" s="30">
        <f t="shared" si="124"/>
        <v>34.444262679474406</v>
      </c>
      <c r="AK130" s="30">
        <f t="shared" si="124"/>
        <v>34.444949629453482</v>
      </c>
      <c r="AL130" s="30">
        <f t="shared" si="124"/>
        <v>34.445407596106264</v>
      </c>
      <c r="AN130" s="30">
        <f t="shared" si="75"/>
        <v>57.513096125839098</v>
      </c>
      <c r="AO130" s="30">
        <f t="shared" si="76"/>
        <v>382.75571227883552</v>
      </c>
      <c r="AP130" s="30">
        <f t="shared" si="77"/>
        <v>413.12003623526584</v>
      </c>
    </row>
    <row r="131" spans="2:42" ht="13.8">
      <c r="B131" s="120" t="s">
        <v>103</v>
      </c>
      <c r="C131" s="30">
        <f>C14+C32+C47+C65+C89</f>
        <v>-96.630624999999995</v>
      </c>
      <c r="D131" s="30">
        <f t="shared" ref="D131:AL131" si="125">D14+D32+D47+D65+D89</f>
        <v>-39.72347549019608</v>
      </c>
      <c r="E131" s="30">
        <f t="shared" si="125"/>
        <v>0.29055637254900035</v>
      </c>
      <c r="F131" s="30">
        <f t="shared" si="125"/>
        <v>29.042509803921547</v>
      </c>
      <c r="G131" s="30">
        <f t="shared" si="125"/>
        <v>50.286410947712483</v>
      </c>
      <c r="H131" s="30">
        <f t="shared" si="125"/>
        <v>66.524943899782116</v>
      </c>
      <c r="I131" s="30">
        <f t="shared" si="125"/>
        <v>85.868606390704414</v>
      </c>
      <c r="J131" s="30">
        <f t="shared" si="125"/>
        <v>85.880298051319329</v>
      </c>
      <c r="K131" s="30">
        <f t="shared" si="125"/>
        <v>90.039956870814152</v>
      </c>
      <c r="L131" s="30">
        <f t="shared" si="125"/>
        <v>96.964927129562341</v>
      </c>
      <c r="M131" s="30">
        <f t="shared" si="125"/>
        <v>105.73343834781296</v>
      </c>
      <c r="N131" s="30">
        <f t="shared" si="125"/>
        <v>115.7309768723981</v>
      </c>
      <c r="O131" s="30">
        <f t="shared" si="125"/>
        <v>139.43195026787328</v>
      </c>
      <c r="P131" s="30">
        <f t="shared" si="125"/>
        <v>155.23259919819</v>
      </c>
      <c r="Q131" s="30">
        <f t="shared" si="125"/>
        <v>165.76636515173442</v>
      </c>
      <c r="R131" s="30">
        <f t="shared" si="125"/>
        <v>172.78887578743078</v>
      </c>
      <c r="S131" s="30">
        <f t="shared" si="125"/>
        <v>177.47054954456169</v>
      </c>
      <c r="T131" s="30">
        <f t="shared" si="125"/>
        <v>180.59166538264898</v>
      </c>
      <c r="U131" s="30">
        <f t="shared" si="125"/>
        <v>182.67240927470721</v>
      </c>
      <c r="V131" s="30">
        <f t="shared" si="125"/>
        <v>184.05957186941265</v>
      </c>
      <c r="W131" s="30">
        <f t="shared" si="125"/>
        <v>184.98434693254967</v>
      </c>
      <c r="X131" s="30">
        <f t="shared" si="125"/>
        <v>185.60086364130751</v>
      </c>
      <c r="Y131" s="30">
        <f t="shared" si="125"/>
        <v>186.0118747804795</v>
      </c>
      <c r="Z131" s="30">
        <f t="shared" si="125"/>
        <v>186.28588220659424</v>
      </c>
      <c r="AA131" s="30">
        <f t="shared" si="125"/>
        <v>186.46855382400386</v>
      </c>
      <c r="AB131" s="30">
        <f t="shared" si="125"/>
        <v>186.59033490227719</v>
      </c>
      <c r="AC131" s="30">
        <f t="shared" si="125"/>
        <v>186.67152228779256</v>
      </c>
      <c r="AD131" s="30">
        <f t="shared" si="125"/>
        <v>186.72564721146969</v>
      </c>
      <c r="AE131" s="30">
        <f t="shared" si="125"/>
        <v>186.76173049392088</v>
      </c>
      <c r="AF131" s="30">
        <f t="shared" si="125"/>
        <v>186.78578601555515</v>
      </c>
      <c r="AG131" s="30">
        <f t="shared" si="125"/>
        <v>186.80182302997784</v>
      </c>
      <c r="AH131" s="30">
        <f t="shared" si="125"/>
        <v>186.81251437292642</v>
      </c>
      <c r="AI131" s="30">
        <f t="shared" si="125"/>
        <v>186.81964193489219</v>
      </c>
      <c r="AJ131" s="30">
        <f t="shared" si="125"/>
        <v>186.82439364286932</v>
      </c>
      <c r="AK131" s="30">
        <f t="shared" si="125"/>
        <v>186.82756144818734</v>
      </c>
      <c r="AL131" s="30">
        <f t="shared" si="125"/>
        <v>186.82967331839941</v>
      </c>
      <c r="AN131" s="30">
        <f t="shared" si="75"/>
        <v>590.00852419638034</v>
      </c>
      <c r="AO131" s="30">
        <f t="shared" si="76"/>
        <v>2100.8969540374896</v>
      </c>
      <c r="AP131" s="30">
        <f t="shared" si="77"/>
        <v>2240.9191824822719</v>
      </c>
    </row>
    <row r="132" spans="2:42" ht="13.8">
      <c r="B132" s="120" t="s">
        <v>108</v>
      </c>
      <c r="C132" s="30">
        <f>C10+C15+C33+C66+C90</f>
        <v>-37.387977941176473</v>
      </c>
      <c r="D132" s="30">
        <f t="shared" ref="D132:AL132" si="126">D10+D15+D33+D66+D90</f>
        <v>-18.275840686274513</v>
      </c>
      <c r="E132" s="30">
        <f t="shared" si="126"/>
        <v>2.2766078431372456</v>
      </c>
      <c r="F132" s="30">
        <f t="shared" si="126"/>
        <v>24.269367647058825</v>
      </c>
      <c r="G132" s="30">
        <f t="shared" si="126"/>
        <v>47.702438725490197</v>
      </c>
      <c r="H132" s="30">
        <f t="shared" si="126"/>
        <v>72.575821078431346</v>
      </c>
      <c r="I132" s="30">
        <f t="shared" si="126"/>
        <v>101.38204656862743</v>
      </c>
      <c r="J132" s="30">
        <f t="shared" si="126"/>
        <v>125.20320833333328</v>
      </c>
      <c r="K132" s="30">
        <f t="shared" si="126"/>
        <v>151.90499264705883</v>
      </c>
      <c r="L132" s="30">
        <f t="shared" si="126"/>
        <v>181.48739950980394</v>
      </c>
      <c r="M132" s="30">
        <f t="shared" si="126"/>
        <v>213.95042892156857</v>
      </c>
      <c r="N132" s="30">
        <f t="shared" si="126"/>
        <v>249.29408088235292</v>
      </c>
      <c r="O132" s="30">
        <f t="shared" si="126"/>
        <v>292.50341911764701</v>
      </c>
      <c r="P132" s="30">
        <f t="shared" si="126"/>
        <v>335.71275735294108</v>
      </c>
      <c r="Q132" s="30">
        <f t="shared" si="126"/>
        <v>378.92209558823527</v>
      </c>
      <c r="R132" s="30">
        <f t="shared" si="126"/>
        <v>422.13143382352939</v>
      </c>
      <c r="S132" s="30">
        <f t="shared" si="126"/>
        <v>465.3407720588234</v>
      </c>
      <c r="T132" s="30">
        <f t="shared" si="126"/>
        <v>508.55011029411759</v>
      </c>
      <c r="U132" s="30">
        <f t="shared" si="126"/>
        <v>551.75944852941166</v>
      </c>
      <c r="V132" s="30">
        <f t="shared" si="126"/>
        <v>594.9687867647059</v>
      </c>
      <c r="W132" s="30">
        <f t="shared" si="126"/>
        <v>638.17812500000002</v>
      </c>
      <c r="X132" s="30">
        <f t="shared" si="126"/>
        <v>681.38746323529404</v>
      </c>
      <c r="Y132" s="30">
        <f t="shared" si="126"/>
        <v>724.59680147058816</v>
      </c>
      <c r="Z132" s="30">
        <f t="shared" si="126"/>
        <v>767.80613970588217</v>
      </c>
      <c r="AA132" s="30">
        <f t="shared" si="126"/>
        <v>811.0154779411763</v>
      </c>
      <c r="AB132" s="30">
        <f t="shared" si="126"/>
        <v>854.22481617647054</v>
      </c>
      <c r="AC132" s="30">
        <f t="shared" si="126"/>
        <v>897.43415441176467</v>
      </c>
      <c r="AD132" s="30">
        <f t="shared" si="126"/>
        <v>940.64349264705879</v>
      </c>
      <c r="AE132" s="30">
        <f t="shared" si="126"/>
        <v>983.85283088235269</v>
      </c>
      <c r="AF132" s="30">
        <f t="shared" si="126"/>
        <v>1027.0621691176468</v>
      </c>
      <c r="AG132" s="30">
        <f t="shared" si="126"/>
        <v>1070.2715073529412</v>
      </c>
      <c r="AH132" s="30">
        <f t="shared" si="126"/>
        <v>1113.4808455882351</v>
      </c>
      <c r="AI132" s="30">
        <f t="shared" si="126"/>
        <v>1156.6901838235294</v>
      </c>
      <c r="AJ132" s="30">
        <f t="shared" si="126"/>
        <v>1199.8995220588233</v>
      </c>
      <c r="AK132" s="30">
        <f t="shared" si="126"/>
        <v>1243.1088602941174</v>
      </c>
      <c r="AL132" s="30">
        <f t="shared" si="126"/>
        <v>1286.3181985294118</v>
      </c>
      <c r="AN132" s="30">
        <f t="shared" si="75"/>
        <v>1114.3825735294117</v>
      </c>
      <c r="AO132" s="30">
        <f t="shared" si="76"/>
        <v>6361.857352941176</v>
      </c>
      <c r="AP132" s="30">
        <f t="shared" si="77"/>
        <v>12584.002058823529</v>
      </c>
    </row>
    <row r="133" spans="2:42" ht="13.8">
      <c r="B133" s="120" t="s">
        <v>270</v>
      </c>
      <c r="C133" s="30">
        <f>C48+C34+C67+C91</f>
        <v>-0.82180147058823605</v>
      </c>
      <c r="D133" s="30">
        <f t="shared" ref="D133:AL133" si="127">D48+D34+D67+D91</f>
        <v>14.123411764705882</v>
      </c>
      <c r="E133" s="30">
        <f t="shared" si="127"/>
        <v>15.068624999999999</v>
      </c>
      <c r="F133" s="30">
        <f t="shared" si="127"/>
        <v>16.013838235294116</v>
      </c>
      <c r="G133" s="30">
        <f t="shared" si="127"/>
        <v>16.959051470588232</v>
      </c>
      <c r="H133" s="30">
        <f t="shared" si="127"/>
        <v>17.904264705882351</v>
      </c>
      <c r="I133" s="30">
        <f t="shared" si="127"/>
        <v>18.904264705882351</v>
      </c>
      <c r="J133" s="30">
        <f t="shared" si="127"/>
        <v>18.794691176470586</v>
      </c>
      <c r="K133" s="30">
        <f t="shared" si="127"/>
        <v>20.685117647058824</v>
      </c>
      <c r="L133" s="30">
        <f t="shared" si="127"/>
        <v>22.575544117647059</v>
      </c>
      <c r="M133" s="30">
        <f t="shared" si="127"/>
        <v>24.465970588235294</v>
      </c>
      <c r="N133" s="30">
        <f t="shared" si="127"/>
        <v>26.356397058823529</v>
      </c>
      <c r="O133" s="30">
        <f t="shared" si="127"/>
        <v>28.356397058823529</v>
      </c>
      <c r="P133" s="30">
        <f t="shared" si="127"/>
        <v>28.356397058823529</v>
      </c>
      <c r="Q133" s="30">
        <f t="shared" si="127"/>
        <v>28.356397058823529</v>
      </c>
      <c r="R133" s="30">
        <f t="shared" si="127"/>
        <v>28.356397058823529</v>
      </c>
      <c r="S133" s="30">
        <f t="shared" si="127"/>
        <v>28.356397058823529</v>
      </c>
      <c r="T133" s="30">
        <f t="shared" si="127"/>
        <v>28.356397058823529</v>
      </c>
      <c r="U133" s="30">
        <f t="shared" si="127"/>
        <v>28.356397058823529</v>
      </c>
      <c r="V133" s="30">
        <f t="shared" si="127"/>
        <v>28.356397058823529</v>
      </c>
      <c r="W133" s="30">
        <f t="shared" si="127"/>
        <v>28.356397058823529</v>
      </c>
      <c r="X133" s="30">
        <f t="shared" si="127"/>
        <v>28.356397058823529</v>
      </c>
      <c r="Y133" s="30">
        <f t="shared" si="127"/>
        <v>28.356397058823529</v>
      </c>
      <c r="Z133" s="30">
        <f t="shared" si="127"/>
        <v>28.356397058823529</v>
      </c>
      <c r="AA133" s="30">
        <f t="shared" si="127"/>
        <v>28.356397058823529</v>
      </c>
      <c r="AB133" s="30">
        <f t="shared" si="127"/>
        <v>28.356397058823529</v>
      </c>
      <c r="AC133" s="30">
        <f t="shared" si="127"/>
        <v>28.356397058823529</v>
      </c>
      <c r="AD133" s="30">
        <f t="shared" si="127"/>
        <v>28.356397058823529</v>
      </c>
      <c r="AE133" s="30">
        <f t="shared" si="127"/>
        <v>28.356397058823529</v>
      </c>
      <c r="AF133" s="30">
        <f t="shared" si="127"/>
        <v>28.356397058823529</v>
      </c>
      <c r="AG133" s="30">
        <f t="shared" si="127"/>
        <v>28.356397058823529</v>
      </c>
      <c r="AH133" s="30">
        <f t="shared" si="127"/>
        <v>28.356397058823529</v>
      </c>
      <c r="AI133" s="30">
        <f t="shared" si="127"/>
        <v>28.356397058823529</v>
      </c>
      <c r="AJ133" s="30">
        <f t="shared" si="127"/>
        <v>28.356397058823529</v>
      </c>
      <c r="AK133" s="30">
        <f t="shared" si="127"/>
        <v>28.356397058823529</v>
      </c>
      <c r="AL133" s="30">
        <f t="shared" si="127"/>
        <v>28.356397058823529</v>
      </c>
      <c r="AN133" s="30">
        <f t="shared" si="75"/>
        <v>211.02937500000002</v>
      </c>
      <c r="AO133" s="30">
        <f t="shared" si="76"/>
        <v>340.27676470588227</v>
      </c>
      <c r="AP133" s="30">
        <f t="shared" si="77"/>
        <v>340.27676470588227</v>
      </c>
    </row>
    <row r="134" spans="2:42" ht="13.8">
      <c r="B134" s="120" t="s">
        <v>101</v>
      </c>
      <c r="C134" s="30">
        <f>C42+C92</f>
        <v>-45.65826330532213</v>
      </c>
      <c r="D134" s="30">
        <f t="shared" ref="D134:AL134" si="128">D42+D92</f>
        <v>-20.868347338935575</v>
      </c>
      <c r="E134" s="30">
        <f t="shared" si="128"/>
        <v>-19.88795518207283</v>
      </c>
      <c r="F134" s="30">
        <f t="shared" si="128"/>
        <v>-18.907563025210084</v>
      </c>
      <c r="G134" s="30">
        <f t="shared" si="128"/>
        <v>-17.927170868347339</v>
      </c>
      <c r="H134" s="30">
        <f t="shared" si="128"/>
        <v>-16.946778711484594</v>
      </c>
      <c r="I134" s="30">
        <f t="shared" si="128"/>
        <v>-15.966386554621849</v>
      </c>
      <c r="J134" s="30">
        <f t="shared" si="128"/>
        <v>-14.985994397759105</v>
      </c>
      <c r="K134" s="30">
        <f t="shared" si="128"/>
        <v>-14.00560224089636</v>
      </c>
      <c r="L134" s="30">
        <f t="shared" si="128"/>
        <v>-13.025210084033615</v>
      </c>
      <c r="M134" s="30">
        <f t="shared" si="128"/>
        <v>-12.04481792717087</v>
      </c>
      <c r="N134" s="30">
        <f t="shared" si="128"/>
        <v>-11.064425770308125</v>
      </c>
      <c r="O134" s="30">
        <f t="shared" si="128"/>
        <v>-10.08403361344538</v>
      </c>
      <c r="P134" s="30">
        <f t="shared" si="128"/>
        <v>-9.1036414565826345</v>
      </c>
      <c r="Q134" s="30">
        <f t="shared" si="128"/>
        <v>-8.1232492997198893</v>
      </c>
      <c r="R134" s="30">
        <f t="shared" si="128"/>
        <v>-7.1428571428571459</v>
      </c>
      <c r="S134" s="30">
        <f t="shared" si="128"/>
        <v>-6.1624649859944007</v>
      </c>
      <c r="T134" s="30">
        <f t="shared" si="128"/>
        <v>-5.1820728291316556</v>
      </c>
      <c r="U134" s="30">
        <f t="shared" si="128"/>
        <v>-4.2016806722689104</v>
      </c>
      <c r="V134" s="30">
        <f t="shared" si="128"/>
        <v>-3.2212885154061652</v>
      </c>
      <c r="W134" s="30">
        <f t="shared" si="128"/>
        <v>-2.2408963585434201</v>
      </c>
      <c r="X134" s="30">
        <f t="shared" si="128"/>
        <v>-1.2605042016806749</v>
      </c>
      <c r="Y134" s="30">
        <f t="shared" si="128"/>
        <v>-0.28011204481792973</v>
      </c>
      <c r="Z134" s="30">
        <f t="shared" si="128"/>
        <v>0.70028011204481544</v>
      </c>
      <c r="AA134" s="30">
        <f t="shared" si="128"/>
        <v>1.6806722689075606</v>
      </c>
      <c r="AB134" s="30">
        <f t="shared" si="128"/>
        <v>2.6610644257703058</v>
      </c>
      <c r="AC134" s="30">
        <f t="shared" si="128"/>
        <v>3.6414565826330509</v>
      </c>
      <c r="AD134" s="30">
        <f t="shared" si="128"/>
        <v>4.6218487394957961</v>
      </c>
      <c r="AE134" s="30">
        <f t="shared" si="128"/>
        <v>5.6022408963585413</v>
      </c>
      <c r="AF134" s="30">
        <f t="shared" si="128"/>
        <v>6.5826330532212864</v>
      </c>
      <c r="AG134" s="30">
        <f t="shared" si="128"/>
        <v>7.5630252100840316</v>
      </c>
      <c r="AH134" s="30">
        <f t="shared" si="128"/>
        <v>8.5434173669467768</v>
      </c>
      <c r="AI134" s="30">
        <f t="shared" si="128"/>
        <v>9.5238095238095184</v>
      </c>
      <c r="AJ134" s="30">
        <f t="shared" si="128"/>
        <v>10.504201680672267</v>
      </c>
      <c r="AK134" s="30">
        <f t="shared" si="128"/>
        <v>11.484593837535009</v>
      </c>
      <c r="AL134" s="30">
        <f t="shared" si="128"/>
        <v>12.464985994397757</v>
      </c>
      <c r="AN134" s="30">
        <f t="shared" si="75"/>
        <v>-221.28851540616247</v>
      </c>
      <c r="AO134" s="30">
        <f t="shared" si="76"/>
        <v>-56.302521008403382</v>
      </c>
      <c r="AP134" s="30">
        <f t="shared" si="77"/>
        <v>84.873949579831901</v>
      </c>
    </row>
    <row r="135" spans="2:42" ht="13.8">
      <c r="B135" s="120" t="s">
        <v>272</v>
      </c>
      <c r="C135" s="30">
        <f>C18+C22+C68+C93+C107+C116+C121</f>
        <v>-693.80714285714282</v>
      </c>
      <c r="D135" s="30">
        <f t="shared" ref="D135:AL135" si="129">D18+D22+D68+D93+D107+D116+D121</f>
        <v>-644.79756250000003</v>
      </c>
      <c r="E135" s="30">
        <f t="shared" si="129"/>
        <v>-591.57248396205375</v>
      </c>
      <c r="F135" s="30">
        <f t="shared" si="129"/>
        <v>-544.55216207096828</v>
      </c>
      <c r="G135" s="30">
        <f t="shared" si="129"/>
        <v>-523.1170180683647</v>
      </c>
      <c r="H135" s="30">
        <f t="shared" si="129"/>
        <v>-476.63437088643377</v>
      </c>
      <c r="I135" s="30">
        <f t="shared" si="129"/>
        <v>-392.46166963938265</v>
      </c>
      <c r="J135" s="30">
        <f t="shared" si="129"/>
        <v>-394.03260201673521</v>
      </c>
      <c r="K135" s="30">
        <f t="shared" si="129"/>
        <v>-389.17863381489042</v>
      </c>
      <c r="L135" s="30">
        <f t="shared" si="129"/>
        <v>-379.04539055387346</v>
      </c>
      <c r="M135" s="30">
        <f t="shared" si="129"/>
        <v>-364.03840724545785</v>
      </c>
      <c r="N135" s="30">
        <f t="shared" si="129"/>
        <v>-344.53421593287106</v>
      </c>
      <c r="O135" s="30">
        <f t="shared" si="129"/>
        <v>-241.98096630368849</v>
      </c>
      <c r="P135" s="30">
        <f t="shared" si="129"/>
        <v>-148.08094494085663</v>
      </c>
      <c r="Q135" s="30">
        <f t="shared" si="129"/>
        <v>-78.40995683692617</v>
      </c>
      <c r="R135" s="30">
        <f t="shared" si="129"/>
        <v>1.4022175005334443</v>
      </c>
      <c r="S135" s="30">
        <f t="shared" si="129"/>
        <v>75.160583599795089</v>
      </c>
      <c r="T135" s="30">
        <f t="shared" si="129"/>
        <v>142.49175730361975</v>
      </c>
      <c r="U135" s="30">
        <f t="shared" si="129"/>
        <v>204.62120697499961</v>
      </c>
      <c r="V135" s="30">
        <f t="shared" si="129"/>
        <v>261.95079599194554</v>
      </c>
      <c r="W135" s="30">
        <f t="shared" si="129"/>
        <v>314.85134145364788</v>
      </c>
      <c r="X135" s="30">
        <f t="shared" si="129"/>
        <v>363.66501268577639</v>
      </c>
      <c r="Y135" s="30">
        <f t="shared" si="129"/>
        <v>408.70754444724838</v>
      </c>
      <c r="Z135" s="30">
        <f t="shared" si="129"/>
        <v>450.27027915399805</v>
      </c>
      <c r="AA135" s="30">
        <f t="shared" si="129"/>
        <v>488.62205132904563</v>
      </c>
      <c r="AB135" s="30">
        <f t="shared" si="129"/>
        <v>524.01092646791938</v>
      </c>
      <c r="AC135" s="30">
        <f t="shared" si="129"/>
        <v>556.66580556654708</v>
      </c>
      <c r="AD135" s="30">
        <f t="shared" si="129"/>
        <v>586.79790569015074</v>
      </c>
      <c r="AE135" s="30">
        <f t="shared" si="129"/>
        <v>614.60212615951718</v>
      </c>
      <c r="AF135" s="30">
        <f t="shared" si="129"/>
        <v>640.2583091914986</v>
      </c>
      <c r="AG135" s="30">
        <f t="shared" si="129"/>
        <v>663.9324031476956</v>
      </c>
      <c r="AH135" s="30">
        <f t="shared" si="129"/>
        <v>685.77753591542501</v>
      </c>
      <c r="AI135" s="30">
        <f t="shared" si="129"/>
        <v>705.93500536378576</v>
      </c>
      <c r="AJ135" s="30">
        <f t="shared" si="129"/>
        <v>724.53519328124912</v>
      </c>
      <c r="AK135" s="30">
        <f t="shared" si="129"/>
        <v>741.69840870623841</v>
      </c>
      <c r="AL135" s="30">
        <f t="shared" si="129"/>
        <v>757.53566610556652</v>
      </c>
      <c r="AN135" s="30">
        <f t="shared" ref="AN135" si="130">SUM(C135:N135)</f>
        <v>-5737.7716595481743</v>
      </c>
      <c r="AO135" s="30">
        <f t="shared" ref="AO135" si="131">SUM(O135:Z135)</f>
        <v>1754.6488710300928</v>
      </c>
      <c r="AP135" s="30">
        <f t="shared" ref="AP135" si="132">SUM(AA135:AL135)</f>
        <v>7690.3713369246379</v>
      </c>
    </row>
    <row r="136" spans="2:42" ht="13.8">
      <c r="B136" s="120" t="s">
        <v>134</v>
      </c>
      <c r="C136" s="32">
        <f>C43+C74+C94+C108+C122</f>
        <v>-63.445588235294117</v>
      </c>
      <c r="D136" s="32">
        <f t="shared" ref="D136:AL136" si="133">D43+D74+D94+D108+D122</f>
        <v>-103.5086274509804</v>
      </c>
      <c r="E136" s="32">
        <f t="shared" si="133"/>
        <v>-164.82166666666666</v>
      </c>
      <c r="F136" s="32">
        <f t="shared" si="133"/>
        <v>-226.13470588235293</v>
      </c>
      <c r="G136" s="32">
        <f t="shared" si="133"/>
        <v>-223.69774509803921</v>
      </c>
      <c r="H136" s="32">
        <f t="shared" si="133"/>
        <v>-221.26078431372548</v>
      </c>
      <c r="I136" s="32">
        <f t="shared" si="133"/>
        <v>-221.26078431372548</v>
      </c>
      <c r="J136" s="32">
        <f t="shared" si="133"/>
        <v>-216.38686274509803</v>
      </c>
      <c r="K136" s="32">
        <f t="shared" si="133"/>
        <v>-211.51294117647058</v>
      </c>
      <c r="L136" s="32">
        <f t="shared" si="133"/>
        <v>-206.63901960784312</v>
      </c>
      <c r="M136" s="32">
        <f t="shared" si="133"/>
        <v>-201.76509803921567</v>
      </c>
      <c r="N136" s="32">
        <f t="shared" si="133"/>
        <v>-196.89117647058822</v>
      </c>
      <c r="O136" s="32">
        <f t="shared" si="133"/>
        <v>-203.97450980392156</v>
      </c>
      <c r="P136" s="32">
        <f t="shared" si="133"/>
        <v>-203.97450980392156</v>
      </c>
      <c r="Q136" s="32">
        <f t="shared" si="133"/>
        <v>-203.97450980392156</v>
      </c>
      <c r="R136" s="32">
        <f t="shared" si="133"/>
        <v>-203.97450980392156</v>
      </c>
      <c r="S136" s="32">
        <f t="shared" si="133"/>
        <v>-203.97450980392156</v>
      </c>
      <c r="T136" s="32">
        <f t="shared" si="133"/>
        <v>-203.97450980392156</v>
      </c>
      <c r="U136" s="32">
        <f t="shared" si="133"/>
        <v>-203.97450980392156</v>
      </c>
      <c r="V136" s="32">
        <f t="shared" si="133"/>
        <v>-203.97450980392156</v>
      </c>
      <c r="W136" s="32">
        <f t="shared" si="133"/>
        <v>-203.97450980392156</v>
      </c>
      <c r="X136" s="32">
        <f t="shared" si="133"/>
        <v>-203.97450980392156</v>
      </c>
      <c r="Y136" s="32">
        <f t="shared" si="133"/>
        <v>-203.97450980392156</v>
      </c>
      <c r="Z136" s="32">
        <f t="shared" si="133"/>
        <v>-203.97450980392156</v>
      </c>
      <c r="AA136" s="32">
        <f t="shared" si="133"/>
        <v>-203.97450980392156</v>
      </c>
      <c r="AB136" s="32">
        <f t="shared" si="133"/>
        <v>-203.97450980392156</v>
      </c>
      <c r="AC136" s="32">
        <f t="shared" si="133"/>
        <v>-203.97450980392156</v>
      </c>
      <c r="AD136" s="32">
        <f t="shared" si="133"/>
        <v>-203.97450980392156</v>
      </c>
      <c r="AE136" s="32">
        <f t="shared" si="133"/>
        <v>-203.97450980392156</v>
      </c>
      <c r="AF136" s="32">
        <f t="shared" si="133"/>
        <v>-203.97450980392156</v>
      </c>
      <c r="AG136" s="32">
        <f t="shared" si="133"/>
        <v>-203.97450980392156</v>
      </c>
      <c r="AH136" s="32">
        <f t="shared" si="133"/>
        <v>-203.97450980392156</v>
      </c>
      <c r="AI136" s="32">
        <f t="shared" si="133"/>
        <v>-203.97450980392156</v>
      </c>
      <c r="AJ136" s="32">
        <f t="shared" si="133"/>
        <v>-203.97450980392156</v>
      </c>
      <c r="AK136" s="32">
        <f t="shared" si="133"/>
        <v>-203.97450980392156</v>
      </c>
      <c r="AL136" s="32">
        <f t="shared" si="133"/>
        <v>-203.97450980392156</v>
      </c>
      <c r="AN136" s="30">
        <f t="shared" ref="AN136" si="134">SUM(C136:N136)</f>
        <v>-2257.3249999999998</v>
      </c>
      <c r="AO136" s="30">
        <f t="shared" ref="AO136" si="135">SUM(O136:Z136)</f>
        <v>-2447.6941176470586</v>
      </c>
      <c r="AP136" s="30">
        <f t="shared" ref="AP136" si="136">SUM(AA136:AL136)</f>
        <v>-2447.6941176470586</v>
      </c>
    </row>
    <row r="137" spans="2:42" ht="13.8">
      <c r="B137" s="120" t="s">
        <v>135</v>
      </c>
      <c r="C137" s="32">
        <f>C23+C58+C69+C75+C95+C109+C123</f>
        <v>9665.4551820728284</v>
      </c>
      <c r="D137" s="32">
        <f t="shared" ref="D137:AL137" si="137">D23+D58+D69+D75+D95+D109+D123</f>
        <v>11250.455182072828</v>
      </c>
      <c r="E137" s="32">
        <f t="shared" si="137"/>
        <v>11829.609593837535</v>
      </c>
      <c r="F137" s="32">
        <f t="shared" si="137"/>
        <v>12992.354691876752</v>
      </c>
      <c r="G137" s="32">
        <f t="shared" si="137"/>
        <v>13259.021358543419</v>
      </c>
      <c r="H137" s="32">
        <f t="shared" si="137"/>
        <v>13870.050770308122</v>
      </c>
      <c r="I137" s="32">
        <f t="shared" si="137"/>
        <v>15032.795868347339</v>
      </c>
      <c r="J137" s="32">
        <f t="shared" si="137"/>
        <v>15299.462535014003</v>
      </c>
      <c r="K137" s="32">
        <f t="shared" si="137"/>
        <v>15910.491946778709</v>
      </c>
      <c r="L137" s="32">
        <f t="shared" si="137"/>
        <v>17073.237044817924</v>
      </c>
      <c r="M137" s="32">
        <f t="shared" si="137"/>
        <v>18561.962535014001</v>
      </c>
      <c r="N137" s="32">
        <f t="shared" si="137"/>
        <v>20963.433123249295</v>
      </c>
      <c r="O137" s="32">
        <f t="shared" si="137"/>
        <v>21263.433123249295</v>
      </c>
      <c r="P137" s="32">
        <f t="shared" si="137"/>
        <v>21263.433123249295</v>
      </c>
      <c r="Q137" s="32">
        <f t="shared" si="137"/>
        <v>21263.433123249295</v>
      </c>
      <c r="R137" s="32">
        <f t="shared" si="137"/>
        <v>21263.433123249295</v>
      </c>
      <c r="S137" s="32">
        <f t="shared" si="137"/>
        <v>21263.433123249295</v>
      </c>
      <c r="T137" s="32">
        <f t="shared" si="137"/>
        <v>21263.433123249295</v>
      </c>
      <c r="U137" s="32">
        <f t="shared" si="137"/>
        <v>21263.433123249295</v>
      </c>
      <c r="V137" s="32">
        <f t="shared" si="137"/>
        <v>21263.433123249295</v>
      </c>
      <c r="W137" s="32">
        <f t="shared" si="137"/>
        <v>21263.433123249295</v>
      </c>
      <c r="X137" s="32">
        <f t="shared" si="137"/>
        <v>21263.433123249295</v>
      </c>
      <c r="Y137" s="32">
        <f t="shared" si="137"/>
        <v>21263.433123249295</v>
      </c>
      <c r="Z137" s="32">
        <f t="shared" si="137"/>
        <v>21263.433123249295</v>
      </c>
      <c r="AA137" s="32">
        <f t="shared" si="137"/>
        <v>21263.433123249295</v>
      </c>
      <c r="AB137" s="32">
        <f t="shared" si="137"/>
        <v>21263.433123249295</v>
      </c>
      <c r="AC137" s="32">
        <f t="shared" si="137"/>
        <v>21263.433123249295</v>
      </c>
      <c r="AD137" s="32">
        <f t="shared" si="137"/>
        <v>21263.433123249295</v>
      </c>
      <c r="AE137" s="32">
        <f t="shared" si="137"/>
        <v>21263.433123249295</v>
      </c>
      <c r="AF137" s="32">
        <f t="shared" si="137"/>
        <v>21263.433123249295</v>
      </c>
      <c r="AG137" s="32">
        <f t="shared" si="137"/>
        <v>21263.433123249295</v>
      </c>
      <c r="AH137" s="32">
        <f t="shared" si="137"/>
        <v>21263.433123249295</v>
      </c>
      <c r="AI137" s="32">
        <f t="shared" si="137"/>
        <v>21263.433123249295</v>
      </c>
      <c r="AJ137" s="32">
        <f t="shared" si="137"/>
        <v>21263.433123249295</v>
      </c>
      <c r="AK137" s="32">
        <f t="shared" si="137"/>
        <v>21263.433123249295</v>
      </c>
      <c r="AL137" s="32">
        <f t="shared" si="137"/>
        <v>21263.433123249295</v>
      </c>
      <c r="AN137" s="30">
        <f t="shared" ref="AN137" si="138">SUM(C137:N137)</f>
        <v>175708.32983193276</v>
      </c>
      <c r="AO137" s="30">
        <f t="shared" ref="AO137" si="139">SUM(O137:Z137)</f>
        <v>255161.19747899155</v>
      </c>
      <c r="AP137" s="30">
        <f t="shared" ref="AP137" si="140">SUM(AA137:AL137)</f>
        <v>255161.19747899155</v>
      </c>
    </row>
    <row r="138" spans="2:42" ht="13.8">
      <c r="B138" s="120" t="s">
        <v>201</v>
      </c>
      <c r="C138" s="32">
        <f>C24+C76+C96+C110+C117</f>
        <v>-106.80952380952381</v>
      </c>
      <c r="D138" s="32">
        <f t="shared" ref="D138:AL138" si="141">D24+D76+D96+D110+D117</f>
        <v>-106.5095238095238</v>
      </c>
      <c r="E138" s="32">
        <f t="shared" si="141"/>
        <v>-106.5095238095238</v>
      </c>
      <c r="F138" s="32">
        <f t="shared" si="141"/>
        <v>-106.34285714285714</v>
      </c>
      <c r="G138" s="32">
        <f t="shared" si="141"/>
        <v>-106.18452380952381</v>
      </c>
      <c r="H138" s="32">
        <f t="shared" si="141"/>
        <v>-106.02619047619046</v>
      </c>
      <c r="I138" s="32">
        <f t="shared" si="141"/>
        <v>-105.86785714285715</v>
      </c>
      <c r="J138" s="32">
        <f t="shared" si="141"/>
        <v>-105.87619047619047</v>
      </c>
      <c r="K138" s="32">
        <f t="shared" si="141"/>
        <v>-155.29285714285714</v>
      </c>
      <c r="L138" s="32">
        <f t="shared" si="141"/>
        <v>-155.13452380952378</v>
      </c>
      <c r="M138" s="32">
        <f t="shared" si="141"/>
        <v>-155.14285714285714</v>
      </c>
      <c r="N138" s="32">
        <f t="shared" si="141"/>
        <v>-154.97619047619048</v>
      </c>
      <c r="O138" s="32">
        <f t="shared" si="141"/>
        <v>-154.81785714285715</v>
      </c>
      <c r="P138" s="32">
        <f t="shared" si="141"/>
        <v>-154.82619047619048</v>
      </c>
      <c r="Q138" s="32">
        <f t="shared" si="141"/>
        <v>-154.82619047619048</v>
      </c>
      <c r="R138" s="32">
        <f t="shared" si="141"/>
        <v>-154.82619047619048</v>
      </c>
      <c r="S138" s="32">
        <f t="shared" si="141"/>
        <v>-154.82619047619048</v>
      </c>
      <c r="T138" s="32">
        <f t="shared" si="141"/>
        <v>-154.82619047619048</v>
      </c>
      <c r="U138" s="32">
        <f t="shared" si="141"/>
        <v>-154.82619047619048</v>
      </c>
      <c r="V138" s="32">
        <f t="shared" si="141"/>
        <v>-154.82619047619048</v>
      </c>
      <c r="W138" s="32">
        <f t="shared" si="141"/>
        <v>-154.82619047619048</v>
      </c>
      <c r="X138" s="32">
        <f t="shared" si="141"/>
        <v>-154.82619047619048</v>
      </c>
      <c r="Y138" s="32">
        <f t="shared" si="141"/>
        <v>-154.82619047619048</v>
      </c>
      <c r="Z138" s="32">
        <f t="shared" si="141"/>
        <v>-154.82619047619048</v>
      </c>
      <c r="AA138" s="32">
        <f t="shared" si="141"/>
        <v>-154.82619047619048</v>
      </c>
      <c r="AB138" s="32">
        <f t="shared" si="141"/>
        <v>-154.82619047619048</v>
      </c>
      <c r="AC138" s="32">
        <f t="shared" si="141"/>
        <v>-154.82619047619048</v>
      </c>
      <c r="AD138" s="32">
        <f t="shared" si="141"/>
        <v>-154.82619047619048</v>
      </c>
      <c r="AE138" s="32">
        <f t="shared" si="141"/>
        <v>-154.82619047619048</v>
      </c>
      <c r="AF138" s="32">
        <f t="shared" si="141"/>
        <v>-154.82619047619048</v>
      </c>
      <c r="AG138" s="32">
        <f t="shared" si="141"/>
        <v>-154.82619047619048</v>
      </c>
      <c r="AH138" s="32">
        <f t="shared" si="141"/>
        <v>-154.82619047619048</v>
      </c>
      <c r="AI138" s="32">
        <f t="shared" si="141"/>
        <v>-154.82619047619048</v>
      </c>
      <c r="AJ138" s="32">
        <f t="shared" si="141"/>
        <v>-154.82619047619048</v>
      </c>
      <c r="AK138" s="32">
        <f t="shared" si="141"/>
        <v>-154.82619047619048</v>
      </c>
      <c r="AL138" s="32">
        <f t="shared" si="141"/>
        <v>-154.82619047619048</v>
      </c>
      <c r="AN138" s="30">
        <f t="shared" ref="AN138" si="142">SUM(C138:N138)</f>
        <v>-1470.6726190476193</v>
      </c>
      <c r="AO138" s="30">
        <f t="shared" ref="AO138" si="143">SUM(O138:Z138)</f>
        <v>-1857.9059523809526</v>
      </c>
      <c r="AP138" s="30">
        <f t="shared" ref="AP138" si="144">SUM(AA138:AL138)</f>
        <v>-1857.9142857142858</v>
      </c>
    </row>
    <row r="139" spans="2:42" ht="13.8">
      <c r="B139" s="120" t="s">
        <v>209</v>
      </c>
      <c r="C139" s="32">
        <f>C25+C49+C97+C111+C118+C124</f>
        <v>-99.757777777777775</v>
      </c>
      <c r="D139" s="32">
        <f t="shared" ref="D139:AL139" si="145">D25+D49+D97+D111+D118+D124</f>
        <v>-99.457777777777764</v>
      </c>
      <c r="E139" s="32">
        <f t="shared" si="145"/>
        <v>-99.215555555555554</v>
      </c>
      <c r="F139" s="32">
        <f t="shared" si="145"/>
        <v>-98.898888888888891</v>
      </c>
      <c r="G139" s="32">
        <f t="shared" si="145"/>
        <v>-123.46499999999999</v>
      </c>
      <c r="H139" s="32">
        <f t="shared" si="145"/>
        <v>-123.14833333333333</v>
      </c>
      <c r="I139" s="32">
        <f t="shared" si="145"/>
        <v>-122.92277777777778</v>
      </c>
      <c r="J139" s="32">
        <f t="shared" si="145"/>
        <v>-122.36388888888889</v>
      </c>
      <c r="K139" s="32">
        <f t="shared" si="145"/>
        <v>-121.82166666666667</v>
      </c>
      <c r="L139" s="32">
        <f t="shared" si="145"/>
        <v>-121.27944444444447</v>
      </c>
      <c r="M139" s="32">
        <f t="shared" si="145"/>
        <v>-120.73722222222223</v>
      </c>
      <c r="N139" s="32">
        <f t="shared" si="145"/>
        <v>-120.43722222222223</v>
      </c>
      <c r="O139" s="32">
        <f t="shared" si="145"/>
        <v>-120.4538888888889</v>
      </c>
      <c r="P139" s="32">
        <f t="shared" si="145"/>
        <v>-120.4538888888889</v>
      </c>
      <c r="Q139" s="32">
        <f t="shared" si="145"/>
        <v>-134.62055555555557</v>
      </c>
      <c r="R139" s="32">
        <f t="shared" si="145"/>
        <v>-134.62055555555557</v>
      </c>
      <c r="S139" s="32">
        <f t="shared" si="145"/>
        <v>-134.62055555555557</v>
      </c>
      <c r="T139" s="32">
        <f t="shared" si="145"/>
        <v>-134.62055555555557</v>
      </c>
      <c r="U139" s="32">
        <f t="shared" si="145"/>
        <v>-134.62055555555557</v>
      </c>
      <c r="V139" s="32">
        <f t="shared" si="145"/>
        <v>-134.62055555555557</v>
      </c>
      <c r="W139" s="32">
        <f t="shared" si="145"/>
        <v>-134.62055555555557</v>
      </c>
      <c r="X139" s="32">
        <f t="shared" si="145"/>
        <v>-134.62055555555557</v>
      </c>
      <c r="Y139" s="32">
        <f t="shared" si="145"/>
        <v>-134.62055555555557</v>
      </c>
      <c r="Z139" s="32">
        <f t="shared" si="145"/>
        <v>-134.62055555555557</v>
      </c>
      <c r="AA139" s="32">
        <f t="shared" si="145"/>
        <v>-134.62055555555557</v>
      </c>
      <c r="AB139" s="32">
        <f t="shared" si="145"/>
        <v>-134.62055555555557</v>
      </c>
      <c r="AC139" s="32">
        <f t="shared" si="145"/>
        <v>-134.62055555555557</v>
      </c>
      <c r="AD139" s="32">
        <f t="shared" si="145"/>
        <v>-134.62055555555557</v>
      </c>
      <c r="AE139" s="32">
        <f t="shared" si="145"/>
        <v>-134.62055555555557</v>
      </c>
      <c r="AF139" s="32">
        <f t="shared" si="145"/>
        <v>-134.62055555555557</v>
      </c>
      <c r="AG139" s="32">
        <f t="shared" si="145"/>
        <v>-134.62055555555557</v>
      </c>
      <c r="AH139" s="32">
        <f t="shared" si="145"/>
        <v>-134.62055555555557</v>
      </c>
      <c r="AI139" s="32">
        <f t="shared" si="145"/>
        <v>-134.62055555555557</v>
      </c>
      <c r="AJ139" s="32">
        <f t="shared" si="145"/>
        <v>-134.62055555555557</v>
      </c>
      <c r="AK139" s="32">
        <f t="shared" si="145"/>
        <v>-134.62055555555557</v>
      </c>
      <c r="AL139" s="32">
        <f t="shared" si="145"/>
        <v>-134.62055555555557</v>
      </c>
      <c r="AN139" s="30">
        <f t="shared" ref="AN139" si="146">SUM(C139:N139)</f>
        <v>-1373.5055555555557</v>
      </c>
      <c r="AO139" s="30">
        <f t="shared" ref="AO139" si="147">SUM(O139:Z139)</f>
        <v>-1587.1133333333332</v>
      </c>
      <c r="AP139" s="30">
        <f t="shared" ref="AP139" si="148">SUM(AA139:AL139)</f>
        <v>-1615.4466666666665</v>
      </c>
    </row>
    <row r="140" spans="2:42" ht="13.8">
      <c r="B140" s="120" t="s">
        <v>305</v>
      </c>
      <c r="C140" s="32">
        <f>C19+C26+C50+C77+C98+C119</f>
        <v>-112.85530812324929</v>
      </c>
      <c r="D140" s="32">
        <f t="shared" ref="D140:AL140" si="149">D19+D26+D50+D77+D98+D119</f>
        <v>-115.34275910364147</v>
      </c>
      <c r="E140" s="32">
        <f t="shared" si="149"/>
        <v>-118.10525910364146</v>
      </c>
      <c r="F140" s="32">
        <f t="shared" si="149"/>
        <v>-118.11775910364146</v>
      </c>
      <c r="G140" s="32">
        <f t="shared" si="149"/>
        <v>-118.11775910364146</v>
      </c>
      <c r="H140" s="32">
        <f t="shared" si="149"/>
        <v>-120.83021008403362</v>
      </c>
      <c r="I140" s="32">
        <f t="shared" si="149"/>
        <v>-123.59271008403363</v>
      </c>
      <c r="J140" s="32">
        <f t="shared" si="149"/>
        <v>-123.60521008403363</v>
      </c>
      <c r="K140" s="32">
        <f t="shared" si="149"/>
        <v>-123.60521008403363</v>
      </c>
      <c r="L140" s="32">
        <f t="shared" si="149"/>
        <v>-123.60521008403363</v>
      </c>
      <c r="M140" s="32">
        <f t="shared" si="149"/>
        <v>-126.31766106442578</v>
      </c>
      <c r="N140" s="32">
        <f t="shared" si="149"/>
        <v>-129.08016106442577</v>
      </c>
      <c r="O140" s="32">
        <f t="shared" si="149"/>
        <v>-129.09266106442576</v>
      </c>
      <c r="P140" s="32">
        <f t="shared" si="149"/>
        <v>-129.09266106442576</v>
      </c>
      <c r="Q140" s="32">
        <f t="shared" si="149"/>
        <v>-129.09266106442576</v>
      </c>
      <c r="R140" s="32">
        <f t="shared" si="149"/>
        <v>-129.09266106442576</v>
      </c>
      <c r="S140" s="32">
        <f t="shared" si="149"/>
        <v>-129.09266106442576</v>
      </c>
      <c r="T140" s="32">
        <f t="shared" si="149"/>
        <v>-129.09266106442576</v>
      </c>
      <c r="U140" s="32">
        <f t="shared" si="149"/>
        <v>-129.09266106442576</v>
      </c>
      <c r="V140" s="32">
        <f t="shared" si="149"/>
        <v>-129.09266106442576</v>
      </c>
      <c r="W140" s="32">
        <f t="shared" si="149"/>
        <v>-129.09266106442576</v>
      </c>
      <c r="X140" s="32">
        <f t="shared" si="149"/>
        <v>-129.09266106442576</v>
      </c>
      <c r="Y140" s="32">
        <f t="shared" si="149"/>
        <v>-129.09266106442576</v>
      </c>
      <c r="Z140" s="32">
        <f t="shared" si="149"/>
        <v>-129.09266106442576</v>
      </c>
      <c r="AA140" s="32">
        <f t="shared" si="149"/>
        <v>-129.09266106442576</v>
      </c>
      <c r="AB140" s="32">
        <f t="shared" si="149"/>
        <v>-129.09266106442576</v>
      </c>
      <c r="AC140" s="32">
        <f t="shared" si="149"/>
        <v>-129.09266106442576</v>
      </c>
      <c r="AD140" s="32">
        <f t="shared" si="149"/>
        <v>-129.09266106442576</v>
      </c>
      <c r="AE140" s="32">
        <f t="shared" si="149"/>
        <v>-129.09266106442576</v>
      </c>
      <c r="AF140" s="32">
        <f t="shared" si="149"/>
        <v>-129.09266106442576</v>
      </c>
      <c r="AG140" s="32">
        <f t="shared" si="149"/>
        <v>-129.09266106442576</v>
      </c>
      <c r="AH140" s="32">
        <f t="shared" si="149"/>
        <v>-129.09266106442576</v>
      </c>
      <c r="AI140" s="32">
        <f t="shared" si="149"/>
        <v>-129.09266106442576</v>
      </c>
      <c r="AJ140" s="32">
        <f t="shared" si="149"/>
        <v>-129.09266106442576</v>
      </c>
      <c r="AK140" s="32">
        <f t="shared" si="149"/>
        <v>-129.09266106442576</v>
      </c>
      <c r="AL140" s="32">
        <f t="shared" si="149"/>
        <v>-129.09266106442576</v>
      </c>
      <c r="AN140" s="30">
        <f t="shared" ref="AN140" si="150">SUM(C140:N140)</f>
        <v>-1453.1752170868347</v>
      </c>
      <c r="AO140" s="30">
        <f t="shared" ref="AO140" si="151">SUM(O140:Z140)</f>
        <v>-1549.1119327731092</v>
      </c>
      <c r="AP140" s="30">
        <f t="shared" ref="AP140" si="152">SUM(AA140:AL140)</f>
        <v>-1549.1119327731092</v>
      </c>
    </row>
    <row r="141" spans="2:42" ht="13.8">
      <c r="B141" s="134" t="s">
        <v>136</v>
      </c>
      <c r="C141" s="32">
        <f>C38+C70+C99</f>
        <v>-95.242857142857133</v>
      </c>
      <c r="D141" s="32">
        <f t="shared" ref="D141:AL141" si="153">D38+D70+D99</f>
        <v>-95.242857142857133</v>
      </c>
      <c r="E141" s="32">
        <f t="shared" si="153"/>
        <v>-95.242857142857133</v>
      </c>
      <c r="F141" s="32">
        <f t="shared" si="153"/>
        <v>-83.342857142857142</v>
      </c>
      <c r="G141" s="32">
        <f t="shared" si="153"/>
        <v>-83.342857142857142</v>
      </c>
      <c r="H141" s="32">
        <f t="shared" si="153"/>
        <v>-83.342857142857142</v>
      </c>
      <c r="I141" s="32">
        <f t="shared" si="153"/>
        <v>-71.442857142857136</v>
      </c>
      <c r="J141" s="32">
        <f t="shared" si="153"/>
        <v>-71.442857142857136</v>
      </c>
      <c r="K141" s="32">
        <f t="shared" si="153"/>
        <v>-59.542857142857137</v>
      </c>
      <c r="L141" s="32">
        <f t="shared" si="153"/>
        <v>-47.642857142857139</v>
      </c>
      <c r="M141" s="32">
        <f t="shared" si="153"/>
        <v>-47.642857142857139</v>
      </c>
      <c r="N141" s="32">
        <f t="shared" si="153"/>
        <v>-35.742857142857133</v>
      </c>
      <c r="O141" s="32">
        <f t="shared" si="153"/>
        <v>-35.742857142857133</v>
      </c>
      <c r="P141" s="32">
        <f t="shared" si="153"/>
        <v>-35.742857142857133</v>
      </c>
      <c r="Q141" s="32">
        <f t="shared" si="153"/>
        <v>-35.742857142857133</v>
      </c>
      <c r="R141" s="32">
        <f t="shared" si="153"/>
        <v>-35.742857142857133</v>
      </c>
      <c r="S141" s="32">
        <f t="shared" si="153"/>
        <v>-35.742857142857133</v>
      </c>
      <c r="T141" s="32">
        <f t="shared" si="153"/>
        <v>-35.742857142857133</v>
      </c>
      <c r="U141" s="32">
        <f t="shared" si="153"/>
        <v>-35.742857142857133</v>
      </c>
      <c r="V141" s="32">
        <f t="shared" si="153"/>
        <v>-35.742857142857133</v>
      </c>
      <c r="W141" s="32">
        <f t="shared" si="153"/>
        <v>-35.742857142857133</v>
      </c>
      <c r="X141" s="32">
        <f t="shared" si="153"/>
        <v>-35.742857142857133</v>
      </c>
      <c r="Y141" s="32">
        <f t="shared" si="153"/>
        <v>-35.742857142857133</v>
      </c>
      <c r="Z141" s="32">
        <f t="shared" si="153"/>
        <v>-35.742857142857133</v>
      </c>
      <c r="AA141" s="32">
        <f t="shared" si="153"/>
        <v>-35.742857142857133</v>
      </c>
      <c r="AB141" s="32">
        <f t="shared" si="153"/>
        <v>-35.742857142857133</v>
      </c>
      <c r="AC141" s="32">
        <f t="shared" si="153"/>
        <v>-35.742857142857133</v>
      </c>
      <c r="AD141" s="32">
        <f t="shared" si="153"/>
        <v>-35.742857142857133</v>
      </c>
      <c r="AE141" s="32">
        <f t="shared" si="153"/>
        <v>-35.742857142857133</v>
      </c>
      <c r="AF141" s="32">
        <f t="shared" si="153"/>
        <v>-35.742857142857133</v>
      </c>
      <c r="AG141" s="32">
        <f t="shared" si="153"/>
        <v>-35.742857142857133</v>
      </c>
      <c r="AH141" s="32">
        <f t="shared" si="153"/>
        <v>-35.742857142857133</v>
      </c>
      <c r="AI141" s="32">
        <f t="shared" si="153"/>
        <v>-35.742857142857133</v>
      </c>
      <c r="AJ141" s="32">
        <f t="shared" si="153"/>
        <v>-35.742857142857133</v>
      </c>
      <c r="AK141" s="32">
        <f t="shared" si="153"/>
        <v>-35.742857142857133</v>
      </c>
      <c r="AL141" s="32">
        <f t="shared" si="153"/>
        <v>-35.742857142857133</v>
      </c>
      <c r="AN141" s="30">
        <f t="shared" ref="AN141" si="154">SUM(C141:N141)</f>
        <v>-869.21428571428567</v>
      </c>
      <c r="AO141" s="30">
        <f t="shared" ref="AO141" si="155">SUM(O141:Z141)</f>
        <v>-428.9142857142856</v>
      </c>
      <c r="AP141" s="30">
        <f t="shared" ref="AP141" si="156">SUM(AA141:AL141)</f>
        <v>-428.9142857142856</v>
      </c>
    </row>
    <row r="142" spans="2:42" ht="13.8">
      <c r="B142" s="134" t="s">
        <v>137</v>
      </c>
      <c r="C142" s="32">
        <f>C51+C78+C100+C112</f>
        <v>3342.8571428571427</v>
      </c>
      <c r="D142" s="32">
        <f t="shared" ref="D142:AL142" si="157">D51+D78+D100+D112</f>
        <v>3342.8571428571427</v>
      </c>
      <c r="E142" s="32">
        <f t="shared" si="157"/>
        <v>3460.9821428571427</v>
      </c>
      <c r="F142" s="32">
        <f t="shared" si="157"/>
        <v>3460.9821428571427</v>
      </c>
      <c r="G142" s="32">
        <f t="shared" si="157"/>
        <v>3610.9821428571427</v>
      </c>
      <c r="H142" s="32">
        <f t="shared" si="157"/>
        <v>3610.9821428571427</v>
      </c>
      <c r="I142" s="32">
        <f t="shared" si="157"/>
        <v>3910.9821428571427</v>
      </c>
      <c r="J142" s="32">
        <f t="shared" si="157"/>
        <v>4060.9821428571427</v>
      </c>
      <c r="K142" s="32">
        <f t="shared" si="157"/>
        <v>4060.9821428571427</v>
      </c>
      <c r="L142" s="32">
        <f t="shared" si="157"/>
        <v>4210.9821428571431</v>
      </c>
      <c r="M142" s="32">
        <f t="shared" si="157"/>
        <v>4210.9821428571431</v>
      </c>
      <c r="N142" s="32">
        <f t="shared" si="157"/>
        <v>4360.9821428571431</v>
      </c>
      <c r="O142" s="32">
        <f t="shared" si="157"/>
        <v>4360.9821428571431</v>
      </c>
      <c r="P142" s="32">
        <f t="shared" si="157"/>
        <v>4360.9821428571431</v>
      </c>
      <c r="Q142" s="32">
        <f t="shared" si="157"/>
        <v>4360.9821428571431</v>
      </c>
      <c r="R142" s="32">
        <f t="shared" si="157"/>
        <v>4360.9821428571431</v>
      </c>
      <c r="S142" s="32">
        <f t="shared" si="157"/>
        <v>4360.9821428571431</v>
      </c>
      <c r="T142" s="32">
        <f t="shared" si="157"/>
        <v>4360.9821428571431</v>
      </c>
      <c r="U142" s="32">
        <f t="shared" si="157"/>
        <v>4360.9821428571431</v>
      </c>
      <c r="V142" s="32">
        <f t="shared" si="157"/>
        <v>4360.9821428571431</v>
      </c>
      <c r="W142" s="32">
        <f t="shared" si="157"/>
        <v>4360.9821428571431</v>
      </c>
      <c r="X142" s="32">
        <f t="shared" si="157"/>
        <v>4360.9821428571431</v>
      </c>
      <c r="Y142" s="32">
        <f t="shared" si="157"/>
        <v>4360.9821428571431</v>
      </c>
      <c r="Z142" s="32">
        <f t="shared" si="157"/>
        <v>4360.9821428571431</v>
      </c>
      <c r="AA142" s="32">
        <f t="shared" si="157"/>
        <v>4360.9821428571431</v>
      </c>
      <c r="AB142" s="32">
        <f t="shared" si="157"/>
        <v>4360.9821428571431</v>
      </c>
      <c r="AC142" s="32">
        <f t="shared" si="157"/>
        <v>4360.9821428571431</v>
      </c>
      <c r="AD142" s="32">
        <f t="shared" si="157"/>
        <v>4360.9821428571431</v>
      </c>
      <c r="AE142" s="32">
        <f t="shared" si="157"/>
        <v>4360.9821428571431</v>
      </c>
      <c r="AF142" s="32">
        <f t="shared" si="157"/>
        <v>4360.9821428571431</v>
      </c>
      <c r="AG142" s="32">
        <f t="shared" si="157"/>
        <v>4360.9821428571431</v>
      </c>
      <c r="AH142" s="32">
        <f t="shared" si="157"/>
        <v>4360.9821428571431</v>
      </c>
      <c r="AI142" s="32">
        <f t="shared" si="157"/>
        <v>4360.9821428571431</v>
      </c>
      <c r="AJ142" s="32">
        <f t="shared" si="157"/>
        <v>4360.9821428571431</v>
      </c>
      <c r="AK142" s="32">
        <f t="shared" si="157"/>
        <v>4360.9821428571431</v>
      </c>
      <c r="AL142" s="32">
        <f t="shared" si="157"/>
        <v>4360.9821428571431</v>
      </c>
      <c r="AN142" s="30">
        <f t="shared" ref="AN142" si="158">SUM(C142:N142)</f>
        <v>45645.535714285717</v>
      </c>
      <c r="AO142" s="30">
        <f t="shared" ref="AO142" si="159">SUM(O142:Z142)</f>
        <v>52331.785714285732</v>
      </c>
      <c r="AP142" s="30">
        <f t="shared" ref="AP142" si="160">SUM(AA142:AL142)</f>
        <v>52331.785714285732</v>
      </c>
    </row>
    <row r="143" spans="2:42" ht="13.8">
      <c r="B143" s="120" t="s">
        <v>309</v>
      </c>
      <c r="C143" s="32">
        <f>C52+C79+C101</f>
        <v>11965.357142857143</v>
      </c>
      <c r="D143" s="32">
        <f t="shared" ref="D143:AL143" si="161">D52+D79+D101</f>
        <v>12764.857142857143</v>
      </c>
      <c r="E143" s="32">
        <f t="shared" si="161"/>
        <v>13564.357142857143</v>
      </c>
      <c r="F143" s="32">
        <f t="shared" si="161"/>
        <v>14363.857142857143</v>
      </c>
      <c r="G143" s="32">
        <f t="shared" si="161"/>
        <v>15163.357142857143</v>
      </c>
      <c r="H143" s="32">
        <f t="shared" si="161"/>
        <v>15962.857142857143</v>
      </c>
      <c r="I143" s="32">
        <f t="shared" si="161"/>
        <v>15962.857142857143</v>
      </c>
      <c r="J143" s="32">
        <f t="shared" si="161"/>
        <v>17561.857142857141</v>
      </c>
      <c r="K143" s="32">
        <f t="shared" si="161"/>
        <v>19160.857142857141</v>
      </c>
      <c r="L143" s="32">
        <f t="shared" si="161"/>
        <v>20759.857142857141</v>
      </c>
      <c r="M143" s="32">
        <f t="shared" si="161"/>
        <v>22358.857142857141</v>
      </c>
      <c r="N143" s="32">
        <f t="shared" si="161"/>
        <v>23957.857142857141</v>
      </c>
      <c r="O143" s="32">
        <f t="shared" si="161"/>
        <v>23957.857142857141</v>
      </c>
      <c r="P143" s="32">
        <f t="shared" si="161"/>
        <v>23957.857142857141</v>
      </c>
      <c r="Q143" s="32">
        <f t="shared" si="161"/>
        <v>23957.857142857141</v>
      </c>
      <c r="R143" s="32">
        <f t="shared" si="161"/>
        <v>23957.857142857141</v>
      </c>
      <c r="S143" s="32">
        <f t="shared" si="161"/>
        <v>23957.857142857141</v>
      </c>
      <c r="T143" s="32">
        <f t="shared" si="161"/>
        <v>23957.857142857141</v>
      </c>
      <c r="U143" s="32">
        <f t="shared" si="161"/>
        <v>23957.857142857141</v>
      </c>
      <c r="V143" s="32">
        <f t="shared" si="161"/>
        <v>23957.857142857141</v>
      </c>
      <c r="W143" s="32">
        <f t="shared" si="161"/>
        <v>23957.857142857141</v>
      </c>
      <c r="X143" s="32">
        <f t="shared" si="161"/>
        <v>23957.857142857141</v>
      </c>
      <c r="Y143" s="32">
        <f t="shared" si="161"/>
        <v>23957.857142857141</v>
      </c>
      <c r="Z143" s="32">
        <f t="shared" si="161"/>
        <v>23957.857142857141</v>
      </c>
      <c r="AA143" s="32">
        <f t="shared" si="161"/>
        <v>23957.857142857141</v>
      </c>
      <c r="AB143" s="32">
        <f t="shared" si="161"/>
        <v>23957.857142857141</v>
      </c>
      <c r="AC143" s="32">
        <f t="shared" si="161"/>
        <v>23957.857142857141</v>
      </c>
      <c r="AD143" s="32">
        <f t="shared" si="161"/>
        <v>23957.857142857141</v>
      </c>
      <c r="AE143" s="32">
        <f t="shared" si="161"/>
        <v>23957.857142857141</v>
      </c>
      <c r="AF143" s="32">
        <f t="shared" si="161"/>
        <v>23957.857142857141</v>
      </c>
      <c r="AG143" s="32">
        <f t="shared" si="161"/>
        <v>23957.857142857141</v>
      </c>
      <c r="AH143" s="32">
        <f t="shared" si="161"/>
        <v>23957.857142857141</v>
      </c>
      <c r="AI143" s="32">
        <f t="shared" si="161"/>
        <v>23957.857142857141</v>
      </c>
      <c r="AJ143" s="32">
        <f t="shared" si="161"/>
        <v>23957.857142857141</v>
      </c>
      <c r="AK143" s="32">
        <f t="shared" si="161"/>
        <v>23957.857142857141</v>
      </c>
      <c r="AL143" s="32">
        <f t="shared" si="161"/>
        <v>23957.857142857141</v>
      </c>
      <c r="AN143" s="30">
        <f t="shared" ref="AN143" si="162">SUM(C143:N143)</f>
        <v>203546.78571428568</v>
      </c>
      <c r="AO143" s="30">
        <f t="shared" ref="AO143" si="163">SUM(O143:Z143)</f>
        <v>287494.28571428568</v>
      </c>
      <c r="AP143" s="30">
        <f t="shared" ref="AP143" si="164">SUM(AA143:AL143)</f>
        <v>287494.28571428568</v>
      </c>
    </row>
    <row r="144" spans="2:42" ht="13.8">
      <c r="B144" s="120" t="s">
        <v>310</v>
      </c>
      <c r="C144" s="32">
        <f>C53+C80+C102</f>
        <v>-2.1428571428571388</v>
      </c>
      <c r="D144" s="32">
        <f t="shared" ref="D144:AL144" si="165">D53+D80+D102</f>
        <v>4.8571428571428612</v>
      </c>
      <c r="E144" s="32">
        <f t="shared" si="165"/>
        <v>11.857142857142861</v>
      </c>
      <c r="F144" s="32">
        <f t="shared" si="165"/>
        <v>18.857142857142861</v>
      </c>
      <c r="G144" s="32">
        <f t="shared" si="165"/>
        <v>25.857142857142861</v>
      </c>
      <c r="H144" s="32">
        <f t="shared" si="165"/>
        <v>32.857142857142861</v>
      </c>
      <c r="I144" s="32">
        <f t="shared" si="165"/>
        <v>32.857142857142861</v>
      </c>
      <c r="J144" s="32">
        <f t="shared" si="165"/>
        <v>46.857142857142861</v>
      </c>
      <c r="K144" s="32">
        <f t="shared" si="165"/>
        <v>60.857142857142861</v>
      </c>
      <c r="L144" s="32">
        <f t="shared" si="165"/>
        <v>74.857142857142861</v>
      </c>
      <c r="M144" s="32">
        <f t="shared" si="165"/>
        <v>88.857142857142861</v>
      </c>
      <c r="N144" s="32">
        <f t="shared" si="165"/>
        <v>102.85714285714286</v>
      </c>
      <c r="O144" s="32">
        <f t="shared" si="165"/>
        <v>102.85714285714286</v>
      </c>
      <c r="P144" s="32">
        <f t="shared" si="165"/>
        <v>102.85714285714286</v>
      </c>
      <c r="Q144" s="32">
        <f t="shared" si="165"/>
        <v>102.85714285714286</v>
      </c>
      <c r="R144" s="32">
        <f t="shared" si="165"/>
        <v>102.85714285714286</v>
      </c>
      <c r="S144" s="32">
        <f t="shared" si="165"/>
        <v>102.85714285714286</v>
      </c>
      <c r="T144" s="32">
        <f t="shared" si="165"/>
        <v>102.85714285714286</v>
      </c>
      <c r="U144" s="32">
        <f t="shared" si="165"/>
        <v>102.85714285714286</v>
      </c>
      <c r="V144" s="32">
        <f t="shared" si="165"/>
        <v>102.85714285714286</v>
      </c>
      <c r="W144" s="32">
        <f t="shared" si="165"/>
        <v>102.85714285714286</v>
      </c>
      <c r="X144" s="32">
        <f t="shared" si="165"/>
        <v>102.85714285714286</v>
      </c>
      <c r="Y144" s="32">
        <f t="shared" si="165"/>
        <v>102.85714285714286</v>
      </c>
      <c r="Z144" s="32">
        <f t="shared" si="165"/>
        <v>102.85714285714286</v>
      </c>
      <c r="AA144" s="32">
        <f t="shared" si="165"/>
        <v>102.85714285714286</v>
      </c>
      <c r="AB144" s="32">
        <f t="shared" si="165"/>
        <v>102.85714285714286</v>
      </c>
      <c r="AC144" s="32">
        <f t="shared" si="165"/>
        <v>102.85714285714286</v>
      </c>
      <c r="AD144" s="32">
        <f t="shared" si="165"/>
        <v>102.85714285714286</v>
      </c>
      <c r="AE144" s="32">
        <f t="shared" si="165"/>
        <v>102.85714285714286</v>
      </c>
      <c r="AF144" s="32">
        <f t="shared" si="165"/>
        <v>102.85714285714286</v>
      </c>
      <c r="AG144" s="32">
        <f t="shared" si="165"/>
        <v>102.85714285714286</v>
      </c>
      <c r="AH144" s="32">
        <f t="shared" si="165"/>
        <v>102.85714285714286</v>
      </c>
      <c r="AI144" s="32">
        <f t="shared" si="165"/>
        <v>102.85714285714286</v>
      </c>
      <c r="AJ144" s="32">
        <f t="shared" si="165"/>
        <v>102.85714285714286</v>
      </c>
      <c r="AK144" s="32">
        <f t="shared" si="165"/>
        <v>102.85714285714286</v>
      </c>
      <c r="AL144" s="32">
        <f t="shared" si="165"/>
        <v>102.85714285714286</v>
      </c>
      <c r="AN144" s="30">
        <f t="shared" ref="AN144" si="166">SUM(C144:N144)</f>
        <v>499.28571428571433</v>
      </c>
      <c r="AO144" s="30">
        <f t="shared" ref="AO144" si="167">SUM(O144:Z144)</f>
        <v>1234.2857142857144</v>
      </c>
      <c r="AP144" s="30">
        <f t="shared" ref="AP144" si="168">SUM(AA144:AL144)</f>
        <v>1234.2857142857144</v>
      </c>
    </row>
    <row r="145" spans="2:42" ht="13.8">
      <c r="B145" s="120" t="s">
        <v>311</v>
      </c>
      <c r="C145" s="32">
        <f>C54+C103</f>
        <v>-69.642857142857139</v>
      </c>
      <c r="D145" s="32">
        <f t="shared" ref="D145:AL145" si="169">D54+D103</f>
        <v>-67.142857142857139</v>
      </c>
      <c r="E145" s="32">
        <f t="shared" si="169"/>
        <v>-64.642857142857139</v>
      </c>
      <c r="F145" s="32">
        <f t="shared" si="169"/>
        <v>-62.142857142857139</v>
      </c>
      <c r="G145" s="32">
        <f t="shared" si="169"/>
        <v>-59.642857142857139</v>
      </c>
      <c r="H145" s="32">
        <f t="shared" si="169"/>
        <v>-57.142857142857139</v>
      </c>
      <c r="I145" s="32">
        <f t="shared" si="169"/>
        <v>-57.142857142857139</v>
      </c>
      <c r="J145" s="32">
        <f t="shared" si="169"/>
        <v>-52.142857142857139</v>
      </c>
      <c r="K145" s="32">
        <f t="shared" si="169"/>
        <v>-47.142857142857139</v>
      </c>
      <c r="L145" s="32">
        <f t="shared" si="169"/>
        <v>-42.142857142857139</v>
      </c>
      <c r="M145" s="32">
        <f t="shared" si="169"/>
        <v>-37.142857142857139</v>
      </c>
      <c r="N145" s="32">
        <f t="shared" si="169"/>
        <v>-32.142857142857139</v>
      </c>
      <c r="O145" s="32">
        <f t="shared" si="169"/>
        <v>-32.142857142857139</v>
      </c>
      <c r="P145" s="32">
        <f t="shared" si="169"/>
        <v>-32.142857142857139</v>
      </c>
      <c r="Q145" s="32">
        <f t="shared" si="169"/>
        <v>-32.142857142857139</v>
      </c>
      <c r="R145" s="32">
        <f t="shared" si="169"/>
        <v>-32.142857142857139</v>
      </c>
      <c r="S145" s="32">
        <f t="shared" si="169"/>
        <v>-32.142857142857139</v>
      </c>
      <c r="T145" s="32">
        <f t="shared" si="169"/>
        <v>-32.142857142857139</v>
      </c>
      <c r="U145" s="32">
        <f t="shared" si="169"/>
        <v>-32.142857142857139</v>
      </c>
      <c r="V145" s="32">
        <f t="shared" si="169"/>
        <v>-32.142857142857139</v>
      </c>
      <c r="W145" s="32">
        <f t="shared" si="169"/>
        <v>-32.142857142857139</v>
      </c>
      <c r="X145" s="32">
        <f t="shared" si="169"/>
        <v>-32.142857142857139</v>
      </c>
      <c r="Y145" s="32">
        <f t="shared" si="169"/>
        <v>-32.142857142857139</v>
      </c>
      <c r="Z145" s="32">
        <f t="shared" si="169"/>
        <v>-32.142857142857139</v>
      </c>
      <c r="AA145" s="32">
        <f t="shared" si="169"/>
        <v>-32.142857142857139</v>
      </c>
      <c r="AB145" s="32">
        <f t="shared" si="169"/>
        <v>-32.142857142857139</v>
      </c>
      <c r="AC145" s="32">
        <f t="shared" si="169"/>
        <v>-32.142857142857139</v>
      </c>
      <c r="AD145" s="32">
        <f t="shared" si="169"/>
        <v>-32.142857142857139</v>
      </c>
      <c r="AE145" s="32">
        <f t="shared" si="169"/>
        <v>-32.142857142857139</v>
      </c>
      <c r="AF145" s="32">
        <f t="shared" si="169"/>
        <v>-32.142857142857139</v>
      </c>
      <c r="AG145" s="32">
        <f t="shared" si="169"/>
        <v>-32.142857142857139</v>
      </c>
      <c r="AH145" s="32">
        <f t="shared" si="169"/>
        <v>-32.142857142857139</v>
      </c>
      <c r="AI145" s="32">
        <f t="shared" si="169"/>
        <v>-32.142857142857139</v>
      </c>
      <c r="AJ145" s="32">
        <f t="shared" si="169"/>
        <v>-32.142857142857139</v>
      </c>
      <c r="AK145" s="32">
        <f t="shared" si="169"/>
        <v>-32.142857142857139</v>
      </c>
      <c r="AL145" s="32">
        <f t="shared" si="169"/>
        <v>-32.142857142857139</v>
      </c>
      <c r="AN145" s="30">
        <f t="shared" ref="AN145" si="170">SUM(C145:N145)</f>
        <v>-648.21428571428544</v>
      </c>
      <c r="AO145" s="30">
        <f t="shared" ref="AO145" si="171">SUM(O145:Z145)</f>
        <v>-385.71428571428555</v>
      </c>
      <c r="AP145" s="30">
        <f t="shared" ref="AP145" si="172">SUM(AA145:AL145)</f>
        <v>-385.71428571428555</v>
      </c>
    </row>
    <row r="146" spans="2:42" ht="13.8">
      <c r="B146" s="120" t="s">
        <v>170</v>
      </c>
      <c r="C146" s="32">
        <f>C55+C71+C104</f>
        <v>-87.542857142857144</v>
      </c>
      <c r="D146" s="32">
        <f t="shared" ref="D146:AL146" si="173">D55+D71+D104</f>
        <v>-87.542857142857144</v>
      </c>
      <c r="E146" s="32">
        <f t="shared" si="173"/>
        <v>-77.742857142857133</v>
      </c>
      <c r="F146" s="32">
        <f t="shared" si="173"/>
        <v>-77.742857142857133</v>
      </c>
      <c r="G146" s="32">
        <f t="shared" si="173"/>
        <v>-77.742857142857133</v>
      </c>
      <c r="H146" s="32">
        <f t="shared" si="173"/>
        <v>-77.742857142857133</v>
      </c>
      <c r="I146" s="32">
        <f t="shared" si="173"/>
        <v>-67.942857142857136</v>
      </c>
      <c r="J146" s="32">
        <f t="shared" si="173"/>
        <v>-67.942857142857136</v>
      </c>
      <c r="K146" s="32">
        <f t="shared" si="173"/>
        <v>-58.142857142857139</v>
      </c>
      <c r="L146" s="32">
        <f t="shared" si="173"/>
        <v>-58.142857142857139</v>
      </c>
      <c r="M146" s="32">
        <f t="shared" si="173"/>
        <v>-58.142857142857139</v>
      </c>
      <c r="N146" s="32">
        <f t="shared" si="173"/>
        <v>-48.342857142857142</v>
      </c>
      <c r="O146" s="32">
        <f t="shared" si="173"/>
        <v>-48.342857142857142</v>
      </c>
      <c r="P146" s="32">
        <f t="shared" si="173"/>
        <v>-48.342857142857142</v>
      </c>
      <c r="Q146" s="32">
        <f t="shared" si="173"/>
        <v>-48.342857142857142</v>
      </c>
      <c r="R146" s="32">
        <f t="shared" si="173"/>
        <v>-48.342857142857142</v>
      </c>
      <c r="S146" s="32">
        <f t="shared" si="173"/>
        <v>-48.342857142857142</v>
      </c>
      <c r="T146" s="32">
        <f t="shared" si="173"/>
        <v>-48.342857142857142</v>
      </c>
      <c r="U146" s="32">
        <f t="shared" si="173"/>
        <v>-48.342857142857142</v>
      </c>
      <c r="V146" s="32">
        <f t="shared" si="173"/>
        <v>-48.342857142857142</v>
      </c>
      <c r="W146" s="32">
        <f t="shared" si="173"/>
        <v>-48.342857142857142</v>
      </c>
      <c r="X146" s="32">
        <f t="shared" si="173"/>
        <v>-48.342857142857142</v>
      </c>
      <c r="Y146" s="32">
        <f t="shared" si="173"/>
        <v>-48.342857142857142</v>
      </c>
      <c r="Z146" s="32">
        <f t="shared" si="173"/>
        <v>-48.342857142857142</v>
      </c>
      <c r="AA146" s="32">
        <f t="shared" si="173"/>
        <v>-48.342857142857142</v>
      </c>
      <c r="AB146" s="32">
        <f t="shared" si="173"/>
        <v>-48.342857142857142</v>
      </c>
      <c r="AC146" s="32">
        <f t="shared" si="173"/>
        <v>-48.342857142857142</v>
      </c>
      <c r="AD146" s="32">
        <f t="shared" si="173"/>
        <v>-48.342857142857142</v>
      </c>
      <c r="AE146" s="32">
        <f t="shared" si="173"/>
        <v>-48.342857142857142</v>
      </c>
      <c r="AF146" s="32">
        <f t="shared" si="173"/>
        <v>-48.342857142857142</v>
      </c>
      <c r="AG146" s="32">
        <f t="shared" si="173"/>
        <v>-48.342857142857142</v>
      </c>
      <c r="AH146" s="32">
        <f t="shared" si="173"/>
        <v>-48.342857142857142</v>
      </c>
      <c r="AI146" s="32">
        <f t="shared" si="173"/>
        <v>-48.342857142857142</v>
      </c>
      <c r="AJ146" s="32">
        <f t="shared" si="173"/>
        <v>-48.342857142857142</v>
      </c>
      <c r="AK146" s="32">
        <f t="shared" si="173"/>
        <v>-48.342857142857142</v>
      </c>
      <c r="AL146" s="32">
        <f t="shared" si="173"/>
        <v>-48.342857142857142</v>
      </c>
      <c r="AN146" s="30">
        <f t="shared" ref="AN146" si="174">SUM(C146:N146)</f>
        <v>-844.71428571428567</v>
      </c>
      <c r="AO146" s="30">
        <f t="shared" ref="AO146" si="175">SUM(O146:Z146)</f>
        <v>-580.11428571428576</v>
      </c>
      <c r="AP146" s="30">
        <f t="shared" ref="AP146" si="176">SUM(AA146:AL146)</f>
        <v>-580.11428571428576</v>
      </c>
    </row>
    <row r="147" spans="2:42" s="14" customFormat="1">
      <c r="B147" s="15"/>
      <c r="C147" s="16"/>
      <c r="D147" s="16"/>
      <c r="E147" s="16"/>
      <c r="F147" s="16"/>
    </row>
    <row r="148" spans="2:42" ht="12">
      <c r="B148" s="24" t="s">
        <v>273</v>
      </c>
      <c r="C148" s="25">
        <f>C128</f>
        <v>23055.210427754431</v>
      </c>
      <c r="D148" s="25">
        <f>C148+D128</f>
        <v>48793.582364087299</v>
      </c>
      <c r="E148" s="25">
        <f t="shared" ref="E148:AL148" si="177">D148+E128</f>
        <v>76259.95636517134</v>
      </c>
      <c r="F148" s="25">
        <f t="shared" si="177"/>
        <v>105903.87746943336</v>
      </c>
      <c r="G148" s="25">
        <f t="shared" si="177"/>
        <v>136970.55794055291</v>
      </c>
      <c r="H148" s="25">
        <f t="shared" si="177"/>
        <v>169694.68810534885</v>
      </c>
      <c r="I148" s="25">
        <f t="shared" si="177"/>
        <v>204206.82836488818</v>
      </c>
      <c r="J148" s="25">
        <f t="shared" si="177"/>
        <v>240885.02510494823</v>
      </c>
      <c r="K148" s="25">
        <f t="shared" si="177"/>
        <v>279923.48024944746</v>
      </c>
      <c r="L148" s="25">
        <f t="shared" si="177"/>
        <v>322085.49632328947</v>
      </c>
      <c r="M148" s="25">
        <f t="shared" si="177"/>
        <v>367551.71275940991</v>
      </c>
      <c r="N148" s="25">
        <f t="shared" si="177"/>
        <v>417423.98980806395</v>
      </c>
      <c r="O148" s="25">
        <f>O128</f>
        <v>50544.092700766669</v>
      </c>
      <c r="P148" s="25">
        <f t="shared" si="177"/>
        <v>101429.91460179846</v>
      </c>
      <c r="Q148" s="25">
        <f t="shared" si="177"/>
        <v>152597.30091889313</v>
      </c>
      <c r="R148" s="25">
        <f t="shared" si="177"/>
        <v>204052.19912851602</v>
      </c>
      <c r="S148" s="25">
        <f t="shared" si="177"/>
        <v>255772.79324827989</v>
      </c>
      <c r="T148" s="25">
        <f t="shared" si="177"/>
        <v>307738.91954009683</v>
      </c>
      <c r="U148" s="25">
        <f t="shared" si="177"/>
        <v>359933.25918901246</v>
      </c>
      <c r="V148" s="25">
        <f t="shared" si="177"/>
        <v>412340.22149611346</v>
      </c>
      <c r="W148" s="25">
        <f t="shared" si="177"/>
        <v>464945.69681283151</v>
      </c>
      <c r="X148" s="25">
        <f t="shared" si="177"/>
        <v>517736.86504149117</v>
      </c>
      <c r="Y148" s="25">
        <f t="shared" si="177"/>
        <v>570702.04336411832</v>
      </c>
      <c r="Z148" s="25">
        <f t="shared" si="177"/>
        <v>623830.56212924456</v>
      </c>
      <c r="AA148" s="25">
        <f>AA128</f>
        <v>53282.099223579746</v>
      </c>
      <c r="AB148" s="25">
        <f t="shared" si="177"/>
        <v>106708.8405244326</v>
      </c>
      <c r="AC148" s="25">
        <f t="shared" si="177"/>
        <v>160272.03090310402</v>
      </c>
      <c r="AD148" s="25">
        <f t="shared" si="177"/>
        <v>213964.15584330112</v>
      </c>
      <c r="AE148" s="25">
        <f t="shared" si="177"/>
        <v>267778.31993892515</v>
      </c>
      <c r="AF148" s="25">
        <f t="shared" si="177"/>
        <v>321708.1937418069</v>
      </c>
      <c r="AG148" s="25">
        <f t="shared" si="177"/>
        <v>375747.96586203913</v>
      </c>
      <c r="AH148" s="25">
        <f t="shared" si="177"/>
        <v>429892.29958534188</v>
      </c>
      <c r="AI148" s="25">
        <f t="shared" si="177"/>
        <v>484136.29343428678</v>
      </c>
      <c r="AJ148" s="25">
        <f t="shared" si="177"/>
        <v>538475.44521522627</v>
      </c>
      <c r="AK148" s="25">
        <f t="shared" si="177"/>
        <v>592905.61917566089</v>
      </c>
      <c r="AL148" s="25">
        <f t="shared" si="177"/>
        <v>647423.01595773629</v>
      </c>
      <c r="AN148" s="25">
        <f t="shared" ref="AN148" si="178">N148</f>
        <v>417423.98980806395</v>
      </c>
      <c r="AO148" s="25">
        <f t="shared" ref="AO148" si="179">Z148</f>
        <v>623830.56212924456</v>
      </c>
      <c r="AP148" s="25">
        <f t="shared" ref="AP148" si="180">AL148</f>
        <v>647423.01595773629</v>
      </c>
    </row>
    <row r="149" spans="2:42" s="14" customFormat="1">
      <c r="B149" s="15"/>
      <c r="C149" s="16"/>
      <c r="D149" s="16"/>
      <c r="E149" s="16"/>
      <c r="F149" s="16"/>
    </row>
    <row r="150" spans="2:42" s="14" customFormat="1">
      <c r="B150" s="15"/>
      <c r="C150" s="16"/>
      <c r="D150" s="16"/>
      <c r="E150" s="16"/>
      <c r="F150" s="16"/>
    </row>
    <row r="151" spans="2:42" s="14" customFormat="1">
      <c r="B151" s="15"/>
      <c r="C151" s="16"/>
      <c r="D151" s="16"/>
      <c r="E151" s="16"/>
      <c r="F151" s="16"/>
    </row>
    <row r="152" spans="2:42" s="14" customFormat="1">
      <c r="B152" s="15"/>
      <c r="C152" s="16"/>
      <c r="D152" s="16"/>
      <c r="E152" s="16"/>
      <c r="F152" s="16"/>
    </row>
    <row r="153" spans="2:42" s="14" customFormat="1">
      <c r="B153" s="15"/>
      <c r="C153" s="16"/>
      <c r="D153" s="16"/>
      <c r="E153" s="16"/>
      <c r="F153" s="16"/>
    </row>
    <row r="154" spans="2:42" s="14" customFormat="1">
      <c r="B154" s="15"/>
      <c r="C154" s="16"/>
      <c r="D154" s="16"/>
      <c r="E154" s="16"/>
      <c r="F154" s="16"/>
    </row>
    <row r="155" spans="2:42" s="14" customFormat="1">
      <c r="B155" s="15"/>
      <c r="C155" s="16"/>
      <c r="D155" s="16"/>
      <c r="E155" s="16"/>
      <c r="F155" s="16"/>
    </row>
    <row r="156" spans="2:42" s="14" customFormat="1">
      <c r="B156" s="15"/>
      <c r="C156" s="16"/>
      <c r="D156" s="16"/>
      <c r="E156" s="16"/>
      <c r="F156" s="16"/>
    </row>
    <row r="157" spans="2:42" s="14" customFormat="1">
      <c r="B157" s="15"/>
      <c r="C157" s="16"/>
      <c r="D157" s="16"/>
      <c r="E157" s="16"/>
      <c r="F157" s="16"/>
    </row>
    <row r="158" spans="2:42" s="14" customFormat="1">
      <c r="B158" s="15"/>
      <c r="C158" s="16"/>
      <c r="D158" s="16"/>
      <c r="E158" s="16"/>
      <c r="F158" s="16"/>
    </row>
    <row r="159" spans="2:42" s="14" customFormat="1">
      <c r="B159" s="15"/>
      <c r="C159" s="16"/>
      <c r="D159" s="16"/>
      <c r="E159" s="16"/>
      <c r="F159" s="16"/>
    </row>
    <row r="160" spans="2:42" s="14" customFormat="1">
      <c r="B160" s="15"/>
      <c r="C160" s="16"/>
      <c r="D160" s="16"/>
      <c r="E160" s="16"/>
      <c r="F160" s="16"/>
    </row>
    <row r="161" spans="2:6" s="14" customFormat="1">
      <c r="B161" s="15"/>
      <c r="C161" s="16"/>
      <c r="D161" s="16"/>
      <c r="E161" s="16"/>
      <c r="F161" s="16"/>
    </row>
    <row r="162" spans="2:6" s="14" customFormat="1">
      <c r="B162" s="15"/>
      <c r="C162" s="16"/>
      <c r="D162" s="16"/>
      <c r="E162" s="16"/>
      <c r="F162" s="16"/>
    </row>
    <row r="163" spans="2:6" s="14" customFormat="1">
      <c r="B163" s="15"/>
      <c r="C163" s="16"/>
      <c r="D163" s="16"/>
      <c r="E163" s="16"/>
      <c r="F163" s="16"/>
    </row>
    <row r="164" spans="2:6" s="14" customFormat="1">
      <c r="B164" s="15"/>
      <c r="C164" s="16"/>
      <c r="D164" s="16"/>
      <c r="E164" s="16"/>
      <c r="F164" s="16"/>
    </row>
    <row r="165" spans="2:6" s="14" customFormat="1">
      <c r="B165" s="15"/>
      <c r="C165" s="16"/>
      <c r="D165" s="16"/>
      <c r="E165" s="16"/>
      <c r="F165" s="16"/>
    </row>
    <row r="166" spans="2:6" s="14" customFormat="1">
      <c r="B166" s="15"/>
      <c r="C166" s="16"/>
      <c r="D166" s="16"/>
      <c r="E166" s="16"/>
      <c r="F166" s="16"/>
    </row>
    <row r="167" spans="2:6" s="14" customFormat="1">
      <c r="B167" s="15"/>
      <c r="C167" s="16"/>
      <c r="D167" s="16"/>
      <c r="E167" s="16"/>
      <c r="F167" s="16"/>
    </row>
    <row r="168" spans="2:6" s="14" customFormat="1">
      <c r="B168" s="15"/>
      <c r="C168" s="16"/>
      <c r="D168" s="16"/>
      <c r="E168" s="16"/>
      <c r="F168" s="16"/>
    </row>
    <row r="169" spans="2:6" s="14" customFormat="1">
      <c r="B169" s="15"/>
      <c r="C169" s="16"/>
      <c r="D169" s="16"/>
      <c r="E169" s="16"/>
      <c r="F169" s="16"/>
    </row>
    <row r="170" spans="2:6" s="14" customFormat="1">
      <c r="B170" s="15"/>
      <c r="C170" s="16"/>
      <c r="D170" s="16"/>
      <c r="E170" s="16"/>
      <c r="F170" s="16"/>
    </row>
    <row r="171" spans="2:6" s="14" customFormat="1">
      <c r="B171" s="15"/>
      <c r="C171" s="16"/>
      <c r="D171" s="16"/>
      <c r="E171" s="16"/>
      <c r="F171" s="16"/>
    </row>
    <row r="172" spans="2:6" s="14" customFormat="1">
      <c r="B172" s="15"/>
      <c r="C172" s="16"/>
      <c r="D172" s="16"/>
      <c r="E172" s="16"/>
      <c r="F172" s="16"/>
    </row>
    <row r="173" spans="2:6" s="14" customFormat="1">
      <c r="B173" s="15"/>
      <c r="C173" s="16"/>
      <c r="D173" s="16"/>
      <c r="E173" s="16"/>
      <c r="F173" s="16"/>
    </row>
    <row r="174" spans="2:6" s="14" customFormat="1">
      <c r="B174" s="15"/>
      <c r="C174" s="16"/>
      <c r="D174" s="16"/>
      <c r="E174" s="16"/>
      <c r="F174" s="16"/>
    </row>
    <row r="175" spans="2:6" s="14" customFormat="1">
      <c r="B175" s="15"/>
      <c r="C175" s="16"/>
      <c r="D175" s="16"/>
      <c r="E175" s="16"/>
      <c r="F175" s="16"/>
    </row>
    <row r="176" spans="2:6" s="14" customFormat="1">
      <c r="B176" s="15"/>
      <c r="C176" s="16"/>
      <c r="D176" s="16"/>
      <c r="E176" s="16"/>
      <c r="F176" s="16"/>
    </row>
    <row r="177" spans="2:6" s="14" customFormat="1">
      <c r="B177" s="15"/>
      <c r="C177" s="16"/>
      <c r="D177" s="16"/>
      <c r="E177" s="16"/>
      <c r="F177" s="16"/>
    </row>
    <row r="178" spans="2:6" s="14" customFormat="1">
      <c r="B178" s="15"/>
      <c r="C178" s="16"/>
      <c r="D178" s="16"/>
      <c r="E178" s="16"/>
      <c r="F178" s="16"/>
    </row>
    <row r="179" spans="2:6" s="14" customFormat="1">
      <c r="B179" s="15"/>
      <c r="C179" s="16"/>
      <c r="D179" s="16"/>
      <c r="E179" s="16"/>
      <c r="F179" s="16"/>
    </row>
    <row r="180" spans="2:6" s="14" customFormat="1">
      <c r="B180" s="15"/>
      <c r="C180" s="16"/>
      <c r="D180" s="16"/>
      <c r="E180" s="16"/>
      <c r="F180" s="16"/>
    </row>
    <row r="181" spans="2:6" s="14" customFormat="1">
      <c r="B181" s="15"/>
      <c r="C181" s="16"/>
      <c r="D181" s="16"/>
      <c r="E181" s="16"/>
      <c r="F181" s="16"/>
    </row>
    <row r="182" spans="2:6" s="14" customFormat="1">
      <c r="B182" s="15"/>
      <c r="C182" s="16"/>
      <c r="D182" s="16"/>
      <c r="E182" s="16"/>
      <c r="F182" s="16"/>
    </row>
    <row r="183" spans="2:6" s="14" customFormat="1">
      <c r="B183" s="15"/>
      <c r="C183" s="16"/>
      <c r="D183" s="16"/>
      <c r="E183" s="16"/>
      <c r="F183" s="16"/>
    </row>
    <row r="184" spans="2:6" s="14" customFormat="1">
      <c r="B184" s="15"/>
      <c r="C184" s="16"/>
      <c r="D184" s="16"/>
      <c r="E184" s="16"/>
      <c r="F184" s="16"/>
    </row>
    <row r="185" spans="2:6" s="14" customFormat="1">
      <c r="B185" s="15"/>
      <c r="C185" s="16"/>
      <c r="D185" s="16"/>
      <c r="E185" s="16"/>
      <c r="F185" s="16"/>
    </row>
    <row r="186" spans="2:6" s="14" customFormat="1">
      <c r="B186" s="15"/>
      <c r="C186" s="16"/>
      <c r="D186" s="16"/>
      <c r="E186" s="16"/>
      <c r="F186" s="16"/>
    </row>
    <row r="187" spans="2:6" s="14" customFormat="1">
      <c r="B187" s="15"/>
      <c r="C187" s="16"/>
      <c r="D187" s="16"/>
      <c r="E187" s="16"/>
      <c r="F187" s="16"/>
    </row>
    <row r="188" spans="2:6" s="14" customFormat="1">
      <c r="B188" s="15"/>
      <c r="C188" s="16"/>
      <c r="D188" s="16"/>
      <c r="E188" s="16"/>
      <c r="F188" s="16"/>
    </row>
    <row r="189" spans="2:6" s="14" customFormat="1">
      <c r="B189" s="15"/>
      <c r="C189" s="16"/>
      <c r="D189" s="16"/>
      <c r="E189" s="16"/>
      <c r="F189" s="16"/>
    </row>
    <row r="190" spans="2:6" s="14" customFormat="1">
      <c r="B190" s="15"/>
      <c r="C190" s="16"/>
      <c r="D190" s="16"/>
      <c r="E190" s="16"/>
      <c r="F190" s="16"/>
    </row>
    <row r="191" spans="2:6" s="14" customFormat="1">
      <c r="B191" s="15"/>
      <c r="C191" s="16"/>
      <c r="D191" s="16"/>
      <c r="E191" s="16"/>
      <c r="F191" s="16"/>
    </row>
    <row r="192" spans="2:6" s="14" customFormat="1">
      <c r="B192" s="15"/>
      <c r="C192" s="16"/>
      <c r="D192" s="16"/>
      <c r="E192" s="16"/>
      <c r="F192" s="16"/>
    </row>
    <row r="193" spans="2:6" s="14" customFormat="1">
      <c r="B193" s="15"/>
      <c r="C193" s="16"/>
      <c r="D193" s="16"/>
      <c r="E193" s="16"/>
      <c r="F193" s="16"/>
    </row>
    <row r="194" spans="2:6" s="14" customFormat="1">
      <c r="B194" s="15"/>
      <c r="C194" s="16"/>
      <c r="D194" s="16"/>
      <c r="E194" s="16"/>
      <c r="F194" s="16"/>
    </row>
    <row r="195" spans="2:6" s="14" customFormat="1">
      <c r="B195" s="15"/>
      <c r="C195" s="16"/>
      <c r="D195" s="16"/>
      <c r="E195" s="16"/>
      <c r="F195" s="16"/>
    </row>
    <row r="196" spans="2:6" s="14" customFormat="1">
      <c r="B196" s="15"/>
      <c r="C196" s="16"/>
      <c r="D196" s="16"/>
      <c r="E196" s="16"/>
      <c r="F196" s="16"/>
    </row>
    <row r="197" spans="2:6" s="14" customFormat="1">
      <c r="B197" s="15"/>
      <c r="C197" s="16"/>
      <c r="D197" s="16"/>
      <c r="E197" s="16"/>
      <c r="F197" s="16"/>
    </row>
    <row r="198" spans="2:6" s="14" customFormat="1">
      <c r="B198" s="15"/>
      <c r="C198" s="16"/>
      <c r="D198" s="16"/>
      <c r="E198" s="16"/>
      <c r="F198" s="16"/>
    </row>
    <row r="199" spans="2:6" s="14" customFormat="1">
      <c r="B199" s="15"/>
      <c r="C199" s="16"/>
      <c r="D199" s="16"/>
      <c r="E199" s="16"/>
      <c r="F199" s="16"/>
    </row>
    <row r="200" spans="2:6" s="14" customFormat="1">
      <c r="B200" s="15"/>
      <c r="C200" s="16"/>
      <c r="D200" s="16"/>
      <c r="E200" s="16"/>
      <c r="F200" s="16"/>
    </row>
    <row r="201" spans="2:6" s="14" customFormat="1">
      <c r="B201" s="15"/>
      <c r="C201" s="16"/>
      <c r="D201" s="16"/>
      <c r="E201" s="16"/>
      <c r="F201" s="16"/>
    </row>
    <row r="202" spans="2:6" s="14" customFormat="1">
      <c r="B202" s="15"/>
      <c r="C202" s="16"/>
      <c r="D202" s="16"/>
      <c r="E202" s="16"/>
      <c r="F202" s="16"/>
    </row>
    <row r="203" spans="2:6" s="14" customFormat="1">
      <c r="B203" s="15"/>
      <c r="C203" s="16"/>
      <c r="D203" s="16"/>
      <c r="E203" s="16"/>
      <c r="F203" s="16"/>
    </row>
    <row r="204" spans="2:6" s="14" customFormat="1">
      <c r="B204" s="15"/>
      <c r="C204" s="16"/>
      <c r="D204" s="16"/>
      <c r="E204" s="16"/>
      <c r="F204" s="16"/>
    </row>
    <row r="205" spans="2:6" s="14" customFormat="1">
      <c r="B205" s="15"/>
      <c r="C205" s="16"/>
      <c r="D205" s="16"/>
      <c r="E205" s="16"/>
      <c r="F205" s="16"/>
    </row>
    <row r="206" spans="2:6" s="14" customFormat="1">
      <c r="B206" s="15"/>
      <c r="C206" s="16"/>
      <c r="D206" s="16"/>
      <c r="E206" s="16"/>
      <c r="F206" s="16"/>
    </row>
    <row r="207" spans="2:6" s="14" customFormat="1">
      <c r="B207" s="15"/>
      <c r="C207" s="16"/>
      <c r="D207" s="16"/>
      <c r="E207" s="16"/>
      <c r="F207" s="16"/>
    </row>
    <row r="208" spans="2:6" s="14" customFormat="1">
      <c r="B208" s="15"/>
      <c r="C208" s="16"/>
      <c r="D208" s="16"/>
      <c r="E208" s="16"/>
      <c r="F208" s="16"/>
    </row>
    <row r="209" spans="2:6" s="14" customFormat="1">
      <c r="B209" s="15"/>
      <c r="C209" s="16"/>
      <c r="D209" s="16"/>
      <c r="E209" s="16"/>
      <c r="F209" s="16"/>
    </row>
    <row r="210" spans="2:6" s="14" customFormat="1">
      <c r="B210" s="15"/>
      <c r="C210" s="16"/>
      <c r="D210" s="16"/>
      <c r="E210" s="16"/>
      <c r="F210" s="16"/>
    </row>
    <row r="211" spans="2:6" s="14" customFormat="1">
      <c r="B211" s="15"/>
      <c r="C211" s="16"/>
      <c r="D211" s="16"/>
      <c r="E211" s="16"/>
      <c r="F211" s="16"/>
    </row>
    <row r="212" spans="2:6" s="14" customFormat="1">
      <c r="B212" s="15"/>
      <c r="C212" s="16"/>
      <c r="D212" s="16"/>
      <c r="E212" s="16"/>
      <c r="F212" s="16"/>
    </row>
    <row r="213" spans="2:6" s="14" customFormat="1">
      <c r="B213" s="15"/>
      <c r="C213" s="16"/>
      <c r="D213" s="16"/>
      <c r="E213" s="16"/>
      <c r="F213" s="16"/>
    </row>
    <row r="214" spans="2:6" s="14" customFormat="1">
      <c r="B214" s="15"/>
      <c r="C214" s="16"/>
      <c r="D214" s="16"/>
      <c r="E214" s="16"/>
      <c r="F214" s="16"/>
    </row>
    <row r="215" spans="2:6" s="14" customFormat="1">
      <c r="B215" s="15"/>
      <c r="C215" s="16"/>
      <c r="D215" s="16"/>
      <c r="E215" s="16"/>
      <c r="F215" s="16"/>
    </row>
    <row r="216" spans="2:6" s="14" customFormat="1">
      <c r="B216" s="15"/>
      <c r="C216" s="16"/>
      <c r="D216" s="16"/>
      <c r="E216" s="16"/>
      <c r="F216" s="16"/>
    </row>
    <row r="217" spans="2:6" s="14" customFormat="1">
      <c r="B217" s="15"/>
      <c r="C217" s="16"/>
      <c r="D217" s="16"/>
      <c r="E217" s="16"/>
      <c r="F217" s="16"/>
    </row>
    <row r="218" spans="2:6" s="14" customFormat="1">
      <c r="B218" s="15"/>
      <c r="C218" s="16"/>
      <c r="D218" s="16"/>
      <c r="E218" s="16"/>
      <c r="F218" s="16"/>
    </row>
    <row r="219" spans="2:6" s="14" customFormat="1">
      <c r="B219" s="15"/>
      <c r="C219" s="16"/>
      <c r="D219" s="16"/>
      <c r="E219" s="16"/>
      <c r="F219" s="16"/>
    </row>
    <row r="220" spans="2:6" s="14" customFormat="1">
      <c r="B220" s="15"/>
      <c r="C220" s="16"/>
      <c r="D220" s="16"/>
      <c r="E220" s="16"/>
      <c r="F220" s="16"/>
    </row>
    <row r="221" spans="2:6" s="14" customFormat="1">
      <c r="B221" s="15"/>
      <c r="C221" s="16"/>
      <c r="D221" s="16"/>
      <c r="E221" s="16"/>
      <c r="F221" s="16"/>
    </row>
    <row r="222" spans="2:6" s="14" customFormat="1">
      <c r="B222" s="15"/>
      <c r="C222" s="16"/>
      <c r="D222" s="16"/>
      <c r="E222" s="16"/>
      <c r="F222" s="16"/>
    </row>
    <row r="223" spans="2:6" s="14" customFormat="1">
      <c r="B223" s="15"/>
      <c r="C223" s="16"/>
      <c r="D223" s="16"/>
      <c r="E223" s="16"/>
      <c r="F223" s="16"/>
    </row>
    <row r="224" spans="2:6" s="14" customFormat="1">
      <c r="B224" s="15"/>
      <c r="C224" s="16"/>
      <c r="D224" s="16"/>
      <c r="E224" s="16"/>
      <c r="F224" s="16"/>
    </row>
    <row r="225" spans="2:6" s="14" customFormat="1">
      <c r="B225" s="15"/>
      <c r="C225" s="16"/>
      <c r="D225" s="16"/>
      <c r="E225" s="16"/>
      <c r="F225" s="16"/>
    </row>
    <row r="226" spans="2:6" s="14" customFormat="1">
      <c r="B226" s="15"/>
      <c r="C226" s="16"/>
      <c r="D226" s="16"/>
      <c r="E226" s="16"/>
      <c r="F226" s="16"/>
    </row>
    <row r="227" spans="2:6" s="14" customFormat="1">
      <c r="B227" s="15"/>
      <c r="C227" s="16"/>
      <c r="D227" s="16"/>
      <c r="E227" s="16"/>
      <c r="F227" s="16"/>
    </row>
    <row r="228" spans="2:6" s="14" customFormat="1">
      <c r="B228" s="15"/>
      <c r="C228" s="16"/>
      <c r="D228" s="16"/>
      <c r="E228" s="16"/>
      <c r="F228" s="16"/>
    </row>
    <row r="229" spans="2:6" s="14" customFormat="1">
      <c r="B229" s="15"/>
      <c r="C229" s="16"/>
      <c r="D229" s="16"/>
      <c r="E229" s="16"/>
      <c r="F229" s="16"/>
    </row>
    <row r="230" spans="2:6" s="14" customFormat="1">
      <c r="B230" s="15"/>
      <c r="C230" s="16"/>
      <c r="D230" s="16"/>
      <c r="E230" s="16"/>
      <c r="F230" s="16"/>
    </row>
    <row r="231" spans="2:6" s="14" customFormat="1">
      <c r="B231" s="15"/>
      <c r="C231" s="16"/>
      <c r="D231" s="16"/>
      <c r="E231" s="16"/>
      <c r="F231" s="16"/>
    </row>
    <row r="232" spans="2:6" s="14" customFormat="1">
      <c r="B232" s="15"/>
      <c r="C232" s="16"/>
      <c r="D232" s="16"/>
      <c r="E232" s="16"/>
      <c r="F232" s="16"/>
    </row>
    <row r="233" spans="2:6" s="14" customFormat="1">
      <c r="B233" s="15"/>
      <c r="C233" s="16"/>
      <c r="D233" s="16"/>
      <c r="E233" s="16"/>
      <c r="F233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CF7F-C034-4D05-AE5D-A61D6A0D9099}">
  <sheetPr>
    <tabColor theme="0"/>
  </sheetPr>
  <dimension ref="A1:AR198"/>
  <sheetViews>
    <sheetView zoomScale="110" zoomScaleNormal="11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18" sqref="D18"/>
    </sheetView>
  </sheetViews>
  <sheetFormatPr defaultColWidth="8" defaultRowHeight="11.4" outlineLevelCol="1"/>
  <cols>
    <col min="1" max="1" width="33.33203125" style="19" customWidth="1"/>
    <col min="2" max="2" width="12.6640625" style="19" bestFit="1" customWidth="1"/>
    <col min="3" max="3" width="46" style="35" customWidth="1"/>
    <col min="4" max="4" width="8.109375" style="35" customWidth="1"/>
    <col min="5" max="8" width="9" style="36" customWidth="1" outlineLevel="1"/>
    <col min="9" max="40" width="9" style="19" customWidth="1" outlineLevel="1"/>
    <col min="41" max="41" width="3.5546875" style="14" customWidth="1"/>
    <col min="42" max="42" width="9.6640625" style="19" bestFit="1" customWidth="1"/>
    <col min="43" max="44" width="9" style="19" customWidth="1"/>
    <col min="45" max="16384" width="8" style="19"/>
  </cols>
  <sheetData>
    <row r="1" spans="1:44" s="4" customFormat="1" ht="15.6">
      <c r="A1" s="1" t="s">
        <v>246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P1" s="3"/>
      <c r="AQ1" s="3"/>
      <c r="AR1" s="3"/>
    </row>
    <row r="2" spans="1:44" s="6" customFormat="1">
      <c r="A2" s="5" t="s">
        <v>0</v>
      </c>
      <c r="B2" s="5"/>
      <c r="U2" s="7"/>
      <c r="V2" s="7"/>
    </row>
    <row r="3" spans="1:44" s="6" customFormat="1">
      <c r="A3" s="5"/>
      <c r="B3" s="5"/>
      <c r="C3" s="5"/>
      <c r="D3" s="5"/>
      <c r="U3" s="7"/>
      <c r="V3" s="7"/>
    </row>
    <row r="4" spans="1:44" s="12" customFormat="1" ht="13.2">
      <c r="A4" s="8"/>
      <c r="B4" s="8"/>
      <c r="C4" s="8"/>
      <c r="D4" s="8"/>
      <c r="E4" s="9">
        <v>46023</v>
      </c>
      <c r="F4" s="9">
        <f>E4+31</f>
        <v>46054</v>
      </c>
      <c r="G4" s="9">
        <f t="shared" ref="G4:AN4" si="0">F4+31</f>
        <v>46085</v>
      </c>
      <c r="H4" s="9">
        <f t="shared" si="0"/>
        <v>46116</v>
      </c>
      <c r="I4" s="9">
        <f t="shared" si="0"/>
        <v>46147</v>
      </c>
      <c r="J4" s="9">
        <f t="shared" si="0"/>
        <v>46178</v>
      </c>
      <c r="K4" s="9">
        <f t="shared" si="0"/>
        <v>46209</v>
      </c>
      <c r="L4" s="9">
        <f t="shared" si="0"/>
        <v>46240</v>
      </c>
      <c r="M4" s="9">
        <f t="shared" si="0"/>
        <v>46271</v>
      </c>
      <c r="N4" s="9">
        <f t="shared" si="0"/>
        <v>46302</v>
      </c>
      <c r="O4" s="9">
        <f t="shared" si="0"/>
        <v>46333</v>
      </c>
      <c r="P4" s="9">
        <f t="shared" si="0"/>
        <v>46364</v>
      </c>
      <c r="Q4" s="9">
        <f t="shared" si="0"/>
        <v>46395</v>
      </c>
      <c r="R4" s="9">
        <f t="shared" si="0"/>
        <v>46426</v>
      </c>
      <c r="S4" s="9">
        <f t="shared" si="0"/>
        <v>46457</v>
      </c>
      <c r="T4" s="9">
        <f t="shared" si="0"/>
        <v>46488</v>
      </c>
      <c r="U4" s="9">
        <f t="shared" si="0"/>
        <v>46519</v>
      </c>
      <c r="V4" s="9">
        <f t="shared" si="0"/>
        <v>46550</v>
      </c>
      <c r="W4" s="9">
        <f t="shared" si="0"/>
        <v>46581</v>
      </c>
      <c r="X4" s="9">
        <f t="shared" si="0"/>
        <v>46612</v>
      </c>
      <c r="Y4" s="9">
        <f t="shared" si="0"/>
        <v>46643</v>
      </c>
      <c r="Z4" s="9">
        <f t="shared" si="0"/>
        <v>46674</v>
      </c>
      <c r="AA4" s="9">
        <f t="shared" si="0"/>
        <v>46705</v>
      </c>
      <c r="AB4" s="9">
        <f t="shared" si="0"/>
        <v>46736</v>
      </c>
      <c r="AC4" s="9">
        <f t="shared" si="0"/>
        <v>46767</v>
      </c>
      <c r="AD4" s="9">
        <f t="shared" si="0"/>
        <v>46798</v>
      </c>
      <c r="AE4" s="9">
        <f t="shared" si="0"/>
        <v>46829</v>
      </c>
      <c r="AF4" s="9">
        <f t="shared" si="0"/>
        <v>46860</v>
      </c>
      <c r="AG4" s="9">
        <f t="shared" si="0"/>
        <v>46891</v>
      </c>
      <c r="AH4" s="9">
        <f t="shared" si="0"/>
        <v>46922</v>
      </c>
      <c r="AI4" s="9">
        <f t="shared" si="0"/>
        <v>46953</v>
      </c>
      <c r="AJ4" s="9">
        <f t="shared" si="0"/>
        <v>46984</v>
      </c>
      <c r="AK4" s="9">
        <f t="shared" si="0"/>
        <v>47015</v>
      </c>
      <c r="AL4" s="9">
        <f t="shared" si="0"/>
        <v>47046</v>
      </c>
      <c r="AM4" s="9">
        <f t="shared" si="0"/>
        <v>47077</v>
      </c>
      <c r="AN4" s="9">
        <f t="shared" si="0"/>
        <v>47108</v>
      </c>
      <c r="AO4" s="10"/>
      <c r="AP4" s="11">
        <f>YEAR(P4)</f>
        <v>2026</v>
      </c>
      <c r="AQ4" s="11">
        <f>YEAR(AB4)</f>
        <v>2027</v>
      </c>
      <c r="AR4" s="11">
        <f>YEAR(AN4)</f>
        <v>2028</v>
      </c>
    </row>
    <row r="5" spans="1:44" s="12" customFormat="1" ht="13.2">
      <c r="A5" s="13" t="s">
        <v>239</v>
      </c>
      <c r="B5" s="13" t="s">
        <v>241</v>
      </c>
      <c r="C5" s="13" t="s">
        <v>245</v>
      </c>
      <c r="D5" s="13"/>
      <c r="E5" s="13" t="s">
        <v>1</v>
      </c>
      <c r="F5" s="13" t="s">
        <v>2</v>
      </c>
      <c r="G5" s="13" t="s">
        <v>3</v>
      </c>
      <c r="H5" s="13" t="s">
        <v>4</v>
      </c>
      <c r="I5" s="13" t="s">
        <v>5</v>
      </c>
      <c r="J5" s="13" t="s">
        <v>6</v>
      </c>
      <c r="K5" s="13" t="s">
        <v>7</v>
      </c>
      <c r="L5" s="13" t="s">
        <v>8</v>
      </c>
      <c r="M5" s="13" t="s">
        <v>9</v>
      </c>
      <c r="N5" s="13" t="s">
        <v>10</v>
      </c>
      <c r="O5" s="13" t="s">
        <v>11</v>
      </c>
      <c r="P5" s="13" t="s">
        <v>12</v>
      </c>
      <c r="Q5" s="13" t="s">
        <v>13</v>
      </c>
      <c r="R5" s="13" t="s">
        <v>14</v>
      </c>
      <c r="S5" s="13" t="s">
        <v>15</v>
      </c>
      <c r="T5" s="13" t="s">
        <v>16</v>
      </c>
      <c r="U5" s="13" t="s">
        <v>17</v>
      </c>
      <c r="V5" s="13" t="s">
        <v>18</v>
      </c>
      <c r="W5" s="13" t="s">
        <v>19</v>
      </c>
      <c r="X5" s="13" t="s">
        <v>20</v>
      </c>
      <c r="Y5" s="13" t="s">
        <v>21</v>
      </c>
      <c r="Z5" s="13" t="s">
        <v>22</v>
      </c>
      <c r="AA5" s="13" t="s">
        <v>23</v>
      </c>
      <c r="AB5" s="13" t="s">
        <v>24</v>
      </c>
      <c r="AC5" s="13" t="s">
        <v>25</v>
      </c>
      <c r="AD5" s="13" t="s">
        <v>26</v>
      </c>
      <c r="AE5" s="13" t="s">
        <v>27</v>
      </c>
      <c r="AF5" s="13" t="s">
        <v>28</v>
      </c>
      <c r="AG5" s="13" t="s">
        <v>29</v>
      </c>
      <c r="AH5" s="13" t="s">
        <v>30</v>
      </c>
      <c r="AI5" s="13" t="s">
        <v>31</v>
      </c>
      <c r="AJ5" s="13" t="s">
        <v>32</v>
      </c>
      <c r="AK5" s="13" t="s">
        <v>33</v>
      </c>
      <c r="AL5" s="13" t="s">
        <v>34</v>
      </c>
      <c r="AM5" s="13" t="s">
        <v>35</v>
      </c>
      <c r="AN5" s="13" t="s">
        <v>36</v>
      </c>
      <c r="AO5" s="10"/>
      <c r="AP5" s="13" t="s">
        <v>37</v>
      </c>
      <c r="AQ5" s="13" t="s">
        <v>38</v>
      </c>
      <c r="AR5" s="13" t="s">
        <v>39</v>
      </c>
    </row>
    <row r="6" spans="1:44" s="14" customFormat="1" ht="8.4" customHeight="1">
      <c r="E6" s="16"/>
      <c r="F6" s="16"/>
      <c r="G6" s="16"/>
      <c r="H6" s="16"/>
    </row>
    <row r="7" spans="1:44" s="14" customFormat="1" ht="12">
      <c r="A7" s="37"/>
      <c r="B7" s="37" t="s">
        <v>332</v>
      </c>
      <c r="C7" s="38" t="s">
        <v>42</v>
      </c>
      <c r="D7" s="114" t="s">
        <v>254</v>
      </c>
      <c r="E7" s="30">
        <f t="shared" ref="E7:AN7" si="1">E19+E25+E27+E29+E31+E33+E38+E50+E60+E69+E75+E87+E95+E98+E113+E104+E107+E110</f>
        <v>1351.0944742063491</v>
      </c>
      <c r="F7" s="30">
        <f t="shared" si="1"/>
        <v>1344.7562346230156</v>
      </c>
      <c r="G7" s="30">
        <f t="shared" si="1"/>
        <v>1361.4106814080369</v>
      </c>
      <c r="H7" s="30">
        <f t="shared" si="1"/>
        <v>1377.3971587726182</v>
      </c>
      <c r="I7" s="30">
        <f t="shared" si="1"/>
        <v>1393.065262401735</v>
      </c>
      <c r="J7" s="30">
        <f t="shared" si="1"/>
        <v>1408.4098251837477</v>
      </c>
      <c r="K7" s="30">
        <f t="shared" si="1"/>
        <v>1422.6539176121571</v>
      </c>
      <c r="L7" s="30">
        <f t="shared" si="1"/>
        <v>1437.4502756692918</v>
      </c>
      <c r="M7" s="30">
        <f t="shared" si="1"/>
        <v>1453.2977583648615</v>
      </c>
      <c r="N7" s="30">
        <f t="shared" si="1"/>
        <v>1470.0749425675531</v>
      </c>
      <c r="O7" s="30">
        <f t="shared" si="1"/>
        <v>1487.7554783456874</v>
      </c>
      <c r="P7" s="30">
        <f t="shared" si="1"/>
        <v>1506.0341773456742</v>
      </c>
      <c r="Q7" s="30">
        <f t="shared" si="1"/>
        <v>1523.0834934792226</v>
      </c>
      <c r="R7" s="30">
        <f t="shared" si="1"/>
        <v>1538.6981340096136</v>
      </c>
      <c r="S7" s="30">
        <f t="shared" si="1"/>
        <v>1553.0299620524981</v>
      </c>
      <c r="T7" s="30">
        <f t="shared" si="1"/>
        <v>1566.2069154247781</v>
      </c>
      <c r="U7" s="30">
        <f t="shared" si="1"/>
        <v>1578.3387925847717</v>
      </c>
      <c r="V7" s="30">
        <f t="shared" si="1"/>
        <v>1589.5212928517133</v>
      </c>
      <c r="W7" s="30">
        <f t="shared" si="1"/>
        <v>1599.8388742815048</v>
      </c>
      <c r="X7" s="30">
        <f t="shared" si="1"/>
        <v>1609.3668098394432</v>
      </c>
      <c r="Y7" s="30">
        <f t="shared" si="1"/>
        <v>1618.1726967254792</v>
      </c>
      <c r="Z7" s="30">
        <f t="shared" si="1"/>
        <v>1626.3175897720082</v>
      </c>
      <c r="AA7" s="30">
        <f t="shared" si="1"/>
        <v>1633.856873793615</v>
      </c>
      <c r="AB7" s="30">
        <f t="shared" si="1"/>
        <v>1640.8409523311636</v>
      </c>
      <c r="AC7" s="30">
        <f t="shared" si="1"/>
        <v>1647.3158052042718</v>
      </c>
      <c r="AD7" s="30">
        <f t="shared" si="1"/>
        <v>1653.3234505360865</v>
      </c>
      <c r="AE7" s="30">
        <f t="shared" si="1"/>
        <v>1658.9023356882901</v>
      </c>
      <c r="AF7" s="30">
        <f t="shared" si="1"/>
        <v>1664.0876740058879</v>
      </c>
      <c r="AG7" s="30">
        <f t="shared" si="1"/>
        <v>1668.9117391958548</v>
      </c>
      <c r="AH7" s="30">
        <f t="shared" si="1"/>
        <v>1673.4041257342521</v>
      </c>
      <c r="AI7" s="30">
        <f t="shared" si="1"/>
        <v>1677.591981368093</v>
      </c>
      <c r="AJ7" s="30">
        <f t="shared" si="1"/>
        <v>1681.500216187417</v>
      </c>
      <c r="AK7" s="30">
        <f t="shared" si="1"/>
        <v>1685.1516916470882</v>
      </c>
      <c r="AL7" s="30">
        <f t="shared" si="1"/>
        <v>1688.5673921546963</v>
      </c>
      <c r="AM7" s="30">
        <f t="shared" si="1"/>
        <v>1691.7665813023527</v>
      </c>
      <c r="AN7" s="30">
        <f t="shared" si="1"/>
        <v>1694.7669444337321</v>
      </c>
      <c r="AP7" s="30">
        <f>SUM(E7:P7)</f>
        <v>17013.400186500727</v>
      </c>
      <c r="AQ7" s="30">
        <f>SUM(Q7:AB7)</f>
        <v>19077.272387145815</v>
      </c>
      <c r="AR7" s="30">
        <f>SUM(AC7:AN7)</f>
        <v>20085.289937458023</v>
      </c>
    </row>
    <row r="8" spans="1:44" ht="12">
      <c r="A8" s="133"/>
      <c r="B8" s="37" t="s">
        <v>332</v>
      </c>
      <c r="C8" s="38" t="s">
        <v>43</v>
      </c>
      <c r="D8" s="114" t="s">
        <v>78</v>
      </c>
      <c r="E8" s="30">
        <f>E45+E52+E64+E72+E82+E101</f>
        <v>0</v>
      </c>
      <c r="F8" s="30">
        <f t="shared" ref="F8:AN8" si="2">F45+F52+F64+F72+F82+F101</f>
        <v>42.5</v>
      </c>
      <c r="G8" s="30">
        <f t="shared" si="2"/>
        <v>170</v>
      </c>
      <c r="H8" s="30">
        <f t="shared" si="2"/>
        <v>233.75</v>
      </c>
      <c r="I8" s="30">
        <f t="shared" si="2"/>
        <v>283.33333333333331</v>
      </c>
      <c r="J8" s="30">
        <f t="shared" si="2"/>
        <v>283.33333333333331</v>
      </c>
      <c r="K8" s="30">
        <f t="shared" si="2"/>
        <v>283.33333333333331</v>
      </c>
      <c r="L8" s="30">
        <f t="shared" si="2"/>
        <v>283.33333333333331</v>
      </c>
      <c r="M8" s="30">
        <f t="shared" si="2"/>
        <v>332.91666666666669</v>
      </c>
      <c r="N8" s="30">
        <f t="shared" si="2"/>
        <v>332.91666666666669</v>
      </c>
      <c r="O8" s="30">
        <f t="shared" si="2"/>
        <v>332.91666666666669</v>
      </c>
      <c r="P8" s="30">
        <f t="shared" si="2"/>
        <v>332.91666666666669</v>
      </c>
      <c r="Q8" s="30">
        <f t="shared" si="2"/>
        <v>332.91666666666669</v>
      </c>
      <c r="R8" s="30">
        <f t="shared" si="2"/>
        <v>332.91666666666669</v>
      </c>
      <c r="S8" s="30">
        <f t="shared" si="2"/>
        <v>332.91666666666669</v>
      </c>
      <c r="T8" s="30">
        <f t="shared" si="2"/>
        <v>332.91666666666669</v>
      </c>
      <c r="U8" s="30">
        <f t="shared" si="2"/>
        <v>332.91666666666669</v>
      </c>
      <c r="V8" s="30">
        <f t="shared" si="2"/>
        <v>332.91666666666669</v>
      </c>
      <c r="W8" s="30">
        <f t="shared" si="2"/>
        <v>332.91666666666669</v>
      </c>
      <c r="X8" s="30">
        <f t="shared" si="2"/>
        <v>332.91666666666669</v>
      </c>
      <c r="Y8" s="30">
        <f t="shared" si="2"/>
        <v>332.91666666666669</v>
      </c>
      <c r="Z8" s="30">
        <f t="shared" si="2"/>
        <v>332.91666666666669</v>
      </c>
      <c r="AA8" s="30">
        <f t="shared" si="2"/>
        <v>332.91666666666669</v>
      </c>
      <c r="AB8" s="30">
        <f t="shared" si="2"/>
        <v>332.91666666666669</v>
      </c>
      <c r="AC8" s="30">
        <f t="shared" si="2"/>
        <v>332.91666666666669</v>
      </c>
      <c r="AD8" s="30">
        <f t="shared" si="2"/>
        <v>332.91666666666669</v>
      </c>
      <c r="AE8" s="30">
        <f t="shared" si="2"/>
        <v>332.91666666666669</v>
      </c>
      <c r="AF8" s="30">
        <f t="shared" si="2"/>
        <v>332.91666666666669</v>
      </c>
      <c r="AG8" s="30">
        <f t="shared" si="2"/>
        <v>332.91666666666669</v>
      </c>
      <c r="AH8" s="30">
        <f t="shared" si="2"/>
        <v>332.91666666666669</v>
      </c>
      <c r="AI8" s="30">
        <f t="shared" si="2"/>
        <v>332.91666666666669</v>
      </c>
      <c r="AJ8" s="30">
        <f t="shared" si="2"/>
        <v>332.91666666666669</v>
      </c>
      <c r="AK8" s="30">
        <f t="shared" si="2"/>
        <v>332.91666666666669</v>
      </c>
      <c r="AL8" s="30">
        <f t="shared" si="2"/>
        <v>332.91666666666669</v>
      </c>
      <c r="AM8" s="30">
        <f t="shared" si="2"/>
        <v>332.91666666666669</v>
      </c>
      <c r="AN8" s="30">
        <f t="shared" si="2"/>
        <v>332.91666666666669</v>
      </c>
      <c r="AP8" s="30">
        <f t="shared" ref="AP8:AP9" si="3">SUM(E8:P8)</f>
        <v>2911.2499999999995</v>
      </c>
      <c r="AQ8" s="30">
        <f t="shared" ref="AQ8:AQ9" si="4">SUM(Q8:AB8)</f>
        <v>3994.9999999999995</v>
      </c>
      <c r="AR8" s="30">
        <f t="shared" ref="AR8:AR9" si="5">SUM(AC8:AN8)</f>
        <v>3994.9999999999995</v>
      </c>
    </row>
    <row r="9" spans="1:44" ht="12">
      <c r="A9" s="133"/>
      <c r="B9" s="37" t="s">
        <v>332</v>
      </c>
      <c r="C9" s="38" t="s">
        <v>240</v>
      </c>
      <c r="D9" s="114" t="s">
        <v>78</v>
      </c>
      <c r="E9" s="30">
        <f>E46+E53+E65+E83</f>
        <v>135</v>
      </c>
      <c r="F9" s="30">
        <f t="shared" ref="F9:AN9" si="6">F46+F53+F65+F83</f>
        <v>0</v>
      </c>
      <c r="G9" s="30">
        <f t="shared" si="6"/>
        <v>0</v>
      </c>
      <c r="H9" s="30">
        <f t="shared" si="6"/>
        <v>0</v>
      </c>
      <c r="I9" s="30">
        <f t="shared" si="6"/>
        <v>0</v>
      </c>
      <c r="J9" s="30">
        <f t="shared" si="6"/>
        <v>0</v>
      </c>
      <c r="K9" s="30">
        <f t="shared" si="6"/>
        <v>0</v>
      </c>
      <c r="L9" s="30">
        <f t="shared" si="6"/>
        <v>0</v>
      </c>
      <c r="M9" s="30">
        <f t="shared" si="6"/>
        <v>0</v>
      </c>
      <c r="N9" s="30">
        <f t="shared" si="6"/>
        <v>0</v>
      </c>
      <c r="O9" s="30">
        <f t="shared" si="6"/>
        <v>0</v>
      </c>
      <c r="P9" s="30">
        <f t="shared" si="6"/>
        <v>0</v>
      </c>
      <c r="Q9" s="30">
        <f t="shared" si="6"/>
        <v>7.083333333333333</v>
      </c>
      <c r="R9" s="30">
        <f t="shared" si="6"/>
        <v>7.083333333333333</v>
      </c>
      <c r="S9" s="30">
        <f t="shared" si="6"/>
        <v>35.416666666666664</v>
      </c>
      <c r="T9" s="30">
        <f t="shared" si="6"/>
        <v>35.416666666666664</v>
      </c>
      <c r="U9" s="30">
        <f t="shared" si="6"/>
        <v>35.416666666666664</v>
      </c>
      <c r="V9" s="30">
        <f t="shared" si="6"/>
        <v>35.416666666666664</v>
      </c>
      <c r="W9" s="30">
        <f t="shared" si="6"/>
        <v>35.416666666666664</v>
      </c>
      <c r="X9" s="30">
        <f t="shared" si="6"/>
        <v>35.416666666666664</v>
      </c>
      <c r="Y9" s="30">
        <f t="shared" si="6"/>
        <v>35.416666666666664</v>
      </c>
      <c r="Z9" s="30">
        <f t="shared" si="6"/>
        <v>35.416666666666664</v>
      </c>
      <c r="AA9" s="30">
        <f t="shared" si="6"/>
        <v>35.416666666666664</v>
      </c>
      <c r="AB9" s="30">
        <f t="shared" si="6"/>
        <v>35.416666666666664</v>
      </c>
      <c r="AC9" s="30">
        <f t="shared" si="6"/>
        <v>35.416666666666664</v>
      </c>
      <c r="AD9" s="30">
        <f t="shared" si="6"/>
        <v>35.416666666666664</v>
      </c>
      <c r="AE9" s="30">
        <f t="shared" si="6"/>
        <v>35.416666666666664</v>
      </c>
      <c r="AF9" s="30">
        <f t="shared" si="6"/>
        <v>35.416666666666664</v>
      </c>
      <c r="AG9" s="30">
        <f t="shared" si="6"/>
        <v>35.416666666666664</v>
      </c>
      <c r="AH9" s="30">
        <f t="shared" si="6"/>
        <v>35.416666666666664</v>
      </c>
      <c r="AI9" s="30">
        <f t="shared" si="6"/>
        <v>35.416666666666664</v>
      </c>
      <c r="AJ9" s="30">
        <f t="shared" si="6"/>
        <v>35.416666666666664</v>
      </c>
      <c r="AK9" s="30">
        <f t="shared" si="6"/>
        <v>35.416666666666664</v>
      </c>
      <c r="AL9" s="30">
        <f t="shared" si="6"/>
        <v>35.416666666666664</v>
      </c>
      <c r="AM9" s="30">
        <f t="shared" si="6"/>
        <v>35.416666666666664</v>
      </c>
      <c r="AN9" s="30">
        <f t="shared" si="6"/>
        <v>35.416666666666664</v>
      </c>
      <c r="AP9" s="30">
        <f t="shared" si="3"/>
        <v>135</v>
      </c>
      <c r="AQ9" s="30">
        <f t="shared" si="4"/>
        <v>368.33333333333337</v>
      </c>
      <c r="AR9" s="30">
        <f t="shared" si="5"/>
        <v>425.00000000000006</v>
      </c>
    </row>
    <row r="10" spans="1:44" ht="12">
      <c r="A10" s="37"/>
      <c r="B10" s="37" t="s">
        <v>332</v>
      </c>
      <c r="C10" s="38" t="s">
        <v>178</v>
      </c>
      <c r="D10" s="114" t="s">
        <v>78</v>
      </c>
      <c r="E10" s="147">
        <f>SUM(E7:E9)</f>
        <v>1486.0944742063491</v>
      </c>
      <c r="F10" s="147">
        <f t="shared" ref="F10:AN10" si="7">SUM(F7:F9)</f>
        <v>1387.2562346230156</v>
      </c>
      <c r="G10" s="147">
        <f t="shared" si="7"/>
        <v>1531.4106814080369</v>
      </c>
      <c r="H10" s="147">
        <f t="shared" si="7"/>
        <v>1611.1471587726182</v>
      </c>
      <c r="I10" s="147">
        <f t="shared" si="7"/>
        <v>1676.3985957350683</v>
      </c>
      <c r="J10" s="147">
        <f t="shared" si="7"/>
        <v>1691.7431585170809</v>
      </c>
      <c r="K10" s="147">
        <f t="shared" si="7"/>
        <v>1705.9872509454904</v>
      </c>
      <c r="L10" s="147">
        <f t="shared" si="7"/>
        <v>1720.7836090026251</v>
      </c>
      <c r="M10" s="147">
        <f t="shared" si="7"/>
        <v>1786.2144250315282</v>
      </c>
      <c r="N10" s="147">
        <f t="shared" si="7"/>
        <v>1802.9916092342198</v>
      </c>
      <c r="O10" s="147">
        <f t="shared" si="7"/>
        <v>1820.6721450123541</v>
      </c>
      <c r="P10" s="147">
        <f t="shared" si="7"/>
        <v>1838.9508440123409</v>
      </c>
      <c r="Q10" s="147">
        <f t="shared" si="7"/>
        <v>1863.0834934792226</v>
      </c>
      <c r="R10" s="147">
        <f t="shared" si="7"/>
        <v>1878.6981340096136</v>
      </c>
      <c r="S10" s="147">
        <f t="shared" si="7"/>
        <v>1921.3632953858316</v>
      </c>
      <c r="T10" s="147">
        <f t="shared" si="7"/>
        <v>1934.5402487581116</v>
      </c>
      <c r="U10" s="147">
        <f t="shared" si="7"/>
        <v>1946.6721259181052</v>
      </c>
      <c r="V10" s="147">
        <f t="shared" si="7"/>
        <v>1957.8546261850468</v>
      </c>
      <c r="W10" s="147">
        <f t="shared" si="7"/>
        <v>1968.1722076148383</v>
      </c>
      <c r="X10" s="147">
        <f t="shared" si="7"/>
        <v>1977.7001431727767</v>
      </c>
      <c r="Y10" s="147">
        <f t="shared" si="7"/>
        <v>1986.5060300588127</v>
      </c>
      <c r="Z10" s="147">
        <f t="shared" si="7"/>
        <v>1994.6509231053417</v>
      </c>
      <c r="AA10" s="147">
        <f t="shared" si="7"/>
        <v>2002.1902071269485</v>
      </c>
      <c r="AB10" s="147">
        <f t="shared" si="7"/>
        <v>2009.1742856644971</v>
      </c>
      <c r="AC10" s="147">
        <f t="shared" si="7"/>
        <v>2015.6491385376053</v>
      </c>
      <c r="AD10" s="147">
        <f t="shared" si="7"/>
        <v>2021.65678386942</v>
      </c>
      <c r="AE10" s="147">
        <f t="shared" si="7"/>
        <v>2027.2356690216236</v>
      </c>
      <c r="AF10" s="147">
        <f t="shared" si="7"/>
        <v>2032.4210073392214</v>
      </c>
      <c r="AG10" s="147">
        <f t="shared" si="7"/>
        <v>2037.2450725291883</v>
      </c>
      <c r="AH10" s="147">
        <f t="shared" si="7"/>
        <v>2041.7374590675856</v>
      </c>
      <c r="AI10" s="147">
        <f t="shared" si="7"/>
        <v>2045.9253147014265</v>
      </c>
      <c r="AJ10" s="147">
        <f t="shared" si="7"/>
        <v>2049.8335495207502</v>
      </c>
      <c r="AK10" s="147">
        <f t="shared" si="7"/>
        <v>2053.4850249804217</v>
      </c>
      <c r="AL10" s="147">
        <f t="shared" si="7"/>
        <v>2056.9007254880298</v>
      </c>
      <c r="AM10" s="147">
        <f t="shared" si="7"/>
        <v>2060.0999146356862</v>
      </c>
      <c r="AN10" s="147">
        <f t="shared" si="7"/>
        <v>2063.1002777670656</v>
      </c>
      <c r="AP10" s="25">
        <f>SUM(E10:P10)</f>
        <v>20059.65018650073</v>
      </c>
      <c r="AQ10" s="25">
        <f>SUM(Q10:AB10)</f>
        <v>23440.605720479143</v>
      </c>
      <c r="AR10" s="25">
        <f>SUM(AC10:AN10)</f>
        <v>24505.289937458023</v>
      </c>
    </row>
    <row r="11" spans="1:44" s="14" customFormat="1">
      <c r="C11" s="15"/>
      <c r="D11" s="15"/>
      <c r="E11" s="16"/>
      <c r="F11" s="16"/>
      <c r="G11" s="16"/>
      <c r="H11" s="16"/>
    </row>
    <row r="12" spans="1:44" ht="12">
      <c r="A12" s="133"/>
      <c r="B12" s="37" t="s">
        <v>327</v>
      </c>
      <c r="C12" s="38" t="s">
        <v>242</v>
      </c>
      <c r="D12" s="114" t="s">
        <v>78</v>
      </c>
      <c r="E12" s="30">
        <f>E13*'0'!D27/1000</f>
        <v>0</v>
      </c>
      <c r="F12" s="30">
        <f>F13*'0'!E27/1000</f>
        <v>0</v>
      </c>
      <c r="G12" s="30">
        <f>G13*'0'!F27/1000</f>
        <v>3825</v>
      </c>
      <c r="H12" s="30">
        <f>H13*'0'!G27/1000</f>
        <v>0</v>
      </c>
      <c r="I12" s="30">
        <f>I13*'0'!H27/1000</f>
        <v>0</v>
      </c>
      <c r="J12" s="30">
        <f>J13*'0'!I27/1000</f>
        <v>0</v>
      </c>
      <c r="K12" s="30">
        <f>K13*'0'!J27/1000</f>
        <v>0</v>
      </c>
      <c r="L12" s="30">
        <f>L13*'0'!K27/1000</f>
        <v>0</v>
      </c>
      <c r="M12" s="30">
        <f>M13*'0'!L27/1000</f>
        <v>0</v>
      </c>
      <c r="N12" s="30">
        <f>N13*'0'!M27/1000</f>
        <v>0</v>
      </c>
      <c r="O12" s="30">
        <f>O13*'0'!N27/1000</f>
        <v>0</v>
      </c>
      <c r="P12" s="30">
        <f>P13*'0'!O27/1000</f>
        <v>0</v>
      </c>
      <c r="Q12" s="30">
        <f>Q13*'0'!P27/1000</f>
        <v>0</v>
      </c>
      <c r="R12" s="30">
        <f>R13*'0'!Q27/1000</f>
        <v>0</v>
      </c>
      <c r="S12" s="30">
        <f>S13*'0'!R27/1000</f>
        <v>0</v>
      </c>
      <c r="T12" s="30">
        <f>T13*'0'!S27/1000</f>
        <v>0</v>
      </c>
      <c r="U12" s="30">
        <f>U13*'0'!T27/1000</f>
        <v>0</v>
      </c>
      <c r="V12" s="30">
        <f>V13*'0'!U27/1000</f>
        <v>0</v>
      </c>
      <c r="W12" s="30">
        <f>W13*'0'!V27/1000</f>
        <v>0</v>
      </c>
      <c r="X12" s="30">
        <f>X13*'0'!W27/1000</f>
        <v>0</v>
      </c>
      <c r="Y12" s="30">
        <f>Y13*'0'!X27/1000</f>
        <v>0</v>
      </c>
      <c r="Z12" s="30">
        <f>Z13*'0'!Y27/1000</f>
        <v>0</v>
      </c>
      <c r="AA12" s="30">
        <f>AA13*'0'!Z27/1000</f>
        <v>0</v>
      </c>
      <c r="AB12" s="30">
        <f>AB13*'0'!AA27/1000</f>
        <v>0</v>
      </c>
      <c r="AC12" s="30">
        <f>AC13*'0'!AB27/1000</f>
        <v>0</v>
      </c>
      <c r="AD12" s="30">
        <f>AD13*'0'!AC27/1000</f>
        <v>0</v>
      </c>
      <c r="AE12" s="30">
        <f>AE13*'0'!AD27/1000</f>
        <v>0</v>
      </c>
      <c r="AF12" s="30">
        <f>AF13*'0'!AE27/1000</f>
        <v>0</v>
      </c>
      <c r="AG12" s="30">
        <f>AG13*'0'!AF27/1000</f>
        <v>0</v>
      </c>
      <c r="AH12" s="30">
        <f>AH13*'0'!AG27/1000</f>
        <v>0</v>
      </c>
      <c r="AI12" s="30">
        <f>AI13*'0'!AH27/1000</f>
        <v>0</v>
      </c>
      <c r="AJ12" s="30">
        <f>AJ13*'0'!AI27/1000</f>
        <v>0</v>
      </c>
      <c r="AK12" s="30">
        <f>AK13*'0'!AJ27/1000</f>
        <v>0</v>
      </c>
      <c r="AL12" s="30">
        <f>AL13*'0'!AK27/1000</f>
        <v>0</v>
      </c>
      <c r="AM12" s="30">
        <f>AM13*'0'!AL27/1000</f>
        <v>0</v>
      </c>
      <c r="AN12" s="30">
        <f>AN13*'0'!AM27/1000</f>
        <v>0</v>
      </c>
      <c r="AP12" s="30">
        <f>SUM(E12:P12)</f>
        <v>3825</v>
      </c>
      <c r="AQ12" s="30">
        <f>SUM(Q12:AB12)</f>
        <v>0</v>
      </c>
      <c r="AR12" s="30">
        <f>SUM(AC12:AN12)</f>
        <v>0</v>
      </c>
    </row>
    <row r="13" spans="1:44" ht="12">
      <c r="A13" s="37"/>
      <c r="B13" s="37" t="s">
        <v>327</v>
      </c>
      <c r="C13" s="119" t="s">
        <v>292</v>
      </c>
      <c r="D13" s="114" t="s">
        <v>291</v>
      </c>
      <c r="E13" s="30">
        <f t="shared" ref="E13:AN13" si="8">E56</f>
        <v>0</v>
      </c>
      <c r="F13" s="30">
        <f t="shared" si="8"/>
        <v>0</v>
      </c>
      <c r="G13" s="30">
        <f t="shared" si="8"/>
        <v>45000</v>
      </c>
      <c r="H13" s="30">
        <f t="shared" si="8"/>
        <v>0</v>
      </c>
      <c r="I13" s="30">
        <f t="shared" si="8"/>
        <v>0</v>
      </c>
      <c r="J13" s="30">
        <f t="shared" si="8"/>
        <v>0</v>
      </c>
      <c r="K13" s="30">
        <f t="shared" si="8"/>
        <v>0</v>
      </c>
      <c r="L13" s="30">
        <f t="shared" si="8"/>
        <v>0</v>
      </c>
      <c r="M13" s="30">
        <f t="shared" si="8"/>
        <v>0</v>
      </c>
      <c r="N13" s="30">
        <f t="shared" si="8"/>
        <v>0</v>
      </c>
      <c r="O13" s="30">
        <f t="shared" si="8"/>
        <v>0</v>
      </c>
      <c r="P13" s="30">
        <f t="shared" si="8"/>
        <v>0</v>
      </c>
      <c r="Q13" s="30">
        <f t="shared" si="8"/>
        <v>0</v>
      </c>
      <c r="R13" s="30">
        <f t="shared" si="8"/>
        <v>0</v>
      </c>
      <c r="S13" s="30">
        <f t="shared" si="8"/>
        <v>0</v>
      </c>
      <c r="T13" s="30">
        <f t="shared" si="8"/>
        <v>0</v>
      </c>
      <c r="U13" s="30">
        <f t="shared" si="8"/>
        <v>0</v>
      </c>
      <c r="V13" s="30">
        <f t="shared" si="8"/>
        <v>0</v>
      </c>
      <c r="W13" s="30">
        <f t="shared" si="8"/>
        <v>0</v>
      </c>
      <c r="X13" s="30">
        <f t="shared" si="8"/>
        <v>0</v>
      </c>
      <c r="Y13" s="30">
        <f t="shared" si="8"/>
        <v>0</v>
      </c>
      <c r="Z13" s="30">
        <f t="shared" si="8"/>
        <v>0</v>
      </c>
      <c r="AA13" s="30">
        <f t="shared" si="8"/>
        <v>0</v>
      </c>
      <c r="AB13" s="30">
        <f t="shared" si="8"/>
        <v>0</v>
      </c>
      <c r="AC13" s="30">
        <f t="shared" si="8"/>
        <v>0</v>
      </c>
      <c r="AD13" s="30">
        <f t="shared" si="8"/>
        <v>0</v>
      </c>
      <c r="AE13" s="30">
        <f t="shared" si="8"/>
        <v>0</v>
      </c>
      <c r="AF13" s="30">
        <f t="shared" si="8"/>
        <v>0</v>
      </c>
      <c r="AG13" s="30">
        <f t="shared" si="8"/>
        <v>0</v>
      </c>
      <c r="AH13" s="30">
        <f t="shared" si="8"/>
        <v>0</v>
      </c>
      <c r="AI13" s="30">
        <f t="shared" si="8"/>
        <v>0</v>
      </c>
      <c r="AJ13" s="30">
        <f t="shared" si="8"/>
        <v>0</v>
      </c>
      <c r="AK13" s="30">
        <f t="shared" si="8"/>
        <v>0</v>
      </c>
      <c r="AL13" s="30">
        <f t="shared" si="8"/>
        <v>0</v>
      </c>
      <c r="AM13" s="30">
        <f t="shared" si="8"/>
        <v>0</v>
      </c>
      <c r="AN13" s="30">
        <f t="shared" si="8"/>
        <v>0</v>
      </c>
      <c r="AP13" s="30">
        <f t="shared" ref="AP13:AP16" si="9">SUM(E13:P13)</f>
        <v>45000</v>
      </c>
      <c r="AQ13" s="30">
        <f t="shared" ref="AQ13:AQ16" si="10">SUM(Q13:AB13)</f>
        <v>0</v>
      </c>
      <c r="AR13" s="30">
        <f t="shared" ref="AR13:AR16" si="11">SUM(AC13:AN13)</f>
        <v>0</v>
      </c>
    </row>
    <row r="14" spans="1:44" ht="12">
      <c r="A14" s="133"/>
      <c r="B14" s="37" t="s">
        <v>327</v>
      </c>
      <c r="C14" s="38" t="s">
        <v>243</v>
      </c>
      <c r="D14" s="114" t="s">
        <v>78</v>
      </c>
      <c r="E14" s="30">
        <f>SUM(E15:E16)*'0'!D27/1000</f>
        <v>2550</v>
      </c>
      <c r="F14" s="30">
        <f>SUM(F15:F16)*'0'!E27/1000</f>
        <v>7650</v>
      </c>
      <c r="G14" s="30">
        <f>SUM(G15:G16)*'0'!F27/1000</f>
        <v>0</v>
      </c>
      <c r="H14" s="30">
        <f>SUM(H15:H16)*'0'!G27/1000</f>
        <v>2975</v>
      </c>
      <c r="I14" s="30">
        <f>SUM(I15:I16)*'0'!H27/1000</f>
        <v>0</v>
      </c>
      <c r="J14" s="30">
        <f>SUM(J15:J16)*'0'!I27/1000</f>
        <v>0</v>
      </c>
      <c r="K14" s="30">
        <f>SUM(K15:K16)*'0'!J27/1000</f>
        <v>0</v>
      </c>
      <c r="L14" s="30">
        <f>SUM(L15:L16)*'0'!K27/1000</f>
        <v>2975</v>
      </c>
      <c r="M14" s="30">
        <f>SUM(M15:M16)*'0'!L27/1000</f>
        <v>0</v>
      </c>
      <c r="N14" s="30">
        <f>SUM(N15:N16)*'0'!M27/1000</f>
        <v>0</v>
      </c>
      <c r="O14" s="30">
        <f>SUM(O15:O16)*'0'!N27/1000</f>
        <v>0</v>
      </c>
      <c r="P14" s="30">
        <f>SUM(P15:P16)*'0'!O27/1000</f>
        <v>0</v>
      </c>
      <c r="Q14" s="30">
        <f>SUM(Q15:Q16)*'0'!P27/1000</f>
        <v>0</v>
      </c>
      <c r="R14" s="30">
        <f>SUM(R15:R16)*'0'!Q27/1000</f>
        <v>0</v>
      </c>
      <c r="S14" s="30">
        <f>SUM(S15:S16)*'0'!R27/1000</f>
        <v>0</v>
      </c>
      <c r="T14" s="30">
        <f>SUM(T15:T16)*'0'!S27/1000</f>
        <v>0</v>
      </c>
      <c r="U14" s="30">
        <f>SUM(U15:U16)*'0'!T27/1000</f>
        <v>0</v>
      </c>
      <c r="V14" s="30">
        <f>SUM(V15:V16)*'0'!U27/1000</f>
        <v>0</v>
      </c>
      <c r="W14" s="30">
        <f>SUM(W15:W16)*'0'!V27/1000</f>
        <v>0</v>
      </c>
      <c r="X14" s="30">
        <f>SUM(X15:X16)*'0'!W27/1000</f>
        <v>0</v>
      </c>
      <c r="Y14" s="30">
        <f>SUM(Y15:Y16)*'0'!X27/1000</f>
        <v>0</v>
      </c>
      <c r="Z14" s="30">
        <f>SUM(Z15:Z16)*'0'!Y27/1000</f>
        <v>0</v>
      </c>
      <c r="AA14" s="30">
        <f>SUM(AA15:AA16)*'0'!Z27/1000</f>
        <v>0</v>
      </c>
      <c r="AB14" s="30">
        <f>SUM(AB15:AB16)*'0'!AA27/1000</f>
        <v>0</v>
      </c>
      <c r="AC14" s="30">
        <f>SUM(AC15:AC16)*'0'!AB27/1000</f>
        <v>0</v>
      </c>
      <c r="AD14" s="30">
        <f>SUM(AD15:AD16)*'0'!AC27/1000</f>
        <v>0</v>
      </c>
      <c r="AE14" s="30">
        <f>SUM(AE15:AE16)*'0'!AD27/1000</f>
        <v>0</v>
      </c>
      <c r="AF14" s="30">
        <f>SUM(AF15:AF16)*'0'!AE27/1000</f>
        <v>0</v>
      </c>
      <c r="AG14" s="30">
        <f>SUM(AG15:AG16)*'0'!AF27/1000</f>
        <v>0</v>
      </c>
      <c r="AH14" s="30">
        <f>SUM(AH15:AH16)*'0'!AG27/1000</f>
        <v>0</v>
      </c>
      <c r="AI14" s="30">
        <f>SUM(AI15:AI16)*'0'!AH27/1000</f>
        <v>0</v>
      </c>
      <c r="AJ14" s="30">
        <f>SUM(AJ15:AJ16)*'0'!AI27/1000</f>
        <v>0</v>
      </c>
      <c r="AK14" s="30">
        <f>SUM(AK15:AK16)*'0'!AJ27/1000</f>
        <v>0</v>
      </c>
      <c r="AL14" s="30">
        <f>SUM(AL15:AL16)*'0'!AK27/1000</f>
        <v>0</v>
      </c>
      <c r="AM14" s="30">
        <f>SUM(AM15:AM16)*'0'!AL27/1000</f>
        <v>0</v>
      </c>
      <c r="AN14" s="30">
        <f>SUM(AN15:AN16)*'0'!AM27/1000</f>
        <v>0</v>
      </c>
      <c r="AP14" s="30">
        <f t="shared" si="9"/>
        <v>16150</v>
      </c>
      <c r="AQ14" s="30">
        <f t="shared" si="10"/>
        <v>0</v>
      </c>
      <c r="AR14" s="30">
        <f t="shared" si="11"/>
        <v>0</v>
      </c>
    </row>
    <row r="15" spans="1:44" ht="12">
      <c r="A15" s="37"/>
      <c r="B15" s="37" t="s">
        <v>327</v>
      </c>
      <c r="C15" s="119" t="s">
        <v>318</v>
      </c>
      <c r="D15" s="145" t="s">
        <v>291</v>
      </c>
      <c r="E15" s="146">
        <f t="shared" ref="E15:AN15" si="12">E49+E58+E74+E86</f>
        <v>30000</v>
      </c>
      <c r="F15" s="146">
        <f t="shared" si="12"/>
        <v>0</v>
      </c>
      <c r="G15" s="146">
        <f t="shared" si="12"/>
        <v>0</v>
      </c>
      <c r="H15" s="146">
        <f t="shared" si="12"/>
        <v>35000</v>
      </c>
      <c r="I15" s="146">
        <f t="shared" si="12"/>
        <v>0</v>
      </c>
      <c r="J15" s="146">
        <f t="shared" si="12"/>
        <v>0</v>
      </c>
      <c r="K15" s="146">
        <f t="shared" si="12"/>
        <v>0</v>
      </c>
      <c r="L15" s="146">
        <f t="shared" si="12"/>
        <v>35000</v>
      </c>
      <c r="M15" s="146">
        <f t="shared" si="12"/>
        <v>0</v>
      </c>
      <c r="N15" s="146">
        <f t="shared" si="12"/>
        <v>0</v>
      </c>
      <c r="O15" s="146">
        <f t="shared" si="12"/>
        <v>0</v>
      </c>
      <c r="P15" s="146">
        <f t="shared" si="12"/>
        <v>0</v>
      </c>
      <c r="Q15" s="146">
        <f t="shared" si="12"/>
        <v>0</v>
      </c>
      <c r="R15" s="146">
        <f t="shared" si="12"/>
        <v>0</v>
      </c>
      <c r="S15" s="146">
        <f t="shared" si="12"/>
        <v>0</v>
      </c>
      <c r="T15" s="146">
        <f t="shared" si="12"/>
        <v>0</v>
      </c>
      <c r="U15" s="146">
        <f t="shared" si="12"/>
        <v>0</v>
      </c>
      <c r="V15" s="146">
        <f t="shared" si="12"/>
        <v>0</v>
      </c>
      <c r="W15" s="146">
        <f t="shared" si="12"/>
        <v>0</v>
      </c>
      <c r="X15" s="146">
        <f t="shared" si="12"/>
        <v>0</v>
      </c>
      <c r="Y15" s="146">
        <f t="shared" si="12"/>
        <v>0</v>
      </c>
      <c r="Z15" s="146">
        <f t="shared" si="12"/>
        <v>0</v>
      </c>
      <c r="AA15" s="146">
        <f t="shared" si="12"/>
        <v>0</v>
      </c>
      <c r="AB15" s="146">
        <f t="shared" si="12"/>
        <v>0</v>
      </c>
      <c r="AC15" s="146">
        <f t="shared" si="12"/>
        <v>0</v>
      </c>
      <c r="AD15" s="146">
        <f t="shared" si="12"/>
        <v>0</v>
      </c>
      <c r="AE15" s="146">
        <f t="shared" si="12"/>
        <v>0</v>
      </c>
      <c r="AF15" s="146">
        <f t="shared" si="12"/>
        <v>0</v>
      </c>
      <c r="AG15" s="146">
        <f t="shared" si="12"/>
        <v>0</v>
      </c>
      <c r="AH15" s="146">
        <f t="shared" si="12"/>
        <v>0</v>
      </c>
      <c r="AI15" s="146">
        <f t="shared" si="12"/>
        <v>0</v>
      </c>
      <c r="AJ15" s="146">
        <f t="shared" si="12"/>
        <v>0</v>
      </c>
      <c r="AK15" s="146">
        <f t="shared" si="12"/>
        <v>0</v>
      </c>
      <c r="AL15" s="146">
        <f t="shared" si="12"/>
        <v>0</v>
      </c>
      <c r="AM15" s="146">
        <f t="shared" si="12"/>
        <v>0</v>
      </c>
      <c r="AN15" s="146">
        <f t="shared" si="12"/>
        <v>0</v>
      </c>
      <c r="AP15" s="30">
        <f t="shared" si="9"/>
        <v>100000</v>
      </c>
      <c r="AQ15" s="30">
        <f t="shared" si="10"/>
        <v>0</v>
      </c>
      <c r="AR15" s="30">
        <f t="shared" si="11"/>
        <v>0</v>
      </c>
    </row>
    <row r="16" spans="1:44" ht="12">
      <c r="A16" s="37"/>
      <c r="B16" s="37" t="s">
        <v>327</v>
      </c>
      <c r="C16" s="119" t="s">
        <v>294</v>
      </c>
      <c r="D16" s="145" t="s">
        <v>291</v>
      </c>
      <c r="E16" s="146">
        <f t="shared" ref="E16:AN16" si="13">E59+E68+E103</f>
        <v>0</v>
      </c>
      <c r="F16" s="146">
        <f t="shared" si="13"/>
        <v>90000</v>
      </c>
      <c r="G16" s="146">
        <f t="shared" si="13"/>
        <v>0</v>
      </c>
      <c r="H16" s="146">
        <f t="shared" si="13"/>
        <v>0</v>
      </c>
      <c r="I16" s="146">
        <f t="shared" si="13"/>
        <v>0</v>
      </c>
      <c r="J16" s="146">
        <f t="shared" si="13"/>
        <v>0</v>
      </c>
      <c r="K16" s="146">
        <f t="shared" si="13"/>
        <v>0</v>
      </c>
      <c r="L16" s="146">
        <f t="shared" si="13"/>
        <v>0</v>
      </c>
      <c r="M16" s="146">
        <f t="shared" si="13"/>
        <v>0</v>
      </c>
      <c r="N16" s="146">
        <f t="shared" si="13"/>
        <v>0</v>
      </c>
      <c r="O16" s="146">
        <f t="shared" si="13"/>
        <v>0</v>
      </c>
      <c r="P16" s="146">
        <f t="shared" si="13"/>
        <v>0</v>
      </c>
      <c r="Q16" s="146">
        <f t="shared" si="13"/>
        <v>0</v>
      </c>
      <c r="R16" s="146">
        <f t="shared" si="13"/>
        <v>0</v>
      </c>
      <c r="S16" s="146">
        <f t="shared" si="13"/>
        <v>0</v>
      </c>
      <c r="T16" s="146">
        <f t="shared" si="13"/>
        <v>0</v>
      </c>
      <c r="U16" s="146">
        <f t="shared" si="13"/>
        <v>0</v>
      </c>
      <c r="V16" s="146">
        <f t="shared" si="13"/>
        <v>0</v>
      </c>
      <c r="W16" s="146">
        <f t="shared" si="13"/>
        <v>0</v>
      </c>
      <c r="X16" s="146">
        <f t="shared" si="13"/>
        <v>0</v>
      </c>
      <c r="Y16" s="146">
        <f t="shared" si="13"/>
        <v>0</v>
      </c>
      <c r="Z16" s="146">
        <f t="shared" si="13"/>
        <v>0</v>
      </c>
      <c r="AA16" s="146">
        <f t="shared" si="13"/>
        <v>0</v>
      </c>
      <c r="AB16" s="146">
        <f t="shared" si="13"/>
        <v>0</v>
      </c>
      <c r="AC16" s="146">
        <f t="shared" si="13"/>
        <v>0</v>
      </c>
      <c r="AD16" s="146">
        <f t="shared" si="13"/>
        <v>0</v>
      </c>
      <c r="AE16" s="146">
        <f t="shared" si="13"/>
        <v>0</v>
      </c>
      <c r="AF16" s="146">
        <f t="shared" si="13"/>
        <v>0</v>
      </c>
      <c r="AG16" s="146">
        <f t="shared" si="13"/>
        <v>0</v>
      </c>
      <c r="AH16" s="146">
        <f t="shared" si="13"/>
        <v>0</v>
      </c>
      <c r="AI16" s="146">
        <f t="shared" si="13"/>
        <v>0</v>
      </c>
      <c r="AJ16" s="146">
        <f t="shared" si="13"/>
        <v>0</v>
      </c>
      <c r="AK16" s="146">
        <f t="shared" si="13"/>
        <v>0</v>
      </c>
      <c r="AL16" s="146">
        <f t="shared" si="13"/>
        <v>0</v>
      </c>
      <c r="AM16" s="146">
        <f t="shared" si="13"/>
        <v>0</v>
      </c>
      <c r="AN16" s="146">
        <f t="shared" si="13"/>
        <v>0</v>
      </c>
      <c r="AP16" s="30">
        <f t="shared" si="9"/>
        <v>90000</v>
      </c>
      <c r="AQ16" s="30">
        <f t="shared" si="10"/>
        <v>0</v>
      </c>
      <c r="AR16" s="30">
        <f t="shared" si="11"/>
        <v>0</v>
      </c>
    </row>
    <row r="17" spans="1:44" ht="12">
      <c r="A17" s="37"/>
      <c r="B17" s="37" t="s">
        <v>327</v>
      </c>
      <c r="C17" s="38" t="s">
        <v>178</v>
      </c>
      <c r="D17" s="114" t="s">
        <v>78</v>
      </c>
      <c r="E17" s="147">
        <f>E12+E14</f>
        <v>2550</v>
      </c>
      <c r="F17" s="147">
        <f t="shared" ref="F17:AN17" si="14">F12+F14</f>
        <v>7650</v>
      </c>
      <c r="G17" s="147">
        <f t="shared" si="14"/>
        <v>3825</v>
      </c>
      <c r="H17" s="147">
        <f t="shared" si="14"/>
        <v>2975</v>
      </c>
      <c r="I17" s="147">
        <f t="shared" si="14"/>
        <v>0</v>
      </c>
      <c r="J17" s="147">
        <f t="shared" si="14"/>
        <v>0</v>
      </c>
      <c r="K17" s="147">
        <f t="shared" si="14"/>
        <v>0</v>
      </c>
      <c r="L17" s="147">
        <f t="shared" si="14"/>
        <v>2975</v>
      </c>
      <c r="M17" s="147">
        <f t="shared" si="14"/>
        <v>0</v>
      </c>
      <c r="N17" s="147">
        <f t="shared" si="14"/>
        <v>0</v>
      </c>
      <c r="O17" s="147">
        <f t="shared" si="14"/>
        <v>0</v>
      </c>
      <c r="P17" s="147">
        <f t="shared" si="14"/>
        <v>0</v>
      </c>
      <c r="Q17" s="147">
        <f t="shared" si="14"/>
        <v>0</v>
      </c>
      <c r="R17" s="147">
        <f t="shared" si="14"/>
        <v>0</v>
      </c>
      <c r="S17" s="147">
        <f t="shared" si="14"/>
        <v>0</v>
      </c>
      <c r="T17" s="147">
        <f t="shared" si="14"/>
        <v>0</v>
      </c>
      <c r="U17" s="147">
        <f t="shared" si="14"/>
        <v>0</v>
      </c>
      <c r="V17" s="147">
        <f t="shared" si="14"/>
        <v>0</v>
      </c>
      <c r="W17" s="147">
        <f t="shared" si="14"/>
        <v>0</v>
      </c>
      <c r="X17" s="147">
        <f t="shared" si="14"/>
        <v>0</v>
      </c>
      <c r="Y17" s="147">
        <f t="shared" si="14"/>
        <v>0</v>
      </c>
      <c r="Z17" s="147">
        <f t="shared" si="14"/>
        <v>0</v>
      </c>
      <c r="AA17" s="147">
        <f t="shared" si="14"/>
        <v>0</v>
      </c>
      <c r="AB17" s="147">
        <f t="shared" si="14"/>
        <v>0</v>
      </c>
      <c r="AC17" s="147">
        <f t="shared" si="14"/>
        <v>0</v>
      </c>
      <c r="AD17" s="147">
        <f t="shared" si="14"/>
        <v>0</v>
      </c>
      <c r="AE17" s="147">
        <f t="shared" si="14"/>
        <v>0</v>
      </c>
      <c r="AF17" s="147">
        <f t="shared" si="14"/>
        <v>0</v>
      </c>
      <c r="AG17" s="147">
        <f t="shared" si="14"/>
        <v>0</v>
      </c>
      <c r="AH17" s="147">
        <f t="shared" si="14"/>
        <v>0</v>
      </c>
      <c r="AI17" s="147">
        <f t="shared" si="14"/>
        <v>0</v>
      </c>
      <c r="AJ17" s="147">
        <f t="shared" si="14"/>
        <v>0</v>
      </c>
      <c r="AK17" s="147">
        <f t="shared" si="14"/>
        <v>0</v>
      </c>
      <c r="AL17" s="147">
        <f t="shared" si="14"/>
        <v>0</v>
      </c>
      <c r="AM17" s="147">
        <f t="shared" si="14"/>
        <v>0</v>
      </c>
      <c r="AN17" s="147">
        <f t="shared" si="14"/>
        <v>0</v>
      </c>
      <c r="AP17" s="25">
        <f>SUM(E17:P17)</f>
        <v>19975</v>
      </c>
      <c r="AQ17" s="25">
        <f>SUM(Q17:AB17)</f>
        <v>0</v>
      </c>
      <c r="AR17" s="25">
        <f>SUM(AC17:AN17)</f>
        <v>0</v>
      </c>
    </row>
    <row r="18" spans="1:44" s="14" customFormat="1">
      <c r="C18" s="15"/>
      <c r="D18" s="15"/>
      <c r="E18" s="16"/>
      <c r="F18" s="16"/>
      <c r="G18" s="16"/>
      <c r="H18" s="16"/>
    </row>
    <row r="19" spans="1:44" s="14" customFormat="1" ht="12">
      <c r="A19" s="37" t="s">
        <v>96</v>
      </c>
      <c r="B19" s="37" t="s">
        <v>332</v>
      </c>
      <c r="C19" s="38" t="s">
        <v>42</v>
      </c>
      <c r="D19" s="114" t="s">
        <v>254</v>
      </c>
      <c r="E19" s="118">
        <f>E20*E21/1000</f>
        <v>11.418749999999999</v>
      </c>
      <c r="F19" s="118">
        <f>F20*F21/1000</f>
        <v>22.647187500000001</v>
      </c>
      <c r="G19" s="118">
        <f t="shared" ref="G19:AN19" si="15">G20*G21/1000</f>
        <v>33.701171875</v>
      </c>
      <c r="H19" s="118">
        <f t="shared" si="15"/>
        <v>44.595240885416665</v>
      </c>
      <c r="I19" s="118">
        <f t="shared" si="15"/>
        <v>55.342720811631935</v>
      </c>
      <c r="J19" s="118">
        <f t="shared" si="15"/>
        <v>65.955827410662621</v>
      </c>
      <c r="K19" s="118">
        <f t="shared" si="15"/>
        <v>75.684508459774065</v>
      </c>
      <c r="L19" s="118">
        <f t="shared" si="15"/>
        <v>86.124966088126229</v>
      </c>
      <c r="M19" s="118">
        <f t="shared" si="15"/>
        <v>97.217885580782379</v>
      </c>
      <c r="N19" s="118">
        <f t="shared" si="15"/>
        <v>108.9088951157172</v>
      </c>
      <c r="O19" s="118">
        <f t="shared" si="15"/>
        <v>121.14815385607409</v>
      </c>
      <c r="P19" s="118">
        <f t="shared" si="15"/>
        <v>133.88997436806793</v>
      </c>
      <c r="Q19" s="118">
        <f t="shared" si="15"/>
        <v>145.56997650406225</v>
      </c>
      <c r="R19" s="118">
        <f t="shared" si="15"/>
        <v>156.27664512872371</v>
      </c>
      <c r="S19" s="118">
        <f t="shared" si="15"/>
        <v>166.09109136799677</v>
      </c>
      <c r="T19" s="118">
        <f t="shared" si="15"/>
        <v>175.08766708733037</v>
      </c>
      <c r="U19" s="118">
        <f t="shared" si="15"/>
        <v>183.33452816338615</v>
      </c>
      <c r="V19" s="118">
        <f t="shared" si="15"/>
        <v>190.8941508164373</v>
      </c>
      <c r="W19" s="118">
        <f t="shared" si="15"/>
        <v>197.82380491506754</v>
      </c>
      <c r="X19" s="118">
        <f t="shared" si="15"/>
        <v>204.17598783881189</v>
      </c>
      <c r="Y19" s="118">
        <f t="shared" si="15"/>
        <v>209.99882218557755</v>
      </c>
      <c r="Z19" s="118">
        <f t="shared" si="15"/>
        <v>215.33642033677941</v>
      </c>
      <c r="AA19" s="118">
        <f t="shared" si="15"/>
        <v>220.22921864204778</v>
      </c>
      <c r="AB19" s="118">
        <f t="shared" si="15"/>
        <v>224.71428375521043</v>
      </c>
      <c r="AC19" s="118">
        <f t="shared" si="15"/>
        <v>228.82559344227627</v>
      </c>
      <c r="AD19" s="118">
        <f t="shared" si="15"/>
        <v>232.59429398875324</v>
      </c>
      <c r="AE19" s="118">
        <f t="shared" si="15"/>
        <v>236.04893615635714</v>
      </c>
      <c r="AF19" s="118">
        <f t="shared" si="15"/>
        <v>239.21569147666065</v>
      </c>
      <c r="AG19" s="118">
        <f t="shared" si="15"/>
        <v>242.11855052027229</v>
      </c>
      <c r="AH19" s="118">
        <f t="shared" si="15"/>
        <v>244.77950464358292</v>
      </c>
      <c r="AI19" s="118">
        <f t="shared" si="15"/>
        <v>247.21871258995102</v>
      </c>
      <c r="AJ19" s="118">
        <f t="shared" si="15"/>
        <v>249.4546532074551</v>
      </c>
      <c r="AK19" s="118">
        <f t="shared" si="15"/>
        <v>251.50426544016716</v>
      </c>
      <c r="AL19" s="118">
        <f t="shared" si="15"/>
        <v>253.38307665348654</v>
      </c>
      <c r="AM19" s="118">
        <f t="shared" si="15"/>
        <v>255.10532026569598</v>
      </c>
      <c r="AN19" s="118">
        <f t="shared" si="15"/>
        <v>256.68404357688792</v>
      </c>
      <c r="AP19" s="30">
        <f>SUM(E19:P19)</f>
        <v>856.63528195125309</v>
      </c>
      <c r="AQ19" s="30">
        <f>SUM(Q19:AB19)</f>
        <v>2289.5325967414315</v>
      </c>
      <c r="AR19" s="30">
        <f>SUM(AC19:AN19)</f>
        <v>2936.9326419615463</v>
      </c>
    </row>
    <row r="20" spans="1:44" s="14" customFormat="1" ht="12">
      <c r="A20" s="37" t="s">
        <v>96</v>
      </c>
      <c r="B20" s="37"/>
      <c r="C20" s="115" t="s">
        <v>253</v>
      </c>
      <c r="D20" s="115" t="s">
        <v>85</v>
      </c>
      <c r="E20" s="30">
        <f>BaaS.1!D20/BaaS.1!D16</f>
        <v>450</v>
      </c>
      <c r="F20" s="30">
        <f>BaaS.1!E20/BaaS.1!E16</f>
        <v>892.5</v>
      </c>
      <c r="G20" s="30">
        <f>BaaS.1!F20/BaaS.1!F16</f>
        <v>1328.125</v>
      </c>
      <c r="H20" s="30">
        <f>BaaS.1!G20/BaaS.1!G16</f>
        <v>1757.4479166666665</v>
      </c>
      <c r="I20" s="30">
        <f>BaaS.1!H20/BaaS.1!H16</f>
        <v>2180.9939236111109</v>
      </c>
      <c r="J20" s="30">
        <f>BaaS.1!I20/BaaS.1!I16</f>
        <v>2599.2444299768522</v>
      </c>
      <c r="K20" s="30">
        <f>BaaS.1!J20/BaaS.1!J16</f>
        <v>2982.6407274787807</v>
      </c>
      <c r="L20" s="30">
        <f>BaaS.1!K20/BaaS.1!K16</f>
        <v>3394.0873335222159</v>
      </c>
      <c r="M20" s="30">
        <f>BaaS.1!L20/BaaS.1!L16</f>
        <v>3831.2467223953649</v>
      </c>
      <c r="N20" s="30">
        <f>BaaS.1!M20/BaaS.1!M16</f>
        <v>4291.9761621957514</v>
      </c>
      <c r="O20" s="30">
        <f>BaaS.1!N20/BaaS.1!N16</f>
        <v>4774.3114820127721</v>
      </c>
      <c r="P20" s="30">
        <f>BaaS.1!O20/BaaS.1!O16</f>
        <v>5276.4521918450409</v>
      </c>
      <c r="Q20" s="30">
        <f>BaaS.1!P20/BaaS.1!P16</f>
        <v>5736.7478425246209</v>
      </c>
      <c r="R20" s="30">
        <f>BaaS.1!Q20/BaaS.1!Q16</f>
        <v>6158.6855223142356</v>
      </c>
      <c r="S20" s="30">
        <f>BaaS.1!R20/BaaS.1!R16</f>
        <v>6545.4617287880501</v>
      </c>
      <c r="T20" s="30">
        <f>BaaS.1!S20/BaaS.1!S16</f>
        <v>6900.0065847223786</v>
      </c>
      <c r="U20" s="30">
        <f>BaaS.1!T20/BaaS.1!T16</f>
        <v>7225.0060359955132</v>
      </c>
      <c r="V20" s="30">
        <f>BaaS.1!U20/BaaS.1!U16</f>
        <v>7522.9221996625538</v>
      </c>
      <c r="W20" s="30">
        <f>BaaS.1!V20/BaaS.1!V16</f>
        <v>7796.0120163573411</v>
      </c>
      <c r="X20" s="30">
        <f>BaaS.1!W20/BaaS.1!W16</f>
        <v>8046.3443483275614</v>
      </c>
      <c r="Y20" s="30">
        <f>BaaS.1!X20/BaaS.1!X16</f>
        <v>8275.8156526335988</v>
      </c>
      <c r="Z20" s="30">
        <f>BaaS.1!Y20/BaaS.1!Y16</f>
        <v>8486.1643482474647</v>
      </c>
      <c r="AA20" s="30">
        <f>BaaS.1!Z20/BaaS.1!Z16</f>
        <v>8678.9839858935084</v>
      </c>
      <c r="AB20" s="30">
        <f>BaaS.1!AA20/BaaS.1!AA16</f>
        <v>8855.7353204023821</v>
      </c>
      <c r="AC20" s="30">
        <f>BaaS.1!AB20/BaaS.1!AB16</f>
        <v>9017.7573770355175</v>
      </c>
      <c r="AD20" s="30">
        <f>BaaS.1!AC20/BaaS.1!AC16</f>
        <v>9166.2775956158912</v>
      </c>
      <c r="AE20" s="30">
        <f>BaaS.1!AD20/BaaS.1!AD16</f>
        <v>9302.4211293145672</v>
      </c>
      <c r="AF20" s="30">
        <f>BaaS.1!AE20/BaaS.1!AE16</f>
        <v>9427.2193685383518</v>
      </c>
      <c r="AG20" s="30">
        <f>BaaS.1!AF20/BaaS.1!AF16</f>
        <v>9541.617754493489</v>
      </c>
      <c r="AH20" s="30">
        <f>BaaS.1!AG20/BaaS.1!AG16</f>
        <v>9646.4829416190314</v>
      </c>
      <c r="AI20" s="30">
        <f>BaaS.1!AH20/BaaS.1!AH16</f>
        <v>9742.6093631507792</v>
      </c>
      <c r="AJ20" s="30">
        <f>BaaS.1!AI20/BaaS.1!AI16</f>
        <v>9830.7252495548801</v>
      </c>
      <c r="AK20" s="30">
        <f>BaaS.1!AJ20/BaaS.1!AJ16</f>
        <v>9911.4981454253066</v>
      </c>
      <c r="AL20" s="30">
        <f>BaaS.1!AK20/BaaS.1!AK16</f>
        <v>9985.5399666398644</v>
      </c>
      <c r="AM20" s="30">
        <f>BaaS.1!AL20/BaaS.1!AL16</f>
        <v>10053.411636086541</v>
      </c>
      <c r="AN20" s="30">
        <f>BaaS.1!AM20/BaaS.1!AM16</f>
        <v>10115.627333079326</v>
      </c>
      <c r="AP20" s="30"/>
      <c r="AQ20" s="30"/>
      <c r="AR20" s="30"/>
    </row>
    <row r="21" spans="1:44" s="14" customFormat="1" ht="12">
      <c r="A21" s="37" t="s">
        <v>96</v>
      </c>
      <c r="B21" s="37"/>
      <c r="C21" s="114" t="s">
        <v>258</v>
      </c>
      <c r="D21" s="114" t="s">
        <v>162</v>
      </c>
      <c r="E21" s="30">
        <f>SUM(E22:E24)</f>
        <v>25.375</v>
      </c>
      <c r="F21" s="30">
        <f t="shared" ref="F21:AN21" si="16">SUM(F22:F24)</f>
        <v>25.375</v>
      </c>
      <c r="G21" s="30">
        <f t="shared" si="16"/>
        <v>25.375</v>
      </c>
      <c r="H21" s="30">
        <f t="shared" si="16"/>
        <v>25.375</v>
      </c>
      <c r="I21" s="30">
        <f t="shared" si="16"/>
        <v>25.375</v>
      </c>
      <c r="J21" s="30">
        <f t="shared" si="16"/>
        <v>25.375</v>
      </c>
      <c r="K21" s="30">
        <f t="shared" si="16"/>
        <v>25.375</v>
      </c>
      <c r="L21" s="30">
        <f t="shared" si="16"/>
        <v>25.375</v>
      </c>
      <c r="M21" s="30">
        <f t="shared" si="16"/>
        <v>25.375</v>
      </c>
      <c r="N21" s="30">
        <f t="shared" si="16"/>
        <v>25.375</v>
      </c>
      <c r="O21" s="30">
        <f t="shared" si="16"/>
        <v>25.375</v>
      </c>
      <c r="P21" s="30">
        <f t="shared" si="16"/>
        <v>25.375</v>
      </c>
      <c r="Q21" s="30">
        <f t="shared" si="16"/>
        <v>25.375</v>
      </c>
      <c r="R21" s="30">
        <f t="shared" si="16"/>
        <v>25.375</v>
      </c>
      <c r="S21" s="30">
        <f t="shared" si="16"/>
        <v>25.375</v>
      </c>
      <c r="T21" s="30">
        <f t="shared" si="16"/>
        <v>25.375</v>
      </c>
      <c r="U21" s="30">
        <f t="shared" si="16"/>
        <v>25.375</v>
      </c>
      <c r="V21" s="30">
        <f t="shared" si="16"/>
        <v>25.375</v>
      </c>
      <c r="W21" s="30">
        <f t="shared" si="16"/>
        <v>25.375</v>
      </c>
      <c r="X21" s="30">
        <f t="shared" si="16"/>
        <v>25.375</v>
      </c>
      <c r="Y21" s="30">
        <f t="shared" si="16"/>
        <v>25.375</v>
      </c>
      <c r="Z21" s="30">
        <f t="shared" si="16"/>
        <v>25.375</v>
      </c>
      <c r="AA21" s="30">
        <f t="shared" si="16"/>
        <v>25.375</v>
      </c>
      <c r="AB21" s="30">
        <f t="shared" si="16"/>
        <v>25.375</v>
      </c>
      <c r="AC21" s="30">
        <f t="shared" si="16"/>
        <v>25.375</v>
      </c>
      <c r="AD21" s="30">
        <f t="shared" si="16"/>
        <v>25.375</v>
      </c>
      <c r="AE21" s="30">
        <f t="shared" si="16"/>
        <v>25.375</v>
      </c>
      <c r="AF21" s="30">
        <f t="shared" si="16"/>
        <v>25.375</v>
      </c>
      <c r="AG21" s="30">
        <f t="shared" si="16"/>
        <v>25.375</v>
      </c>
      <c r="AH21" s="30">
        <f t="shared" si="16"/>
        <v>25.375</v>
      </c>
      <c r="AI21" s="30">
        <f t="shared" si="16"/>
        <v>25.375</v>
      </c>
      <c r="AJ21" s="30">
        <f t="shared" si="16"/>
        <v>25.375</v>
      </c>
      <c r="AK21" s="30">
        <f t="shared" si="16"/>
        <v>25.375</v>
      </c>
      <c r="AL21" s="30">
        <f t="shared" si="16"/>
        <v>25.375</v>
      </c>
      <c r="AM21" s="30">
        <f t="shared" si="16"/>
        <v>25.375</v>
      </c>
      <c r="AN21" s="30">
        <f t="shared" si="16"/>
        <v>25.375</v>
      </c>
      <c r="AP21" s="30"/>
      <c r="AQ21" s="30"/>
      <c r="AR21" s="30"/>
    </row>
    <row r="22" spans="1:44" s="14" customFormat="1" ht="12">
      <c r="A22" s="37" t="s">
        <v>96</v>
      </c>
      <c r="B22" s="37"/>
      <c r="C22" s="116" t="s">
        <v>250</v>
      </c>
      <c r="D22" s="114" t="s">
        <v>162</v>
      </c>
      <c r="E22" s="117">
        <f>15*35000/40000</f>
        <v>13.125</v>
      </c>
      <c r="F22" s="117">
        <f t="shared" ref="F22:AN22" si="17">15*35000/40000</f>
        <v>13.125</v>
      </c>
      <c r="G22" s="117">
        <f t="shared" si="17"/>
        <v>13.125</v>
      </c>
      <c r="H22" s="117">
        <f t="shared" si="17"/>
        <v>13.125</v>
      </c>
      <c r="I22" s="117">
        <f t="shared" si="17"/>
        <v>13.125</v>
      </c>
      <c r="J22" s="117">
        <f t="shared" si="17"/>
        <v>13.125</v>
      </c>
      <c r="K22" s="117">
        <f t="shared" si="17"/>
        <v>13.125</v>
      </c>
      <c r="L22" s="117">
        <f t="shared" si="17"/>
        <v>13.125</v>
      </c>
      <c r="M22" s="117">
        <f t="shared" si="17"/>
        <v>13.125</v>
      </c>
      <c r="N22" s="117">
        <f t="shared" si="17"/>
        <v>13.125</v>
      </c>
      <c r="O22" s="117">
        <f t="shared" si="17"/>
        <v>13.125</v>
      </c>
      <c r="P22" s="117">
        <f t="shared" si="17"/>
        <v>13.125</v>
      </c>
      <c r="Q22" s="117">
        <f t="shared" si="17"/>
        <v>13.125</v>
      </c>
      <c r="R22" s="117">
        <f t="shared" si="17"/>
        <v>13.125</v>
      </c>
      <c r="S22" s="117">
        <f t="shared" si="17"/>
        <v>13.125</v>
      </c>
      <c r="T22" s="117">
        <f t="shared" si="17"/>
        <v>13.125</v>
      </c>
      <c r="U22" s="117">
        <f t="shared" si="17"/>
        <v>13.125</v>
      </c>
      <c r="V22" s="117">
        <f t="shared" si="17"/>
        <v>13.125</v>
      </c>
      <c r="W22" s="117">
        <f t="shared" si="17"/>
        <v>13.125</v>
      </c>
      <c r="X22" s="117">
        <f t="shared" si="17"/>
        <v>13.125</v>
      </c>
      <c r="Y22" s="117">
        <f t="shared" si="17"/>
        <v>13.125</v>
      </c>
      <c r="Z22" s="117">
        <f t="shared" si="17"/>
        <v>13.125</v>
      </c>
      <c r="AA22" s="117">
        <f t="shared" si="17"/>
        <v>13.125</v>
      </c>
      <c r="AB22" s="117">
        <f t="shared" si="17"/>
        <v>13.125</v>
      </c>
      <c r="AC22" s="117">
        <f t="shared" si="17"/>
        <v>13.125</v>
      </c>
      <c r="AD22" s="117">
        <f t="shared" si="17"/>
        <v>13.125</v>
      </c>
      <c r="AE22" s="117">
        <f t="shared" si="17"/>
        <v>13.125</v>
      </c>
      <c r="AF22" s="117">
        <f t="shared" si="17"/>
        <v>13.125</v>
      </c>
      <c r="AG22" s="117">
        <f t="shared" si="17"/>
        <v>13.125</v>
      </c>
      <c r="AH22" s="117">
        <f t="shared" si="17"/>
        <v>13.125</v>
      </c>
      <c r="AI22" s="117">
        <f t="shared" si="17"/>
        <v>13.125</v>
      </c>
      <c r="AJ22" s="117">
        <f t="shared" si="17"/>
        <v>13.125</v>
      </c>
      <c r="AK22" s="117">
        <f t="shared" si="17"/>
        <v>13.125</v>
      </c>
      <c r="AL22" s="117">
        <f t="shared" si="17"/>
        <v>13.125</v>
      </c>
      <c r="AM22" s="117">
        <f t="shared" si="17"/>
        <v>13.125</v>
      </c>
      <c r="AN22" s="117">
        <f t="shared" si="17"/>
        <v>13.125</v>
      </c>
      <c r="AP22" s="30"/>
      <c r="AQ22" s="30"/>
      <c r="AR22" s="30"/>
    </row>
    <row r="23" spans="1:44" s="14" customFormat="1" ht="12">
      <c r="A23" s="37" t="s">
        <v>96</v>
      </c>
      <c r="B23" s="37"/>
      <c r="C23" s="116" t="s">
        <v>251</v>
      </c>
      <c r="D23" s="114" t="s">
        <v>162</v>
      </c>
      <c r="E23" s="117">
        <f>10*35000/40000</f>
        <v>8.75</v>
      </c>
      <c r="F23" s="117">
        <f t="shared" ref="F23:AN23" si="18">10*35000/40000</f>
        <v>8.75</v>
      </c>
      <c r="G23" s="117">
        <f t="shared" si="18"/>
        <v>8.75</v>
      </c>
      <c r="H23" s="117">
        <f t="shared" si="18"/>
        <v>8.75</v>
      </c>
      <c r="I23" s="117">
        <f t="shared" si="18"/>
        <v>8.75</v>
      </c>
      <c r="J23" s="117">
        <f t="shared" si="18"/>
        <v>8.75</v>
      </c>
      <c r="K23" s="117">
        <f t="shared" si="18"/>
        <v>8.75</v>
      </c>
      <c r="L23" s="117">
        <f t="shared" si="18"/>
        <v>8.75</v>
      </c>
      <c r="M23" s="117">
        <f t="shared" si="18"/>
        <v>8.75</v>
      </c>
      <c r="N23" s="117">
        <f t="shared" si="18"/>
        <v>8.75</v>
      </c>
      <c r="O23" s="117">
        <f t="shared" si="18"/>
        <v>8.75</v>
      </c>
      <c r="P23" s="117">
        <f t="shared" si="18"/>
        <v>8.75</v>
      </c>
      <c r="Q23" s="117">
        <f t="shared" si="18"/>
        <v>8.75</v>
      </c>
      <c r="R23" s="117">
        <f t="shared" si="18"/>
        <v>8.75</v>
      </c>
      <c r="S23" s="117">
        <f t="shared" si="18"/>
        <v>8.75</v>
      </c>
      <c r="T23" s="117">
        <f t="shared" si="18"/>
        <v>8.75</v>
      </c>
      <c r="U23" s="117">
        <f t="shared" si="18"/>
        <v>8.75</v>
      </c>
      <c r="V23" s="117">
        <f t="shared" si="18"/>
        <v>8.75</v>
      </c>
      <c r="W23" s="117">
        <f t="shared" si="18"/>
        <v>8.75</v>
      </c>
      <c r="X23" s="117">
        <f t="shared" si="18"/>
        <v>8.75</v>
      </c>
      <c r="Y23" s="117">
        <f t="shared" si="18"/>
        <v>8.75</v>
      </c>
      <c r="Z23" s="117">
        <f t="shared" si="18"/>
        <v>8.75</v>
      </c>
      <c r="AA23" s="117">
        <f t="shared" si="18"/>
        <v>8.75</v>
      </c>
      <c r="AB23" s="117">
        <f t="shared" si="18"/>
        <v>8.75</v>
      </c>
      <c r="AC23" s="117">
        <f t="shared" si="18"/>
        <v>8.75</v>
      </c>
      <c r="AD23" s="117">
        <f t="shared" si="18"/>
        <v>8.75</v>
      </c>
      <c r="AE23" s="117">
        <f t="shared" si="18"/>
        <v>8.75</v>
      </c>
      <c r="AF23" s="117">
        <f t="shared" si="18"/>
        <v>8.75</v>
      </c>
      <c r="AG23" s="117">
        <f t="shared" si="18"/>
        <v>8.75</v>
      </c>
      <c r="AH23" s="117">
        <f t="shared" si="18"/>
        <v>8.75</v>
      </c>
      <c r="AI23" s="117">
        <f t="shared" si="18"/>
        <v>8.75</v>
      </c>
      <c r="AJ23" s="117">
        <f t="shared" si="18"/>
        <v>8.75</v>
      </c>
      <c r="AK23" s="117">
        <f t="shared" si="18"/>
        <v>8.75</v>
      </c>
      <c r="AL23" s="117">
        <f t="shared" si="18"/>
        <v>8.75</v>
      </c>
      <c r="AM23" s="117">
        <f t="shared" si="18"/>
        <v>8.75</v>
      </c>
      <c r="AN23" s="117">
        <f t="shared" si="18"/>
        <v>8.75</v>
      </c>
      <c r="AP23" s="30"/>
      <c r="AQ23" s="30"/>
      <c r="AR23" s="30"/>
    </row>
    <row r="24" spans="1:44" s="14" customFormat="1" ht="12">
      <c r="A24" s="37" t="s">
        <v>96</v>
      </c>
      <c r="B24" s="37"/>
      <c r="C24" s="116" t="s">
        <v>252</v>
      </c>
      <c r="D24" s="114" t="s">
        <v>162</v>
      </c>
      <c r="E24" s="117">
        <f>4*35000/40000</f>
        <v>3.5</v>
      </c>
      <c r="F24" s="117">
        <f t="shared" ref="F24:AN24" si="19">4*35000/40000</f>
        <v>3.5</v>
      </c>
      <c r="G24" s="117">
        <f t="shared" si="19"/>
        <v>3.5</v>
      </c>
      <c r="H24" s="117">
        <f t="shared" si="19"/>
        <v>3.5</v>
      </c>
      <c r="I24" s="117">
        <f t="shared" si="19"/>
        <v>3.5</v>
      </c>
      <c r="J24" s="117">
        <f t="shared" si="19"/>
        <v>3.5</v>
      </c>
      <c r="K24" s="117">
        <f t="shared" si="19"/>
        <v>3.5</v>
      </c>
      <c r="L24" s="117">
        <f t="shared" si="19"/>
        <v>3.5</v>
      </c>
      <c r="M24" s="117">
        <f t="shared" si="19"/>
        <v>3.5</v>
      </c>
      <c r="N24" s="117">
        <f t="shared" si="19"/>
        <v>3.5</v>
      </c>
      <c r="O24" s="117">
        <f t="shared" si="19"/>
        <v>3.5</v>
      </c>
      <c r="P24" s="117">
        <f t="shared" si="19"/>
        <v>3.5</v>
      </c>
      <c r="Q24" s="117">
        <f t="shared" si="19"/>
        <v>3.5</v>
      </c>
      <c r="R24" s="117">
        <f t="shared" si="19"/>
        <v>3.5</v>
      </c>
      <c r="S24" s="117">
        <f t="shared" si="19"/>
        <v>3.5</v>
      </c>
      <c r="T24" s="117">
        <f t="shared" si="19"/>
        <v>3.5</v>
      </c>
      <c r="U24" s="117">
        <f t="shared" si="19"/>
        <v>3.5</v>
      </c>
      <c r="V24" s="117">
        <f t="shared" si="19"/>
        <v>3.5</v>
      </c>
      <c r="W24" s="117">
        <f t="shared" si="19"/>
        <v>3.5</v>
      </c>
      <c r="X24" s="117">
        <f t="shared" si="19"/>
        <v>3.5</v>
      </c>
      <c r="Y24" s="117">
        <f t="shared" si="19"/>
        <v>3.5</v>
      </c>
      <c r="Z24" s="117">
        <f t="shared" si="19"/>
        <v>3.5</v>
      </c>
      <c r="AA24" s="117">
        <f t="shared" si="19"/>
        <v>3.5</v>
      </c>
      <c r="AB24" s="117">
        <f t="shared" si="19"/>
        <v>3.5</v>
      </c>
      <c r="AC24" s="117">
        <f t="shared" si="19"/>
        <v>3.5</v>
      </c>
      <c r="AD24" s="117">
        <f t="shared" si="19"/>
        <v>3.5</v>
      </c>
      <c r="AE24" s="117">
        <f t="shared" si="19"/>
        <v>3.5</v>
      </c>
      <c r="AF24" s="117">
        <f t="shared" si="19"/>
        <v>3.5</v>
      </c>
      <c r="AG24" s="117">
        <f t="shared" si="19"/>
        <v>3.5</v>
      </c>
      <c r="AH24" s="117">
        <f t="shared" si="19"/>
        <v>3.5</v>
      </c>
      <c r="AI24" s="117">
        <f t="shared" si="19"/>
        <v>3.5</v>
      </c>
      <c r="AJ24" s="117">
        <f t="shared" si="19"/>
        <v>3.5</v>
      </c>
      <c r="AK24" s="117">
        <f t="shared" si="19"/>
        <v>3.5</v>
      </c>
      <c r="AL24" s="117">
        <f t="shared" si="19"/>
        <v>3.5</v>
      </c>
      <c r="AM24" s="117">
        <f t="shared" si="19"/>
        <v>3.5</v>
      </c>
      <c r="AN24" s="117">
        <f t="shared" si="19"/>
        <v>3.5</v>
      </c>
      <c r="AP24" s="30"/>
      <c r="AQ24" s="30"/>
      <c r="AR24" s="30"/>
    </row>
    <row r="25" spans="1:44" s="14" customFormat="1" ht="12">
      <c r="A25" s="37" t="s">
        <v>102</v>
      </c>
      <c r="B25" s="37" t="s">
        <v>332</v>
      </c>
      <c r="C25" s="38" t="s">
        <v>42</v>
      </c>
      <c r="D25" s="114" t="s">
        <v>254</v>
      </c>
      <c r="E25" s="118">
        <f>E$21*E26/1000</f>
        <v>2.5375000000000001</v>
      </c>
      <c r="F25" s="118">
        <f>F$21*F26/1000</f>
        <v>4.1234374999999996</v>
      </c>
      <c r="G25" s="118">
        <f t="shared" ref="G25:AN25" si="20">G$21*G26/1000</f>
        <v>5.1247549019607836</v>
      </c>
      <c r="H25" s="118">
        <f t="shared" si="20"/>
        <v>5.7641975308641982</v>
      </c>
      <c r="I25" s="118">
        <f t="shared" si="20"/>
        <v>6.1780458089668615</v>
      </c>
      <c r="J25" s="118">
        <f t="shared" si="20"/>
        <v>6.4502623456790129</v>
      </c>
      <c r="K25" s="118">
        <f t="shared" si="20"/>
        <v>6.8376748971193413</v>
      </c>
      <c r="L25" s="118">
        <f t="shared" si="20"/>
        <v>6.6815453921935406</v>
      </c>
      <c r="M25" s="118">
        <f t="shared" si="20"/>
        <v>6.62066662856272</v>
      </c>
      <c r="N25" s="118">
        <f t="shared" si="20"/>
        <v>6.6117563868078291</v>
      </c>
      <c r="O25" s="118">
        <f t="shared" si="20"/>
        <v>6.630492048976274</v>
      </c>
      <c r="P25" s="118">
        <f t="shared" si="20"/>
        <v>6.6631394971407927</v>
      </c>
      <c r="Q25" s="118">
        <f t="shared" si="20"/>
        <v>6.979592998093862</v>
      </c>
      <c r="R25" s="118">
        <f t="shared" si="20"/>
        <v>7.1905619987292404</v>
      </c>
      <c r="S25" s="118">
        <f t="shared" si="20"/>
        <v>7.3312079991528272</v>
      </c>
      <c r="T25" s="118">
        <f t="shared" si="20"/>
        <v>7.4249719994352175</v>
      </c>
      <c r="U25" s="118">
        <f t="shared" si="20"/>
        <v>7.4874813329568122</v>
      </c>
      <c r="V25" s="118">
        <f t="shared" si="20"/>
        <v>7.5291542219712086</v>
      </c>
      <c r="W25" s="118">
        <f t="shared" si="20"/>
        <v>7.5569361479808048</v>
      </c>
      <c r="X25" s="118">
        <f t="shared" si="20"/>
        <v>7.5754574319872034</v>
      </c>
      <c r="Y25" s="118">
        <f t="shared" si="20"/>
        <v>7.587804954658135</v>
      </c>
      <c r="Z25" s="118">
        <f t="shared" si="20"/>
        <v>7.5960366364387566</v>
      </c>
      <c r="AA25" s="118">
        <f t="shared" si="20"/>
        <v>7.6015244242925037</v>
      </c>
      <c r="AB25" s="118">
        <f t="shared" si="20"/>
        <v>7.6051829495283352</v>
      </c>
      <c r="AC25" s="118">
        <f t="shared" si="20"/>
        <v>7.607621966352224</v>
      </c>
      <c r="AD25" s="118">
        <f t="shared" si="20"/>
        <v>7.609247977568149</v>
      </c>
      <c r="AE25" s="118">
        <f t="shared" si="20"/>
        <v>7.6103319850454323</v>
      </c>
      <c r="AF25" s="118">
        <f t="shared" si="20"/>
        <v>7.6110546566969539</v>
      </c>
      <c r="AG25" s="118">
        <f t="shared" si="20"/>
        <v>7.6115364377979704</v>
      </c>
      <c r="AH25" s="118">
        <f t="shared" si="20"/>
        <v>7.6118576251986463</v>
      </c>
      <c r="AI25" s="118">
        <f t="shared" si="20"/>
        <v>7.612071750132432</v>
      </c>
      <c r="AJ25" s="118">
        <f t="shared" si="20"/>
        <v>7.6122145000882879</v>
      </c>
      <c r="AK25" s="118">
        <f t="shared" si="20"/>
        <v>7.6123096667255252</v>
      </c>
      <c r="AL25" s="118">
        <f t="shared" si="20"/>
        <v>7.6123731111503501</v>
      </c>
      <c r="AM25" s="118">
        <f t="shared" si="20"/>
        <v>7.6124154074335655</v>
      </c>
      <c r="AN25" s="118">
        <f t="shared" si="20"/>
        <v>7.612443604955712</v>
      </c>
      <c r="AP25" s="30">
        <f t="shared" ref="AP25:AP33" si="21">SUM(E25:P25)</f>
        <v>70.223472938271357</v>
      </c>
      <c r="AQ25" s="30">
        <f t="shared" ref="AQ25:AQ33" si="22">SUM(Q25:AB25)</f>
        <v>89.46591309522492</v>
      </c>
      <c r="AR25" s="30">
        <f t="shared" ref="AR25:AR33" si="23">SUM(AC25:AN25)</f>
        <v>91.335478689145233</v>
      </c>
    </row>
    <row r="26" spans="1:44" s="14" customFormat="1" ht="12">
      <c r="A26" s="37" t="s">
        <v>102</v>
      </c>
      <c r="B26" s="37"/>
      <c r="C26" s="115" t="s">
        <v>253</v>
      </c>
      <c r="D26" s="115" t="s">
        <v>85</v>
      </c>
      <c r="E26" s="30">
        <f>BaaS.1!D44/BaaS.1!D39</f>
        <v>100</v>
      </c>
      <c r="F26" s="30">
        <f>BaaS.1!E44/BaaS.1!E39</f>
        <v>162.5</v>
      </c>
      <c r="G26" s="30">
        <f>BaaS.1!F44/BaaS.1!F39</f>
        <v>201.9607843137255</v>
      </c>
      <c r="H26" s="30">
        <f>BaaS.1!G44/BaaS.1!G39</f>
        <v>227.16049382716054</v>
      </c>
      <c r="I26" s="30">
        <f>BaaS.1!H44/BaaS.1!H39</f>
        <v>243.46978557504875</v>
      </c>
      <c r="J26" s="30">
        <f>BaaS.1!I44/BaaS.1!I39</f>
        <v>254.19753086419755</v>
      </c>
      <c r="K26" s="30">
        <f>BaaS.1!J44/BaaS.1!J39</f>
        <v>269.46502057613168</v>
      </c>
      <c r="L26" s="30">
        <f>BaaS.1!K44/BaaS.1!K39</f>
        <v>263.31213368250405</v>
      </c>
      <c r="M26" s="30">
        <f>BaaS.1!L44/BaaS.1!L39</f>
        <v>260.9129705837525</v>
      </c>
      <c r="N26" s="30">
        <f>BaaS.1!M44/BaaS.1!M39</f>
        <v>260.56182805154003</v>
      </c>
      <c r="O26" s="30">
        <f>BaaS.1!N44/BaaS.1!N39</f>
        <v>261.30017927000097</v>
      </c>
      <c r="P26" s="30">
        <f>BaaS.1!O44/BaaS.1!O39</f>
        <v>262.58677821244504</v>
      </c>
      <c r="Q26" s="30">
        <f>BaaS.1!P44/BaaS.1!P39</f>
        <v>275.05785214163001</v>
      </c>
      <c r="R26" s="30">
        <f>BaaS.1!Q44/BaaS.1!Q39</f>
        <v>283.3719014277533</v>
      </c>
      <c r="S26" s="30">
        <f>BaaS.1!R44/BaaS.1!R39</f>
        <v>288.91460095183555</v>
      </c>
      <c r="T26" s="30">
        <f>BaaS.1!S44/BaaS.1!S39</f>
        <v>292.60973396789035</v>
      </c>
      <c r="U26" s="30">
        <f>BaaS.1!T44/BaaS.1!T39</f>
        <v>295.0731559785936</v>
      </c>
      <c r="V26" s="30">
        <f>BaaS.1!U44/BaaS.1!U39</f>
        <v>296.7154373190624</v>
      </c>
      <c r="W26" s="30">
        <f>BaaS.1!V44/BaaS.1!V39</f>
        <v>297.81029154604158</v>
      </c>
      <c r="X26" s="30">
        <f>BaaS.1!W44/BaaS.1!W39</f>
        <v>298.54019436402774</v>
      </c>
      <c r="Y26" s="30">
        <f>BaaS.1!X44/BaaS.1!X39</f>
        <v>299.02679624268512</v>
      </c>
      <c r="Z26" s="30">
        <f>BaaS.1!Y44/BaaS.1!Y39</f>
        <v>299.35119749512342</v>
      </c>
      <c r="AA26" s="30">
        <f>BaaS.1!Z44/BaaS.1!Z39</f>
        <v>299.56746499674892</v>
      </c>
      <c r="AB26" s="30">
        <f>BaaS.1!AA44/BaaS.1!AA39</f>
        <v>299.71164333116593</v>
      </c>
      <c r="AC26" s="30">
        <f>BaaS.1!AB44/BaaS.1!AB39</f>
        <v>299.80776222077731</v>
      </c>
      <c r="AD26" s="30">
        <f>BaaS.1!AC44/BaaS.1!AC39</f>
        <v>299.87184148051819</v>
      </c>
      <c r="AE26" s="30">
        <f>BaaS.1!AD44/BaaS.1!AD39</f>
        <v>299.91456098701212</v>
      </c>
      <c r="AF26" s="30">
        <f>BaaS.1!AE44/BaaS.1!AE39</f>
        <v>299.94304065800804</v>
      </c>
      <c r="AG26" s="30">
        <f>BaaS.1!AF44/BaaS.1!AF39</f>
        <v>299.96202710533873</v>
      </c>
      <c r="AH26" s="30">
        <f>BaaS.1!AG44/BaaS.1!AG39</f>
        <v>299.97468473689247</v>
      </c>
      <c r="AI26" s="30">
        <f>BaaS.1!AH44/BaaS.1!AH39</f>
        <v>299.98312315792833</v>
      </c>
      <c r="AJ26" s="30">
        <f>BaaS.1!AI44/BaaS.1!AI39</f>
        <v>299.98874877195226</v>
      </c>
      <c r="AK26" s="30">
        <f>BaaS.1!AJ44/BaaS.1!AJ39</f>
        <v>299.99249918130147</v>
      </c>
      <c r="AL26" s="30">
        <f>BaaS.1!AK44/BaaS.1!AK39</f>
        <v>299.99499945420098</v>
      </c>
      <c r="AM26" s="30">
        <f>BaaS.1!AL44/BaaS.1!AL39</f>
        <v>299.99666630280063</v>
      </c>
      <c r="AN26" s="30">
        <f>BaaS.1!AM44/BaaS.1!AM39</f>
        <v>299.99777753520044</v>
      </c>
      <c r="AP26" s="30"/>
      <c r="AQ26" s="30"/>
      <c r="AR26" s="30"/>
    </row>
    <row r="27" spans="1:44" ht="12">
      <c r="A27" s="37" t="s">
        <v>103</v>
      </c>
      <c r="B27" s="37" t="s">
        <v>332</v>
      </c>
      <c r="C27" s="38" t="s">
        <v>42</v>
      </c>
      <c r="D27" s="114" t="s">
        <v>254</v>
      </c>
      <c r="E27" s="118">
        <f>E$21*E28/1000</f>
        <v>0.38062499999999999</v>
      </c>
      <c r="F27" s="118">
        <f t="shared" ref="F27:AN27" si="24">F$21*F28/1000</f>
        <v>0.65974999999999995</v>
      </c>
      <c r="G27" s="118">
        <f t="shared" si="24"/>
        <v>0.87120833333333336</v>
      </c>
      <c r="H27" s="118">
        <f t="shared" si="24"/>
        <v>1.0375555555555556</v>
      </c>
      <c r="I27" s="118">
        <f t="shared" si="24"/>
        <v>1.1738287037037036</v>
      </c>
      <c r="J27" s="118">
        <f t="shared" si="24"/>
        <v>1.2900524691358028</v>
      </c>
      <c r="K27" s="118">
        <f t="shared" si="24"/>
        <v>1.3675349794238685</v>
      </c>
      <c r="L27" s="118">
        <f t="shared" si="24"/>
        <v>1.469939986282579</v>
      </c>
      <c r="M27" s="118">
        <f t="shared" si="24"/>
        <v>1.5889599908550529</v>
      </c>
      <c r="N27" s="118">
        <f t="shared" si="24"/>
        <v>1.7190566605700353</v>
      </c>
      <c r="O27" s="118">
        <f t="shared" si="24"/>
        <v>1.8565377737133568</v>
      </c>
      <c r="P27" s="118">
        <f t="shared" si="24"/>
        <v>1.9989418491422379</v>
      </c>
      <c r="Q27" s="118">
        <f t="shared" si="24"/>
        <v>2.0938778994281586</v>
      </c>
      <c r="R27" s="118">
        <f t="shared" si="24"/>
        <v>2.1571685996187719</v>
      </c>
      <c r="S27" s="118">
        <f t="shared" si="24"/>
        <v>2.1993623997458482</v>
      </c>
      <c r="T27" s="118">
        <f t="shared" si="24"/>
        <v>2.2274915998305653</v>
      </c>
      <c r="U27" s="118">
        <f t="shared" si="24"/>
        <v>2.2462443998870438</v>
      </c>
      <c r="V27" s="118">
        <f t="shared" si="24"/>
        <v>2.2587462665913627</v>
      </c>
      <c r="W27" s="118">
        <f t="shared" si="24"/>
        <v>2.2670808443942416</v>
      </c>
      <c r="X27" s="118">
        <f t="shared" si="24"/>
        <v>2.2726372295961608</v>
      </c>
      <c r="Y27" s="118">
        <f t="shared" si="24"/>
        <v>2.2763414863974405</v>
      </c>
      <c r="Z27" s="118">
        <f t="shared" si="24"/>
        <v>2.2788109909316274</v>
      </c>
      <c r="AA27" s="118">
        <f t="shared" si="24"/>
        <v>2.2804573272877509</v>
      </c>
      <c r="AB27" s="118">
        <f t="shared" si="24"/>
        <v>2.281554884858501</v>
      </c>
      <c r="AC27" s="118">
        <f t="shared" si="24"/>
        <v>2.2822865899056675</v>
      </c>
      <c r="AD27" s="118">
        <f t="shared" si="24"/>
        <v>2.282774393270445</v>
      </c>
      <c r="AE27" s="118">
        <f t="shared" si="24"/>
        <v>2.2830995955136295</v>
      </c>
      <c r="AF27" s="118">
        <f t="shared" si="24"/>
        <v>2.2833163970090862</v>
      </c>
      <c r="AG27" s="118">
        <f t="shared" si="24"/>
        <v>2.2834609313393908</v>
      </c>
      <c r="AH27" s="118">
        <f t="shared" si="24"/>
        <v>2.283557287559594</v>
      </c>
      <c r="AI27" s="118">
        <f t="shared" si="24"/>
        <v>2.2836215250397296</v>
      </c>
      <c r="AJ27" s="118">
        <f t="shared" si="24"/>
        <v>2.2836643500264864</v>
      </c>
      <c r="AK27" s="118">
        <f t="shared" si="24"/>
        <v>2.2836929000176576</v>
      </c>
      <c r="AL27" s="118">
        <f t="shared" si="24"/>
        <v>2.283711933345105</v>
      </c>
      <c r="AM27" s="118">
        <f t="shared" si="24"/>
        <v>2.2837246222300696</v>
      </c>
      <c r="AN27" s="118">
        <f t="shared" si="24"/>
        <v>2.2837330814867132</v>
      </c>
      <c r="AO27" s="20"/>
      <c r="AP27" s="30">
        <f t="shared" si="21"/>
        <v>15.413991301715523</v>
      </c>
      <c r="AQ27" s="30">
        <f t="shared" si="22"/>
        <v>26.839773928567475</v>
      </c>
      <c r="AR27" s="30">
        <f t="shared" si="23"/>
        <v>27.400643606743575</v>
      </c>
    </row>
    <row r="28" spans="1:44" s="14" customFormat="1" ht="12">
      <c r="A28" s="37" t="s">
        <v>103</v>
      </c>
      <c r="B28" s="37"/>
      <c r="C28" s="115" t="s">
        <v>253</v>
      </c>
      <c r="D28" s="115" t="s">
        <v>85</v>
      </c>
      <c r="E28" s="30">
        <f>BaaS.1!D66/BaaS.1!D62</f>
        <v>15</v>
      </c>
      <c r="F28" s="30">
        <f>BaaS.1!E66/BaaS.1!E62</f>
        <v>26</v>
      </c>
      <c r="G28" s="30">
        <f>BaaS.1!F66/BaaS.1!F62</f>
        <v>34.333333333333336</v>
      </c>
      <c r="H28" s="30">
        <f>BaaS.1!G66/BaaS.1!G62</f>
        <v>40.888888888888893</v>
      </c>
      <c r="I28" s="30">
        <f>BaaS.1!H66/BaaS.1!H62</f>
        <v>46.25925925925926</v>
      </c>
      <c r="J28" s="30">
        <f>BaaS.1!I66/BaaS.1!I62</f>
        <v>50.839506172839513</v>
      </c>
      <c r="K28" s="30">
        <f>BaaS.1!J66/BaaS.1!J62</f>
        <v>53.89300411522634</v>
      </c>
      <c r="L28" s="30">
        <f>BaaS.1!K66/BaaS.1!K62</f>
        <v>57.928669410150896</v>
      </c>
      <c r="M28" s="30">
        <f>BaaS.1!L66/BaaS.1!L62</f>
        <v>62.619112940100607</v>
      </c>
      <c r="N28" s="30">
        <f>BaaS.1!M66/BaaS.1!M62</f>
        <v>67.746075293400409</v>
      </c>
      <c r="O28" s="30">
        <f>BaaS.1!N66/BaaS.1!N62</f>
        <v>73.164050195600268</v>
      </c>
      <c r="P28" s="30">
        <f>BaaS.1!O66/BaaS.1!O62</f>
        <v>78.776033463733512</v>
      </c>
      <c r="Q28" s="30">
        <f>BaaS.1!P66/BaaS.1!P62</f>
        <v>82.517355642489008</v>
      </c>
      <c r="R28" s="30">
        <f>BaaS.1!Q66/BaaS.1!Q62</f>
        <v>85.011570428325996</v>
      </c>
      <c r="S28" s="30">
        <f>BaaS.1!R66/BaaS.1!R62</f>
        <v>86.674380285550669</v>
      </c>
      <c r="T28" s="30">
        <f>BaaS.1!S66/BaaS.1!S62</f>
        <v>87.782920190367108</v>
      </c>
      <c r="U28" s="30">
        <f>BaaS.1!T66/BaaS.1!T62</f>
        <v>88.521946793578081</v>
      </c>
      <c r="V28" s="30">
        <f>BaaS.1!U66/BaaS.1!U62</f>
        <v>89.014631195718721</v>
      </c>
      <c r="W28" s="30">
        <f>BaaS.1!V66/BaaS.1!V62</f>
        <v>89.343087463812481</v>
      </c>
      <c r="X28" s="30">
        <f>BaaS.1!W66/BaaS.1!W62</f>
        <v>89.562058309208311</v>
      </c>
      <c r="Y28" s="30">
        <f>BaaS.1!X66/BaaS.1!X62</f>
        <v>89.708038872805531</v>
      </c>
      <c r="Z28" s="30">
        <f>BaaS.1!Y66/BaaS.1!Y62</f>
        <v>89.80535924853703</v>
      </c>
      <c r="AA28" s="30">
        <f>BaaS.1!Z66/BaaS.1!Z62</f>
        <v>89.870239499024677</v>
      </c>
      <c r="AB28" s="30">
        <f>BaaS.1!AA66/BaaS.1!AA62</f>
        <v>89.913492999349785</v>
      </c>
      <c r="AC28" s="30">
        <f>BaaS.1!AB66/BaaS.1!AB62</f>
        <v>89.942328666233195</v>
      </c>
      <c r="AD28" s="30">
        <f>BaaS.1!AC66/BaaS.1!AC62</f>
        <v>89.961552444155458</v>
      </c>
      <c r="AE28" s="30">
        <f>BaaS.1!AD66/BaaS.1!AD62</f>
        <v>89.974368296103634</v>
      </c>
      <c r="AF28" s="30">
        <f>BaaS.1!AE66/BaaS.1!AE62</f>
        <v>89.982912197402413</v>
      </c>
      <c r="AG28" s="30">
        <f>BaaS.1!AF66/BaaS.1!AF62</f>
        <v>89.988608131601609</v>
      </c>
      <c r="AH28" s="30">
        <f>BaaS.1!AG66/BaaS.1!AG62</f>
        <v>89.992405421067744</v>
      </c>
      <c r="AI28" s="30">
        <f>BaaS.1!AH66/BaaS.1!AH62</f>
        <v>89.994936947378505</v>
      </c>
      <c r="AJ28" s="30">
        <f>BaaS.1!AI66/BaaS.1!AI62</f>
        <v>89.996624631585675</v>
      </c>
      <c r="AK28" s="30">
        <f>BaaS.1!AJ66/BaaS.1!AJ62</f>
        <v>89.997749754390441</v>
      </c>
      <c r="AL28" s="30">
        <f>BaaS.1!AK66/BaaS.1!AK62</f>
        <v>89.998499836260294</v>
      </c>
      <c r="AM28" s="30">
        <f>BaaS.1!AL66/BaaS.1!AL62</f>
        <v>89.998999890840182</v>
      </c>
      <c r="AN28" s="30">
        <f>BaaS.1!AM66/BaaS.1!AM62</f>
        <v>89.999333260560121</v>
      </c>
      <c r="AP28" s="30"/>
      <c r="AQ28" s="30"/>
      <c r="AR28" s="30"/>
    </row>
    <row r="29" spans="1:44" ht="12">
      <c r="A29" s="37" t="s">
        <v>108</v>
      </c>
      <c r="B29" s="37" t="s">
        <v>332</v>
      </c>
      <c r="C29" s="38" t="s">
        <v>42</v>
      </c>
      <c r="D29" s="114" t="s">
        <v>254</v>
      </c>
      <c r="E29" s="118">
        <f>E$21*E30/1000</f>
        <v>0.38062499999999999</v>
      </c>
      <c r="F29" s="118">
        <f t="shared" ref="F29:AN29" si="25">F$21*F30/1000</f>
        <v>0.78662500000000002</v>
      </c>
      <c r="G29" s="118">
        <f t="shared" si="25"/>
        <v>1.218</v>
      </c>
      <c r="H29" s="118">
        <f t="shared" si="25"/>
        <v>1.67475</v>
      </c>
      <c r="I29" s="118">
        <f t="shared" si="25"/>
        <v>2.1568749999999999</v>
      </c>
      <c r="J29" s="118">
        <f t="shared" si="25"/>
        <v>2.6643750000000002</v>
      </c>
      <c r="K29" s="118">
        <f t="shared" si="25"/>
        <v>3.171875</v>
      </c>
      <c r="L29" s="118">
        <f t="shared" si="25"/>
        <v>3.7301250000000001</v>
      </c>
      <c r="M29" s="118">
        <f t="shared" si="25"/>
        <v>4.3391250000000001</v>
      </c>
      <c r="N29" s="118">
        <f t="shared" si="25"/>
        <v>4.998875</v>
      </c>
      <c r="O29" s="118">
        <f t="shared" si="25"/>
        <v>5.7093749999999996</v>
      </c>
      <c r="P29" s="118">
        <f t="shared" si="25"/>
        <v>6.4706250000000001</v>
      </c>
      <c r="Q29" s="118">
        <f t="shared" si="25"/>
        <v>7.2318749999999996</v>
      </c>
      <c r="R29" s="118">
        <f t="shared" si="25"/>
        <v>7.993125</v>
      </c>
      <c r="S29" s="118">
        <f t="shared" si="25"/>
        <v>8.7543749999999996</v>
      </c>
      <c r="T29" s="118">
        <f t="shared" si="25"/>
        <v>9.515625</v>
      </c>
      <c r="U29" s="118">
        <f t="shared" si="25"/>
        <v>10.276875</v>
      </c>
      <c r="V29" s="118">
        <f t="shared" si="25"/>
        <v>11.038125000000001</v>
      </c>
      <c r="W29" s="118">
        <f t="shared" si="25"/>
        <v>11.799375</v>
      </c>
      <c r="X29" s="118">
        <f t="shared" si="25"/>
        <v>12.560625</v>
      </c>
      <c r="Y29" s="118">
        <f t="shared" si="25"/>
        <v>13.321875</v>
      </c>
      <c r="Z29" s="118">
        <f t="shared" si="25"/>
        <v>14.083125000000001</v>
      </c>
      <c r="AA29" s="118">
        <f t="shared" si="25"/>
        <v>14.844374999999999</v>
      </c>
      <c r="AB29" s="118">
        <f t="shared" si="25"/>
        <v>15.605625</v>
      </c>
      <c r="AC29" s="118">
        <f t="shared" si="25"/>
        <v>16.366875</v>
      </c>
      <c r="AD29" s="118">
        <f t="shared" si="25"/>
        <v>17.128125000000001</v>
      </c>
      <c r="AE29" s="118">
        <f t="shared" si="25"/>
        <v>17.889375000000001</v>
      </c>
      <c r="AF29" s="118">
        <f t="shared" si="25"/>
        <v>18.650625000000002</v>
      </c>
      <c r="AG29" s="118">
        <f t="shared" si="25"/>
        <v>19.411874999999998</v>
      </c>
      <c r="AH29" s="118">
        <f t="shared" si="25"/>
        <v>20.173124999999999</v>
      </c>
      <c r="AI29" s="118">
        <f t="shared" si="25"/>
        <v>20.934374999999999</v>
      </c>
      <c r="AJ29" s="118">
        <f t="shared" si="25"/>
        <v>21.695625</v>
      </c>
      <c r="AK29" s="118">
        <f t="shared" si="25"/>
        <v>22.456875</v>
      </c>
      <c r="AL29" s="118">
        <f t="shared" si="25"/>
        <v>23.218125000000001</v>
      </c>
      <c r="AM29" s="118">
        <f t="shared" si="25"/>
        <v>23.979375000000001</v>
      </c>
      <c r="AN29" s="118">
        <f t="shared" si="25"/>
        <v>24.740625000000001</v>
      </c>
      <c r="AP29" s="30">
        <f t="shared" si="21"/>
        <v>37.301249999999996</v>
      </c>
      <c r="AQ29" s="30">
        <f t="shared" si="22"/>
        <v>137.02500000000001</v>
      </c>
      <c r="AR29" s="30">
        <f t="shared" si="23"/>
        <v>246.64500000000001</v>
      </c>
    </row>
    <row r="30" spans="1:44" s="14" customFormat="1" ht="12">
      <c r="A30" s="37" t="s">
        <v>108</v>
      </c>
      <c r="B30" s="37"/>
      <c r="C30" s="115" t="s">
        <v>253</v>
      </c>
      <c r="D30" s="115" t="s">
        <v>85</v>
      </c>
      <c r="E30" s="30">
        <f>BaaS.1!D86/BaaS.1!D84</f>
        <v>15</v>
      </c>
      <c r="F30" s="30">
        <f>BaaS.1!E86/BaaS.1!E84</f>
        <v>31</v>
      </c>
      <c r="G30" s="30">
        <f>BaaS.1!F86/BaaS.1!F84</f>
        <v>48</v>
      </c>
      <c r="H30" s="30">
        <f>BaaS.1!G86/BaaS.1!G84</f>
        <v>66</v>
      </c>
      <c r="I30" s="30">
        <f>BaaS.1!H86/BaaS.1!H84</f>
        <v>85</v>
      </c>
      <c r="J30" s="30">
        <f>BaaS.1!I86/BaaS.1!I84</f>
        <v>105</v>
      </c>
      <c r="K30" s="30">
        <f>BaaS.1!J86/BaaS.1!J84</f>
        <v>125</v>
      </c>
      <c r="L30" s="30">
        <f>BaaS.1!K86/BaaS.1!K84</f>
        <v>147</v>
      </c>
      <c r="M30" s="30">
        <f>BaaS.1!L86/BaaS.1!L84</f>
        <v>171</v>
      </c>
      <c r="N30" s="30">
        <f>BaaS.1!M86/BaaS.1!M84</f>
        <v>197</v>
      </c>
      <c r="O30" s="30">
        <f>BaaS.1!N86/BaaS.1!N84</f>
        <v>225</v>
      </c>
      <c r="P30" s="30">
        <f>BaaS.1!O86/BaaS.1!O84</f>
        <v>255</v>
      </c>
      <c r="Q30" s="30">
        <f>BaaS.1!P86/BaaS.1!P84</f>
        <v>285</v>
      </c>
      <c r="R30" s="30">
        <f>BaaS.1!Q86/BaaS.1!Q84</f>
        <v>315</v>
      </c>
      <c r="S30" s="30">
        <f>BaaS.1!R86/BaaS.1!R84</f>
        <v>345</v>
      </c>
      <c r="T30" s="30">
        <f>BaaS.1!S86/BaaS.1!S84</f>
        <v>375</v>
      </c>
      <c r="U30" s="30">
        <f>BaaS.1!T86/BaaS.1!T84</f>
        <v>405</v>
      </c>
      <c r="V30" s="30">
        <f>BaaS.1!U86/BaaS.1!U84</f>
        <v>435</v>
      </c>
      <c r="W30" s="30">
        <f>BaaS.1!V86/BaaS.1!V84</f>
        <v>465</v>
      </c>
      <c r="X30" s="30">
        <f>BaaS.1!W86/BaaS.1!W84</f>
        <v>495</v>
      </c>
      <c r="Y30" s="30">
        <f>BaaS.1!X86/BaaS.1!X84</f>
        <v>525</v>
      </c>
      <c r="Z30" s="30">
        <f>BaaS.1!Y86/BaaS.1!Y84</f>
        <v>555</v>
      </c>
      <c r="AA30" s="30">
        <f>BaaS.1!Z86/BaaS.1!Z84</f>
        <v>585</v>
      </c>
      <c r="AB30" s="30">
        <f>BaaS.1!AA86/BaaS.1!AA84</f>
        <v>615</v>
      </c>
      <c r="AC30" s="30">
        <f>BaaS.1!AB86/BaaS.1!AB84</f>
        <v>645</v>
      </c>
      <c r="AD30" s="30">
        <f>BaaS.1!AC86/BaaS.1!AC84</f>
        <v>675</v>
      </c>
      <c r="AE30" s="30">
        <f>BaaS.1!AD86/BaaS.1!AD84</f>
        <v>705</v>
      </c>
      <c r="AF30" s="30">
        <f>BaaS.1!AE86/BaaS.1!AE84</f>
        <v>735</v>
      </c>
      <c r="AG30" s="30">
        <f>BaaS.1!AF86/BaaS.1!AF84</f>
        <v>765</v>
      </c>
      <c r="AH30" s="30">
        <f>BaaS.1!AG86/BaaS.1!AG84</f>
        <v>795</v>
      </c>
      <c r="AI30" s="30">
        <f>BaaS.1!AH86/BaaS.1!AH84</f>
        <v>825</v>
      </c>
      <c r="AJ30" s="30">
        <f>BaaS.1!AI86/BaaS.1!AI84</f>
        <v>855</v>
      </c>
      <c r="AK30" s="30">
        <f>BaaS.1!AJ86/BaaS.1!AJ84</f>
        <v>885</v>
      </c>
      <c r="AL30" s="30">
        <f>BaaS.1!AK86/BaaS.1!AK84</f>
        <v>915</v>
      </c>
      <c r="AM30" s="30">
        <f>BaaS.1!AL86/BaaS.1!AL84</f>
        <v>945</v>
      </c>
      <c r="AN30" s="30">
        <f>BaaS.1!AM86/BaaS.1!AM84</f>
        <v>975</v>
      </c>
      <c r="AP30" s="30"/>
      <c r="AQ30" s="30"/>
      <c r="AR30" s="30"/>
    </row>
    <row r="31" spans="1:44" ht="12">
      <c r="A31" s="37" t="s">
        <v>140</v>
      </c>
      <c r="B31" s="37" t="s">
        <v>332</v>
      </c>
      <c r="C31" s="38" t="s">
        <v>42</v>
      </c>
      <c r="D31" s="114" t="s">
        <v>254</v>
      </c>
      <c r="E31" s="118">
        <f>E$21*E32/1000</f>
        <v>0.38062499999999999</v>
      </c>
      <c r="F31" s="118">
        <f t="shared" ref="F31:AN31" si="26">F$21*F32/1000</f>
        <v>0.40600000000000003</v>
      </c>
      <c r="G31" s="118">
        <f t="shared" si="26"/>
        <v>0.43137500000000001</v>
      </c>
      <c r="H31" s="118">
        <f t="shared" si="26"/>
        <v>0.45674999999999999</v>
      </c>
      <c r="I31" s="118">
        <f t="shared" si="26"/>
        <v>0.48212500000000003</v>
      </c>
      <c r="J31" s="118">
        <f t="shared" si="26"/>
        <v>0.50749999999999995</v>
      </c>
      <c r="K31" s="118">
        <f t="shared" si="26"/>
        <v>0.50749999999999995</v>
      </c>
      <c r="L31" s="118">
        <f t="shared" si="26"/>
        <v>0.55825000000000002</v>
      </c>
      <c r="M31" s="118">
        <f t="shared" si="26"/>
        <v>0.60899999999999999</v>
      </c>
      <c r="N31" s="118">
        <f t="shared" si="26"/>
        <v>0.65974999999999995</v>
      </c>
      <c r="O31" s="118">
        <f t="shared" si="26"/>
        <v>0.71050000000000002</v>
      </c>
      <c r="P31" s="118">
        <f t="shared" si="26"/>
        <v>0.76124999999999998</v>
      </c>
      <c r="Q31" s="118">
        <f t="shared" si="26"/>
        <v>0.76124999999999998</v>
      </c>
      <c r="R31" s="118">
        <f t="shared" si="26"/>
        <v>0.76124999999999998</v>
      </c>
      <c r="S31" s="118">
        <f t="shared" si="26"/>
        <v>0.76124999999999998</v>
      </c>
      <c r="T31" s="118">
        <f t="shared" si="26"/>
        <v>0.76124999999999998</v>
      </c>
      <c r="U31" s="118">
        <f t="shared" si="26"/>
        <v>0.76124999999999998</v>
      </c>
      <c r="V31" s="118">
        <f t="shared" si="26"/>
        <v>0.76124999999999998</v>
      </c>
      <c r="W31" s="118">
        <f t="shared" si="26"/>
        <v>0.76124999999999998</v>
      </c>
      <c r="X31" s="118">
        <f t="shared" si="26"/>
        <v>0.76124999999999998</v>
      </c>
      <c r="Y31" s="118">
        <f t="shared" si="26"/>
        <v>0.76124999999999998</v>
      </c>
      <c r="Z31" s="118">
        <f t="shared" si="26"/>
        <v>0.76124999999999998</v>
      </c>
      <c r="AA31" s="118">
        <f t="shared" si="26"/>
        <v>0.76124999999999998</v>
      </c>
      <c r="AB31" s="118">
        <f t="shared" si="26"/>
        <v>0.76124999999999998</v>
      </c>
      <c r="AC31" s="118">
        <f t="shared" si="26"/>
        <v>0.76124999999999998</v>
      </c>
      <c r="AD31" s="118">
        <f t="shared" si="26"/>
        <v>0.76124999999999998</v>
      </c>
      <c r="AE31" s="118">
        <f t="shared" si="26"/>
        <v>0.76124999999999998</v>
      </c>
      <c r="AF31" s="118">
        <f t="shared" si="26"/>
        <v>0.76124999999999998</v>
      </c>
      <c r="AG31" s="118">
        <f t="shared" si="26"/>
        <v>0.76124999999999998</v>
      </c>
      <c r="AH31" s="118">
        <f t="shared" si="26"/>
        <v>0.76124999999999998</v>
      </c>
      <c r="AI31" s="118">
        <f t="shared" si="26"/>
        <v>0.76124999999999998</v>
      </c>
      <c r="AJ31" s="118">
        <f t="shared" si="26"/>
        <v>0.76124999999999998</v>
      </c>
      <c r="AK31" s="118">
        <f t="shared" si="26"/>
        <v>0.76124999999999998</v>
      </c>
      <c r="AL31" s="118">
        <f t="shared" si="26"/>
        <v>0.76124999999999998</v>
      </c>
      <c r="AM31" s="118">
        <f t="shared" si="26"/>
        <v>0.76124999999999998</v>
      </c>
      <c r="AN31" s="118">
        <f t="shared" si="26"/>
        <v>0.76124999999999998</v>
      </c>
      <c r="AP31" s="30">
        <f t="shared" si="21"/>
        <v>6.4706249999999983</v>
      </c>
      <c r="AQ31" s="30">
        <f t="shared" si="22"/>
        <v>9.1350000000000016</v>
      </c>
      <c r="AR31" s="30">
        <f t="shared" si="23"/>
        <v>9.1350000000000016</v>
      </c>
    </row>
    <row r="32" spans="1:44" s="14" customFormat="1" ht="12">
      <c r="A32" s="37" t="s">
        <v>140</v>
      </c>
      <c r="B32" s="37"/>
      <c r="C32" s="115" t="s">
        <v>253</v>
      </c>
      <c r="D32" s="115" t="s">
        <v>85</v>
      </c>
      <c r="E32" s="30">
        <f>BaaS.1!D109</f>
        <v>15</v>
      </c>
      <c r="F32" s="30">
        <f>BaaS.1!E109</f>
        <v>16</v>
      </c>
      <c r="G32" s="30">
        <f>BaaS.1!F109</f>
        <v>17</v>
      </c>
      <c r="H32" s="30">
        <f>BaaS.1!G109</f>
        <v>18</v>
      </c>
      <c r="I32" s="30">
        <f>BaaS.1!H109</f>
        <v>19</v>
      </c>
      <c r="J32" s="30">
        <f>BaaS.1!I109</f>
        <v>20</v>
      </c>
      <c r="K32" s="30">
        <f>BaaS.1!J109</f>
        <v>20</v>
      </c>
      <c r="L32" s="30">
        <f>BaaS.1!K109</f>
        <v>22</v>
      </c>
      <c r="M32" s="30">
        <f>BaaS.1!L109</f>
        <v>24</v>
      </c>
      <c r="N32" s="30">
        <f>BaaS.1!M109</f>
        <v>26</v>
      </c>
      <c r="O32" s="30">
        <f>BaaS.1!N109</f>
        <v>28</v>
      </c>
      <c r="P32" s="30">
        <f>BaaS.1!O109</f>
        <v>30</v>
      </c>
      <c r="Q32" s="30">
        <f>BaaS.1!P109</f>
        <v>30</v>
      </c>
      <c r="R32" s="30">
        <f>BaaS.1!Q109</f>
        <v>30</v>
      </c>
      <c r="S32" s="30">
        <f>BaaS.1!R109</f>
        <v>30</v>
      </c>
      <c r="T32" s="30">
        <f>BaaS.1!S109</f>
        <v>30</v>
      </c>
      <c r="U32" s="30">
        <f>BaaS.1!T109</f>
        <v>30</v>
      </c>
      <c r="V32" s="30">
        <f>BaaS.1!U109</f>
        <v>30</v>
      </c>
      <c r="W32" s="30">
        <f>BaaS.1!V109</f>
        <v>30</v>
      </c>
      <c r="X32" s="30">
        <f>BaaS.1!W109</f>
        <v>30</v>
      </c>
      <c r="Y32" s="30">
        <f>BaaS.1!X109</f>
        <v>30</v>
      </c>
      <c r="Z32" s="30">
        <f>BaaS.1!Y109</f>
        <v>30</v>
      </c>
      <c r="AA32" s="30">
        <f>BaaS.1!Z109</f>
        <v>30</v>
      </c>
      <c r="AB32" s="30">
        <f>BaaS.1!AA109</f>
        <v>30</v>
      </c>
      <c r="AC32" s="30">
        <f>BaaS.1!AB109</f>
        <v>30</v>
      </c>
      <c r="AD32" s="30">
        <f>BaaS.1!AC109</f>
        <v>30</v>
      </c>
      <c r="AE32" s="30">
        <f>BaaS.1!AD109</f>
        <v>30</v>
      </c>
      <c r="AF32" s="30">
        <f>BaaS.1!AE109</f>
        <v>30</v>
      </c>
      <c r="AG32" s="30">
        <f>BaaS.1!AF109</f>
        <v>30</v>
      </c>
      <c r="AH32" s="30">
        <f>BaaS.1!AG109</f>
        <v>30</v>
      </c>
      <c r="AI32" s="30">
        <f>BaaS.1!AH109</f>
        <v>30</v>
      </c>
      <c r="AJ32" s="30">
        <f>BaaS.1!AI109</f>
        <v>30</v>
      </c>
      <c r="AK32" s="30">
        <f>BaaS.1!AJ109</f>
        <v>30</v>
      </c>
      <c r="AL32" s="30">
        <f>BaaS.1!AK109</f>
        <v>30</v>
      </c>
      <c r="AM32" s="30">
        <f>BaaS.1!AL109</f>
        <v>30</v>
      </c>
      <c r="AN32" s="30">
        <f>BaaS.1!AM109</f>
        <v>30</v>
      </c>
      <c r="AP32" s="30"/>
      <c r="AQ32" s="30"/>
      <c r="AR32" s="30"/>
    </row>
    <row r="33" spans="1:44" ht="12">
      <c r="A33" s="37" t="s">
        <v>101</v>
      </c>
      <c r="B33" s="37" t="s">
        <v>332</v>
      </c>
      <c r="C33" s="38" t="s">
        <v>42</v>
      </c>
      <c r="D33" s="114" t="s">
        <v>78</v>
      </c>
      <c r="E33" s="30">
        <f>E34*E35/1000</f>
        <v>47.61904761904762</v>
      </c>
      <c r="F33" s="30">
        <f t="shared" ref="F33:AN33" si="27">F34*F35/1000</f>
        <v>23.80952380952381</v>
      </c>
      <c r="G33" s="30">
        <f t="shared" si="27"/>
        <v>23.80952380952381</v>
      </c>
      <c r="H33" s="30">
        <f t="shared" si="27"/>
        <v>23.80952380952381</v>
      </c>
      <c r="I33" s="30">
        <f t="shared" si="27"/>
        <v>23.80952380952381</v>
      </c>
      <c r="J33" s="30">
        <f t="shared" si="27"/>
        <v>23.80952380952381</v>
      </c>
      <c r="K33" s="30">
        <f t="shared" si="27"/>
        <v>23.80952380952381</v>
      </c>
      <c r="L33" s="30">
        <f t="shared" si="27"/>
        <v>23.80952380952381</v>
      </c>
      <c r="M33" s="30">
        <f t="shared" si="27"/>
        <v>23.80952380952381</v>
      </c>
      <c r="N33" s="30">
        <f t="shared" si="27"/>
        <v>23.80952380952381</v>
      </c>
      <c r="O33" s="30">
        <f t="shared" si="27"/>
        <v>23.80952380952381</v>
      </c>
      <c r="P33" s="30">
        <f t="shared" si="27"/>
        <v>23.80952380952381</v>
      </c>
      <c r="Q33" s="30">
        <f t="shared" si="27"/>
        <v>23.80952380952381</v>
      </c>
      <c r="R33" s="30">
        <f t="shared" si="27"/>
        <v>23.80952380952381</v>
      </c>
      <c r="S33" s="30">
        <f t="shared" si="27"/>
        <v>23.80952380952381</v>
      </c>
      <c r="T33" s="30">
        <f t="shared" si="27"/>
        <v>23.80952380952381</v>
      </c>
      <c r="U33" s="30">
        <f t="shared" si="27"/>
        <v>23.80952380952381</v>
      </c>
      <c r="V33" s="30">
        <f t="shared" si="27"/>
        <v>23.80952380952381</v>
      </c>
      <c r="W33" s="30">
        <f t="shared" si="27"/>
        <v>23.80952380952381</v>
      </c>
      <c r="X33" s="30">
        <f t="shared" si="27"/>
        <v>23.80952380952381</v>
      </c>
      <c r="Y33" s="30">
        <f t="shared" si="27"/>
        <v>23.80952380952381</v>
      </c>
      <c r="Z33" s="30">
        <f t="shared" si="27"/>
        <v>23.80952380952381</v>
      </c>
      <c r="AA33" s="30">
        <f t="shared" si="27"/>
        <v>23.80952380952381</v>
      </c>
      <c r="AB33" s="30">
        <f t="shared" si="27"/>
        <v>23.80952380952381</v>
      </c>
      <c r="AC33" s="30">
        <f t="shared" si="27"/>
        <v>23.80952380952381</v>
      </c>
      <c r="AD33" s="30">
        <f t="shared" si="27"/>
        <v>23.80952380952381</v>
      </c>
      <c r="AE33" s="30">
        <f t="shared" si="27"/>
        <v>23.80952380952381</v>
      </c>
      <c r="AF33" s="30">
        <f t="shared" si="27"/>
        <v>23.80952380952381</v>
      </c>
      <c r="AG33" s="30">
        <f t="shared" si="27"/>
        <v>23.80952380952381</v>
      </c>
      <c r="AH33" s="30">
        <f t="shared" si="27"/>
        <v>23.80952380952381</v>
      </c>
      <c r="AI33" s="30">
        <f t="shared" si="27"/>
        <v>23.80952380952381</v>
      </c>
      <c r="AJ33" s="30">
        <f t="shared" si="27"/>
        <v>23.80952380952381</v>
      </c>
      <c r="AK33" s="30">
        <f t="shared" si="27"/>
        <v>23.80952380952381</v>
      </c>
      <c r="AL33" s="30">
        <f t="shared" si="27"/>
        <v>23.80952380952381</v>
      </c>
      <c r="AM33" s="30">
        <f t="shared" si="27"/>
        <v>23.80952380952381</v>
      </c>
      <c r="AN33" s="30">
        <f t="shared" si="27"/>
        <v>23.80952380952381</v>
      </c>
      <c r="AP33" s="30">
        <f t="shared" si="21"/>
        <v>309.52380952380946</v>
      </c>
      <c r="AQ33" s="30">
        <f t="shared" si="22"/>
        <v>285.71428571428567</v>
      </c>
      <c r="AR33" s="30">
        <f t="shared" si="23"/>
        <v>285.71428571428567</v>
      </c>
    </row>
    <row r="34" spans="1:44" s="14" customFormat="1" ht="12">
      <c r="A34" s="37" t="s">
        <v>101</v>
      </c>
      <c r="B34" s="37"/>
      <c r="C34" s="115" t="s">
        <v>255</v>
      </c>
      <c r="D34" s="115" t="s">
        <v>85</v>
      </c>
      <c r="E34" s="30">
        <f>'0'!D11-'0'!C11</f>
        <v>2</v>
      </c>
      <c r="F34" s="30">
        <f>'0'!E11-'0'!D11</f>
        <v>1</v>
      </c>
      <c r="G34" s="30">
        <f>'0'!F11-'0'!E11</f>
        <v>1</v>
      </c>
      <c r="H34" s="30">
        <f>'0'!G11-'0'!F11</f>
        <v>1</v>
      </c>
      <c r="I34" s="30">
        <f>'0'!H11-'0'!G11</f>
        <v>1</v>
      </c>
      <c r="J34" s="30">
        <f>'0'!I11-'0'!H11</f>
        <v>1</v>
      </c>
      <c r="K34" s="30">
        <f>'0'!J11-'0'!I11</f>
        <v>1</v>
      </c>
      <c r="L34" s="30">
        <f>'0'!K11-'0'!J11</f>
        <v>1</v>
      </c>
      <c r="M34" s="30">
        <f>'0'!L11-'0'!K11</f>
        <v>1</v>
      </c>
      <c r="N34" s="30">
        <f>'0'!M11-'0'!L11</f>
        <v>1</v>
      </c>
      <c r="O34" s="30">
        <f>'0'!N11-'0'!M11</f>
        <v>1</v>
      </c>
      <c r="P34" s="30">
        <f>'0'!O11-'0'!N11</f>
        <v>1</v>
      </c>
      <c r="Q34" s="30">
        <f>'0'!P11-'0'!O11</f>
        <v>1</v>
      </c>
      <c r="R34" s="30">
        <f>'0'!Q11-'0'!P11</f>
        <v>1</v>
      </c>
      <c r="S34" s="30">
        <f>'0'!R11-'0'!Q11</f>
        <v>1</v>
      </c>
      <c r="T34" s="30">
        <f>'0'!S11-'0'!R11</f>
        <v>1</v>
      </c>
      <c r="U34" s="30">
        <f>'0'!T11-'0'!S11</f>
        <v>1</v>
      </c>
      <c r="V34" s="30">
        <f>'0'!U11-'0'!T11</f>
        <v>1</v>
      </c>
      <c r="W34" s="30">
        <f>'0'!V11-'0'!U11</f>
        <v>1</v>
      </c>
      <c r="X34" s="30">
        <f>'0'!W11-'0'!V11</f>
        <v>1</v>
      </c>
      <c r="Y34" s="30">
        <f>'0'!X11-'0'!W11</f>
        <v>1</v>
      </c>
      <c r="Z34" s="30">
        <f>'0'!Y11-'0'!X11</f>
        <v>1</v>
      </c>
      <c r="AA34" s="30">
        <f>'0'!Z11-'0'!Y11</f>
        <v>1</v>
      </c>
      <c r="AB34" s="30">
        <f>'0'!AA11-'0'!Z11</f>
        <v>1</v>
      </c>
      <c r="AC34" s="30">
        <f>'0'!AB11-'0'!AA11</f>
        <v>1</v>
      </c>
      <c r="AD34" s="30">
        <f>'0'!AC11-'0'!AB11</f>
        <v>1</v>
      </c>
      <c r="AE34" s="30">
        <f>'0'!AD11-'0'!AC11</f>
        <v>1</v>
      </c>
      <c r="AF34" s="30">
        <f>'0'!AE11-'0'!AD11</f>
        <v>1</v>
      </c>
      <c r="AG34" s="30">
        <f>'0'!AF11-'0'!AE11</f>
        <v>1</v>
      </c>
      <c r="AH34" s="30">
        <f>'0'!AG11-'0'!AF11</f>
        <v>1</v>
      </c>
      <c r="AI34" s="30">
        <f>'0'!AH11-'0'!AG11</f>
        <v>1</v>
      </c>
      <c r="AJ34" s="30">
        <f>'0'!AI11-'0'!AH11</f>
        <v>1</v>
      </c>
      <c r="AK34" s="30">
        <f>'0'!AJ11-'0'!AI11</f>
        <v>1</v>
      </c>
      <c r="AL34" s="30">
        <f>'0'!AK11-'0'!AJ11</f>
        <v>1</v>
      </c>
      <c r="AM34" s="30">
        <f>'0'!AL11-'0'!AK11</f>
        <v>1</v>
      </c>
      <c r="AN34" s="30">
        <f>'0'!AM11-'0'!AL11</f>
        <v>1</v>
      </c>
      <c r="AP34" s="30"/>
      <c r="AQ34" s="30"/>
      <c r="AR34" s="30"/>
    </row>
    <row r="35" spans="1:44" s="14" customFormat="1" ht="12">
      <c r="A35" s="37" t="s">
        <v>101</v>
      </c>
      <c r="B35" s="37"/>
      <c r="C35" s="114" t="s">
        <v>259</v>
      </c>
      <c r="D35" s="114" t="s">
        <v>162</v>
      </c>
      <c r="E35" s="30">
        <f>SUM(E36:E37)</f>
        <v>23809.523809523809</v>
      </c>
      <c r="F35" s="30">
        <f t="shared" ref="F35:AN35" si="28">SUM(F36:F37)</f>
        <v>23809.523809523809</v>
      </c>
      <c r="G35" s="30">
        <f t="shared" si="28"/>
        <v>23809.523809523809</v>
      </c>
      <c r="H35" s="30">
        <f t="shared" si="28"/>
        <v>23809.523809523809</v>
      </c>
      <c r="I35" s="30">
        <f t="shared" si="28"/>
        <v>23809.523809523809</v>
      </c>
      <c r="J35" s="30">
        <f t="shared" si="28"/>
        <v>23809.523809523809</v>
      </c>
      <c r="K35" s="30">
        <f t="shared" si="28"/>
        <v>23809.523809523809</v>
      </c>
      <c r="L35" s="30">
        <f t="shared" si="28"/>
        <v>23809.523809523809</v>
      </c>
      <c r="M35" s="30">
        <f t="shared" si="28"/>
        <v>23809.523809523809</v>
      </c>
      <c r="N35" s="30">
        <f t="shared" si="28"/>
        <v>23809.523809523809</v>
      </c>
      <c r="O35" s="30">
        <f t="shared" si="28"/>
        <v>23809.523809523809</v>
      </c>
      <c r="P35" s="30">
        <f t="shared" si="28"/>
        <v>23809.523809523809</v>
      </c>
      <c r="Q35" s="30">
        <f t="shared" si="28"/>
        <v>23809.523809523809</v>
      </c>
      <c r="R35" s="30">
        <f t="shared" si="28"/>
        <v>23809.523809523809</v>
      </c>
      <c r="S35" s="30">
        <f t="shared" si="28"/>
        <v>23809.523809523809</v>
      </c>
      <c r="T35" s="30">
        <f t="shared" si="28"/>
        <v>23809.523809523809</v>
      </c>
      <c r="U35" s="30">
        <f t="shared" si="28"/>
        <v>23809.523809523809</v>
      </c>
      <c r="V35" s="30">
        <f t="shared" si="28"/>
        <v>23809.523809523809</v>
      </c>
      <c r="W35" s="30">
        <f t="shared" si="28"/>
        <v>23809.523809523809</v>
      </c>
      <c r="X35" s="30">
        <f t="shared" si="28"/>
        <v>23809.523809523809</v>
      </c>
      <c r="Y35" s="30">
        <f t="shared" si="28"/>
        <v>23809.523809523809</v>
      </c>
      <c r="Z35" s="30">
        <f t="shared" si="28"/>
        <v>23809.523809523809</v>
      </c>
      <c r="AA35" s="30">
        <f t="shared" si="28"/>
        <v>23809.523809523809</v>
      </c>
      <c r="AB35" s="30">
        <f t="shared" si="28"/>
        <v>23809.523809523809</v>
      </c>
      <c r="AC35" s="30">
        <f t="shared" si="28"/>
        <v>23809.523809523809</v>
      </c>
      <c r="AD35" s="30">
        <f t="shared" si="28"/>
        <v>23809.523809523809</v>
      </c>
      <c r="AE35" s="30">
        <f t="shared" si="28"/>
        <v>23809.523809523809</v>
      </c>
      <c r="AF35" s="30">
        <f t="shared" si="28"/>
        <v>23809.523809523809</v>
      </c>
      <c r="AG35" s="30">
        <f t="shared" si="28"/>
        <v>23809.523809523809</v>
      </c>
      <c r="AH35" s="30">
        <f t="shared" si="28"/>
        <v>23809.523809523809</v>
      </c>
      <c r="AI35" s="30">
        <f t="shared" si="28"/>
        <v>23809.523809523809</v>
      </c>
      <c r="AJ35" s="30">
        <f t="shared" si="28"/>
        <v>23809.523809523809</v>
      </c>
      <c r="AK35" s="30">
        <f t="shared" si="28"/>
        <v>23809.523809523809</v>
      </c>
      <c r="AL35" s="30">
        <f t="shared" si="28"/>
        <v>23809.523809523809</v>
      </c>
      <c r="AM35" s="30">
        <f t="shared" si="28"/>
        <v>23809.523809523809</v>
      </c>
      <c r="AN35" s="30">
        <f t="shared" si="28"/>
        <v>23809.523809523809</v>
      </c>
      <c r="AP35" s="30"/>
      <c r="AQ35" s="30"/>
      <c r="AR35" s="30"/>
    </row>
    <row r="36" spans="1:44" ht="12">
      <c r="A36" s="37" t="s">
        <v>101</v>
      </c>
      <c r="B36" s="37"/>
      <c r="C36" s="119" t="s">
        <v>260</v>
      </c>
      <c r="D36" s="114" t="s">
        <v>162</v>
      </c>
      <c r="E36" s="117">
        <f>50000*5/21</f>
        <v>11904.761904761905</v>
      </c>
      <c r="F36" s="117">
        <f t="shared" ref="F36:AN37" si="29">50000*5/21</f>
        <v>11904.761904761905</v>
      </c>
      <c r="G36" s="117">
        <f t="shared" si="29"/>
        <v>11904.761904761905</v>
      </c>
      <c r="H36" s="117">
        <f t="shared" si="29"/>
        <v>11904.761904761905</v>
      </c>
      <c r="I36" s="117">
        <f t="shared" si="29"/>
        <v>11904.761904761905</v>
      </c>
      <c r="J36" s="117">
        <f t="shared" si="29"/>
        <v>11904.761904761905</v>
      </c>
      <c r="K36" s="117">
        <f t="shared" si="29"/>
        <v>11904.761904761905</v>
      </c>
      <c r="L36" s="117">
        <f t="shared" si="29"/>
        <v>11904.761904761905</v>
      </c>
      <c r="M36" s="117">
        <f t="shared" si="29"/>
        <v>11904.761904761905</v>
      </c>
      <c r="N36" s="117">
        <f t="shared" si="29"/>
        <v>11904.761904761905</v>
      </c>
      <c r="O36" s="117">
        <f t="shared" si="29"/>
        <v>11904.761904761905</v>
      </c>
      <c r="P36" s="117">
        <f t="shared" si="29"/>
        <v>11904.761904761905</v>
      </c>
      <c r="Q36" s="117">
        <f t="shared" si="29"/>
        <v>11904.761904761905</v>
      </c>
      <c r="R36" s="117">
        <f t="shared" si="29"/>
        <v>11904.761904761905</v>
      </c>
      <c r="S36" s="117">
        <f t="shared" si="29"/>
        <v>11904.761904761905</v>
      </c>
      <c r="T36" s="117">
        <f t="shared" si="29"/>
        <v>11904.761904761905</v>
      </c>
      <c r="U36" s="117">
        <f t="shared" si="29"/>
        <v>11904.761904761905</v>
      </c>
      <c r="V36" s="117">
        <f t="shared" si="29"/>
        <v>11904.761904761905</v>
      </c>
      <c r="W36" s="117">
        <f t="shared" si="29"/>
        <v>11904.761904761905</v>
      </c>
      <c r="X36" s="117">
        <f t="shared" si="29"/>
        <v>11904.761904761905</v>
      </c>
      <c r="Y36" s="117">
        <f t="shared" si="29"/>
        <v>11904.761904761905</v>
      </c>
      <c r="Z36" s="117">
        <f t="shared" si="29"/>
        <v>11904.761904761905</v>
      </c>
      <c r="AA36" s="117">
        <f t="shared" si="29"/>
        <v>11904.761904761905</v>
      </c>
      <c r="AB36" s="117">
        <f t="shared" si="29"/>
        <v>11904.761904761905</v>
      </c>
      <c r="AC36" s="117">
        <f t="shared" si="29"/>
        <v>11904.761904761905</v>
      </c>
      <c r="AD36" s="117">
        <f t="shared" si="29"/>
        <v>11904.761904761905</v>
      </c>
      <c r="AE36" s="117">
        <f t="shared" si="29"/>
        <v>11904.761904761905</v>
      </c>
      <c r="AF36" s="117">
        <f t="shared" si="29"/>
        <v>11904.761904761905</v>
      </c>
      <c r="AG36" s="117">
        <f t="shared" si="29"/>
        <v>11904.761904761905</v>
      </c>
      <c r="AH36" s="117">
        <f t="shared" si="29"/>
        <v>11904.761904761905</v>
      </c>
      <c r="AI36" s="117">
        <f t="shared" si="29"/>
        <v>11904.761904761905</v>
      </c>
      <c r="AJ36" s="117">
        <f t="shared" si="29"/>
        <v>11904.761904761905</v>
      </c>
      <c r="AK36" s="117">
        <f t="shared" si="29"/>
        <v>11904.761904761905</v>
      </c>
      <c r="AL36" s="117">
        <f t="shared" si="29"/>
        <v>11904.761904761905</v>
      </c>
      <c r="AM36" s="117">
        <f t="shared" si="29"/>
        <v>11904.761904761905</v>
      </c>
      <c r="AN36" s="117">
        <f t="shared" si="29"/>
        <v>11904.761904761905</v>
      </c>
      <c r="AP36" s="30"/>
      <c r="AQ36" s="30"/>
      <c r="AR36" s="30"/>
    </row>
    <row r="37" spans="1:44" ht="12">
      <c r="A37" s="37" t="s">
        <v>101</v>
      </c>
      <c r="B37" s="37"/>
      <c r="C37" s="119" t="s">
        <v>261</v>
      </c>
      <c r="D37" s="114" t="s">
        <v>162</v>
      </c>
      <c r="E37" s="117">
        <f>50000*5/21</f>
        <v>11904.761904761905</v>
      </c>
      <c r="F37" s="117">
        <f t="shared" si="29"/>
        <v>11904.761904761905</v>
      </c>
      <c r="G37" s="117">
        <f t="shared" si="29"/>
        <v>11904.761904761905</v>
      </c>
      <c r="H37" s="117">
        <f t="shared" si="29"/>
        <v>11904.761904761905</v>
      </c>
      <c r="I37" s="117">
        <f t="shared" si="29"/>
        <v>11904.761904761905</v>
      </c>
      <c r="J37" s="117">
        <f t="shared" si="29"/>
        <v>11904.761904761905</v>
      </c>
      <c r="K37" s="117">
        <f t="shared" si="29"/>
        <v>11904.761904761905</v>
      </c>
      <c r="L37" s="117">
        <f t="shared" si="29"/>
        <v>11904.761904761905</v>
      </c>
      <c r="M37" s="117">
        <f t="shared" si="29"/>
        <v>11904.761904761905</v>
      </c>
      <c r="N37" s="117">
        <f t="shared" si="29"/>
        <v>11904.761904761905</v>
      </c>
      <c r="O37" s="117">
        <f t="shared" si="29"/>
        <v>11904.761904761905</v>
      </c>
      <c r="P37" s="117">
        <f t="shared" si="29"/>
        <v>11904.761904761905</v>
      </c>
      <c r="Q37" s="117">
        <f t="shared" si="29"/>
        <v>11904.761904761905</v>
      </c>
      <c r="R37" s="117">
        <f t="shared" si="29"/>
        <v>11904.761904761905</v>
      </c>
      <c r="S37" s="117">
        <f t="shared" si="29"/>
        <v>11904.761904761905</v>
      </c>
      <c r="T37" s="117">
        <f t="shared" si="29"/>
        <v>11904.761904761905</v>
      </c>
      <c r="U37" s="117">
        <f t="shared" si="29"/>
        <v>11904.761904761905</v>
      </c>
      <c r="V37" s="117">
        <f t="shared" si="29"/>
        <v>11904.761904761905</v>
      </c>
      <c r="W37" s="117">
        <f t="shared" si="29"/>
        <v>11904.761904761905</v>
      </c>
      <c r="X37" s="117">
        <f t="shared" si="29"/>
        <v>11904.761904761905</v>
      </c>
      <c r="Y37" s="117">
        <f t="shared" si="29"/>
        <v>11904.761904761905</v>
      </c>
      <c r="Z37" s="117">
        <f t="shared" si="29"/>
        <v>11904.761904761905</v>
      </c>
      <c r="AA37" s="117">
        <f t="shared" si="29"/>
        <v>11904.761904761905</v>
      </c>
      <c r="AB37" s="117">
        <f t="shared" si="29"/>
        <v>11904.761904761905</v>
      </c>
      <c r="AC37" s="117">
        <f t="shared" si="29"/>
        <v>11904.761904761905</v>
      </c>
      <c r="AD37" s="117">
        <f t="shared" si="29"/>
        <v>11904.761904761905</v>
      </c>
      <c r="AE37" s="117">
        <f t="shared" si="29"/>
        <v>11904.761904761905</v>
      </c>
      <c r="AF37" s="117">
        <f t="shared" si="29"/>
        <v>11904.761904761905</v>
      </c>
      <c r="AG37" s="117">
        <f t="shared" si="29"/>
        <v>11904.761904761905</v>
      </c>
      <c r="AH37" s="117">
        <f t="shared" si="29"/>
        <v>11904.761904761905</v>
      </c>
      <c r="AI37" s="117">
        <f t="shared" si="29"/>
        <v>11904.761904761905</v>
      </c>
      <c r="AJ37" s="117">
        <f t="shared" si="29"/>
        <v>11904.761904761905</v>
      </c>
      <c r="AK37" s="117">
        <f t="shared" si="29"/>
        <v>11904.761904761905</v>
      </c>
      <c r="AL37" s="117">
        <f t="shared" si="29"/>
        <v>11904.761904761905</v>
      </c>
      <c r="AM37" s="117">
        <f t="shared" si="29"/>
        <v>11904.761904761905</v>
      </c>
      <c r="AN37" s="117">
        <f t="shared" si="29"/>
        <v>11904.761904761905</v>
      </c>
      <c r="AP37" s="30"/>
      <c r="AQ37" s="30"/>
      <c r="AR37" s="30"/>
    </row>
    <row r="38" spans="1:44" ht="12">
      <c r="A38" s="133" t="s">
        <v>244</v>
      </c>
      <c r="B38" s="37" t="s">
        <v>332</v>
      </c>
      <c r="C38" s="38" t="s">
        <v>42</v>
      </c>
      <c r="D38" s="38"/>
      <c r="E38" s="30">
        <f>(E39+E40*E41)/1000</f>
        <v>103.93214285714285</v>
      </c>
      <c r="F38" s="30">
        <f t="shared" ref="F38:AN38" si="30">(F39+F40*F41)/1000</f>
        <v>107.81021875</v>
      </c>
      <c r="G38" s="30">
        <f t="shared" si="30"/>
        <v>111.65004431361608</v>
      </c>
      <c r="H38" s="30">
        <f t="shared" si="30"/>
        <v>115.45453781665503</v>
      </c>
      <c r="I38" s="30">
        <f t="shared" si="30"/>
        <v>119.22642898219469</v>
      </c>
      <c r="J38" s="30">
        <f t="shared" si="30"/>
        <v>122.96823652969893</v>
      </c>
      <c r="K38" s="30">
        <f t="shared" si="30"/>
        <v>126.42014173615752</v>
      </c>
      <c r="L38" s="30">
        <f t="shared" si="30"/>
        <v>130.12965555189601</v>
      </c>
      <c r="M38" s="30">
        <f t="shared" si="30"/>
        <v>134.07521640275672</v>
      </c>
      <c r="N38" s="30">
        <f t="shared" si="30"/>
        <v>138.23859353144235</v>
      </c>
      <c r="O38" s="30">
        <f t="shared" si="30"/>
        <v>142.60295934946359</v>
      </c>
      <c r="P38" s="30">
        <f t="shared" si="30"/>
        <v>147.15278631386329</v>
      </c>
      <c r="Q38" s="30">
        <f t="shared" si="30"/>
        <v>151.34946076017846</v>
      </c>
      <c r="R38" s="30">
        <f t="shared" si="30"/>
        <v>155.22192296508192</v>
      </c>
      <c r="S38" s="30">
        <f t="shared" si="30"/>
        <v>158.7952149681428</v>
      </c>
      <c r="T38" s="30">
        <f t="shared" si="30"/>
        <v>162.09244942072186</v>
      </c>
      <c r="U38" s="30">
        <f t="shared" si="30"/>
        <v>165.13495337108162</v>
      </c>
      <c r="V38" s="30">
        <f t="shared" si="30"/>
        <v>167.94240622925327</v>
      </c>
      <c r="W38" s="30">
        <f t="shared" si="30"/>
        <v>170.53296705660219</v>
      </c>
      <c r="X38" s="30">
        <f t="shared" si="30"/>
        <v>172.92339202158814</v>
      </c>
      <c r="Y38" s="30">
        <f t="shared" si="30"/>
        <v>175.12914278138624</v>
      </c>
      <c r="Z38" s="30">
        <f t="shared" si="30"/>
        <v>177.16448649039845</v>
      </c>
      <c r="AA38" s="30">
        <f t="shared" si="30"/>
        <v>179.04258808252698</v>
      </c>
      <c r="AB38" s="30">
        <f t="shared" si="30"/>
        <v>180.77559542410648</v>
      </c>
      <c r="AC38" s="30">
        <f t="shared" si="30"/>
        <v>182.37471788827767</v>
      </c>
      <c r="AD38" s="30">
        <f t="shared" si="30"/>
        <v>183.85029885903472</v>
      </c>
      <c r="AE38" s="30">
        <f t="shared" si="30"/>
        <v>185.21188263391383</v>
      </c>
      <c r="AF38" s="30">
        <f t="shared" si="30"/>
        <v>186.46827615806117</v>
      </c>
      <c r="AG38" s="30">
        <f t="shared" si="30"/>
        <v>187.62760598898504</v>
      </c>
      <c r="AH38" s="30">
        <f t="shared" si="30"/>
        <v>188.69737086045089</v>
      </c>
      <c r="AI38" s="30">
        <f t="shared" si="30"/>
        <v>189.6844901855099</v>
      </c>
      <c r="AJ38" s="30">
        <f t="shared" si="30"/>
        <v>190.59534881238716</v>
      </c>
      <c r="AK38" s="30">
        <f t="shared" si="30"/>
        <v>191.43583832271781</v>
      </c>
      <c r="AL38" s="30">
        <f t="shared" si="30"/>
        <v>192.21139513925442</v>
      </c>
      <c r="AM38" s="30">
        <f t="shared" si="30"/>
        <v>192.92703568953303</v>
      </c>
      <c r="AN38" s="30">
        <f t="shared" si="30"/>
        <v>193.58738885294161</v>
      </c>
      <c r="AP38" s="30">
        <f t="shared" ref="AP38:AP102" si="31">SUM(E38:P38)</f>
        <v>1499.6609621348873</v>
      </c>
      <c r="AQ38" s="30">
        <f t="shared" ref="AQ38:AQ102" si="32">SUM(Q38:AB38)</f>
        <v>2016.1045795710686</v>
      </c>
      <c r="AR38" s="30">
        <f t="shared" ref="AR38:AR102" si="33">SUM(AC38:AN38)</f>
        <v>2264.6716493910676</v>
      </c>
    </row>
    <row r="39" spans="1:44" ht="12">
      <c r="A39" s="133" t="s">
        <v>244</v>
      </c>
      <c r="B39" s="37"/>
      <c r="C39" s="119" t="s">
        <v>314</v>
      </c>
      <c r="D39" s="114" t="s">
        <v>162</v>
      </c>
      <c r="E39" s="117">
        <v>100000</v>
      </c>
      <c r="F39" s="117">
        <v>100000</v>
      </c>
      <c r="G39" s="117">
        <v>100000</v>
      </c>
      <c r="H39" s="117">
        <v>100000</v>
      </c>
      <c r="I39" s="117">
        <v>100000</v>
      </c>
      <c r="J39" s="117">
        <v>100000</v>
      </c>
      <c r="K39" s="117">
        <v>100000</v>
      </c>
      <c r="L39" s="117">
        <v>100000</v>
      </c>
      <c r="M39" s="117">
        <v>100000</v>
      </c>
      <c r="N39" s="117">
        <v>100000</v>
      </c>
      <c r="O39" s="117">
        <v>100000</v>
      </c>
      <c r="P39" s="117">
        <v>100000</v>
      </c>
      <c r="Q39" s="117">
        <v>100000</v>
      </c>
      <c r="R39" s="117">
        <v>100000</v>
      </c>
      <c r="S39" s="117">
        <v>100000</v>
      </c>
      <c r="T39" s="117">
        <v>100000</v>
      </c>
      <c r="U39" s="117">
        <v>100000</v>
      </c>
      <c r="V39" s="117">
        <v>100000</v>
      </c>
      <c r="W39" s="117">
        <v>100000</v>
      </c>
      <c r="X39" s="117">
        <v>100000</v>
      </c>
      <c r="Y39" s="117">
        <v>100000</v>
      </c>
      <c r="Z39" s="117">
        <v>100000</v>
      </c>
      <c r="AA39" s="117">
        <v>100000</v>
      </c>
      <c r="AB39" s="117">
        <v>100000</v>
      </c>
      <c r="AC39" s="117">
        <v>100000</v>
      </c>
      <c r="AD39" s="117">
        <v>100000</v>
      </c>
      <c r="AE39" s="117">
        <v>100000</v>
      </c>
      <c r="AF39" s="117">
        <v>100000</v>
      </c>
      <c r="AG39" s="117">
        <v>100000</v>
      </c>
      <c r="AH39" s="117">
        <v>100000</v>
      </c>
      <c r="AI39" s="117">
        <v>100000</v>
      </c>
      <c r="AJ39" s="117">
        <v>100000</v>
      </c>
      <c r="AK39" s="117">
        <v>100000</v>
      </c>
      <c r="AL39" s="117">
        <v>100000</v>
      </c>
      <c r="AM39" s="117">
        <v>100000</v>
      </c>
      <c r="AN39" s="117">
        <v>100000</v>
      </c>
      <c r="AP39" s="30"/>
      <c r="AQ39" s="30"/>
      <c r="AR39" s="30"/>
    </row>
    <row r="40" spans="1:44" s="14" customFormat="1" ht="12">
      <c r="A40" s="133" t="s">
        <v>244</v>
      </c>
      <c r="B40" s="37"/>
      <c r="C40" s="115" t="s">
        <v>317</v>
      </c>
      <c r="D40" s="115" t="s">
        <v>85</v>
      </c>
      <c r="E40" s="30">
        <f>BaaS.2!D8</f>
        <v>1350</v>
      </c>
      <c r="F40" s="30">
        <f>BaaS.2!E8</f>
        <v>2681.4375</v>
      </c>
      <c r="G40" s="30">
        <f>BaaS.2!F8</f>
        <v>3999.7427343750001</v>
      </c>
      <c r="H40" s="30">
        <f>BaaS.2!G8</f>
        <v>5305.9176155273444</v>
      </c>
      <c r="I40" s="30">
        <f>BaaS.2!H8</f>
        <v>6600.8993235872804</v>
      </c>
      <c r="J40" s="30">
        <f>BaaS.2!I8</f>
        <v>7885.5525960274244</v>
      </c>
      <c r="K40" s="30">
        <f>BaaS.2!J8</f>
        <v>9070.6753644573491</v>
      </c>
      <c r="L40" s="30">
        <f>BaaS.2!K8</f>
        <v>10344.241415637318</v>
      </c>
      <c r="M40" s="30">
        <f>BaaS.2!L8</f>
        <v>11698.848138276151</v>
      </c>
      <c r="N40" s="30">
        <f>BaaS.2!M8</f>
        <v>13128.236471285387</v>
      </c>
      <c r="O40" s="30">
        <f>BaaS.2!N8</f>
        <v>14626.629095456159</v>
      </c>
      <c r="P40" s="30">
        <f>BaaS.2!O8</f>
        <v>16188.695028737809</v>
      </c>
      <c r="Q40" s="30">
        <f>BaaS.2!P8</f>
        <v>17629.515138371891</v>
      </c>
      <c r="R40" s="30">
        <f>BaaS.2!Q8</f>
        <v>18959.025323161637</v>
      </c>
      <c r="S40" s="30">
        <f>BaaS.2!R8</f>
        <v>20185.82312257764</v>
      </c>
      <c r="T40" s="30">
        <f>BaaS.2!S8</f>
        <v>21317.843670329577</v>
      </c>
      <c r="U40" s="30">
        <f>BaaS.2!T8</f>
        <v>22362.409059281425</v>
      </c>
      <c r="V40" s="30">
        <f>BaaS.2!U8</f>
        <v>23326.275708136003</v>
      </c>
      <c r="W40" s="30">
        <f>BaaS.2!V8</f>
        <v>24215.678063029638</v>
      </c>
      <c r="X40" s="30">
        <f>BaaS.2!W8</f>
        <v>25036.368922943067</v>
      </c>
      <c r="Y40" s="30">
        <f>BaaS.2!X8</f>
        <v>25793.656649740235</v>
      </c>
      <c r="Z40" s="30">
        <f>BaaS.2!Y8</f>
        <v>26492.439503515543</v>
      </c>
      <c r="AA40" s="30">
        <f>BaaS.2!Z8</f>
        <v>27137.237325336246</v>
      </c>
      <c r="AB40" s="30">
        <f>BaaS.2!AA8</f>
        <v>27732.22077230904</v>
      </c>
      <c r="AC40" s="30">
        <f>BaaS.2!AB8</f>
        <v>28281.238294068084</v>
      </c>
      <c r="AD40" s="30">
        <f>BaaS.2!AC8</f>
        <v>28787.841025172678</v>
      </c>
      <c r="AE40" s="30">
        <f>BaaS.2!AD8</f>
        <v>29255.305754422741</v>
      </c>
      <c r="AF40" s="30">
        <f>BaaS.2!AE8</f>
        <v>29686.656119661333</v>
      </c>
      <c r="AG40" s="30">
        <f>BaaS.2!AF8</f>
        <v>30084.682165155631</v>
      </c>
      <c r="AH40" s="30">
        <f>BaaS.2!AG8</f>
        <v>30451.958388056712</v>
      </c>
      <c r="AI40" s="30">
        <f>BaaS.2!AH8</f>
        <v>30790.860390665519</v>
      </c>
      <c r="AJ40" s="30">
        <f>BaaS.2!AI8</f>
        <v>31103.580246214668</v>
      </c>
      <c r="AK40" s="30">
        <f>BaaS.2!AJ8</f>
        <v>31392.140677554344</v>
      </c>
      <c r="AL40" s="30">
        <f>BaaS.2!AK8</f>
        <v>31658.408140452473</v>
      </c>
      <c r="AM40" s="30">
        <f>BaaS.2!AL8</f>
        <v>31904.104896133955</v>
      </c>
      <c r="AN40" s="30">
        <f>BaaS.2!AM8</f>
        <v>32130.820151146174</v>
      </c>
      <c r="AP40" s="30"/>
      <c r="AQ40" s="30"/>
      <c r="AR40" s="30"/>
    </row>
    <row r="41" spans="1:44" s="14" customFormat="1" ht="12">
      <c r="A41" s="133" t="s">
        <v>244</v>
      </c>
      <c r="B41" s="37"/>
      <c r="C41" s="114" t="s">
        <v>316</v>
      </c>
      <c r="D41" s="114" t="s">
        <v>162</v>
      </c>
      <c r="E41" s="118">
        <f>SUM(E42:E44)</f>
        <v>2.9126984126984126</v>
      </c>
      <c r="F41" s="30">
        <f t="shared" ref="F41:AN41" si="34">SUM(F42:F44)</f>
        <v>2.9126984126984126</v>
      </c>
      <c r="G41" s="30">
        <f t="shared" si="34"/>
        <v>2.9126984126984126</v>
      </c>
      <c r="H41" s="30">
        <f t="shared" si="34"/>
        <v>2.9126984126984126</v>
      </c>
      <c r="I41" s="30">
        <f t="shared" si="34"/>
        <v>2.9126984126984126</v>
      </c>
      <c r="J41" s="30">
        <f t="shared" si="34"/>
        <v>2.9126984126984126</v>
      </c>
      <c r="K41" s="30">
        <f t="shared" si="34"/>
        <v>2.9126984126984126</v>
      </c>
      <c r="L41" s="30">
        <f t="shared" si="34"/>
        <v>2.9126984126984126</v>
      </c>
      <c r="M41" s="30">
        <f t="shared" si="34"/>
        <v>2.9126984126984126</v>
      </c>
      <c r="N41" s="30">
        <f t="shared" si="34"/>
        <v>2.9126984126984126</v>
      </c>
      <c r="O41" s="30">
        <f t="shared" si="34"/>
        <v>2.9126984126984126</v>
      </c>
      <c r="P41" s="30">
        <f t="shared" si="34"/>
        <v>2.9126984126984126</v>
      </c>
      <c r="Q41" s="30">
        <f t="shared" si="34"/>
        <v>2.9126984126984126</v>
      </c>
      <c r="R41" s="30">
        <f t="shared" si="34"/>
        <v>2.9126984126984126</v>
      </c>
      <c r="S41" s="30">
        <f t="shared" si="34"/>
        <v>2.9126984126984126</v>
      </c>
      <c r="T41" s="30">
        <f t="shared" si="34"/>
        <v>2.9126984126984126</v>
      </c>
      <c r="U41" s="30">
        <f t="shared" si="34"/>
        <v>2.9126984126984126</v>
      </c>
      <c r="V41" s="30">
        <f t="shared" si="34"/>
        <v>2.9126984126984126</v>
      </c>
      <c r="W41" s="30">
        <f t="shared" si="34"/>
        <v>2.9126984126984126</v>
      </c>
      <c r="X41" s="30">
        <f t="shared" si="34"/>
        <v>2.9126984126984126</v>
      </c>
      <c r="Y41" s="30">
        <f t="shared" si="34"/>
        <v>2.9126984126984126</v>
      </c>
      <c r="Z41" s="30">
        <f t="shared" si="34"/>
        <v>2.9126984126984126</v>
      </c>
      <c r="AA41" s="30">
        <f t="shared" si="34"/>
        <v>2.9126984126984126</v>
      </c>
      <c r="AB41" s="30">
        <f t="shared" si="34"/>
        <v>2.9126984126984126</v>
      </c>
      <c r="AC41" s="30">
        <f t="shared" si="34"/>
        <v>2.9126984126984126</v>
      </c>
      <c r="AD41" s="30">
        <f t="shared" si="34"/>
        <v>2.9126984126984126</v>
      </c>
      <c r="AE41" s="30">
        <f t="shared" si="34"/>
        <v>2.9126984126984126</v>
      </c>
      <c r="AF41" s="30">
        <f t="shared" si="34"/>
        <v>2.9126984126984126</v>
      </c>
      <c r="AG41" s="30">
        <f t="shared" si="34"/>
        <v>2.9126984126984126</v>
      </c>
      <c r="AH41" s="30">
        <f t="shared" si="34"/>
        <v>2.9126984126984126</v>
      </c>
      <c r="AI41" s="30">
        <f t="shared" si="34"/>
        <v>2.9126984126984126</v>
      </c>
      <c r="AJ41" s="30">
        <f t="shared" si="34"/>
        <v>2.9126984126984126</v>
      </c>
      <c r="AK41" s="30">
        <f t="shared" si="34"/>
        <v>2.9126984126984126</v>
      </c>
      <c r="AL41" s="30">
        <f t="shared" si="34"/>
        <v>2.9126984126984126</v>
      </c>
      <c r="AM41" s="30">
        <f t="shared" si="34"/>
        <v>2.9126984126984126</v>
      </c>
      <c r="AN41" s="30">
        <f t="shared" si="34"/>
        <v>2.9126984126984126</v>
      </c>
      <c r="AP41" s="30"/>
      <c r="AQ41" s="30"/>
      <c r="AR41" s="30"/>
    </row>
    <row r="42" spans="1:44" s="14" customFormat="1" ht="12">
      <c r="A42" s="133" t="s">
        <v>244</v>
      </c>
      <c r="B42" s="37"/>
      <c r="C42" s="119" t="s">
        <v>312</v>
      </c>
      <c r="D42" s="114" t="s">
        <v>162</v>
      </c>
      <c r="E42" s="137">
        <f>2*(2/21)*40000/30000</f>
        <v>0.25396825396825395</v>
      </c>
      <c r="F42" s="137">
        <f t="shared" ref="F42:AN42" si="35">2*(2/21)*40000/30000</f>
        <v>0.25396825396825395</v>
      </c>
      <c r="G42" s="137">
        <f t="shared" si="35"/>
        <v>0.25396825396825395</v>
      </c>
      <c r="H42" s="137">
        <f t="shared" si="35"/>
        <v>0.25396825396825395</v>
      </c>
      <c r="I42" s="137">
        <f t="shared" si="35"/>
        <v>0.25396825396825395</v>
      </c>
      <c r="J42" s="137">
        <f t="shared" si="35"/>
        <v>0.25396825396825395</v>
      </c>
      <c r="K42" s="137">
        <f t="shared" si="35"/>
        <v>0.25396825396825395</v>
      </c>
      <c r="L42" s="137">
        <f t="shared" si="35"/>
        <v>0.25396825396825395</v>
      </c>
      <c r="M42" s="137">
        <f t="shared" si="35"/>
        <v>0.25396825396825395</v>
      </c>
      <c r="N42" s="137">
        <f t="shared" si="35"/>
        <v>0.25396825396825395</v>
      </c>
      <c r="O42" s="137">
        <f t="shared" si="35"/>
        <v>0.25396825396825395</v>
      </c>
      <c r="P42" s="137">
        <f t="shared" si="35"/>
        <v>0.25396825396825395</v>
      </c>
      <c r="Q42" s="137">
        <f t="shared" si="35"/>
        <v>0.25396825396825395</v>
      </c>
      <c r="R42" s="137">
        <f t="shared" si="35"/>
        <v>0.25396825396825395</v>
      </c>
      <c r="S42" s="137">
        <f t="shared" si="35"/>
        <v>0.25396825396825395</v>
      </c>
      <c r="T42" s="137">
        <f t="shared" si="35"/>
        <v>0.25396825396825395</v>
      </c>
      <c r="U42" s="137">
        <f t="shared" si="35"/>
        <v>0.25396825396825395</v>
      </c>
      <c r="V42" s="137">
        <f t="shared" si="35"/>
        <v>0.25396825396825395</v>
      </c>
      <c r="W42" s="137">
        <f t="shared" si="35"/>
        <v>0.25396825396825395</v>
      </c>
      <c r="X42" s="137">
        <f t="shared" si="35"/>
        <v>0.25396825396825395</v>
      </c>
      <c r="Y42" s="137">
        <f t="shared" si="35"/>
        <v>0.25396825396825395</v>
      </c>
      <c r="Z42" s="137">
        <f t="shared" si="35"/>
        <v>0.25396825396825395</v>
      </c>
      <c r="AA42" s="137">
        <f t="shared" si="35"/>
        <v>0.25396825396825395</v>
      </c>
      <c r="AB42" s="137">
        <f t="shared" si="35"/>
        <v>0.25396825396825395</v>
      </c>
      <c r="AC42" s="137">
        <f t="shared" si="35"/>
        <v>0.25396825396825395</v>
      </c>
      <c r="AD42" s="137">
        <f t="shared" si="35"/>
        <v>0.25396825396825395</v>
      </c>
      <c r="AE42" s="137">
        <f t="shared" si="35"/>
        <v>0.25396825396825395</v>
      </c>
      <c r="AF42" s="137">
        <f t="shared" si="35"/>
        <v>0.25396825396825395</v>
      </c>
      <c r="AG42" s="137">
        <f t="shared" si="35"/>
        <v>0.25396825396825395</v>
      </c>
      <c r="AH42" s="137">
        <f t="shared" si="35"/>
        <v>0.25396825396825395</v>
      </c>
      <c r="AI42" s="137">
        <f t="shared" si="35"/>
        <v>0.25396825396825395</v>
      </c>
      <c r="AJ42" s="137">
        <f t="shared" si="35"/>
        <v>0.25396825396825395</v>
      </c>
      <c r="AK42" s="137">
        <f t="shared" si="35"/>
        <v>0.25396825396825395</v>
      </c>
      <c r="AL42" s="137">
        <f t="shared" si="35"/>
        <v>0.25396825396825395</v>
      </c>
      <c r="AM42" s="137">
        <f t="shared" si="35"/>
        <v>0.25396825396825395</v>
      </c>
      <c r="AN42" s="137">
        <f t="shared" si="35"/>
        <v>0.25396825396825395</v>
      </c>
      <c r="AP42" s="30"/>
      <c r="AQ42" s="30"/>
      <c r="AR42" s="30"/>
    </row>
    <row r="43" spans="1:44" s="14" customFormat="1" ht="12">
      <c r="A43" s="133" t="s">
        <v>244</v>
      </c>
      <c r="B43" s="37"/>
      <c r="C43" s="119" t="s">
        <v>313</v>
      </c>
      <c r="D43" s="114" t="s">
        <v>162</v>
      </c>
      <c r="E43" s="137">
        <f>2*(10/21)*40000/30000</f>
        <v>1.2698412698412698</v>
      </c>
      <c r="F43" s="137">
        <f t="shared" ref="F43:AN43" si="36">2*(10/21)*40000/30000</f>
        <v>1.2698412698412698</v>
      </c>
      <c r="G43" s="137">
        <f t="shared" si="36"/>
        <v>1.2698412698412698</v>
      </c>
      <c r="H43" s="137">
        <f t="shared" si="36"/>
        <v>1.2698412698412698</v>
      </c>
      <c r="I43" s="137">
        <f t="shared" si="36"/>
        <v>1.2698412698412698</v>
      </c>
      <c r="J43" s="137">
        <f t="shared" si="36"/>
        <v>1.2698412698412698</v>
      </c>
      <c r="K43" s="137">
        <f t="shared" si="36"/>
        <v>1.2698412698412698</v>
      </c>
      <c r="L43" s="137">
        <f t="shared" si="36"/>
        <v>1.2698412698412698</v>
      </c>
      <c r="M43" s="137">
        <f t="shared" si="36"/>
        <v>1.2698412698412698</v>
      </c>
      <c r="N43" s="137">
        <f t="shared" si="36"/>
        <v>1.2698412698412698</v>
      </c>
      <c r="O43" s="137">
        <f t="shared" si="36"/>
        <v>1.2698412698412698</v>
      </c>
      <c r="P43" s="137">
        <f t="shared" si="36"/>
        <v>1.2698412698412698</v>
      </c>
      <c r="Q43" s="137">
        <f t="shared" si="36"/>
        <v>1.2698412698412698</v>
      </c>
      <c r="R43" s="137">
        <f t="shared" si="36"/>
        <v>1.2698412698412698</v>
      </c>
      <c r="S43" s="137">
        <f t="shared" si="36"/>
        <v>1.2698412698412698</v>
      </c>
      <c r="T43" s="137">
        <f t="shared" si="36"/>
        <v>1.2698412698412698</v>
      </c>
      <c r="U43" s="137">
        <f t="shared" si="36"/>
        <v>1.2698412698412698</v>
      </c>
      <c r="V43" s="137">
        <f t="shared" si="36"/>
        <v>1.2698412698412698</v>
      </c>
      <c r="W43" s="137">
        <f t="shared" si="36"/>
        <v>1.2698412698412698</v>
      </c>
      <c r="X43" s="137">
        <f t="shared" si="36"/>
        <v>1.2698412698412698</v>
      </c>
      <c r="Y43" s="137">
        <f t="shared" si="36"/>
        <v>1.2698412698412698</v>
      </c>
      <c r="Z43" s="137">
        <f t="shared" si="36"/>
        <v>1.2698412698412698</v>
      </c>
      <c r="AA43" s="137">
        <f t="shared" si="36"/>
        <v>1.2698412698412698</v>
      </c>
      <c r="AB43" s="137">
        <f t="shared" si="36"/>
        <v>1.2698412698412698</v>
      </c>
      <c r="AC43" s="137">
        <f t="shared" si="36"/>
        <v>1.2698412698412698</v>
      </c>
      <c r="AD43" s="137">
        <f t="shared" si="36"/>
        <v>1.2698412698412698</v>
      </c>
      <c r="AE43" s="137">
        <f t="shared" si="36"/>
        <v>1.2698412698412698</v>
      </c>
      <c r="AF43" s="137">
        <f t="shared" si="36"/>
        <v>1.2698412698412698</v>
      </c>
      <c r="AG43" s="137">
        <f t="shared" si="36"/>
        <v>1.2698412698412698</v>
      </c>
      <c r="AH43" s="137">
        <f t="shared" si="36"/>
        <v>1.2698412698412698</v>
      </c>
      <c r="AI43" s="137">
        <f t="shared" si="36"/>
        <v>1.2698412698412698</v>
      </c>
      <c r="AJ43" s="137">
        <f t="shared" si="36"/>
        <v>1.2698412698412698</v>
      </c>
      <c r="AK43" s="137">
        <f t="shared" si="36"/>
        <v>1.2698412698412698</v>
      </c>
      <c r="AL43" s="137">
        <f t="shared" si="36"/>
        <v>1.2698412698412698</v>
      </c>
      <c r="AM43" s="137">
        <f t="shared" si="36"/>
        <v>1.2698412698412698</v>
      </c>
      <c r="AN43" s="137">
        <f t="shared" si="36"/>
        <v>1.2698412698412698</v>
      </c>
      <c r="AP43" s="30"/>
      <c r="AQ43" s="30"/>
      <c r="AR43" s="30"/>
    </row>
    <row r="44" spans="1:44" s="14" customFormat="1" ht="12">
      <c r="A44" s="133" t="s">
        <v>244</v>
      </c>
      <c r="B44" s="37"/>
      <c r="C44" s="119" t="s">
        <v>315</v>
      </c>
      <c r="D44" s="114" t="s">
        <v>162</v>
      </c>
      <c r="E44" s="137">
        <f>10*2.5/21*35000/30000</f>
        <v>1.3888888888888888</v>
      </c>
      <c r="F44" s="137">
        <f t="shared" ref="F44:AN44" si="37">10*2.5/21*35000/30000</f>
        <v>1.3888888888888888</v>
      </c>
      <c r="G44" s="137">
        <f t="shared" si="37"/>
        <v>1.3888888888888888</v>
      </c>
      <c r="H44" s="137">
        <f t="shared" si="37"/>
        <v>1.3888888888888888</v>
      </c>
      <c r="I44" s="137">
        <f t="shared" si="37"/>
        <v>1.3888888888888888</v>
      </c>
      <c r="J44" s="137">
        <f t="shared" si="37"/>
        <v>1.3888888888888888</v>
      </c>
      <c r="K44" s="137">
        <f t="shared" si="37"/>
        <v>1.3888888888888888</v>
      </c>
      <c r="L44" s="137">
        <f t="shared" si="37"/>
        <v>1.3888888888888888</v>
      </c>
      <c r="M44" s="137">
        <f t="shared" si="37"/>
        <v>1.3888888888888888</v>
      </c>
      <c r="N44" s="137">
        <f t="shared" si="37"/>
        <v>1.3888888888888888</v>
      </c>
      <c r="O44" s="137">
        <f t="shared" si="37"/>
        <v>1.3888888888888888</v>
      </c>
      <c r="P44" s="137">
        <f t="shared" si="37"/>
        <v>1.3888888888888888</v>
      </c>
      <c r="Q44" s="137">
        <f t="shared" si="37"/>
        <v>1.3888888888888888</v>
      </c>
      <c r="R44" s="137">
        <f t="shared" si="37"/>
        <v>1.3888888888888888</v>
      </c>
      <c r="S44" s="137">
        <f t="shared" si="37"/>
        <v>1.3888888888888888</v>
      </c>
      <c r="T44" s="137">
        <f t="shared" si="37"/>
        <v>1.3888888888888888</v>
      </c>
      <c r="U44" s="137">
        <f t="shared" si="37"/>
        <v>1.3888888888888888</v>
      </c>
      <c r="V44" s="137">
        <f t="shared" si="37"/>
        <v>1.3888888888888888</v>
      </c>
      <c r="W44" s="137">
        <f t="shared" si="37"/>
        <v>1.3888888888888888</v>
      </c>
      <c r="X44" s="137">
        <f t="shared" si="37"/>
        <v>1.3888888888888888</v>
      </c>
      <c r="Y44" s="137">
        <f t="shared" si="37"/>
        <v>1.3888888888888888</v>
      </c>
      <c r="Z44" s="137">
        <f t="shared" si="37"/>
        <v>1.3888888888888888</v>
      </c>
      <c r="AA44" s="137">
        <f t="shared" si="37"/>
        <v>1.3888888888888888</v>
      </c>
      <c r="AB44" s="137">
        <f t="shared" si="37"/>
        <v>1.3888888888888888</v>
      </c>
      <c r="AC44" s="137">
        <f t="shared" si="37"/>
        <v>1.3888888888888888</v>
      </c>
      <c r="AD44" s="137">
        <f t="shared" si="37"/>
        <v>1.3888888888888888</v>
      </c>
      <c r="AE44" s="137">
        <f t="shared" si="37"/>
        <v>1.3888888888888888</v>
      </c>
      <c r="AF44" s="137">
        <f t="shared" si="37"/>
        <v>1.3888888888888888</v>
      </c>
      <c r="AG44" s="137">
        <f t="shared" si="37"/>
        <v>1.3888888888888888</v>
      </c>
      <c r="AH44" s="137">
        <f t="shared" si="37"/>
        <v>1.3888888888888888</v>
      </c>
      <c r="AI44" s="137">
        <f t="shared" si="37"/>
        <v>1.3888888888888888</v>
      </c>
      <c r="AJ44" s="137">
        <f t="shared" si="37"/>
        <v>1.3888888888888888</v>
      </c>
      <c r="AK44" s="137">
        <f t="shared" si="37"/>
        <v>1.3888888888888888</v>
      </c>
      <c r="AL44" s="137">
        <f t="shared" si="37"/>
        <v>1.3888888888888888</v>
      </c>
      <c r="AM44" s="137">
        <f t="shared" si="37"/>
        <v>1.3888888888888888</v>
      </c>
      <c r="AN44" s="137">
        <f t="shared" si="37"/>
        <v>1.3888888888888888</v>
      </c>
      <c r="AP44" s="30"/>
      <c r="AQ44" s="30"/>
      <c r="AR44" s="30"/>
    </row>
    <row r="45" spans="1:44" ht="12">
      <c r="A45" s="133" t="s">
        <v>244</v>
      </c>
      <c r="B45" s="37" t="s">
        <v>332</v>
      </c>
      <c r="C45" s="38" t="s">
        <v>43</v>
      </c>
      <c r="D45" s="114" t="s">
        <v>78</v>
      </c>
      <c r="E45" s="25"/>
      <c r="F45" s="30"/>
      <c r="G45" s="30"/>
      <c r="H45" s="30"/>
      <c r="I45" s="30">
        <f>H49*'0'!G27/1000/(5*12)</f>
        <v>24.791666666666668</v>
      </c>
      <c r="J45" s="30">
        <f>I45</f>
        <v>24.791666666666668</v>
      </c>
      <c r="K45" s="30">
        <f t="shared" ref="K45:AN45" si="38">J45</f>
        <v>24.791666666666668</v>
      </c>
      <c r="L45" s="30">
        <f t="shared" si="38"/>
        <v>24.791666666666668</v>
      </c>
      <c r="M45" s="30">
        <f t="shared" si="38"/>
        <v>24.791666666666668</v>
      </c>
      <c r="N45" s="30">
        <f t="shared" si="38"/>
        <v>24.791666666666668</v>
      </c>
      <c r="O45" s="30">
        <f t="shared" si="38"/>
        <v>24.791666666666668</v>
      </c>
      <c r="P45" s="30">
        <f t="shared" si="38"/>
        <v>24.791666666666668</v>
      </c>
      <c r="Q45" s="30">
        <f t="shared" si="38"/>
        <v>24.791666666666668</v>
      </c>
      <c r="R45" s="30">
        <f t="shared" si="38"/>
        <v>24.791666666666668</v>
      </c>
      <c r="S45" s="30">
        <f t="shared" si="38"/>
        <v>24.791666666666668</v>
      </c>
      <c r="T45" s="30">
        <f t="shared" si="38"/>
        <v>24.791666666666668</v>
      </c>
      <c r="U45" s="30">
        <f t="shared" si="38"/>
        <v>24.791666666666668</v>
      </c>
      <c r="V45" s="30">
        <f t="shared" si="38"/>
        <v>24.791666666666668</v>
      </c>
      <c r="W45" s="30">
        <f t="shared" si="38"/>
        <v>24.791666666666668</v>
      </c>
      <c r="X45" s="30">
        <f t="shared" si="38"/>
        <v>24.791666666666668</v>
      </c>
      <c r="Y45" s="30">
        <f t="shared" si="38"/>
        <v>24.791666666666668</v>
      </c>
      <c r="Z45" s="30">
        <f t="shared" si="38"/>
        <v>24.791666666666668</v>
      </c>
      <c r="AA45" s="30">
        <f t="shared" si="38"/>
        <v>24.791666666666668</v>
      </c>
      <c r="AB45" s="30">
        <f t="shared" si="38"/>
        <v>24.791666666666668</v>
      </c>
      <c r="AC45" s="30">
        <f t="shared" si="38"/>
        <v>24.791666666666668</v>
      </c>
      <c r="AD45" s="30">
        <f t="shared" si="38"/>
        <v>24.791666666666668</v>
      </c>
      <c r="AE45" s="30">
        <f t="shared" si="38"/>
        <v>24.791666666666668</v>
      </c>
      <c r="AF45" s="30">
        <f t="shared" si="38"/>
        <v>24.791666666666668</v>
      </c>
      <c r="AG45" s="30">
        <f t="shared" si="38"/>
        <v>24.791666666666668</v>
      </c>
      <c r="AH45" s="30">
        <f t="shared" si="38"/>
        <v>24.791666666666668</v>
      </c>
      <c r="AI45" s="30">
        <f t="shared" si="38"/>
        <v>24.791666666666668</v>
      </c>
      <c r="AJ45" s="30">
        <f t="shared" si="38"/>
        <v>24.791666666666668</v>
      </c>
      <c r="AK45" s="30">
        <f t="shared" si="38"/>
        <v>24.791666666666668</v>
      </c>
      <c r="AL45" s="30">
        <f t="shared" si="38"/>
        <v>24.791666666666668</v>
      </c>
      <c r="AM45" s="30">
        <f t="shared" si="38"/>
        <v>24.791666666666668</v>
      </c>
      <c r="AN45" s="30">
        <f t="shared" si="38"/>
        <v>24.791666666666668</v>
      </c>
      <c r="AP45" s="30">
        <f t="shared" si="31"/>
        <v>198.33333333333331</v>
      </c>
      <c r="AQ45" s="30">
        <f t="shared" si="32"/>
        <v>297.5</v>
      </c>
      <c r="AR45" s="30">
        <f t="shared" si="33"/>
        <v>297.5</v>
      </c>
    </row>
    <row r="46" spans="1:44" ht="12">
      <c r="A46" s="133" t="s">
        <v>244</v>
      </c>
      <c r="B46" s="37" t="s">
        <v>332</v>
      </c>
      <c r="C46" s="38" t="s">
        <v>240</v>
      </c>
      <c r="D46" s="114" t="s">
        <v>78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30">
        <f>S47*'0'!R27/1000/12</f>
        <v>14.166666666666666</v>
      </c>
      <c r="T46" s="30">
        <f>S46</f>
        <v>14.166666666666666</v>
      </c>
      <c r="U46" s="30">
        <f t="shared" ref="U46:AN46" si="39">T46</f>
        <v>14.166666666666666</v>
      </c>
      <c r="V46" s="30">
        <f t="shared" si="39"/>
        <v>14.166666666666666</v>
      </c>
      <c r="W46" s="30">
        <f t="shared" si="39"/>
        <v>14.166666666666666</v>
      </c>
      <c r="X46" s="30">
        <f t="shared" si="39"/>
        <v>14.166666666666666</v>
      </c>
      <c r="Y46" s="30">
        <f t="shared" si="39"/>
        <v>14.166666666666666</v>
      </c>
      <c r="Z46" s="30">
        <f t="shared" si="39"/>
        <v>14.166666666666666</v>
      </c>
      <c r="AA46" s="30">
        <f t="shared" si="39"/>
        <v>14.166666666666666</v>
      </c>
      <c r="AB46" s="30">
        <f t="shared" si="39"/>
        <v>14.166666666666666</v>
      </c>
      <c r="AC46" s="30">
        <f t="shared" si="39"/>
        <v>14.166666666666666</v>
      </c>
      <c r="AD46" s="30">
        <f t="shared" si="39"/>
        <v>14.166666666666666</v>
      </c>
      <c r="AE46" s="30">
        <f>AE47*'0'!AD27/1000/12</f>
        <v>14.166666666666666</v>
      </c>
      <c r="AF46" s="30">
        <f t="shared" si="39"/>
        <v>14.166666666666666</v>
      </c>
      <c r="AG46" s="30">
        <f t="shared" si="39"/>
        <v>14.166666666666666</v>
      </c>
      <c r="AH46" s="30">
        <f t="shared" si="39"/>
        <v>14.166666666666666</v>
      </c>
      <c r="AI46" s="30">
        <f t="shared" si="39"/>
        <v>14.166666666666666</v>
      </c>
      <c r="AJ46" s="30">
        <f t="shared" si="39"/>
        <v>14.166666666666666</v>
      </c>
      <c r="AK46" s="30">
        <f t="shared" si="39"/>
        <v>14.166666666666666</v>
      </c>
      <c r="AL46" s="30">
        <f t="shared" si="39"/>
        <v>14.166666666666666</v>
      </c>
      <c r="AM46" s="30">
        <f t="shared" si="39"/>
        <v>14.166666666666666</v>
      </c>
      <c r="AN46" s="30">
        <f t="shared" si="39"/>
        <v>14.166666666666666</v>
      </c>
      <c r="AP46" s="30">
        <f t="shared" si="31"/>
        <v>0</v>
      </c>
      <c r="AQ46" s="30">
        <f t="shared" si="32"/>
        <v>141.66666666666669</v>
      </c>
      <c r="AR46" s="30">
        <f t="shared" si="33"/>
        <v>170</v>
      </c>
    </row>
    <row r="47" spans="1:44" ht="12">
      <c r="A47" s="133" t="s">
        <v>244</v>
      </c>
      <c r="B47" s="37"/>
      <c r="C47" s="119" t="s">
        <v>319</v>
      </c>
      <c r="D47" s="114" t="s">
        <v>291</v>
      </c>
      <c r="E47" s="19"/>
      <c r="F47" s="25"/>
      <c r="G47" s="25"/>
      <c r="H47" s="19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117">
        <f>50%*4000</f>
        <v>2000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117">
        <f>S47</f>
        <v>2000</v>
      </c>
      <c r="AF47" s="25"/>
      <c r="AG47" s="25"/>
      <c r="AH47" s="25"/>
      <c r="AI47" s="25"/>
      <c r="AJ47" s="25"/>
      <c r="AK47" s="25"/>
      <c r="AL47" s="25"/>
      <c r="AM47" s="25"/>
      <c r="AN47" s="25"/>
      <c r="AP47" s="30"/>
      <c r="AQ47" s="30"/>
      <c r="AR47" s="30"/>
    </row>
    <row r="48" spans="1:44" ht="12">
      <c r="A48" s="133" t="s">
        <v>244</v>
      </c>
      <c r="B48" s="37" t="s">
        <v>327</v>
      </c>
      <c r="C48" s="38" t="s">
        <v>243</v>
      </c>
      <c r="D48" s="114" t="s">
        <v>78</v>
      </c>
      <c r="E48" s="25"/>
      <c r="F48" s="25"/>
      <c r="G48" s="25"/>
      <c r="H48" s="30">
        <f>H49*'0'!G27/1000</f>
        <v>1487.5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P48" s="30">
        <f t="shared" si="31"/>
        <v>1487.5</v>
      </c>
      <c r="AQ48" s="30">
        <f t="shared" si="32"/>
        <v>0</v>
      </c>
      <c r="AR48" s="30">
        <f t="shared" si="33"/>
        <v>0</v>
      </c>
    </row>
    <row r="49" spans="1:44" ht="12">
      <c r="A49" s="133" t="s">
        <v>244</v>
      </c>
      <c r="B49" s="37"/>
      <c r="C49" s="119" t="s">
        <v>318</v>
      </c>
      <c r="D49" s="114" t="s">
        <v>291</v>
      </c>
      <c r="E49" s="19"/>
      <c r="F49" s="25"/>
      <c r="G49" s="25"/>
      <c r="H49" s="117">
        <f>50%*35000</f>
        <v>17500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P49" s="30"/>
      <c r="AQ49" s="30"/>
      <c r="AR49" s="30"/>
    </row>
    <row r="50" spans="1:44" ht="12">
      <c r="A50" s="37" t="s">
        <v>134</v>
      </c>
      <c r="B50" s="37" t="s">
        <v>332</v>
      </c>
      <c r="C50" s="38" t="s">
        <v>42</v>
      </c>
      <c r="D50" s="114" t="s">
        <v>78</v>
      </c>
      <c r="E50" s="30">
        <f>E51/1000</f>
        <v>100</v>
      </c>
      <c r="F50" s="30">
        <f t="shared" ref="F50:AN50" si="40">F51/1000</f>
        <v>100</v>
      </c>
      <c r="G50" s="30">
        <f t="shared" si="40"/>
        <v>100</v>
      </c>
      <c r="H50" s="30">
        <f t="shared" si="40"/>
        <v>100</v>
      </c>
      <c r="I50" s="30">
        <f t="shared" si="40"/>
        <v>100</v>
      </c>
      <c r="J50" s="30">
        <f t="shared" si="40"/>
        <v>100</v>
      </c>
      <c r="K50" s="30">
        <f t="shared" si="40"/>
        <v>100</v>
      </c>
      <c r="L50" s="30">
        <f t="shared" si="40"/>
        <v>100</v>
      </c>
      <c r="M50" s="30">
        <f t="shared" si="40"/>
        <v>100</v>
      </c>
      <c r="N50" s="30">
        <f t="shared" si="40"/>
        <v>100</v>
      </c>
      <c r="O50" s="30">
        <f t="shared" si="40"/>
        <v>100</v>
      </c>
      <c r="P50" s="30">
        <f t="shared" si="40"/>
        <v>100</v>
      </c>
      <c r="Q50" s="30">
        <f t="shared" si="40"/>
        <v>100</v>
      </c>
      <c r="R50" s="30">
        <f t="shared" si="40"/>
        <v>100</v>
      </c>
      <c r="S50" s="30">
        <f t="shared" si="40"/>
        <v>100</v>
      </c>
      <c r="T50" s="30">
        <f t="shared" si="40"/>
        <v>100</v>
      </c>
      <c r="U50" s="30">
        <f t="shared" si="40"/>
        <v>100</v>
      </c>
      <c r="V50" s="30">
        <f t="shared" si="40"/>
        <v>100</v>
      </c>
      <c r="W50" s="30">
        <f t="shared" si="40"/>
        <v>100</v>
      </c>
      <c r="X50" s="30">
        <f t="shared" si="40"/>
        <v>100</v>
      </c>
      <c r="Y50" s="30">
        <f t="shared" si="40"/>
        <v>100</v>
      </c>
      <c r="Z50" s="30">
        <f t="shared" si="40"/>
        <v>100</v>
      </c>
      <c r="AA50" s="30">
        <f t="shared" si="40"/>
        <v>100</v>
      </c>
      <c r="AB50" s="30">
        <f t="shared" si="40"/>
        <v>100</v>
      </c>
      <c r="AC50" s="30">
        <f t="shared" si="40"/>
        <v>100</v>
      </c>
      <c r="AD50" s="30">
        <f t="shared" si="40"/>
        <v>100</v>
      </c>
      <c r="AE50" s="30">
        <f t="shared" si="40"/>
        <v>100</v>
      </c>
      <c r="AF50" s="30">
        <f t="shared" si="40"/>
        <v>100</v>
      </c>
      <c r="AG50" s="30">
        <f t="shared" si="40"/>
        <v>100</v>
      </c>
      <c r="AH50" s="30">
        <f t="shared" si="40"/>
        <v>100</v>
      </c>
      <c r="AI50" s="30">
        <f t="shared" si="40"/>
        <v>100</v>
      </c>
      <c r="AJ50" s="30">
        <f t="shared" si="40"/>
        <v>100</v>
      </c>
      <c r="AK50" s="30">
        <f t="shared" si="40"/>
        <v>100</v>
      </c>
      <c r="AL50" s="30">
        <f t="shared" si="40"/>
        <v>100</v>
      </c>
      <c r="AM50" s="30">
        <f t="shared" si="40"/>
        <v>100</v>
      </c>
      <c r="AN50" s="30">
        <f t="shared" si="40"/>
        <v>100</v>
      </c>
      <c r="AP50" s="30">
        <f t="shared" si="31"/>
        <v>1200</v>
      </c>
      <c r="AQ50" s="30">
        <f t="shared" si="32"/>
        <v>1200</v>
      </c>
      <c r="AR50" s="30">
        <f t="shared" si="33"/>
        <v>1200</v>
      </c>
    </row>
    <row r="51" spans="1:44" ht="12">
      <c r="A51" s="37" t="s">
        <v>134</v>
      </c>
      <c r="B51" s="37"/>
      <c r="C51" s="119" t="s">
        <v>295</v>
      </c>
      <c r="D51" s="114" t="s">
        <v>162</v>
      </c>
      <c r="E51" s="117">
        <v>100000</v>
      </c>
      <c r="F51" s="117">
        <v>100000</v>
      </c>
      <c r="G51" s="117">
        <v>100000</v>
      </c>
      <c r="H51" s="117">
        <v>100000</v>
      </c>
      <c r="I51" s="117">
        <v>100000</v>
      </c>
      <c r="J51" s="117">
        <v>100000</v>
      </c>
      <c r="K51" s="117">
        <v>100000</v>
      </c>
      <c r="L51" s="117">
        <v>100000</v>
      </c>
      <c r="M51" s="117">
        <v>100000</v>
      </c>
      <c r="N51" s="117">
        <v>100000</v>
      </c>
      <c r="O51" s="117">
        <v>100000</v>
      </c>
      <c r="P51" s="117">
        <v>100000</v>
      </c>
      <c r="Q51" s="117">
        <v>100000</v>
      </c>
      <c r="R51" s="117">
        <v>100000</v>
      </c>
      <c r="S51" s="117">
        <v>100000</v>
      </c>
      <c r="T51" s="117">
        <v>100000</v>
      </c>
      <c r="U51" s="117">
        <v>100000</v>
      </c>
      <c r="V51" s="117">
        <v>100000</v>
      </c>
      <c r="W51" s="117">
        <v>100000</v>
      </c>
      <c r="X51" s="117">
        <v>100000</v>
      </c>
      <c r="Y51" s="117">
        <v>100000</v>
      </c>
      <c r="Z51" s="117">
        <v>100000</v>
      </c>
      <c r="AA51" s="117">
        <v>100000</v>
      </c>
      <c r="AB51" s="117">
        <v>100000</v>
      </c>
      <c r="AC51" s="117">
        <v>100000</v>
      </c>
      <c r="AD51" s="117">
        <v>100000</v>
      </c>
      <c r="AE51" s="117">
        <v>100000</v>
      </c>
      <c r="AF51" s="117">
        <v>100000</v>
      </c>
      <c r="AG51" s="117">
        <v>100000</v>
      </c>
      <c r="AH51" s="117">
        <v>100000</v>
      </c>
      <c r="AI51" s="117">
        <v>100000</v>
      </c>
      <c r="AJ51" s="117">
        <v>100000</v>
      </c>
      <c r="AK51" s="117">
        <v>100000</v>
      </c>
      <c r="AL51" s="117">
        <v>100000</v>
      </c>
      <c r="AM51" s="117">
        <v>100000</v>
      </c>
      <c r="AN51" s="117">
        <v>100000</v>
      </c>
      <c r="AP51" s="30"/>
      <c r="AQ51" s="30"/>
      <c r="AR51" s="30"/>
    </row>
    <row r="52" spans="1:44" ht="12">
      <c r="A52" s="37" t="s">
        <v>134</v>
      </c>
      <c r="B52" s="37" t="s">
        <v>332</v>
      </c>
      <c r="C52" s="38" t="s">
        <v>43</v>
      </c>
      <c r="D52" s="114" t="s">
        <v>78</v>
      </c>
      <c r="E52" s="25"/>
      <c r="F52" s="30">
        <f>E57/(5*12)</f>
        <v>42.5</v>
      </c>
      <c r="G52" s="30">
        <f>(E57+F57)/(5*12)</f>
        <v>106.25</v>
      </c>
      <c r="H52" s="30">
        <f>G56*'0'!F27/1000/(5*12)+$G$52</f>
        <v>170</v>
      </c>
      <c r="I52" s="30">
        <f>H52</f>
        <v>170</v>
      </c>
      <c r="J52" s="30">
        <f t="shared" ref="J52:AN52" si="41">I52</f>
        <v>170</v>
      </c>
      <c r="K52" s="30">
        <f t="shared" si="41"/>
        <v>170</v>
      </c>
      <c r="L52" s="30">
        <f t="shared" si="41"/>
        <v>170</v>
      </c>
      <c r="M52" s="30">
        <f t="shared" si="41"/>
        <v>170</v>
      </c>
      <c r="N52" s="30">
        <f t="shared" si="41"/>
        <v>170</v>
      </c>
      <c r="O52" s="30">
        <f t="shared" si="41"/>
        <v>170</v>
      </c>
      <c r="P52" s="30">
        <f t="shared" si="41"/>
        <v>170</v>
      </c>
      <c r="Q52" s="30">
        <f t="shared" si="41"/>
        <v>170</v>
      </c>
      <c r="R52" s="30">
        <f t="shared" si="41"/>
        <v>170</v>
      </c>
      <c r="S52" s="30">
        <f t="shared" si="41"/>
        <v>170</v>
      </c>
      <c r="T52" s="30">
        <f t="shared" si="41"/>
        <v>170</v>
      </c>
      <c r="U52" s="30">
        <f t="shared" si="41"/>
        <v>170</v>
      </c>
      <c r="V52" s="30">
        <f t="shared" si="41"/>
        <v>170</v>
      </c>
      <c r="W52" s="30">
        <f t="shared" si="41"/>
        <v>170</v>
      </c>
      <c r="X52" s="30">
        <f t="shared" si="41"/>
        <v>170</v>
      </c>
      <c r="Y52" s="30">
        <f t="shared" si="41"/>
        <v>170</v>
      </c>
      <c r="Z52" s="30">
        <f t="shared" si="41"/>
        <v>170</v>
      </c>
      <c r="AA52" s="30">
        <f t="shared" si="41"/>
        <v>170</v>
      </c>
      <c r="AB52" s="30">
        <f t="shared" si="41"/>
        <v>170</v>
      </c>
      <c r="AC52" s="30">
        <f t="shared" si="41"/>
        <v>170</v>
      </c>
      <c r="AD52" s="30">
        <f t="shared" si="41"/>
        <v>170</v>
      </c>
      <c r="AE52" s="30">
        <f t="shared" si="41"/>
        <v>170</v>
      </c>
      <c r="AF52" s="30">
        <f t="shared" si="41"/>
        <v>170</v>
      </c>
      <c r="AG52" s="30">
        <f t="shared" si="41"/>
        <v>170</v>
      </c>
      <c r="AH52" s="30">
        <f t="shared" si="41"/>
        <v>170</v>
      </c>
      <c r="AI52" s="30">
        <f t="shared" si="41"/>
        <v>170</v>
      </c>
      <c r="AJ52" s="30">
        <f t="shared" si="41"/>
        <v>170</v>
      </c>
      <c r="AK52" s="30">
        <f t="shared" si="41"/>
        <v>170</v>
      </c>
      <c r="AL52" s="30">
        <f t="shared" si="41"/>
        <v>170</v>
      </c>
      <c r="AM52" s="30">
        <f t="shared" si="41"/>
        <v>170</v>
      </c>
      <c r="AN52" s="30">
        <f t="shared" si="41"/>
        <v>170</v>
      </c>
      <c r="AP52" s="30">
        <f t="shared" si="31"/>
        <v>1678.75</v>
      </c>
      <c r="AQ52" s="30">
        <f t="shared" si="32"/>
        <v>2040</v>
      </c>
      <c r="AR52" s="30">
        <f t="shared" si="33"/>
        <v>2040</v>
      </c>
    </row>
    <row r="53" spans="1:44" ht="12">
      <c r="A53" s="37" t="s">
        <v>134</v>
      </c>
      <c r="B53" s="37" t="s">
        <v>332</v>
      </c>
      <c r="C53" s="38" t="s">
        <v>240</v>
      </c>
      <c r="D53" s="114" t="s">
        <v>78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30">
        <f>Q54*'0'!P27/1000/12</f>
        <v>7.083333333333333</v>
      </c>
      <c r="R53" s="30">
        <f>Q53</f>
        <v>7.083333333333333</v>
      </c>
      <c r="S53" s="30">
        <f t="shared" ref="S53:AN53" si="42">R53</f>
        <v>7.083333333333333</v>
      </c>
      <c r="T53" s="30">
        <f t="shared" si="42"/>
        <v>7.083333333333333</v>
      </c>
      <c r="U53" s="30">
        <f t="shared" si="42"/>
        <v>7.083333333333333</v>
      </c>
      <c r="V53" s="30">
        <f t="shared" si="42"/>
        <v>7.083333333333333</v>
      </c>
      <c r="W53" s="30">
        <f t="shared" si="42"/>
        <v>7.083333333333333</v>
      </c>
      <c r="X53" s="30">
        <f t="shared" si="42"/>
        <v>7.083333333333333</v>
      </c>
      <c r="Y53" s="30">
        <f t="shared" si="42"/>
        <v>7.083333333333333</v>
      </c>
      <c r="Z53" s="30">
        <f t="shared" si="42"/>
        <v>7.083333333333333</v>
      </c>
      <c r="AA53" s="30">
        <f t="shared" si="42"/>
        <v>7.083333333333333</v>
      </c>
      <c r="AB53" s="30">
        <f t="shared" si="42"/>
        <v>7.083333333333333</v>
      </c>
      <c r="AC53" s="30">
        <f>AC54*'0'!AB27/1000/12</f>
        <v>7.083333333333333</v>
      </c>
      <c r="AD53" s="30">
        <f t="shared" si="42"/>
        <v>7.083333333333333</v>
      </c>
      <c r="AE53" s="30">
        <f t="shared" si="42"/>
        <v>7.083333333333333</v>
      </c>
      <c r="AF53" s="30">
        <f t="shared" si="42"/>
        <v>7.083333333333333</v>
      </c>
      <c r="AG53" s="30">
        <f t="shared" si="42"/>
        <v>7.083333333333333</v>
      </c>
      <c r="AH53" s="30">
        <f t="shared" si="42"/>
        <v>7.083333333333333</v>
      </c>
      <c r="AI53" s="30">
        <f t="shared" si="42"/>
        <v>7.083333333333333</v>
      </c>
      <c r="AJ53" s="30">
        <f t="shared" si="42"/>
        <v>7.083333333333333</v>
      </c>
      <c r="AK53" s="30">
        <f t="shared" si="42"/>
        <v>7.083333333333333</v>
      </c>
      <c r="AL53" s="30">
        <f t="shared" si="42"/>
        <v>7.083333333333333</v>
      </c>
      <c r="AM53" s="30">
        <f t="shared" si="42"/>
        <v>7.083333333333333</v>
      </c>
      <c r="AN53" s="30">
        <f t="shared" si="42"/>
        <v>7.083333333333333</v>
      </c>
      <c r="AP53" s="30">
        <f t="shared" si="31"/>
        <v>0</v>
      </c>
      <c r="AQ53" s="30">
        <f t="shared" si="32"/>
        <v>85</v>
      </c>
      <c r="AR53" s="30">
        <f t="shared" si="33"/>
        <v>85</v>
      </c>
    </row>
    <row r="54" spans="1:44" ht="12">
      <c r="A54" s="37" t="s">
        <v>134</v>
      </c>
      <c r="B54" s="37"/>
      <c r="C54" s="119" t="s">
        <v>319</v>
      </c>
      <c r="D54" s="114" t="s">
        <v>291</v>
      </c>
      <c r="E54" s="19"/>
      <c r="F54" s="25"/>
      <c r="G54" s="25"/>
      <c r="H54" s="19"/>
      <c r="I54" s="25"/>
      <c r="J54" s="25"/>
      <c r="K54" s="25"/>
      <c r="L54" s="25"/>
      <c r="M54" s="25"/>
      <c r="N54" s="25"/>
      <c r="O54" s="25"/>
      <c r="Q54" s="117">
        <v>1000</v>
      </c>
      <c r="R54" s="25"/>
      <c r="T54" s="25"/>
      <c r="U54" s="25"/>
      <c r="V54" s="25"/>
      <c r="W54" s="25"/>
      <c r="X54" s="25"/>
      <c r="Y54" s="25"/>
      <c r="Z54" s="25"/>
      <c r="AA54" s="25"/>
      <c r="AB54" s="25"/>
      <c r="AC54" s="117">
        <f>Q54</f>
        <v>1000</v>
      </c>
      <c r="AD54" s="25"/>
      <c r="AF54" s="25"/>
      <c r="AG54" s="25"/>
      <c r="AH54" s="25"/>
      <c r="AI54" s="25"/>
      <c r="AJ54" s="25"/>
      <c r="AK54" s="25"/>
      <c r="AL54" s="25"/>
      <c r="AM54" s="25"/>
      <c r="AN54" s="25"/>
      <c r="AP54" s="30"/>
      <c r="AQ54" s="30"/>
      <c r="AR54" s="30"/>
    </row>
    <row r="55" spans="1:44" ht="12">
      <c r="A55" s="37" t="s">
        <v>134</v>
      </c>
      <c r="B55" s="37" t="s">
        <v>327</v>
      </c>
      <c r="C55" s="38" t="s">
        <v>242</v>
      </c>
      <c r="D55" s="114" t="s">
        <v>78</v>
      </c>
      <c r="E55" s="25"/>
      <c r="F55" s="25"/>
      <c r="G55" s="30">
        <f>G56*'0'!F27/1000</f>
        <v>3825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P55" s="30">
        <f t="shared" si="31"/>
        <v>3825</v>
      </c>
      <c r="AQ55" s="30">
        <f t="shared" si="32"/>
        <v>0</v>
      </c>
      <c r="AR55" s="30">
        <f t="shared" si="33"/>
        <v>0</v>
      </c>
    </row>
    <row r="56" spans="1:44" ht="12">
      <c r="A56" s="37" t="s">
        <v>134</v>
      </c>
      <c r="B56" s="37"/>
      <c r="C56" s="119" t="s">
        <v>292</v>
      </c>
      <c r="D56" s="114" t="s">
        <v>291</v>
      </c>
      <c r="E56" s="25"/>
      <c r="F56" s="25"/>
      <c r="G56" s="132">
        <f>90000*50%</f>
        <v>45000</v>
      </c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P56" s="30"/>
      <c r="AQ56" s="30"/>
      <c r="AR56" s="30"/>
    </row>
    <row r="57" spans="1:44" ht="12">
      <c r="A57" s="37" t="s">
        <v>134</v>
      </c>
      <c r="B57" s="37" t="s">
        <v>327</v>
      </c>
      <c r="C57" s="38" t="s">
        <v>243</v>
      </c>
      <c r="D57" s="114" t="s">
        <v>78</v>
      </c>
      <c r="E57" s="30">
        <f>(E58+E59)*'0'!D27/1000</f>
        <v>2550</v>
      </c>
      <c r="F57" s="30">
        <f>(F58+F59)*'0'!E27/1000</f>
        <v>3825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P57" s="30">
        <f t="shared" si="31"/>
        <v>6375</v>
      </c>
      <c r="AQ57" s="30">
        <f t="shared" si="32"/>
        <v>0</v>
      </c>
      <c r="AR57" s="30">
        <f t="shared" si="33"/>
        <v>0</v>
      </c>
    </row>
    <row r="58" spans="1:44" ht="12">
      <c r="A58" s="37" t="s">
        <v>134</v>
      </c>
      <c r="B58" s="37"/>
      <c r="C58" s="119" t="s">
        <v>293</v>
      </c>
      <c r="D58" s="114" t="s">
        <v>291</v>
      </c>
      <c r="E58" s="117">
        <f>300000*10%</f>
        <v>30000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P58" s="30"/>
      <c r="AQ58" s="30"/>
      <c r="AR58" s="30"/>
    </row>
    <row r="59" spans="1:44" ht="12">
      <c r="A59" s="37" t="s">
        <v>134</v>
      </c>
      <c r="B59" s="37"/>
      <c r="C59" s="119" t="s">
        <v>294</v>
      </c>
      <c r="D59" s="114" t="s">
        <v>291</v>
      </c>
      <c r="E59" s="19"/>
      <c r="F59" s="117">
        <v>45000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P59" s="30"/>
      <c r="AQ59" s="30"/>
      <c r="AR59" s="30"/>
    </row>
    <row r="60" spans="1:44" ht="12">
      <c r="A60" s="37" t="s">
        <v>135</v>
      </c>
      <c r="B60" s="37" t="s">
        <v>332</v>
      </c>
      <c r="C60" s="38" t="s">
        <v>42</v>
      </c>
      <c r="D60" s="114" t="s">
        <v>78</v>
      </c>
      <c r="E60" s="30">
        <f>SUM(E61:E63)/1000</f>
        <v>207.14285714285714</v>
      </c>
      <c r="F60" s="30">
        <f t="shared" ref="F60:AN60" si="43">SUM(F61:F63)/1000</f>
        <v>207.14285714285714</v>
      </c>
      <c r="G60" s="30">
        <f t="shared" si="43"/>
        <v>207.14285714285714</v>
      </c>
      <c r="H60" s="30">
        <f t="shared" si="43"/>
        <v>207.14285714285714</v>
      </c>
      <c r="I60" s="30">
        <f t="shared" si="43"/>
        <v>207.14285714285714</v>
      </c>
      <c r="J60" s="30">
        <f t="shared" si="43"/>
        <v>207.14285714285714</v>
      </c>
      <c r="K60" s="30">
        <f t="shared" si="43"/>
        <v>207.14285714285714</v>
      </c>
      <c r="L60" s="30">
        <f t="shared" si="43"/>
        <v>207.14285714285714</v>
      </c>
      <c r="M60" s="30">
        <f t="shared" si="43"/>
        <v>207.14285714285714</v>
      </c>
      <c r="N60" s="30">
        <f t="shared" si="43"/>
        <v>207.14285714285714</v>
      </c>
      <c r="O60" s="30">
        <f t="shared" si="43"/>
        <v>207.14285714285714</v>
      </c>
      <c r="P60" s="30">
        <f t="shared" si="43"/>
        <v>207.14285714285714</v>
      </c>
      <c r="Q60" s="30">
        <f t="shared" si="43"/>
        <v>207.14285714285714</v>
      </c>
      <c r="R60" s="30">
        <f t="shared" si="43"/>
        <v>207.14285714285714</v>
      </c>
      <c r="S60" s="30">
        <f t="shared" si="43"/>
        <v>207.14285714285714</v>
      </c>
      <c r="T60" s="30">
        <f t="shared" si="43"/>
        <v>207.14285714285714</v>
      </c>
      <c r="U60" s="30">
        <f t="shared" si="43"/>
        <v>207.14285714285714</v>
      </c>
      <c r="V60" s="30">
        <f t="shared" si="43"/>
        <v>207.14285714285714</v>
      </c>
      <c r="W60" s="30">
        <f t="shared" si="43"/>
        <v>207.14285714285714</v>
      </c>
      <c r="X60" s="30">
        <f t="shared" si="43"/>
        <v>207.14285714285714</v>
      </c>
      <c r="Y60" s="30">
        <f t="shared" si="43"/>
        <v>207.14285714285714</v>
      </c>
      <c r="Z60" s="30">
        <f t="shared" si="43"/>
        <v>207.14285714285714</v>
      </c>
      <c r="AA60" s="30">
        <f t="shared" si="43"/>
        <v>207.14285714285714</v>
      </c>
      <c r="AB60" s="30">
        <f t="shared" si="43"/>
        <v>207.14285714285714</v>
      </c>
      <c r="AC60" s="30">
        <f t="shared" si="43"/>
        <v>207.14285714285714</v>
      </c>
      <c r="AD60" s="30">
        <f t="shared" si="43"/>
        <v>207.14285714285714</v>
      </c>
      <c r="AE60" s="30">
        <f t="shared" si="43"/>
        <v>207.14285714285714</v>
      </c>
      <c r="AF60" s="30">
        <f t="shared" si="43"/>
        <v>207.14285714285714</v>
      </c>
      <c r="AG60" s="30">
        <f t="shared" si="43"/>
        <v>207.14285714285714</v>
      </c>
      <c r="AH60" s="30">
        <f t="shared" si="43"/>
        <v>207.14285714285714</v>
      </c>
      <c r="AI60" s="30">
        <f t="shared" si="43"/>
        <v>207.14285714285714</v>
      </c>
      <c r="AJ60" s="30">
        <f t="shared" si="43"/>
        <v>207.14285714285714</v>
      </c>
      <c r="AK60" s="30">
        <f t="shared" si="43"/>
        <v>207.14285714285714</v>
      </c>
      <c r="AL60" s="30">
        <f t="shared" si="43"/>
        <v>207.14285714285714</v>
      </c>
      <c r="AM60" s="30">
        <f t="shared" si="43"/>
        <v>207.14285714285714</v>
      </c>
      <c r="AN60" s="30">
        <f t="shared" si="43"/>
        <v>207.14285714285714</v>
      </c>
      <c r="AP60" s="30">
        <f t="shared" si="31"/>
        <v>2485.7142857142862</v>
      </c>
      <c r="AQ60" s="30">
        <f t="shared" si="32"/>
        <v>2485.7142857142862</v>
      </c>
      <c r="AR60" s="30">
        <f t="shared" si="33"/>
        <v>2485.7142857142862</v>
      </c>
    </row>
    <row r="61" spans="1:44" ht="12">
      <c r="A61" s="37" t="s">
        <v>135</v>
      </c>
      <c r="B61" s="37"/>
      <c r="C61" s="119" t="s">
        <v>296</v>
      </c>
      <c r="D61" s="114" t="s">
        <v>162</v>
      </c>
      <c r="E61" s="117">
        <v>100000</v>
      </c>
      <c r="F61" s="117">
        <v>100000</v>
      </c>
      <c r="G61" s="117">
        <v>100000</v>
      </c>
      <c r="H61" s="117">
        <v>100000</v>
      </c>
      <c r="I61" s="117">
        <v>100000</v>
      </c>
      <c r="J61" s="117">
        <v>100000</v>
      </c>
      <c r="K61" s="117">
        <v>100000</v>
      </c>
      <c r="L61" s="117">
        <v>100000</v>
      </c>
      <c r="M61" s="117">
        <v>100000</v>
      </c>
      <c r="N61" s="117">
        <v>100000</v>
      </c>
      <c r="O61" s="117">
        <v>100000</v>
      </c>
      <c r="P61" s="117">
        <v>100000</v>
      </c>
      <c r="Q61" s="117">
        <v>100000</v>
      </c>
      <c r="R61" s="117">
        <v>100000</v>
      </c>
      <c r="S61" s="117">
        <v>100000</v>
      </c>
      <c r="T61" s="117">
        <v>100000</v>
      </c>
      <c r="U61" s="117">
        <v>100000</v>
      </c>
      <c r="V61" s="117">
        <v>100000</v>
      </c>
      <c r="W61" s="117">
        <v>100000</v>
      </c>
      <c r="X61" s="117">
        <v>100000</v>
      </c>
      <c r="Y61" s="117">
        <v>100000</v>
      </c>
      <c r="Z61" s="117">
        <v>100000</v>
      </c>
      <c r="AA61" s="117">
        <v>100000</v>
      </c>
      <c r="AB61" s="117">
        <v>100000</v>
      </c>
      <c r="AC61" s="117">
        <v>100000</v>
      </c>
      <c r="AD61" s="117">
        <v>100000</v>
      </c>
      <c r="AE61" s="117">
        <v>100000</v>
      </c>
      <c r="AF61" s="117">
        <v>100000</v>
      </c>
      <c r="AG61" s="117">
        <v>100000</v>
      </c>
      <c r="AH61" s="117">
        <v>100000</v>
      </c>
      <c r="AI61" s="117">
        <v>100000</v>
      </c>
      <c r="AJ61" s="117">
        <v>100000</v>
      </c>
      <c r="AK61" s="117">
        <v>100000</v>
      </c>
      <c r="AL61" s="117">
        <v>100000</v>
      </c>
      <c r="AM61" s="117">
        <v>100000</v>
      </c>
      <c r="AN61" s="117">
        <v>100000</v>
      </c>
      <c r="AP61" s="30"/>
      <c r="AQ61" s="30"/>
      <c r="AR61" s="30"/>
    </row>
    <row r="62" spans="1:44" ht="22.8">
      <c r="A62" s="37" t="s">
        <v>135</v>
      </c>
      <c r="B62" s="37"/>
      <c r="C62" s="119" t="s">
        <v>297</v>
      </c>
      <c r="D62" s="114" t="s">
        <v>162</v>
      </c>
      <c r="E62" s="117">
        <v>100000</v>
      </c>
      <c r="F62" s="117">
        <v>100000</v>
      </c>
      <c r="G62" s="117">
        <v>100000</v>
      </c>
      <c r="H62" s="117">
        <v>100000</v>
      </c>
      <c r="I62" s="117">
        <v>100000</v>
      </c>
      <c r="J62" s="117">
        <v>100000</v>
      </c>
      <c r="K62" s="117">
        <v>100000</v>
      </c>
      <c r="L62" s="117">
        <v>100000</v>
      </c>
      <c r="M62" s="117">
        <v>100000</v>
      </c>
      <c r="N62" s="117">
        <v>100000</v>
      </c>
      <c r="O62" s="117">
        <v>100000</v>
      </c>
      <c r="P62" s="117">
        <v>100000</v>
      </c>
      <c r="Q62" s="117">
        <v>100000</v>
      </c>
      <c r="R62" s="117">
        <v>100000</v>
      </c>
      <c r="S62" s="117">
        <v>100000</v>
      </c>
      <c r="T62" s="117">
        <v>100000</v>
      </c>
      <c r="U62" s="117">
        <v>100000</v>
      </c>
      <c r="V62" s="117">
        <v>100000</v>
      </c>
      <c r="W62" s="117">
        <v>100000</v>
      </c>
      <c r="X62" s="117">
        <v>100000</v>
      </c>
      <c r="Y62" s="117">
        <v>100000</v>
      </c>
      <c r="Z62" s="117">
        <v>100000</v>
      </c>
      <c r="AA62" s="117">
        <v>100000</v>
      </c>
      <c r="AB62" s="117">
        <v>100000</v>
      </c>
      <c r="AC62" s="117">
        <v>100000</v>
      </c>
      <c r="AD62" s="117">
        <v>100000</v>
      </c>
      <c r="AE62" s="117">
        <v>100000</v>
      </c>
      <c r="AF62" s="117">
        <v>100000</v>
      </c>
      <c r="AG62" s="117">
        <v>100000</v>
      </c>
      <c r="AH62" s="117">
        <v>100000</v>
      </c>
      <c r="AI62" s="117">
        <v>100000</v>
      </c>
      <c r="AJ62" s="117">
        <v>100000</v>
      </c>
      <c r="AK62" s="117">
        <v>100000</v>
      </c>
      <c r="AL62" s="117">
        <v>100000</v>
      </c>
      <c r="AM62" s="117">
        <v>100000</v>
      </c>
      <c r="AN62" s="117">
        <v>100000</v>
      </c>
      <c r="AP62" s="30"/>
      <c r="AQ62" s="30"/>
      <c r="AR62" s="30"/>
    </row>
    <row r="63" spans="1:44" ht="12">
      <c r="A63" s="37" t="s">
        <v>135</v>
      </c>
      <c r="B63" s="37"/>
      <c r="C63" s="119" t="s">
        <v>325</v>
      </c>
      <c r="D63" s="114" t="s">
        <v>162</v>
      </c>
      <c r="E63" s="117">
        <f>50000*3/21</f>
        <v>7142.8571428571431</v>
      </c>
      <c r="F63" s="117">
        <f t="shared" ref="F63:AN63" si="44">50000*3/21</f>
        <v>7142.8571428571431</v>
      </c>
      <c r="G63" s="117">
        <f t="shared" si="44"/>
        <v>7142.8571428571431</v>
      </c>
      <c r="H63" s="117">
        <f t="shared" si="44"/>
        <v>7142.8571428571431</v>
      </c>
      <c r="I63" s="117">
        <f t="shared" si="44"/>
        <v>7142.8571428571431</v>
      </c>
      <c r="J63" s="117">
        <f t="shared" si="44"/>
        <v>7142.8571428571431</v>
      </c>
      <c r="K63" s="117">
        <f t="shared" si="44"/>
        <v>7142.8571428571431</v>
      </c>
      <c r="L63" s="117">
        <f t="shared" si="44"/>
        <v>7142.8571428571431</v>
      </c>
      <c r="M63" s="117">
        <f t="shared" si="44"/>
        <v>7142.8571428571431</v>
      </c>
      <c r="N63" s="117">
        <f t="shared" si="44"/>
        <v>7142.8571428571431</v>
      </c>
      <c r="O63" s="117">
        <f t="shared" si="44"/>
        <v>7142.8571428571431</v>
      </c>
      <c r="P63" s="117">
        <f t="shared" si="44"/>
        <v>7142.8571428571431</v>
      </c>
      <c r="Q63" s="117">
        <f t="shared" si="44"/>
        <v>7142.8571428571431</v>
      </c>
      <c r="R63" s="117">
        <f t="shared" si="44"/>
        <v>7142.8571428571431</v>
      </c>
      <c r="S63" s="117">
        <f t="shared" si="44"/>
        <v>7142.8571428571431</v>
      </c>
      <c r="T63" s="117">
        <f t="shared" si="44"/>
        <v>7142.8571428571431</v>
      </c>
      <c r="U63" s="117">
        <f t="shared" si="44"/>
        <v>7142.8571428571431</v>
      </c>
      <c r="V63" s="117">
        <f t="shared" si="44"/>
        <v>7142.8571428571431</v>
      </c>
      <c r="W63" s="117">
        <f t="shared" si="44"/>
        <v>7142.8571428571431</v>
      </c>
      <c r="X63" s="117">
        <f t="shared" si="44"/>
        <v>7142.8571428571431</v>
      </c>
      <c r="Y63" s="117">
        <f t="shared" si="44"/>
        <v>7142.8571428571431</v>
      </c>
      <c r="Z63" s="117">
        <f t="shared" si="44"/>
        <v>7142.8571428571431</v>
      </c>
      <c r="AA63" s="117">
        <f t="shared" si="44"/>
        <v>7142.8571428571431</v>
      </c>
      <c r="AB63" s="117">
        <f t="shared" si="44"/>
        <v>7142.8571428571431</v>
      </c>
      <c r="AC63" s="117">
        <f t="shared" si="44"/>
        <v>7142.8571428571431</v>
      </c>
      <c r="AD63" s="117">
        <f t="shared" si="44"/>
        <v>7142.8571428571431</v>
      </c>
      <c r="AE63" s="117">
        <f t="shared" si="44"/>
        <v>7142.8571428571431</v>
      </c>
      <c r="AF63" s="117">
        <f t="shared" si="44"/>
        <v>7142.8571428571431</v>
      </c>
      <c r="AG63" s="117">
        <f t="shared" si="44"/>
        <v>7142.8571428571431</v>
      </c>
      <c r="AH63" s="117">
        <f t="shared" si="44"/>
        <v>7142.8571428571431</v>
      </c>
      <c r="AI63" s="117">
        <f t="shared" si="44"/>
        <v>7142.8571428571431</v>
      </c>
      <c r="AJ63" s="117">
        <f t="shared" si="44"/>
        <v>7142.8571428571431</v>
      </c>
      <c r="AK63" s="117">
        <f t="shared" si="44"/>
        <v>7142.8571428571431</v>
      </c>
      <c r="AL63" s="117">
        <f t="shared" si="44"/>
        <v>7142.8571428571431</v>
      </c>
      <c r="AM63" s="117">
        <f t="shared" si="44"/>
        <v>7142.8571428571431</v>
      </c>
      <c r="AN63" s="117">
        <f t="shared" si="44"/>
        <v>7142.8571428571431</v>
      </c>
      <c r="AP63" s="30"/>
      <c r="AQ63" s="30"/>
      <c r="AR63" s="30"/>
    </row>
    <row r="64" spans="1:44" ht="12">
      <c r="A64" s="37" t="s">
        <v>135</v>
      </c>
      <c r="B64" s="37" t="s">
        <v>332</v>
      </c>
      <c r="C64" s="38" t="s">
        <v>43</v>
      </c>
      <c r="D64" s="114" t="s">
        <v>78</v>
      </c>
      <c r="E64" s="25"/>
      <c r="F64" s="25"/>
      <c r="G64" s="30">
        <f>F67/(5*12)</f>
        <v>31.875</v>
      </c>
      <c r="H64" s="30">
        <f>G64</f>
        <v>31.875</v>
      </c>
      <c r="I64" s="30">
        <f t="shared" ref="I64:AN64" si="45">H64</f>
        <v>31.875</v>
      </c>
      <c r="J64" s="30">
        <f t="shared" si="45"/>
        <v>31.875</v>
      </c>
      <c r="K64" s="30">
        <f t="shared" si="45"/>
        <v>31.875</v>
      </c>
      <c r="L64" s="30">
        <f t="shared" si="45"/>
        <v>31.875</v>
      </c>
      <c r="M64" s="30">
        <f t="shared" si="45"/>
        <v>31.875</v>
      </c>
      <c r="N64" s="30">
        <f t="shared" si="45"/>
        <v>31.875</v>
      </c>
      <c r="O64" s="30">
        <f t="shared" si="45"/>
        <v>31.875</v>
      </c>
      <c r="P64" s="30">
        <f t="shared" si="45"/>
        <v>31.875</v>
      </c>
      <c r="Q64" s="30">
        <f t="shared" si="45"/>
        <v>31.875</v>
      </c>
      <c r="R64" s="30">
        <f t="shared" si="45"/>
        <v>31.875</v>
      </c>
      <c r="S64" s="30">
        <f t="shared" si="45"/>
        <v>31.875</v>
      </c>
      <c r="T64" s="30">
        <f t="shared" si="45"/>
        <v>31.875</v>
      </c>
      <c r="U64" s="30">
        <f t="shared" si="45"/>
        <v>31.875</v>
      </c>
      <c r="V64" s="30">
        <f t="shared" si="45"/>
        <v>31.875</v>
      </c>
      <c r="W64" s="30">
        <f t="shared" si="45"/>
        <v>31.875</v>
      </c>
      <c r="X64" s="30">
        <f t="shared" si="45"/>
        <v>31.875</v>
      </c>
      <c r="Y64" s="30">
        <f t="shared" si="45"/>
        <v>31.875</v>
      </c>
      <c r="Z64" s="30">
        <f t="shared" si="45"/>
        <v>31.875</v>
      </c>
      <c r="AA64" s="30">
        <f t="shared" si="45"/>
        <v>31.875</v>
      </c>
      <c r="AB64" s="30">
        <f t="shared" si="45"/>
        <v>31.875</v>
      </c>
      <c r="AC64" s="30">
        <f t="shared" si="45"/>
        <v>31.875</v>
      </c>
      <c r="AD64" s="30">
        <f t="shared" si="45"/>
        <v>31.875</v>
      </c>
      <c r="AE64" s="30">
        <f t="shared" si="45"/>
        <v>31.875</v>
      </c>
      <c r="AF64" s="30">
        <f t="shared" si="45"/>
        <v>31.875</v>
      </c>
      <c r="AG64" s="30">
        <f t="shared" si="45"/>
        <v>31.875</v>
      </c>
      <c r="AH64" s="30">
        <f t="shared" si="45"/>
        <v>31.875</v>
      </c>
      <c r="AI64" s="30">
        <f t="shared" si="45"/>
        <v>31.875</v>
      </c>
      <c r="AJ64" s="30">
        <f t="shared" si="45"/>
        <v>31.875</v>
      </c>
      <c r="AK64" s="30">
        <f t="shared" si="45"/>
        <v>31.875</v>
      </c>
      <c r="AL64" s="30">
        <f t="shared" si="45"/>
        <v>31.875</v>
      </c>
      <c r="AM64" s="30">
        <f t="shared" si="45"/>
        <v>31.875</v>
      </c>
      <c r="AN64" s="30">
        <f t="shared" si="45"/>
        <v>31.875</v>
      </c>
      <c r="AP64" s="30">
        <f t="shared" si="31"/>
        <v>318.75</v>
      </c>
      <c r="AQ64" s="30">
        <f t="shared" si="32"/>
        <v>382.5</v>
      </c>
      <c r="AR64" s="30">
        <f t="shared" si="33"/>
        <v>382.5</v>
      </c>
    </row>
    <row r="65" spans="1:44" ht="12">
      <c r="A65" s="37" t="s">
        <v>135</v>
      </c>
      <c r="B65" s="37" t="s">
        <v>332</v>
      </c>
      <c r="C65" s="38" t="s">
        <v>240</v>
      </c>
      <c r="D65" s="114" t="s">
        <v>78</v>
      </c>
      <c r="E65" s="30">
        <f>E66/1000</f>
        <v>135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P65" s="30">
        <f t="shared" si="31"/>
        <v>135</v>
      </c>
      <c r="AQ65" s="30">
        <f t="shared" si="32"/>
        <v>0</v>
      </c>
      <c r="AR65" s="30">
        <f t="shared" si="33"/>
        <v>0</v>
      </c>
    </row>
    <row r="66" spans="1:44" ht="23.4">
      <c r="A66" s="37" t="s">
        <v>135</v>
      </c>
      <c r="B66" s="37"/>
      <c r="C66" s="119" t="s">
        <v>329</v>
      </c>
      <c r="D66" s="114" t="s">
        <v>162</v>
      </c>
      <c r="E66" s="117">
        <f>30%*450000</f>
        <v>135000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P66" s="30"/>
      <c r="AQ66" s="30"/>
      <c r="AR66" s="30"/>
    </row>
    <row r="67" spans="1:44" ht="12">
      <c r="A67" s="37" t="s">
        <v>135</v>
      </c>
      <c r="B67" s="37" t="s">
        <v>327</v>
      </c>
      <c r="C67" s="38" t="s">
        <v>243</v>
      </c>
      <c r="D67" s="114" t="s">
        <v>78</v>
      </c>
      <c r="E67" s="25"/>
      <c r="F67" s="30">
        <f>F68*'0'!E27/1000</f>
        <v>1912.5</v>
      </c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P67" s="30">
        <f t="shared" si="31"/>
        <v>1912.5</v>
      </c>
      <c r="AQ67" s="30">
        <f t="shared" si="32"/>
        <v>0</v>
      </c>
      <c r="AR67" s="30">
        <f t="shared" si="33"/>
        <v>0</v>
      </c>
    </row>
    <row r="68" spans="1:44" ht="12">
      <c r="A68" s="37" t="s">
        <v>135</v>
      </c>
      <c r="B68" s="37"/>
      <c r="C68" s="119" t="s">
        <v>294</v>
      </c>
      <c r="D68" s="114" t="s">
        <v>291</v>
      </c>
      <c r="E68" s="19"/>
      <c r="F68" s="117">
        <f>45000*50%</f>
        <v>22500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P68" s="30"/>
      <c r="AQ68" s="30"/>
      <c r="AR68" s="30"/>
    </row>
    <row r="69" spans="1:44" ht="12">
      <c r="A69" s="37" t="s">
        <v>201</v>
      </c>
      <c r="B69" s="37" t="s">
        <v>332</v>
      </c>
      <c r="C69" s="38" t="s">
        <v>42</v>
      </c>
      <c r="D69" s="114" t="s">
        <v>78</v>
      </c>
      <c r="E69" s="30">
        <f>SUM(E70:E71)/1000</f>
        <v>107.14285714285714</v>
      </c>
      <c r="F69" s="30">
        <f>SUM(F70:F71)/1000</f>
        <v>107.14285714285714</v>
      </c>
      <c r="G69" s="30">
        <f t="shared" ref="G69:AN69" si="46">SUM(G70:G71)/1000</f>
        <v>107.14285714285714</v>
      </c>
      <c r="H69" s="30">
        <f t="shared" si="46"/>
        <v>107.14285714285714</v>
      </c>
      <c r="I69" s="30">
        <f t="shared" si="46"/>
        <v>107.14285714285714</v>
      </c>
      <c r="J69" s="30">
        <f t="shared" si="46"/>
        <v>107.14285714285714</v>
      </c>
      <c r="K69" s="30">
        <f t="shared" si="46"/>
        <v>107.14285714285714</v>
      </c>
      <c r="L69" s="30">
        <f t="shared" si="46"/>
        <v>107.14285714285714</v>
      </c>
      <c r="M69" s="30">
        <f t="shared" si="46"/>
        <v>107.14285714285714</v>
      </c>
      <c r="N69" s="30">
        <f t="shared" si="46"/>
        <v>107.14285714285714</v>
      </c>
      <c r="O69" s="30">
        <f t="shared" si="46"/>
        <v>107.14285714285714</v>
      </c>
      <c r="P69" s="30">
        <f t="shared" si="46"/>
        <v>107.14285714285714</v>
      </c>
      <c r="Q69" s="30">
        <f t="shared" si="46"/>
        <v>107.14285714285714</v>
      </c>
      <c r="R69" s="30">
        <f t="shared" si="46"/>
        <v>107.14285714285714</v>
      </c>
      <c r="S69" s="30">
        <f t="shared" si="46"/>
        <v>107.14285714285714</v>
      </c>
      <c r="T69" s="30">
        <f t="shared" si="46"/>
        <v>107.14285714285714</v>
      </c>
      <c r="U69" s="30">
        <f t="shared" si="46"/>
        <v>107.14285714285714</v>
      </c>
      <c r="V69" s="30">
        <f t="shared" si="46"/>
        <v>107.14285714285714</v>
      </c>
      <c r="W69" s="30">
        <f t="shared" si="46"/>
        <v>107.14285714285714</v>
      </c>
      <c r="X69" s="30">
        <f t="shared" si="46"/>
        <v>107.14285714285714</v>
      </c>
      <c r="Y69" s="30">
        <f t="shared" si="46"/>
        <v>107.14285714285714</v>
      </c>
      <c r="Z69" s="30">
        <f t="shared" si="46"/>
        <v>107.14285714285714</v>
      </c>
      <c r="AA69" s="30">
        <f t="shared" si="46"/>
        <v>107.14285714285714</v>
      </c>
      <c r="AB69" s="30">
        <f t="shared" si="46"/>
        <v>107.14285714285714</v>
      </c>
      <c r="AC69" s="30">
        <f t="shared" si="46"/>
        <v>107.14285714285714</v>
      </c>
      <c r="AD69" s="30">
        <f t="shared" si="46"/>
        <v>107.14285714285714</v>
      </c>
      <c r="AE69" s="30">
        <f t="shared" si="46"/>
        <v>107.14285714285714</v>
      </c>
      <c r="AF69" s="30">
        <f t="shared" si="46"/>
        <v>107.14285714285714</v>
      </c>
      <c r="AG69" s="30">
        <f t="shared" si="46"/>
        <v>107.14285714285714</v>
      </c>
      <c r="AH69" s="30">
        <f t="shared" si="46"/>
        <v>107.14285714285714</v>
      </c>
      <c r="AI69" s="30">
        <f t="shared" si="46"/>
        <v>107.14285714285714</v>
      </c>
      <c r="AJ69" s="30">
        <f t="shared" si="46"/>
        <v>107.14285714285714</v>
      </c>
      <c r="AK69" s="30">
        <f t="shared" si="46"/>
        <v>107.14285714285714</v>
      </c>
      <c r="AL69" s="30">
        <f t="shared" si="46"/>
        <v>107.14285714285714</v>
      </c>
      <c r="AM69" s="30">
        <f t="shared" si="46"/>
        <v>107.14285714285714</v>
      </c>
      <c r="AN69" s="30">
        <f t="shared" si="46"/>
        <v>107.14285714285714</v>
      </c>
      <c r="AP69" s="30">
        <f t="shared" si="31"/>
        <v>1285.7142857142856</v>
      </c>
      <c r="AQ69" s="30">
        <f t="shared" si="32"/>
        <v>1285.7142857142856</v>
      </c>
      <c r="AR69" s="30">
        <f t="shared" si="33"/>
        <v>1285.7142857142856</v>
      </c>
    </row>
    <row r="70" spans="1:44" ht="12">
      <c r="A70" s="37" t="s">
        <v>201</v>
      </c>
      <c r="B70" s="37"/>
      <c r="C70" s="119" t="s">
        <v>299</v>
      </c>
      <c r="D70" s="114" t="s">
        <v>162</v>
      </c>
      <c r="E70" s="117">
        <v>100000</v>
      </c>
      <c r="F70" s="117">
        <v>100000</v>
      </c>
      <c r="G70" s="117">
        <v>100000</v>
      </c>
      <c r="H70" s="117">
        <v>100000</v>
      </c>
      <c r="I70" s="117">
        <v>100000</v>
      </c>
      <c r="J70" s="117">
        <v>100000</v>
      </c>
      <c r="K70" s="117">
        <v>100000</v>
      </c>
      <c r="L70" s="117">
        <v>100000</v>
      </c>
      <c r="M70" s="117">
        <v>100000</v>
      </c>
      <c r="N70" s="117">
        <v>100000</v>
      </c>
      <c r="O70" s="117">
        <v>100000</v>
      </c>
      <c r="P70" s="117">
        <v>100000</v>
      </c>
      <c r="Q70" s="117">
        <v>100000</v>
      </c>
      <c r="R70" s="117">
        <v>100000</v>
      </c>
      <c r="S70" s="117">
        <v>100000</v>
      </c>
      <c r="T70" s="117">
        <v>100000</v>
      </c>
      <c r="U70" s="117">
        <v>100000</v>
      </c>
      <c r="V70" s="117">
        <v>100000</v>
      </c>
      <c r="W70" s="117">
        <v>100000</v>
      </c>
      <c r="X70" s="117">
        <v>100000</v>
      </c>
      <c r="Y70" s="117">
        <v>100000</v>
      </c>
      <c r="Z70" s="117">
        <v>100000</v>
      </c>
      <c r="AA70" s="117">
        <v>100000</v>
      </c>
      <c r="AB70" s="117">
        <v>100000</v>
      </c>
      <c r="AC70" s="117">
        <v>100000</v>
      </c>
      <c r="AD70" s="117">
        <v>100000</v>
      </c>
      <c r="AE70" s="117">
        <v>100000</v>
      </c>
      <c r="AF70" s="117">
        <v>100000</v>
      </c>
      <c r="AG70" s="117">
        <v>100000</v>
      </c>
      <c r="AH70" s="117">
        <v>100000</v>
      </c>
      <c r="AI70" s="117">
        <v>100000</v>
      </c>
      <c r="AJ70" s="117">
        <v>100000</v>
      </c>
      <c r="AK70" s="117">
        <v>100000</v>
      </c>
      <c r="AL70" s="117">
        <v>100000</v>
      </c>
      <c r="AM70" s="117">
        <v>100000</v>
      </c>
      <c r="AN70" s="117">
        <v>100000</v>
      </c>
      <c r="AP70" s="30"/>
      <c r="AQ70" s="30"/>
      <c r="AR70" s="30"/>
    </row>
    <row r="71" spans="1:44" ht="12">
      <c r="A71" s="37" t="s">
        <v>201</v>
      </c>
      <c r="B71" s="37"/>
      <c r="C71" s="119" t="s">
        <v>301</v>
      </c>
      <c r="D71" s="114" t="s">
        <v>162</v>
      </c>
      <c r="E71" s="117">
        <f>50000*3/21</f>
        <v>7142.8571428571431</v>
      </c>
      <c r="F71" s="117">
        <f t="shared" ref="F71:AN71" si="47">50000*3/21</f>
        <v>7142.8571428571431</v>
      </c>
      <c r="G71" s="117">
        <f t="shared" si="47"/>
        <v>7142.8571428571431</v>
      </c>
      <c r="H71" s="117">
        <f t="shared" si="47"/>
        <v>7142.8571428571431</v>
      </c>
      <c r="I71" s="117">
        <f t="shared" si="47"/>
        <v>7142.8571428571431</v>
      </c>
      <c r="J71" s="117">
        <f t="shared" si="47"/>
        <v>7142.8571428571431</v>
      </c>
      <c r="K71" s="117">
        <f t="shared" si="47"/>
        <v>7142.8571428571431</v>
      </c>
      <c r="L71" s="117">
        <f t="shared" si="47"/>
        <v>7142.8571428571431</v>
      </c>
      <c r="M71" s="117">
        <f t="shared" si="47"/>
        <v>7142.8571428571431</v>
      </c>
      <c r="N71" s="117">
        <f t="shared" si="47"/>
        <v>7142.8571428571431</v>
      </c>
      <c r="O71" s="117">
        <f t="shared" si="47"/>
        <v>7142.8571428571431</v>
      </c>
      <c r="P71" s="117">
        <f t="shared" si="47"/>
        <v>7142.8571428571431</v>
      </c>
      <c r="Q71" s="117">
        <f t="shared" si="47"/>
        <v>7142.8571428571431</v>
      </c>
      <c r="R71" s="117">
        <f t="shared" si="47"/>
        <v>7142.8571428571431</v>
      </c>
      <c r="S71" s="117">
        <f t="shared" si="47"/>
        <v>7142.8571428571431</v>
      </c>
      <c r="T71" s="117">
        <f t="shared" si="47"/>
        <v>7142.8571428571431</v>
      </c>
      <c r="U71" s="117">
        <f t="shared" si="47"/>
        <v>7142.8571428571431</v>
      </c>
      <c r="V71" s="117">
        <f t="shared" si="47"/>
        <v>7142.8571428571431</v>
      </c>
      <c r="W71" s="117">
        <f t="shared" si="47"/>
        <v>7142.8571428571431</v>
      </c>
      <c r="X71" s="117">
        <f t="shared" si="47"/>
        <v>7142.8571428571431</v>
      </c>
      <c r="Y71" s="117">
        <f t="shared" si="47"/>
        <v>7142.8571428571431</v>
      </c>
      <c r="Z71" s="117">
        <f t="shared" si="47"/>
        <v>7142.8571428571431</v>
      </c>
      <c r="AA71" s="117">
        <f t="shared" si="47"/>
        <v>7142.8571428571431</v>
      </c>
      <c r="AB71" s="117">
        <f t="shared" si="47"/>
        <v>7142.8571428571431</v>
      </c>
      <c r="AC71" s="117">
        <f t="shared" si="47"/>
        <v>7142.8571428571431</v>
      </c>
      <c r="AD71" s="117">
        <f t="shared" si="47"/>
        <v>7142.8571428571431</v>
      </c>
      <c r="AE71" s="117">
        <f t="shared" si="47"/>
        <v>7142.8571428571431</v>
      </c>
      <c r="AF71" s="117">
        <f t="shared" si="47"/>
        <v>7142.8571428571431</v>
      </c>
      <c r="AG71" s="117">
        <f t="shared" si="47"/>
        <v>7142.8571428571431</v>
      </c>
      <c r="AH71" s="117">
        <f t="shared" si="47"/>
        <v>7142.8571428571431</v>
      </c>
      <c r="AI71" s="117">
        <f t="shared" si="47"/>
        <v>7142.8571428571431</v>
      </c>
      <c r="AJ71" s="117">
        <f t="shared" si="47"/>
        <v>7142.8571428571431</v>
      </c>
      <c r="AK71" s="117">
        <f t="shared" si="47"/>
        <v>7142.8571428571431</v>
      </c>
      <c r="AL71" s="117">
        <f t="shared" si="47"/>
        <v>7142.8571428571431</v>
      </c>
      <c r="AM71" s="117">
        <f t="shared" si="47"/>
        <v>7142.8571428571431</v>
      </c>
      <c r="AN71" s="117">
        <f t="shared" si="47"/>
        <v>7142.8571428571431</v>
      </c>
      <c r="AP71" s="30"/>
      <c r="AQ71" s="30"/>
      <c r="AR71" s="30"/>
    </row>
    <row r="72" spans="1:44" ht="12">
      <c r="A72" s="37" t="s">
        <v>201</v>
      </c>
      <c r="B72" s="37" t="s">
        <v>332</v>
      </c>
      <c r="C72" s="38" t="s">
        <v>43</v>
      </c>
      <c r="D72" s="114" t="s">
        <v>78</v>
      </c>
      <c r="E72" s="25"/>
      <c r="F72" s="25"/>
      <c r="G72" s="25"/>
      <c r="H72" s="25"/>
      <c r="I72" s="25"/>
      <c r="J72" s="25"/>
      <c r="K72" s="25"/>
      <c r="L72" s="25"/>
      <c r="M72" s="30">
        <f>L73/(5*12)</f>
        <v>49.583333333333336</v>
      </c>
      <c r="N72" s="30">
        <f>M72</f>
        <v>49.583333333333336</v>
      </c>
      <c r="O72" s="30">
        <f t="shared" ref="O72:AN72" si="48">N72</f>
        <v>49.583333333333336</v>
      </c>
      <c r="P72" s="30">
        <f t="shared" si="48"/>
        <v>49.583333333333336</v>
      </c>
      <c r="Q72" s="30">
        <f t="shared" si="48"/>
        <v>49.583333333333336</v>
      </c>
      <c r="R72" s="30">
        <f t="shared" si="48"/>
        <v>49.583333333333336</v>
      </c>
      <c r="S72" s="30">
        <f t="shared" si="48"/>
        <v>49.583333333333336</v>
      </c>
      <c r="T72" s="30">
        <f t="shared" si="48"/>
        <v>49.583333333333336</v>
      </c>
      <c r="U72" s="30">
        <f t="shared" si="48"/>
        <v>49.583333333333336</v>
      </c>
      <c r="V72" s="30">
        <f t="shared" si="48"/>
        <v>49.583333333333336</v>
      </c>
      <c r="W72" s="30">
        <f t="shared" si="48"/>
        <v>49.583333333333336</v>
      </c>
      <c r="X72" s="30">
        <f t="shared" si="48"/>
        <v>49.583333333333336</v>
      </c>
      <c r="Y72" s="30">
        <f t="shared" si="48"/>
        <v>49.583333333333336</v>
      </c>
      <c r="Z72" s="30">
        <f t="shared" si="48"/>
        <v>49.583333333333336</v>
      </c>
      <c r="AA72" s="30">
        <f t="shared" si="48"/>
        <v>49.583333333333336</v>
      </c>
      <c r="AB72" s="30">
        <f t="shared" si="48"/>
        <v>49.583333333333336</v>
      </c>
      <c r="AC72" s="30">
        <f t="shared" si="48"/>
        <v>49.583333333333336</v>
      </c>
      <c r="AD72" s="30">
        <f t="shared" si="48"/>
        <v>49.583333333333336</v>
      </c>
      <c r="AE72" s="30">
        <f t="shared" si="48"/>
        <v>49.583333333333336</v>
      </c>
      <c r="AF72" s="30">
        <f t="shared" si="48"/>
        <v>49.583333333333336</v>
      </c>
      <c r="AG72" s="30">
        <f t="shared" si="48"/>
        <v>49.583333333333336</v>
      </c>
      <c r="AH72" s="30">
        <f t="shared" si="48"/>
        <v>49.583333333333336</v>
      </c>
      <c r="AI72" s="30">
        <f t="shared" si="48"/>
        <v>49.583333333333336</v>
      </c>
      <c r="AJ72" s="30">
        <f t="shared" si="48"/>
        <v>49.583333333333336</v>
      </c>
      <c r="AK72" s="30">
        <f t="shared" si="48"/>
        <v>49.583333333333336</v>
      </c>
      <c r="AL72" s="30">
        <f t="shared" si="48"/>
        <v>49.583333333333336</v>
      </c>
      <c r="AM72" s="30">
        <f t="shared" si="48"/>
        <v>49.583333333333336</v>
      </c>
      <c r="AN72" s="30">
        <f t="shared" si="48"/>
        <v>49.583333333333336</v>
      </c>
      <c r="AP72" s="30">
        <f t="shared" si="31"/>
        <v>198.33333333333334</v>
      </c>
      <c r="AQ72" s="30">
        <f t="shared" si="32"/>
        <v>595</v>
      </c>
      <c r="AR72" s="30">
        <f t="shared" si="33"/>
        <v>595</v>
      </c>
    </row>
    <row r="73" spans="1:44" ht="12">
      <c r="A73" s="37" t="s">
        <v>201</v>
      </c>
      <c r="B73" s="37" t="s">
        <v>327</v>
      </c>
      <c r="C73" s="38" t="s">
        <v>243</v>
      </c>
      <c r="D73" s="114" t="s">
        <v>78</v>
      </c>
      <c r="E73" s="25"/>
      <c r="F73" s="25"/>
      <c r="G73" s="25"/>
      <c r="H73" s="25"/>
      <c r="I73" s="25"/>
      <c r="J73" s="25"/>
      <c r="K73" s="25"/>
      <c r="L73" s="30">
        <f>L74*'0'!K27/1000</f>
        <v>2975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P73" s="30">
        <f t="shared" si="31"/>
        <v>2975</v>
      </c>
      <c r="AQ73" s="30">
        <f t="shared" si="32"/>
        <v>0</v>
      </c>
      <c r="AR73" s="30">
        <f t="shared" si="33"/>
        <v>0</v>
      </c>
    </row>
    <row r="74" spans="1:44" ht="12">
      <c r="A74" s="37" t="s">
        <v>201</v>
      </c>
      <c r="B74" s="37"/>
      <c r="C74" s="119" t="s">
        <v>298</v>
      </c>
      <c r="D74" s="114" t="s">
        <v>291</v>
      </c>
      <c r="E74" s="19"/>
      <c r="F74" s="25"/>
      <c r="G74" s="25"/>
      <c r="H74" s="25"/>
      <c r="I74" s="25"/>
      <c r="J74" s="25"/>
      <c r="K74" s="25"/>
      <c r="L74" s="117">
        <f>350000*10%</f>
        <v>35000</v>
      </c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P74" s="30"/>
      <c r="AQ74" s="30"/>
      <c r="AR74" s="30"/>
    </row>
    <row r="75" spans="1:44" ht="12">
      <c r="A75" s="133" t="s">
        <v>209</v>
      </c>
      <c r="B75" s="37" t="s">
        <v>332</v>
      </c>
      <c r="C75" s="38" t="s">
        <v>42</v>
      </c>
      <c r="D75" s="114" t="s">
        <v>78</v>
      </c>
      <c r="E75" s="30">
        <f>(E76+E77*E78)/1000</f>
        <v>100.0911111111111</v>
      </c>
      <c r="F75" s="30">
        <f t="shared" ref="F75:AN75" si="49">(F76+F77*F78)/1000</f>
        <v>100.0911111111111</v>
      </c>
      <c r="G75" s="30">
        <f t="shared" si="49"/>
        <v>100.18222222222222</v>
      </c>
      <c r="H75" s="30">
        <f t="shared" si="49"/>
        <v>100.18222222222222</v>
      </c>
      <c r="I75" s="30">
        <f t="shared" si="49"/>
        <v>100.27333333333333</v>
      </c>
      <c r="J75" s="30">
        <f t="shared" si="49"/>
        <v>100.27333333333333</v>
      </c>
      <c r="K75" s="30">
        <f t="shared" si="49"/>
        <v>100.36444444444444</v>
      </c>
      <c r="L75" s="30">
        <f t="shared" si="49"/>
        <v>100.45555555555556</v>
      </c>
      <c r="M75" s="30">
        <f t="shared" si="49"/>
        <v>100.54666666666667</v>
      </c>
      <c r="N75" s="30">
        <f t="shared" si="49"/>
        <v>100.63777777777779</v>
      </c>
      <c r="O75" s="30">
        <f t="shared" si="49"/>
        <v>100.72888888888889</v>
      </c>
      <c r="P75" s="30">
        <f t="shared" si="49"/>
        <v>100.72888888888889</v>
      </c>
      <c r="Q75" s="30">
        <f t="shared" si="49"/>
        <v>100.72888888888889</v>
      </c>
      <c r="R75" s="30">
        <f t="shared" si="49"/>
        <v>100.72888888888889</v>
      </c>
      <c r="S75" s="30">
        <f t="shared" si="49"/>
        <v>100.72888888888889</v>
      </c>
      <c r="T75" s="30">
        <f t="shared" si="49"/>
        <v>100.72888888888889</v>
      </c>
      <c r="U75" s="30">
        <f t="shared" si="49"/>
        <v>100.72888888888889</v>
      </c>
      <c r="V75" s="30">
        <f t="shared" si="49"/>
        <v>100.72888888888889</v>
      </c>
      <c r="W75" s="30">
        <f t="shared" si="49"/>
        <v>100.72888888888889</v>
      </c>
      <c r="X75" s="30">
        <f t="shared" si="49"/>
        <v>100.72888888888889</v>
      </c>
      <c r="Y75" s="30">
        <f t="shared" si="49"/>
        <v>100.72888888888889</v>
      </c>
      <c r="Z75" s="30">
        <f t="shared" si="49"/>
        <v>100.72888888888889</v>
      </c>
      <c r="AA75" s="30">
        <f t="shared" si="49"/>
        <v>100.72888888888889</v>
      </c>
      <c r="AB75" s="30">
        <f t="shared" si="49"/>
        <v>100.72888888888889</v>
      </c>
      <c r="AC75" s="30">
        <f t="shared" si="49"/>
        <v>100.72888888888889</v>
      </c>
      <c r="AD75" s="30">
        <f t="shared" si="49"/>
        <v>100.72888888888889</v>
      </c>
      <c r="AE75" s="30">
        <f t="shared" si="49"/>
        <v>100.72888888888889</v>
      </c>
      <c r="AF75" s="30">
        <f t="shared" si="49"/>
        <v>100.72888888888889</v>
      </c>
      <c r="AG75" s="30">
        <f t="shared" si="49"/>
        <v>100.72888888888889</v>
      </c>
      <c r="AH75" s="30">
        <f t="shared" si="49"/>
        <v>100.72888888888889</v>
      </c>
      <c r="AI75" s="30">
        <f t="shared" si="49"/>
        <v>100.72888888888889</v>
      </c>
      <c r="AJ75" s="30">
        <f t="shared" si="49"/>
        <v>100.72888888888889</v>
      </c>
      <c r="AK75" s="30">
        <f t="shared" si="49"/>
        <v>100.72888888888889</v>
      </c>
      <c r="AL75" s="30">
        <f t="shared" si="49"/>
        <v>100.72888888888889</v>
      </c>
      <c r="AM75" s="30">
        <f t="shared" si="49"/>
        <v>100.72888888888889</v>
      </c>
      <c r="AN75" s="30">
        <f t="shared" si="49"/>
        <v>100.72888888888889</v>
      </c>
      <c r="AP75" s="30">
        <f t="shared" si="31"/>
        <v>1204.5555555555552</v>
      </c>
      <c r="AQ75" s="30">
        <f t="shared" si="32"/>
        <v>1208.7466666666664</v>
      </c>
      <c r="AR75" s="30">
        <f t="shared" si="33"/>
        <v>1208.7466666666664</v>
      </c>
    </row>
    <row r="76" spans="1:44" ht="12">
      <c r="A76" s="133" t="s">
        <v>209</v>
      </c>
      <c r="B76" s="37"/>
      <c r="C76" s="119" t="s">
        <v>314</v>
      </c>
      <c r="D76" s="114" t="s">
        <v>162</v>
      </c>
      <c r="E76" s="117">
        <v>100000</v>
      </c>
      <c r="F76" s="117">
        <v>100000</v>
      </c>
      <c r="G76" s="117">
        <v>100000</v>
      </c>
      <c r="H76" s="117">
        <v>100000</v>
      </c>
      <c r="I76" s="117">
        <v>100000</v>
      </c>
      <c r="J76" s="117">
        <v>100000</v>
      </c>
      <c r="K76" s="117">
        <v>100000</v>
      </c>
      <c r="L76" s="117">
        <v>100000</v>
      </c>
      <c r="M76" s="117">
        <v>100000</v>
      </c>
      <c r="N76" s="117">
        <v>100000</v>
      </c>
      <c r="O76" s="117">
        <v>100000</v>
      </c>
      <c r="P76" s="117">
        <v>100000</v>
      </c>
      <c r="Q76" s="117">
        <v>100000</v>
      </c>
      <c r="R76" s="117">
        <v>100000</v>
      </c>
      <c r="S76" s="117">
        <v>100000</v>
      </c>
      <c r="T76" s="117">
        <v>100000</v>
      </c>
      <c r="U76" s="117">
        <v>100000</v>
      </c>
      <c r="V76" s="117">
        <v>100000</v>
      </c>
      <c r="W76" s="117">
        <v>100000</v>
      </c>
      <c r="X76" s="117">
        <v>100000</v>
      </c>
      <c r="Y76" s="117">
        <v>100000</v>
      </c>
      <c r="Z76" s="117">
        <v>100000</v>
      </c>
      <c r="AA76" s="117">
        <v>100000</v>
      </c>
      <c r="AB76" s="117">
        <v>100000</v>
      </c>
      <c r="AC76" s="117">
        <v>100000</v>
      </c>
      <c r="AD76" s="117">
        <v>100000</v>
      </c>
      <c r="AE76" s="117">
        <v>100000</v>
      </c>
      <c r="AF76" s="117">
        <v>100000</v>
      </c>
      <c r="AG76" s="117">
        <v>100000</v>
      </c>
      <c r="AH76" s="117">
        <v>100000</v>
      </c>
      <c r="AI76" s="117">
        <v>100000</v>
      </c>
      <c r="AJ76" s="117">
        <v>100000</v>
      </c>
      <c r="AK76" s="117">
        <v>100000</v>
      </c>
      <c r="AL76" s="117">
        <v>100000</v>
      </c>
      <c r="AM76" s="117">
        <v>100000</v>
      </c>
      <c r="AN76" s="117">
        <v>100000</v>
      </c>
      <c r="AP76" s="30"/>
      <c r="AQ76" s="30"/>
      <c r="AR76" s="30"/>
    </row>
    <row r="77" spans="1:44" s="14" customFormat="1" ht="12">
      <c r="A77" s="133" t="s">
        <v>209</v>
      </c>
      <c r="B77" s="37"/>
      <c r="C77" s="115" t="s">
        <v>330</v>
      </c>
      <c r="D77" s="115" t="s">
        <v>85</v>
      </c>
      <c r="E77" s="30">
        <f>BaaS.3!D64</f>
        <v>40</v>
      </c>
      <c r="F77" s="30">
        <f>BaaS.3!E64</f>
        <v>40</v>
      </c>
      <c r="G77" s="30">
        <f>BaaS.3!F64</f>
        <v>80</v>
      </c>
      <c r="H77" s="30">
        <f>BaaS.3!G64</f>
        <v>80</v>
      </c>
      <c r="I77" s="30">
        <f>BaaS.3!H64</f>
        <v>120</v>
      </c>
      <c r="J77" s="30">
        <f>BaaS.3!I64</f>
        <v>120</v>
      </c>
      <c r="K77" s="30">
        <f>BaaS.3!J64</f>
        <v>160</v>
      </c>
      <c r="L77" s="30">
        <f>BaaS.3!K64</f>
        <v>200</v>
      </c>
      <c r="M77" s="30">
        <f>BaaS.3!L64</f>
        <v>240</v>
      </c>
      <c r="N77" s="30">
        <f>BaaS.3!M64</f>
        <v>280</v>
      </c>
      <c r="O77" s="30">
        <f>BaaS.3!N64</f>
        <v>320</v>
      </c>
      <c r="P77" s="30">
        <f>BaaS.3!O64</f>
        <v>320</v>
      </c>
      <c r="Q77" s="30">
        <f>BaaS.3!P64</f>
        <v>320</v>
      </c>
      <c r="R77" s="30">
        <f>BaaS.3!Q64</f>
        <v>320</v>
      </c>
      <c r="S77" s="30">
        <f>BaaS.3!R64</f>
        <v>320</v>
      </c>
      <c r="T77" s="30">
        <f>BaaS.3!S64</f>
        <v>320</v>
      </c>
      <c r="U77" s="30">
        <f>BaaS.3!T64</f>
        <v>320</v>
      </c>
      <c r="V77" s="30">
        <f>BaaS.3!U64</f>
        <v>320</v>
      </c>
      <c r="W77" s="30">
        <f>BaaS.3!V64</f>
        <v>320</v>
      </c>
      <c r="X77" s="30">
        <f>BaaS.3!W64</f>
        <v>320</v>
      </c>
      <c r="Y77" s="30">
        <f>BaaS.3!X64</f>
        <v>320</v>
      </c>
      <c r="Z77" s="30">
        <f>BaaS.3!Y64</f>
        <v>320</v>
      </c>
      <c r="AA77" s="30">
        <f>BaaS.3!Z64</f>
        <v>320</v>
      </c>
      <c r="AB77" s="30">
        <f>BaaS.3!AA64</f>
        <v>320</v>
      </c>
      <c r="AC77" s="30">
        <f>BaaS.3!AB64</f>
        <v>320</v>
      </c>
      <c r="AD77" s="30">
        <f>BaaS.3!AC64</f>
        <v>320</v>
      </c>
      <c r="AE77" s="30">
        <f>BaaS.3!AD64</f>
        <v>320</v>
      </c>
      <c r="AF77" s="30">
        <f>BaaS.3!AE64</f>
        <v>320</v>
      </c>
      <c r="AG77" s="30">
        <f>BaaS.3!AF64</f>
        <v>320</v>
      </c>
      <c r="AH77" s="30">
        <f>BaaS.3!AG64</f>
        <v>320</v>
      </c>
      <c r="AI77" s="30">
        <f>BaaS.3!AH64</f>
        <v>320</v>
      </c>
      <c r="AJ77" s="30">
        <f>BaaS.3!AI64</f>
        <v>320</v>
      </c>
      <c r="AK77" s="30">
        <f>BaaS.3!AJ64</f>
        <v>320</v>
      </c>
      <c r="AL77" s="30">
        <f>BaaS.3!AK64</f>
        <v>320</v>
      </c>
      <c r="AM77" s="30">
        <f>BaaS.3!AL64</f>
        <v>320</v>
      </c>
      <c r="AN77" s="30">
        <f>BaaS.3!AM64</f>
        <v>320</v>
      </c>
      <c r="AP77" s="30"/>
      <c r="AQ77" s="30"/>
      <c r="AR77" s="30"/>
    </row>
    <row r="78" spans="1:44" s="14" customFormat="1" ht="12">
      <c r="A78" s="133" t="s">
        <v>209</v>
      </c>
      <c r="B78" s="37"/>
      <c r="C78" s="38" t="s">
        <v>321</v>
      </c>
      <c r="D78" s="114" t="s">
        <v>162</v>
      </c>
      <c r="E78" s="118">
        <f>SUM(E79:E81)</f>
        <v>2.2777777777777777</v>
      </c>
      <c r="F78" s="118">
        <f t="shared" ref="F78:AN78" si="50">SUM(F79:F81)</f>
        <v>2.2777777777777777</v>
      </c>
      <c r="G78" s="118">
        <f t="shared" si="50"/>
        <v>2.2777777777777777</v>
      </c>
      <c r="H78" s="118">
        <f t="shared" si="50"/>
        <v>2.2777777777777777</v>
      </c>
      <c r="I78" s="118">
        <f t="shared" si="50"/>
        <v>2.2777777777777777</v>
      </c>
      <c r="J78" s="118">
        <f t="shared" si="50"/>
        <v>2.2777777777777777</v>
      </c>
      <c r="K78" s="118">
        <f t="shared" si="50"/>
        <v>2.2777777777777777</v>
      </c>
      <c r="L78" s="118">
        <f t="shared" si="50"/>
        <v>2.2777777777777777</v>
      </c>
      <c r="M78" s="118">
        <f t="shared" si="50"/>
        <v>2.2777777777777777</v>
      </c>
      <c r="N78" s="118">
        <f t="shared" si="50"/>
        <v>2.2777777777777777</v>
      </c>
      <c r="O78" s="118">
        <f t="shared" si="50"/>
        <v>2.2777777777777777</v>
      </c>
      <c r="P78" s="118">
        <f t="shared" si="50"/>
        <v>2.2777777777777777</v>
      </c>
      <c r="Q78" s="118">
        <f t="shared" si="50"/>
        <v>2.2777777777777777</v>
      </c>
      <c r="R78" s="118">
        <f t="shared" si="50"/>
        <v>2.2777777777777777</v>
      </c>
      <c r="S78" s="118">
        <f t="shared" si="50"/>
        <v>2.2777777777777777</v>
      </c>
      <c r="T78" s="118">
        <f t="shared" si="50"/>
        <v>2.2777777777777777</v>
      </c>
      <c r="U78" s="118">
        <f t="shared" si="50"/>
        <v>2.2777777777777777</v>
      </c>
      <c r="V78" s="118">
        <f t="shared" si="50"/>
        <v>2.2777777777777777</v>
      </c>
      <c r="W78" s="118">
        <f t="shared" si="50"/>
        <v>2.2777777777777777</v>
      </c>
      <c r="X78" s="118">
        <f t="shared" si="50"/>
        <v>2.2777777777777777</v>
      </c>
      <c r="Y78" s="118">
        <f t="shared" si="50"/>
        <v>2.2777777777777777</v>
      </c>
      <c r="Z78" s="118">
        <f t="shared" si="50"/>
        <v>2.2777777777777777</v>
      </c>
      <c r="AA78" s="118">
        <f t="shared" si="50"/>
        <v>2.2777777777777777</v>
      </c>
      <c r="AB78" s="118">
        <f t="shared" si="50"/>
        <v>2.2777777777777777</v>
      </c>
      <c r="AC78" s="118">
        <f t="shared" si="50"/>
        <v>2.2777777777777777</v>
      </c>
      <c r="AD78" s="118">
        <f t="shared" si="50"/>
        <v>2.2777777777777777</v>
      </c>
      <c r="AE78" s="118">
        <f t="shared" si="50"/>
        <v>2.2777777777777777</v>
      </c>
      <c r="AF78" s="118">
        <f t="shared" si="50"/>
        <v>2.2777777777777777</v>
      </c>
      <c r="AG78" s="118">
        <f t="shared" si="50"/>
        <v>2.2777777777777777</v>
      </c>
      <c r="AH78" s="118">
        <f t="shared" si="50"/>
        <v>2.2777777777777777</v>
      </c>
      <c r="AI78" s="118">
        <f t="shared" si="50"/>
        <v>2.2777777777777777</v>
      </c>
      <c r="AJ78" s="118">
        <f t="shared" si="50"/>
        <v>2.2777777777777777</v>
      </c>
      <c r="AK78" s="118">
        <f t="shared" si="50"/>
        <v>2.2777777777777777</v>
      </c>
      <c r="AL78" s="118">
        <f t="shared" si="50"/>
        <v>2.2777777777777777</v>
      </c>
      <c r="AM78" s="118">
        <f t="shared" si="50"/>
        <v>2.2777777777777777</v>
      </c>
      <c r="AN78" s="118">
        <f t="shared" si="50"/>
        <v>2.2777777777777777</v>
      </c>
      <c r="AP78" s="30"/>
      <c r="AQ78" s="30"/>
      <c r="AR78" s="30"/>
    </row>
    <row r="79" spans="1:44" s="14" customFormat="1" ht="12">
      <c r="A79" s="133" t="s">
        <v>209</v>
      </c>
      <c r="B79" s="37"/>
      <c r="C79" s="119" t="s">
        <v>312</v>
      </c>
      <c r="D79" s="114" t="s">
        <v>162</v>
      </c>
      <c r="E79" s="137">
        <f>2*(2/21)*40000/30000</f>
        <v>0.25396825396825395</v>
      </c>
      <c r="F79" s="137">
        <f t="shared" ref="F79:AN79" si="51">2*(2/21)*40000/30000</f>
        <v>0.25396825396825395</v>
      </c>
      <c r="G79" s="137">
        <f t="shared" si="51"/>
        <v>0.25396825396825395</v>
      </c>
      <c r="H79" s="137">
        <f t="shared" si="51"/>
        <v>0.25396825396825395</v>
      </c>
      <c r="I79" s="137">
        <f t="shared" si="51"/>
        <v>0.25396825396825395</v>
      </c>
      <c r="J79" s="137">
        <f t="shared" si="51"/>
        <v>0.25396825396825395</v>
      </c>
      <c r="K79" s="137">
        <f t="shared" si="51"/>
        <v>0.25396825396825395</v>
      </c>
      <c r="L79" s="137">
        <f t="shared" si="51"/>
        <v>0.25396825396825395</v>
      </c>
      <c r="M79" s="137">
        <f t="shared" si="51"/>
        <v>0.25396825396825395</v>
      </c>
      <c r="N79" s="137">
        <f t="shared" si="51"/>
        <v>0.25396825396825395</v>
      </c>
      <c r="O79" s="137">
        <f t="shared" si="51"/>
        <v>0.25396825396825395</v>
      </c>
      <c r="P79" s="137">
        <f t="shared" si="51"/>
        <v>0.25396825396825395</v>
      </c>
      <c r="Q79" s="137">
        <f t="shared" si="51"/>
        <v>0.25396825396825395</v>
      </c>
      <c r="R79" s="137">
        <f t="shared" si="51"/>
        <v>0.25396825396825395</v>
      </c>
      <c r="S79" s="137">
        <f t="shared" si="51"/>
        <v>0.25396825396825395</v>
      </c>
      <c r="T79" s="137">
        <f t="shared" si="51"/>
        <v>0.25396825396825395</v>
      </c>
      <c r="U79" s="137">
        <f t="shared" si="51"/>
        <v>0.25396825396825395</v>
      </c>
      <c r="V79" s="137">
        <f t="shared" si="51"/>
        <v>0.25396825396825395</v>
      </c>
      <c r="W79" s="137">
        <f t="shared" si="51"/>
        <v>0.25396825396825395</v>
      </c>
      <c r="X79" s="137">
        <f t="shared" si="51"/>
        <v>0.25396825396825395</v>
      </c>
      <c r="Y79" s="137">
        <f t="shared" si="51"/>
        <v>0.25396825396825395</v>
      </c>
      <c r="Z79" s="137">
        <f t="shared" si="51"/>
        <v>0.25396825396825395</v>
      </c>
      <c r="AA79" s="137">
        <f t="shared" si="51"/>
        <v>0.25396825396825395</v>
      </c>
      <c r="AB79" s="137">
        <f t="shared" si="51"/>
        <v>0.25396825396825395</v>
      </c>
      <c r="AC79" s="137">
        <f t="shared" si="51"/>
        <v>0.25396825396825395</v>
      </c>
      <c r="AD79" s="137">
        <f t="shared" si="51"/>
        <v>0.25396825396825395</v>
      </c>
      <c r="AE79" s="137">
        <f t="shared" si="51"/>
        <v>0.25396825396825395</v>
      </c>
      <c r="AF79" s="137">
        <f t="shared" si="51"/>
        <v>0.25396825396825395</v>
      </c>
      <c r="AG79" s="137">
        <f t="shared" si="51"/>
        <v>0.25396825396825395</v>
      </c>
      <c r="AH79" s="137">
        <f t="shared" si="51"/>
        <v>0.25396825396825395</v>
      </c>
      <c r="AI79" s="137">
        <f t="shared" si="51"/>
        <v>0.25396825396825395</v>
      </c>
      <c r="AJ79" s="137">
        <f t="shared" si="51"/>
        <v>0.25396825396825395</v>
      </c>
      <c r="AK79" s="137">
        <f t="shared" si="51"/>
        <v>0.25396825396825395</v>
      </c>
      <c r="AL79" s="137">
        <f t="shared" si="51"/>
        <v>0.25396825396825395</v>
      </c>
      <c r="AM79" s="137">
        <f t="shared" si="51"/>
        <v>0.25396825396825395</v>
      </c>
      <c r="AN79" s="137">
        <f t="shared" si="51"/>
        <v>0.25396825396825395</v>
      </c>
      <c r="AP79" s="30"/>
      <c r="AQ79" s="30"/>
      <c r="AR79" s="30"/>
    </row>
    <row r="80" spans="1:44" s="14" customFormat="1" ht="12">
      <c r="A80" s="133" t="s">
        <v>209</v>
      </c>
      <c r="B80" s="37"/>
      <c r="C80" s="119" t="s">
        <v>313</v>
      </c>
      <c r="D80" s="114" t="s">
        <v>162</v>
      </c>
      <c r="E80" s="137">
        <f>2*(5/21)*40000/30000</f>
        <v>0.63492063492063489</v>
      </c>
      <c r="F80" s="137">
        <f t="shared" ref="F80:AN80" si="52">2*(5/21)*40000/30000</f>
        <v>0.63492063492063489</v>
      </c>
      <c r="G80" s="137">
        <f t="shared" si="52"/>
        <v>0.63492063492063489</v>
      </c>
      <c r="H80" s="137">
        <f t="shared" si="52"/>
        <v>0.63492063492063489</v>
      </c>
      <c r="I80" s="137">
        <f t="shared" si="52"/>
        <v>0.63492063492063489</v>
      </c>
      <c r="J80" s="137">
        <f t="shared" si="52"/>
        <v>0.63492063492063489</v>
      </c>
      <c r="K80" s="137">
        <f t="shared" si="52"/>
        <v>0.63492063492063489</v>
      </c>
      <c r="L80" s="137">
        <f t="shared" si="52"/>
        <v>0.63492063492063489</v>
      </c>
      <c r="M80" s="137">
        <f t="shared" si="52"/>
        <v>0.63492063492063489</v>
      </c>
      <c r="N80" s="137">
        <f t="shared" si="52"/>
        <v>0.63492063492063489</v>
      </c>
      <c r="O80" s="137">
        <f t="shared" si="52"/>
        <v>0.63492063492063489</v>
      </c>
      <c r="P80" s="137">
        <f t="shared" si="52"/>
        <v>0.63492063492063489</v>
      </c>
      <c r="Q80" s="137">
        <f t="shared" si="52"/>
        <v>0.63492063492063489</v>
      </c>
      <c r="R80" s="137">
        <f t="shared" si="52"/>
        <v>0.63492063492063489</v>
      </c>
      <c r="S80" s="137">
        <f t="shared" si="52"/>
        <v>0.63492063492063489</v>
      </c>
      <c r="T80" s="137">
        <f t="shared" si="52"/>
        <v>0.63492063492063489</v>
      </c>
      <c r="U80" s="137">
        <f t="shared" si="52"/>
        <v>0.63492063492063489</v>
      </c>
      <c r="V80" s="137">
        <f t="shared" si="52"/>
        <v>0.63492063492063489</v>
      </c>
      <c r="W80" s="137">
        <f t="shared" si="52"/>
        <v>0.63492063492063489</v>
      </c>
      <c r="X80" s="137">
        <f t="shared" si="52"/>
        <v>0.63492063492063489</v>
      </c>
      <c r="Y80" s="137">
        <f t="shared" si="52"/>
        <v>0.63492063492063489</v>
      </c>
      <c r="Z80" s="137">
        <f t="shared" si="52"/>
        <v>0.63492063492063489</v>
      </c>
      <c r="AA80" s="137">
        <f t="shared" si="52"/>
        <v>0.63492063492063489</v>
      </c>
      <c r="AB80" s="137">
        <f t="shared" si="52"/>
        <v>0.63492063492063489</v>
      </c>
      <c r="AC80" s="137">
        <f t="shared" si="52"/>
        <v>0.63492063492063489</v>
      </c>
      <c r="AD80" s="137">
        <f t="shared" si="52"/>
        <v>0.63492063492063489</v>
      </c>
      <c r="AE80" s="137">
        <f t="shared" si="52"/>
        <v>0.63492063492063489</v>
      </c>
      <c r="AF80" s="137">
        <f t="shared" si="52"/>
        <v>0.63492063492063489</v>
      </c>
      <c r="AG80" s="137">
        <f t="shared" si="52"/>
        <v>0.63492063492063489</v>
      </c>
      <c r="AH80" s="137">
        <f t="shared" si="52"/>
        <v>0.63492063492063489</v>
      </c>
      <c r="AI80" s="137">
        <f t="shared" si="52"/>
        <v>0.63492063492063489</v>
      </c>
      <c r="AJ80" s="137">
        <f t="shared" si="52"/>
        <v>0.63492063492063489</v>
      </c>
      <c r="AK80" s="137">
        <f t="shared" si="52"/>
        <v>0.63492063492063489</v>
      </c>
      <c r="AL80" s="137">
        <f t="shared" si="52"/>
        <v>0.63492063492063489</v>
      </c>
      <c r="AM80" s="137">
        <f t="shared" si="52"/>
        <v>0.63492063492063489</v>
      </c>
      <c r="AN80" s="137">
        <f t="shared" si="52"/>
        <v>0.63492063492063489</v>
      </c>
      <c r="AP80" s="30"/>
      <c r="AQ80" s="30"/>
      <c r="AR80" s="30"/>
    </row>
    <row r="81" spans="1:44" s="14" customFormat="1" ht="12">
      <c r="A81" s="133" t="s">
        <v>209</v>
      </c>
      <c r="B81" s="37"/>
      <c r="C81" s="119" t="s">
        <v>315</v>
      </c>
      <c r="D81" s="114" t="s">
        <v>162</v>
      </c>
      <c r="E81" s="137">
        <f>10*2.5/21*35000/30000</f>
        <v>1.3888888888888888</v>
      </c>
      <c r="F81" s="137">
        <f t="shared" ref="F81:AN81" si="53">10*2.5/21*35000/30000</f>
        <v>1.3888888888888888</v>
      </c>
      <c r="G81" s="137">
        <f t="shared" si="53"/>
        <v>1.3888888888888888</v>
      </c>
      <c r="H81" s="137">
        <f t="shared" si="53"/>
        <v>1.3888888888888888</v>
      </c>
      <c r="I81" s="137">
        <f t="shared" si="53"/>
        <v>1.3888888888888888</v>
      </c>
      <c r="J81" s="137">
        <f t="shared" si="53"/>
        <v>1.3888888888888888</v>
      </c>
      <c r="K81" s="137">
        <f t="shared" si="53"/>
        <v>1.3888888888888888</v>
      </c>
      <c r="L81" s="137">
        <f t="shared" si="53"/>
        <v>1.3888888888888888</v>
      </c>
      <c r="M81" s="137">
        <f t="shared" si="53"/>
        <v>1.3888888888888888</v>
      </c>
      <c r="N81" s="137">
        <f t="shared" si="53"/>
        <v>1.3888888888888888</v>
      </c>
      <c r="O81" s="137">
        <f t="shared" si="53"/>
        <v>1.3888888888888888</v>
      </c>
      <c r="P81" s="137">
        <f t="shared" si="53"/>
        <v>1.3888888888888888</v>
      </c>
      <c r="Q81" s="137">
        <f t="shared" si="53"/>
        <v>1.3888888888888888</v>
      </c>
      <c r="R81" s="137">
        <f t="shared" si="53"/>
        <v>1.3888888888888888</v>
      </c>
      <c r="S81" s="137">
        <f t="shared" si="53"/>
        <v>1.3888888888888888</v>
      </c>
      <c r="T81" s="137">
        <f t="shared" si="53"/>
        <v>1.3888888888888888</v>
      </c>
      <c r="U81" s="137">
        <f t="shared" si="53"/>
        <v>1.3888888888888888</v>
      </c>
      <c r="V81" s="137">
        <f t="shared" si="53"/>
        <v>1.3888888888888888</v>
      </c>
      <c r="W81" s="137">
        <f t="shared" si="53"/>
        <v>1.3888888888888888</v>
      </c>
      <c r="X81" s="137">
        <f t="shared" si="53"/>
        <v>1.3888888888888888</v>
      </c>
      <c r="Y81" s="137">
        <f t="shared" si="53"/>
        <v>1.3888888888888888</v>
      </c>
      <c r="Z81" s="137">
        <f t="shared" si="53"/>
        <v>1.3888888888888888</v>
      </c>
      <c r="AA81" s="137">
        <f t="shared" si="53"/>
        <v>1.3888888888888888</v>
      </c>
      <c r="AB81" s="137">
        <f t="shared" si="53"/>
        <v>1.3888888888888888</v>
      </c>
      <c r="AC81" s="137">
        <f t="shared" si="53"/>
        <v>1.3888888888888888</v>
      </c>
      <c r="AD81" s="137">
        <f t="shared" si="53"/>
        <v>1.3888888888888888</v>
      </c>
      <c r="AE81" s="137">
        <f t="shared" si="53"/>
        <v>1.3888888888888888</v>
      </c>
      <c r="AF81" s="137">
        <f t="shared" si="53"/>
        <v>1.3888888888888888</v>
      </c>
      <c r="AG81" s="137">
        <f t="shared" si="53"/>
        <v>1.3888888888888888</v>
      </c>
      <c r="AH81" s="137">
        <f t="shared" si="53"/>
        <v>1.3888888888888888</v>
      </c>
      <c r="AI81" s="137">
        <f t="shared" si="53"/>
        <v>1.3888888888888888</v>
      </c>
      <c r="AJ81" s="137">
        <f t="shared" si="53"/>
        <v>1.3888888888888888</v>
      </c>
      <c r="AK81" s="137">
        <f t="shared" si="53"/>
        <v>1.3888888888888888</v>
      </c>
      <c r="AL81" s="137">
        <f t="shared" si="53"/>
        <v>1.3888888888888888</v>
      </c>
      <c r="AM81" s="137">
        <f t="shared" si="53"/>
        <v>1.3888888888888888</v>
      </c>
      <c r="AN81" s="137">
        <f t="shared" si="53"/>
        <v>1.3888888888888888</v>
      </c>
      <c r="AP81" s="30"/>
      <c r="AQ81" s="30"/>
      <c r="AR81" s="30"/>
    </row>
    <row r="82" spans="1:44" ht="12">
      <c r="A82" s="133" t="s">
        <v>209</v>
      </c>
      <c r="B82" s="37" t="s">
        <v>332</v>
      </c>
      <c r="C82" s="38" t="s">
        <v>43</v>
      </c>
      <c r="D82" s="114" t="s">
        <v>78</v>
      </c>
      <c r="E82" s="25"/>
      <c r="F82" s="25"/>
      <c r="G82" s="25"/>
      <c r="H82" s="25"/>
      <c r="I82" s="30">
        <f>H85/(5*12)</f>
        <v>24.791666666666668</v>
      </c>
      <c r="J82" s="30">
        <f>I82</f>
        <v>24.791666666666668</v>
      </c>
      <c r="K82" s="30">
        <f t="shared" ref="K82:AN82" si="54">J82</f>
        <v>24.791666666666668</v>
      </c>
      <c r="L82" s="30">
        <f t="shared" si="54"/>
        <v>24.791666666666668</v>
      </c>
      <c r="M82" s="30">
        <f t="shared" si="54"/>
        <v>24.791666666666668</v>
      </c>
      <c r="N82" s="30">
        <f t="shared" si="54"/>
        <v>24.791666666666668</v>
      </c>
      <c r="O82" s="30">
        <f t="shared" si="54"/>
        <v>24.791666666666668</v>
      </c>
      <c r="P82" s="30">
        <f t="shared" si="54"/>
        <v>24.791666666666668</v>
      </c>
      <c r="Q82" s="30">
        <f t="shared" si="54"/>
        <v>24.791666666666668</v>
      </c>
      <c r="R82" s="30">
        <f t="shared" si="54"/>
        <v>24.791666666666668</v>
      </c>
      <c r="S82" s="30">
        <f t="shared" si="54"/>
        <v>24.791666666666668</v>
      </c>
      <c r="T82" s="30">
        <f t="shared" si="54"/>
        <v>24.791666666666668</v>
      </c>
      <c r="U82" s="30">
        <f t="shared" si="54"/>
        <v>24.791666666666668</v>
      </c>
      <c r="V82" s="30">
        <f t="shared" si="54"/>
        <v>24.791666666666668</v>
      </c>
      <c r="W82" s="30">
        <f t="shared" si="54"/>
        <v>24.791666666666668</v>
      </c>
      <c r="X82" s="30">
        <f t="shared" si="54"/>
        <v>24.791666666666668</v>
      </c>
      <c r="Y82" s="30">
        <f t="shared" si="54"/>
        <v>24.791666666666668</v>
      </c>
      <c r="Z82" s="30">
        <f t="shared" si="54"/>
        <v>24.791666666666668</v>
      </c>
      <c r="AA82" s="30">
        <f t="shared" si="54"/>
        <v>24.791666666666668</v>
      </c>
      <c r="AB82" s="30">
        <f t="shared" si="54"/>
        <v>24.791666666666668</v>
      </c>
      <c r="AC82" s="30">
        <f t="shared" si="54"/>
        <v>24.791666666666668</v>
      </c>
      <c r="AD82" s="30">
        <f t="shared" si="54"/>
        <v>24.791666666666668</v>
      </c>
      <c r="AE82" s="30">
        <f t="shared" si="54"/>
        <v>24.791666666666668</v>
      </c>
      <c r="AF82" s="30">
        <f t="shared" si="54"/>
        <v>24.791666666666668</v>
      </c>
      <c r="AG82" s="30">
        <f t="shared" si="54"/>
        <v>24.791666666666668</v>
      </c>
      <c r="AH82" s="30">
        <f t="shared" si="54"/>
        <v>24.791666666666668</v>
      </c>
      <c r="AI82" s="30">
        <f t="shared" si="54"/>
        <v>24.791666666666668</v>
      </c>
      <c r="AJ82" s="30">
        <f t="shared" si="54"/>
        <v>24.791666666666668</v>
      </c>
      <c r="AK82" s="30">
        <f t="shared" si="54"/>
        <v>24.791666666666668</v>
      </c>
      <c r="AL82" s="30">
        <f t="shared" si="54"/>
        <v>24.791666666666668</v>
      </c>
      <c r="AM82" s="30">
        <f t="shared" si="54"/>
        <v>24.791666666666668</v>
      </c>
      <c r="AN82" s="30">
        <f t="shared" si="54"/>
        <v>24.791666666666668</v>
      </c>
      <c r="AP82" s="30">
        <f t="shared" si="31"/>
        <v>198.33333333333331</v>
      </c>
      <c r="AQ82" s="30">
        <f t="shared" si="32"/>
        <v>297.5</v>
      </c>
      <c r="AR82" s="30">
        <f t="shared" si="33"/>
        <v>297.5</v>
      </c>
    </row>
    <row r="83" spans="1:44" ht="12">
      <c r="A83" s="133" t="s">
        <v>209</v>
      </c>
      <c r="B83" s="37" t="s">
        <v>332</v>
      </c>
      <c r="C83" s="38" t="s">
        <v>240</v>
      </c>
      <c r="D83" s="114" t="s">
        <v>78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30">
        <f>S84*'0'!R27/1000/12</f>
        <v>14.166666666666666</v>
      </c>
      <c r="T83" s="30">
        <f>S83</f>
        <v>14.166666666666666</v>
      </c>
      <c r="U83" s="30">
        <f t="shared" ref="U83:AN83" si="55">T83</f>
        <v>14.166666666666666</v>
      </c>
      <c r="V83" s="30">
        <f t="shared" si="55"/>
        <v>14.166666666666666</v>
      </c>
      <c r="W83" s="30">
        <f t="shared" si="55"/>
        <v>14.166666666666666</v>
      </c>
      <c r="X83" s="30">
        <f t="shared" si="55"/>
        <v>14.166666666666666</v>
      </c>
      <c r="Y83" s="30">
        <f t="shared" si="55"/>
        <v>14.166666666666666</v>
      </c>
      <c r="Z83" s="30">
        <f t="shared" si="55"/>
        <v>14.166666666666666</v>
      </c>
      <c r="AA83" s="30">
        <f t="shared" si="55"/>
        <v>14.166666666666666</v>
      </c>
      <c r="AB83" s="30">
        <f t="shared" si="55"/>
        <v>14.166666666666666</v>
      </c>
      <c r="AC83" s="30">
        <f t="shared" si="55"/>
        <v>14.166666666666666</v>
      </c>
      <c r="AD83" s="30">
        <f t="shared" si="55"/>
        <v>14.166666666666666</v>
      </c>
      <c r="AE83" s="30">
        <f>AE84*'0'!AD27/1000/12</f>
        <v>14.166666666666666</v>
      </c>
      <c r="AF83" s="30">
        <f t="shared" si="55"/>
        <v>14.166666666666666</v>
      </c>
      <c r="AG83" s="30">
        <f t="shared" si="55"/>
        <v>14.166666666666666</v>
      </c>
      <c r="AH83" s="30">
        <f t="shared" si="55"/>
        <v>14.166666666666666</v>
      </c>
      <c r="AI83" s="30">
        <f t="shared" si="55"/>
        <v>14.166666666666666</v>
      </c>
      <c r="AJ83" s="30">
        <f t="shared" si="55"/>
        <v>14.166666666666666</v>
      </c>
      <c r="AK83" s="30">
        <f t="shared" si="55"/>
        <v>14.166666666666666</v>
      </c>
      <c r="AL83" s="30">
        <f t="shared" si="55"/>
        <v>14.166666666666666</v>
      </c>
      <c r="AM83" s="30">
        <f t="shared" si="55"/>
        <v>14.166666666666666</v>
      </c>
      <c r="AN83" s="30">
        <f t="shared" si="55"/>
        <v>14.166666666666666</v>
      </c>
      <c r="AP83" s="30">
        <f t="shared" si="31"/>
        <v>0</v>
      </c>
      <c r="AQ83" s="30">
        <f t="shared" si="32"/>
        <v>141.66666666666669</v>
      </c>
      <c r="AR83" s="30">
        <f>SUM(AC83:AN83)</f>
        <v>170</v>
      </c>
    </row>
    <row r="84" spans="1:44" ht="12">
      <c r="A84" s="133" t="s">
        <v>209</v>
      </c>
      <c r="B84" s="37"/>
      <c r="C84" s="114" t="s">
        <v>319</v>
      </c>
      <c r="D84" s="114" t="s">
        <v>291</v>
      </c>
      <c r="E84" s="19"/>
      <c r="F84" s="25"/>
      <c r="G84" s="25"/>
      <c r="H84" s="19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117">
        <f>50%*4000</f>
        <v>2000</v>
      </c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117">
        <f>S84</f>
        <v>2000</v>
      </c>
      <c r="AF84" s="25"/>
      <c r="AG84" s="25"/>
      <c r="AH84" s="25"/>
      <c r="AI84" s="25"/>
      <c r="AJ84" s="25"/>
      <c r="AK84" s="25"/>
      <c r="AL84" s="25"/>
      <c r="AM84" s="25"/>
      <c r="AN84" s="25"/>
      <c r="AP84" s="30"/>
      <c r="AQ84" s="30"/>
      <c r="AR84" s="30"/>
    </row>
    <row r="85" spans="1:44" ht="12">
      <c r="A85" s="133" t="s">
        <v>209</v>
      </c>
      <c r="B85" s="37" t="s">
        <v>327</v>
      </c>
      <c r="C85" s="38" t="s">
        <v>243</v>
      </c>
      <c r="D85" s="114" t="s">
        <v>78</v>
      </c>
      <c r="E85" s="25"/>
      <c r="F85" s="25"/>
      <c r="G85" s="25"/>
      <c r="H85" s="30">
        <f>H86*'0'!G27/1000</f>
        <v>1487.5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P85" s="30">
        <f t="shared" si="31"/>
        <v>1487.5</v>
      </c>
      <c r="AQ85" s="30">
        <f t="shared" si="32"/>
        <v>0</v>
      </c>
      <c r="AR85" s="30">
        <f t="shared" si="33"/>
        <v>0</v>
      </c>
    </row>
    <row r="86" spans="1:44" ht="12">
      <c r="A86" s="133" t="s">
        <v>209</v>
      </c>
      <c r="B86" s="37"/>
      <c r="C86" s="114" t="s">
        <v>318</v>
      </c>
      <c r="D86" s="114" t="s">
        <v>291</v>
      </c>
      <c r="E86" s="19"/>
      <c r="F86" s="25"/>
      <c r="G86" s="25"/>
      <c r="H86" s="117">
        <f>50%*35000</f>
        <v>17500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P86" s="30"/>
      <c r="AQ86" s="30"/>
      <c r="AR86" s="30"/>
    </row>
    <row r="87" spans="1:44" ht="12">
      <c r="A87" s="133" t="s">
        <v>305</v>
      </c>
      <c r="B87" s="37" t="s">
        <v>332</v>
      </c>
      <c r="C87" s="38" t="s">
        <v>42</v>
      </c>
      <c r="D87" s="114" t="s">
        <v>78</v>
      </c>
      <c r="E87" s="30">
        <f>(E88+E89+E90*E91)/1000</f>
        <v>107.21119047619047</v>
      </c>
      <c r="F87" s="30">
        <f t="shared" ref="F87:AN87" si="56">(F88+F89+F90*F91)/1000</f>
        <v>107.27952380952382</v>
      </c>
      <c r="G87" s="30">
        <f t="shared" si="56"/>
        <v>107.27952380952382</v>
      </c>
      <c r="H87" s="30">
        <f t="shared" si="56"/>
        <v>107.27952380952382</v>
      </c>
      <c r="I87" s="30">
        <f t="shared" si="56"/>
        <v>107.27952380952382</v>
      </c>
      <c r="J87" s="30">
        <f t="shared" si="56"/>
        <v>107.34785714285715</v>
      </c>
      <c r="K87" s="30">
        <f t="shared" si="56"/>
        <v>107.34785714285715</v>
      </c>
      <c r="L87" s="30">
        <f t="shared" si="56"/>
        <v>107.34785714285715</v>
      </c>
      <c r="M87" s="30">
        <f t="shared" si="56"/>
        <v>107.34785714285715</v>
      </c>
      <c r="N87" s="30">
        <f t="shared" si="56"/>
        <v>107.34785714285715</v>
      </c>
      <c r="O87" s="30">
        <f t="shared" si="56"/>
        <v>107.41619047619048</v>
      </c>
      <c r="P87" s="30">
        <f t="shared" si="56"/>
        <v>107.41619047619048</v>
      </c>
      <c r="Q87" s="30">
        <f t="shared" si="56"/>
        <v>107.41619047619048</v>
      </c>
      <c r="R87" s="30">
        <f t="shared" si="56"/>
        <v>107.41619047619048</v>
      </c>
      <c r="S87" s="30">
        <f t="shared" si="56"/>
        <v>107.41619047619048</v>
      </c>
      <c r="T87" s="30">
        <f t="shared" si="56"/>
        <v>107.41619047619048</v>
      </c>
      <c r="U87" s="30">
        <f t="shared" si="56"/>
        <v>107.41619047619048</v>
      </c>
      <c r="V87" s="30">
        <f t="shared" si="56"/>
        <v>107.41619047619048</v>
      </c>
      <c r="W87" s="30">
        <f t="shared" si="56"/>
        <v>107.41619047619048</v>
      </c>
      <c r="X87" s="30">
        <f t="shared" si="56"/>
        <v>107.41619047619048</v>
      </c>
      <c r="Y87" s="30">
        <f t="shared" si="56"/>
        <v>107.41619047619048</v>
      </c>
      <c r="Z87" s="30">
        <f t="shared" si="56"/>
        <v>107.41619047619048</v>
      </c>
      <c r="AA87" s="30">
        <f t="shared" si="56"/>
        <v>107.41619047619048</v>
      </c>
      <c r="AB87" s="30">
        <f t="shared" si="56"/>
        <v>107.41619047619048</v>
      </c>
      <c r="AC87" s="30">
        <f t="shared" si="56"/>
        <v>107.41619047619048</v>
      </c>
      <c r="AD87" s="30">
        <f t="shared" si="56"/>
        <v>107.41619047619048</v>
      </c>
      <c r="AE87" s="30">
        <f t="shared" si="56"/>
        <v>107.41619047619048</v>
      </c>
      <c r="AF87" s="30">
        <f t="shared" si="56"/>
        <v>107.41619047619048</v>
      </c>
      <c r="AG87" s="30">
        <f t="shared" si="56"/>
        <v>107.41619047619048</v>
      </c>
      <c r="AH87" s="30">
        <f t="shared" si="56"/>
        <v>107.41619047619048</v>
      </c>
      <c r="AI87" s="30">
        <f t="shared" si="56"/>
        <v>107.41619047619048</v>
      </c>
      <c r="AJ87" s="30">
        <f t="shared" si="56"/>
        <v>107.41619047619048</v>
      </c>
      <c r="AK87" s="30">
        <f t="shared" si="56"/>
        <v>107.41619047619048</v>
      </c>
      <c r="AL87" s="30">
        <f t="shared" si="56"/>
        <v>107.41619047619048</v>
      </c>
      <c r="AM87" s="30">
        <f t="shared" si="56"/>
        <v>107.41619047619048</v>
      </c>
      <c r="AN87" s="30">
        <f t="shared" si="56"/>
        <v>107.41619047619048</v>
      </c>
      <c r="AP87" s="30">
        <f t="shared" si="31"/>
        <v>1287.9009523809523</v>
      </c>
      <c r="AQ87" s="30">
        <f t="shared" si="32"/>
        <v>1288.9942857142853</v>
      </c>
      <c r="AR87" s="30">
        <f t="shared" si="33"/>
        <v>1288.9942857142853</v>
      </c>
    </row>
    <row r="88" spans="1:44" ht="12">
      <c r="A88" s="133" t="s">
        <v>305</v>
      </c>
      <c r="B88" s="37"/>
      <c r="C88" s="119" t="s">
        <v>314</v>
      </c>
      <c r="D88" s="114" t="s">
        <v>162</v>
      </c>
      <c r="E88" s="117">
        <v>100000</v>
      </c>
      <c r="F88" s="117">
        <v>100000</v>
      </c>
      <c r="G88" s="117">
        <v>100000</v>
      </c>
      <c r="H88" s="117">
        <v>100000</v>
      </c>
      <c r="I88" s="117">
        <v>100000</v>
      </c>
      <c r="J88" s="117">
        <v>100000</v>
      </c>
      <c r="K88" s="117">
        <v>100000</v>
      </c>
      <c r="L88" s="117">
        <v>100000</v>
      </c>
      <c r="M88" s="117">
        <v>100000</v>
      </c>
      <c r="N88" s="117">
        <v>100000</v>
      </c>
      <c r="O88" s="117">
        <v>100000</v>
      </c>
      <c r="P88" s="117">
        <v>100000</v>
      </c>
      <c r="Q88" s="117">
        <v>100000</v>
      </c>
      <c r="R88" s="117">
        <v>100000</v>
      </c>
      <c r="S88" s="117">
        <v>100000</v>
      </c>
      <c r="T88" s="117">
        <v>100000</v>
      </c>
      <c r="U88" s="117">
        <v>100000</v>
      </c>
      <c r="V88" s="117">
        <v>100000</v>
      </c>
      <c r="W88" s="117">
        <v>100000</v>
      </c>
      <c r="X88" s="117">
        <v>100000</v>
      </c>
      <c r="Y88" s="117">
        <v>100000</v>
      </c>
      <c r="Z88" s="117">
        <v>100000</v>
      </c>
      <c r="AA88" s="117">
        <v>100000</v>
      </c>
      <c r="AB88" s="117">
        <v>100000</v>
      </c>
      <c r="AC88" s="117">
        <v>100000</v>
      </c>
      <c r="AD88" s="117">
        <v>100000</v>
      </c>
      <c r="AE88" s="117">
        <v>100000</v>
      </c>
      <c r="AF88" s="117">
        <v>100000</v>
      </c>
      <c r="AG88" s="117">
        <v>100000</v>
      </c>
      <c r="AH88" s="117">
        <v>100000</v>
      </c>
      <c r="AI88" s="117">
        <v>100000</v>
      </c>
      <c r="AJ88" s="117">
        <v>100000</v>
      </c>
      <c r="AK88" s="117">
        <v>100000</v>
      </c>
      <c r="AL88" s="117">
        <v>100000</v>
      </c>
      <c r="AM88" s="117">
        <v>100000</v>
      </c>
      <c r="AN88" s="117">
        <v>100000</v>
      </c>
      <c r="AP88" s="30"/>
      <c r="AQ88" s="30"/>
      <c r="AR88" s="30"/>
    </row>
    <row r="89" spans="1:44" ht="12">
      <c r="A89" s="133" t="s">
        <v>305</v>
      </c>
      <c r="B89" s="37"/>
      <c r="C89" s="119" t="s">
        <v>325</v>
      </c>
      <c r="D89" s="114" t="s">
        <v>162</v>
      </c>
      <c r="E89" s="117">
        <f>50000*3/21</f>
        <v>7142.8571428571431</v>
      </c>
      <c r="F89" s="117">
        <f t="shared" ref="F89:AN89" si="57">50000*3/21</f>
        <v>7142.8571428571431</v>
      </c>
      <c r="G89" s="117">
        <f t="shared" si="57"/>
        <v>7142.8571428571431</v>
      </c>
      <c r="H89" s="117">
        <f t="shared" si="57"/>
        <v>7142.8571428571431</v>
      </c>
      <c r="I89" s="117">
        <f t="shared" si="57"/>
        <v>7142.8571428571431</v>
      </c>
      <c r="J89" s="117">
        <f t="shared" si="57"/>
        <v>7142.8571428571431</v>
      </c>
      <c r="K89" s="117">
        <f t="shared" si="57"/>
        <v>7142.8571428571431</v>
      </c>
      <c r="L89" s="117">
        <f t="shared" si="57"/>
        <v>7142.8571428571431</v>
      </c>
      <c r="M89" s="117">
        <f t="shared" si="57"/>
        <v>7142.8571428571431</v>
      </c>
      <c r="N89" s="117">
        <f t="shared" si="57"/>
        <v>7142.8571428571431</v>
      </c>
      <c r="O89" s="117">
        <f t="shared" si="57"/>
        <v>7142.8571428571431</v>
      </c>
      <c r="P89" s="117">
        <f t="shared" si="57"/>
        <v>7142.8571428571431</v>
      </c>
      <c r="Q89" s="117">
        <f t="shared" si="57"/>
        <v>7142.8571428571431</v>
      </c>
      <c r="R89" s="117">
        <f t="shared" si="57"/>
        <v>7142.8571428571431</v>
      </c>
      <c r="S89" s="117">
        <f t="shared" si="57"/>
        <v>7142.8571428571431</v>
      </c>
      <c r="T89" s="117">
        <f t="shared" si="57"/>
        <v>7142.8571428571431</v>
      </c>
      <c r="U89" s="117">
        <f t="shared" si="57"/>
        <v>7142.8571428571431</v>
      </c>
      <c r="V89" s="117">
        <f t="shared" si="57"/>
        <v>7142.8571428571431</v>
      </c>
      <c r="W89" s="117">
        <f t="shared" si="57"/>
        <v>7142.8571428571431</v>
      </c>
      <c r="X89" s="117">
        <f t="shared" si="57"/>
        <v>7142.8571428571431</v>
      </c>
      <c r="Y89" s="117">
        <f t="shared" si="57"/>
        <v>7142.8571428571431</v>
      </c>
      <c r="Z89" s="117">
        <f t="shared" si="57"/>
        <v>7142.8571428571431</v>
      </c>
      <c r="AA89" s="117">
        <f t="shared" si="57"/>
        <v>7142.8571428571431</v>
      </c>
      <c r="AB89" s="117">
        <f t="shared" si="57"/>
        <v>7142.8571428571431</v>
      </c>
      <c r="AC89" s="117">
        <f t="shared" si="57"/>
        <v>7142.8571428571431</v>
      </c>
      <c r="AD89" s="117">
        <f t="shared" si="57"/>
        <v>7142.8571428571431</v>
      </c>
      <c r="AE89" s="117">
        <f t="shared" si="57"/>
        <v>7142.8571428571431</v>
      </c>
      <c r="AF89" s="117">
        <f t="shared" si="57"/>
        <v>7142.8571428571431</v>
      </c>
      <c r="AG89" s="117">
        <f t="shared" si="57"/>
        <v>7142.8571428571431</v>
      </c>
      <c r="AH89" s="117">
        <f t="shared" si="57"/>
        <v>7142.8571428571431</v>
      </c>
      <c r="AI89" s="117">
        <f t="shared" si="57"/>
        <v>7142.8571428571431</v>
      </c>
      <c r="AJ89" s="117">
        <f t="shared" si="57"/>
        <v>7142.8571428571431</v>
      </c>
      <c r="AK89" s="117">
        <f t="shared" si="57"/>
        <v>7142.8571428571431</v>
      </c>
      <c r="AL89" s="117">
        <f t="shared" si="57"/>
        <v>7142.8571428571431</v>
      </c>
      <c r="AM89" s="117">
        <f t="shared" si="57"/>
        <v>7142.8571428571431</v>
      </c>
      <c r="AN89" s="117">
        <f t="shared" si="57"/>
        <v>7142.8571428571431</v>
      </c>
      <c r="AP89" s="30"/>
      <c r="AQ89" s="30"/>
      <c r="AR89" s="30"/>
    </row>
    <row r="90" spans="1:44" s="14" customFormat="1" ht="12">
      <c r="A90" s="133" t="s">
        <v>305</v>
      </c>
      <c r="B90" s="37"/>
      <c r="C90" s="115" t="s">
        <v>331</v>
      </c>
      <c r="D90" s="115" t="s">
        <v>85</v>
      </c>
      <c r="E90" s="30">
        <f>BaaS.3!D79</f>
        <v>30</v>
      </c>
      <c r="F90" s="30">
        <f>BaaS.3!E79</f>
        <v>60</v>
      </c>
      <c r="G90" s="30">
        <f>BaaS.3!F79</f>
        <v>60</v>
      </c>
      <c r="H90" s="30">
        <f>BaaS.3!G79</f>
        <v>60</v>
      </c>
      <c r="I90" s="30">
        <f>BaaS.3!H79</f>
        <v>60</v>
      </c>
      <c r="J90" s="30">
        <f>BaaS.3!I79</f>
        <v>90</v>
      </c>
      <c r="K90" s="30">
        <f>BaaS.3!J79</f>
        <v>90</v>
      </c>
      <c r="L90" s="30">
        <f>BaaS.3!K79</f>
        <v>90</v>
      </c>
      <c r="M90" s="30">
        <f>BaaS.3!L79</f>
        <v>90</v>
      </c>
      <c r="N90" s="30">
        <f>BaaS.3!M79</f>
        <v>90</v>
      </c>
      <c r="O90" s="30">
        <f>BaaS.3!N79</f>
        <v>120</v>
      </c>
      <c r="P90" s="30">
        <f>BaaS.3!O79</f>
        <v>120</v>
      </c>
      <c r="Q90" s="30">
        <f>BaaS.3!P79</f>
        <v>120</v>
      </c>
      <c r="R90" s="30">
        <f>BaaS.3!Q79</f>
        <v>120</v>
      </c>
      <c r="S90" s="30">
        <f>BaaS.3!R79</f>
        <v>120</v>
      </c>
      <c r="T90" s="30">
        <f>BaaS.3!S79</f>
        <v>120</v>
      </c>
      <c r="U90" s="30">
        <f>BaaS.3!T79</f>
        <v>120</v>
      </c>
      <c r="V90" s="30">
        <f>BaaS.3!U79</f>
        <v>120</v>
      </c>
      <c r="W90" s="30">
        <f>BaaS.3!V79</f>
        <v>120</v>
      </c>
      <c r="X90" s="30">
        <f>BaaS.3!W79</f>
        <v>120</v>
      </c>
      <c r="Y90" s="30">
        <f>BaaS.3!X79</f>
        <v>120</v>
      </c>
      <c r="Z90" s="30">
        <f>BaaS.3!Y79</f>
        <v>120</v>
      </c>
      <c r="AA90" s="30">
        <f>BaaS.3!Z79</f>
        <v>120</v>
      </c>
      <c r="AB90" s="30">
        <f>BaaS.3!AA79</f>
        <v>120</v>
      </c>
      <c r="AC90" s="30">
        <f>BaaS.3!AB79</f>
        <v>120</v>
      </c>
      <c r="AD90" s="30">
        <f>BaaS.3!AC79</f>
        <v>120</v>
      </c>
      <c r="AE90" s="30">
        <f>BaaS.3!AD79</f>
        <v>120</v>
      </c>
      <c r="AF90" s="30">
        <f>BaaS.3!AE79</f>
        <v>120</v>
      </c>
      <c r="AG90" s="30">
        <f>BaaS.3!AF79</f>
        <v>120</v>
      </c>
      <c r="AH90" s="30">
        <f>BaaS.3!AG79</f>
        <v>120</v>
      </c>
      <c r="AI90" s="30">
        <f>BaaS.3!AH79</f>
        <v>120</v>
      </c>
      <c r="AJ90" s="30">
        <f>BaaS.3!AI79</f>
        <v>120</v>
      </c>
      <c r="AK90" s="30">
        <f>BaaS.3!AJ79</f>
        <v>120</v>
      </c>
      <c r="AL90" s="30">
        <f>BaaS.3!AK79</f>
        <v>120</v>
      </c>
      <c r="AM90" s="30">
        <f>BaaS.3!AL79</f>
        <v>120</v>
      </c>
      <c r="AN90" s="30">
        <f>BaaS.3!AM79</f>
        <v>120</v>
      </c>
      <c r="AP90" s="30"/>
      <c r="AQ90" s="30"/>
      <c r="AR90" s="30"/>
    </row>
    <row r="91" spans="1:44" s="14" customFormat="1" ht="12">
      <c r="A91" s="133" t="s">
        <v>305</v>
      </c>
      <c r="B91" s="37"/>
      <c r="C91" s="38" t="s">
        <v>322</v>
      </c>
      <c r="D91" s="114" t="s">
        <v>162</v>
      </c>
      <c r="E91" s="118">
        <f>SUM(E92:E94)</f>
        <v>2.2777777777777777</v>
      </c>
      <c r="F91" s="118">
        <f t="shared" ref="F91:AN91" si="58">SUM(F92:F94)</f>
        <v>2.2777777777777777</v>
      </c>
      <c r="G91" s="118">
        <f t="shared" si="58"/>
        <v>2.2777777777777777</v>
      </c>
      <c r="H91" s="118">
        <f t="shared" si="58"/>
        <v>2.2777777777777777</v>
      </c>
      <c r="I91" s="118">
        <f t="shared" si="58"/>
        <v>2.2777777777777777</v>
      </c>
      <c r="J91" s="118">
        <f t="shared" si="58"/>
        <v>2.2777777777777777</v>
      </c>
      <c r="K91" s="118">
        <f t="shared" si="58"/>
        <v>2.2777777777777777</v>
      </c>
      <c r="L91" s="118">
        <f t="shared" si="58"/>
        <v>2.2777777777777777</v>
      </c>
      <c r="M91" s="118">
        <f t="shared" si="58"/>
        <v>2.2777777777777777</v>
      </c>
      <c r="N91" s="118">
        <f t="shared" si="58"/>
        <v>2.2777777777777777</v>
      </c>
      <c r="O91" s="118">
        <f t="shared" si="58"/>
        <v>2.2777777777777777</v>
      </c>
      <c r="P91" s="118">
        <f t="shared" si="58"/>
        <v>2.2777777777777777</v>
      </c>
      <c r="Q91" s="118">
        <f t="shared" si="58"/>
        <v>2.2777777777777777</v>
      </c>
      <c r="R91" s="118">
        <f t="shared" si="58"/>
        <v>2.2777777777777777</v>
      </c>
      <c r="S91" s="118">
        <f t="shared" si="58"/>
        <v>2.2777777777777777</v>
      </c>
      <c r="T91" s="118">
        <f t="shared" si="58"/>
        <v>2.2777777777777777</v>
      </c>
      <c r="U91" s="118">
        <f t="shared" si="58"/>
        <v>2.2777777777777777</v>
      </c>
      <c r="V91" s="118">
        <f t="shared" si="58"/>
        <v>2.2777777777777777</v>
      </c>
      <c r="W91" s="118">
        <f t="shared" si="58"/>
        <v>2.2777777777777777</v>
      </c>
      <c r="X91" s="118">
        <f t="shared" si="58"/>
        <v>2.2777777777777777</v>
      </c>
      <c r="Y91" s="118">
        <f t="shared" si="58"/>
        <v>2.2777777777777777</v>
      </c>
      <c r="Z91" s="118">
        <f t="shared" si="58"/>
        <v>2.2777777777777777</v>
      </c>
      <c r="AA91" s="118">
        <f t="shared" si="58"/>
        <v>2.2777777777777777</v>
      </c>
      <c r="AB91" s="118">
        <f t="shared" si="58"/>
        <v>2.2777777777777777</v>
      </c>
      <c r="AC91" s="118">
        <f t="shared" si="58"/>
        <v>2.2777777777777777</v>
      </c>
      <c r="AD91" s="118">
        <f t="shared" si="58"/>
        <v>2.2777777777777777</v>
      </c>
      <c r="AE91" s="118">
        <f t="shared" si="58"/>
        <v>2.2777777777777777</v>
      </c>
      <c r="AF91" s="118">
        <f t="shared" si="58"/>
        <v>2.2777777777777777</v>
      </c>
      <c r="AG91" s="118">
        <f t="shared" si="58"/>
        <v>2.2777777777777777</v>
      </c>
      <c r="AH91" s="118">
        <f t="shared" si="58"/>
        <v>2.2777777777777777</v>
      </c>
      <c r="AI91" s="118">
        <f t="shared" si="58"/>
        <v>2.2777777777777777</v>
      </c>
      <c r="AJ91" s="118">
        <f t="shared" si="58"/>
        <v>2.2777777777777777</v>
      </c>
      <c r="AK91" s="118">
        <f t="shared" si="58"/>
        <v>2.2777777777777777</v>
      </c>
      <c r="AL91" s="118">
        <f t="shared" si="58"/>
        <v>2.2777777777777777</v>
      </c>
      <c r="AM91" s="118">
        <f t="shared" si="58"/>
        <v>2.2777777777777777</v>
      </c>
      <c r="AN91" s="118">
        <f t="shared" si="58"/>
        <v>2.2777777777777777</v>
      </c>
      <c r="AP91" s="30"/>
      <c r="AQ91" s="30"/>
      <c r="AR91" s="30"/>
    </row>
    <row r="92" spans="1:44" s="14" customFormat="1" ht="12">
      <c r="A92" s="133" t="s">
        <v>305</v>
      </c>
      <c r="B92" s="37"/>
      <c r="C92" s="119" t="s">
        <v>312</v>
      </c>
      <c r="D92" s="114" t="s">
        <v>162</v>
      </c>
      <c r="E92" s="137">
        <f>2*(2/21)*40000/30000</f>
        <v>0.25396825396825395</v>
      </c>
      <c r="F92" s="137">
        <f t="shared" ref="F92:AN92" si="59">2*(2/21)*40000/30000</f>
        <v>0.25396825396825395</v>
      </c>
      <c r="G92" s="137">
        <f t="shared" si="59"/>
        <v>0.25396825396825395</v>
      </c>
      <c r="H92" s="137">
        <f t="shared" si="59"/>
        <v>0.25396825396825395</v>
      </c>
      <c r="I92" s="137">
        <f t="shared" si="59"/>
        <v>0.25396825396825395</v>
      </c>
      <c r="J92" s="137">
        <f t="shared" si="59"/>
        <v>0.25396825396825395</v>
      </c>
      <c r="K92" s="137">
        <f t="shared" si="59"/>
        <v>0.25396825396825395</v>
      </c>
      <c r="L92" s="137">
        <f t="shared" si="59"/>
        <v>0.25396825396825395</v>
      </c>
      <c r="M92" s="137">
        <f t="shared" si="59"/>
        <v>0.25396825396825395</v>
      </c>
      <c r="N92" s="137">
        <f t="shared" si="59"/>
        <v>0.25396825396825395</v>
      </c>
      <c r="O92" s="137">
        <f t="shared" si="59"/>
        <v>0.25396825396825395</v>
      </c>
      <c r="P92" s="137">
        <f t="shared" si="59"/>
        <v>0.25396825396825395</v>
      </c>
      <c r="Q92" s="137">
        <f t="shared" si="59"/>
        <v>0.25396825396825395</v>
      </c>
      <c r="R92" s="137">
        <f t="shared" si="59"/>
        <v>0.25396825396825395</v>
      </c>
      <c r="S92" s="137">
        <f t="shared" si="59"/>
        <v>0.25396825396825395</v>
      </c>
      <c r="T92" s="137">
        <f t="shared" si="59"/>
        <v>0.25396825396825395</v>
      </c>
      <c r="U92" s="137">
        <f t="shared" si="59"/>
        <v>0.25396825396825395</v>
      </c>
      <c r="V92" s="137">
        <f t="shared" si="59"/>
        <v>0.25396825396825395</v>
      </c>
      <c r="W92" s="137">
        <f t="shared" si="59"/>
        <v>0.25396825396825395</v>
      </c>
      <c r="X92" s="137">
        <f t="shared" si="59"/>
        <v>0.25396825396825395</v>
      </c>
      <c r="Y92" s="137">
        <f t="shared" si="59"/>
        <v>0.25396825396825395</v>
      </c>
      <c r="Z92" s="137">
        <f t="shared" si="59"/>
        <v>0.25396825396825395</v>
      </c>
      <c r="AA92" s="137">
        <f t="shared" si="59"/>
        <v>0.25396825396825395</v>
      </c>
      <c r="AB92" s="137">
        <f t="shared" si="59"/>
        <v>0.25396825396825395</v>
      </c>
      <c r="AC92" s="137">
        <f t="shared" si="59"/>
        <v>0.25396825396825395</v>
      </c>
      <c r="AD92" s="137">
        <f t="shared" si="59"/>
        <v>0.25396825396825395</v>
      </c>
      <c r="AE92" s="137">
        <f t="shared" si="59"/>
        <v>0.25396825396825395</v>
      </c>
      <c r="AF92" s="137">
        <f t="shared" si="59"/>
        <v>0.25396825396825395</v>
      </c>
      <c r="AG92" s="137">
        <f t="shared" si="59"/>
        <v>0.25396825396825395</v>
      </c>
      <c r="AH92" s="137">
        <f t="shared" si="59"/>
        <v>0.25396825396825395</v>
      </c>
      <c r="AI92" s="137">
        <f t="shared" si="59"/>
        <v>0.25396825396825395</v>
      </c>
      <c r="AJ92" s="137">
        <f t="shared" si="59"/>
        <v>0.25396825396825395</v>
      </c>
      <c r="AK92" s="137">
        <f t="shared" si="59"/>
        <v>0.25396825396825395</v>
      </c>
      <c r="AL92" s="137">
        <f t="shared" si="59"/>
        <v>0.25396825396825395</v>
      </c>
      <c r="AM92" s="137">
        <f t="shared" si="59"/>
        <v>0.25396825396825395</v>
      </c>
      <c r="AN92" s="137">
        <f t="shared" si="59"/>
        <v>0.25396825396825395</v>
      </c>
      <c r="AP92" s="30"/>
      <c r="AQ92" s="30"/>
      <c r="AR92" s="30"/>
    </row>
    <row r="93" spans="1:44" s="14" customFormat="1" ht="12">
      <c r="A93" s="133" t="s">
        <v>305</v>
      </c>
      <c r="B93" s="37"/>
      <c r="C93" s="119" t="s">
        <v>313</v>
      </c>
      <c r="D93" s="114" t="s">
        <v>162</v>
      </c>
      <c r="E93" s="137">
        <f>2*(5/21)*40000/30000</f>
        <v>0.63492063492063489</v>
      </c>
      <c r="F93" s="137">
        <f t="shared" ref="F93:AN93" si="60">2*(5/21)*40000/30000</f>
        <v>0.63492063492063489</v>
      </c>
      <c r="G93" s="137">
        <f t="shared" si="60"/>
        <v>0.63492063492063489</v>
      </c>
      <c r="H93" s="137">
        <f t="shared" si="60"/>
        <v>0.63492063492063489</v>
      </c>
      <c r="I93" s="137">
        <f t="shared" si="60"/>
        <v>0.63492063492063489</v>
      </c>
      <c r="J93" s="137">
        <f t="shared" si="60"/>
        <v>0.63492063492063489</v>
      </c>
      <c r="K93" s="137">
        <f t="shared" si="60"/>
        <v>0.63492063492063489</v>
      </c>
      <c r="L93" s="137">
        <f t="shared" si="60"/>
        <v>0.63492063492063489</v>
      </c>
      <c r="M93" s="137">
        <f t="shared" si="60"/>
        <v>0.63492063492063489</v>
      </c>
      <c r="N93" s="137">
        <f t="shared" si="60"/>
        <v>0.63492063492063489</v>
      </c>
      <c r="O93" s="137">
        <f t="shared" si="60"/>
        <v>0.63492063492063489</v>
      </c>
      <c r="P93" s="137">
        <f t="shared" si="60"/>
        <v>0.63492063492063489</v>
      </c>
      <c r="Q93" s="137">
        <f t="shared" si="60"/>
        <v>0.63492063492063489</v>
      </c>
      <c r="R93" s="137">
        <f t="shared" si="60"/>
        <v>0.63492063492063489</v>
      </c>
      <c r="S93" s="137">
        <f t="shared" si="60"/>
        <v>0.63492063492063489</v>
      </c>
      <c r="T93" s="137">
        <f t="shared" si="60"/>
        <v>0.63492063492063489</v>
      </c>
      <c r="U93" s="137">
        <f t="shared" si="60"/>
        <v>0.63492063492063489</v>
      </c>
      <c r="V93" s="137">
        <f t="shared" si="60"/>
        <v>0.63492063492063489</v>
      </c>
      <c r="W93" s="137">
        <f t="shared" si="60"/>
        <v>0.63492063492063489</v>
      </c>
      <c r="X93" s="137">
        <f t="shared" si="60"/>
        <v>0.63492063492063489</v>
      </c>
      <c r="Y93" s="137">
        <f t="shared" si="60"/>
        <v>0.63492063492063489</v>
      </c>
      <c r="Z93" s="137">
        <f t="shared" si="60"/>
        <v>0.63492063492063489</v>
      </c>
      <c r="AA93" s="137">
        <f t="shared" si="60"/>
        <v>0.63492063492063489</v>
      </c>
      <c r="AB93" s="137">
        <f t="shared" si="60"/>
        <v>0.63492063492063489</v>
      </c>
      <c r="AC93" s="137">
        <f t="shared" si="60"/>
        <v>0.63492063492063489</v>
      </c>
      <c r="AD93" s="137">
        <f t="shared" si="60"/>
        <v>0.63492063492063489</v>
      </c>
      <c r="AE93" s="137">
        <f t="shared" si="60"/>
        <v>0.63492063492063489</v>
      </c>
      <c r="AF93" s="137">
        <f t="shared" si="60"/>
        <v>0.63492063492063489</v>
      </c>
      <c r="AG93" s="137">
        <f t="shared" si="60"/>
        <v>0.63492063492063489</v>
      </c>
      <c r="AH93" s="137">
        <f t="shared" si="60"/>
        <v>0.63492063492063489</v>
      </c>
      <c r="AI93" s="137">
        <f t="shared" si="60"/>
        <v>0.63492063492063489</v>
      </c>
      <c r="AJ93" s="137">
        <f t="shared" si="60"/>
        <v>0.63492063492063489</v>
      </c>
      <c r="AK93" s="137">
        <f t="shared" si="60"/>
        <v>0.63492063492063489</v>
      </c>
      <c r="AL93" s="137">
        <f t="shared" si="60"/>
        <v>0.63492063492063489</v>
      </c>
      <c r="AM93" s="137">
        <f t="shared" si="60"/>
        <v>0.63492063492063489</v>
      </c>
      <c r="AN93" s="137">
        <f t="shared" si="60"/>
        <v>0.63492063492063489</v>
      </c>
      <c r="AP93" s="30"/>
      <c r="AQ93" s="30"/>
      <c r="AR93" s="30"/>
    </row>
    <row r="94" spans="1:44" s="14" customFormat="1" ht="12">
      <c r="A94" s="133" t="s">
        <v>305</v>
      </c>
      <c r="B94" s="37"/>
      <c r="C94" s="119" t="s">
        <v>315</v>
      </c>
      <c r="D94" s="114" t="s">
        <v>162</v>
      </c>
      <c r="E94" s="137">
        <f>10*2.5/21*35000/30000</f>
        <v>1.3888888888888888</v>
      </c>
      <c r="F94" s="137">
        <f t="shared" ref="F94:AN94" si="61">10*2.5/21*35000/30000</f>
        <v>1.3888888888888888</v>
      </c>
      <c r="G94" s="137">
        <f t="shared" si="61"/>
        <v>1.3888888888888888</v>
      </c>
      <c r="H94" s="137">
        <f t="shared" si="61"/>
        <v>1.3888888888888888</v>
      </c>
      <c r="I94" s="137">
        <f t="shared" si="61"/>
        <v>1.3888888888888888</v>
      </c>
      <c r="J94" s="137">
        <f t="shared" si="61"/>
        <v>1.3888888888888888</v>
      </c>
      <c r="K94" s="137">
        <f t="shared" si="61"/>
        <v>1.3888888888888888</v>
      </c>
      <c r="L94" s="137">
        <f t="shared" si="61"/>
        <v>1.3888888888888888</v>
      </c>
      <c r="M94" s="137">
        <f t="shared" si="61"/>
        <v>1.3888888888888888</v>
      </c>
      <c r="N94" s="137">
        <f t="shared" si="61"/>
        <v>1.3888888888888888</v>
      </c>
      <c r="O94" s="137">
        <f t="shared" si="61"/>
        <v>1.3888888888888888</v>
      </c>
      <c r="P94" s="137">
        <f t="shared" si="61"/>
        <v>1.3888888888888888</v>
      </c>
      <c r="Q94" s="137">
        <f t="shared" si="61"/>
        <v>1.3888888888888888</v>
      </c>
      <c r="R94" s="137">
        <f t="shared" si="61"/>
        <v>1.3888888888888888</v>
      </c>
      <c r="S94" s="137">
        <f t="shared" si="61"/>
        <v>1.3888888888888888</v>
      </c>
      <c r="T94" s="137">
        <f t="shared" si="61"/>
        <v>1.3888888888888888</v>
      </c>
      <c r="U94" s="137">
        <f t="shared" si="61"/>
        <v>1.3888888888888888</v>
      </c>
      <c r="V94" s="137">
        <f t="shared" si="61"/>
        <v>1.3888888888888888</v>
      </c>
      <c r="W94" s="137">
        <f t="shared" si="61"/>
        <v>1.3888888888888888</v>
      </c>
      <c r="X94" s="137">
        <f t="shared" si="61"/>
        <v>1.3888888888888888</v>
      </c>
      <c r="Y94" s="137">
        <f t="shared" si="61"/>
        <v>1.3888888888888888</v>
      </c>
      <c r="Z94" s="137">
        <f t="shared" si="61"/>
        <v>1.3888888888888888</v>
      </c>
      <c r="AA94" s="137">
        <f t="shared" si="61"/>
        <v>1.3888888888888888</v>
      </c>
      <c r="AB94" s="137">
        <f t="shared" si="61"/>
        <v>1.3888888888888888</v>
      </c>
      <c r="AC94" s="137">
        <f t="shared" si="61"/>
        <v>1.3888888888888888</v>
      </c>
      <c r="AD94" s="137">
        <f t="shared" si="61"/>
        <v>1.3888888888888888</v>
      </c>
      <c r="AE94" s="137">
        <f t="shared" si="61"/>
        <v>1.3888888888888888</v>
      </c>
      <c r="AF94" s="137">
        <f t="shared" si="61"/>
        <v>1.3888888888888888</v>
      </c>
      <c r="AG94" s="137">
        <f t="shared" si="61"/>
        <v>1.3888888888888888</v>
      </c>
      <c r="AH94" s="137">
        <f t="shared" si="61"/>
        <v>1.3888888888888888</v>
      </c>
      <c r="AI94" s="137">
        <f t="shared" si="61"/>
        <v>1.3888888888888888</v>
      </c>
      <c r="AJ94" s="137">
        <f t="shared" si="61"/>
        <v>1.3888888888888888</v>
      </c>
      <c r="AK94" s="137">
        <f t="shared" si="61"/>
        <v>1.3888888888888888</v>
      </c>
      <c r="AL94" s="137">
        <f t="shared" si="61"/>
        <v>1.3888888888888888</v>
      </c>
      <c r="AM94" s="137">
        <f t="shared" si="61"/>
        <v>1.3888888888888888</v>
      </c>
      <c r="AN94" s="137">
        <f t="shared" si="61"/>
        <v>1.3888888888888888</v>
      </c>
      <c r="AP94" s="30"/>
      <c r="AQ94" s="30"/>
      <c r="AR94" s="30"/>
    </row>
    <row r="95" spans="1:44" ht="12">
      <c r="A95" s="37" t="s">
        <v>136</v>
      </c>
      <c r="B95" s="37" t="s">
        <v>332</v>
      </c>
      <c r="C95" s="38" t="s">
        <v>42</v>
      </c>
      <c r="D95" s="115" t="s">
        <v>254</v>
      </c>
      <c r="E95" s="30">
        <f>SUM(E96:E97)/1000</f>
        <v>107.14285714285714</v>
      </c>
      <c r="F95" s="30">
        <f t="shared" ref="F95:AN95" si="62">SUM(F96:F97)/1000</f>
        <v>107.14285714285714</v>
      </c>
      <c r="G95" s="30">
        <f t="shared" si="62"/>
        <v>107.14285714285714</v>
      </c>
      <c r="H95" s="30">
        <f t="shared" si="62"/>
        <v>107.14285714285714</v>
      </c>
      <c r="I95" s="30">
        <f t="shared" si="62"/>
        <v>107.14285714285714</v>
      </c>
      <c r="J95" s="30">
        <f t="shared" si="62"/>
        <v>107.14285714285714</v>
      </c>
      <c r="K95" s="30">
        <f t="shared" si="62"/>
        <v>107.14285714285714</v>
      </c>
      <c r="L95" s="30">
        <f t="shared" si="62"/>
        <v>107.14285714285714</v>
      </c>
      <c r="M95" s="30">
        <f t="shared" si="62"/>
        <v>107.14285714285714</v>
      </c>
      <c r="N95" s="30">
        <f t="shared" si="62"/>
        <v>107.14285714285714</v>
      </c>
      <c r="O95" s="30">
        <f t="shared" si="62"/>
        <v>107.14285714285714</v>
      </c>
      <c r="P95" s="30">
        <f t="shared" si="62"/>
        <v>107.14285714285714</v>
      </c>
      <c r="Q95" s="30">
        <f t="shared" si="62"/>
        <v>107.14285714285714</v>
      </c>
      <c r="R95" s="30">
        <f t="shared" si="62"/>
        <v>107.14285714285714</v>
      </c>
      <c r="S95" s="30">
        <f t="shared" si="62"/>
        <v>107.14285714285714</v>
      </c>
      <c r="T95" s="30">
        <f t="shared" si="62"/>
        <v>107.14285714285714</v>
      </c>
      <c r="U95" s="30">
        <f t="shared" si="62"/>
        <v>107.14285714285714</v>
      </c>
      <c r="V95" s="30">
        <f t="shared" si="62"/>
        <v>107.14285714285714</v>
      </c>
      <c r="W95" s="30">
        <f t="shared" si="62"/>
        <v>107.14285714285714</v>
      </c>
      <c r="X95" s="30">
        <f t="shared" si="62"/>
        <v>107.14285714285714</v>
      </c>
      <c r="Y95" s="30">
        <f t="shared" si="62"/>
        <v>107.14285714285714</v>
      </c>
      <c r="Z95" s="30">
        <f t="shared" si="62"/>
        <v>107.14285714285714</v>
      </c>
      <c r="AA95" s="30">
        <f t="shared" si="62"/>
        <v>107.14285714285714</v>
      </c>
      <c r="AB95" s="30">
        <f t="shared" si="62"/>
        <v>107.14285714285714</v>
      </c>
      <c r="AC95" s="30">
        <f t="shared" si="62"/>
        <v>107.14285714285714</v>
      </c>
      <c r="AD95" s="30">
        <f t="shared" si="62"/>
        <v>107.14285714285714</v>
      </c>
      <c r="AE95" s="30">
        <f t="shared" si="62"/>
        <v>107.14285714285714</v>
      </c>
      <c r="AF95" s="30">
        <f t="shared" si="62"/>
        <v>107.14285714285714</v>
      </c>
      <c r="AG95" s="30">
        <f t="shared" si="62"/>
        <v>107.14285714285714</v>
      </c>
      <c r="AH95" s="30">
        <f t="shared" si="62"/>
        <v>107.14285714285714</v>
      </c>
      <c r="AI95" s="30">
        <f t="shared" si="62"/>
        <v>107.14285714285714</v>
      </c>
      <c r="AJ95" s="30">
        <f t="shared" si="62"/>
        <v>107.14285714285714</v>
      </c>
      <c r="AK95" s="30">
        <f t="shared" si="62"/>
        <v>107.14285714285714</v>
      </c>
      <c r="AL95" s="30">
        <f t="shared" si="62"/>
        <v>107.14285714285714</v>
      </c>
      <c r="AM95" s="30">
        <f t="shared" si="62"/>
        <v>107.14285714285714</v>
      </c>
      <c r="AN95" s="30">
        <f t="shared" si="62"/>
        <v>107.14285714285714</v>
      </c>
      <c r="AP95" s="30">
        <f t="shared" si="31"/>
        <v>1285.7142857142856</v>
      </c>
      <c r="AQ95" s="30">
        <f t="shared" si="32"/>
        <v>1285.7142857142856</v>
      </c>
      <c r="AR95" s="30">
        <f t="shared" si="33"/>
        <v>1285.7142857142856</v>
      </c>
    </row>
    <row r="96" spans="1:44" ht="12">
      <c r="A96" s="37" t="s">
        <v>136</v>
      </c>
      <c r="B96" s="37"/>
      <c r="C96" s="119" t="s">
        <v>302</v>
      </c>
      <c r="D96" s="114" t="s">
        <v>162</v>
      </c>
      <c r="E96" s="117">
        <v>100000</v>
      </c>
      <c r="F96" s="117">
        <v>100000</v>
      </c>
      <c r="G96" s="117">
        <v>100000</v>
      </c>
      <c r="H96" s="117">
        <v>100000</v>
      </c>
      <c r="I96" s="117">
        <v>100000</v>
      </c>
      <c r="J96" s="117">
        <v>100000</v>
      </c>
      <c r="K96" s="117">
        <v>100000</v>
      </c>
      <c r="L96" s="117">
        <v>100000</v>
      </c>
      <c r="M96" s="117">
        <v>100000</v>
      </c>
      <c r="N96" s="117">
        <v>100000</v>
      </c>
      <c r="O96" s="117">
        <v>100000</v>
      </c>
      <c r="P96" s="117">
        <v>100000</v>
      </c>
      <c r="Q96" s="117">
        <v>100000</v>
      </c>
      <c r="R96" s="117">
        <v>100000</v>
      </c>
      <c r="S96" s="117">
        <v>100000</v>
      </c>
      <c r="T96" s="117">
        <v>100000</v>
      </c>
      <c r="U96" s="117">
        <v>100000</v>
      </c>
      <c r="V96" s="117">
        <v>100000</v>
      </c>
      <c r="W96" s="117">
        <v>100000</v>
      </c>
      <c r="X96" s="117">
        <v>100000</v>
      </c>
      <c r="Y96" s="117">
        <v>100000</v>
      </c>
      <c r="Z96" s="117">
        <v>100000</v>
      </c>
      <c r="AA96" s="117">
        <v>100000</v>
      </c>
      <c r="AB96" s="117">
        <v>100000</v>
      </c>
      <c r="AC96" s="117">
        <v>100000</v>
      </c>
      <c r="AD96" s="117">
        <v>100000</v>
      </c>
      <c r="AE96" s="117">
        <v>100000</v>
      </c>
      <c r="AF96" s="117">
        <v>100000</v>
      </c>
      <c r="AG96" s="117">
        <v>100000</v>
      </c>
      <c r="AH96" s="117">
        <v>100000</v>
      </c>
      <c r="AI96" s="117">
        <v>100000</v>
      </c>
      <c r="AJ96" s="117">
        <v>100000</v>
      </c>
      <c r="AK96" s="117">
        <v>100000</v>
      </c>
      <c r="AL96" s="117">
        <v>100000</v>
      </c>
      <c r="AM96" s="117">
        <v>100000</v>
      </c>
      <c r="AN96" s="117">
        <v>100000</v>
      </c>
      <c r="AP96" s="30"/>
      <c r="AQ96" s="30"/>
      <c r="AR96" s="30"/>
    </row>
    <row r="97" spans="1:44" ht="12">
      <c r="A97" s="37" t="s">
        <v>136</v>
      </c>
      <c r="B97" s="37"/>
      <c r="C97" s="119" t="s">
        <v>300</v>
      </c>
      <c r="D97" s="114" t="s">
        <v>162</v>
      </c>
      <c r="E97" s="117">
        <f>50000*3/21</f>
        <v>7142.8571428571431</v>
      </c>
      <c r="F97" s="117">
        <f t="shared" ref="F97:AN97" si="63">50000*3/21</f>
        <v>7142.8571428571431</v>
      </c>
      <c r="G97" s="117">
        <f t="shared" si="63"/>
        <v>7142.8571428571431</v>
      </c>
      <c r="H97" s="117">
        <f t="shared" si="63"/>
        <v>7142.8571428571431</v>
      </c>
      <c r="I97" s="117">
        <f t="shared" si="63"/>
        <v>7142.8571428571431</v>
      </c>
      <c r="J97" s="117">
        <f t="shared" si="63"/>
        <v>7142.8571428571431</v>
      </c>
      <c r="K97" s="117">
        <f t="shared" si="63"/>
        <v>7142.8571428571431</v>
      </c>
      <c r="L97" s="117">
        <f t="shared" si="63"/>
        <v>7142.8571428571431</v>
      </c>
      <c r="M97" s="117">
        <f t="shared" si="63"/>
        <v>7142.8571428571431</v>
      </c>
      <c r="N97" s="117">
        <f t="shared" si="63"/>
        <v>7142.8571428571431</v>
      </c>
      <c r="O97" s="117">
        <f t="shared" si="63"/>
        <v>7142.8571428571431</v>
      </c>
      <c r="P97" s="117">
        <f t="shared" si="63"/>
        <v>7142.8571428571431</v>
      </c>
      <c r="Q97" s="117">
        <f t="shared" si="63"/>
        <v>7142.8571428571431</v>
      </c>
      <c r="R97" s="117">
        <f t="shared" si="63"/>
        <v>7142.8571428571431</v>
      </c>
      <c r="S97" s="117">
        <f t="shared" si="63"/>
        <v>7142.8571428571431</v>
      </c>
      <c r="T97" s="117">
        <f t="shared" si="63"/>
        <v>7142.8571428571431</v>
      </c>
      <c r="U97" s="117">
        <f t="shared" si="63"/>
        <v>7142.8571428571431</v>
      </c>
      <c r="V97" s="117">
        <f t="shared" si="63"/>
        <v>7142.8571428571431</v>
      </c>
      <c r="W97" s="117">
        <f t="shared" si="63"/>
        <v>7142.8571428571431</v>
      </c>
      <c r="X97" s="117">
        <f t="shared" si="63"/>
        <v>7142.8571428571431</v>
      </c>
      <c r="Y97" s="117">
        <f t="shared" si="63"/>
        <v>7142.8571428571431</v>
      </c>
      <c r="Z97" s="117">
        <f t="shared" si="63"/>
        <v>7142.8571428571431</v>
      </c>
      <c r="AA97" s="117">
        <f t="shared" si="63"/>
        <v>7142.8571428571431</v>
      </c>
      <c r="AB97" s="117">
        <f t="shared" si="63"/>
        <v>7142.8571428571431</v>
      </c>
      <c r="AC97" s="117">
        <f t="shared" si="63"/>
        <v>7142.8571428571431</v>
      </c>
      <c r="AD97" s="117">
        <f t="shared" si="63"/>
        <v>7142.8571428571431</v>
      </c>
      <c r="AE97" s="117">
        <f t="shared" si="63"/>
        <v>7142.8571428571431</v>
      </c>
      <c r="AF97" s="117">
        <f t="shared" si="63"/>
        <v>7142.8571428571431</v>
      </c>
      <c r="AG97" s="117">
        <f t="shared" si="63"/>
        <v>7142.8571428571431</v>
      </c>
      <c r="AH97" s="117">
        <f t="shared" si="63"/>
        <v>7142.8571428571431</v>
      </c>
      <c r="AI97" s="117">
        <f t="shared" si="63"/>
        <v>7142.8571428571431</v>
      </c>
      <c r="AJ97" s="117">
        <f t="shared" si="63"/>
        <v>7142.8571428571431</v>
      </c>
      <c r="AK97" s="117">
        <f t="shared" si="63"/>
        <v>7142.8571428571431</v>
      </c>
      <c r="AL97" s="117">
        <f t="shared" si="63"/>
        <v>7142.8571428571431</v>
      </c>
      <c r="AM97" s="117">
        <f t="shared" si="63"/>
        <v>7142.8571428571431</v>
      </c>
      <c r="AN97" s="117">
        <f t="shared" si="63"/>
        <v>7142.8571428571431</v>
      </c>
      <c r="AP97" s="30"/>
      <c r="AQ97" s="30"/>
      <c r="AR97" s="30"/>
    </row>
    <row r="98" spans="1:44" ht="12">
      <c r="A98" s="37" t="s">
        <v>137</v>
      </c>
      <c r="B98" s="37" t="s">
        <v>332</v>
      </c>
      <c r="C98" s="38" t="s">
        <v>42</v>
      </c>
      <c r="D98" s="115" t="s">
        <v>254</v>
      </c>
      <c r="E98" s="30">
        <f>SUM(E99:E100)/1000</f>
        <v>107.14285714285714</v>
      </c>
      <c r="F98" s="30">
        <f t="shared" ref="F98:AN98" si="64">SUM(F99:F100)/1000</f>
        <v>107.14285714285714</v>
      </c>
      <c r="G98" s="30">
        <f t="shared" si="64"/>
        <v>107.14285714285714</v>
      </c>
      <c r="H98" s="30">
        <f t="shared" si="64"/>
        <v>107.14285714285714</v>
      </c>
      <c r="I98" s="30">
        <f t="shared" si="64"/>
        <v>107.14285714285714</v>
      </c>
      <c r="J98" s="30">
        <f t="shared" si="64"/>
        <v>107.14285714285714</v>
      </c>
      <c r="K98" s="30">
        <f t="shared" si="64"/>
        <v>107.14285714285714</v>
      </c>
      <c r="L98" s="30">
        <f t="shared" si="64"/>
        <v>107.14285714285714</v>
      </c>
      <c r="M98" s="30">
        <f t="shared" si="64"/>
        <v>107.14285714285714</v>
      </c>
      <c r="N98" s="30">
        <f t="shared" si="64"/>
        <v>107.14285714285714</v>
      </c>
      <c r="O98" s="30">
        <f t="shared" si="64"/>
        <v>107.14285714285714</v>
      </c>
      <c r="P98" s="30">
        <f t="shared" si="64"/>
        <v>107.14285714285714</v>
      </c>
      <c r="Q98" s="30">
        <f t="shared" si="64"/>
        <v>107.14285714285714</v>
      </c>
      <c r="R98" s="30">
        <f t="shared" si="64"/>
        <v>107.14285714285714</v>
      </c>
      <c r="S98" s="30">
        <f t="shared" si="64"/>
        <v>107.14285714285714</v>
      </c>
      <c r="T98" s="30">
        <f t="shared" si="64"/>
        <v>107.14285714285714</v>
      </c>
      <c r="U98" s="30">
        <f t="shared" si="64"/>
        <v>107.14285714285714</v>
      </c>
      <c r="V98" s="30">
        <f t="shared" si="64"/>
        <v>107.14285714285714</v>
      </c>
      <c r="W98" s="30">
        <f t="shared" si="64"/>
        <v>107.14285714285714</v>
      </c>
      <c r="X98" s="30">
        <f t="shared" si="64"/>
        <v>107.14285714285714</v>
      </c>
      <c r="Y98" s="30">
        <f t="shared" si="64"/>
        <v>107.14285714285714</v>
      </c>
      <c r="Z98" s="30">
        <f t="shared" si="64"/>
        <v>107.14285714285714</v>
      </c>
      <c r="AA98" s="30">
        <f t="shared" si="64"/>
        <v>107.14285714285714</v>
      </c>
      <c r="AB98" s="30">
        <f t="shared" si="64"/>
        <v>107.14285714285714</v>
      </c>
      <c r="AC98" s="30">
        <f t="shared" si="64"/>
        <v>107.14285714285714</v>
      </c>
      <c r="AD98" s="30">
        <f t="shared" si="64"/>
        <v>107.14285714285714</v>
      </c>
      <c r="AE98" s="30">
        <f t="shared" si="64"/>
        <v>107.14285714285714</v>
      </c>
      <c r="AF98" s="30">
        <f t="shared" si="64"/>
        <v>107.14285714285714</v>
      </c>
      <c r="AG98" s="30">
        <f t="shared" si="64"/>
        <v>107.14285714285714</v>
      </c>
      <c r="AH98" s="30">
        <f t="shared" si="64"/>
        <v>107.14285714285714</v>
      </c>
      <c r="AI98" s="30">
        <f t="shared" si="64"/>
        <v>107.14285714285714</v>
      </c>
      <c r="AJ98" s="30">
        <f t="shared" si="64"/>
        <v>107.14285714285714</v>
      </c>
      <c r="AK98" s="30">
        <f t="shared" si="64"/>
        <v>107.14285714285714</v>
      </c>
      <c r="AL98" s="30">
        <f t="shared" si="64"/>
        <v>107.14285714285714</v>
      </c>
      <c r="AM98" s="30">
        <f t="shared" si="64"/>
        <v>107.14285714285714</v>
      </c>
      <c r="AN98" s="30">
        <f t="shared" si="64"/>
        <v>107.14285714285714</v>
      </c>
      <c r="AP98" s="30">
        <f t="shared" si="31"/>
        <v>1285.7142857142856</v>
      </c>
      <c r="AQ98" s="30">
        <f t="shared" si="32"/>
        <v>1285.7142857142856</v>
      </c>
      <c r="AR98" s="30">
        <f t="shared" si="33"/>
        <v>1285.7142857142856</v>
      </c>
    </row>
    <row r="99" spans="1:44" ht="12">
      <c r="A99" s="37" t="s">
        <v>137</v>
      </c>
      <c r="B99" s="37"/>
      <c r="C99" s="119" t="s">
        <v>303</v>
      </c>
      <c r="D99" s="114" t="s">
        <v>162</v>
      </c>
      <c r="E99" s="117">
        <v>100000</v>
      </c>
      <c r="F99" s="117">
        <v>100000</v>
      </c>
      <c r="G99" s="117">
        <v>100000</v>
      </c>
      <c r="H99" s="117">
        <v>100000</v>
      </c>
      <c r="I99" s="117">
        <v>100000</v>
      </c>
      <c r="J99" s="117">
        <v>100000</v>
      </c>
      <c r="K99" s="117">
        <v>100000</v>
      </c>
      <c r="L99" s="117">
        <v>100000</v>
      </c>
      <c r="M99" s="117">
        <v>100000</v>
      </c>
      <c r="N99" s="117">
        <v>100000</v>
      </c>
      <c r="O99" s="117">
        <v>100000</v>
      </c>
      <c r="P99" s="117">
        <v>100000</v>
      </c>
      <c r="Q99" s="117">
        <v>100000</v>
      </c>
      <c r="R99" s="117">
        <v>100000</v>
      </c>
      <c r="S99" s="117">
        <v>100000</v>
      </c>
      <c r="T99" s="117">
        <v>100000</v>
      </c>
      <c r="U99" s="117">
        <v>100000</v>
      </c>
      <c r="V99" s="117">
        <v>100000</v>
      </c>
      <c r="W99" s="117">
        <v>100000</v>
      </c>
      <c r="X99" s="117">
        <v>100000</v>
      </c>
      <c r="Y99" s="117">
        <v>100000</v>
      </c>
      <c r="Z99" s="117">
        <v>100000</v>
      </c>
      <c r="AA99" s="117">
        <v>100000</v>
      </c>
      <c r="AB99" s="117">
        <v>100000</v>
      </c>
      <c r="AC99" s="117">
        <v>100000</v>
      </c>
      <c r="AD99" s="117">
        <v>100000</v>
      </c>
      <c r="AE99" s="117">
        <v>100000</v>
      </c>
      <c r="AF99" s="117">
        <v>100000</v>
      </c>
      <c r="AG99" s="117">
        <v>100000</v>
      </c>
      <c r="AH99" s="117">
        <v>100000</v>
      </c>
      <c r="AI99" s="117">
        <v>100000</v>
      </c>
      <c r="AJ99" s="117">
        <v>100000</v>
      </c>
      <c r="AK99" s="117">
        <v>100000</v>
      </c>
      <c r="AL99" s="117">
        <v>100000</v>
      </c>
      <c r="AM99" s="117">
        <v>100000</v>
      </c>
      <c r="AN99" s="117">
        <v>100000</v>
      </c>
      <c r="AP99" s="30"/>
      <c r="AQ99" s="30"/>
      <c r="AR99" s="30"/>
    </row>
    <row r="100" spans="1:44" ht="12">
      <c r="A100" s="37" t="s">
        <v>137</v>
      </c>
      <c r="B100" s="37"/>
      <c r="C100" s="119" t="s">
        <v>300</v>
      </c>
      <c r="D100" s="114" t="s">
        <v>162</v>
      </c>
      <c r="E100" s="117">
        <f>50000*3/21</f>
        <v>7142.8571428571431</v>
      </c>
      <c r="F100" s="117">
        <f t="shared" ref="F100:AN100" si="65">50000*3/21</f>
        <v>7142.8571428571431</v>
      </c>
      <c r="G100" s="117">
        <f t="shared" si="65"/>
        <v>7142.8571428571431</v>
      </c>
      <c r="H100" s="117">
        <f t="shared" si="65"/>
        <v>7142.8571428571431</v>
      </c>
      <c r="I100" s="117">
        <f t="shared" si="65"/>
        <v>7142.8571428571431</v>
      </c>
      <c r="J100" s="117">
        <f t="shared" si="65"/>
        <v>7142.8571428571431</v>
      </c>
      <c r="K100" s="117">
        <f t="shared" si="65"/>
        <v>7142.8571428571431</v>
      </c>
      <c r="L100" s="117">
        <f t="shared" si="65"/>
        <v>7142.8571428571431</v>
      </c>
      <c r="M100" s="117">
        <f t="shared" si="65"/>
        <v>7142.8571428571431</v>
      </c>
      <c r="N100" s="117">
        <f t="shared" si="65"/>
        <v>7142.8571428571431</v>
      </c>
      <c r="O100" s="117">
        <f t="shared" si="65"/>
        <v>7142.8571428571431</v>
      </c>
      <c r="P100" s="117">
        <f t="shared" si="65"/>
        <v>7142.8571428571431</v>
      </c>
      <c r="Q100" s="117">
        <f t="shared" si="65"/>
        <v>7142.8571428571431</v>
      </c>
      <c r="R100" s="117">
        <f t="shared" si="65"/>
        <v>7142.8571428571431</v>
      </c>
      <c r="S100" s="117">
        <f t="shared" si="65"/>
        <v>7142.8571428571431</v>
      </c>
      <c r="T100" s="117">
        <f t="shared" si="65"/>
        <v>7142.8571428571431</v>
      </c>
      <c r="U100" s="117">
        <f t="shared" si="65"/>
        <v>7142.8571428571431</v>
      </c>
      <c r="V100" s="117">
        <f t="shared" si="65"/>
        <v>7142.8571428571431</v>
      </c>
      <c r="W100" s="117">
        <f t="shared" si="65"/>
        <v>7142.8571428571431</v>
      </c>
      <c r="X100" s="117">
        <f t="shared" si="65"/>
        <v>7142.8571428571431</v>
      </c>
      <c r="Y100" s="117">
        <f t="shared" si="65"/>
        <v>7142.8571428571431</v>
      </c>
      <c r="Z100" s="117">
        <f t="shared" si="65"/>
        <v>7142.8571428571431</v>
      </c>
      <c r="AA100" s="117">
        <f t="shared" si="65"/>
        <v>7142.8571428571431</v>
      </c>
      <c r="AB100" s="117">
        <f t="shared" si="65"/>
        <v>7142.8571428571431</v>
      </c>
      <c r="AC100" s="117">
        <f t="shared" si="65"/>
        <v>7142.8571428571431</v>
      </c>
      <c r="AD100" s="117">
        <f t="shared" si="65"/>
        <v>7142.8571428571431</v>
      </c>
      <c r="AE100" s="117">
        <f t="shared" si="65"/>
        <v>7142.8571428571431</v>
      </c>
      <c r="AF100" s="117">
        <f t="shared" si="65"/>
        <v>7142.8571428571431</v>
      </c>
      <c r="AG100" s="117">
        <f t="shared" si="65"/>
        <v>7142.8571428571431</v>
      </c>
      <c r="AH100" s="117">
        <f t="shared" si="65"/>
        <v>7142.8571428571431</v>
      </c>
      <c r="AI100" s="117">
        <f t="shared" si="65"/>
        <v>7142.8571428571431</v>
      </c>
      <c r="AJ100" s="117">
        <f t="shared" si="65"/>
        <v>7142.8571428571431</v>
      </c>
      <c r="AK100" s="117">
        <f t="shared" si="65"/>
        <v>7142.8571428571431</v>
      </c>
      <c r="AL100" s="117">
        <f t="shared" si="65"/>
        <v>7142.8571428571431</v>
      </c>
      <c r="AM100" s="117">
        <f t="shared" si="65"/>
        <v>7142.8571428571431</v>
      </c>
      <c r="AN100" s="117">
        <f t="shared" si="65"/>
        <v>7142.8571428571431</v>
      </c>
      <c r="AP100" s="30"/>
      <c r="AQ100" s="30"/>
      <c r="AR100" s="30"/>
    </row>
    <row r="101" spans="1:44" ht="12">
      <c r="A101" s="37" t="s">
        <v>137</v>
      </c>
      <c r="B101" s="37" t="s">
        <v>332</v>
      </c>
      <c r="C101" s="38" t="s">
        <v>43</v>
      </c>
      <c r="D101" s="115" t="s">
        <v>254</v>
      </c>
      <c r="E101" s="25"/>
      <c r="F101" s="25"/>
      <c r="G101" s="30">
        <f>F102/(5*12)</f>
        <v>31.875</v>
      </c>
      <c r="H101" s="30">
        <f>G101</f>
        <v>31.875</v>
      </c>
      <c r="I101" s="30">
        <f t="shared" ref="I101:AN101" si="66">H101</f>
        <v>31.875</v>
      </c>
      <c r="J101" s="30">
        <f t="shared" si="66"/>
        <v>31.875</v>
      </c>
      <c r="K101" s="30">
        <f t="shared" si="66"/>
        <v>31.875</v>
      </c>
      <c r="L101" s="30">
        <f t="shared" si="66"/>
        <v>31.875</v>
      </c>
      <c r="M101" s="30">
        <f t="shared" si="66"/>
        <v>31.875</v>
      </c>
      <c r="N101" s="30">
        <f t="shared" si="66"/>
        <v>31.875</v>
      </c>
      <c r="O101" s="30">
        <f t="shared" si="66"/>
        <v>31.875</v>
      </c>
      <c r="P101" s="30">
        <f t="shared" si="66"/>
        <v>31.875</v>
      </c>
      <c r="Q101" s="30">
        <f t="shared" si="66"/>
        <v>31.875</v>
      </c>
      <c r="R101" s="30">
        <f t="shared" si="66"/>
        <v>31.875</v>
      </c>
      <c r="S101" s="30">
        <f t="shared" si="66"/>
        <v>31.875</v>
      </c>
      <c r="T101" s="30">
        <f t="shared" si="66"/>
        <v>31.875</v>
      </c>
      <c r="U101" s="30">
        <f t="shared" si="66"/>
        <v>31.875</v>
      </c>
      <c r="V101" s="30">
        <f t="shared" si="66"/>
        <v>31.875</v>
      </c>
      <c r="W101" s="30">
        <f t="shared" si="66"/>
        <v>31.875</v>
      </c>
      <c r="X101" s="30">
        <f t="shared" si="66"/>
        <v>31.875</v>
      </c>
      <c r="Y101" s="30">
        <f t="shared" si="66"/>
        <v>31.875</v>
      </c>
      <c r="Z101" s="30">
        <f t="shared" si="66"/>
        <v>31.875</v>
      </c>
      <c r="AA101" s="30">
        <f t="shared" si="66"/>
        <v>31.875</v>
      </c>
      <c r="AB101" s="30">
        <f t="shared" si="66"/>
        <v>31.875</v>
      </c>
      <c r="AC101" s="30">
        <f t="shared" si="66"/>
        <v>31.875</v>
      </c>
      <c r="AD101" s="30">
        <f t="shared" si="66"/>
        <v>31.875</v>
      </c>
      <c r="AE101" s="30">
        <f t="shared" si="66"/>
        <v>31.875</v>
      </c>
      <c r="AF101" s="30">
        <f t="shared" si="66"/>
        <v>31.875</v>
      </c>
      <c r="AG101" s="30">
        <f t="shared" si="66"/>
        <v>31.875</v>
      </c>
      <c r="AH101" s="30">
        <f t="shared" si="66"/>
        <v>31.875</v>
      </c>
      <c r="AI101" s="30">
        <f t="shared" si="66"/>
        <v>31.875</v>
      </c>
      <c r="AJ101" s="30">
        <f t="shared" si="66"/>
        <v>31.875</v>
      </c>
      <c r="AK101" s="30">
        <f t="shared" si="66"/>
        <v>31.875</v>
      </c>
      <c r="AL101" s="30">
        <f t="shared" si="66"/>
        <v>31.875</v>
      </c>
      <c r="AM101" s="30">
        <f t="shared" si="66"/>
        <v>31.875</v>
      </c>
      <c r="AN101" s="30">
        <f t="shared" si="66"/>
        <v>31.875</v>
      </c>
      <c r="AP101" s="30">
        <f t="shared" si="31"/>
        <v>318.75</v>
      </c>
      <c r="AQ101" s="30">
        <f t="shared" si="32"/>
        <v>382.5</v>
      </c>
      <c r="AR101" s="30">
        <f t="shared" si="33"/>
        <v>382.5</v>
      </c>
    </row>
    <row r="102" spans="1:44" ht="12">
      <c r="A102" s="37" t="s">
        <v>137</v>
      </c>
      <c r="B102" s="37" t="s">
        <v>327</v>
      </c>
      <c r="C102" s="38" t="s">
        <v>243</v>
      </c>
      <c r="D102" s="115" t="s">
        <v>254</v>
      </c>
      <c r="E102" s="25"/>
      <c r="F102" s="30">
        <f>F103*'0'!E27/1000</f>
        <v>1912.5</v>
      </c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P102" s="30">
        <f t="shared" si="31"/>
        <v>1912.5</v>
      </c>
      <c r="AQ102" s="30">
        <f t="shared" si="32"/>
        <v>0</v>
      </c>
      <c r="AR102" s="30">
        <f t="shared" si="33"/>
        <v>0</v>
      </c>
    </row>
    <row r="103" spans="1:44" ht="12">
      <c r="A103" s="37" t="s">
        <v>137</v>
      </c>
      <c r="B103" s="37"/>
      <c r="C103" s="119" t="s">
        <v>294</v>
      </c>
      <c r="D103" s="114" t="s">
        <v>291</v>
      </c>
      <c r="E103" s="19"/>
      <c r="F103" s="117">
        <f>45000*50%</f>
        <v>22500</v>
      </c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P103" s="30"/>
      <c r="AQ103" s="30"/>
      <c r="AR103" s="30"/>
    </row>
    <row r="104" spans="1:44" ht="24">
      <c r="A104" s="133" t="s">
        <v>323</v>
      </c>
      <c r="B104" s="37" t="s">
        <v>332</v>
      </c>
      <c r="C104" s="38" t="s">
        <v>42</v>
      </c>
      <c r="D104" s="115" t="s">
        <v>254</v>
      </c>
      <c r="E104" s="30">
        <f>SUM(E105:E106)/1000</f>
        <v>27.142857142857146</v>
      </c>
      <c r="F104" s="30">
        <f t="shared" ref="F104:AN104" si="67">SUM(F105:F106)/1000</f>
        <v>27.142857142857146</v>
      </c>
      <c r="G104" s="30">
        <f t="shared" si="67"/>
        <v>27.142857142857146</v>
      </c>
      <c r="H104" s="30">
        <f t="shared" si="67"/>
        <v>27.142857142857146</v>
      </c>
      <c r="I104" s="30">
        <f t="shared" si="67"/>
        <v>27.142857142857146</v>
      </c>
      <c r="J104" s="30">
        <f t="shared" si="67"/>
        <v>27.142857142857146</v>
      </c>
      <c r="K104" s="30">
        <f t="shared" si="67"/>
        <v>27.142857142857146</v>
      </c>
      <c r="L104" s="30">
        <f t="shared" si="67"/>
        <v>27.142857142857146</v>
      </c>
      <c r="M104" s="30">
        <f t="shared" si="67"/>
        <v>27.142857142857146</v>
      </c>
      <c r="N104" s="30">
        <f t="shared" si="67"/>
        <v>27.142857142857146</v>
      </c>
      <c r="O104" s="30">
        <f t="shared" si="67"/>
        <v>27.142857142857146</v>
      </c>
      <c r="P104" s="30">
        <f t="shared" si="67"/>
        <v>27.142857142857146</v>
      </c>
      <c r="Q104" s="30">
        <f t="shared" si="67"/>
        <v>27.142857142857146</v>
      </c>
      <c r="R104" s="30">
        <f t="shared" si="67"/>
        <v>27.142857142857146</v>
      </c>
      <c r="S104" s="30">
        <f t="shared" si="67"/>
        <v>27.142857142857146</v>
      </c>
      <c r="T104" s="30">
        <f t="shared" si="67"/>
        <v>27.142857142857146</v>
      </c>
      <c r="U104" s="30">
        <f t="shared" si="67"/>
        <v>27.142857142857146</v>
      </c>
      <c r="V104" s="30">
        <f t="shared" si="67"/>
        <v>27.142857142857146</v>
      </c>
      <c r="W104" s="30">
        <f t="shared" si="67"/>
        <v>27.142857142857146</v>
      </c>
      <c r="X104" s="30">
        <f t="shared" si="67"/>
        <v>27.142857142857146</v>
      </c>
      <c r="Y104" s="30">
        <f t="shared" si="67"/>
        <v>27.142857142857146</v>
      </c>
      <c r="Z104" s="30">
        <f t="shared" si="67"/>
        <v>27.142857142857146</v>
      </c>
      <c r="AA104" s="30">
        <f t="shared" si="67"/>
        <v>27.142857142857146</v>
      </c>
      <c r="AB104" s="30">
        <f t="shared" si="67"/>
        <v>27.142857142857146</v>
      </c>
      <c r="AC104" s="30">
        <f t="shared" si="67"/>
        <v>27.142857142857146</v>
      </c>
      <c r="AD104" s="30">
        <f t="shared" si="67"/>
        <v>27.142857142857146</v>
      </c>
      <c r="AE104" s="30">
        <f t="shared" si="67"/>
        <v>27.142857142857146</v>
      </c>
      <c r="AF104" s="30">
        <f t="shared" si="67"/>
        <v>27.142857142857146</v>
      </c>
      <c r="AG104" s="30">
        <f t="shared" si="67"/>
        <v>27.142857142857146</v>
      </c>
      <c r="AH104" s="30">
        <f t="shared" si="67"/>
        <v>27.142857142857146</v>
      </c>
      <c r="AI104" s="30">
        <f t="shared" si="67"/>
        <v>27.142857142857146</v>
      </c>
      <c r="AJ104" s="30">
        <f t="shared" si="67"/>
        <v>27.142857142857146</v>
      </c>
      <c r="AK104" s="30">
        <f t="shared" si="67"/>
        <v>27.142857142857146</v>
      </c>
      <c r="AL104" s="30">
        <f t="shared" si="67"/>
        <v>27.142857142857146</v>
      </c>
      <c r="AM104" s="30">
        <f t="shared" si="67"/>
        <v>27.142857142857146</v>
      </c>
      <c r="AN104" s="30">
        <f t="shared" si="67"/>
        <v>27.142857142857146</v>
      </c>
      <c r="AP104" s="30">
        <f t="shared" ref="AP104" si="68">SUM(E104:P104)</f>
        <v>325.71428571428578</v>
      </c>
      <c r="AQ104" s="30">
        <f t="shared" ref="AQ104" si="69">SUM(Q104:AB104)</f>
        <v>325.71428571428578</v>
      </c>
      <c r="AR104" s="30">
        <f t="shared" ref="AR104" si="70">SUM(AC104:AN104)</f>
        <v>325.71428571428578</v>
      </c>
    </row>
    <row r="105" spans="1:44" ht="24">
      <c r="A105" s="133" t="s">
        <v>323</v>
      </c>
      <c r="B105" s="37"/>
      <c r="C105" s="119" t="s">
        <v>295</v>
      </c>
      <c r="D105" s="114" t="s">
        <v>162</v>
      </c>
      <c r="E105" s="117">
        <v>20000</v>
      </c>
      <c r="F105" s="117">
        <v>20000</v>
      </c>
      <c r="G105" s="117">
        <v>20000</v>
      </c>
      <c r="H105" s="117">
        <v>20000</v>
      </c>
      <c r="I105" s="117">
        <v>20000</v>
      </c>
      <c r="J105" s="117">
        <v>20000</v>
      </c>
      <c r="K105" s="117">
        <v>20000</v>
      </c>
      <c r="L105" s="117">
        <v>20000</v>
      </c>
      <c r="M105" s="117">
        <v>20000</v>
      </c>
      <c r="N105" s="117">
        <v>20000</v>
      </c>
      <c r="O105" s="117">
        <v>20000</v>
      </c>
      <c r="P105" s="117">
        <v>20000</v>
      </c>
      <c r="Q105" s="117">
        <v>20000</v>
      </c>
      <c r="R105" s="117">
        <v>20000</v>
      </c>
      <c r="S105" s="117">
        <v>20000</v>
      </c>
      <c r="T105" s="117">
        <v>20000</v>
      </c>
      <c r="U105" s="117">
        <v>20000</v>
      </c>
      <c r="V105" s="117">
        <v>20000</v>
      </c>
      <c r="W105" s="117">
        <v>20000</v>
      </c>
      <c r="X105" s="117">
        <v>20000</v>
      </c>
      <c r="Y105" s="117">
        <v>20000</v>
      </c>
      <c r="Z105" s="117">
        <v>20000</v>
      </c>
      <c r="AA105" s="117">
        <v>20000</v>
      </c>
      <c r="AB105" s="117">
        <v>20000</v>
      </c>
      <c r="AC105" s="117">
        <v>20000</v>
      </c>
      <c r="AD105" s="117">
        <v>20000</v>
      </c>
      <c r="AE105" s="117">
        <v>20000</v>
      </c>
      <c r="AF105" s="117">
        <v>20000</v>
      </c>
      <c r="AG105" s="117">
        <v>20000</v>
      </c>
      <c r="AH105" s="117">
        <v>20000</v>
      </c>
      <c r="AI105" s="117">
        <v>20000</v>
      </c>
      <c r="AJ105" s="117">
        <v>20000</v>
      </c>
      <c r="AK105" s="117">
        <v>20000</v>
      </c>
      <c r="AL105" s="117">
        <v>20000</v>
      </c>
      <c r="AM105" s="117">
        <v>20000</v>
      </c>
      <c r="AN105" s="117">
        <v>20000</v>
      </c>
      <c r="AP105" s="30"/>
      <c r="AQ105" s="30"/>
      <c r="AR105" s="30"/>
    </row>
    <row r="106" spans="1:44" ht="24">
      <c r="A106" s="133" t="s">
        <v>323</v>
      </c>
      <c r="B106" s="37"/>
      <c r="C106" s="119" t="s">
        <v>324</v>
      </c>
      <c r="D106" s="114" t="s">
        <v>162</v>
      </c>
      <c r="E106" s="117">
        <f>50000*3/21</f>
        <v>7142.8571428571431</v>
      </c>
      <c r="F106" s="117">
        <f t="shared" ref="F106:AN106" si="71">50000*3/21</f>
        <v>7142.8571428571431</v>
      </c>
      <c r="G106" s="117">
        <f t="shared" si="71"/>
        <v>7142.8571428571431</v>
      </c>
      <c r="H106" s="117">
        <f t="shared" si="71"/>
        <v>7142.8571428571431</v>
      </c>
      <c r="I106" s="117">
        <f t="shared" si="71"/>
        <v>7142.8571428571431</v>
      </c>
      <c r="J106" s="117">
        <f t="shared" si="71"/>
        <v>7142.8571428571431</v>
      </c>
      <c r="K106" s="117">
        <f t="shared" si="71"/>
        <v>7142.8571428571431</v>
      </c>
      <c r="L106" s="117">
        <f t="shared" si="71"/>
        <v>7142.8571428571431</v>
      </c>
      <c r="M106" s="117">
        <f t="shared" si="71"/>
        <v>7142.8571428571431</v>
      </c>
      <c r="N106" s="117">
        <f t="shared" si="71"/>
        <v>7142.8571428571431</v>
      </c>
      <c r="O106" s="117">
        <f t="shared" si="71"/>
        <v>7142.8571428571431</v>
      </c>
      <c r="P106" s="117">
        <f t="shared" si="71"/>
        <v>7142.8571428571431</v>
      </c>
      <c r="Q106" s="117">
        <f t="shared" si="71"/>
        <v>7142.8571428571431</v>
      </c>
      <c r="R106" s="117">
        <f t="shared" si="71"/>
        <v>7142.8571428571431</v>
      </c>
      <c r="S106" s="117">
        <f t="shared" si="71"/>
        <v>7142.8571428571431</v>
      </c>
      <c r="T106" s="117">
        <f t="shared" si="71"/>
        <v>7142.8571428571431</v>
      </c>
      <c r="U106" s="117">
        <f t="shared" si="71"/>
        <v>7142.8571428571431</v>
      </c>
      <c r="V106" s="117">
        <f t="shared" si="71"/>
        <v>7142.8571428571431</v>
      </c>
      <c r="W106" s="117">
        <f t="shared" si="71"/>
        <v>7142.8571428571431</v>
      </c>
      <c r="X106" s="117">
        <f t="shared" si="71"/>
        <v>7142.8571428571431</v>
      </c>
      <c r="Y106" s="117">
        <f t="shared" si="71"/>
        <v>7142.8571428571431</v>
      </c>
      <c r="Z106" s="117">
        <f t="shared" si="71"/>
        <v>7142.8571428571431</v>
      </c>
      <c r="AA106" s="117">
        <f t="shared" si="71"/>
        <v>7142.8571428571431</v>
      </c>
      <c r="AB106" s="117">
        <f t="shared" si="71"/>
        <v>7142.8571428571431</v>
      </c>
      <c r="AC106" s="117">
        <f t="shared" si="71"/>
        <v>7142.8571428571431</v>
      </c>
      <c r="AD106" s="117">
        <f t="shared" si="71"/>
        <v>7142.8571428571431</v>
      </c>
      <c r="AE106" s="117">
        <f t="shared" si="71"/>
        <v>7142.8571428571431</v>
      </c>
      <c r="AF106" s="117">
        <f t="shared" si="71"/>
        <v>7142.8571428571431</v>
      </c>
      <c r="AG106" s="117">
        <f t="shared" si="71"/>
        <v>7142.8571428571431</v>
      </c>
      <c r="AH106" s="117">
        <f t="shared" si="71"/>
        <v>7142.8571428571431</v>
      </c>
      <c r="AI106" s="117">
        <f t="shared" si="71"/>
        <v>7142.8571428571431</v>
      </c>
      <c r="AJ106" s="117">
        <f t="shared" si="71"/>
        <v>7142.8571428571431</v>
      </c>
      <c r="AK106" s="117">
        <f t="shared" si="71"/>
        <v>7142.8571428571431</v>
      </c>
      <c r="AL106" s="117">
        <f t="shared" si="71"/>
        <v>7142.8571428571431</v>
      </c>
      <c r="AM106" s="117">
        <f t="shared" si="71"/>
        <v>7142.8571428571431</v>
      </c>
      <c r="AN106" s="117">
        <f t="shared" si="71"/>
        <v>7142.8571428571431</v>
      </c>
      <c r="AP106" s="30"/>
      <c r="AQ106" s="30"/>
      <c r="AR106" s="30"/>
    </row>
    <row r="107" spans="1:44" ht="12">
      <c r="A107" s="37" t="s">
        <v>275</v>
      </c>
      <c r="B107" s="37" t="s">
        <v>332</v>
      </c>
      <c r="C107" s="38" t="s">
        <v>42</v>
      </c>
      <c r="D107" s="115" t="s">
        <v>254</v>
      </c>
      <c r="E107" s="30">
        <f>SUM(E108:E109)/1000</f>
        <v>107.14285714285714</v>
      </c>
      <c r="F107" s="30">
        <f t="shared" ref="F107:AN107" si="72">SUM(F108:F109)/1000</f>
        <v>107.14285714285714</v>
      </c>
      <c r="G107" s="30">
        <f t="shared" si="72"/>
        <v>107.14285714285714</v>
      </c>
      <c r="H107" s="30">
        <f t="shared" si="72"/>
        <v>107.14285714285714</v>
      </c>
      <c r="I107" s="30">
        <f t="shared" si="72"/>
        <v>107.14285714285714</v>
      </c>
      <c r="J107" s="30">
        <f t="shared" si="72"/>
        <v>107.14285714285714</v>
      </c>
      <c r="K107" s="30">
        <f t="shared" si="72"/>
        <v>107.14285714285714</v>
      </c>
      <c r="L107" s="30">
        <f t="shared" si="72"/>
        <v>107.14285714285714</v>
      </c>
      <c r="M107" s="30">
        <f t="shared" si="72"/>
        <v>107.14285714285714</v>
      </c>
      <c r="N107" s="30">
        <f t="shared" si="72"/>
        <v>107.14285714285714</v>
      </c>
      <c r="O107" s="30">
        <f t="shared" si="72"/>
        <v>107.14285714285714</v>
      </c>
      <c r="P107" s="30">
        <f t="shared" si="72"/>
        <v>107.14285714285714</v>
      </c>
      <c r="Q107" s="30">
        <f t="shared" si="72"/>
        <v>107.14285714285714</v>
      </c>
      <c r="R107" s="30">
        <f t="shared" si="72"/>
        <v>107.14285714285714</v>
      </c>
      <c r="S107" s="30">
        <f t="shared" si="72"/>
        <v>107.14285714285714</v>
      </c>
      <c r="T107" s="30">
        <f t="shared" si="72"/>
        <v>107.14285714285714</v>
      </c>
      <c r="U107" s="30">
        <f t="shared" si="72"/>
        <v>107.14285714285714</v>
      </c>
      <c r="V107" s="30">
        <f t="shared" si="72"/>
        <v>107.14285714285714</v>
      </c>
      <c r="W107" s="30">
        <f t="shared" si="72"/>
        <v>107.14285714285714</v>
      </c>
      <c r="X107" s="30">
        <f t="shared" si="72"/>
        <v>107.14285714285714</v>
      </c>
      <c r="Y107" s="30">
        <f t="shared" si="72"/>
        <v>107.14285714285714</v>
      </c>
      <c r="Z107" s="30">
        <f t="shared" si="72"/>
        <v>107.14285714285714</v>
      </c>
      <c r="AA107" s="30">
        <f t="shared" si="72"/>
        <v>107.14285714285714</v>
      </c>
      <c r="AB107" s="30">
        <f t="shared" si="72"/>
        <v>107.14285714285714</v>
      </c>
      <c r="AC107" s="30">
        <f t="shared" si="72"/>
        <v>107.14285714285714</v>
      </c>
      <c r="AD107" s="30">
        <f t="shared" si="72"/>
        <v>107.14285714285714</v>
      </c>
      <c r="AE107" s="30">
        <f t="shared" si="72"/>
        <v>107.14285714285714</v>
      </c>
      <c r="AF107" s="30">
        <f t="shared" si="72"/>
        <v>107.14285714285714</v>
      </c>
      <c r="AG107" s="30">
        <f t="shared" si="72"/>
        <v>107.14285714285714</v>
      </c>
      <c r="AH107" s="30">
        <f t="shared" si="72"/>
        <v>107.14285714285714</v>
      </c>
      <c r="AI107" s="30">
        <f t="shared" si="72"/>
        <v>107.14285714285714</v>
      </c>
      <c r="AJ107" s="30">
        <f t="shared" si="72"/>
        <v>107.14285714285714</v>
      </c>
      <c r="AK107" s="30">
        <f t="shared" si="72"/>
        <v>107.14285714285714</v>
      </c>
      <c r="AL107" s="30">
        <f t="shared" si="72"/>
        <v>107.14285714285714</v>
      </c>
      <c r="AM107" s="30">
        <f t="shared" si="72"/>
        <v>107.14285714285714</v>
      </c>
      <c r="AN107" s="30">
        <f t="shared" si="72"/>
        <v>107.14285714285714</v>
      </c>
      <c r="AP107" s="30">
        <f t="shared" ref="AP107" si="73">SUM(E107:P107)</f>
        <v>1285.7142857142856</v>
      </c>
      <c r="AQ107" s="30">
        <f t="shared" ref="AQ107" si="74">SUM(Q107:AB107)</f>
        <v>1285.7142857142856</v>
      </c>
      <c r="AR107" s="30">
        <f t="shared" ref="AR107" si="75">SUM(AC107:AN107)</f>
        <v>1285.7142857142856</v>
      </c>
    </row>
    <row r="108" spans="1:44" ht="12">
      <c r="A108" s="37" t="s">
        <v>275</v>
      </c>
      <c r="B108" s="37"/>
      <c r="C108" s="119" t="s">
        <v>303</v>
      </c>
      <c r="D108" s="114" t="s">
        <v>162</v>
      </c>
      <c r="E108" s="117">
        <v>100000</v>
      </c>
      <c r="F108" s="117">
        <v>100000</v>
      </c>
      <c r="G108" s="117">
        <v>100000</v>
      </c>
      <c r="H108" s="117">
        <v>100000</v>
      </c>
      <c r="I108" s="117">
        <v>100000</v>
      </c>
      <c r="J108" s="117">
        <v>100000</v>
      </c>
      <c r="K108" s="117">
        <v>100000</v>
      </c>
      <c r="L108" s="117">
        <v>100000</v>
      </c>
      <c r="M108" s="117">
        <v>100000</v>
      </c>
      <c r="N108" s="117">
        <v>100000</v>
      </c>
      <c r="O108" s="117">
        <v>100000</v>
      </c>
      <c r="P108" s="117">
        <v>100000</v>
      </c>
      <c r="Q108" s="117">
        <v>100000</v>
      </c>
      <c r="R108" s="117">
        <v>100000</v>
      </c>
      <c r="S108" s="117">
        <v>100000</v>
      </c>
      <c r="T108" s="117">
        <v>100000</v>
      </c>
      <c r="U108" s="117">
        <v>100000</v>
      </c>
      <c r="V108" s="117">
        <v>100000</v>
      </c>
      <c r="W108" s="117">
        <v>100000</v>
      </c>
      <c r="X108" s="117">
        <v>100000</v>
      </c>
      <c r="Y108" s="117">
        <v>100000</v>
      </c>
      <c r="Z108" s="117">
        <v>100000</v>
      </c>
      <c r="AA108" s="117">
        <v>100000</v>
      </c>
      <c r="AB108" s="117">
        <v>100000</v>
      </c>
      <c r="AC108" s="117">
        <v>100000</v>
      </c>
      <c r="AD108" s="117">
        <v>100000</v>
      </c>
      <c r="AE108" s="117">
        <v>100000</v>
      </c>
      <c r="AF108" s="117">
        <v>100000</v>
      </c>
      <c r="AG108" s="117">
        <v>100000</v>
      </c>
      <c r="AH108" s="117">
        <v>100000</v>
      </c>
      <c r="AI108" s="117">
        <v>100000</v>
      </c>
      <c r="AJ108" s="117">
        <v>100000</v>
      </c>
      <c r="AK108" s="117">
        <v>100000</v>
      </c>
      <c r="AL108" s="117">
        <v>100000</v>
      </c>
      <c r="AM108" s="117">
        <v>100000</v>
      </c>
      <c r="AN108" s="117">
        <v>100000</v>
      </c>
      <c r="AP108" s="30"/>
      <c r="AQ108" s="30"/>
      <c r="AR108" s="30"/>
    </row>
    <row r="109" spans="1:44" ht="12">
      <c r="A109" s="37" t="s">
        <v>275</v>
      </c>
      <c r="B109" s="37"/>
      <c r="C109" s="119" t="s">
        <v>325</v>
      </c>
      <c r="D109" s="114" t="s">
        <v>162</v>
      </c>
      <c r="E109" s="117">
        <f>50000*3/21</f>
        <v>7142.8571428571431</v>
      </c>
      <c r="F109" s="117">
        <f t="shared" ref="F109:AN109" si="76">50000*3/21</f>
        <v>7142.8571428571431</v>
      </c>
      <c r="G109" s="117">
        <f t="shared" si="76"/>
        <v>7142.8571428571431</v>
      </c>
      <c r="H109" s="117">
        <f t="shared" si="76"/>
        <v>7142.8571428571431</v>
      </c>
      <c r="I109" s="117">
        <f t="shared" si="76"/>
        <v>7142.8571428571431</v>
      </c>
      <c r="J109" s="117">
        <f t="shared" si="76"/>
        <v>7142.8571428571431</v>
      </c>
      <c r="K109" s="117">
        <f t="shared" si="76"/>
        <v>7142.8571428571431</v>
      </c>
      <c r="L109" s="117">
        <f t="shared" si="76"/>
        <v>7142.8571428571431</v>
      </c>
      <c r="M109" s="117">
        <f t="shared" si="76"/>
        <v>7142.8571428571431</v>
      </c>
      <c r="N109" s="117">
        <f t="shared" si="76"/>
        <v>7142.8571428571431</v>
      </c>
      <c r="O109" s="117">
        <f t="shared" si="76"/>
        <v>7142.8571428571431</v>
      </c>
      <c r="P109" s="117">
        <f t="shared" si="76"/>
        <v>7142.8571428571431</v>
      </c>
      <c r="Q109" s="117">
        <f t="shared" si="76"/>
        <v>7142.8571428571431</v>
      </c>
      <c r="R109" s="117">
        <f t="shared" si="76"/>
        <v>7142.8571428571431</v>
      </c>
      <c r="S109" s="117">
        <f t="shared" si="76"/>
        <v>7142.8571428571431</v>
      </c>
      <c r="T109" s="117">
        <f t="shared" si="76"/>
        <v>7142.8571428571431</v>
      </c>
      <c r="U109" s="117">
        <f t="shared" si="76"/>
        <v>7142.8571428571431</v>
      </c>
      <c r="V109" s="117">
        <f t="shared" si="76"/>
        <v>7142.8571428571431</v>
      </c>
      <c r="W109" s="117">
        <f t="shared" si="76"/>
        <v>7142.8571428571431</v>
      </c>
      <c r="X109" s="117">
        <f t="shared" si="76"/>
        <v>7142.8571428571431</v>
      </c>
      <c r="Y109" s="117">
        <f t="shared" si="76"/>
        <v>7142.8571428571431</v>
      </c>
      <c r="Z109" s="117">
        <f t="shared" si="76"/>
        <v>7142.8571428571431</v>
      </c>
      <c r="AA109" s="117">
        <f t="shared" si="76"/>
        <v>7142.8571428571431</v>
      </c>
      <c r="AB109" s="117">
        <f t="shared" si="76"/>
        <v>7142.8571428571431</v>
      </c>
      <c r="AC109" s="117">
        <f t="shared" si="76"/>
        <v>7142.8571428571431</v>
      </c>
      <c r="AD109" s="117">
        <f t="shared" si="76"/>
        <v>7142.8571428571431</v>
      </c>
      <c r="AE109" s="117">
        <f t="shared" si="76"/>
        <v>7142.8571428571431</v>
      </c>
      <c r="AF109" s="117">
        <f t="shared" si="76"/>
        <v>7142.8571428571431</v>
      </c>
      <c r="AG109" s="117">
        <f t="shared" si="76"/>
        <v>7142.8571428571431</v>
      </c>
      <c r="AH109" s="117">
        <f t="shared" si="76"/>
        <v>7142.8571428571431</v>
      </c>
      <c r="AI109" s="117">
        <f t="shared" si="76"/>
        <v>7142.8571428571431</v>
      </c>
      <c r="AJ109" s="117">
        <f t="shared" si="76"/>
        <v>7142.8571428571431</v>
      </c>
      <c r="AK109" s="117">
        <f t="shared" si="76"/>
        <v>7142.8571428571431</v>
      </c>
      <c r="AL109" s="117">
        <f t="shared" si="76"/>
        <v>7142.8571428571431</v>
      </c>
      <c r="AM109" s="117">
        <f t="shared" si="76"/>
        <v>7142.8571428571431</v>
      </c>
      <c r="AN109" s="117">
        <f t="shared" si="76"/>
        <v>7142.8571428571431</v>
      </c>
      <c r="AP109" s="30"/>
      <c r="AQ109" s="30"/>
      <c r="AR109" s="30"/>
    </row>
    <row r="110" spans="1:44" ht="24">
      <c r="A110" s="133" t="s">
        <v>287</v>
      </c>
      <c r="B110" s="37" t="s">
        <v>332</v>
      </c>
      <c r="C110" s="38" t="s">
        <v>42</v>
      </c>
      <c r="D110" s="115" t="s">
        <v>254</v>
      </c>
      <c r="E110" s="30">
        <f>SUM(E111:E112)/1000</f>
        <v>107.14285714285714</v>
      </c>
      <c r="F110" s="30">
        <f t="shared" ref="F110:AN110" si="77">SUM(F111:F112)/1000</f>
        <v>107.14285714285714</v>
      </c>
      <c r="G110" s="30">
        <f t="shared" si="77"/>
        <v>107.14285714285714</v>
      </c>
      <c r="H110" s="30">
        <f t="shared" si="77"/>
        <v>107.14285714285714</v>
      </c>
      <c r="I110" s="30">
        <f t="shared" si="77"/>
        <v>107.14285714285714</v>
      </c>
      <c r="J110" s="30">
        <f t="shared" si="77"/>
        <v>107.14285714285714</v>
      </c>
      <c r="K110" s="30">
        <f t="shared" si="77"/>
        <v>107.14285714285714</v>
      </c>
      <c r="L110" s="30">
        <f t="shared" si="77"/>
        <v>107.14285714285714</v>
      </c>
      <c r="M110" s="30">
        <f t="shared" si="77"/>
        <v>107.14285714285714</v>
      </c>
      <c r="N110" s="30">
        <f t="shared" si="77"/>
        <v>107.14285714285714</v>
      </c>
      <c r="O110" s="30">
        <f t="shared" si="77"/>
        <v>107.14285714285714</v>
      </c>
      <c r="P110" s="30">
        <f t="shared" si="77"/>
        <v>107.14285714285714</v>
      </c>
      <c r="Q110" s="30">
        <f t="shared" si="77"/>
        <v>107.14285714285714</v>
      </c>
      <c r="R110" s="30">
        <f t="shared" si="77"/>
        <v>107.14285714285714</v>
      </c>
      <c r="S110" s="30">
        <f t="shared" si="77"/>
        <v>107.14285714285714</v>
      </c>
      <c r="T110" s="30">
        <f t="shared" si="77"/>
        <v>107.14285714285714</v>
      </c>
      <c r="U110" s="30">
        <f t="shared" si="77"/>
        <v>107.14285714285714</v>
      </c>
      <c r="V110" s="30">
        <f t="shared" si="77"/>
        <v>107.14285714285714</v>
      </c>
      <c r="W110" s="30">
        <f t="shared" si="77"/>
        <v>107.14285714285714</v>
      </c>
      <c r="X110" s="30">
        <f t="shared" si="77"/>
        <v>107.14285714285714</v>
      </c>
      <c r="Y110" s="30">
        <f t="shared" si="77"/>
        <v>107.14285714285714</v>
      </c>
      <c r="Z110" s="30">
        <f t="shared" si="77"/>
        <v>107.14285714285714</v>
      </c>
      <c r="AA110" s="30">
        <f t="shared" si="77"/>
        <v>107.14285714285714</v>
      </c>
      <c r="AB110" s="30">
        <f t="shared" si="77"/>
        <v>107.14285714285714</v>
      </c>
      <c r="AC110" s="30">
        <f t="shared" si="77"/>
        <v>107.14285714285714</v>
      </c>
      <c r="AD110" s="30">
        <f t="shared" si="77"/>
        <v>107.14285714285714</v>
      </c>
      <c r="AE110" s="30">
        <f t="shared" si="77"/>
        <v>107.14285714285714</v>
      </c>
      <c r="AF110" s="30">
        <f t="shared" si="77"/>
        <v>107.14285714285714</v>
      </c>
      <c r="AG110" s="30">
        <f t="shared" si="77"/>
        <v>107.14285714285714</v>
      </c>
      <c r="AH110" s="30">
        <f t="shared" si="77"/>
        <v>107.14285714285714</v>
      </c>
      <c r="AI110" s="30">
        <f t="shared" si="77"/>
        <v>107.14285714285714</v>
      </c>
      <c r="AJ110" s="30">
        <f t="shared" si="77"/>
        <v>107.14285714285714</v>
      </c>
      <c r="AK110" s="30">
        <f t="shared" si="77"/>
        <v>107.14285714285714</v>
      </c>
      <c r="AL110" s="30">
        <f t="shared" si="77"/>
        <v>107.14285714285714</v>
      </c>
      <c r="AM110" s="30">
        <f t="shared" si="77"/>
        <v>107.14285714285714</v>
      </c>
      <c r="AN110" s="30">
        <f t="shared" si="77"/>
        <v>107.14285714285714</v>
      </c>
      <c r="AP110" s="30">
        <f t="shared" ref="AP110" si="78">SUM(E110:P110)</f>
        <v>1285.7142857142856</v>
      </c>
      <c r="AQ110" s="30">
        <f t="shared" ref="AQ110" si="79">SUM(Q110:AB110)</f>
        <v>1285.7142857142856</v>
      </c>
      <c r="AR110" s="30">
        <f t="shared" ref="AR110" si="80">SUM(AC110:AN110)</f>
        <v>1285.7142857142856</v>
      </c>
    </row>
    <row r="111" spans="1:44" ht="24">
      <c r="A111" s="133" t="s">
        <v>287</v>
      </c>
      <c r="B111" s="37"/>
      <c r="C111" s="119" t="s">
        <v>303</v>
      </c>
      <c r="D111" s="114" t="s">
        <v>162</v>
      </c>
      <c r="E111" s="117">
        <v>100000</v>
      </c>
      <c r="F111" s="117">
        <v>100000</v>
      </c>
      <c r="G111" s="117">
        <v>100000</v>
      </c>
      <c r="H111" s="117">
        <v>100000</v>
      </c>
      <c r="I111" s="117">
        <v>100000</v>
      </c>
      <c r="J111" s="117">
        <v>100000</v>
      </c>
      <c r="K111" s="117">
        <v>100000</v>
      </c>
      <c r="L111" s="117">
        <v>100000</v>
      </c>
      <c r="M111" s="117">
        <v>100000</v>
      </c>
      <c r="N111" s="117">
        <v>100000</v>
      </c>
      <c r="O111" s="117">
        <v>100000</v>
      </c>
      <c r="P111" s="117">
        <v>100000</v>
      </c>
      <c r="Q111" s="117">
        <v>100000</v>
      </c>
      <c r="R111" s="117">
        <v>100000</v>
      </c>
      <c r="S111" s="117">
        <v>100000</v>
      </c>
      <c r="T111" s="117">
        <v>100000</v>
      </c>
      <c r="U111" s="117">
        <v>100000</v>
      </c>
      <c r="V111" s="117">
        <v>100000</v>
      </c>
      <c r="W111" s="117">
        <v>100000</v>
      </c>
      <c r="X111" s="117">
        <v>100000</v>
      </c>
      <c r="Y111" s="117">
        <v>100000</v>
      </c>
      <c r="Z111" s="117">
        <v>100000</v>
      </c>
      <c r="AA111" s="117">
        <v>100000</v>
      </c>
      <c r="AB111" s="117">
        <v>100000</v>
      </c>
      <c r="AC111" s="117">
        <v>100000</v>
      </c>
      <c r="AD111" s="117">
        <v>100000</v>
      </c>
      <c r="AE111" s="117">
        <v>100000</v>
      </c>
      <c r="AF111" s="117">
        <v>100000</v>
      </c>
      <c r="AG111" s="117">
        <v>100000</v>
      </c>
      <c r="AH111" s="117">
        <v>100000</v>
      </c>
      <c r="AI111" s="117">
        <v>100000</v>
      </c>
      <c r="AJ111" s="117">
        <v>100000</v>
      </c>
      <c r="AK111" s="117">
        <v>100000</v>
      </c>
      <c r="AL111" s="117">
        <v>100000</v>
      </c>
      <c r="AM111" s="117">
        <v>100000</v>
      </c>
      <c r="AN111" s="117">
        <v>100000</v>
      </c>
      <c r="AP111" s="30"/>
      <c r="AQ111" s="30"/>
      <c r="AR111" s="30"/>
    </row>
    <row r="112" spans="1:44" ht="24">
      <c r="A112" s="133" t="s">
        <v>287</v>
      </c>
      <c r="B112" s="37"/>
      <c r="C112" s="119" t="s">
        <v>324</v>
      </c>
      <c r="D112" s="114" t="s">
        <v>162</v>
      </c>
      <c r="E112" s="117">
        <f>50000*3/21</f>
        <v>7142.8571428571431</v>
      </c>
      <c r="F112" s="117">
        <f t="shared" ref="F112:AN112" si="81">50000*3/21</f>
        <v>7142.8571428571431</v>
      </c>
      <c r="G112" s="117">
        <f t="shared" si="81"/>
        <v>7142.8571428571431</v>
      </c>
      <c r="H112" s="117">
        <f t="shared" si="81"/>
        <v>7142.8571428571431</v>
      </c>
      <c r="I112" s="117">
        <f t="shared" si="81"/>
        <v>7142.8571428571431</v>
      </c>
      <c r="J112" s="117">
        <f t="shared" si="81"/>
        <v>7142.8571428571431</v>
      </c>
      <c r="K112" s="117">
        <f t="shared" si="81"/>
        <v>7142.8571428571431</v>
      </c>
      <c r="L112" s="117">
        <f t="shared" si="81"/>
        <v>7142.8571428571431</v>
      </c>
      <c r="M112" s="117">
        <f t="shared" si="81"/>
        <v>7142.8571428571431</v>
      </c>
      <c r="N112" s="117">
        <f t="shared" si="81"/>
        <v>7142.8571428571431</v>
      </c>
      <c r="O112" s="117">
        <f t="shared" si="81"/>
        <v>7142.8571428571431</v>
      </c>
      <c r="P112" s="117">
        <f t="shared" si="81"/>
        <v>7142.8571428571431</v>
      </c>
      <c r="Q112" s="117">
        <f t="shared" si="81"/>
        <v>7142.8571428571431</v>
      </c>
      <c r="R112" s="117">
        <f t="shared" si="81"/>
        <v>7142.8571428571431</v>
      </c>
      <c r="S112" s="117">
        <f t="shared" si="81"/>
        <v>7142.8571428571431</v>
      </c>
      <c r="T112" s="117">
        <f t="shared" si="81"/>
        <v>7142.8571428571431</v>
      </c>
      <c r="U112" s="117">
        <f t="shared" si="81"/>
        <v>7142.8571428571431</v>
      </c>
      <c r="V112" s="117">
        <f t="shared" si="81"/>
        <v>7142.8571428571431</v>
      </c>
      <c r="W112" s="117">
        <f t="shared" si="81"/>
        <v>7142.8571428571431</v>
      </c>
      <c r="X112" s="117">
        <f t="shared" si="81"/>
        <v>7142.8571428571431</v>
      </c>
      <c r="Y112" s="117">
        <f t="shared" si="81"/>
        <v>7142.8571428571431</v>
      </c>
      <c r="Z112" s="117">
        <f t="shared" si="81"/>
        <v>7142.8571428571431</v>
      </c>
      <c r="AA112" s="117">
        <f t="shared" si="81"/>
        <v>7142.8571428571431</v>
      </c>
      <c r="AB112" s="117">
        <f t="shared" si="81"/>
        <v>7142.8571428571431</v>
      </c>
      <c r="AC112" s="117">
        <f t="shared" si="81"/>
        <v>7142.8571428571431</v>
      </c>
      <c r="AD112" s="117">
        <f t="shared" si="81"/>
        <v>7142.8571428571431</v>
      </c>
      <c r="AE112" s="117">
        <f t="shared" si="81"/>
        <v>7142.8571428571431</v>
      </c>
      <c r="AF112" s="117">
        <f t="shared" si="81"/>
        <v>7142.8571428571431</v>
      </c>
      <c r="AG112" s="117">
        <f t="shared" si="81"/>
        <v>7142.8571428571431</v>
      </c>
      <c r="AH112" s="117">
        <f t="shared" si="81"/>
        <v>7142.8571428571431</v>
      </c>
      <c r="AI112" s="117">
        <f t="shared" si="81"/>
        <v>7142.8571428571431</v>
      </c>
      <c r="AJ112" s="117">
        <f t="shared" si="81"/>
        <v>7142.8571428571431</v>
      </c>
      <c r="AK112" s="117">
        <f t="shared" si="81"/>
        <v>7142.8571428571431</v>
      </c>
      <c r="AL112" s="117">
        <f t="shared" si="81"/>
        <v>7142.8571428571431</v>
      </c>
      <c r="AM112" s="117">
        <f t="shared" si="81"/>
        <v>7142.8571428571431</v>
      </c>
      <c r="AN112" s="117">
        <f t="shared" si="81"/>
        <v>7142.8571428571431</v>
      </c>
      <c r="AP112" s="30"/>
      <c r="AQ112" s="30"/>
      <c r="AR112" s="30"/>
    </row>
    <row r="113" spans="1:44" ht="12">
      <c r="A113" s="37" t="s">
        <v>170</v>
      </c>
      <c r="B113" s="37" t="s">
        <v>332</v>
      </c>
      <c r="C113" s="38" t="s">
        <v>42</v>
      </c>
      <c r="D113" s="115" t="s">
        <v>254</v>
      </c>
      <c r="E113" s="30">
        <f>SUM(E114:E115)/1000</f>
        <v>107.14285714285714</v>
      </c>
      <c r="F113" s="30">
        <f t="shared" ref="F113:AN113" si="82">SUM(F114:F115)/1000</f>
        <v>107.14285714285714</v>
      </c>
      <c r="G113" s="30">
        <f t="shared" si="82"/>
        <v>107.14285714285714</v>
      </c>
      <c r="H113" s="30">
        <f t="shared" si="82"/>
        <v>107.14285714285714</v>
      </c>
      <c r="I113" s="30">
        <f t="shared" si="82"/>
        <v>107.14285714285714</v>
      </c>
      <c r="J113" s="30">
        <f t="shared" si="82"/>
        <v>107.14285714285714</v>
      </c>
      <c r="K113" s="30">
        <f t="shared" si="82"/>
        <v>107.14285714285714</v>
      </c>
      <c r="L113" s="30">
        <f t="shared" si="82"/>
        <v>107.14285714285714</v>
      </c>
      <c r="M113" s="30">
        <f t="shared" si="82"/>
        <v>107.14285714285714</v>
      </c>
      <c r="N113" s="30">
        <f t="shared" si="82"/>
        <v>107.14285714285714</v>
      </c>
      <c r="O113" s="30">
        <f t="shared" si="82"/>
        <v>107.14285714285714</v>
      </c>
      <c r="P113" s="30">
        <f t="shared" si="82"/>
        <v>107.14285714285714</v>
      </c>
      <c r="Q113" s="30">
        <f t="shared" si="82"/>
        <v>107.14285714285714</v>
      </c>
      <c r="R113" s="30">
        <f t="shared" si="82"/>
        <v>107.14285714285714</v>
      </c>
      <c r="S113" s="30">
        <f t="shared" si="82"/>
        <v>107.14285714285714</v>
      </c>
      <c r="T113" s="30">
        <f t="shared" si="82"/>
        <v>107.14285714285714</v>
      </c>
      <c r="U113" s="30">
        <f t="shared" si="82"/>
        <v>107.14285714285714</v>
      </c>
      <c r="V113" s="30">
        <f t="shared" si="82"/>
        <v>107.14285714285714</v>
      </c>
      <c r="W113" s="30">
        <f t="shared" si="82"/>
        <v>107.14285714285714</v>
      </c>
      <c r="X113" s="30">
        <f t="shared" si="82"/>
        <v>107.14285714285714</v>
      </c>
      <c r="Y113" s="30">
        <f t="shared" si="82"/>
        <v>107.14285714285714</v>
      </c>
      <c r="Z113" s="30">
        <f t="shared" si="82"/>
        <v>107.14285714285714</v>
      </c>
      <c r="AA113" s="30">
        <f t="shared" si="82"/>
        <v>107.14285714285714</v>
      </c>
      <c r="AB113" s="30">
        <f t="shared" si="82"/>
        <v>107.14285714285714</v>
      </c>
      <c r="AC113" s="30">
        <f t="shared" si="82"/>
        <v>107.14285714285714</v>
      </c>
      <c r="AD113" s="30">
        <f t="shared" si="82"/>
        <v>107.14285714285714</v>
      </c>
      <c r="AE113" s="30">
        <f t="shared" si="82"/>
        <v>107.14285714285714</v>
      </c>
      <c r="AF113" s="30">
        <f t="shared" si="82"/>
        <v>107.14285714285714</v>
      </c>
      <c r="AG113" s="30">
        <f t="shared" si="82"/>
        <v>107.14285714285714</v>
      </c>
      <c r="AH113" s="30">
        <f t="shared" si="82"/>
        <v>107.14285714285714</v>
      </c>
      <c r="AI113" s="30">
        <f t="shared" si="82"/>
        <v>107.14285714285714</v>
      </c>
      <c r="AJ113" s="30">
        <f t="shared" si="82"/>
        <v>107.14285714285714</v>
      </c>
      <c r="AK113" s="30">
        <f t="shared" si="82"/>
        <v>107.14285714285714</v>
      </c>
      <c r="AL113" s="30">
        <f t="shared" si="82"/>
        <v>107.14285714285714</v>
      </c>
      <c r="AM113" s="30">
        <f t="shared" si="82"/>
        <v>107.14285714285714</v>
      </c>
      <c r="AN113" s="30">
        <f t="shared" si="82"/>
        <v>107.14285714285714</v>
      </c>
      <c r="AP113" s="30">
        <f>SUM(E113:P113)</f>
        <v>1285.7142857142856</v>
      </c>
      <c r="AQ113" s="30">
        <f>SUM(Q113:AB113)</f>
        <v>1285.7142857142856</v>
      </c>
      <c r="AR113" s="30">
        <f>SUM(AC113:AN113)</f>
        <v>1285.7142857142856</v>
      </c>
    </row>
    <row r="114" spans="1:44" ht="12">
      <c r="A114" s="37" t="s">
        <v>170</v>
      </c>
      <c r="B114" s="37"/>
      <c r="C114" s="119" t="s">
        <v>303</v>
      </c>
      <c r="D114" s="114" t="s">
        <v>162</v>
      </c>
      <c r="E114" s="117">
        <v>100000</v>
      </c>
      <c r="F114" s="117">
        <v>100000</v>
      </c>
      <c r="G114" s="117">
        <v>100000</v>
      </c>
      <c r="H114" s="117">
        <v>100000</v>
      </c>
      <c r="I114" s="117">
        <v>100000</v>
      </c>
      <c r="J114" s="117">
        <v>100000</v>
      </c>
      <c r="K114" s="117">
        <v>100000</v>
      </c>
      <c r="L114" s="117">
        <v>100000</v>
      </c>
      <c r="M114" s="117">
        <v>100000</v>
      </c>
      <c r="N114" s="117">
        <v>100000</v>
      </c>
      <c r="O114" s="117">
        <v>100000</v>
      </c>
      <c r="P114" s="117">
        <v>100000</v>
      </c>
      <c r="Q114" s="117">
        <v>100000</v>
      </c>
      <c r="R114" s="117">
        <v>100000</v>
      </c>
      <c r="S114" s="117">
        <v>100000</v>
      </c>
      <c r="T114" s="117">
        <v>100000</v>
      </c>
      <c r="U114" s="117">
        <v>100000</v>
      </c>
      <c r="V114" s="117">
        <v>100000</v>
      </c>
      <c r="W114" s="117">
        <v>100000</v>
      </c>
      <c r="X114" s="117">
        <v>100000</v>
      </c>
      <c r="Y114" s="117">
        <v>100000</v>
      </c>
      <c r="Z114" s="117">
        <v>100000</v>
      </c>
      <c r="AA114" s="117">
        <v>100000</v>
      </c>
      <c r="AB114" s="117">
        <v>100000</v>
      </c>
      <c r="AC114" s="117">
        <v>100000</v>
      </c>
      <c r="AD114" s="117">
        <v>100000</v>
      </c>
      <c r="AE114" s="117">
        <v>100000</v>
      </c>
      <c r="AF114" s="117">
        <v>100000</v>
      </c>
      <c r="AG114" s="117">
        <v>100000</v>
      </c>
      <c r="AH114" s="117">
        <v>100000</v>
      </c>
      <c r="AI114" s="117">
        <v>100000</v>
      </c>
      <c r="AJ114" s="117">
        <v>100000</v>
      </c>
      <c r="AK114" s="117">
        <v>100000</v>
      </c>
      <c r="AL114" s="117">
        <v>100000</v>
      </c>
      <c r="AM114" s="117">
        <v>100000</v>
      </c>
      <c r="AN114" s="117">
        <v>100000</v>
      </c>
      <c r="AP114" s="30"/>
      <c r="AQ114" s="30"/>
      <c r="AR114" s="30"/>
    </row>
    <row r="115" spans="1:44" ht="12">
      <c r="A115" s="37" t="s">
        <v>170</v>
      </c>
      <c r="B115" s="37"/>
      <c r="C115" s="119" t="s">
        <v>300</v>
      </c>
      <c r="D115" s="114" t="s">
        <v>162</v>
      </c>
      <c r="E115" s="117">
        <f>50000*3/21</f>
        <v>7142.8571428571431</v>
      </c>
      <c r="F115" s="117">
        <f t="shared" ref="F115:AN115" si="83">50000*3/21</f>
        <v>7142.8571428571431</v>
      </c>
      <c r="G115" s="117">
        <f t="shared" si="83"/>
        <v>7142.8571428571431</v>
      </c>
      <c r="H115" s="117">
        <f t="shared" si="83"/>
        <v>7142.8571428571431</v>
      </c>
      <c r="I115" s="117">
        <f t="shared" si="83"/>
        <v>7142.8571428571431</v>
      </c>
      <c r="J115" s="117">
        <f t="shared" si="83"/>
        <v>7142.8571428571431</v>
      </c>
      <c r="K115" s="117">
        <f t="shared" si="83"/>
        <v>7142.8571428571431</v>
      </c>
      <c r="L115" s="117">
        <f t="shared" si="83"/>
        <v>7142.8571428571431</v>
      </c>
      <c r="M115" s="117">
        <f t="shared" si="83"/>
        <v>7142.8571428571431</v>
      </c>
      <c r="N115" s="117">
        <f t="shared" si="83"/>
        <v>7142.8571428571431</v>
      </c>
      <c r="O115" s="117">
        <f t="shared" si="83"/>
        <v>7142.8571428571431</v>
      </c>
      <c r="P115" s="117">
        <f t="shared" si="83"/>
        <v>7142.8571428571431</v>
      </c>
      <c r="Q115" s="117">
        <f t="shared" si="83"/>
        <v>7142.8571428571431</v>
      </c>
      <c r="R115" s="117">
        <f t="shared" si="83"/>
        <v>7142.8571428571431</v>
      </c>
      <c r="S115" s="117">
        <f t="shared" si="83"/>
        <v>7142.8571428571431</v>
      </c>
      <c r="T115" s="117">
        <f t="shared" si="83"/>
        <v>7142.8571428571431</v>
      </c>
      <c r="U115" s="117">
        <f t="shared" si="83"/>
        <v>7142.8571428571431</v>
      </c>
      <c r="V115" s="117">
        <f t="shared" si="83"/>
        <v>7142.8571428571431</v>
      </c>
      <c r="W115" s="117">
        <f t="shared" si="83"/>
        <v>7142.8571428571431</v>
      </c>
      <c r="X115" s="117">
        <f t="shared" si="83"/>
        <v>7142.8571428571431</v>
      </c>
      <c r="Y115" s="117">
        <f t="shared" si="83"/>
        <v>7142.8571428571431</v>
      </c>
      <c r="Z115" s="117">
        <f t="shared" si="83"/>
        <v>7142.8571428571431</v>
      </c>
      <c r="AA115" s="117">
        <f t="shared" si="83"/>
        <v>7142.8571428571431</v>
      </c>
      <c r="AB115" s="117">
        <f t="shared" si="83"/>
        <v>7142.8571428571431</v>
      </c>
      <c r="AC115" s="117">
        <f t="shared" si="83"/>
        <v>7142.8571428571431</v>
      </c>
      <c r="AD115" s="117">
        <f t="shared" si="83"/>
        <v>7142.8571428571431</v>
      </c>
      <c r="AE115" s="117">
        <f t="shared" si="83"/>
        <v>7142.8571428571431</v>
      </c>
      <c r="AF115" s="117">
        <f t="shared" si="83"/>
        <v>7142.8571428571431</v>
      </c>
      <c r="AG115" s="117">
        <f t="shared" si="83"/>
        <v>7142.8571428571431</v>
      </c>
      <c r="AH115" s="117">
        <f t="shared" si="83"/>
        <v>7142.8571428571431</v>
      </c>
      <c r="AI115" s="117">
        <f t="shared" si="83"/>
        <v>7142.8571428571431</v>
      </c>
      <c r="AJ115" s="117">
        <f t="shared" si="83"/>
        <v>7142.8571428571431</v>
      </c>
      <c r="AK115" s="117">
        <f t="shared" si="83"/>
        <v>7142.8571428571431</v>
      </c>
      <c r="AL115" s="117">
        <f t="shared" si="83"/>
        <v>7142.8571428571431</v>
      </c>
      <c r="AM115" s="117">
        <f t="shared" si="83"/>
        <v>7142.8571428571431</v>
      </c>
      <c r="AN115" s="117">
        <f t="shared" si="83"/>
        <v>7142.8571428571431</v>
      </c>
      <c r="AP115" s="30"/>
      <c r="AQ115" s="30"/>
      <c r="AR115" s="30"/>
    </row>
    <row r="116" spans="1:44" s="14" customFormat="1">
      <c r="C116" s="15"/>
      <c r="D116" s="15"/>
      <c r="E116" s="16"/>
      <c r="F116" s="16"/>
      <c r="G116" s="16"/>
      <c r="H116" s="16"/>
    </row>
    <row r="117" spans="1:44" s="14" customFormat="1">
      <c r="C117" s="15"/>
      <c r="D117" s="15"/>
      <c r="E117" s="16"/>
      <c r="F117" s="16"/>
      <c r="G117" s="16"/>
      <c r="H117" s="16"/>
    </row>
    <row r="118" spans="1:44" s="14" customFormat="1">
      <c r="C118" s="15"/>
      <c r="D118" s="15"/>
      <c r="E118" s="16"/>
      <c r="F118" s="16"/>
      <c r="G118" s="16"/>
      <c r="H118" s="16"/>
    </row>
    <row r="119" spans="1:44" s="14" customFormat="1">
      <c r="C119" s="15"/>
      <c r="D119" s="15"/>
      <c r="E119" s="16"/>
      <c r="F119" s="16"/>
      <c r="G119" s="16"/>
      <c r="H119" s="16"/>
    </row>
    <row r="120" spans="1:44" s="14" customFormat="1">
      <c r="C120" s="15"/>
      <c r="D120" s="15"/>
      <c r="E120" s="16"/>
      <c r="F120" s="16"/>
      <c r="G120" s="16"/>
      <c r="H120" s="16"/>
    </row>
    <row r="121" spans="1:44" s="14" customFormat="1">
      <c r="C121" s="15"/>
      <c r="D121" s="15"/>
      <c r="E121" s="16"/>
      <c r="F121" s="16"/>
      <c r="G121" s="16"/>
      <c r="H121" s="16"/>
    </row>
    <row r="122" spans="1:44" s="14" customFormat="1">
      <c r="C122" s="15"/>
      <c r="D122" s="15"/>
      <c r="E122" s="16"/>
      <c r="F122" s="16"/>
      <c r="G122" s="16"/>
      <c r="H122" s="16"/>
    </row>
    <row r="123" spans="1:44" s="14" customFormat="1">
      <c r="C123" s="15"/>
      <c r="D123" s="15"/>
      <c r="E123" s="16"/>
      <c r="F123" s="16"/>
      <c r="G123" s="16"/>
      <c r="H123" s="16"/>
    </row>
    <row r="124" spans="1:44" s="14" customFormat="1">
      <c r="C124" s="15"/>
      <c r="D124" s="15"/>
      <c r="E124" s="16"/>
      <c r="F124" s="16"/>
      <c r="G124" s="16"/>
      <c r="H124" s="16"/>
    </row>
    <row r="125" spans="1:44" s="14" customFormat="1">
      <c r="C125" s="15"/>
      <c r="D125" s="15"/>
      <c r="E125" s="16"/>
      <c r="F125" s="16"/>
      <c r="G125" s="16"/>
      <c r="H125" s="16"/>
    </row>
    <row r="126" spans="1:44" s="14" customFormat="1">
      <c r="C126" s="15"/>
      <c r="D126" s="15"/>
      <c r="E126" s="16"/>
      <c r="F126" s="16"/>
      <c r="G126" s="16"/>
      <c r="H126" s="16"/>
    </row>
    <row r="127" spans="1:44" s="14" customFormat="1">
      <c r="C127" s="15"/>
      <c r="D127" s="15"/>
      <c r="E127" s="16"/>
      <c r="F127" s="16"/>
      <c r="G127" s="16"/>
      <c r="H127" s="16"/>
    </row>
    <row r="128" spans="1:44" s="14" customFormat="1">
      <c r="C128" s="15"/>
      <c r="D128" s="15"/>
      <c r="E128" s="16"/>
      <c r="F128" s="16"/>
      <c r="G128" s="16"/>
      <c r="H128" s="16"/>
    </row>
    <row r="129" spans="3:8" s="14" customFormat="1">
      <c r="C129" s="15"/>
      <c r="D129" s="15"/>
      <c r="E129" s="16"/>
      <c r="F129" s="16"/>
      <c r="G129" s="16"/>
      <c r="H129" s="16"/>
    </row>
    <row r="130" spans="3:8" s="14" customFormat="1">
      <c r="C130" s="15"/>
      <c r="D130" s="15"/>
      <c r="E130" s="16"/>
      <c r="F130" s="16"/>
      <c r="G130" s="16"/>
      <c r="H130" s="16"/>
    </row>
    <row r="131" spans="3:8" s="14" customFormat="1">
      <c r="C131" s="15"/>
      <c r="D131" s="15"/>
      <c r="E131" s="16"/>
      <c r="F131" s="16"/>
      <c r="G131" s="16"/>
      <c r="H131" s="16"/>
    </row>
    <row r="132" spans="3:8" s="14" customFormat="1">
      <c r="C132" s="15"/>
      <c r="D132" s="15"/>
      <c r="E132" s="16"/>
      <c r="F132" s="16"/>
      <c r="G132" s="16"/>
      <c r="H132" s="16"/>
    </row>
    <row r="133" spans="3:8" s="14" customFormat="1">
      <c r="C133" s="15"/>
      <c r="D133" s="15"/>
      <c r="E133" s="16"/>
      <c r="F133" s="16"/>
      <c r="G133" s="16"/>
      <c r="H133" s="16"/>
    </row>
    <row r="134" spans="3:8" s="14" customFormat="1">
      <c r="C134" s="15"/>
      <c r="D134" s="15"/>
      <c r="E134" s="16"/>
      <c r="F134" s="16"/>
      <c r="G134" s="16"/>
      <c r="H134" s="16"/>
    </row>
    <row r="135" spans="3:8" s="14" customFormat="1">
      <c r="C135" s="15"/>
      <c r="D135" s="15"/>
      <c r="E135" s="16"/>
      <c r="F135" s="16"/>
      <c r="G135" s="16"/>
      <c r="H135" s="16"/>
    </row>
    <row r="136" spans="3:8" s="14" customFormat="1">
      <c r="C136" s="15"/>
      <c r="D136" s="15"/>
      <c r="E136" s="16"/>
      <c r="F136" s="16"/>
      <c r="G136" s="16"/>
      <c r="H136" s="16"/>
    </row>
    <row r="137" spans="3:8" s="14" customFormat="1">
      <c r="C137" s="15"/>
      <c r="D137" s="15"/>
      <c r="E137" s="16"/>
      <c r="F137" s="16"/>
      <c r="G137" s="16"/>
      <c r="H137" s="16"/>
    </row>
    <row r="138" spans="3:8" s="14" customFormat="1">
      <c r="C138" s="15"/>
      <c r="D138" s="15"/>
      <c r="E138" s="16"/>
      <c r="F138" s="16"/>
      <c r="G138" s="16"/>
      <c r="H138" s="16"/>
    </row>
    <row r="139" spans="3:8" s="14" customFormat="1">
      <c r="C139" s="15"/>
      <c r="D139" s="15"/>
      <c r="E139" s="16"/>
      <c r="F139" s="16"/>
      <c r="G139" s="16"/>
      <c r="H139" s="16"/>
    </row>
    <row r="140" spans="3:8" s="14" customFormat="1">
      <c r="C140" s="15"/>
      <c r="D140" s="15"/>
      <c r="E140" s="16"/>
      <c r="F140" s="16"/>
      <c r="G140" s="16"/>
      <c r="H140" s="16"/>
    </row>
    <row r="141" spans="3:8" s="14" customFormat="1">
      <c r="C141" s="15"/>
      <c r="D141" s="15"/>
      <c r="E141" s="16"/>
      <c r="F141" s="16"/>
      <c r="G141" s="16"/>
      <c r="H141" s="16"/>
    </row>
    <row r="142" spans="3:8" s="14" customFormat="1">
      <c r="C142" s="15"/>
      <c r="D142" s="15"/>
      <c r="E142" s="16"/>
      <c r="F142" s="16"/>
      <c r="G142" s="16"/>
      <c r="H142" s="16"/>
    </row>
    <row r="143" spans="3:8" s="14" customFormat="1">
      <c r="C143" s="15"/>
      <c r="D143" s="15"/>
      <c r="E143" s="16"/>
      <c r="F143" s="16"/>
      <c r="G143" s="16"/>
      <c r="H143" s="16"/>
    </row>
    <row r="144" spans="3:8" s="14" customFormat="1">
      <c r="C144" s="15"/>
      <c r="D144" s="15"/>
      <c r="E144" s="16"/>
      <c r="F144" s="16"/>
      <c r="G144" s="16"/>
      <c r="H144" s="16"/>
    </row>
    <row r="145" spans="3:8" s="14" customFormat="1">
      <c r="C145" s="15"/>
      <c r="D145" s="15"/>
      <c r="E145" s="16"/>
      <c r="F145" s="16"/>
      <c r="G145" s="16"/>
      <c r="H145" s="16"/>
    </row>
    <row r="146" spans="3:8" s="14" customFormat="1">
      <c r="C146" s="15"/>
      <c r="D146" s="15"/>
      <c r="E146" s="16"/>
      <c r="F146" s="16"/>
      <c r="G146" s="16"/>
      <c r="H146" s="16"/>
    </row>
    <row r="147" spans="3:8" s="14" customFormat="1">
      <c r="C147" s="15"/>
      <c r="D147" s="15"/>
      <c r="E147" s="16"/>
      <c r="F147" s="16"/>
      <c r="G147" s="16"/>
      <c r="H147" s="16"/>
    </row>
    <row r="148" spans="3:8" s="14" customFormat="1">
      <c r="C148" s="15"/>
      <c r="D148" s="15"/>
      <c r="E148" s="16"/>
      <c r="F148" s="16"/>
      <c r="G148" s="16"/>
      <c r="H148" s="16"/>
    </row>
    <row r="149" spans="3:8" s="14" customFormat="1">
      <c r="C149" s="15"/>
      <c r="D149" s="15"/>
      <c r="E149" s="16"/>
      <c r="F149" s="16"/>
      <c r="G149" s="16"/>
      <c r="H149" s="16"/>
    </row>
    <row r="150" spans="3:8" s="14" customFormat="1">
      <c r="C150" s="15"/>
      <c r="D150" s="15"/>
      <c r="E150" s="16"/>
      <c r="F150" s="16"/>
      <c r="G150" s="16"/>
      <c r="H150" s="16"/>
    </row>
    <row r="151" spans="3:8" s="14" customFormat="1">
      <c r="C151" s="15"/>
      <c r="D151" s="15"/>
      <c r="E151" s="16"/>
      <c r="F151" s="16"/>
      <c r="G151" s="16"/>
      <c r="H151" s="16"/>
    </row>
    <row r="152" spans="3:8" s="14" customFormat="1">
      <c r="C152" s="15"/>
      <c r="D152" s="15"/>
      <c r="E152" s="16"/>
      <c r="F152" s="16"/>
      <c r="G152" s="16"/>
      <c r="H152" s="16"/>
    </row>
    <row r="153" spans="3:8" s="14" customFormat="1">
      <c r="C153" s="15"/>
      <c r="D153" s="15"/>
      <c r="E153" s="16"/>
      <c r="F153" s="16"/>
      <c r="G153" s="16"/>
      <c r="H153" s="16"/>
    </row>
    <row r="154" spans="3:8" s="14" customFormat="1">
      <c r="C154" s="15"/>
      <c r="D154" s="15"/>
      <c r="E154" s="16"/>
      <c r="F154" s="16"/>
      <c r="G154" s="16"/>
      <c r="H154" s="16"/>
    </row>
    <row r="155" spans="3:8" s="14" customFormat="1">
      <c r="C155" s="15"/>
      <c r="D155" s="15"/>
      <c r="E155" s="16"/>
      <c r="F155" s="16"/>
      <c r="G155" s="16"/>
      <c r="H155" s="16"/>
    </row>
    <row r="156" spans="3:8" s="14" customFormat="1">
      <c r="C156" s="15"/>
      <c r="D156" s="15"/>
      <c r="E156" s="16"/>
      <c r="F156" s="16"/>
      <c r="G156" s="16"/>
      <c r="H156" s="16"/>
    </row>
    <row r="157" spans="3:8" s="14" customFormat="1">
      <c r="C157" s="15"/>
      <c r="D157" s="15"/>
      <c r="E157" s="16"/>
      <c r="F157" s="16"/>
      <c r="G157" s="16"/>
      <c r="H157" s="16"/>
    </row>
    <row r="158" spans="3:8" s="14" customFormat="1">
      <c r="C158" s="15"/>
      <c r="D158" s="15"/>
      <c r="E158" s="16"/>
      <c r="F158" s="16"/>
      <c r="G158" s="16"/>
      <c r="H158" s="16"/>
    </row>
    <row r="159" spans="3:8" s="14" customFormat="1">
      <c r="C159" s="15"/>
      <c r="D159" s="15"/>
      <c r="E159" s="16"/>
      <c r="F159" s="16"/>
      <c r="G159" s="16"/>
      <c r="H159" s="16"/>
    </row>
    <row r="160" spans="3:8" s="14" customFormat="1">
      <c r="C160" s="15"/>
      <c r="D160" s="15"/>
      <c r="E160" s="16"/>
      <c r="F160" s="16"/>
      <c r="G160" s="16"/>
      <c r="H160" s="16"/>
    </row>
    <row r="161" spans="3:8" s="14" customFormat="1">
      <c r="C161" s="15"/>
      <c r="D161" s="15"/>
      <c r="E161" s="16"/>
      <c r="F161" s="16"/>
      <c r="G161" s="16"/>
      <c r="H161" s="16"/>
    </row>
    <row r="162" spans="3:8" s="14" customFormat="1">
      <c r="C162" s="15"/>
      <c r="D162" s="15"/>
      <c r="E162" s="16"/>
      <c r="F162" s="16"/>
      <c r="G162" s="16"/>
      <c r="H162" s="16"/>
    </row>
    <row r="163" spans="3:8" s="14" customFormat="1">
      <c r="C163" s="15"/>
      <c r="D163" s="15"/>
      <c r="E163" s="16"/>
      <c r="F163" s="16"/>
      <c r="G163" s="16"/>
      <c r="H163" s="16"/>
    </row>
    <row r="164" spans="3:8" s="14" customFormat="1">
      <c r="C164" s="15"/>
      <c r="D164" s="15"/>
      <c r="E164" s="16"/>
      <c r="F164" s="16"/>
      <c r="G164" s="16"/>
      <c r="H164" s="16"/>
    </row>
    <row r="165" spans="3:8" s="14" customFormat="1">
      <c r="C165" s="15"/>
      <c r="D165" s="15"/>
      <c r="E165" s="16"/>
      <c r="F165" s="16"/>
      <c r="G165" s="16"/>
      <c r="H165" s="16"/>
    </row>
    <row r="166" spans="3:8" s="14" customFormat="1">
      <c r="C166" s="15"/>
      <c r="D166" s="15"/>
      <c r="E166" s="16"/>
      <c r="F166" s="16"/>
      <c r="G166" s="16"/>
      <c r="H166" s="16"/>
    </row>
    <row r="167" spans="3:8" s="14" customFormat="1">
      <c r="C167" s="15"/>
      <c r="D167" s="15"/>
      <c r="E167" s="16"/>
      <c r="F167" s="16"/>
      <c r="G167" s="16"/>
      <c r="H167" s="16"/>
    </row>
    <row r="168" spans="3:8" s="14" customFormat="1">
      <c r="C168" s="15"/>
      <c r="D168" s="15"/>
      <c r="E168" s="16"/>
      <c r="F168" s="16"/>
      <c r="G168" s="16"/>
      <c r="H168" s="16"/>
    </row>
    <row r="169" spans="3:8" s="14" customFormat="1">
      <c r="C169" s="15"/>
      <c r="D169" s="15"/>
      <c r="E169" s="16"/>
      <c r="F169" s="16"/>
      <c r="G169" s="16"/>
      <c r="H169" s="16"/>
    </row>
    <row r="170" spans="3:8" s="14" customFormat="1">
      <c r="C170" s="15"/>
      <c r="D170" s="15"/>
      <c r="E170" s="16"/>
      <c r="F170" s="16"/>
      <c r="G170" s="16"/>
      <c r="H170" s="16"/>
    </row>
    <row r="171" spans="3:8" s="14" customFormat="1">
      <c r="C171" s="15"/>
      <c r="D171" s="15"/>
      <c r="E171" s="16"/>
      <c r="F171" s="16"/>
      <c r="G171" s="16"/>
      <c r="H171" s="16"/>
    </row>
    <row r="172" spans="3:8" s="14" customFormat="1">
      <c r="C172" s="15"/>
      <c r="D172" s="15"/>
      <c r="E172" s="16"/>
      <c r="F172" s="16"/>
      <c r="G172" s="16"/>
      <c r="H172" s="16"/>
    </row>
    <row r="173" spans="3:8" s="14" customFormat="1">
      <c r="C173" s="15"/>
      <c r="D173" s="15"/>
      <c r="E173" s="16"/>
      <c r="F173" s="16"/>
      <c r="G173" s="16"/>
      <c r="H173" s="16"/>
    </row>
    <row r="174" spans="3:8" s="14" customFormat="1">
      <c r="C174" s="15"/>
      <c r="D174" s="15"/>
      <c r="E174" s="16"/>
      <c r="F174" s="16"/>
      <c r="G174" s="16"/>
      <c r="H174" s="16"/>
    </row>
    <row r="175" spans="3:8" s="14" customFormat="1">
      <c r="C175" s="15"/>
      <c r="D175" s="15"/>
      <c r="E175" s="16"/>
      <c r="F175" s="16"/>
      <c r="G175" s="16"/>
      <c r="H175" s="16"/>
    </row>
    <row r="176" spans="3:8" s="14" customFormat="1">
      <c r="C176" s="15"/>
      <c r="D176" s="15"/>
      <c r="E176" s="16"/>
      <c r="F176" s="16"/>
      <c r="G176" s="16"/>
      <c r="H176" s="16"/>
    </row>
    <row r="177" spans="3:44" s="14" customFormat="1">
      <c r="C177" s="15"/>
      <c r="D177" s="15"/>
      <c r="E177" s="16"/>
      <c r="F177" s="16"/>
      <c r="G177" s="16"/>
      <c r="H177" s="16"/>
    </row>
    <row r="178" spans="3:44" s="14" customFormat="1">
      <c r="C178" s="15"/>
      <c r="D178" s="15"/>
      <c r="E178" s="16"/>
      <c r="F178" s="16"/>
      <c r="G178" s="16"/>
      <c r="H178" s="16"/>
    </row>
    <row r="179" spans="3:44" s="14" customFormat="1">
      <c r="C179" s="15"/>
      <c r="D179" s="15"/>
      <c r="E179" s="16"/>
      <c r="F179" s="16"/>
      <c r="G179" s="16"/>
      <c r="H179" s="16"/>
    </row>
    <row r="180" spans="3:44" s="14" customFormat="1">
      <c r="C180" s="15"/>
      <c r="D180" s="15"/>
      <c r="E180" s="16"/>
      <c r="F180" s="16"/>
      <c r="G180" s="16"/>
      <c r="H180" s="16"/>
    </row>
    <row r="181" spans="3:44" s="14" customFormat="1">
      <c r="C181" s="15"/>
      <c r="D181" s="15"/>
      <c r="E181" s="16"/>
      <c r="F181" s="16"/>
      <c r="G181" s="16"/>
      <c r="H181" s="16"/>
    </row>
    <row r="182" spans="3:44" s="14" customFormat="1">
      <c r="C182" s="15"/>
      <c r="D182" s="15"/>
      <c r="E182" s="16"/>
      <c r="F182" s="16"/>
      <c r="G182" s="16"/>
      <c r="H182" s="16"/>
    </row>
    <row r="183" spans="3:44" s="14" customFormat="1">
      <c r="C183" s="15"/>
      <c r="D183" s="15"/>
      <c r="E183" s="16"/>
      <c r="F183" s="16"/>
      <c r="G183" s="16"/>
      <c r="H183" s="16"/>
    </row>
    <row r="184" spans="3:44" s="14" customFormat="1">
      <c r="C184" s="15"/>
      <c r="D184" s="15"/>
      <c r="E184" s="16"/>
      <c r="F184" s="16"/>
      <c r="G184" s="16"/>
      <c r="H184" s="16"/>
    </row>
    <row r="185" spans="3:44" s="14" customFormat="1">
      <c r="C185" s="15"/>
      <c r="D185" s="15"/>
      <c r="E185" s="16"/>
      <c r="F185" s="16"/>
      <c r="G185" s="16"/>
      <c r="H185" s="16"/>
    </row>
    <row r="186" spans="3:44" s="14" customFormat="1">
      <c r="C186" s="15"/>
      <c r="D186" s="15"/>
      <c r="E186" s="16"/>
      <c r="F186" s="16"/>
      <c r="G186" s="16"/>
      <c r="H186" s="16"/>
    </row>
    <row r="187" spans="3:44" s="14" customFormat="1">
      <c r="C187" s="15"/>
      <c r="D187" s="15"/>
      <c r="E187" s="16"/>
      <c r="F187" s="16"/>
      <c r="G187" s="16"/>
      <c r="H187" s="16"/>
    </row>
    <row r="188" spans="3:44" s="14" customFormat="1">
      <c r="C188" s="15"/>
      <c r="D188" s="15"/>
      <c r="E188" s="16"/>
      <c r="F188" s="16"/>
      <c r="G188" s="16"/>
      <c r="H188" s="16"/>
    </row>
    <row r="189" spans="3:44" s="14" customFormat="1">
      <c r="C189" s="15"/>
      <c r="D189" s="15"/>
      <c r="E189" s="16"/>
      <c r="F189" s="16"/>
      <c r="G189" s="16"/>
      <c r="H189" s="16"/>
    </row>
    <row r="190" spans="3:44" s="14" customFormat="1">
      <c r="C190" s="15"/>
      <c r="D190" s="15"/>
      <c r="E190" s="16"/>
      <c r="F190" s="16"/>
      <c r="G190" s="16"/>
      <c r="H190" s="16"/>
    </row>
    <row r="191" spans="3:44" s="14" customFormat="1">
      <c r="C191" s="15"/>
      <c r="D191" s="15"/>
      <c r="E191" s="36"/>
      <c r="F191" s="36"/>
      <c r="G191" s="36"/>
      <c r="H191" s="36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P191" s="19"/>
      <c r="AQ191" s="19"/>
      <c r="AR191" s="19"/>
    </row>
    <row r="192" spans="3:44" s="14" customFormat="1">
      <c r="C192" s="15"/>
      <c r="D192" s="15"/>
      <c r="E192" s="36"/>
      <c r="F192" s="36"/>
      <c r="G192" s="36"/>
      <c r="H192" s="36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P192" s="19"/>
      <c r="AQ192" s="19"/>
      <c r="AR192" s="19"/>
    </row>
    <row r="193" spans="3:44" s="14" customFormat="1">
      <c r="C193" s="15"/>
      <c r="D193" s="15"/>
      <c r="E193" s="36"/>
      <c r="F193" s="36"/>
      <c r="G193" s="36"/>
      <c r="H193" s="36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P193" s="19"/>
      <c r="AQ193" s="19"/>
      <c r="AR193" s="19"/>
    </row>
    <row r="194" spans="3:44" s="14" customFormat="1">
      <c r="C194" s="15"/>
      <c r="D194" s="15"/>
      <c r="E194" s="36"/>
      <c r="F194" s="36"/>
      <c r="G194" s="36"/>
      <c r="H194" s="36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P194" s="19"/>
      <c r="AQ194" s="19"/>
      <c r="AR194" s="19"/>
    </row>
    <row r="195" spans="3:44" s="14" customFormat="1">
      <c r="C195" s="15"/>
      <c r="D195" s="15"/>
      <c r="E195" s="36"/>
      <c r="F195" s="36"/>
      <c r="G195" s="36"/>
      <c r="H195" s="36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P195" s="19"/>
      <c r="AQ195" s="19"/>
      <c r="AR195" s="19"/>
    </row>
    <row r="196" spans="3:44" s="14" customFormat="1">
      <c r="C196" s="15"/>
      <c r="D196" s="15"/>
      <c r="E196" s="36"/>
      <c r="F196" s="36"/>
      <c r="G196" s="36"/>
      <c r="H196" s="36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P196" s="19"/>
      <c r="AQ196" s="19"/>
      <c r="AR196" s="19"/>
    </row>
    <row r="197" spans="3:44" s="14" customFormat="1">
      <c r="C197" s="15"/>
      <c r="D197" s="15"/>
      <c r="E197" s="36"/>
      <c r="F197" s="36"/>
      <c r="G197" s="36"/>
      <c r="H197" s="36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P197" s="19"/>
      <c r="AQ197" s="19"/>
      <c r="AR197" s="19"/>
    </row>
    <row r="198" spans="3:44" s="14" customFormat="1">
      <c r="C198" s="15"/>
      <c r="D198" s="15"/>
      <c r="E198" s="36"/>
      <c r="F198" s="36"/>
      <c r="G198" s="36"/>
      <c r="H198" s="36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P198" s="19"/>
      <c r="AQ198" s="19"/>
      <c r="AR19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</vt:lpstr>
      <vt:lpstr>BaaS.1</vt:lpstr>
      <vt:lpstr>BaaS.2</vt:lpstr>
      <vt:lpstr>BaaS.3</vt:lpstr>
      <vt:lpstr>BS</vt:lpstr>
      <vt:lpstr>PL</vt:lpstr>
      <vt:lpstr>OPEX+CAPEX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Screen Ashkinadze</dc:creator>
  <cp:lastModifiedBy>Big Screen Ashkinadze</cp:lastModifiedBy>
  <dcterms:created xsi:type="dcterms:W3CDTF">2025-09-11T08:55:47Z</dcterms:created>
  <dcterms:modified xsi:type="dcterms:W3CDTF">2025-12-22T10:42:48Z</dcterms:modified>
</cp:coreProperties>
</file>